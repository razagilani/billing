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akawala\AppData\Local\Microsoft\Windows\Temporary Internet Files\Content.Outlook\FRNUCU4P\"/>
    </mc:Choice>
  </mc:AlternateContent>
  <workbookProtection workbookAlgorithmName="SHA-512" workbookHashValue="Qywke6ZEIC7Q/XcOTv17dp2U4IRPFbeahMMcHWNTjDL+Kiwnkgk7yj2zcZkYd08ksngFrX8Dn6HfYG53AzTj7Q==" workbookSaltValue="ZM5zBO1DouSf7bRCj0lYGA==" workbookSpinCount="100000" lockStructure="1"/>
  <bookViews>
    <workbookView xWindow="720" yWindow="615" windowWidth="14670" windowHeight="6525" firstSheet="17" activeTab="17"/>
  </bookViews>
  <sheets>
    <sheet name="AECO LP_10V1_SMS" sheetId="55" state="veryHidden" r:id="rId1"/>
    <sheet name="AECO LP_14V1_MMS" sheetId="56" state="veryHidden" r:id="rId2"/>
    <sheet name="AEP_OH_CS - test CSGS1MS" sheetId="27" state="veryHidden" r:id="rId3"/>
    <sheet name="AEP_OH_CS - test CSGS2UMS" sheetId="41" state="veryHidden" r:id="rId4"/>
    <sheet name="AEP_OH_CS - test CSGS3UMS" sheetId="58" state="veryHidden" r:id="rId5"/>
    <sheet name="Ameren RateZnIII LP DS2HHMS" sheetId="61" state="veryHidden" r:id="rId6"/>
    <sheet name="BGE LP_GMS" sheetId="33" state="veryHidden" r:id="rId7"/>
    <sheet name="BGE LP_GLMS" sheetId="48" state="veryHidden" r:id="rId8"/>
    <sheet name="BGE LP_GSMS" sheetId="37" state="veryHidden" r:id="rId9"/>
    <sheet name="ComEd - test LP_28MS" sheetId="59" state="veryHidden" r:id="rId10"/>
    <sheet name="ComEd - test LP_29MS" sheetId="45" state="veryHidden" r:id="rId11"/>
    <sheet name="DAY_RC_843MS" sheetId="60" state="veryHidden" r:id="rId12"/>
    <sheet name="Delmarva MD LP_MDGS_MMS" sheetId="53" state="veryHidden" r:id="rId13"/>
    <sheet name="DQE LP_GSGM_MMS (2)" sheetId="52" state="veryHidden" r:id="rId14"/>
    <sheet name="Duke_OH_RC_DS01MS" sheetId="54" state="veryHidden" r:id="rId15"/>
    <sheet name="FE_OE - test RC_GSFMS" sheetId="26" state="veryHidden" r:id="rId16"/>
    <sheet name="Adders" sheetId="7" state="veryHidden" r:id="rId17"/>
    <sheet name="Matrix" sheetId="11" r:id="rId18"/>
    <sheet name="PA" sheetId="1" r:id="rId19"/>
    <sheet name="OH" sheetId="2" r:id="rId20"/>
    <sheet name="IL" sheetId="3" r:id="rId21"/>
    <sheet name="NJ" sheetId="4" r:id="rId22"/>
    <sheet name="MD" sheetId="5" r:id="rId23"/>
    <sheet name="Main" sheetId="62" state="veryHidden" r:id="rId24"/>
    <sheet name="LMPMain" sheetId="10" state="veryHidden" r:id="rId25"/>
    <sheet name="JCPL LP_GSCLMS" sheetId="31" state="veryHidden" r:id="rId26"/>
    <sheet name="JCPL LP_GSCMMS" sheetId="47" state="veryHidden" r:id="rId27"/>
    <sheet name="JCPL LP_GSCSMS" sheetId="39" state="veryHidden" r:id="rId28"/>
    <sheet name="MetEd RC_GSDFMS (2)" sheetId="57" state="veryHidden" r:id="rId29"/>
    <sheet name="MetEd RC_GSLFMS (2)" sheetId="32" state="veryHidden" r:id="rId30"/>
    <sheet name="MetEd RC_GSSFMS (2)" sheetId="50" state="veryHidden" r:id="rId31"/>
    <sheet name="PECO LP_GSMS (2)" sheetId="42" state="veryHidden" r:id="rId32"/>
    <sheet name="Penelec RC_GSLFMS (2)" sheetId="28" state="veryHidden" r:id="rId33"/>
    <sheet name="Penelec RC_GSSFMS (2)" sheetId="36" state="veryHidden" r:id="rId34"/>
    <sheet name="Penelec RC_GSMFMS (2)" sheetId="29" state="veryHidden" r:id="rId35"/>
    <sheet name="Penn Power RC_GMDMS (2)" sheetId="34" state="veryHidden" r:id="rId36"/>
    <sheet name="PEPCO MD LP_MDNDMS" sheetId="44" state="veryHidden" r:id="rId37"/>
    <sheet name="PEPCO MD LP_MMGTL2AMS" sheetId="38" state="veryHidden" r:id="rId38"/>
    <sheet name="PEPCO MD RC_3T7MS" sheetId="40" state="veryHidden" r:id="rId39"/>
    <sheet name="Potomac Edison LP_GSCM_MMS" sheetId="49" state="veryHidden" r:id="rId40"/>
    <sheet name="PPL_RCGS1MS (2)" sheetId="51" state="veryHidden" r:id="rId41"/>
    <sheet name="PPL_RCGS3MS (2)" sheetId="46" state="veryHidden" r:id="rId42"/>
    <sheet name="PSEG LP_GLP_MMS" sheetId="35" state="veryHidden" r:id="rId43"/>
    <sheet name="PSEG LP_LPLMS" sheetId="43" state="veryHidden" r:id="rId44"/>
    <sheet name="West Penn Power LP_GSCMMS (2)" sheetId="30" state="veryHidden" r:id="rId45"/>
    <sheet name="AllSheetNames" sheetId="63" state="veryHidden" r:id="rId46"/>
  </sheets>
  <externalReferences>
    <externalReference r:id="rId47"/>
    <externalReference r:id="rId48"/>
    <externalReference r:id="rId49"/>
    <externalReference r:id="rId50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6" hidden="1">Adders!$A$12:$AA$48</definedName>
    <definedName name="_xlnm._FilterDatabase" localSheetId="20" hidden="1">IL!$C$13:$H$13</definedName>
    <definedName name="_xlnm._FilterDatabase" localSheetId="24" hidden="1">LMPMain!$A$8:$V$895</definedName>
    <definedName name="_xlnm._FilterDatabase" localSheetId="23" hidden="1">Main!$B$8:$U$895</definedName>
    <definedName name="_xlnm._FilterDatabase" localSheetId="17" hidden="1">Matrix!$C$13:$H$13</definedName>
    <definedName name="_xlnm._FilterDatabase" localSheetId="22" hidden="1">MD!$C$13:$H$13</definedName>
    <definedName name="_xlnm._FilterDatabase" localSheetId="21" hidden="1">NJ!$C$13:$H$13</definedName>
    <definedName name="_xlnm._FilterDatabase" localSheetId="19" hidden="1">OH!$C$13:$H$13</definedName>
    <definedName name="_xlnm._FilterDatabase" localSheetId="18" hidden="1">PA!$C$13:$H$13</definedName>
    <definedName name="list_Mth" localSheetId="23">OFFSET([1]Adders!$T$15,0,0,Main!$B$5,1)</definedName>
    <definedName name="list_Mth">OFFSET(Adders!$T$13,0,0,LMPMain!$B$5,1)</definedName>
    <definedName name="_xlnm.Print_Area" localSheetId="16">Adders!$B$1:$G$48</definedName>
    <definedName name="_xlnm.Print_Area" localSheetId="20">IL!$C$14:$N$95</definedName>
    <definedName name="_xlnm.Print_Area" localSheetId="24">LMPMain!$B$1:$U$895</definedName>
    <definedName name="_xlnm.Print_Area" localSheetId="23">Main!$B$1:$U$895</definedName>
    <definedName name="_xlnm.Print_Area" localSheetId="17">Matrix!$C$5:$N$59</definedName>
    <definedName name="_xlnm.Print_Area" localSheetId="22">MD!$C$14:$N$311</definedName>
    <definedName name="_xlnm.Print_Area" localSheetId="21">NJ!$C$14:$N$275</definedName>
    <definedName name="_xlnm.Print_Area" localSheetId="19">OH!$C$14:$N$239</definedName>
    <definedName name="_xlnm.Print_Area" localSheetId="18">PA!$C$5:$N$455</definedName>
    <definedName name="_xlnm.Print_Titles" localSheetId="20">IL!$5:$13</definedName>
    <definedName name="_xlnm.Print_Titles" localSheetId="24">LMPMain!$1:$8</definedName>
    <definedName name="_xlnm.Print_Titles" localSheetId="23">Main!$1:$8</definedName>
    <definedName name="_xlnm.Print_Titles" localSheetId="17">Matrix!$5:$13</definedName>
    <definedName name="_xlnm.Print_Titles" localSheetId="22">MD!$5:$13</definedName>
    <definedName name="_xlnm.Print_Titles" localSheetId="21">NJ!$5:$13</definedName>
    <definedName name="_xlnm.Print_Titles" localSheetId="19">OH!$5:$13</definedName>
    <definedName name="_xlnm.Print_Titles" localSheetId="18">PA!$5:$13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52511"/>
</workbook>
</file>

<file path=xl/calcChain.xml><?xml version="1.0" encoding="utf-8"?>
<calcChain xmlns="http://schemas.openxmlformats.org/spreadsheetml/2006/main">
  <c r="L12" i="1" l="1"/>
  <c r="L12" i="11"/>
  <c r="F11" i="7"/>
  <c r="G11" i="7"/>
  <c r="H11" i="7" s="1"/>
  <c r="I11" i="7" s="1"/>
  <c r="J11" i="7" s="1"/>
  <c r="U895" i="10"/>
  <c r="T895" i="10"/>
  <c r="S895" i="10"/>
  <c r="R895" i="10"/>
  <c r="Q895" i="10"/>
  <c r="U894" i="10"/>
  <c r="T894" i="10"/>
  <c r="S894" i="10"/>
  <c r="R894" i="10"/>
  <c r="Q894" i="10"/>
  <c r="U893" i="10"/>
  <c r="T893" i="10"/>
  <c r="S893" i="10"/>
  <c r="R893" i="10"/>
  <c r="Q893" i="10"/>
  <c r="U892" i="10"/>
  <c r="T892" i="10"/>
  <c r="S892" i="10"/>
  <c r="R892" i="10"/>
  <c r="Q892" i="10"/>
  <c r="U891" i="10"/>
  <c r="T891" i="10"/>
  <c r="S891" i="10"/>
  <c r="R891" i="10"/>
  <c r="Q891" i="10"/>
  <c r="U890" i="10"/>
  <c r="T890" i="10"/>
  <c r="S890" i="10"/>
  <c r="R890" i="10"/>
  <c r="Q890" i="10"/>
  <c r="U889" i="10"/>
  <c r="T889" i="10"/>
  <c r="S889" i="10"/>
  <c r="R889" i="10"/>
  <c r="Q889" i="10"/>
  <c r="U888" i="10"/>
  <c r="T888" i="10"/>
  <c r="S888" i="10"/>
  <c r="R888" i="10"/>
  <c r="Q888" i="10"/>
  <c r="U887" i="10"/>
  <c r="T887" i="10"/>
  <c r="S887" i="10"/>
  <c r="R887" i="10"/>
  <c r="Q887" i="10"/>
  <c r="U886" i="10"/>
  <c r="T886" i="10"/>
  <c r="S886" i="10"/>
  <c r="R886" i="10"/>
  <c r="Q886" i="10"/>
  <c r="U885" i="10"/>
  <c r="T885" i="10"/>
  <c r="S885" i="10"/>
  <c r="R885" i="10"/>
  <c r="Q885" i="10"/>
  <c r="U884" i="10"/>
  <c r="T884" i="10"/>
  <c r="S884" i="10"/>
  <c r="R884" i="10"/>
  <c r="Q884" i="10"/>
  <c r="U883" i="10"/>
  <c r="T883" i="10"/>
  <c r="S883" i="10"/>
  <c r="R883" i="10"/>
  <c r="Q883" i="10"/>
  <c r="U882" i="10"/>
  <c r="T882" i="10"/>
  <c r="S882" i="10"/>
  <c r="R882" i="10"/>
  <c r="Q882" i="10"/>
  <c r="U881" i="10"/>
  <c r="T881" i="10"/>
  <c r="S881" i="10"/>
  <c r="R881" i="10"/>
  <c r="Q881" i="10"/>
  <c r="U880" i="10"/>
  <c r="T880" i="10"/>
  <c r="S880" i="10"/>
  <c r="R880" i="10"/>
  <c r="Q880" i="10"/>
  <c r="U879" i="10"/>
  <c r="T879" i="10"/>
  <c r="S879" i="10"/>
  <c r="R879" i="10"/>
  <c r="Q879" i="10"/>
  <c r="U878" i="10"/>
  <c r="T878" i="10"/>
  <c r="S878" i="10"/>
  <c r="R878" i="10"/>
  <c r="Q878" i="10"/>
  <c r="U877" i="10"/>
  <c r="T877" i="10"/>
  <c r="S877" i="10"/>
  <c r="R877" i="10"/>
  <c r="Q877" i="10"/>
  <c r="U876" i="10"/>
  <c r="T876" i="10"/>
  <c r="S876" i="10"/>
  <c r="R876" i="10"/>
  <c r="Q876" i="10"/>
  <c r="U875" i="10"/>
  <c r="T875" i="10"/>
  <c r="S875" i="10"/>
  <c r="R875" i="10"/>
  <c r="Q875" i="10"/>
  <c r="U874" i="10"/>
  <c r="T874" i="10"/>
  <c r="S874" i="10"/>
  <c r="R874" i="10"/>
  <c r="Q874" i="10"/>
  <c r="U873" i="10"/>
  <c r="T873" i="10"/>
  <c r="S873" i="10"/>
  <c r="R873" i="10"/>
  <c r="Q873" i="10"/>
  <c r="U872" i="10"/>
  <c r="T872" i="10"/>
  <c r="S872" i="10"/>
  <c r="R872" i="10"/>
  <c r="Q872" i="10"/>
  <c r="U871" i="10"/>
  <c r="T871" i="10"/>
  <c r="S871" i="10"/>
  <c r="R871" i="10"/>
  <c r="Q871" i="10"/>
  <c r="U870" i="10"/>
  <c r="T870" i="10"/>
  <c r="S870" i="10"/>
  <c r="R870" i="10"/>
  <c r="Q870" i="10"/>
  <c r="U869" i="10"/>
  <c r="T869" i="10"/>
  <c r="S869" i="10"/>
  <c r="R869" i="10"/>
  <c r="Q869" i="10"/>
  <c r="U868" i="10"/>
  <c r="T868" i="10"/>
  <c r="S868" i="10"/>
  <c r="R868" i="10"/>
  <c r="Q868" i="10"/>
  <c r="U867" i="10"/>
  <c r="T867" i="10"/>
  <c r="S867" i="10"/>
  <c r="R867" i="10"/>
  <c r="Q867" i="10"/>
  <c r="U866" i="10"/>
  <c r="T866" i="10"/>
  <c r="S866" i="10"/>
  <c r="R866" i="10"/>
  <c r="Q866" i="10"/>
  <c r="U865" i="10"/>
  <c r="T865" i="10"/>
  <c r="S865" i="10"/>
  <c r="R865" i="10"/>
  <c r="Q865" i="10"/>
  <c r="U864" i="10"/>
  <c r="T864" i="10"/>
  <c r="S864" i="10"/>
  <c r="R864" i="10"/>
  <c r="Q864" i="10"/>
  <c r="U863" i="10"/>
  <c r="T863" i="10"/>
  <c r="S863" i="10"/>
  <c r="R863" i="10"/>
  <c r="Q863" i="10"/>
  <c r="U862" i="10"/>
  <c r="T862" i="10"/>
  <c r="S862" i="10"/>
  <c r="R862" i="10"/>
  <c r="Q862" i="10"/>
  <c r="U861" i="10"/>
  <c r="T861" i="10"/>
  <c r="S861" i="10"/>
  <c r="R861" i="10"/>
  <c r="Q861" i="10"/>
  <c r="U860" i="10"/>
  <c r="T860" i="10"/>
  <c r="S860" i="10"/>
  <c r="R860" i="10"/>
  <c r="Q860" i="10"/>
  <c r="U858" i="10"/>
  <c r="T858" i="10"/>
  <c r="S858" i="10"/>
  <c r="R858" i="10"/>
  <c r="Q858" i="10"/>
  <c r="U857" i="10"/>
  <c r="T857" i="10"/>
  <c r="S857" i="10"/>
  <c r="R857" i="10"/>
  <c r="Q857" i="10"/>
  <c r="U856" i="10"/>
  <c r="T856" i="10"/>
  <c r="S856" i="10"/>
  <c r="R856" i="10"/>
  <c r="Q856" i="10"/>
  <c r="U855" i="10"/>
  <c r="T855" i="10"/>
  <c r="S855" i="10"/>
  <c r="R855" i="10"/>
  <c r="Q855" i="10"/>
  <c r="U854" i="10"/>
  <c r="T854" i="10"/>
  <c r="S854" i="10"/>
  <c r="R854" i="10"/>
  <c r="Q854" i="10"/>
  <c r="U853" i="10"/>
  <c r="T853" i="10"/>
  <c r="S853" i="10"/>
  <c r="R853" i="10"/>
  <c r="Q853" i="10"/>
  <c r="U852" i="10"/>
  <c r="T852" i="10"/>
  <c r="S852" i="10"/>
  <c r="R852" i="10"/>
  <c r="Q852" i="10"/>
  <c r="U851" i="10"/>
  <c r="T851" i="10"/>
  <c r="S851" i="10"/>
  <c r="R851" i="10"/>
  <c r="Q851" i="10"/>
  <c r="U850" i="10"/>
  <c r="T850" i="10"/>
  <c r="S850" i="10"/>
  <c r="R850" i="10"/>
  <c r="Q850" i="10"/>
  <c r="U849" i="10"/>
  <c r="T849" i="10"/>
  <c r="S849" i="10"/>
  <c r="R849" i="10"/>
  <c r="Q849" i="10"/>
  <c r="U848" i="10"/>
  <c r="T848" i="10"/>
  <c r="S848" i="10"/>
  <c r="R848" i="10"/>
  <c r="Q848" i="10"/>
  <c r="U847" i="10"/>
  <c r="T847" i="10"/>
  <c r="S847" i="10"/>
  <c r="R847" i="10"/>
  <c r="Q847" i="10"/>
  <c r="U846" i="10"/>
  <c r="T846" i="10"/>
  <c r="S846" i="10"/>
  <c r="R846" i="10"/>
  <c r="Q846" i="10"/>
  <c r="U845" i="10"/>
  <c r="T845" i="10"/>
  <c r="S845" i="10"/>
  <c r="R845" i="10"/>
  <c r="Q845" i="10"/>
  <c r="U844" i="10"/>
  <c r="T844" i="10"/>
  <c r="S844" i="10"/>
  <c r="R844" i="10"/>
  <c r="Q844" i="10"/>
  <c r="U843" i="10"/>
  <c r="T843" i="10"/>
  <c r="S843" i="10"/>
  <c r="R843" i="10"/>
  <c r="Q843" i="10"/>
  <c r="U842" i="10"/>
  <c r="T842" i="10"/>
  <c r="S842" i="10"/>
  <c r="R842" i="10"/>
  <c r="Q842" i="10"/>
  <c r="U841" i="10"/>
  <c r="T841" i="10"/>
  <c r="S841" i="10"/>
  <c r="R841" i="10"/>
  <c r="Q841" i="10"/>
  <c r="U840" i="10"/>
  <c r="T840" i="10"/>
  <c r="S840" i="10"/>
  <c r="R840" i="10"/>
  <c r="Q840" i="10"/>
  <c r="U839" i="10"/>
  <c r="T839" i="10"/>
  <c r="S839" i="10"/>
  <c r="R839" i="10"/>
  <c r="Q839" i="10"/>
  <c r="U838" i="10"/>
  <c r="T838" i="10"/>
  <c r="S838" i="10"/>
  <c r="R838" i="10"/>
  <c r="Q838" i="10"/>
  <c r="U837" i="10"/>
  <c r="T837" i="10"/>
  <c r="S837" i="10"/>
  <c r="R837" i="10"/>
  <c r="Q837" i="10"/>
  <c r="U836" i="10"/>
  <c r="T836" i="10"/>
  <c r="S836" i="10"/>
  <c r="R836" i="10"/>
  <c r="Q836" i="10"/>
  <c r="U835" i="10"/>
  <c r="T835" i="10"/>
  <c r="S835" i="10"/>
  <c r="R835" i="10"/>
  <c r="Q835" i="10"/>
  <c r="U834" i="10"/>
  <c r="T834" i="10"/>
  <c r="S834" i="10"/>
  <c r="R834" i="10"/>
  <c r="Q834" i="10"/>
  <c r="U833" i="10"/>
  <c r="T833" i="10"/>
  <c r="S833" i="10"/>
  <c r="R833" i="10"/>
  <c r="Q833" i="10"/>
  <c r="U832" i="10"/>
  <c r="T832" i="10"/>
  <c r="S832" i="10"/>
  <c r="R832" i="10"/>
  <c r="Q832" i="10"/>
  <c r="U831" i="10"/>
  <c r="T831" i="10"/>
  <c r="S831" i="10"/>
  <c r="R831" i="10"/>
  <c r="Q831" i="10"/>
  <c r="U830" i="10"/>
  <c r="T830" i="10"/>
  <c r="S830" i="10"/>
  <c r="R830" i="10"/>
  <c r="Q830" i="10"/>
  <c r="U829" i="10"/>
  <c r="T829" i="10"/>
  <c r="S829" i="10"/>
  <c r="R829" i="10"/>
  <c r="Q829" i="10"/>
  <c r="U828" i="10"/>
  <c r="T828" i="10"/>
  <c r="S828" i="10"/>
  <c r="R828" i="10"/>
  <c r="Q828" i="10"/>
  <c r="U827" i="10"/>
  <c r="T827" i="10"/>
  <c r="S827" i="10"/>
  <c r="R827" i="10"/>
  <c r="Q827" i="10"/>
  <c r="U826" i="10"/>
  <c r="T826" i="10"/>
  <c r="S826" i="10"/>
  <c r="R826" i="10"/>
  <c r="Q826" i="10"/>
  <c r="U825" i="10"/>
  <c r="T825" i="10"/>
  <c r="S825" i="10"/>
  <c r="R825" i="10"/>
  <c r="Q825" i="10"/>
  <c r="U824" i="10"/>
  <c r="T824" i="10"/>
  <c r="S824" i="10"/>
  <c r="R824" i="10"/>
  <c r="Q824" i="10"/>
  <c r="U823" i="10"/>
  <c r="T823" i="10"/>
  <c r="S823" i="10"/>
  <c r="R823" i="10"/>
  <c r="Q823" i="10"/>
  <c r="U821" i="10"/>
  <c r="T821" i="10"/>
  <c r="S821" i="10"/>
  <c r="R821" i="10"/>
  <c r="Q821" i="10"/>
  <c r="U820" i="10"/>
  <c r="T820" i="10"/>
  <c r="S820" i="10"/>
  <c r="R820" i="10"/>
  <c r="Q820" i="10"/>
  <c r="U819" i="10"/>
  <c r="T819" i="10"/>
  <c r="S819" i="10"/>
  <c r="R819" i="10"/>
  <c r="Q819" i="10"/>
  <c r="U818" i="10"/>
  <c r="T818" i="10"/>
  <c r="S818" i="10"/>
  <c r="R818" i="10"/>
  <c r="Q818" i="10"/>
  <c r="U817" i="10"/>
  <c r="T817" i="10"/>
  <c r="S817" i="10"/>
  <c r="R817" i="10"/>
  <c r="Q817" i="10"/>
  <c r="U816" i="10"/>
  <c r="T816" i="10"/>
  <c r="S816" i="10"/>
  <c r="R816" i="10"/>
  <c r="Q816" i="10"/>
  <c r="U815" i="10"/>
  <c r="T815" i="10"/>
  <c r="S815" i="10"/>
  <c r="R815" i="10"/>
  <c r="Q815" i="10"/>
  <c r="U814" i="10"/>
  <c r="T814" i="10"/>
  <c r="S814" i="10"/>
  <c r="R814" i="10"/>
  <c r="Q814" i="10"/>
  <c r="U813" i="10"/>
  <c r="T813" i="10"/>
  <c r="S813" i="10"/>
  <c r="R813" i="10"/>
  <c r="Q813" i="10"/>
  <c r="U812" i="10"/>
  <c r="T812" i="10"/>
  <c r="S812" i="10"/>
  <c r="R812" i="10"/>
  <c r="Q812" i="10"/>
  <c r="U811" i="10"/>
  <c r="T811" i="10"/>
  <c r="S811" i="10"/>
  <c r="R811" i="10"/>
  <c r="Q811" i="10"/>
  <c r="U810" i="10"/>
  <c r="T810" i="10"/>
  <c r="S810" i="10"/>
  <c r="R810" i="10"/>
  <c r="Q810" i="10"/>
  <c r="U809" i="10"/>
  <c r="T809" i="10"/>
  <c r="S809" i="10"/>
  <c r="R809" i="10"/>
  <c r="Q809" i="10"/>
  <c r="U808" i="10"/>
  <c r="T808" i="10"/>
  <c r="S808" i="10"/>
  <c r="R808" i="10"/>
  <c r="Q808" i="10"/>
  <c r="U807" i="10"/>
  <c r="T807" i="10"/>
  <c r="S807" i="10"/>
  <c r="R807" i="10"/>
  <c r="Q807" i="10"/>
  <c r="U806" i="10"/>
  <c r="T806" i="10"/>
  <c r="S806" i="10"/>
  <c r="R806" i="10"/>
  <c r="Q806" i="10"/>
  <c r="U805" i="10"/>
  <c r="T805" i="10"/>
  <c r="S805" i="10"/>
  <c r="R805" i="10"/>
  <c r="Q805" i="10"/>
  <c r="U804" i="10"/>
  <c r="T804" i="10"/>
  <c r="S804" i="10"/>
  <c r="R804" i="10"/>
  <c r="Q804" i="10"/>
  <c r="U803" i="10"/>
  <c r="T803" i="10"/>
  <c r="S803" i="10"/>
  <c r="R803" i="10"/>
  <c r="Q803" i="10"/>
  <c r="U802" i="10"/>
  <c r="T802" i="10"/>
  <c r="S802" i="10"/>
  <c r="R802" i="10"/>
  <c r="Q802" i="10"/>
  <c r="U801" i="10"/>
  <c r="T801" i="10"/>
  <c r="S801" i="10"/>
  <c r="R801" i="10"/>
  <c r="Q801" i="10"/>
  <c r="U800" i="10"/>
  <c r="T800" i="10"/>
  <c r="S800" i="10"/>
  <c r="R800" i="10"/>
  <c r="Q800" i="10"/>
  <c r="U799" i="10"/>
  <c r="T799" i="10"/>
  <c r="S799" i="10"/>
  <c r="R799" i="10"/>
  <c r="Q799" i="10"/>
  <c r="U798" i="10"/>
  <c r="T798" i="10"/>
  <c r="S798" i="10"/>
  <c r="R798" i="10"/>
  <c r="Q798" i="10"/>
  <c r="U797" i="10"/>
  <c r="T797" i="10"/>
  <c r="S797" i="10"/>
  <c r="R797" i="10"/>
  <c r="Q797" i="10"/>
  <c r="U796" i="10"/>
  <c r="T796" i="10"/>
  <c r="S796" i="10"/>
  <c r="R796" i="10"/>
  <c r="Q796" i="10"/>
  <c r="U795" i="10"/>
  <c r="T795" i="10"/>
  <c r="S795" i="10"/>
  <c r="R795" i="10"/>
  <c r="Q795" i="10"/>
  <c r="U794" i="10"/>
  <c r="T794" i="10"/>
  <c r="S794" i="10"/>
  <c r="R794" i="10"/>
  <c r="Q794" i="10"/>
  <c r="U793" i="10"/>
  <c r="T793" i="10"/>
  <c r="S793" i="10"/>
  <c r="R793" i="10"/>
  <c r="Q793" i="10"/>
  <c r="U792" i="10"/>
  <c r="T792" i="10"/>
  <c r="S792" i="10"/>
  <c r="R792" i="10"/>
  <c r="Q792" i="10"/>
  <c r="U791" i="10"/>
  <c r="T791" i="10"/>
  <c r="S791" i="10"/>
  <c r="R791" i="10"/>
  <c r="Q791" i="10"/>
  <c r="U790" i="10"/>
  <c r="T790" i="10"/>
  <c r="S790" i="10"/>
  <c r="R790" i="10"/>
  <c r="Q790" i="10"/>
  <c r="U789" i="10"/>
  <c r="T789" i="10"/>
  <c r="S789" i="10"/>
  <c r="R789" i="10"/>
  <c r="Q789" i="10"/>
  <c r="U788" i="10"/>
  <c r="T788" i="10"/>
  <c r="S788" i="10"/>
  <c r="R788" i="10"/>
  <c r="Q788" i="10"/>
  <c r="U787" i="10"/>
  <c r="T787" i="10"/>
  <c r="S787" i="10"/>
  <c r="R787" i="10"/>
  <c r="Q787" i="10"/>
  <c r="U786" i="10"/>
  <c r="T786" i="10"/>
  <c r="S786" i="10"/>
  <c r="R786" i="10"/>
  <c r="Q786" i="10"/>
  <c r="U784" i="10"/>
  <c r="T784" i="10"/>
  <c r="S784" i="10"/>
  <c r="R784" i="10"/>
  <c r="Q784" i="10"/>
  <c r="U783" i="10"/>
  <c r="T783" i="10"/>
  <c r="S783" i="10"/>
  <c r="R783" i="10"/>
  <c r="Q783" i="10"/>
  <c r="U782" i="10"/>
  <c r="T782" i="10"/>
  <c r="S782" i="10"/>
  <c r="R782" i="10"/>
  <c r="Q782" i="10"/>
  <c r="U781" i="10"/>
  <c r="T781" i="10"/>
  <c r="S781" i="10"/>
  <c r="R781" i="10"/>
  <c r="Q781" i="10"/>
  <c r="U780" i="10"/>
  <c r="T780" i="10"/>
  <c r="S780" i="10"/>
  <c r="R780" i="10"/>
  <c r="Q780" i="10"/>
  <c r="U779" i="10"/>
  <c r="T779" i="10"/>
  <c r="S779" i="10"/>
  <c r="R779" i="10"/>
  <c r="Q779" i="10"/>
  <c r="U778" i="10"/>
  <c r="T778" i="10"/>
  <c r="S778" i="10"/>
  <c r="R778" i="10"/>
  <c r="Q778" i="10"/>
  <c r="U777" i="10"/>
  <c r="T777" i="10"/>
  <c r="S777" i="10"/>
  <c r="R777" i="10"/>
  <c r="Q777" i="10"/>
  <c r="U776" i="10"/>
  <c r="T776" i="10"/>
  <c r="S776" i="10"/>
  <c r="R776" i="10"/>
  <c r="Q776" i="10"/>
  <c r="U775" i="10"/>
  <c r="T775" i="10"/>
  <c r="S775" i="10"/>
  <c r="R775" i="10"/>
  <c r="Q775" i="10"/>
  <c r="U774" i="10"/>
  <c r="T774" i="10"/>
  <c r="S774" i="10"/>
  <c r="R774" i="10"/>
  <c r="Q774" i="10"/>
  <c r="U773" i="10"/>
  <c r="T773" i="10"/>
  <c r="S773" i="10"/>
  <c r="R773" i="10"/>
  <c r="Q773" i="10"/>
  <c r="U772" i="10"/>
  <c r="T772" i="10"/>
  <c r="S772" i="10"/>
  <c r="R772" i="10"/>
  <c r="Q772" i="10"/>
  <c r="U771" i="10"/>
  <c r="T771" i="10"/>
  <c r="S771" i="10"/>
  <c r="R771" i="10"/>
  <c r="Q771" i="10"/>
  <c r="U770" i="10"/>
  <c r="T770" i="10"/>
  <c r="S770" i="10"/>
  <c r="R770" i="10"/>
  <c r="Q770" i="10"/>
  <c r="U769" i="10"/>
  <c r="T769" i="10"/>
  <c r="S769" i="10"/>
  <c r="R769" i="10"/>
  <c r="Q769" i="10"/>
  <c r="U768" i="10"/>
  <c r="T768" i="10"/>
  <c r="S768" i="10"/>
  <c r="R768" i="10"/>
  <c r="Q768" i="10"/>
  <c r="U767" i="10"/>
  <c r="T767" i="10"/>
  <c r="S767" i="10"/>
  <c r="R767" i="10"/>
  <c r="Q767" i="10"/>
  <c r="U766" i="10"/>
  <c r="T766" i="10"/>
  <c r="S766" i="10"/>
  <c r="R766" i="10"/>
  <c r="Q766" i="10"/>
  <c r="U765" i="10"/>
  <c r="T765" i="10"/>
  <c r="S765" i="10"/>
  <c r="R765" i="10"/>
  <c r="Q765" i="10"/>
  <c r="U764" i="10"/>
  <c r="T764" i="10"/>
  <c r="S764" i="10"/>
  <c r="R764" i="10"/>
  <c r="Q764" i="10"/>
  <c r="U763" i="10"/>
  <c r="T763" i="10"/>
  <c r="S763" i="10"/>
  <c r="R763" i="10"/>
  <c r="Q763" i="10"/>
  <c r="U762" i="10"/>
  <c r="T762" i="10"/>
  <c r="S762" i="10"/>
  <c r="R762" i="10"/>
  <c r="Q762" i="10"/>
  <c r="U761" i="10"/>
  <c r="T761" i="10"/>
  <c r="S761" i="10"/>
  <c r="R761" i="10"/>
  <c r="Q761" i="10"/>
  <c r="U760" i="10"/>
  <c r="T760" i="10"/>
  <c r="S760" i="10"/>
  <c r="R760" i="10"/>
  <c r="Q760" i="10"/>
  <c r="U759" i="10"/>
  <c r="T759" i="10"/>
  <c r="S759" i="10"/>
  <c r="R759" i="10"/>
  <c r="Q759" i="10"/>
  <c r="U758" i="10"/>
  <c r="T758" i="10"/>
  <c r="S758" i="10"/>
  <c r="R758" i="10"/>
  <c r="Q758" i="10"/>
  <c r="U757" i="10"/>
  <c r="T757" i="10"/>
  <c r="S757" i="10"/>
  <c r="R757" i="10"/>
  <c r="Q757" i="10"/>
  <c r="U756" i="10"/>
  <c r="T756" i="10"/>
  <c r="S756" i="10"/>
  <c r="R756" i="10"/>
  <c r="Q756" i="10"/>
  <c r="U755" i="10"/>
  <c r="T755" i="10"/>
  <c r="S755" i="10"/>
  <c r="R755" i="10"/>
  <c r="Q755" i="10"/>
  <c r="U754" i="10"/>
  <c r="T754" i="10"/>
  <c r="S754" i="10"/>
  <c r="R754" i="10"/>
  <c r="Q754" i="10"/>
  <c r="U753" i="10"/>
  <c r="T753" i="10"/>
  <c r="S753" i="10"/>
  <c r="R753" i="10"/>
  <c r="Q753" i="10"/>
  <c r="U752" i="10"/>
  <c r="T752" i="10"/>
  <c r="S752" i="10"/>
  <c r="R752" i="10"/>
  <c r="Q752" i="10"/>
  <c r="U751" i="10"/>
  <c r="T751" i="10"/>
  <c r="S751" i="10"/>
  <c r="R751" i="10"/>
  <c r="Q751" i="10"/>
  <c r="U750" i="10"/>
  <c r="T750" i="10"/>
  <c r="S750" i="10"/>
  <c r="R750" i="10"/>
  <c r="Q750" i="10"/>
  <c r="U749" i="10"/>
  <c r="T749" i="10"/>
  <c r="S749" i="10"/>
  <c r="R749" i="10"/>
  <c r="Q749" i="10"/>
  <c r="U747" i="10"/>
  <c r="T747" i="10"/>
  <c r="S747" i="10"/>
  <c r="R747" i="10"/>
  <c r="Q747" i="10"/>
  <c r="U746" i="10"/>
  <c r="T746" i="10"/>
  <c r="S746" i="10"/>
  <c r="R746" i="10"/>
  <c r="Q746" i="10"/>
  <c r="U745" i="10"/>
  <c r="T745" i="10"/>
  <c r="S745" i="10"/>
  <c r="R745" i="10"/>
  <c r="Q745" i="10"/>
  <c r="U744" i="10"/>
  <c r="T744" i="10"/>
  <c r="S744" i="10"/>
  <c r="R744" i="10"/>
  <c r="Q744" i="10"/>
  <c r="U743" i="10"/>
  <c r="T743" i="10"/>
  <c r="S743" i="10"/>
  <c r="R743" i="10"/>
  <c r="Q743" i="10"/>
  <c r="U742" i="10"/>
  <c r="T742" i="10"/>
  <c r="S742" i="10"/>
  <c r="R742" i="10"/>
  <c r="Q742" i="10"/>
  <c r="U741" i="10"/>
  <c r="T741" i="10"/>
  <c r="S741" i="10"/>
  <c r="R741" i="10"/>
  <c r="Q741" i="10"/>
  <c r="U740" i="10"/>
  <c r="T740" i="10"/>
  <c r="S740" i="10"/>
  <c r="R740" i="10"/>
  <c r="Q740" i="10"/>
  <c r="U739" i="10"/>
  <c r="T739" i="10"/>
  <c r="S739" i="10"/>
  <c r="R739" i="10"/>
  <c r="Q739" i="10"/>
  <c r="U738" i="10"/>
  <c r="T738" i="10"/>
  <c r="S738" i="10"/>
  <c r="R738" i="10"/>
  <c r="Q738" i="10"/>
  <c r="U737" i="10"/>
  <c r="T737" i="10"/>
  <c r="S737" i="10"/>
  <c r="R737" i="10"/>
  <c r="Q737" i="10"/>
  <c r="U736" i="10"/>
  <c r="T736" i="10"/>
  <c r="S736" i="10"/>
  <c r="R736" i="10"/>
  <c r="Q736" i="10"/>
  <c r="U735" i="10"/>
  <c r="T735" i="10"/>
  <c r="S735" i="10"/>
  <c r="R735" i="10"/>
  <c r="Q735" i="10"/>
  <c r="U734" i="10"/>
  <c r="T734" i="10"/>
  <c r="S734" i="10"/>
  <c r="R734" i="10"/>
  <c r="Q734" i="10"/>
  <c r="U733" i="10"/>
  <c r="T733" i="10"/>
  <c r="S733" i="10"/>
  <c r="R733" i="10"/>
  <c r="Q733" i="10"/>
  <c r="U732" i="10"/>
  <c r="T732" i="10"/>
  <c r="S732" i="10"/>
  <c r="R732" i="10"/>
  <c r="Q732" i="10"/>
  <c r="U731" i="10"/>
  <c r="T731" i="10"/>
  <c r="S731" i="10"/>
  <c r="R731" i="10"/>
  <c r="Q731" i="10"/>
  <c r="U730" i="10"/>
  <c r="T730" i="10"/>
  <c r="S730" i="10"/>
  <c r="R730" i="10"/>
  <c r="Q730" i="10"/>
  <c r="U729" i="10"/>
  <c r="T729" i="10"/>
  <c r="S729" i="10"/>
  <c r="R729" i="10"/>
  <c r="Q729" i="10"/>
  <c r="U728" i="10"/>
  <c r="T728" i="10"/>
  <c r="S728" i="10"/>
  <c r="R728" i="10"/>
  <c r="Q728" i="10"/>
  <c r="U727" i="10"/>
  <c r="T727" i="10"/>
  <c r="S727" i="10"/>
  <c r="R727" i="10"/>
  <c r="Q727" i="10"/>
  <c r="U726" i="10"/>
  <c r="T726" i="10"/>
  <c r="S726" i="10"/>
  <c r="R726" i="10"/>
  <c r="Q726" i="10"/>
  <c r="U725" i="10"/>
  <c r="T725" i="10"/>
  <c r="S725" i="10"/>
  <c r="R725" i="10"/>
  <c r="Q725" i="10"/>
  <c r="U724" i="10"/>
  <c r="T724" i="10"/>
  <c r="S724" i="10"/>
  <c r="R724" i="10"/>
  <c r="Q724" i="10"/>
  <c r="U723" i="10"/>
  <c r="T723" i="10"/>
  <c r="S723" i="10"/>
  <c r="R723" i="10"/>
  <c r="Q723" i="10"/>
  <c r="U722" i="10"/>
  <c r="T722" i="10"/>
  <c r="S722" i="10"/>
  <c r="R722" i="10"/>
  <c r="Q722" i="10"/>
  <c r="U721" i="10"/>
  <c r="T721" i="10"/>
  <c r="S721" i="10"/>
  <c r="R721" i="10"/>
  <c r="Q721" i="10"/>
  <c r="U720" i="10"/>
  <c r="T720" i="10"/>
  <c r="S720" i="10"/>
  <c r="R720" i="10"/>
  <c r="Q720" i="10"/>
  <c r="U719" i="10"/>
  <c r="T719" i="10"/>
  <c r="S719" i="10"/>
  <c r="R719" i="10"/>
  <c r="Q719" i="10"/>
  <c r="U718" i="10"/>
  <c r="T718" i="10"/>
  <c r="S718" i="10"/>
  <c r="R718" i="10"/>
  <c r="Q718" i="10"/>
  <c r="U717" i="10"/>
  <c r="T717" i="10"/>
  <c r="S717" i="10"/>
  <c r="R717" i="10"/>
  <c r="Q717" i="10"/>
  <c r="U716" i="10"/>
  <c r="T716" i="10"/>
  <c r="S716" i="10"/>
  <c r="R716" i="10"/>
  <c r="Q716" i="10"/>
  <c r="U715" i="10"/>
  <c r="T715" i="10"/>
  <c r="S715" i="10"/>
  <c r="R715" i="10"/>
  <c r="Q715" i="10"/>
  <c r="U714" i="10"/>
  <c r="T714" i="10"/>
  <c r="S714" i="10"/>
  <c r="R714" i="10"/>
  <c r="Q714" i="10"/>
  <c r="U713" i="10"/>
  <c r="T713" i="10"/>
  <c r="S713" i="10"/>
  <c r="R713" i="10"/>
  <c r="Q713" i="10"/>
  <c r="U712" i="10"/>
  <c r="T712" i="10"/>
  <c r="S712" i="10"/>
  <c r="R712" i="10"/>
  <c r="Q712" i="10"/>
  <c r="U710" i="10"/>
  <c r="T710" i="10"/>
  <c r="S710" i="10"/>
  <c r="R710" i="10"/>
  <c r="Q710" i="10"/>
  <c r="U709" i="10"/>
  <c r="T709" i="10"/>
  <c r="S709" i="10"/>
  <c r="R709" i="10"/>
  <c r="Q709" i="10"/>
  <c r="U708" i="10"/>
  <c r="T708" i="10"/>
  <c r="S708" i="10"/>
  <c r="R708" i="10"/>
  <c r="Q708" i="10"/>
  <c r="U707" i="10"/>
  <c r="T707" i="10"/>
  <c r="S707" i="10"/>
  <c r="R707" i="10"/>
  <c r="Q707" i="10"/>
  <c r="U706" i="10"/>
  <c r="T706" i="10"/>
  <c r="S706" i="10"/>
  <c r="R706" i="10"/>
  <c r="Q706" i="10"/>
  <c r="U705" i="10"/>
  <c r="T705" i="10"/>
  <c r="S705" i="10"/>
  <c r="R705" i="10"/>
  <c r="Q705" i="10"/>
  <c r="U704" i="10"/>
  <c r="T704" i="10"/>
  <c r="S704" i="10"/>
  <c r="R704" i="10"/>
  <c r="Q704" i="10"/>
  <c r="U703" i="10"/>
  <c r="T703" i="10"/>
  <c r="S703" i="10"/>
  <c r="R703" i="10"/>
  <c r="Q703" i="10"/>
  <c r="U702" i="10"/>
  <c r="T702" i="10"/>
  <c r="S702" i="10"/>
  <c r="R702" i="10"/>
  <c r="Q702" i="10"/>
  <c r="U701" i="10"/>
  <c r="T701" i="10"/>
  <c r="S701" i="10"/>
  <c r="R701" i="10"/>
  <c r="Q701" i="10"/>
  <c r="U700" i="10"/>
  <c r="T700" i="10"/>
  <c r="S700" i="10"/>
  <c r="R700" i="10"/>
  <c r="Q700" i="10"/>
  <c r="U699" i="10"/>
  <c r="T699" i="10"/>
  <c r="S699" i="10"/>
  <c r="R699" i="10"/>
  <c r="Q699" i="10"/>
  <c r="U698" i="10"/>
  <c r="T698" i="10"/>
  <c r="S698" i="10"/>
  <c r="R698" i="10"/>
  <c r="Q698" i="10"/>
  <c r="U697" i="10"/>
  <c r="T697" i="10"/>
  <c r="S697" i="10"/>
  <c r="R697" i="10"/>
  <c r="Q697" i="10"/>
  <c r="U696" i="10"/>
  <c r="T696" i="10"/>
  <c r="S696" i="10"/>
  <c r="R696" i="10"/>
  <c r="Q696" i="10"/>
  <c r="U695" i="10"/>
  <c r="T695" i="10"/>
  <c r="S695" i="10"/>
  <c r="R695" i="10"/>
  <c r="Q695" i="10"/>
  <c r="U694" i="10"/>
  <c r="T694" i="10"/>
  <c r="S694" i="10"/>
  <c r="R694" i="10"/>
  <c r="Q694" i="10"/>
  <c r="U693" i="10"/>
  <c r="T693" i="10"/>
  <c r="S693" i="10"/>
  <c r="R693" i="10"/>
  <c r="Q693" i="10"/>
  <c r="U692" i="10"/>
  <c r="T692" i="10"/>
  <c r="S692" i="10"/>
  <c r="R692" i="10"/>
  <c r="Q692" i="10"/>
  <c r="U691" i="10"/>
  <c r="T691" i="10"/>
  <c r="S691" i="10"/>
  <c r="R691" i="10"/>
  <c r="Q691" i="10"/>
  <c r="U690" i="10"/>
  <c r="T690" i="10"/>
  <c r="S690" i="10"/>
  <c r="R690" i="10"/>
  <c r="Q690" i="10"/>
  <c r="U689" i="10"/>
  <c r="T689" i="10"/>
  <c r="S689" i="10"/>
  <c r="R689" i="10"/>
  <c r="Q689" i="10"/>
  <c r="U688" i="10"/>
  <c r="T688" i="10"/>
  <c r="S688" i="10"/>
  <c r="R688" i="10"/>
  <c r="Q688" i="10"/>
  <c r="U687" i="10"/>
  <c r="T687" i="10"/>
  <c r="S687" i="10"/>
  <c r="R687" i="10"/>
  <c r="Q687" i="10"/>
  <c r="U686" i="10"/>
  <c r="T686" i="10"/>
  <c r="S686" i="10"/>
  <c r="R686" i="10"/>
  <c r="Q686" i="10"/>
  <c r="U685" i="10"/>
  <c r="T685" i="10"/>
  <c r="S685" i="10"/>
  <c r="R685" i="10"/>
  <c r="Q685" i="10"/>
  <c r="U684" i="10"/>
  <c r="T684" i="10"/>
  <c r="S684" i="10"/>
  <c r="R684" i="10"/>
  <c r="Q684" i="10"/>
  <c r="U683" i="10"/>
  <c r="T683" i="10"/>
  <c r="S683" i="10"/>
  <c r="R683" i="10"/>
  <c r="Q683" i="10"/>
  <c r="U682" i="10"/>
  <c r="T682" i="10"/>
  <c r="S682" i="10"/>
  <c r="R682" i="10"/>
  <c r="Q682" i="10"/>
  <c r="U681" i="10"/>
  <c r="T681" i="10"/>
  <c r="S681" i="10"/>
  <c r="R681" i="10"/>
  <c r="Q681" i="10"/>
  <c r="U680" i="10"/>
  <c r="T680" i="10"/>
  <c r="S680" i="10"/>
  <c r="R680" i="10"/>
  <c r="Q680" i="10"/>
  <c r="U679" i="10"/>
  <c r="T679" i="10"/>
  <c r="S679" i="10"/>
  <c r="R679" i="10"/>
  <c r="Q679" i="10"/>
  <c r="U678" i="10"/>
  <c r="T678" i="10"/>
  <c r="S678" i="10"/>
  <c r="R678" i="10"/>
  <c r="Q678" i="10"/>
  <c r="U677" i="10"/>
  <c r="T677" i="10"/>
  <c r="S677" i="10"/>
  <c r="R677" i="10"/>
  <c r="Q677" i="10"/>
  <c r="U676" i="10"/>
  <c r="T676" i="10"/>
  <c r="S676" i="10"/>
  <c r="R676" i="10"/>
  <c r="Q676" i="10"/>
  <c r="U675" i="10"/>
  <c r="T675" i="10"/>
  <c r="S675" i="10"/>
  <c r="R675" i="10"/>
  <c r="Q675" i="10"/>
  <c r="U673" i="10"/>
  <c r="T673" i="10"/>
  <c r="S673" i="10"/>
  <c r="R673" i="10"/>
  <c r="Q673" i="10"/>
  <c r="U672" i="10"/>
  <c r="T672" i="10"/>
  <c r="S672" i="10"/>
  <c r="R672" i="10"/>
  <c r="Q672" i="10"/>
  <c r="U671" i="10"/>
  <c r="T671" i="10"/>
  <c r="S671" i="10"/>
  <c r="R671" i="10"/>
  <c r="Q671" i="10"/>
  <c r="U670" i="10"/>
  <c r="T670" i="10"/>
  <c r="S670" i="10"/>
  <c r="R670" i="10"/>
  <c r="Q670" i="10"/>
  <c r="U669" i="10"/>
  <c r="T669" i="10"/>
  <c r="S669" i="10"/>
  <c r="R669" i="10"/>
  <c r="Q669" i="10"/>
  <c r="U668" i="10"/>
  <c r="T668" i="10"/>
  <c r="S668" i="10"/>
  <c r="R668" i="10"/>
  <c r="Q668" i="10"/>
  <c r="U667" i="10"/>
  <c r="T667" i="10"/>
  <c r="S667" i="10"/>
  <c r="R667" i="10"/>
  <c r="Q667" i="10"/>
  <c r="U666" i="10"/>
  <c r="T666" i="10"/>
  <c r="S666" i="10"/>
  <c r="R666" i="10"/>
  <c r="Q666" i="10"/>
  <c r="U665" i="10"/>
  <c r="T665" i="10"/>
  <c r="S665" i="10"/>
  <c r="R665" i="10"/>
  <c r="Q665" i="10"/>
  <c r="U664" i="10"/>
  <c r="T664" i="10"/>
  <c r="S664" i="10"/>
  <c r="R664" i="10"/>
  <c r="Q664" i="10"/>
  <c r="U663" i="10"/>
  <c r="T663" i="10"/>
  <c r="S663" i="10"/>
  <c r="R663" i="10"/>
  <c r="Q663" i="10"/>
  <c r="U662" i="10"/>
  <c r="T662" i="10"/>
  <c r="S662" i="10"/>
  <c r="R662" i="10"/>
  <c r="Q662" i="10"/>
  <c r="U661" i="10"/>
  <c r="T661" i="10"/>
  <c r="S661" i="10"/>
  <c r="R661" i="10"/>
  <c r="Q661" i="10"/>
  <c r="U660" i="10"/>
  <c r="T660" i="10"/>
  <c r="S660" i="10"/>
  <c r="R660" i="10"/>
  <c r="Q660" i="10"/>
  <c r="U659" i="10"/>
  <c r="T659" i="10"/>
  <c r="S659" i="10"/>
  <c r="R659" i="10"/>
  <c r="Q659" i="10"/>
  <c r="U658" i="10"/>
  <c r="T658" i="10"/>
  <c r="S658" i="10"/>
  <c r="R658" i="10"/>
  <c r="Q658" i="10"/>
  <c r="U657" i="10"/>
  <c r="T657" i="10"/>
  <c r="S657" i="10"/>
  <c r="R657" i="10"/>
  <c r="Q657" i="10"/>
  <c r="U656" i="10"/>
  <c r="T656" i="10"/>
  <c r="S656" i="10"/>
  <c r="R656" i="10"/>
  <c r="Q656" i="10"/>
  <c r="U655" i="10"/>
  <c r="T655" i="10"/>
  <c r="S655" i="10"/>
  <c r="R655" i="10"/>
  <c r="Q655" i="10"/>
  <c r="U654" i="10"/>
  <c r="T654" i="10"/>
  <c r="S654" i="10"/>
  <c r="R654" i="10"/>
  <c r="Q654" i="10"/>
  <c r="U653" i="10"/>
  <c r="T653" i="10"/>
  <c r="S653" i="10"/>
  <c r="R653" i="10"/>
  <c r="Q653" i="10"/>
  <c r="U652" i="10"/>
  <c r="T652" i="10"/>
  <c r="S652" i="10"/>
  <c r="R652" i="10"/>
  <c r="Q652" i="10"/>
  <c r="U651" i="10"/>
  <c r="T651" i="10"/>
  <c r="S651" i="10"/>
  <c r="R651" i="10"/>
  <c r="Q651" i="10"/>
  <c r="U650" i="10"/>
  <c r="T650" i="10"/>
  <c r="S650" i="10"/>
  <c r="R650" i="10"/>
  <c r="Q650" i="10"/>
  <c r="U649" i="10"/>
  <c r="T649" i="10"/>
  <c r="S649" i="10"/>
  <c r="R649" i="10"/>
  <c r="Q649" i="10"/>
  <c r="U648" i="10"/>
  <c r="T648" i="10"/>
  <c r="S648" i="10"/>
  <c r="R648" i="10"/>
  <c r="Q648" i="10"/>
  <c r="U647" i="10"/>
  <c r="T647" i="10"/>
  <c r="S647" i="10"/>
  <c r="R647" i="10"/>
  <c r="Q647" i="10"/>
  <c r="U646" i="10"/>
  <c r="T646" i="10"/>
  <c r="S646" i="10"/>
  <c r="R646" i="10"/>
  <c r="Q646" i="10"/>
  <c r="U645" i="10"/>
  <c r="T645" i="10"/>
  <c r="S645" i="10"/>
  <c r="R645" i="10"/>
  <c r="Q645" i="10"/>
  <c r="U644" i="10"/>
  <c r="T644" i="10"/>
  <c r="S644" i="10"/>
  <c r="R644" i="10"/>
  <c r="Q644" i="10"/>
  <c r="U643" i="10"/>
  <c r="T643" i="10"/>
  <c r="S643" i="10"/>
  <c r="R643" i="10"/>
  <c r="Q643" i="10"/>
  <c r="U642" i="10"/>
  <c r="T642" i="10"/>
  <c r="S642" i="10"/>
  <c r="R642" i="10"/>
  <c r="Q642" i="10"/>
  <c r="U641" i="10"/>
  <c r="T641" i="10"/>
  <c r="S641" i="10"/>
  <c r="R641" i="10"/>
  <c r="Q641" i="10"/>
  <c r="U640" i="10"/>
  <c r="T640" i="10"/>
  <c r="S640" i="10"/>
  <c r="R640" i="10"/>
  <c r="Q640" i="10"/>
  <c r="U639" i="10"/>
  <c r="T639" i="10"/>
  <c r="S639" i="10"/>
  <c r="R639" i="10"/>
  <c r="Q639" i="10"/>
  <c r="U638" i="10"/>
  <c r="T638" i="10"/>
  <c r="S638" i="10"/>
  <c r="R638" i="10"/>
  <c r="Q638" i="10"/>
  <c r="U636" i="10"/>
  <c r="T636" i="10"/>
  <c r="S636" i="10"/>
  <c r="R636" i="10"/>
  <c r="Q636" i="10"/>
  <c r="U635" i="10"/>
  <c r="T635" i="10"/>
  <c r="S635" i="10"/>
  <c r="R635" i="10"/>
  <c r="Q635" i="10"/>
  <c r="U634" i="10"/>
  <c r="T634" i="10"/>
  <c r="S634" i="10"/>
  <c r="R634" i="10"/>
  <c r="Q634" i="10"/>
  <c r="U633" i="10"/>
  <c r="T633" i="10"/>
  <c r="S633" i="10"/>
  <c r="R633" i="10"/>
  <c r="Q633" i="10"/>
  <c r="U632" i="10"/>
  <c r="T632" i="10"/>
  <c r="S632" i="10"/>
  <c r="R632" i="10"/>
  <c r="Q632" i="10"/>
  <c r="U631" i="10"/>
  <c r="T631" i="10"/>
  <c r="S631" i="10"/>
  <c r="R631" i="10"/>
  <c r="Q631" i="10"/>
  <c r="U630" i="10"/>
  <c r="T630" i="10"/>
  <c r="S630" i="10"/>
  <c r="R630" i="10"/>
  <c r="Q630" i="10"/>
  <c r="U629" i="10"/>
  <c r="T629" i="10"/>
  <c r="S629" i="10"/>
  <c r="R629" i="10"/>
  <c r="Q629" i="10"/>
  <c r="U628" i="10"/>
  <c r="T628" i="10"/>
  <c r="S628" i="10"/>
  <c r="R628" i="10"/>
  <c r="Q628" i="10"/>
  <c r="U627" i="10"/>
  <c r="T627" i="10"/>
  <c r="S627" i="10"/>
  <c r="R627" i="10"/>
  <c r="Q627" i="10"/>
  <c r="U626" i="10"/>
  <c r="T626" i="10"/>
  <c r="S626" i="10"/>
  <c r="R626" i="10"/>
  <c r="Q626" i="10"/>
  <c r="U625" i="10"/>
  <c r="T625" i="10"/>
  <c r="S625" i="10"/>
  <c r="R625" i="10"/>
  <c r="Q625" i="10"/>
  <c r="U624" i="10"/>
  <c r="T624" i="10"/>
  <c r="S624" i="10"/>
  <c r="R624" i="10"/>
  <c r="Q624" i="10"/>
  <c r="U623" i="10"/>
  <c r="T623" i="10"/>
  <c r="S623" i="10"/>
  <c r="R623" i="10"/>
  <c r="Q623" i="10"/>
  <c r="U622" i="10"/>
  <c r="T622" i="10"/>
  <c r="S622" i="10"/>
  <c r="R622" i="10"/>
  <c r="Q622" i="10"/>
  <c r="U621" i="10"/>
  <c r="T621" i="10"/>
  <c r="S621" i="10"/>
  <c r="R621" i="10"/>
  <c r="Q621" i="10"/>
  <c r="U620" i="10"/>
  <c r="T620" i="10"/>
  <c r="S620" i="10"/>
  <c r="R620" i="10"/>
  <c r="Q620" i="10"/>
  <c r="U619" i="10"/>
  <c r="T619" i="10"/>
  <c r="S619" i="10"/>
  <c r="R619" i="10"/>
  <c r="Q619" i="10"/>
  <c r="U618" i="10"/>
  <c r="T618" i="10"/>
  <c r="S618" i="10"/>
  <c r="R618" i="10"/>
  <c r="Q618" i="10"/>
  <c r="U617" i="10"/>
  <c r="T617" i="10"/>
  <c r="S617" i="10"/>
  <c r="R617" i="10"/>
  <c r="Q617" i="10"/>
  <c r="U616" i="10"/>
  <c r="T616" i="10"/>
  <c r="S616" i="10"/>
  <c r="R616" i="10"/>
  <c r="Q616" i="10"/>
  <c r="U615" i="10"/>
  <c r="T615" i="10"/>
  <c r="S615" i="10"/>
  <c r="R615" i="10"/>
  <c r="Q615" i="10"/>
  <c r="U614" i="10"/>
  <c r="T614" i="10"/>
  <c r="S614" i="10"/>
  <c r="R614" i="10"/>
  <c r="Q614" i="10"/>
  <c r="U613" i="10"/>
  <c r="T613" i="10"/>
  <c r="S613" i="10"/>
  <c r="R613" i="10"/>
  <c r="Q613" i="10"/>
  <c r="U612" i="10"/>
  <c r="T612" i="10"/>
  <c r="S612" i="10"/>
  <c r="R612" i="10"/>
  <c r="Q612" i="10"/>
  <c r="U611" i="10"/>
  <c r="T611" i="10"/>
  <c r="S611" i="10"/>
  <c r="R611" i="10"/>
  <c r="Q611" i="10"/>
  <c r="U610" i="10"/>
  <c r="T610" i="10"/>
  <c r="S610" i="10"/>
  <c r="R610" i="10"/>
  <c r="Q610" i="10"/>
  <c r="U609" i="10"/>
  <c r="T609" i="10"/>
  <c r="S609" i="10"/>
  <c r="R609" i="10"/>
  <c r="Q609" i="10"/>
  <c r="U608" i="10"/>
  <c r="T608" i="10"/>
  <c r="S608" i="10"/>
  <c r="R608" i="10"/>
  <c r="Q608" i="10"/>
  <c r="U607" i="10"/>
  <c r="T607" i="10"/>
  <c r="S607" i="10"/>
  <c r="R607" i="10"/>
  <c r="Q607" i="10"/>
  <c r="U606" i="10"/>
  <c r="T606" i="10"/>
  <c r="S606" i="10"/>
  <c r="R606" i="10"/>
  <c r="Q606" i="10"/>
  <c r="U605" i="10"/>
  <c r="T605" i="10"/>
  <c r="S605" i="10"/>
  <c r="R605" i="10"/>
  <c r="Q605" i="10"/>
  <c r="U604" i="10"/>
  <c r="T604" i="10"/>
  <c r="S604" i="10"/>
  <c r="R604" i="10"/>
  <c r="Q604" i="10"/>
  <c r="U603" i="10"/>
  <c r="T603" i="10"/>
  <c r="S603" i="10"/>
  <c r="R603" i="10"/>
  <c r="Q603" i="10"/>
  <c r="U602" i="10"/>
  <c r="T602" i="10"/>
  <c r="S602" i="10"/>
  <c r="R602" i="10"/>
  <c r="Q602" i="10"/>
  <c r="U601" i="10"/>
  <c r="T601" i="10"/>
  <c r="S601" i="10"/>
  <c r="R601" i="10"/>
  <c r="Q601" i="10"/>
  <c r="U599" i="10"/>
  <c r="T599" i="10"/>
  <c r="S599" i="10"/>
  <c r="R599" i="10"/>
  <c r="Q599" i="10"/>
  <c r="U598" i="10"/>
  <c r="T598" i="10"/>
  <c r="S598" i="10"/>
  <c r="R598" i="10"/>
  <c r="Q598" i="10"/>
  <c r="U597" i="10"/>
  <c r="T597" i="10"/>
  <c r="S597" i="10"/>
  <c r="R597" i="10"/>
  <c r="Q597" i="10"/>
  <c r="U596" i="10"/>
  <c r="T596" i="10"/>
  <c r="S596" i="10"/>
  <c r="R596" i="10"/>
  <c r="Q596" i="10"/>
  <c r="U595" i="10"/>
  <c r="T595" i="10"/>
  <c r="S595" i="10"/>
  <c r="R595" i="10"/>
  <c r="Q595" i="10"/>
  <c r="U594" i="10"/>
  <c r="T594" i="10"/>
  <c r="S594" i="10"/>
  <c r="R594" i="10"/>
  <c r="Q594" i="10"/>
  <c r="U593" i="10"/>
  <c r="T593" i="10"/>
  <c r="S593" i="10"/>
  <c r="R593" i="10"/>
  <c r="Q593" i="10"/>
  <c r="U592" i="10"/>
  <c r="T592" i="10"/>
  <c r="S592" i="10"/>
  <c r="R592" i="10"/>
  <c r="Q592" i="10"/>
  <c r="U591" i="10"/>
  <c r="T591" i="10"/>
  <c r="S591" i="10"/>
  <c r="R591" i="10"/>
  <c r="Q591" i="10"/>
  <c r="U590" i="10"/>
  <c r="T590" i="10"/>
  <c r="S590" i="10"/>
  <c r="R590" i="10"/>
  <c r="Q590" i="10"/>
  <c r="U589" i="10"/>
  <c r="T589" i="10"/>
  <c r="S589" i="10"/>
  <c r="R589" i="10"/>
  <c r="Q589" i="10"/>
  <c r="U588" i="10"/>
  <c r="T588" i="10"/>
  <c r="S588" i="10"/>
  <c r="R588" i="10"/>
  <c r="Q588" i="10"/>
  <c r="U587" i="10"/>
  <c r="T587" i="10"/>
  <c r="S587" i="10"/>
  <c r="R587" i="10"/>
  <c r="Q587" i="10"/>
  <c r="U586" i="10"/>
  <c r="T586" i="10"/>
  <c r="S586" i="10"/>
  <c r="R586" i="10"/>
  <c r="Q586" i="10"/>
  <c r="U585" i="10"/>
  <c r="T585" i="10"/>
  <c r="S585" i="10"/>
  <c r="R585" i="10"/>
  <c r="Q585" i="10"/>
  <c r="U584" i="10"/>
  <c r="T584" i="10"/>
  <c r="S584" i="10"/>
  <c r="R584" i="10"/>
  <c r="Q584" i="10"/>
  <c r="U583" i="10"/>
  <c r="T583" i="10"/>
  <c r="S583" i="10"/>
  <c r="R583" i="10"/>
  <c r="Q583" i="10"/>
  <c r="U582" i="10"/>
  <c r="T582" i="10"/>
  <c r="S582" i="10"/>
  <c r="R582" i="10"/>
  <c r="Q582" i="10"/>
  <c r="U581" i="10"/>
  <c r="T581" i="10"/>
  <c r="S581" i="10"/>
  <c r="R581" i="10"/>
  <c r="Q581" i="10"/>
  <c r="U580" i="10"/>
  <c r="T580" i="10"/>
  <c r="S580" i="10"/>
  <c r="R580" i="10"/>
  <c r="Q580" i="10"/>
  <c r="U579" i="10"/>
  <c r="T579" i="10"/>
  <c r="S579" i="10"/>
  <c r="R579" i="10"/>
  <c r="Q579" i="10"/>
  <c r="U578" i="10"/>
  <c r="T578" i="10"/>
  <c r="S578" i="10"/>
  <c r="R578" i="10"/>
  <c r="Q578" i="10"/>
  <c r="U577" i="10"/>
  <c r="T577" i="10"/>
  <c r="S577" i="10"/>
  <c r="R577" i="10"/>
  <c r="Q577" i="10"/>
  <c r="U576" i="10"/>
  <c r="T576" i="10"/>
  <c r="S576" i="10"/>
  <c r="R576" i="10"/>
  <c r="Q576" i="10"/>
  <c r="U575" i="10"/>
  <c r="T575" i="10"/>
  <c r="S575" i="10"/>
  <c r="R575" i="10"/>
  <c r="Q575" i="10"/>
  <c r="U574" i="10"/>
  <c r="T574" i="10"/>
  <c r="S574" i="10"/>
  <c r="R574" i="10"/>
  <c r="Q574" i="10"/>
  <c r="U573" i="10"/>
  <c r="T573" i="10"/>
  <c r="S573" i="10"/>
  <c r="R573" i="10"/>
  <c r="Q573" i="10"/>
  <c r="U572" i="10"/>
  <c r="T572" i="10"/>
  <c r="S572" i="10"/>
  <c r="R572" i="10"/>
  <c r="Q572" i="10"/>
  <c r="U571" i="10"/>
  <c r="T571" i="10"/>
  <c r="S571" i="10"/>
  <c r="R571" i="10"/>
  <c r="Q571" i="10"/>
  <c r="U570" i="10"/>
  <c r="T570" i="10"/>
  <c r="S570" i="10"/>
  <c r="R570" i="10"/>
  <c r="Q570" i="10"/>
  <c r="U569" i="10"/>
  <c r="T569" i="10"/>
  <c r="S569" i="10"/>
  <c r="R569" i="10"/>
  <c r="Q569" i="10"/>
  <c r="U568" i="10"/>
  <c r="T568" i="10"/>
  <c r="S568" i="10"/>
  <c r="R568" i="10"/>
  <c r="Q568" i="10"/>
  <c r="U567" i="10"/>
  <c r="T567" i="10"/>
  <c r="S567" i="10"/>
  <c r="R567" i="10"/>
  <c r="Q567" i="10"/>
  <c r="U566" i="10"/>
  <c r="T566" i="10"/>
  <c r="S566" i="10"/>
  <c r="R566" i="10"/>
  <c r="Q566" i="10"/>
  <c r="U565" i="10"/>
  <c r="T565" i="10"/>
  <c r="S565" i="10"/>
  <c r="R565" i="10"/>
  <c r="Q565" i="10"/>
  <c r="U564" i="10"/>
  <c r="T564" i="10"/>
  <c r="S564" i="10"/>
  <c r="R564" i="10"/>
  <c r="Q564" i="10"/>
  <c r="U562" i="10"/>
  <c r="T562" i="10"/>
  <c r="S562" i="10"/>
  <c r="R562" i="10"/>
  <c r="Q562" i="10"/>
  <c r="U561" i="10"/>
  <c r="T561" i="10"/>
  <c r="S561" i="10"/>
  <c r="R561" i="10"/>
  <c r="Q561" i="10"/>
  <c r="U560" i="10"/>
  <c r="T560" i="10"/>
  <c r="S560" i="10"/>
  <c r="R560" i="10"/>
  <c r="Q560" i="10"/>
  <c r="U559" i="10"/>
  <c r="T559" i="10"/>
  <c r="S559" i="10"/>
  <c r="R559" i="10"/>
  <c r="Q559" i="10"/>
  <c r="U558" i="10"/>
  <c r="T558" i="10"/>
  <c r="S558" i="10"/>
  <c r="R558" i="10"/>
  <c r="Q558" i="10"/>
  <c r="U557" i="10"/>
  <c r="T557" i="10"/>
  <c r="S557" i="10"/>
  <c r="R557" i="10"/>
  <c r="Q557" i="10"/>
  <c r="U556" i="10"/>
  <c r="T556" i="10"/>
  <c r="S556" i="10"/>
  <c r="R556" i="10"/>
  <c r="Q556" i="10"/>
  <c r="U555" i="10"/>
  <c r="T555" i="10"/>
  <c r="S555" i="10"/>
  <c r="R555" i="10"/>
  <c r="Q555" i="10"/>
  <c r="U554" i="10"/>
  <c r="T554" i="10"/>
  <c r="S554" i="10"/>
  <c r="R554" i="10"/>
  <c r="Q554" i="10"/>
  <c r="U553" i="10"/>
  <c r="T553" i="10"/>
  <c r="S553" i="10"/>
  <c r="R553" i="10"/>
  <c r="Q553" i="10"/>
  <c r="U552" i="10"/>
  <c r="T552" i="10"/>
  <c r="S552" i="10"/>
  <c r="R552" i="10"/>
  <c r="Q552" i="10"/>
  <c r="U551" i="10"/>
  <c r="T551" i="10"/>
  <c r="S551" i="10"/>
  <c r="R551" i="10"/>
  <c r="Q551" i="10"/>
  <c r="U550" i="10"/>
  <c r="T550" i="10"/>
  <c r="S550" i="10"/>
  <c r="R550" i="10"/>
  <c r="Q550" i="10"/>
  <c r="U549" i="10"/>
  <c r="T549" i="10"/>
  <c r="S549" i="10"/>
  <c r="R549" i="10"/>
  <c r="Q549" i="10"/>
  <c r="U548" i="10"/>
  <c r="T548" i="10"/>
  <c r="S548" i="10"/>
  <c r="R548" i="10"/>
  <c r="Q548" i="10"/>
  <c r="U547" i="10"/>
  <c r="T547" i="10"/>
  <c r="S547" i="10"/>
  <c r="R547" i="10"/>
  <c r="Q547" i="10"/>
  <c r="U546" i="10"/>
  <c r="T546" i="10"/>
  <c r="S546" i="10"/>
  <c r="R546" i="10"/>
  <c r="Q546" i="10"/>
  <c r="U545" i="10"/>
  <c r="T545" i="10"/>
  <c r="S545" i="10"/>
  <c r="R545" i="10"/>
  <c r="Q545" i="10"/>
  <c r="U544" i="10"/>
  <c r="T544" i="10"/>
  <c r="S544" i="10"/>
  <c r="R544" i="10"/>
  <c r="Q544" i="10"/>
  <c r="U543" i="10"/>
  <c r="T543" i="10"/>
  <c r="S543" i="10"/>
  <c r="R543" i="10"/>
  <c r="Q543" i="10"/>
  <c r="U542" i="10"/>
  <c r="T542" i="10"/>
  <c r="S542" i="10"/>
  <c r="R542" i="10"/>
  <c r="Q542" i="10"/>
  <c r="U541" i="10"/>
  <c r="T541" i="10"/>
  <c r="S541" i="10"/>
  <c r="R541" i="10"/>
  <c r="Q541" i="10"/>
  <c r="U540" i="10"/>
  <c r="T540" i="10"/>
  <c r="S540" i="10"/>
  <c r="R540" i="10"/>
  <c r="Q540" i="10"/>
  <c r="U539" i="10"/>
  <c r="T539" i="10"/>
  <c r="S539" i="10"/>
  <c r="R539" i="10"/>
  <c r="Q539" i="10"/>
  <c r="U538" i="10"/>
  <c r="T538" i="10"/>
  <c r="S538" i="10"/>
  <c r="R538" i="10"/>
  <c r="Q538" i="10"/>
  <c r="U537" i="10"/>
  <c r="T537" i="10"/>
  <c r="S537" i="10"/>
  <c r="R537" i="10"/>
  <c r="Q537" i="10"/>
  <c r="U536" i="10"/>
  <c r="T536" i="10"/>
  <c r="S536" i="10"/>
  <c r="R536" i="10"/>
  <c r="Q536" i="10"/>
  <c r="U535" i="10"/>
  <c r="T535" i="10"/>
  <c r="S535" i="10"/>
  <c r="R535" i="10"/>
  <c r="Q535" i="10"/>
  <c r="U534" i="10"/>
  <c r="T534" i="10"/>
  <c r="S534" i="10"/>
  <c r="R534" i="10"/>
  <c r="Q534" i="10"/>
  <c r="U533" i="10"/>
  <c r="T533" i="10"/>
  <c r="S533" i="10"/>
  <c r="R533" i="10"/>
  <c r="Q533" i="10"/>
  <c r="U532" i="10"/>
  <c r="T532" i="10"/>
  <c r="S532" i="10"/>
  <c r="R532" i="10"/>
  <c r="Q532" i="10"/>
  <c r="U531" i="10"/>
  <c r="T531" i="10"/>
  <c r="S531" i="10"/>
  <c r="R531" i="10"/>
  <c r="Q531" i="10"/>
  <c r="U530" i="10"/>
  <c r="T530" i="10"/>
  <c r="S530" i="10"/>
  <c r="R530" i="10"/>
  <c r="Q530" i="10"/>
  <c r="U529" i="10"/>
  <c r="T529" i="10"/>
  <c r="S529" i="10"/>
  <c r="R529" i="10"/>
  <c r="Q529" i="10"/>
  <c r="U528" i="10"/>
  <c r="T528" i="10"/>
  <c r="S528" i="10"/>
  <c r="R528" i="10"/>
  <c r="Q528" i="10"/>
  <c r="U527" i="10"/>
  <c r="T527" i="10"/>
  <c r="S527" i="10"/>
  <c r="R527" i="10"/>
  <c r="Q527" i="10"/>
  <c r="U525" i="10"/>
  <c r="T525" i="10"/>
  <c r="S525" i="10"/>
  <c r="R525" i="10"/>
  <c r="Q525" i="10"/>
  <c r="U524" i="10"/>
  <c r="T524" i="10"/>
  <c r="S524" i="10"/>
  <c r="R524" i="10"/>
  <c r="Q524" i="10"/>
  <c r="U523" i="10"/>
  <c r="T523" i="10"/>
  <c r="S523" i="10"/>
  <c r="R523" i="10"/>
  <c r="Q523" i="10"/>
  <c r="U522" i="10"/>
  <c r="T522" i="10"/>
  <c r="S522" i="10"/>
  <c r="R522" i="10"/>
  <c r="Q522" i="10"/>
  <c r="U521" i="10"/>
  <c r="T521" i="10"/>
  <c r="S521" i="10"/>
  <c r="R521" i="10"/>
  <c r="Q521" i="10"/>
  <c r="U520" i="10"/>
  <c r="T520" i="10"/>
  <c r="S520" i="10"/>
  <c r="R520" i="10"/>
  <c r="Q520" i="10"/>
  <c r="U519" i="10"/>
  <c r="T519" i="10"/>
  <c r="S519" i="10"/>
  <c r="R519" i="10"/>
  <c r="Q519" i="10"/>
  <c r="U518" i="10"/>
  <c r="T518" i="10"/>
  <c r="S518" i="10"/>
  <c r="R518" i="10"/>
  <c r="Q518" i="10"/>
  <c r="U517" i="10"/>
  <c r="T517" i="10"/>
  <c r="S517" i="10"/>
  <c r="R517" i="10"/>
  <c r="Q517" i="10"/>
  <c r="U516" i="10"/>
  <c r="T516" i="10"/>
  <c r="S516" i="10"/>
  <c r="R516" i="10"/>
  <c r="Q516" i="10"/>
  <c r="U515" i="10"/>
  <c r="T515" i="10"/>
  <c r="S515" i="10"/>
  <c r="R515" i="10"/>
  <c r="Q515" i="10"/>
  <c r="U514" i="10"/>
  <c r="T514" i="10"/>
  <c r="S514" i="10"/>
  <c r="R514" i="10"/>
  <c r="Q514" i="10"/>
  <c r="U513" i="10"/>
  <c r="T513" i="10"/>
  <c r="S513" i="10"/>
  <c r="R513" i="10"/>
  <c r="Q513" i="10"/>
  <c r="U512" i="10"/>
  <c r="T512" i="10"/>
  <c r="S512" i="10"/>
  <c r="R512" i="10"/>
  <c r="Q512" i="10"/>
  <c r="U511" i="10"/>
  <c r="T511" i="10"/>
  <c r="S511" i="10"/>
  <c r="R511" i="10"/>
  <c r="Q511" i="10"/>
  <c r="U510" i="10"/>
  <c r="T510" i="10"/>
  <c r="S510" i="10"/>
  <c r="R510" i="10"/>
  <c r="Q510" i="10"/>
  <c r="U509" i="10"/>
  <c r="T509" i="10"/>
  <c r="S509" i="10"/>
  <c r="R509" i="10"/>
  <c r="Q509" i="10"/>
  <c r="U508" i="10"/>
  <c r="T508" i="10"/>
  <c r="S508" i="10"/>
  <c r="R508" i="10"/>
  <c r="Q508" i="10"/>
  <c r="U507" i="10"/>
  <c r="T507" i="10"/>
  <c r="S507" i="10"/>
  <c r="R507" i="10"/>
  <c r="Q507" i="10"/>
  <c r="U506" i="10"/>
  <c r="T506" i="10"/>
  <c r="S506" i="10"/>
  <c r="R506" i="10"/>
  <c r="Q506" i="10"/>
  <c r="U505" i="10"/>
  <c r="T505" i="10"/>
  <c r="S505" i="10"/>
  <c r="R505" i="10"/>
  <c r="Q505" i="10"/>
  <c r="U504" i="10"/>
  <c r="T504" i="10"/>
  <c r="S504" i="10"/>
  <c r="R504" i="10"/>
  <c r="Q504" i="10"/>
  <c r="U503" i="10"/>
  <c r="T503" i="10"/>
  <c r="S503" i="10"/>
  <c r="R503" i="10"/>
  <c r="Q503" i="10"/>
  <c r="U502" i="10"/>
  <c r="T502" i="10"/>
  <c r="S502" i="10"/>
  <c r="R502" i="10"/>
  <c r="Q502" i="10"/>
  <c r="U501" i="10"/>
  <c r="T501" i="10"/>
  <c r="S501" i="10"/>
  <c r="R501" i="10"/>
  <c r="Q501" i="10"/>
  <c r="U500" i="10"/>
  <c r="T500" i="10"/>
  <c r="S500" i="10"/>
  <c r="R500" i="10"/>
  <c r="Q500" i="10"/>
  <c r="U499" i="10"/>
  <c r="T499" i="10"/>
  <c r="S499" i="10"/>
  <c r="R499" i="10"/>
  <c r="Q499" i="10"/>
  <c r="U498" i="10"/>
  <c r="T498" i="10"/>
  <c r="S498" i="10"/>
  <c r="R498" i="10"/>
  <c r="Q498" i="10"/>
  <c r="U497" i="10"/>
  <c r="T497" i="10"/>
  <c r="S497" i="10"/>
  <c r="R497" i="10"/>
  <c r="Q497" i="10"/>
  <c r="U496" i="10"/>
  <c r="T496" i="10"/>
  <c r="S496" i="10"/>
  <c r="R496" i="10"/>
  <c r="Q496" i="10"/>
  <c r="U495" i="10"/>
  <c r="T495" i="10"/>
  <c r="S495" i="10"/>
  <c r="R495" i="10"/>
  <c r="Q495" i="10"/>
  <c r="U494" i="10"/>
  <c r="T494" i="10"/>
  <c r="S494" i="10"/>
  <c r="R494" i="10"/>
  <c r="Q494" i="10"/>
  <c r="U493" i="10"/>
  <c r="T493" i="10"/>
  <c r="S493" i="10"/>
  <c r="R493" i="10"/>
  <c r="Q493" i="10"/>
  <c r="U492" i="10"/>
  <c r="T492" i="10"/>
  <c r="S492" i="10"/>
  <c r="R492" i="10"/>
  <c r="Q492" i="10"/>
  <c r="U491" i="10"/>
  <c r="T491" i="10"/>
  <c r="S491" i="10"/>
  <c r="R491" i="10"/>
  <c r="Q491" i="10"/>
  <c r="U490" i="10"/>
  <c r="T490" i="10"/>
  <c r="S490" i="10"/>
  <c r="R490" i="10"/>
  <c r="Q490" i="10"/>
  <c r="U488" i="10"/>
  <c r="T488" i="10"/>
  <c r="S488" i="10"/>
  <c r="R488" i="10"/>
  <c r="Q488" i="10"/>
  <c r="U487" i="10"/>
  <c r="T487" i="10"/>
  <c r="S487" i="10"/>
  <c r="R487" i="10"/>
  <c r="Q487" i="10"/>
  <c r="U486" i="10"/>
  <c r="T486" i="10"/>
  <c r="S486" i="10"/>
  <c r="R486" i="10"/>
  <c r="Q486" i="10"/>
  <c r="U485" i="10"/>
  <c r="T485" i="10"/>
  <c r="S485" i="10"/>
  <c r="R485" i="10"/>
  <c r="Q485" i="10"/>
  <c r="U484" i="10"/>
  <c r="T484" i="10"/>
  <c r="S484" i="10"/>
  <c r="R484" i="10"/>
  <c r="Q484" i="10"/>
  <c r="U483" i="10"/>
  <c r="T483" i="10"/>
  <c r="S483" i="10"/>
  <c r="R483" i="10"/>
  <c r="Q483" i="10"/>
  <c r="U482" i="10"/>
  <c r="T482" i="10"/>
  <c r="S482" i="10"/>
  <c r="R482" i="10"/>
  <c r="Q482" i="10"/>
  <c r="U481" i="10"/>
  <c r="T481" i="10"/>
  <c r="S481" i="10"/>
  <c r="R481" i="10"/>
  <c r="Q481" i="10"/>
  <c r="U480" i="10"/>
  <c r="T480" i="10"/>
  <c r="S480" i="10"/>
  <c r="R480" i="10"/>
  <c r="Q480" i="10"/>
  <c r="U479" i="10"/>
  <c r="T479" i="10"/>
  <c r="S479" i="10"/>
  <c r="R479" i="10"/>
  <c r="Q479" i="10"/>
  <c r="U478" i="10"/>
  <c r="T478" i="10"/>
  <c r="S478" i="10"/>
  <c r="R478" i="10"/>
  <c r="Q478" i="10"/>
  <c r="U477" i="10"/>
  <c r="T477" i="10"/>
  <c r="S477" i="10"/>
  <c r="R477" i="10"/>
  <c r="Q477" i="10"/>
  <c r="U476" i="10"/>
  <c r="T476" i="10"/>
  <c r="S476" i="10"/>
  <c r="R476" i="10"/>
  <c r="Q476" i="10"/>
  <c r="U475" i="10"/>
  <c r="T475" i="10"/>
  <c r="S475" i="10"/>
  <c r="R475" i="10"/>
  <c r="Q475" i="10"/>
  <c r="U474" i="10"/>
  <c r="T474" i="10"/>
  <c r="S474" i="10"/>
  <c r="R474" i="10"/>
  <c r="Q474" i="10"/>
  <c r="U473" i="10"/>
  <c r="T473" i="10"/>
  <c r="S473" i="10"/>
  <c r="R473" i="10"/>
  <c r="Q473" i="10"/>
  <c r="U472" i="10"/>
  <c r="T472" i="10"/>
  <c r="S472" i="10"/>
  <c r="R472" i="10"/>
  <c r="Q472" i="10"/>
  <c r="U471" i="10"/>
  <c r="T471" i="10"/>
  <c r="S471" i="10"/>
  <c r="R471" i="10"/>
  <c r="Q471" i="10"/>
  <c r="U470" i="10"/>
  <c r="T470" i="10"/>
  <c r="S470" i="10"/>
  <c r="R470" i="10"/>
  <c r="Q470" i="10"/>
  <c r="U469" i="10"/>
  <c r="T469" i="10"/>
  <c r="S469" i="10"/>
  <c r="R469" i="10"/>
  <c r="Q469" i="10"/>
  <c r="U468" i="10"/>
  <c r="T468" i="10"/>
  <c r="S468" i="10"/>
  <c r="R468" i="10"/>
  <c r="Q468" i="10"/>
  <c r="U467" i="10"/>
  <c r="T467" i="10"/>
  <c r="S467" i="10"/>
  <c r="R467" i="10"/>
  <c r="Q467" i="10"/>
  <c r="U466" i="10"/>
  <c r="T466" i="10"/>
  <c r="S466" i="10"/>
  <c r="R466" i="10"/>
  <c r="Q466" i="10"/>
  <c r="U465" i="10"/>
  <c r="T465" i="10"/>
  <c r="S465" i="10"/>
  <c r="R465" i="10"/>
  <c r="Q465" i="10"/>
  <c r="U464" i="10"/>
  <c r="T464" i="10"/>
  <c r="S464" i="10"/>
  <c r="R464" i="10"/>
  <c r="Q464" i="10"/>
  <c r="U463" i="10"/>
  <c r="T463" i="10"/>
  <c r="S463" i="10"/>
  <c r="R463" i="10"/>
  <c r="Q463" i="10"/>
  <c r="U462" i="10"/>
  <c r="T462" i="10"/>
  <c r="S462" i="10"/>
  <c r="R462" i="10"/>
  <c r="Q462" i="10"/>
  <c r="U461" i="10"/>
  <c r="T461" i="10"/>
  <c r="S461" i="10"/>
  <c r="R461" i="10"/>
  <c r="Q461" i="10"/>
  <c r="U460" i="10"/>
  <c r="T460" i="10"/>
  <c r="S460" i="10"/>
  <c r="R460" i="10"/>
  <c r="Q460" i="10"/>
  <c r="U459" i="10"/>
  <c r="T459" i="10"/>
  <c r="S459" i="10"/>
  <c r="R459" i="10"/>
  <c r="Q459" i="10"/>
  <c r="U458" i="10"/>
  <c r="T458" i="10"/>
  <c r="S458" i="10"/>
  <c r="R458" i="10"/>
  <c r="Q458" i="10"/>
  <c r="U457" i="10"/>
  <c r="T457" i="10"/>
  <c r="S457" i="10"/>
  <c r="R457" i="10"/>
  <c r="Q457" i="10"/>
  <c r="U456" i="10"/>
  <c r="T456" i="10"/>
  <c r="S456" i="10"/>
  <c r="R456" i="10"/>
  <c r="Q456" i="10"/>
  <c r="U455" i="10"/>
  <c r="T455" i="10"/>
  <c r="S455" i="10"/>
  <c r="R455" i="10"/>
  <c r="Q455" i="10"/>
  <c r="U454" i="10"/>
  <c r="T454" i="10"/>
  <c r="S454" i="10"/>
  <c r="R454" i="10"/>
  <c r="Q454" i="10"/>
  <c r="U453" i="10"/>
  <c r="T453" i="10"/>
  <c r="S453" i="10"/>
  <c r="R453" i="10"/>
  <c r="Q453" i="10"/>
  <c r="U451" i="10"/>
  <c r="T451" i="10"/>
  <c r="S451" i="10"/>
  <c r="R451" i="10"/>
  <c r="Q451" i="10"/>
  <c r="U450" i="10"/>
  <c r="T450" i="10"/>
  <c r="S450" i="10"/>
  <c r="R450" i="10"/>
  <c r="Q450" i="10"/>
  <c r="U449" i="10"/>
  <c r="T449" i="10"/>
  <c r="S449" i="10"/>
  <c r="R449" i="10"/>
  <c r="Q449" i="10"/>
  <c r="U448" i="10"/>
  <c r="T448" i="10"/>
  <c r="S448" i="10"/>
  <c r="R448" i="10"/>
  <c r="Q448" i="10"/>
  <c r="U447" i="10"/>
  <c r="T447" i="10"/>
  <c r="S447" i="10"/>
  <c r="R447" i="10"/>
  <c r="Q447" i="10"/>
  <c r="U446" i="10"/>
  <c r="T446" i="10"/>
  <c r="S446" i="10"/>
  <c r="R446" i="10"/>
  <c r="Q446" i="10"/>
  <c r="U445" i="10"/>
  <c r="T445" i="10"/>
  <c r="S445" i="10"/>
  <c r="R445" i="10"/>
  <c r="Q445" i="10"/>
  <c r="U444" i="10"/>
  <c r="T444" i="10"/>
  <c r="S444" i="10"/>
  <c r="R444" i="10"/>
  <c r="Q444" i="10"/>
  <c r="U443" i="10"/>
  <c r="T443" i="10"/>
  <c r="S443" i="10"/>
  <c r="R443" i="10"/>
  <c r="Q443" i="10"/>
  <c r="U442" i="10"/>
  <c r="T442" i="10"/>
  <c r="S442" i="10"/>
  <c r="R442" i="10"/>
  <c r="Q442" i="10"/>
  <c r="U441" i="10"/>
  <c r="T441" i="10"/>
  <c r="S441" i="10"/>
  <c r="R441" i="10"/>
  <c r="Q441" i="10"/>
  <c r="U440" i="10"/>
  <c r="T440" i="10"/>
  <c r="S440" i="10"/>
  <c r="R440" i="10"/>
  <c r="Q440" i="10"/>
  <c r="U439" i="10"/>
  <c r="T439" i="10"/>
  <c r="S439" i="10"/>
  <c r="R439" i="10"/>
  <c r="Q439" i="10"/>
  <c r="U438" i="10"/>
  <c r="T438" i="10"/>
  <c r="S438" i="10"/>
  <c r="R438" i="10"/>
  <c r="Q438" i="10"/>
  <c r="U437" i="10"/>
  <c r="T437" i="10"/>
  <c r="S437" i="10"/>
  <c r="R437" i="10"/>
  <c r="Q437" i="10"/>
  <c r="U436" i="10"/>
  <c r="T436" i="10"/>
  <c r="S436" i="10"/>
  <c r="R436" i="10"/>
  <c r="Q436" i="10"/>
  <c r="U435" i="10"/>
  <c r="T435" i="10"/>
  <c r="S435" i="10"/>
  <c r="R435" i="10"/>
  <c r="Q435" i="10"/>
  <c r="U434" i="10"/>
  <c r="T434" i="10"/>
  <c r="S434" i="10"/>
  <c r="R434" i="10"/>
  <c r="Q434" i="10"/>
  <c r="U433" i="10"/>
  <c r="T433" i="10"/>
  <c r="S433" i="10"/>
  <c r="R433" i="10"/>
  <c r="Q433" i="10"/>
  <c r="U432" i="10"/>
  <c r="T432" i="10"/>
  <c r="S432" i="10"/>
  <c r="R432" i="10"/>
  <c r="Q432" i="10"/>
  <c r="U431" i="10"/>
  <c r="T431" i="10"/>
  <c r="S431" i="10"/>
  <c r="R431" i="10"/>
  <c r="Q431" i="10"/>
  <c r="U430" i="10"/>
  <c r="T430" i="10"/>
  <c r="S430" i="10"/>
  <c r="R430" i="10"/>
  <c r="Q430" i="10"/>
  <c r="U429" i="10"/>
  <c r="T429" i="10"/>
  <c r="S429" i="10"/>
  <c r="R429" i="10"/>
  <c r="Q429" i="10"/>
  <c r="U428" i="10"/>
  <c r="T428" i="10"/>
  <c r="S428" i="10"/>
  <c r="R428" i="10"/>
  <c r="Q428" i="10"/>
  <c r="U427" i="10"/>
  <c r="T427" i="10"/>
  <c r="S427" i="10"/>
  <c r="R427" i="10"/>
  <c r="Q427" i="10"/>
  <c r="U426" i="10"/>
  <c r="T426" i="10"/>
  <c r="S426" i="10"/>
  <c r="R426" i="10"/>
  <c r="Q426" i="10"/>
  <c r="U425" i="10"/>
  <c r="T425" i="10"/>
  <c r="S425" i="10"/>
  <c r="R425" i="10"/>
  <c r="Q425" i="10"/>
  <c r="U424" i="10"/>
  <c r="T424" i="10"/>
  <c r="S424" i="10"/>
  <c r="R424" i="10"/>
  <c r="Q424" i="10"/>
  <c r="U423" i="10"/>
  <c r="T423" i="10"/>
  <c r="S423" i="10"/>
  <c r="R423" i="10"/>
  <c r="Q423" i="10"/>
  <c r="U422" i="10"/>
  <c r="T422" i="10"/>
  <c r="S422" i="10"/>
  <c r="R422" i="10"/>
  <c r="Q422" i="10"/>
  <c r="U421" i="10"/>
  <c r="T421" i="10"/>
  <c r="S421" i="10"/>
  <c r="R421" i="10"/>
  <c r="Q421" i="10"/>
  <c r="U420" i="10"/>
  <c r="T420" i="10"/>
  <c r="S420" i="10"/>
  <c r="R420" i="10"/>
  <c r="Q420" i="10"/>
  <c r="U419" i="10"/>
  <c r="T419" i="10"/>
  <c r="S419" i="10"/>
  <c r="R419" i="10"/>
  <c r="Q419" i="10"/>
  <c r="U418" i="10"/>
  <c r="T418" i="10"/>
  <c r="S418" i="10"/>
  <c r="R418" i="10"/>
  <c r="Q418" i="10"/>
  <c r="U417" i="10"/>
  <c r="T417" i="10"/>
  <c r="S417" i="10"/>
  <c r="R417" i="10"/>
  <c r="Q417" i="10"/>
  <c r="U416" i="10"/>
  <c r="T416" i="10"/>
  <c r="S416" i="10"/>
  <c r="R416" i="10"/>
  <c r="Q416" i="10"/>
  <c r="U414" i="10"/>
  <c r="T414" i="10"/>
  <c r="S414" i="10"/>
  <c r="R414" i="10"/>
  <c r="Q414" i="10"/>
  <c r="U413" i="10"/>
  <c r="T413" i="10"/>
  <c r="S413" i="10"/>
  <c r="R413" i="10"/>
  <c r="Q413" i="10"/>
  <c r="U412" i="10"/>
  <c r="T412" i="10"/>
  <c r="S412" i="10"/>
  <c r="R412" i="10"/>
  <c r="Q412" i="10"/>
  <c r="U411" i="10"/>
  <c r="T411" i="10"/>
  <c r="S411" i="10"/>
  <c r="R411" i="10"/>
  <c r="Q411" i="10"/>
  <c r="U410" i="10"/>
  <c r="T410" i="10"/>
  <c r="S410" i="10"/>
  <c r="R410" i="10"/>
  <c r="Q410" i="10"/>
  <c r="U409" i="10"/>
  <c r="T409" i="10"/>
  <c r="S409" i="10"/>
  <c r="R409" i="10"/>
  <c r="Q409" i="10"/>
  <c r="U408" i="10"/>
  <c r="T408" i="10"/>
  <c r="S408" i="10"/>
  <c r="R408" i="10"/>
  <c r="Q408" i="10"/>
  <c r="U407" i="10"/>
  <c r="T407" i="10"/>
  <c r="S407" i="10"/>
  <c r="R407" i="10"/>
  <c r="Q407" i="10"/>
  <c r="U406" i="10"/>
  <c r="T406" i="10"/>
  <c r="S406" i="10"/>
  <c r="R406" i="10"/>
  <c r="Q406" i="10"/>
  <c r="U405" i="10"/>
  <c r="T405" i="10"/>
  <c r="S405" i="10"/>
  <c r="R405" i="10"/>
  <c r="Q405" i="10"/>
  <c r="U404" i="10"/>
  <c r="T404" i="10"/>
  <c r="S404" i="10"/>
  <c r="R404" i="10"/>
  <c r="Q404" i="10"/>
  <c r="U403" i="10"/>
  <c r="T403" i="10"/>
  <c r="S403" i="10"/>
  <c r="R403" i="10"/>
  <c r="Q403" i="10"/>
  <c r="U402" i="10"/>
  <c r="T402" i="10"/>
  <c r="S402" i="10"/>
  <c r="R402" i="10"/>
  <c r="Q402" i="10"/>
  <c r="U401" i="10"/>
  <c r="T401" i="10"/>
  <c r="S401" i="10"/>
  <c r="R401" i="10"/>
  <c r="Q401" i="10"/>
  <c r="U400" i="10"/>
  <c r="T400" i="10"/>
  <c r="S400" i="10"/>
  <c r="R400" i="10"/>
  <c r="Q400" i="10"/>
  <c r="U399" i="10"/>
  <c r="T399" i="10"/>
  <c r="S399" i="10"/>
  <c r="R399" i="10"/>
  <c r="Q399" i="10"/>
  <c r="U398" i="10"/>
  <c r="T398" i="10"/>
  <c r="S398" i="10"/>
  <c r="R398" i="10"/>
  <c r="Q398" i="10"/>
  <c r="U397" i="10"/>
  <c r="T397" i="10"/>
  <c r="S397" i="10"/>
  <c r="R397" i="10"/>
  <c r="Q397" i="10"/>
  <c r="U396" i="10"/>
  <c r="T396" i="10"/>
  <c r="S396" i="10"/>
  <c r="R396" i="10"/>
  <c r="Q396" i="10"/>
  <c r="U395" i="10"/>
  <c r="T395" i="10"/>
  <c r="S395" i="10"/>
  <c r="R395" i="10"/>
  <c r="Q395" i="10"/>
  <c r="U394" i="10"/>
  <c r="T394" i="10"/>
  <c r="S394" i="10"/>
  <c r="R394" i="10"/>
  <c r="Q394" i="10"/>
  <c r="U393" i="10"/>
  <c r="T393" i="10"/>
  <c r="S393" i="10"/>
  <c r="R393" i="10"/>
  <c r="Q393" i="10"/>
  <c r="U392" i="10"/>
  <c r="T392" i="10"/>
  <c r="S392" i="10"/>
  <c r="R392" i="10"/>
  <c r="Q392" i="10"/>
  <c r="U391" i="10"/>
  <c r="T391" i="10"/>
  <c r="S391" i="10"/>
  <c r="R391" i="10"/>
  <c r="Q391" i="10"/>
  <c r="U390" i="10"/>
  <c r="T390" i="10"/>
  <c r="S390" i="10"/>
  <c r="R390" i="10"/>
  <c r="Q390" i="10"/>
  <c r="U389" i="10"/>
  <c r="T389" i="10"/>
  <c r="S389" i="10"/>
  <c r="R389" i="10"/>
  <c r="Q389" i="10"/>
  <c r="U388" i="10"/>
  <c r="T388" i="10"/>
  <c r="S388" i="10"/>
  <c r="R388" i="10"/>
  <c r="Q388" i="10"/>
  <c r="U387" i="10"/>
  <c r="T387" i="10"/>
  <c r="S387" i="10"/>
  <c r="R387" i="10"/>
  <c r="Q387" i="10"/>
  <c r="U386" i="10"/>
  <c r="T386" i="10"/>
  <c r="S386" i="10"/>
  <c r="R386" i="10"/>
  <c r="Q386" i="10"/>
  <c r="U385" i="10"/>
  <c r="T385" i="10"/>
  <c r="S385" i="10"/>
  <c r="R385" i="10"/>
  <c r="Q385" i="10"/>
  <c r="U384" i="10"/>
  <c r="T384" i="10"/>
  <c r="S384" i="10"/>
  <c r="R384" i="10"/>
  <c r="Q384" i="10"/>
  <c r="U383" i="10"/>
  <c r="T383" i="10"/>
  <c r="S383" i="10"/>
  <c r="R383" i="10"/>
  <c r="Q383" i="10"/>
  <c r="U382" i="10"/>
  <c r="T382" i="10"/>
  <c r="S382" i="10"/>
  <c r="R382" i="10"/>
  <c r="Q382" i="10"/>
  <c r="U381" i="10"/>
  <c r="T381" i="10"/>
  <c r="S381" i="10"/>
  <c r="R381" i="10"/>
  <c r="Q381" i="10"/>
  <c r="U380" i="10"/>
  <c r="T380" i="10"/>
  <c r="S380" i="10"/>
  <c r="R380" i="10"/>
  <c r="Q380" i="10"/>
  <c r="U379" i="10"/>
  <c r="T379" i="10"/>
  <c r="S379" i="10"/>
  <c r="R379" i="10"/>
  <c r="Q379" i="10"/>
  <c r="U377" i="10"/>
  <c r="T377" i="10"/>
  <c r="S377" i="10"/>
  <c r="R377" i="10"/>
  <c r="Q377" i="10"/>
  <c r="U376" i="10"/>
  <c r="T376" i="10"/>
  <c r="S376" i="10"/>
  <c r="R376" i="10"/>
  <c r="Q376" i="10"/>
  <c r="U375" i="10"/>
  <c r="T375" i="10"/>
  <c r="S375" i="10"/>
  <c r="R375" i="10"/>
  <c r="Q375" i="10"/>
  <c r="U374" i="10"/>
  <c r="T374" i="10"/>
  <c r="S374" i="10"/>
  <c r="R374" i="10"/>
  <c r="Q374" i="10"/>
  <c r="U373" i="10"/>
  <c r="T373" i="10"/>
  <c r="S373" i="10"/>
  <c r="R373" i="10"/>
  <c r="Q373" i="10"/>
  <c r="U372" i="10"/>
  <c r="T372" i="10"/>
  <c r="S372" i="10"/>
  <c r="R372" i="10"/>
  <c r="Q372" i="10"/>
  <c r="U371" i="10"/>
  <c r="T371" i="10"/>
  <c r="S371" i="10"/>
  <c r="R371" i="10"/>
  <c r="Q371" i="10"/>
  <c r="U370" i="10"/>
  <c r="T370" i="10"/>
  <c r="S370" i="10"/>
  <c r="R370" i="10"/>
  <c r="Q370" i="10"/>
  <c r="U369" i="10"/>
  <c r="T369" i="10"/>
  <c r="S369" i="10"/>
  <c r="R369" i="10"/>
  <c r="Q369" i="10"/>
  <c r="U368" i="10"/>
  <c r="T368" i="10"/>
  <c r="S368" i="10"/>
  <c r="R368" i="10"/>
  <c r="Q368" i="10"/>
  <c r="U367" i="10"/>
  <c r="T367" i="10"/>
  <c r="S367" i="10"/>
  <c r="R367" i="10"/>
  <c r="Q367" i="10"/>
  <c r="U366" i="10"/>
  <c r="T366" i="10"/>
  <c r="S366" i="10"/>
  <c r="R366" i="10"/>
  <c r="Q366" i="10"/>
  <c r="U365" i="10"/>
  <c r="T365" i="10"/>
  <c r="S365" i="10"/>
  <c r="R365" i="10"/>
  <c r="Q365" i="10"/>
  <c r="U364" i="10"/>
  <c r="T364" i="10"/>
  <c r="S364" i="10"/>
  <c r="R364" i="10"/>
  <c r="Q364" i="10"/>
  <c r="U363" i="10"/>
  <c r="T363" i="10"/>
  <c r="S363" i="10"/>
  <c r="R363" i="10"/>
  <c r="Q363" i="10"/>
  <c r="U362" i="10"/>
  <c r="T362" i="10"/>
  <c r="S362" i="10"/>
  <c r="R362" i="10"/>
  <c r="Q362" i="10"/>
  <c r="U361" i="10"/>
  <c r="T361" i="10"/>
  <c r="S361" i="10"/>
  <c r="R361" i="10"/>
  <c r="Q361" i="10"/>
  <c r="U360" i="10"/>
  <c r="T360" i="10"/>
  <c r="S360" i="10"/>
  <c r="R360" i="10"/>
  <c r="Q360" i="10"/>
  <c r="U359" i="10"/>
  <c r="T359" i="10"/>
  <c r="S359" i="10"/>
  <c r="R359" i="10"/>
  <c r="Q359" i="10"/>
  <c r="U358" i="10"/>
  <c r="T358" i="10"/>
  <c r="S358" i="10"/>
  <c r="R358" i="10"/>
  <c r="Q358" i="10"/>
  <c r="U357" i="10"/>
  <c r="T357" i="10"/>
  <c r="S357" i="10"/>
  <c r="R357" i="10"/>
  <c r="Q357" i="10"/>
  <c r="U356" i="10"/>
  <c r="T356" i="10"/>
  <c r="S356" i="10"/>
  <c r="R356" i="10"/>
  <c r="Q356" i="10"/>
  <c r="U355" i="10"/>
  <c r="T355" i="10"/>
  <c r="S355" i="10"/>
  <c r="R355" i="10"/>
  <c r="Q355" i="10"/>
  <c r="U354" i="10"/>
  <c r="T354" i="10"/>
  <c r="S354" i="10"/>
  <c r="R354" i="10"/>
  <c r="Q354" i="10"/>
  <c r="U353" i="10"/>
  <c r="T353" i="10"/>
  <c r="S353" i="10"/>
  <c r="R353" i="10"/>
  <c r="Q353" i="10"/>
  <c r="U352" i="10"/>
  <c r="T352" i="10"/>
  <c r="S352" i="10"/>
  <c r="R352" i="10"/>
  <c r="Q352" i="10"/>
  <c r="U351" i="10"/>
  <c r="T351" i="10"/>
  <c r="S351" i="10"/>
  <c r="R351" i="10"/>
  <c r="Q351" i="10"/>
  <c r="U350" i="10"/>
  <c r="T350" i="10"/>
  <c r="S350" i="10"/>
  <c r="R350" i="10"/>
  <c r="Q350" i="10"/>
  <c r="U349" i="10"/>
  <c r="T349" i="10"/>
  <c r="S349" i="10"/>
  <c r="R349" i="10"/>
  <c r="Q349" i="10"/>
  <c r="U348" i="10"/>
  <c r="T348" i="10"/>
  <c r="S348" i="10"/>
  <c r="R348" i="10"/>
  <c r="Q348" i="10"/>
  <c r="U347" i="10"/>
  <c r="T347" i="10"/>
  <c r="S347" i="10"/>
  <c r="R347" i="10"/>
  <c r="Q347" i="10"/>
  <c r="U346" i="10"/>
  <c r="T346" i="10"/>
  <c r="S346" i="10"/>
  <c r="R346" i="10"/>
  <c r="Q346" i="10"/>
  <c r="U345" i="10"/>
  <c r="T345" i="10"/>
  <c r="S345" i="10"/>
  <c r="R345" i="10"/>
  <c r="Q345" i="10"/>
  <c r="U344" i="10"/>
  <c r="T344" i="10"/>
  <c r="S344" i="10"/>
  <c r="R344" i="10"/>
  <c r="Q344" i="10"/>
  <c r="U343" i="10"/>
  <c r="T343" i="10"/>
  <c r="S343" i="10"/>
  <c r="R343" i="10"/>
  <c r="Q343" i="10"/>
  <c r="U342" i="10"/>
  <c r="T342" i="10"/>
  <c r="S342" i="10"/>
  <c r="R342" i="10"/>
  <c r="Q342" i="10"/>
  <c r="U340" i="10"/>
  <c r="T340" i="10"/>
  <c r="S340" i="10"/>
  <c r="R340" i="10"/>
  <c r="Q340" i="10"/>
  <c r="U339" i="10"/>
  <c r="T339" i="10"/>
  <c r="S339" i="10"/>
  <c r="R339" i="10"/>
  <c r="Q339" i="10"/>
  <c r="U338" i="10"/>
  <c r="T338" i="10"/>
  <c r="S338" i="10"/>
  <c r="R338" i="10"/>
  <c r="Q338" i="10"/>
  <c r="U337" i="10"/>
  <c r="T337" i="10"/>
  <c r="S337" i="10"/>
  <c r="R337" i="10"/>
  <c r="Q337" i="10"/>
  <c r="U336" i="10"/>
  <c r="T336" i="10"/>
  <c r="S336" i="10"/>
  <c r="R336" i="10"/>
  <c r="Q336" i="10"/>
  <c r="U335" i="10"/>
  <c r="T335" i="10"/>
  <c r="S335" i="10"/>
  <c r="R335" i="10"/>
  <c r="Q335" i="10"/>
  <c r="U334" i="10"/>
  <c r="T334" i="10"/>
  <c r="S334" i="10"/>
  <c r="R334" i="10"/>
  <c r="Q334" i="10"/>
  <c r="U333" i="10"/>
  <c r="T333" i="10"/>
  <c r="S333" i="10"/>
  <c r="R333" i="10"/>
  <c r="Q333" i="10"/>
  <c r="U332" i="10"/>
  <c r="T332" i="10"/>
  <c r="S332" i="10"/>
  <c r="R332" i="10"/>
  <c r="Q332" i="10"/>
  <c r="U331" i="10"/>
  <c r="T331" i="10"/>
  <c r="S331" i="10"/>
  <c r="R331" i="10"/>
  <c r="Q331" i="10"/>
  <c r="U330" i="10"/>
  <c r="T330" i="10"/>
  <c r="S330" i="10"/>
  <c r="R330" i="10"/>
  <c r="Q330" i="10"/>
  <c r="U329" i="10"/>
  <c r="T329" i="10"/>
  <c r="S329" i="10"/>
  <c r="R329" i="10"/>
  <c r="Q329" i="10"/>
  <c r="U328" i="10"/>
  <c r="T328" i="10"/>
  <c r="S328" i="10"/>
  <c r="R328" i="10"/>
  <c r="Q328" i="10"/>
  <c r="U327" i="10"/>
  <c r="T327" i="10"/>
  <c r="S327" i="10"/>
  <c r="R327" i="10"/>
  <c r="Q327" i="10"/>
  <c r="U326" i="10"/>
  <c r="T326" i="10"/>
  <c r="S326" i="10"/>
  <c r="R326" i="10"/>
  <c r="Q326" i="10"/>
  <c r="U325" i="10"/>
  <c r="T325" i="10"/>
  <c r="S325" i="10"/>
  <c r="R325" i="10"/>
  <c r="Q325" i="10"/>
  <c r="U324" i="10"/>
  <c r="T324" i="10"/>
  <c r="S324" i="10"/>
  <c r="R324" i="10"/>
  <c r="Q324" i="10"/>
  <c r="U323" i="10"/>
  <c r="T323" i="10"/>
  <c r="S323" i="10"/>
  <c r="R323" i="10"/>
  <c r="Q323" i="10"/>
  <c r="U322" i="10"/>
  <c r="T322" i="10"/>
  <c r="S322" i="10"/>
  <c r="R322" i="10"/>
  <c r="Q322" i="10"/>
  <c r="U321" i="10"/>
  <c r="T321" i="10"/>
  <c r="S321" i="10"/>
  <c r="R321" i="10"/>
  <c r="Q321" i="10"/>
  <c r="U320" i="10"/>
  <c r="T320" i="10"/>
  <c r="S320" i="10"/>
  <c r="R320" i="10"/>
  <c r="Q320" i="10"/>
  <c r="U319" i="10"/>
  <c r="T319" i="10"/>
  <c r="S319" i="10"/>
  <c r="R319" i="10"/>
  <c r="Q319" i="10"/>
  <c r="U318" i="10"/>
  <c r="T318" i="10"/>
  <c r="S318" i="10"/>
  <c r="R318" i="10"/>
  <c r="Q318" i="10"/>
  <c r="U317" i="10"/>
  <c r="T317" i="10"/>
  <c r="S317" i="10"/>
  <c r="R317" i="10"/>
  <c r="Q317" i="10"/>
  <c r="U316" i="10"/>
  <c r="T316" i="10"/>
  <c r="S316" i="10"/>
  <c r="R316" i="10"/>
  <c r="Q316" i="10"/>
  <c r="U315" i="10"/>
  <c r="T315" i="10"/>
  <c r="S315" i="10"/>
  <c r="R315" i="10"/>
  <c r="Q315" i="10"/>
  <c r="U314" i="10"/>
  <c r="T314" i="10"/>
  <c r="S314" i="10"/>
  <c r="R314" i="10"/>
  <c r="Q314" i="10"/>
  <c r="U313" i="10"/>
  <c r="T313" i="10"/>
  <c r="S313" i="10"/>
  <c r="R313" i="10"/>
  <c r="Q313" i="10"/>
  <c r="U312" i="10"/>
  <c r="T312" i="10"/>
  <c r="S312" i="10"/>
  <c r="R312" i="10"/>
  <c r="Q312" i="10"/>
  <c r="U311" i="10"/>
  <c r="T311" i="10"/>
  <c r="S311" i="10"/>
  <c r="R311" i="10"/>
  <c r="Q311" i="10"/>
  <c r="U310" i="10"/>
  <c r="T310" i="10"/>
  <c r="S310" i="10"/>
  <c r="R310" i="10"/>
  <c r="Q310" i="10"/>
  <c r="U309" i="10"/>
  <c r="T309" i="10"/>
  <c r="S309" i="10"/>
  <c r="R309" i="10"/>
  <c r="Q309" i="10"/>
  <c r="U308" i="10"/>
  <c r="T308" i="10"/>
  <c r="S308" i="10"/>
  <c r="R308" i="10"/>
  <c r="Q308" i="10"/>
  <c r="U307" i="10"/>
  <c r="T307" i="10"/>
  <c r="S307" i="10"/>
  <c r="R307" i="10"/>
  <c r="Q307" i="10"/>
  <c r="U306" i="10"/>
  <c r="T306" i="10"/>
  <c r="S306" i="10"/>
  <c r="R306" i="10"/>
  <c r="Q306" i="10"/>
  <c r="U305" i="10"/>
  <c r="T305" i="10"/>
  <c r="S305" i="10"/>
  <c r="R305" i="10"/>
  <c r="Q305" i="10"/>
  <c r="U303" i="10"/>
  <c r="T303" i="10"/>
  <c r="S303" i="10"/>
  <c r="R303" i="10"/>
  <c r="Q303" i="10"/>
  <c r="U302" i="10"/>
  <c r="T302" i="10"/>
  <c r="S302" i="10"/>
  <c r="R302" i="10"/>
  <c r="Q302" i="10"/>
  <c r="U301" i="10"/>
  <c r="T301" i="10"/>
  <c r="S301" i="10"/>
  <c r="R301" i="10"/>
  <c r="Q301" i="10"/>
  <c r="U300" i="10"/>
  <c r="T300" i="10"/>
  <c r="S300" i="10"/>
  <c r="R300" i="10"/>
  <c r="Q300" i="10"/>
  <c r="U299" i="10"/>
  <c r="T299" i="10"/>
  <c r="S299" i="10"/>
  <c r="R299" i="10"/>
  <c r="Q299" i="10"/>
  <c r="U298" i="10"/>
  <c r="T298" i="10"/>
  <c r="S298" i="10"/>
  <c r="R298" i="10"/>
  <c r="Q298" i="10"/>
  <c r="U297" i="10"/>
  <c r="T297" i="10"/>
  <c r="S297" i="10"/>
  <c r="R297" i="10"/>
  <c r="Q297" i="10"/>
  <c r="U296" i="10"/>
  <c r="T296" i="10"/>
  <c r="S296" i="10"/>
  <c r="R296" i="10"/>
  <c r="Q296" i="10"/>
  <c r="U295" i="10"/>
  <c r="T295" i="10"/>
  <c r="S295" i="10"/>
  <c r="R295" i="10"/>
  <c r="Q295" i="10"/>
  <c r="U294" i="10"/>
  <c r="T294" i="10"/>
  <c r="S294" i="10"/>
  <c r="R294" i="10"/>
  <c r="Q294" i="10"/>
  <c r="U293" i="10"/>
  <c r="T293" i="10"/>
  <c r="S293" i="10"/>
  <c r="R293" i="10"/>
  <c r="Q293" i="10"/>
  <c r="U292" i="10"/>
  <c r="T292" i="10"/>
  <c r="S292" i="10"/>
  <c r="R292" i="10"/>
  <c r="Q292" i="10"/>
  <c r="U291" i="10"/>
  <c r="T291" i="10"/>
  <c r="S291" i="10"/>
  <c r="R291" i="10"/>
  <c r="Q291" i="10"/>
  <c r="U290" i="10"/>
  <c r="T290" i="10"/>
  <c r="S290" i="10"/>
  <c r="R290" i="10"/>
  <c r="Q290" i="10"/>
  <c r="U289" i="10"/>
  <c r="T289" i="10"/>
  <c r="S289" i="10"/>
  <c r="R289" i="10"/>
  <c r="Q289" i="10"/>
  <c r="U288" i="10"/>
  <c r="T288" i="10"/>
  <c r="S288" i="10"/>
  <c r="R288" i="10"/>
  <c r="Q288" i="10"/>
  <c r="U287" i="10"/>
  <c r="T287" i="10"/>
  <c r="S287" i="10"/>
  <c r="R287" i="10"/>
  <c r="Q287" i="10"/>
  <c r="U286" i="10"/>
  <c r="T286" i="10"/>
  <c r="S286" i="10"/>
  <c r="R286" i="10"/>
  <c r="Q286" i="10"/>
  <c r="U285" i="10"/>
  <c r="T285" i="10"/>
  <c r="S285" i="10"/>
  <c r="R285" i="10"/>
  <c r="Q285" i="10"/>
  <c r="U284" i="10"/>
  <c r="T284" i="10"/>
  <c r="S284" i="10"/>
  <c r="R284" i="10"/>
  <c r="Q284" i="10"/>
  <c r="U283" i="10"/>
  <c r="T283" i="10"/>
  <c r="S283" i="10"/>
  <c r="R283" i="10"/>
  <c r="Q283" i="10"/>
  <c r="U282" i="10"/>
  <c r="T282" i="10"/>
  <c r="S282" i="10"/>
  <c r="R282" i="10"/>
  <c r="Q282" i="10"/>
  <c r="U281" i="10"/>
  <c r="T281" i="10"/>
  <c r="S281" i="10"/>
  <c r="R281" i="10"/>
  <c r="Q281" i="10"/>
  <c r="U280" i="10"/>
  <c r="T280" i="10"/>
  <c r="S280" i="10"/>
  <c r="R280" i="10"/>
  <c r="Q280" i="10"/>
  <c r="U279" i="10"/>
  <c r="T279" i="10"/>
  <c r="S279" i="10"/>
  <c r="R279" i="10"/>
  <c r="Q279" i="10"/>
  <c r="U278" i="10"/>
  <c r="T278" i="10"/>
  <c r="S278" i="10"/>
  <c r="R278" i="10"/>
  <c r="Q278" i="10"/>
  <c r="U277" i="10"/>
  <c r="T277" i="10"/>
  <c r="S277" i="10"/>
  <c r="R277" i="10"/>
  <c r="Q277" i="10"/>
  <c r="U276" i="10"/>
  <c r="T276" i="10"/>
  <c r="S276" i="10"/>
  <c r="R276" i="10"/>
  <c r="Q276" i="10"/>
  <c r="U275" i="10"/>
  <c r="T275" i="10"/>
  <c r="S275" i="10"/>
  <c r="R275" i="10"/>
  <c r="Q275" i="10"/>
  <c r="U274" i="10"/>
  <c r="T274" i="10"/>
  <c r="S274" i="10"/>
  <c r="R274" i="10"/>
  <c r="Q274" i="10"/>
  <c r="U273" i="10"/>
  <c r="T273" i="10"/>
  <c r="S273" i="10"/>
  <c r="R273" i="10"/>
  <c r="Q273" i="10"/>
  <c r="U272" i="10"/>
  <c r="T272" i="10"/>
  <c r="S272" i="10"/>
  <c r="R272" i="10"/>
  <c r="Q272" i="10"/>
  <c r="U271" i="10"/>
  <c r="T271" i="10"/>
  <c r="S271" i="10"/>
  <c r="R271" i="10"/>
  <c r="Q271" i="10"/>
  <c r="U270" i="10"/>
  <c r="T270" i="10"/>
  <c r="S270" i="10"/>
  <c r="R270" i="10"/>
  <c r="Q270" i="10"/>
  <c r="U269" i="10"/>
  <c r="T269" i="10"/>
  <c r="S269" i="10"/>
  <c r="R269" i="10"/>
  <c r="Q269" i="10"/>
  <c r="U268" i="10"/>
  <c r="T268" i="10"/>
  <c r="S268" i="10"/>
  <c r="R268" i="10"/>
  <c r="Q268" i="10"/>
  <c r="U266" i="10"/>
  <c r="T266" i="10"/>
  <c r="S266" i="10"/>
  <c r="R266" i="10"/>
  <c r="Q266" i="10"/>
  <c r="U265" i="10"/>
  <c r="T265" i="10"/>
  <c r="S265" i="10"/>
  <c r="R265" i="10"/>
  <c r="Q265" i="10"/>
  <c r="U264" i="10"/>
  <c r="T264" i="10"/>
  <c r="S264" i="10"/>
  <c r="R264" i="10"/>
  <c r="Q264" i="10"/>
  <c r="U263" i="10"/>
  <c r="T263" i="10"/>
  <c r="S263" i="10"/>
  <c r="R263" i="10"/>
  <c r="Q263" i="10"/>
  <c r="U262" i="10"/>
  <c r="T262" i="10"/>
  <c r="S262" i="10"/>
  <c r="R262" i="10"/>
  <c r="Q262" i="10"/>
  <c r="U261" i="10"/>
  <c r="T261" i="10"/>
  <c r="S261" i="10"/>
  <c r="R261" i="10"/>
  <c r="Q261" i="10"/>
  <c r="U260" i="10"/>
  <c r="T260" i="10"/>
  <c r="S260" i="10"/>
  <c r="R260" i="10"/>
  <c r="Q260" i="10"/>
  <c r="U259" i="10"/>
  <c r="T259" i="10"/>
  <c r="S259" i="10"/>
  <c r="R259" i="10"/>
  <c r="Q259" i="10"/>
  <c r="U258" i="10"/>
  <c r="T258" i="10"/>
  <c r="S258" i="10"/>
  <c r="R258" i="10"/>
  <c r="Q258" i="10"/>
  <c r="U257" i="10"/>
  <c r="T257" i="10"/>
  <c r="S257" i="10"/>
  <c r="R257" i="10"/>
  <c r="Q257" i="10"/>
  <c r="U256" i="10"/>
  <c r="T256" i="10"/>
  <c r="S256" i="10"/>
  <c r="R256" i="10"/>
  <c r="Q256" i="10"/>
  <c r="U255" i="10"/>
  <c r="T255" i="10"/>
  <c r="S255" i="10"/>
  <c r="R255" i="10"/>
  <c r="Q255" i="10"/>
  <c r="U254" i="10"/>
  <c r="T254" i="10"/>
  <c r="S254" i="10"/>
  <c r="R254" i="10"/>
  <c r="Q254" i="10"/>
  <c r="U253" i="10"/>
  <c r="T253" i="10"/>
  <c r="S253" i="10"/>
  <c r="R253" i="10"/>
  <c r="Q253" i="10"/>
  <c r="U252" i="10"/>
  <c r="T252" i="10"/>
  <c r="S252" i="10"/>
  <c r="R252" i="10"/>
  <c r="Q252" i="10"/>
  <c r="U251" i="10"/>
  <c r="T251" i="10"/>
  <c r="S251" i="10"/>
  <c r="R251" i="10"/>
  <c r="Q251" i="10"/>
  <c r="U250" i="10"/>
  <c r="T250" i="10"/>
  <c r="S250" i="10"/>
  <c r="R250" i="10"/>
  <c r="Q250" i="10"/>
  <c r="U249" i="10"/>
  <c r="T249" i="10"/>
  <c r="S249" i="10"/>
  <c r="R249" i="10"/>
  <c r="Q249" i="10"/>
  <c r="U248" i="10"/>
  <c r="T248" i="10"/>
  <c r="S248" i="10"/>
  <c r="R248" i="10"/>
  <c r="Q248" i="10"/>
  <c r="U247" i="10"/>
  <c r="T247" i="10"/>
  <c r="S247" i="10"/>
  <c r="R247" i="10"/>
  <c r="Q247" i="10"/>
  <c r="U246" i="10"/>
  <c r="T246" i="10"/>
  <c r="S246" i="10"/>
  <c r="R246" i="10"/>
  <c r="Q246" i="10"/>
  <c r="U245" i="10"/>
  <c r="T245" i="10"/>
  <c r="S245" i="10"/>
  <c r="R245" i="10"/>
  <c r="Q245" i="10"/>
  <c r="U244" i="10"/>
  <c r="T244" i="10"/>
  <c r="S244" i="10"/>
  <c r="R244" i="10"/>
  <c r="Q244" i="10"/>
  <c r="U243" i="10"/>
  <c r="T243" i="10"/>
  <c r="S243" i="10"/>
  <c r="R243" i="10"/>
  <c r="Q243" i="10"/>
  <c r="U242" i="10"/>
  <c r="T242" i="10"/>
  <c r="S242" i="10"/>
  <c r="R242" i="10"/>
  <c r="Q242" i="10"/>
  <c r="U241" i="10"/>
  <c r="T241" i="10"/>
  <c r="S241" i="10"/>
  <c r="R241" i="10"/>
  <c r="Q241" i="10"/>
  <c r="U240" i="10"/>
  <c r="T240" i="10"/>
  <c r="S240" i="10"/>
  <c r="R240" i="10"/>
  <c r="Q240" i="10"/>
  <c r="U239" i="10"/>
  <c r="T239" i="10"/>
  <c r="S239" i="10"/>
  <c r="R239" i="10"/>
  <c r="Q239" i="10"/>
  <c r="U238" i="10"/>
  <c r="T238" i="10"/>
  <c r="S238" i="10"/>
  <c r="R238" i="10"/>
  <c r="Q238" i="10"/>
  <c r="U237" i="10"/>
  <c r="T237" i="10"/>
  <c r="S237" i="10"/>
  <c r="R237" i="10"/>
  <c r="Q237" i="10"/>
  <c r="U236" i="10"/>
  <c r="T236" i="10"/>
  <c r="S236" i="10"/>
  <c r="R236" i="10"/>
  <c r="Q236" i="10"/>
  <c r="U235" i="10"/>
  <c r="T235" i="10"/>
  <c r="S235" i="10"/>
  <c r="R235" i="10"/>
  <c r="Q235" i="10"/>
  <c r="U234" i="10"/>
  <c r="T234" i="10"/>
  <c r="S234" i="10"/>
  <c r="R234" i="10"/>
  <c r="Q234" i="10"/>
  <c r="U233" i="10"/>
  <c r="T233" i="10"/>
  <c r="S233" i="10"/>
  <c r="R233" i="10"/>
  <c r="Q233" i="10"/>
  <c r="U232" i="10"/>
  <c r="T232" i="10"/>
  <c r="S232" i="10"/>
  <c r="R232" i="10"/>
  <c r="Q232" i="10"/>
  <c r="U231" i="10"/>
  <c r="T231" i="10"/>
  <c r="S231" i="10"/>
  <c r="R231" i="10"/>
  <c r="Q231" i="10"/>
  <c r="U229" i="10"/>
  <c r="T229" i="10"/>
  <c r="S229" i="10"/>
  <c r="R229" i="10"/>
  <c r="Q229" i="10"/>
  <c r="U228" i="10"/>
  <c r="T228" i="10"/>
  <c r="S228" i="10"/>
  <c r="R228" i="10"/>
  <c r="Q228" i="10"/>
  <c r="U227" i="10"/>
  <c r="T227" i="10"/>
  <c r="S227" i="10"/>
  <c r="R227" i="10"/>
  <c r="Q227" i="10"/>
  <c r="U226" i="10"/>
  <c r="T226" i="10"/>
  <c r="S226" i="10"/>
  <c r="R226" i="10"/>
  <c r="Q226" i="10"/>
  <c r="U225" i="10"/>
  <c r="T225" i="10"/>
  <c r="S225" i="10"/>
  <c r="R225" i="10"/>
  <c r="Q225" i="10"/>
  <c r="U224" i="10"/>
  <c r="T224" i="10"/>
  <c r="S224" i="10"/>
  <c r="R224" i="10"/>
  <c r="Q224" i="10"/>
  <c r="U223" i="10"/>
  <c r="T223" i="10"/>
  <c r="S223" i="10"/>
  <c r="R223" i="10"/>
  <c r="Q223" i="10"/>
  <c r="U222" i="10"/>
  <c r="T222" i="10"/>
  <c r="S222" i="10"/>
  <c r="R222" i="10"/>
  <c r="Q222" i="10"/>
  <c r="U221" i="10"/>
  <c r="T221" i="10"/>
  <c r="S221" i="10"/>
  <c r="R221" i="10"/>
  <c r="Q221" i="10"/>
  <c r="U220" i="10"/>
  <c r="T220" i="10"/>
  <c r="S220" i="10"/>
  <c r="R220" i="10"/>
  <c r="Q220" i="10"/>
  <c r="U219" i="10"/>
  <c r="T219" i="10"/>
  <c r="S219" i="10"/>
  <c r="R219" i="10"/>
  <c r="Q219" i="10"/>
  <c r="U218" i="10"/>
  <c r="T218" i="10"/>
  <c r="S218" i="10"/>
  <c r="R218" i="10"/>
  <c r="Q218" i="10"/>
  <c r="U217" i="10"/>
  <c r="T217" i="10"/>
  <c r="S217" i="10"/>
  <c r="R217" i="10"/>
  <c r="Q217" i="10"/>
  <c r="U216" i="10"/>
  <c r="T216" i="10"/>
  <c r="S216" i="10"/>
  <c r="R216" i="10"/>
  <c r="Q216" i="10"/>
  <c r="U215" i="10"/>
  <c r="T215" i="10"/>
  <c r="S215" i="10"/>
  <c r="R215" i="10"/>
  <c r="Q215" i="10"/>
  <c r="U214" i="10"/>
  <c r="T214" i="10"/>
  <c r="S214" i="10"/>
  <c r="R214" i="10"/>
  <c r="Q214" i="10"/>
  <c r="U213" i="10"/>
  <c r="T213" i="10"/>
  <c r="S213" i="10"/>
  <c r="R213" i="10"/>
  <c r="Q213" i="10"/>
  <c r="U212" i="10"/>
  <c r="T212" i="10"/>
  <c r="S212" i="10"/>
  <c r="R212" i="10"/>
  <c r="Q212" i="10"/>
  <c r="U211" i="10"/>
  <c r="T211" i="10"/>
  <c r="S211" i="10"/>
  <c r="R211" i="10"/>
  <c r="Q211" i="10"/>
  <c r="U210" i="10"/>
  <c r="T210" i="10"/>
  <c r="S210" i="10"/>
  <c r="R210" i="10"/>
  <c r="Q210" i="10"/>
  <c r="U209" i="10"/>
  <c r="T209" i="10"/>
  <c r="S209" i="10"/>
  <c r="R209" i="10"/>
  <c r="Q209" i="10"/>
  <c r="U208" i="10"/>
  <c r="T208" i="10"/>
  <c r="S208" i="10"/>
  <c r="R208" i="10"/>
  <c r="Q208" i="10"/>
  <c r="U207" i="10"/>
  <c r="T207" i="10"/>
  <c r="S207" i="10"/>
  <c r="R207" i="10"/>
  <c r="Q207" i="10"/>
  <c r="U206" i="10"/>
  <c r="T206" i="10"/>
  <c r="S206" i="10"/>
  <c r="R206" i="10"/>
  <c r="Q206" i="10"/>
  <c r="U205" i="10"/>
  <c r="T205" i="10"/>
  <c r="S205" i="10"/>
  <c r="R205" i="10"/>
  <c r="Q205" i="10"/>
  <c r="U204" i="10"/>
  <c r="T204" i="10"/>
  <c r="S204" i="10"/>
  <c r="R204" i="10"/>
  <c r="Q204" i="10"/>
  <c r="U203" i="10"/>
  <c r="T203" i="10"/>
  <c r="S203" i="10"/>
  <c r="R203" i="10"/>
  <c r="Q203" i="10"/>
  <c r="U202" i="10"/>
  <c r="T202" i="10"/>
  <c r="S202" i="10"/>
  <c r="R202" i="10"/>
  <c r="Q202" i="10"/>
  <c r="U201" i="10"/>
  <c r="T201" i="10"/>
  <c r="S201" i="10"/>
  <c r="R201" i="10"/>
  <c r="Q201" i="10"/>
  <c r="U200" i="10"/>
  <c r="T200" i="10"/>
  <c r="S200" i="10"/>
  <c r="R200" i="10"/>
  <c r="Q200" i="10"/>
  <c r="U199" i="10"/>
  <c r="T199" i="10"/>
  <c r="S199" i="10"/>
  <c r="R199" i="10"/>
  <c r="Q199" i="10"/>
  <c r="U198" i="10"/>
  <c r="T198" i="10"/>
  <c r="S198" i="10"/>
  <c r="R198" i="10"/>
  <c r="Q198" i="10"/>
  <c r="U197" i="10"/>
  <c r="T197" i="10"/>
  <c r="S197" i="10"/>
  <c r="R197" i="10"/>
  <c r="Q197" i="10"/>
  <c r="U196" i="10"/>
  <c r="T196" i="10"/>
  <c r="S196" i="10"/>
  <c r="R196" i="10"/>
  <c r="Q196" i="10"/>
  <c r="U195" i="10"/>
  <c r="T195" i="10"/>
  <c r="S195" i="10"/>
  <c r="R195" i="10"/>
  <c r="Q195" i="10"/>
  <c r="U194" i="10"/>
  <c r="T194" i="10"/>
  <c r="S194" i="10"/>
  <c r="R194" i="10"/>
  <c r="Q194" i="10"/>
  <c r="U192" i="10"/>
  <c r="T192" i="10"/>
  <c r="S192" i="10"/>
  <c r="R192" i="10"/>
  <c r="Q192" i="10"/>
  <c r="U191" i="10"/>
  <c r="T191" i="10"/>
  <c r="S191" i="10"/>
  <c r="R191" i="10"/>
  <c r="Q191" i="10"/>
  <c r="U190" i="10"/>
  <c r="T190" i="10"/>
  <c r="S190" i="10"/>
  <c r="R190" i="10"/>
  <c r="Q190" i="10"/>
  <c r="U189" i="10"/>
  <c r="T189" i="10"/>
  <c r="S189" i="10"/>
  <c r="R189" i="10"/>
  <c r="Q189" i="10"/>
  <c r="U188" i="10"/>
  <c r="T188" i="10"/>
  <c r="S188" i="10"/>
  <c r="R188" i="10"/>
  <c r="Q188" i="10"/>
  <c r="U187" i="10"/>
  <c r="T187" i="10"/>
  <c r="S187" i="10"/>
  <c r="R187" i="10"/>
  <c r="Q187" i="10"/>
  <c r="U186" i="10"/>
  <c r="T186" i="10"/>
  <c r="S186" i="10"/>
  <c r="R186" i="10"/>
  <c r="Q186" i="10"/>
  <c r="U185" i="10"/>
  <c r="T185" i="10"/>
  <c r="S185" i="10"/>
  <c r="R185" i="10"/>
  <c r="Q185" i="10"/>
  <c r="U184" i="10"/>
  <c r="T184" i="10"/>
  <c r="S184" i="10"/>
  <c r="R184" i="10"/>
  <c r="Q184" i="10"/>
  <c r="U183" i="10"/>
  <c r="T183" i="10"/>
  <c r="S183" i="10"/>
  <c r="R183" i="10"/>
  <c r="Q183" i="10"/>
  <c r="U182" i="10"/>
  <c r="T182" i="10"/>
  <c r="S182" i="10"/>
  <c r="R182" i="10"/>
  <c r="Q182" i="10"/>
  <c r="U181" i="10"/>
  <c r="T181" i="10"/>
  <c r="S181" i="10"/>
  <c r="R181" i="10"/>
  <c r="Q181" i="10"/>
  <c r="U180" i="10"/>
  <c r="T180" i="10"/>
  <c r="S180" i="10"/>
  <c r="R180" i="10"/>
  <c r="Q180" i="10"/>
  <c r="U179" i="10"/>
  <c r="T179" i="10"/>
  <c r="S179" i="10"/>
  <c r="R179" i="10"/>
  <c r="Q179" i="10"/>
  <c r="U178" i="10"/>
  <c r="T178" i="10"/>
  <c r="S178" i="10"/>
  <c r="R178" i="10"/>
  <c r="Q178" i="10"/>
  <c r="U177" i="10"/>
  <c r="T177" i="10"/>
  <c r="S177" i="10"/>
  <c r="R177" i="10"/>
  <c r="Q177" i="10"/>
  <c r="U176" i="10"/>
  <c r="T176" i="10"/>
  <c r="S176" i="10"/>
  <c r="R176" i="10"/>
  <c r="Q176" i="10"/>
  <c r="U175" i="10"/>
  <c r="T175" i="10"/>
  <c r="S175" i="10"/>
  <c r="R175" i="10"/>
  <c r="Q175" i="10"/>
  <c r="U174" i="10"/>
  <c r="T174" i="10"/>
  <c r="S174" i="10"/>
  <c r="R174" i="10"/>
  <c r="Q174" i="10"/>
  <c r="U173" i="10"/>
  <c r="T173" i="10"/>
  <c r="S173" i="10"/>
  <c r="R173" i="10"/>
  <c r="Q173" i="10"/>
  <c r="U172" i="10"/>
  <c r="T172" i="10"/>
  <c r="S172" i="10"/>
  <c r="R172" i="10"/>
  <c r="Q172" i="10"/>
  <c r="U171" i="10"/>
  <c r="T171" i="10"/>
  <c r="S171" i="10"/>
  <c r="R171" i="10"/>
  <c r="Q171" i="10"/>
  <c r="U170" i="10"/>
  <c r="T170" i="10"/>
  <c r="S170" i="10"/>
  <c r="R170" i="10"/>
  <c r="Q170" i="10"/>
  <c r="U169" i="10"/>
  <c r="T169" i="10"/>
  <c r="S169" i="10"/>
  <c r="R169" i="10"/>
  <c r="Q169" i="10"/>
  <c r="U168" i="10"/>
  <c r="T168" i="10"/>
  <c r="S168" i="10"/>
  <c r="R168" i="10"/>
  <c r="Q168" i="10"/>
  <c r="U167" i="10"/>
  <c r="T167" i="10"/>
  <c r="S167" i="10"/>
  <c r="R167" i="10"/>
  <c r="Q167" i="10"/>
  <c r="U166" i="10"/>
  <c r="T166" i="10"/>
  <c r="S166" i="10"/>
  <c r="R166" i="10"/>
  <c r="Q166" i="10"/>
  <c r="U165" i="10"/>
  <c r="T165" i="10"/>
  <c r="S165" i="10"/>
  <c r="R165" i="10"/>
  <c r="Q165" i="10"/>
  <c r="U164" i="10"/>
  <c r="T164" i="10"/>
  <c r="S164" i="10"/>
  <c r="R164" i="10"/>
  <c r="Q164" i="10"/>
  <c r="U163" i="10"/>
  <c r="T163" i="10"/>
  <c r="S163" i="10"/>
  <c r="R163" i="10"/>
  <c r="Q163" i="10"/>
  <c r="U162" i="10"/>
  <c r="T162" i="10"/>
  <c r="S162" i="10"/>
  <c r="R162" i="10"/>
  <c r="Q162" i="10"/>
  <c r="U161" i="10"/>
  <c r="T161" i="10"/>
  <c r="S161" i="10"/>
  <c r="R161" i="10"/>
  <c r="Q161" i="10"/>
  <c r="U160" i="10"/>
  <c r="T160" i="10"/>
  <c r="S160" i="10"/>
  <c r="R160" i="10"/>
  <c r="Q160" i="10"/>
  <c r="U159" i="10"/>
  <c r="T159" i="10"/>
  <c r="S159" i="10"/>
  <c r="R159" i="10"/>
  <c r="Q159" i="10"/>
  <c r="U158" i="10"/>
  <c r="T158" i="10"/>
  <c r="S158" i="10"/>
  <c r="R158" i="10"/>
  <c r="Q158" i="10"/>
  <c r="U157" i="10"/>
  <c r="T157" i="10"/>
  <c r="S157" i="10"/>
  <c r="R157" i="10"/>
  <c r="Q157" i="10"/>
  <c r="U155" i="10"/>
  <c r="T155" i="10"/>
  <c r="S155" i="10"/>
  <c r="R155" i="10"/>
  <c r="Q155" i="10"/>
  <c r="U154" i="10"/>
  <c r="T154" i="10"/>
  <c r="S154" i="10"/>
  <c r="R154" i="10"/>
  <c r="Q154" i="10"/>
  <c r="U153" i="10"/>
  <c r="T153" i="10"/>
  <c r="S153" i="10"/>
  <c r="R153" i="10"/>
  <c r="Q153" i="10"/>
  <c r="U152" i="10"/>
  <c r="T152" i="10"/>
  <c r="S152" i="10"/>
  <c r="R152" i="10"/>
  <c r="Q152" i="10"/>
  <c r="U151" i="10"/>
  <c r="T151" i="10"/>
  <c r="S151" i="10"/>
  <c r="R151" i="10"/>
  <c r="Q151" i="10"/>
  <c r="U150" i="10"/>
  <c r="T150" i="10"/>
  <c r="S150" i="10"/>
  <c r="R150" i="10"/>
  <c r="Q150" i="10"/>
  <c r="U149" i="10"/>
  <c r="T149" i="10"/>
  <c r="S149" i="10"/>
  <c r="R149" i="10"/>
  <c r="Q149" i="10"/>
  <c r="U148" i="10"/>
  <c r="T148" i="10"/>
  <c r="S148" i="10"/>
  <c r="R148" i="10"/>
  <c r="Q148" i="10"/>
  <c r="U147" i="10"/>
  <c r="T147" i="10"/>
  <c r="S147" i="10"/>
  <c r="R147" i="10"/>
  <c r="Q147" i="10"/>
  <c r="U146" i="10"/>
  <c r="T146" i="10"/>
  <c r="S146" i="10"/>
  <c r="R146" i="10"/>
  <c r="Q146" i="10"/>
  <c r="U145" i="10"/>
  <c r="T145" i="10"/>
  <c r="S145" i="10"/>
  <c r="R145" i="10"/>
  <c r="Q145" i="10"/>
  <c r="U144" i="10"/>
  <c r="T144" i="10"/>
  <c r="S144" i="10"/>
  <c r="R144" i="10"/>
  <c r="Q144" i="10"/>
  <c r="U143" i="10"/>
  <c r="T143" i="10"/>
  <c r="S143" i="10"/>
  <c r="R143" i="10"/>
  <c r="Q143" i="10"/>
  <c r="U142" i="10"/>
  <c r="T142" i="10"/>
  <c r="S142" i="10"/>
  <c r="R142" i="10"/>
  <c r="Q142" i="10"/>
  <c r="U141" i="10"/>
  <c r="T141" i="10"/>
  <c r="S141" i="10"/>
  <c r="R141" i="10"/>
  <c r="Q141" i="10"/>
  <c r="U140" i="10"/>
  <c r="T140" i="10"/>
  <c r="S140" i="10"/>
  <c r="R140" i="10"/>
  <c r="Q140" i="10"/>
  <c r="U139" i="10"/>
  <c r="T139" i="10"/>
  <c r="S139" i="10"/>
  <c r="R139" i="10"/>
  <c r="Q139" i="10"/>
  <c r="U138" i="10"/>
  <c r="T138" i="10"/>
  <c r="S138" i="10"/>
  <c r="R138" i="10"/>
  <c r="Q138" i="10"/>
  <c r="U137" i="10"/>
  <c r="T137" i="10"/>
  <c r="S137" i="10"/>
  <c r="R137" i="10"/>
  <c r="Q137" i="10"/>
  <c r="U136" i="10"/>
  <c r="T136" i="10"/>
  <c r="S136" i="10"/>
  <c r="R136" i="10"/>
  <c r="Q136" i="10"/>
  <c r="U135" i="10"/>
  <c r="T135" i="10"/>
  <c r="S135" i="10"/>
  <c r="R135" i="10"/>
  <c r="Q135" i="10"/>
  <c r="U134" i="10"/>
  <c r="T134" i="10"/>
  <c r="S134" i="10"/>
  <c r="R134" i="10"/>
  <c r="Q134" i="10"/>
  <c r="U133" i="10"/>
  <c r="T133" i="10"/>
  <c r="S133" i="10"/>
  <c r="R133" i="10"/>
  <c r="Q133" i="10"/>
  <c r="U132" i="10"/>
  <c r="T132" i="10"/>
  <c r="S132" i="10"/>
  <c r="R132" i="10"/>
  <c r="Q132" i="10"/>
  <c r="U131" i="10"/>
  <c r="T131" i="10"/>
  <c r="S131" i="10"/>
  <c r="R131" i="10"/>
  <c r="Q131" i="10"/>
  <c r="U130" i="10"/>
  <c r="T130" i="10"/>
  <c r="S130" i="10"/>
  <c r="R130" i="10"/>
  <c r="Q130" i="10"/>
  <c r="U129" i="10"/>
  <c r="T129" i="10"/>
  <c r="S129" i="10"/>
  <c r="R129" i="10"/>
  <c r="Q129" i="10"/>
  <c r="U128" i="10"/>
  <c r="T128" i="10"/>
  <c r="S128" i="10"/>
  <c r="R128" i="10"/>
  <c r="Q128" i="10"/>
  <c r="U127" i="10"/>
  <c r="T127" i="10"/>
  <c r="S127" i="10"/>
  <c r="R127" i="10"/>
  <c r="Q127" i="10"/>
  <c r="U126" i="10"/>
  <c r="T126" i="10"/>
  <c r="S126" i="10"/>
  <c r="R126" i="10"/>
  <c r="Q126" i="10"/>
  <c r="U125" i="10"/>
  <c r="T125" i="10"/>
  <c r="S125" i="10"/>
  <c r="R125" i="10"/>
  <c r="Q125" i="10"/>
  <c r="U124" i="10"/>
  <c r="T124" i="10"/>
  <c r="S124" i="10"/>
  <c r="R124" i="10"/>
  <c r="Q124" i="10"/>
  <c r="U123" i="10"/>
  <c r="T123" i="10"/>
  <c r="S123" i="10"/>
  <c r="R123" i="10"/>
  <c r="Q123" i="10"/>
  <c r="U122" i="10"/>
  <c r="T122" i="10"/>
  <c r="S122" i="10"/>
  <c r="R122" i="10"/>
  <c r="Q122" i="10"/>
  <c r="U121" i="10"/>
  <c r="T121" i="10"/>
  <c r="S121" i="10"/>
  <c r="R121" i="10"/>
  <c r="Q121" i="10"/>
  <c r="U120" i="10"/>
  <c r="T120" i="10"/>
  <c r="S120" i="10"/>
  <c r="R120" i="10"/>
  <c r="Q120" i="10"/>
  <c r="U118" i="10"/>
  <c r="T118" i="10"/>
  <c r="S118" i="10"/>
  <c r="R118" i="10"/>
  <c r="Q118" i="10"/>
  <c r="U117" i="10"/>
  <c r="T117" i="10"/>
  <c r="S117" i="10"/>
  <c r="R117" i="10"/>
  <c r="Q117" i="10"/>
  <c r="U116" i="10"/>
  <c r="T116" i="10"/>
  <c r="S116" i="10"/>
  <c r="R116" i="10"/>
  <c r="Q116" i="10"/>
  <c r="U115" i="10"/>
  <c r="T115" i="10"/>
  <c r="S115" i="10"/>
  <c r="R115" i="10"/>
  <c r="Q115" i="10"/>
  <c r="U114" i="10"/>
  <c r="T114" i="10"/>
  <c r="S114" i="10"/>
  <c r="R114" i="10"/>
  <c r="Q114" i="10"/>
  <c r="U113" i="10"/>
  <c r="T113" i="10"/>
  <c r="S113" i="10"/>
  <c r="R113" i="10"/>
  <c r="Q113" i="10"/>
  <c r="U112" i="10"/>
  <c r="T112" i="10"/>
  <c r="S112" i="10"/>
  <c r="R112" i="10"/>
  <c r="Q112" i="10"/>
  <c r="U111" i="10"/>
  <c r="T111" i="10"/>
  <c r="S111" i="10"/>
  <c r="R111" i="10"/>
  <c r="Q111" i="10"/>
  <c r="U110" i="10"/>
  <c r="T110" i="10"/>
  <c r="S110" i="10"/>
  <c r="R110" i="10"/>
  <c r="Q110" i="10"/>
  <c r="U109" i="10"/>
  <c r="T109" i="10"/>
  <c r="S109" i="10"/>
  <c r="R109" i="10"/>
  <c r="Q109" i="10"/>
  <c r="U108" i="10"/>
  <c r="T108" i="10"/>
  <c r="S108" i="10"/>
  <c r="R108" i="10"/>
  <c r="Q108" i="10"/>
  <c r="U107" i="10"/>
  <c r="T107" i="10"/>
  <c r="S107" i="10"/>
  <c r="R107" i="10"/>
  <c r="Q107" i="10"/>
  <c r="U106" i="10"/>
  <c r="T106" i="10"/>
  <c r="S106" i="10"/>
  <c r="R106" i="10"/>
  <c r="Q106" i="10"/>
  <c r="U105" i="10"/>
  <c r="T105" i="10"/>
  <c r="S105" i="10"/>
  <c r="R105" i="10"/>
  <c r="Q105" i="10"/>
  <c r="U104" i="10"/>
  <c r="T104" i="10"/>
  <c r="S104" i="10"/>
  <c r="R104" i="10"/>
  <c r="Q104" i="10"/>
  <c r="U103" i="10"/>
  <c r="T103" i="10"/>
  <c r="S103" i="10"/>
  <c r="R103" i="10"/>
  <c r="Q103" i="10"/>
  <c r="U102" i="10"/>
  <c r="T102" i="10"/>
  <c r="S102" i="10"/>
  <c r="R102" i="10"/>
  <c r="Q102" i="10"/>
  <c r="U101" i="10"/>
  <c r="T101" i="10"/>
  <c r="S101" i="10"/>
  <c r="R101" i="10"/>
  <c r="Q101" i="10"/>
  <c r="U100" i="10"/>
  <c r="T100" i="10"/>
  <c r="S100" i="10"/>
  <c r="R100" i="10"/>
  <c r="Q100" i="10"/>
  <c r="U99" i="10"/>
  <c r="T99" i="10"/>
  <c r="S99" i="10"/>
  <c r="R99" i="10"/>
  <c r="Q99" i="10"/>
  <c r="U98" i="10"/>
  <c r="T98" i="10"/>
  <c r="S98" i="10"/>
  <c r="R98" i="10"/>
  <c r="Q98" i="10"/>
  <c r="U97" i="10"/>
  <c r="T97" i="10"/>
  <c r="S97" i="10"/>
  <c r="R97" i="10"/>
  <c r="Q97" i="10"/>
  <c r="U96" i="10"/>
  <c r="T96" i="10"/>
  <c r="S96" i="10"/>
  <c r="R96" i="10"/>
  <c r="Q96" i="10"/>
  <c r="U95" i="10"/>
  <c r="T95" i="10"/>
  <c r="S95" i="10"/>
  <c r="R95" i="10"/>
  <c r="Q95" i="10"/>
  <c r="U94" i="10"/>
  <c r="T94" i="10"/>
  <c r="S94" i="10"/>
  <c r="R94" i="10"/>
  <c r="Q94" i="10"/>
  <c r="U93" i="10"/>
  <c r="T93" i="10"/>
  <c r="S93" i="10"/>
  <c r="R93" i="10"/>
  <c r="Q93" i="10"/>
  <c r="U92" i="10"/>
  <c r="T92" i="10"/>
  <c r="S92" i="10"/>
  <c r="R92" i="10"/>
  <c r="Q92" i="10"/>
  <c r="U91" i="10"/>
  <c r="T91" i="10"/>
  <c r="S91" i="10"/>
  <c r="R91" i="10"/>
  <c r="Q91" i="10"/>
  <c r="U90" i="10"/>
  <c r="T90" i="10"/>
  <c r="S90" i="10"/>
  <c r="R90" i="10"/>
  <c r="Q90" i="10"/>
  <c r="U89" i="10"/>
  <c r="T89" i="10"/>
  <c r="S89" i="10"/>
  <c r="R89" i="10"/>
  <c r="Q89" i="10"/>
  <c r="U88" i="10"/>
  <c r="T88" i="10"/>
  <c r="S88" i="10"/>
  <c r="R88" i="10"/>
  <c r="Q88" i="10"/>
  <c r="U87" i="10"/>
  <c r="T87" i="10"/>
  <c r="S87" i="10"/>
  <c r="R87" i="10"/>
  <c r="Q87" i="10"/>
  <c r="U86" i="10"/>
  <c r="T86" i="10"/>
  <c r="S86" i="10"/>
  <c r="R86" i="10"/>
  <c r="Q86" i="10"/>
  <c r="U85" i="10"/>
  <c r="T85" i="10"/>
  <c r="S85" i="10"/>
  <c r="R85" i="10"/>
  <c r="Q85" i="10"/>
  <c r="U84" i="10"/>
  <c r="T84" i="10"/>
  <c r="S84" i="10"/>
  <c r="R84" i="10"/>
  <c r="Q84" i="10"/>
  <c r="U83" i="10"/>
  <c r="T83" i="10"/>
  <c r="S83" i="10"/>
  <c r="R83" i="10"/>
  <c r="Q83" i="10"/>
  <c r="U81" i="10"/>
  <c r="T81" i="10"/>
  <c r="S81" i="10"/>
  <c r="R81" i="10"/>
  <c r="Q81" i="10"/>
  <c r="U80" i="10"/>
  <c r="T80" i="10"/>
  <c r="S80" i="10"/>
  <c r="R80" i="10"/>
  <c r="Q80" i="10"/>
  <c r="U79" i="10"/>
  <c r="T79" i="10"/>
  <c r="S79" i="10"/>
  <c r="R79" i="10"/>
  <c r="Q79" i="10"/>
  <c r="U78" i="10"/>
  <c r="T78" i="10"/>
  <c r="S78" i="10"/>
  <c r="R78" i="10"/>
  <c r="Q78" i="10"/>
  <c r="U77" i="10"/>
  <c r="T77" i="10"/>
  <c r="S77" i="10"/>
  <c r="R77" i="10"/>
  <c r="Q77" i="10"/>
  <c r="U76" i="10"/>
  <c r="T76" i="10"/>
  <c r="S76" i="10"/>
  <c r="R76" i="10"/>
  <c r="Q76" i="10"/>
  <c r="U75" i="10"/>
  <c r="T75" i="10"/>
  <c r="S75" i="10"/>
  <c r="R75" i="10"/>
  <c r="Q75" i="10"/>
  <c r="U74" i="10"/>
  <c r="T74" i="10"/>
  <c r="S74" i="10"/>
  <c r="R74" i="10"/>
  <c r="Q74" i="10"/>
  <c r="U73" i="10"/>
  <c r="T73" i="10"/>
  <c r="S73" i="10"/>
  <c r="R73" i="10"/>
  <c r="Q73" i="10"/>
  <c r="U72" i="10"/>
  <c r="T72" i="10"/>
  <c r="S72" i="10"/>
  <c r="R72" i="10"/>
  <c r="Q72" i="10"/>
  <c r="U71" i="10"/>
  <c r="T71" i="10"/>
  <c r="S71" i="10"/>
  <c r="R71" i="10"/>
  <c r="Q71" i="10"/>
  <c r="U70" i="10"/>
  <c r="T70" i="10"/>
  <c r="S70" i="10"/>
  <c r="R70" i="10"/>
  <c r="Q70" i="10"/>
  <c r="U69" i="10"/>
  <c r="T69" i="10"/>
  <c r="S69" i="10"/>
  <c r="R69" i="10"/>
  <c r="Q69" i="10"/>
  <c r="U68" i="10"/>
  <c r="T68" i="10"/>
  <c r="S68" i="10"/>
  <c r="R68" i="10"/>
  <c r="Q68" i="10"/>
  <c r="U67" i="10"/>
  <c r="T67" i="10"/>
  <c r="S67" i="10"/>
  <c r="R67" i="10"/>
  <c r="Q67" i="10"/>
  <c r="U66" i="10"/>
  <c r="T66" i="10"/>
  <c r="S66" i="10"/>
  <c r="R66" i="10"/>
  <c r="Q66" i="10"/>
  <c r="U65" i="10"/>
  <c r="T65" i="10"/>
  <c r="S65" i="10"/>
  <c r="R65" i="10"/>
  <c r="Q65" i="10"/>
  <c r="U64" i="10"/>
  <c r="T64" i="10"/>
  <c r="S64" i="10"/>
  <c r="R64" i="10"/>
  <c r="Q64" i="10"/>
  <c r="U63" i="10"/>
  <c r="T63" i="10"/>
  <c r="S63" i="10"/>
  <c r="R63" i="10"/>
  <c r="Q63" i="10"/>
  <c r="U62" i="10"/>
  <c r="T62" i="10"/>
  <c r="S62" i="10"/>
  <c r="R62" i="10"/>
  <c r="Q62" i="10"/>
  <c r="U61" i="10"/>
  <c r="T61" i="10"/>
  <c r="S61" i="10"/>
  <c r="R61" i="10"/>
  <c r="Q61" i="10"/>
  <c r="U60" i="10"/>
  <c r="T60" i="10"/>
  <c r="S60" i="10"/>
  <c r="R60" i="10"/>
  <c r="Q60" i="10"/>
  <c r="U59" i="10"/>
  <c r="T59" i="10"/>
  <c r="S59" i="10"/>
  <c r="R59" i="10"/>
  <c r="Q59" i="10"/>
  <c r="U58" i="10"/>
  <c r="T58" i="10"/>
  <c r="S58" i="10"/>
  <c r="R58" i="10"/>
  <c r="Q58" i="10"/>
  <c r="U57" i="10"/>
  <c r="T57" i="10"/>
  <c r="S57" i="10"/>
  <c r="R57" i="10"/>
  <c r="Q57" i="10"/>
  <c r="U56" i="10"/>
  <c r="T56" i="10"/>
  <c r="S56" i="10"/>
  <c r="R56" i="10"/>
  <c r="Q56" i="10"/>
  <c r="U55" i="10"/>
  <c r="T55" i="10"/>
  <c r="S55" i="10"/>
  <c r="R55" i="10"/>
  <c r="Q55" i="10"/>
  <c r="U54" i="10"/>
  <c r="T54" i="10"/>
  <c r="S54" i="10"/>
  <c r="R54" i="10"/>
  <c r="Q54" i="10"/>
  <c r="U53" i="10"/>
  <c r="T53" i="10"/>
  <c r="S53" i="10"/>
  <c r="R53" i="10"/>
  <c r="Q53" i="10"/>
  <c r="U52" i="10"/>
  <c r="T52" i="10"/>
  <c r="S52" i="10"/>
  <c r="R52" i="10"/>
  <c r="Q52" i="10"/>
  <c r="U51" i="10"/>
  <c r="T51" i="10"/>
  <c r="S51" i="10"/>
  <c r="R51" i="10"/>
  <c r="Q51" i="10"/>
  <c r="U50" i="10"/>
  <c r="T50" i="10"/>
  <c r="S50" i="10"/>
  <c r="R50" i="10"/>
  <c r="Q50" i="10"/>
  <c r="U49" i="10"/>
  <c r="T49" i="10"/>
  <c r="S49" i="10"/>
  <c r="R49" i="10"/>
  <c r="Q49" i="10"/>
  <c r="U48" i="10"/>
  <c r="T48" i="10"/>
  <c r="S48" i="10"/>
  <c r="R48" i="10"/>
  <c r="Q48" i="10"/>
  <c r="U47" i="10"/>
  <c r="T47" i="10"/>
  <c r="S47" i="10"/>
  <c r="R47" i="10"/>
  <c r="Q47" i="10"/>
  <c r="U46" i="10"/>
  <c r="T46" i="10"/>
  <c r="S46" i="10"/>
  <c r="R46" i="10"/>
  <c r="Q46" i="10"/>
  <c r="U44" i="10"/>
  <c r="T44" i="10"/>
  <c r="S44" i="10"/>
  <c r="R44" i="10"/>
  <c r="Q44" i="10"/>
  <c r="U43" i="10"/>
  <c r="T43" i="10"/>
  <c r="S43" i="10"/>
  <c r="R43" i="10"/>
  <c r="Q43" i="10"/>
  <c r="U42" i="10"/>
  <c r="T42" i="10"/>
  <c r="S42" i="10"/>
  <c r="R42" i="10"/>
  <c r="Q42" i="10"/>
  <c r="U41" i="10"/>
  <c r="T41" i="10"/>
  <c r="S41" i="10"/>
  <c r="R41" i="10"/>
  <c r="Q41" i="10"/>
  <c r="U40" i="10"/>
  <c r="T40" i="10"/>
  <c r="S40" i="10"/>
  <c r="R40" i="10"/>
  <c r="Q40" i="10"/>
  <c r="U39" i="10"/>
  <c r="T39" i="10"/>
  <c r="S39" i="10"/>
  <c r="R39" i="10"/>
  <c r="Q39" i="10"/>
  <c r="U38" i="10"/>
  <c r="T38" i="10"/>
  <c r="S38" i="10"/>
  <c r="R38" i="10"/>
  <c r="Q38" i="10"/>
  <c r="U37" i="10"/>
  <c r="T37" i="10"/>
  <c r="S37" i="10"/>
  <c r="R37" i="10"/>
  <c r="Q37" i="10"/>
  <c r="U36" i="10"/>
  <c r="T36" i="10"/>
  <c r="S36" i="10"/>
  <c r="R36" i="10"/>
  <c r="Q36" i="10"/>
  <c r="U35" i="10"/>
  <c r="T35" i="10"/>
  <c r="S35" i="10"/>
  <c r="R35" i="10"/>
  <c r="Q35" i="10"/>
  <c r="U34" i="10"/>
  <c r="T34" i="10"/>
  <c r="S34" i="10"/>
  <c r="R34" i="10"/>
  <c r="Q34" i="10"/>
  <c r="U33" i="10"/>
  <c r="T33" i="10"/>
  <c r="S33" i="10"/>
  <c r="R33" i="10"/>
  <c r="Q33" i="10"/>
  <c r="U32" i="10"/>
  <c r="T32" i="10"/>
  <c r="S32" i="10"/>
  <c r="R32" i="10"/>
  <c r="Q32" i="10"/>
  <c r="U31" i="10"/>
  <c r="T31" i="10"/>
  <c r="S31" i="10"/>
  <c r="R31" i="10"/>
  <c r="Q31" i="10"/>
  <c r="U30" i="10"/>
  <c r="T30" i="10"/>
  <c r="S30" i="10"/>
  <c r="R30" i="10"/>
  <c r="Q30" i="10"/>
  <c r="U29" i="10"/>
  <c r="T29" i="10"/>
  <c r="S29" i="10"/>
  <c r="R29" i="10"/>
  <c r="Q29" i="10"/>
  <c r="U28" i="10"/>
  <c r="T28" i="10"/>
  <c r="S28" i="10"/>
  <c r="R28" i="10"/>
  <c r="Q28" i="10"/>
  <c r="U27" i="10"/>
  <c r="T27" i="10"/>
  <c r="S27" i="10"/>
  <c r="R27" i="10"/>
  <c r="Q27" i="10"/>
  <c r="U26" i="10"/>
  <c r="T26" i="10"/>
  <c r="S26" i="10"/>
  <c r="R26" i="10"/>
  <c r="Q26" i="10"/>
  <c r="U25" i="10"/>
  <c r="T25" i="10"/>
  <c r="S25" i="10"/>
  <c r="R25" i="10"/>
  <c r="Q25" i="10"/>
  <c r="U24" i="10"/>
  <c r="T24" i="10"/>
  <c r="S24" i="10"/>
  <c r="R24" i="10"/>
  <c r="Q24" i="10"/>
  <c r="U23" i="10"/>
  <c r="T23" i="10"/>
  <c r="S23" i="10"/>
  <c r="R23" i="10"/>
  <c r="Q23" i="10"/>
  <c r="U22" i="10"/>
  <c r="T22" i="10"/>
  <c r="S22" i="10"/>
  <c r="R22" i="10"/>
  <c r="Q22" i="10"/>
  <c r="U21" i="10"/>
  <c r="T21" i="10"/>
  <c r="S21" i="10"/>
  <c r="R21" i="10"/>
  <c r="Q21" i="10"/>
  <c r="U20" i="10"/>
  <c r="T20" i="10"/>
  <c r="S20" i="10"/>
  <c r="R20" i="10"/>
  <c r="Q20" i="10"/>
  <c r="U19" i="10"/>
  <c r="T19" i="10"/>
  <c r="S19" i="10"/>
  <c r="R19" i="10"/>
  <c r="Q19" i="10"/>
  <c r="U18" i="10"/>
  <c r="T18" i="10"/>
  <c r="S18" i="10"/>
  <c r="R18" i="10"/>
  <c r="Q18" i="10"/>
  <c r="U17" i="10"/>
  <c r="T17" i="10"/>
  <c r="S17" i="10"/>
  <c r="R17" i="10"/>
  <c r="Q17" i="10"/>
  <c r="U16" i="10"/>
  <c r="T16" i="10"/>
  <c r="S16" i="10"/>
  <c r="R16" i="10"/>
  <c r="Q16" i="10"/>
  <c r="U15" i="10"/>
  <c r="T15" i="10"/>
  <c r="S15" i="10"/>
  <c r="R15" i="10"/>
  <c r="Q15" i="10"/>
  <c r="U14" i="10"/>
  <c r="T14" i="10"/>
  <c r="S14" i="10"/>
  <c r="R14" i="10"/>
  <c r="Q14" i="10"/>
  <c r="U13" i="10"/>
  <c r="T13" i="10"/>
  <c r="S13" i="10"/>
  <c r="R13" i="10"/>
  <c r="Q13" i="10"/>
  <c r="U12" i="10"/>
  <c r="T12" i="10"/>
  <c r="S12" i="10"/>
  <c r="R12" i="10"/>
  <c r="Q12" i="10"/>
  <c r="U11" i="10"/>
  <c r="T11" i="10"/>
  <c r="S11" i="10"/>
  <c r="R11" i="10"/>
  <c r="Q11" i="10"/>
  <c r="U10" i="10"/>
  <c r="T10" i="10"/>
  <c r="S10" i="10"/>
  <c r="R10" i="10"/>
  <c r="Q10" i="10"/>
  <c r="U9" i="10"/>
  <c r="T9" i="10"/>
  <c r="S9" i="10"/>
  <c r="R9" i="10"/>
  <c r="Q9" i="10"/>
  <c r="K20" i="30"/>
  <c r="J20" i="30"/>
  <c r="I20" i="30"/>
  <c r="H20" i="30"/>
  <c r="G20" i="30"/>
  <c r="K19" i="30"/>
  <c r="J19" i="30"/>
  <c r="I19" i="30"/>
  <c r="H19" i="30"/>
  <c r="G19" i="30"/>
  <c r="K18" i="30"/>
  <c r="J18" i="30"/>
  <c r="I18" i="30"/>
  <c r="H18" i="30"/>
  <c r="G18" i="30"/>
  <c r="K17" i="30"/>
  <c r="J17" i="30"/>
  <c r="I17" i="30"/>
  <c r="H17" i="30"/>
  <c r="G17" i="30"/>
  <c r="K16" i="30"/>
  <c r="J16" i="30"/>
  <c r="I16" i="30"/>
  <c r="H16" i="30"/>
  <c r="G16" i="30"/>
  <c r="K15" i="30"/>
  <c r="J15" i="30"/>
  <c r="I15" i="30"/>
  <c r="H15" i="30"/>
  <c r="G15" i="30"/>
  <c r="K14" i="30"/>
  <c r="J14" i="30"/>
  <c r="I14" i="30"/>
  <c r="H14" i="30"/>
  <c r="G14" i="30"/>
  <c r="K13" i="30"/>
  <c r="J13" i="30"/>
  <c r="I13" i="30"/>
  <c r="H13" i="30"/>
  <c r="G13" i="30"/>
  <c r="K12" i="30"/>
  <c r="J12" i="30"/>
  <c r="I12" i="30"/>
  <c r="H12" i="30"/>
  <c r="G12" i="30"/>
  <c r="K11" i="30"/>
  <c r="J11" i="30"/>
  <c r="I11" i="30"/>
  <c r="H11" i="30"/>
  <c r="G11" i="30"/>
  <c r="K10" i="30"/>
  <c r="J10" i="30"/>
  <c r="I10" i="30"/>
  <c r="H10" i="30"/>
  <c r="G10" i="30"/>
  <c r="K9" i="30"/>
  <c r="J9" i="30"/>
  <c r="I9" i="30"/>
  <c r="H9" i="30"/>
  <c r="G9" i="30"/>
  <c r="K8" i="30"/>
  <c r="J8" i="30"/>
  <c r="I8" i="30"/>
  <c r="H8" i="30"/>
  <c r="G8" i="30"/>
  <c r="K20" i="43"/>
  <c r="J20" i="43"/>
  <c r="I20" i="43"/>
  <c r="H20" i="43"/>
  <c r="G20" i="43"/>
  <c r="K19" i="43"/>
  <c r="J19" i="43"/>
  <c r="I19" i="43"/>
  <c r="H19" i="43"/>
  <c r="G19" i="43"/>
  <c r="K18" i="43"/>
  <c r="J18" i="43"/>
  <c r="I18" i="43"/>
  <c r="H18" i="43"/>
  <c r="G18" i="43"/>
  <c r="K17" i="43"/>
  <c r="J17" i="43"/>
  <c r="I17" i="43"/>
  <c r="H17" i="43"/>
  <c r="G17" i="43"/>
  <c r="K16" i="43"/>
  <c r="J16" i="43"/>
  <c r="I16" i="43"/>
  <c r="H16" i="43"/>
  <c r="G16" i="43"/>
  <c r="K15" i="43"/>
  <c r="J15" i="43"/>
  <c r="I15" i="43"/>
  <c r="H15" i="43"/>
  <c r="G15" i="43"/>
  <c r="K14" i="43"/>
  <c r="J14" i="43"/>
  <c r="I14" i="43"/>
  <c r="H14" i="43"/>
  <c r="G14" i="43"/>
  <c r="K13" i="43"/>
  <c r="J13" i="43"/>
  <c r="I13" i="43"/>
  <c r="H13" i="43"/>
  <c r="G13" i="43"/>
  <c r="K12" i="43"/>
  <c r="J12" i="43"/>
  <c r="I12" i="43"/>
  <c r="H12" i="43"/>
  <c r="G12" i="43"/>
  <c r="K11" i="43"/>
  <c r="J11" i="43"/>
  <c r="I11" i="43"/>
  <c r="H11" i="43"/>
  <c r="G11" i="43"/>
  <c r="K10" i="43"/>
  <c r="J10" i="43"/>
  <c r="I10" i="43"/>
  <c r="H10" i="43"/>
  <c r="G10" i="43"/>
  <c r="K9" i="43"/>
  <c r="J9" i="43"/>
  <c r="I9" i="43"/>
  <c r="H9" i="43"/>
  <c r="G9" i="43"/>
  <c r="K8" i="43"/>
  <c r="J8" i="43"/>
  <c r="I8" i="43"/>
  <c r="H8" i="43"/>
  <c r="G8" i="43"/>
  <c r="K20" i="35"/>
  <c r="J20" i="35"/>
  <c r="I20" i="35"/>
  <c r="H20" i="35"/>
  <c r="G20" i="35"/>
  <c r="K19" i="35"/>
  <c r="J19" i="35"/>
  <c r="I19" i="35"/>
  <c r="H19" i="35"/>
  <c r="G19" i="35"/>
  <c r="K18" i="35"/>
  <c r="J18" i="35"/>
  <c r="I18" i="35"/>
  <c r="H18" i="35"/>
  <c r="G18" i="35"/>
  <c r="K17" i="35"/>
  <c r="J17" i="35"/>
  <c r="I17" i="35"/>
  <c r="H17" i="35"/>
  <c r="G17" i="35"/>
  <c r="K16" i="35"/>
  <c r="J16" i="35"/>
  <c r="I16" i="35"/>
  <c r="H16" i="35"/>
  <c r="G16" i="35"/>
  <c r="K15" i="35"/>
  <c r="J15" i="35"/>
  <c r="I15" i="35"/>
  <c r="H15" i="35"/>
  <c r="G15" i="35"/>
  <c r="K14" i="35"/>
  <c r="J14" i="35"/>
  <c r="I14" i="35"/>
  <c r="H14" i="35"/>
  <c r="G14" i="35"/>
  <c r="K13" i="35"/>
  <c r="J13" i="35"/>
  <c r="I13" i="35"/>
  <c r="H13" i="35"/>
  <c r="G13" i="35"/>
  <c r="K12" i="35"/>
  <c r="J12" i="35"/>
  <c r="I12" i="35"/>
  <c r="H12" i="35"/>
  <c r="G12" i="35"/>
  <c r="K11" i="35"/>
  <c r="J11" i="35"/>
  <c r="I11" i="35"/>
  <c r="H11" i="35"/>
  <c r="G11" i="35"/>
  <c r="K10" i="35"/>
  <c r="J10" i="35"/>
  <c r="I10" i="35"/>
  <c r="H10" i="35"/>
  <c r="G10" i="35"/>
  <c r="K9" i="35"/>
  <c r="J9" i="35"/>
  <c r="I9" i="35"/>
  <c r="H9" i="35"/>
  <c r="G9" i="35"/>
  <c r="K8" i="35"/>
  <c r="J8" i="35"/>
  <c r="I8" i="35"/>
  <c r="H8" i="35"/>
  <c r="G8" i="35"/>
  <c r="K20" i="46"/>
  <c r="J20" i="46"/>
  <c r="I20" i="46"/>
  <c r="H20" i="46"/>
  <c r="G20" i="46"/>
  <c r="K19" i="46"/>
  <c r="J19" i="46"/>
  <c r="I19" i="46"/>
  <c r="H19" i="46"/>
  <c r="G19" i="46"/>
  <c r="K18" i="46"/>
  <c r="J18" i="46"/>
  <c r="I18" i="46"/>
  <c r="H18" i="46"/>
  <c r="G18" i="46"/>
  <c r="K17" i="46"/>
  <c r="J17" i="46"/>
  <c r="I17" i="46"/>
  <c r="H17" i="46"/>
  <c r="G17" i="46"/>
  <c r="K16" i="46"/>
  <c r="J16" i="46"/>
  <c r="I16" i="46"/>
  <c r="H16" i="46"/>
  <c r="G16" i="46"/>
  <c r="K15" i="46"/>
  <c r="J15" i="46"/>
  <c r="I15" i="46"/>
  <c r="H15" i="46"/>
  <c r="G15" i="46"/>
  <c r="K14" i="46"/>
  <c r="J14" i="46"/>
  <c r="I14" i="46"/>
  <c r="H14" i="46"/>
  <c r="G14" i="46"/>
  <c r="K13" i="46"/>
  <c r="J13" i="46"/>
  <c r="I13" i="46"/>
  <c r="H13" i="46"/>
  <c r="G13" i="46"/>
  <c r="K12" i="46"/>
  <c r="J12" i="46"/>
  <c r="I12" i="46"/>
  <c r="H12" i="46"/>
  <c r="G12" i="46"/>
  <c r="K11" i="46"/>
  <c r="J11" i="46"/>
  <c r="I11" i="46"/>
  <c r="H11" i="46"/>
  <c r="G11" i="46"/>
  <c r="K10" i="46"/>
  <c r="J10" i="46"/>
  <c r="I10" i="46"/>
  <c r="H10" i="46"/>
  <c r="G10" i="46"/>
  <c r="K9" i="46"/>
  <c r="J9" i="46"/>
  <c r="I9" i="46"/>
  <c r="H9" i="46"/>
  <c r="G9" i="46"/>
  <c r="K8" i="46"/>
  <c r="J8" i="46"/>
  <c r="I8" i="46"/>
  <c r="H8" i="46"/>
  <c r="G8" i="46"/>
  <c r="K20" i="51"/>
  <c r="J20" i="51"/>
  <c r="I20" i="51"/>
  <c r="H20" i="51"/>
  <c r="G20" i="51"/>
  <c r="K19" i="51"/>
  <c r="J19" i="51"/>
  <c r="I19" i="51"/>
  <c r="H19" i="51"/>
  <c r="G19" i="51"/>
  <c r="K18" i="51"/>
  <c r="J18" i="51"/>
  <c r="I18" i="51"/>
  <c r="H18" i="51"/>
  <c r="G18" i="51"/>
  <c r="K17" i="51"/>
  <c r="J17" i="51"/>
  <c r="I17" i="51"/>
  <c r="H17" i="51"/>
  <c r="G17" i="51"/>
  <c r="K16" i="51"/>
  <c r="J16" i="51"/>
  <c r="I16" i="51"/>
  <c r="H16" i="51"/>
  <c r="G16" i="51"/>
  <c r="K15" i="51"/>
  <c r="J15" i="51"/>
  <c r="I15" i="51"/>
  <c r="H15" i="51"/>
  <c r="G15" i="51"/>
  <c r="K14" i="51"/>
  <c r="J14" i="51"/>
  <c r="I14" i="51"/>
  <c r="H14" i="51"/>
  <c r="G14" i="51"/>
  <c r="K13" i="51"/>
  <c r="J13" i="51"/>
  <c r="I13" i="51"/>
  <c r="H13" i="51"/>
  <c r="G13" i="51"/>
  <c r="K12" i="51"/>
  <c r="J12" i="51"/>
  <c r="I12" i="51"/>
  <c r="H12" i="51"/>
  <c r="G12" i="51"/>
  <c r="K11" i="51"/>
  <c r="J11" i="51"/>
  <c r="I11" i="51"/>
  <c r="H11" i="51"/>
  <c r="G11" i="51"/>
  <c r="K10" i="51"/>
  <c r="J10" i="51"/>
  <c r="I10" i="51"/>
  <c r="H10" i="51"/>
  <c r="G10" i="51"/>
  <c r="K9" i="51"/>
  <c r="J9" i="51"/>
  <c r="I9" i="51"/>
  <c r="H9" i="51"/>
  <c r="G9" i="51"/>
  <c r="K8" i="51"/>
  <c r="J8" i="51"/>
  <c r="I8" i="51"/>
  <c r="H8" i="51"/>
  <c r="G8" i="51"/>
  <c r="K20" i="49"/>
  <c r="J20" i="49"/>
  <c r="I20" i="49"/>
  <c r="H20" i="49"/>
  <c r="G20" i="49"/>
  <c r="K19" i="49"/>
  <c r="J19" i="49"/>
  <c r="I19" i="49"/>
  <c r="H19" i="49"/>
  <c r="G19" i="49"/>
  <c r="K18" i="49"/>
  <c r="J18" i="49"/>
  <c r="I18" i="49"/>
  <c r="H18" i="49"/>
  <c r="G18" i="49"/>
  <c r="K17" i="49"/>
  <c r="J17" i="49"/>
  <c r="I17" i="49"/>
  <c r="H17" i="49"/>
  <c r="G17" i="49"/>
  <c r="K16" i="49"/>
  <c r="J16" i="49"/>
  <c r="I16" i="49"/>
  <c r="H16" i="49"/>
  <c r="G16" i="49"/>
  <c r="K15" i="49"/>
  <c r="J15" i="49"/>
  <c r="I15" i="49"/>
  <c r="H15" i="49"/>
  <c r="G15" i="49"/>
  <c r="K14" i="49"/>
  <c r="J14" i="49"/>
  <c r="I14" i="49"/>
  <c r="H14" i="49"/>
  <c r="G14" i="49"/>
  <c r="K13" i="49"/>
  <c r="J13" i="49"/>
  <c r="I13" i="49"/>
  <c r="H13" i="49"/>
  <c r="G13" i="49"/>
  <c r="K12" i="49"/>
  <c r="J12" i="49"/>
  <c r="I12" i="49"/>
  <c r="H12" i="49"/>
  <c r="G12" i="49"/>
  <c r="K11" i="49"/>
  <c r="J11" i="49"/>
  <c r="I11" i="49"/>
  <c r="H11" i="49"/>
  <c r="G11" i="49"/>
  <c r="K10" i="49"/>
  <c r="J10" i="49"/>
  <c r="I10" i="49"/>
  <c r="H10" i="49"/>
  <c r="G10" i="49"/>
  <c r="K9" i="49"/>
  <c r="J9" i="49"/>
  <c r="I9" i="49"/>
  <c r="H9" i="49"/>
  <c r="G9" i="49"/>
  <c r="K8" i="49"/>
  <c r="J8" i="49"/>
  <c r="I8" i="49"/>
  <c r="H8" i="49"/>
  <c r="G8" i="49"/>
  <c r="K20" i="40"/>
  <c r="J20" i="40"/>
  <c r="I20" i="40"/>
  <c r="H20" i="40"/>
  <c r="G20" i="40"/>
  <c r="K19" i="40"/>
  <c r="J19" i="40"/>
  <c r="I19" i="40"/>
  <c r="H19" i="40"/>
  <c r="G19" i="40"/>
  <c r="K18" i="40"/>
  <c r="J18" i="40"/>
  <c r="I18" i="40"/>
  <c r="H18" i="40"/>
  <c r="G18" i="40"/>
  <c r="K17" i="40"/>
  <c r="J17" i="40"/>
  <c r="I17" i="40"/>
  <c r="H17" i="40"/>
  <c r="G17" i="40"/>
  <c r="K16" i="40"/>
  <c r="J16" i="40"/>
  <c r="I16" i="40"/>
  <c r="H16" i="40"/>
  <c r="G16" i="40"/>
  <c r="K15" i="40"/>
  <c r="J15" i="40"/>
  <c r="I15" i="40"/>
  <c r="H15" i="40"/>
  <c r="G15" i="40"/>
  <c r="K14" i="40"/>
  <c r="J14" i="40"/>
  <c r="I14" i="40"/>
  <c r="H14" i="40"/>
  <c r="G14" i="40"/>
  <c r="K13" i="40"/>
  <c r="J13" i="40"/>
  <c r="I13" i="40"/>
  <c r="H13" i="40"/>
  <c r="G13" i="40"/>
  <c r="K12" i="40"/>
  <c r="J12" i="40"/>
  <c r="I12" i="40"/>
  <c r="H12" i="40"/>
  <c r="G12" i="40"/>
  <c r="K11" i="40"/>
  <c r="J11" i="40"/>
  <c r="I11" i="40"/>
  <c r="H11" i="40"/>
  <c r="G11" i="40"/>
  <c r="K10" i="40"/>
  <c r="J10" i="40"/>
  <c r="I10" i="40"/>
  <c r="H10" i="40"/>
  <c r="G10" i="40"/>
  <c r="K9" i="40"/>
  <c r="J9" i="40"/>
  <c r="I9" i="40"/>
  <c r="H9" i="40"/>
  <c r="G9" i="40"/>
  <c r="K8" i="40"/>
  <c r="J8" i="40"/>
  <c r="I8" i="40"/>
  <c r="H8" i="40"/>
  <c r="G8" i="40"/>
  <c r="K20" i="38"/>
  <c r="J20" i="38"/>
  <c r="I20" i="38"/>
  <c r="H20" i="38"/>
  <c r="G20" i="38"/>
  <c r="K19" i="38"/>
  <c r="J19" i="38"/>
  <c r="I19" i="38"/>
  <c r="H19" i="38"/>
  <c r="G19" i="38"/>
  <c r="K18" i="38"/>
  <c r="J18" i="38"/>
  <c r="I18" i="38"/>
  <c r="H18" i="38"/>
  <c r="G18" i="38"/>
  <c r="K17" i="38"/>
  <c r="J17" i="38"/>
  <c r="I17" i="38"/>
  <c r="H17" i="38"/>
  <c r="G17" i="38"/>
  <c r="K16" i="38"/>
  <c r="J16" i="38"/>
  <c r="I16" i="38"/>
  <c r="H16" i="38"/>
  <c r="G16" i="38"/>
  <c r="K15" i="38"/>
  <c r="J15" i="38"/>
  <c r="I15" i="38"/>
  <c r="H15" i="38"/>
  <c r="G15" i="38"/>
  <c r="K14" i="38"/>
  <c r="J14" i="38"/>
  <c r="I14" i="38"/>
  <c r="H14" i="38"/>
  <c r="G14" i="38"/>
  <c r="K13" i="38"/>
  <c r="J13" i="38"/>
  <c r="I13" i="38"/>
  <c r="H13" i="38"/>
  <c r="G13" i="38"/>
  <c r="K12" i="38"/>
  <c r="J12" i="38"/>
  <c r="I12" i="38"/>
  <c r="H12" i="38"/>
  <c r="G12" i="38"/>
  <c r="K11" i="38"/>
  <c r="J11" i="38"/>
  <c r="I11" i="38"/>
  <c r="H11" i="38"/>
  <c r="G11" i="38"/>
  <c r="K10" i="38"/>
  <c r="J10" i="38"/>
  <c r="I10" i="38"/>
  <c r="H10" i="38"/>
  <c r="G10" i="38"/>
  <c r="K9" i="38"/>
  <c r="J9" i="38"/>
  <c r="I9" i="38"/>
  <c r="H9" i="38"/>
  <c r="G9" i="38"/>
  <c r="K8" i="38"/>
  <c r="J8" i="38"/>
  <c r="I8" i="38"/>
  <c r="H8" i="38"/>
  <c r="G8" i="38"/>
  <c r="K20" i="44"/>
  <c r="J20" i="44"/>
  <c r="I20" i="44"/>
  <c r="H20" i="44"/>
  <c r="G20" i="44"/>
  <c r="K19" i="44"/>
  <c r="J19" i="44"/>
  <c r="I19" i="44"/>
  <c r="H19" i="44"/>
  <c r="G19" i="44"/>
  <c r="K18" i="44"/>
  <c r="J18" i="44"/>
  <c r="I18" i="44"/>
  <c r="H18" i="44"/>
  <c r="G18" i="44"/>
  <c r="K17" i="44"/>
  <c r="J17" i="44"/>
  <c r="I17" i="44"/>
  <c r="H17" i="44"/>
  <c r="G17" i="44"/>
  <c r="K16" i="44"/>
  <c r="J16" i="44"/>
  <c r="I16" i="44"/>
  <c r="H16" i="44"/>
  <c r="G16" i="44"/>
  <c r="K15" i="44"/>
  <c r="J15" i="44"/>
  <c r="I15" i="44"/>
  <c r="H15" i="44"/>
  <c r="G15" i="44"/>
  <c r="K14" i="44"/>
  <c r="J14" i="44"/>
  <c r="I14" i="44"/>
  <c r="H14" i="44"/>
  <c r="G14" i="44"/>
  <c r="K13" i="44"/>
  <c r="J13" i="44"/>
  <c r="I13" i="44"/>
  <c r="H13" i="44"/>
  <c r="G13" i="44"/>
  <c r="K12" i="44"/>
  <c r="J12" i="44"/>
  <c r="I12" i="44"/>
  <c r="H12" i="44"/>
  <c r="G12" i="44"/>
  <c r="K11" i="44"/>
  <c r="J11" i="44"/>
  <c r="I11" i="44"/>
  <c r="H11" i="44"/>
  <c r="G11" i="44"/>
  <c r="K10" i="44"/>
  <c r="J10" i="44"/>
  <c r="I10" i="44"/>
  <c r="H10" i="44"/>
  <c r="G10" i="44"/>
  <c r="K9" i="44"/>
  <c r="J9" i="44"/>
  <c r="I9" i="44"/>
  <c r="H9" i="44"/>
  <c r="G9" i="44"/>
  <c r="K8" i="44"/>
  <c r="J8" i="44"/>
  <c r="I8" i="44"/>
  <c r="H8" i="44"/>
  <c r="G8" i="44"/>
  <c r="K20" i="34"/>
  <c r="J20" i="34"/>
  <c r="I20" i="34"/>
  <c r="H20" i="34"/>
  <c r="G20" i="34"/>
  <c r="K19" i="34"/>
  <c r="J19" i="34"/>
  <c r="I19" i="34"/>
  <c r="H19" i="34"/>
  <c r="G19" i="34"/>
  <c r="K18" i="34"/>
  <c r="J18" i="34"/>
  <c r="I18" i="34"/>
  <c r="H18" i="34"/>
  <c r="G18" i="34"/>
  <c r="K17" i="34"/>
  <c r="J17" i="34"/>
  <c r="I17" i="34"/>
  <c r="H17" i="34"/>
  <c r="G17" i="34"/>
  <c r="K16" i="34"/>
  <c r="J16" i="34"/>
  <c r="I16" i="34"/>
  <c r="H16" i="34"/>
  <c r="G16" i="34"/>
  <c r="K15" i="34"/>
  <c r="J15" i="34"/>
  <c r="I15" i="34"/>
  <c r="H15" i="34"/>
  <c r="G15" i="34"/>
  <c r="K14" i="34"/>
  <c r="J14" i="34"/>
  <c r="I14" i="34"/>
  <c r="H14" i="34"/>
  <c r="G14" i="34"/>
  <c r="K13" i="34"/>
  <c r="J13" i="34"/>
  <c r="I13" i="34"/>
  <c r="H13" i="34"/>
  <c r="G13" i="34"/>
  <c r="K12" i="34"/>
  <c r="J12" i="34"/>
  <c r="I12" i="34"/>
  <c r="H12" i="34"/>
  <c r="G12" i="34"/>
  <c r="K11" i="34"/>
  <c r="J11" i="34"/>
  <c r="I11" i="34"/>
  <c r="H11" i="34"/>
  <c r="G11" i="34"/>
  <c r="K10" i="34"/>
  <c r="J10" i="34"/>
  <c r="I10" i="34"/>
  <c r="H10" i="34"/>
  <c r="G10" i="34"/>
  <c r="K9" i="34"/>
  <c r="J9" i="34"/>
  <c r="I9" i="34"/>
  <c r="H9" i="34"/>
  <c r="G9" i="34"/>
  <c r="K8" i="34"/>
  <c r="J8" i="34"/>
  <c r="I8" i="34"/>
  <c r="H8" i="34"/>
  <c r="G8" i="34"/>
  <c r="K20" i="29"/>
  <c r="J20" i="29"/>
  <c r="I20" i="29"/>
  <c r="H20" i="29"/>
  <c r="G20" i="29"/>
  <c r="K19" i="29"/>
  <c r="J19" i="29"/>
  <c r="I19" i="29"/>
  <c r="H19" i="29"/>
  <c r="G19" i="29"/>
  <c r="K18" i="29"/>
  <c r="J18" i="29"/>
  <c r="I18" i="29"/>
  <c r="H18" i="29"/>
  <c r="G18" i="29"/>
  <c r="K17" i="29"/>
  <c r="J17" i="29"/>
  <c r="I17" i="29"/>
  <c r="H17" i="29"/>
  <c r="G17" i="29"/>
  <c r="K16" i="29"/>
  <c r="J16" i="29"/>
  <c r="I16" i="29"/>
  <c r="H16" i="29"/>
  <c r="G16" i="29"/>
  <c r="K15" i="29"/>
  <c r="J15" i="29"/>
  <c r="I15" i="29"/>
  <c r="H15" i="29"/>
  <c r="G15" i="29"/>
  <c r="K14" i="29"/>
  <c r="J14" i="29"/>
  <c r="I14" i="29"/>
  <c r="H14" i="29"/>
  <c r="G14" i="29"/>
  <c r="K13" i="29"/>
  <c r="J13" i="29"/>
  <c r="I13" i="29"/>
  <c r="H13" i="29"/>
  <c r="G13" i="29"/>
  <c r="K12" i="29"/>
  <c r="J12" i="29"/>
  <c r="I12" i="29"/>
  <c r="H12" i="29"/>
  <c r="G12" i="29"/>
  <c r="K11" i="29"/>
  <c r="J11" i="29"/>
  <c r="I11" i="29"/>
  <c r="H11" i="29"/>
  <c r="G11" i="29"/>
  <c r="K10" i="29"/>
  <c r="J10" i="29"/>
  <c r="I10" i="29"/>
  <c r="H10" i="29"/>
  <c r="G10" i="29"/>
  <c r="K9" i="29"/>
  <c r="J9" i="29"/>
  <c r="I9" i="29"/>
  <c r="H9" i="29"/>
  <c r="G9" i="29"/>
  <c r="K8" i="29"/>
  <c r="J8" i="29"/>
  <c r="I8" i="29"/>
  <c r="H8" i="29"/>
  <c r="G8" i="29"/>
  <c r="K20" i="36"/>
  <c r="J20" i="36"/>
  <c r="I20" i="36"/>
  <c r="H20" i="36"/>
  <c r="G20" i="36"/>
  <c r="K19" i="36"/>
  <c r="J19" i="36"/>
  <c r="I19" i="36"/>
  <c r="H19" i="36"/>
  <c r="G19" i="36"/>
  <c r="K18" i="36"/>
  <c r="J18" i="36"/>
  <c r="I18" i="36"/>
  <c r="H18" i="36"/>
  <c r="G18" i="36"/>
  <c r="K17" i="36"/>
  <c r="J17" i="36"/>
  <c r="I17" i="36"/>
  <c r="H17" i="36"/>
  <c r="G17" i="36"/>
  <c r="K16" i="36"/>
  <c r="J16" i="36"/>
  <c r="I16" i="36"/>
  <c r="H16" i="36"/>
  <c r="G16" i="36"/>
  <c r="K15" i="36"/>
  <c r="J15" i="36"/>
  <c r="I15" i="36"/>
  <c r="H15" i="36"/>
  <c r="G15" i="36"/>
  <c r="K14" i="36"/>
  <c r="J14" i="36"/>
  <c r="I14" i="36"/>
  <c r="H14" i="36"/>
  <c r="G14" i="36"/>
  <c r="K13" i="36"/>
  <c r="J13" i="36"/>
  <c r="I13" i="36"/>
  <c r="H13" i="36"/>
  <c r="G13" i="36"/>
  <c r="K12" i="36"/>
  <c r="J12" i="36"/>
  <c r="I12" i="36"/>
  <c r="H12" i="36"/>
  <c r="G12" i="36"/>
  <c r="K11" i="36"/>
  <c r="J11" i="36"/>
  <c r="I11" i="36"/>
  <c r="H11" i="36"/>
  <c r="G11" i="36"/>
  <c r="K10" i="36"/>
  <c r="J10" i="36"/>
  <c r="I10" i="36"/>
  <c r="H10" i="36"/>
  <c r="G10" i="36"/>
  <c r="K9" i="36"/>
  <c r="J9" i="36"/>
  <c r="I9" i="36"/>
  <c r="H9" i="36"/>
  <c r="G9" i="36"/>
  <c r="K8" i="36"/>
  <c r="J8" i="36"/>
  <c r="I8" i="36"/>
  <c r="H8" i="36"/>
  <c r="G8" i="36"/>
  <c r="K20" i="28"/>
  <c r="J20" i="28"/>
  <c r="I20" i="28"/>
  <c r="H20" i="28"/>
  <c r="G20" i="28"/>
  <c r="K19" i="28"/>
  <c r="J19" i="28"/>
  <c r="I19" i="28"/>
  <c r="H19" i="28"/>
  <c r="G19" i="28"/>
  <c r="K18" i="28"/>
  <c r="J18" i="28"/>
  <c r="I18" i="28"/>
  <c r="H18" i="28"/>
  <c r="G18" i="28"/>
  <c r="K17" i="28"/>
  <c r="J17" i="28"/>
  <c r="I17" i="28"/>
  <c r="H17" i="28"/>
  <c r="G17" i="28"/>
  <c r="K16" i="28"/>
  <c r="J16" i="28"/>
  <c r="I16" i="28"/>
  <c r="H16" i="28"/>
  <c r="G16" i="28"/>
  <c r="K15" i="28"/>
  <c r="J15" i="28"/>
  <c r="I15" i="28"/>
  <c r="H15" i="28"/>
  <c r="G15" i="28"/>
  <c r="K14" i="28"/>
  <c r="J14" i="28"/>
  <c r="I14" i="28"/>
  <c r="H14" i="28"/>
  <c r="G14" i="28"/>
  <c r="K13" i="28"/>
  <c r="J13" i="28"/>
  <c r="I13" i="28"/>
  <c r="H13" i="28"/>
  <c r="G13" i="28"/>
  <c r="K12" i="28"/>
  <c r="J12" i="28"/>
  <c r="I12" i="28"/>
  <c r="H12" i="28"/>
  <c r="G12" i="28"/>
  <c r="K11" i="28"/>
  <c r="J11" i="28"/>
  <c r="I11" i="28"/>
  <c r="H11" i="28"/>
  <c r="G11" i="28"/>
  <c r="K10" i="28"/>
  <c r="J10" i="28"/>
  <c r="I10" i="28"/>
  <c r="H10" i="28"/>
  <c r="G10" i="28"/>
  <c r="K9" i="28"/>
  <c r="J9" i="28"/>
  <c r="I9" i="28"/>
  <c r="H9" i="28"/>
  <c r="G9" i="28"/>
  <c r="K8" i="28"/>
  <c r="J8" i="28"/>
  <c r="I8" i="28"/>
  <c r="H8" i="28"/>
  <c r="G8" i="28"/>
  <c r="K20" i="42"/>
  <c r="J20" i="42"/>
  <c r="I20" i="42"/>
  <c r="H20" i="42"/>
  <c r="G20" i="42"/>
  <c r="K19" i="42"/>
  <c r="J19" i="42"/>
  <c r="I19" i="42"/>
  <c r="H19" i="42"/>
  <c r="G19" i="42"/>
  <c r="K18" i="42"/>
  <c r="J18" i="42"/>
  <c r="I18" i="42"/>
  <c r="H18" i="42"/>
  <c r="G18" i="42"/>
  <c r="K17" i="42"/>
  <c r="J17" i="42"/>
  <c r="I17" i="42"/>
  <c r="H17" i="42"/>
  <c r="G17" i="42"/>
  <c r="K16" i="42"/>
  <c r="J16" i="42"/>
  <c r="I16" i="42"/>
  <c r="H16" i="42"/>
  <c r="G16" i="42"/>
  <c r="K15" i="42"/>
  <c r="J15" i="42"/>
  <c r="I15" i="42"/>
  <c r="H15" i="42"/>
  <c r="G15" i="42"/>
  <c r="K14" i="42"/>
  <c r="J14" i="42"/>
  <c r="I14" i="42"/>
  <c r="H14" i="42"/>
  <c r="G14" i="42"/>
  <c r="K13" i="42"/>
  <c r="J13" i="42"/>
  <c r="I13" i="42"/>
  <c r="H13" i="42"/>
  <c r="G13" i="42"/>
  <c r="K12" i="42"/>
  <c r="J12" i="42"/>
  <c r="I12" i="42"/>
  <c r="H12" i="42"/>
  <c r="G12" i="42"/>
  <c r="K11" i="42"/>
  <c r="J11" i="42"/>
  <c r="I11" i="42"/>
  <c r="H11" i="42"/>
  <c r="G11" i="42"/>
  <c r="K10" i="42"/>
  <c r="J10" i="42"/>
  <c r="I10" i="42"/>
  <c r="H10" i="42"/>
  <c r="G10" i="42"/>
  <c r="K9" i="42"/>
  <c r="J9" i="42"/>
  <c r="I9" i="42"/>
  <c r="H9" i="42"/>
  <c r="G9" i="42"/>
  <c r="K8" i="42"/>
  <c r="J8" i="42"/>
  <c r="I8" i="42"/>
  <c r="H8" i="42"/>
  <c r="G8" i="42"/>
  <c r="K20" i="50"/>
  <c r="J20" i="50"/>
  <c r="I20" i="50"/>
  <c r="H20" i="50"/>
  <c r="G20" i="50"/>
  <c r="K19" i="50"/>
  <c r="J19" i="50"/>
  <c r="I19" i="50"/>
  <c r="H19" i="50"/>
  <c r="G19" i="50"/>
  <c r="K18" i="50"/>
  <c r="J18" i="50"/>
  <c r="I18" i="50"/>
  <c r="H18" i="50"/>
  <c r="G18" i="50"/>
  <c r="K17" i="50"/>
  <c r="J17" i="50"/>
  <c r="I17" i="50"/>
  <c r="H17" i="50"/>
  <c r="G17" i="50"/>
  <c r="K16" i="50"/>
  <c r="J16" i="50"/>
  <c r="I16" i="50"/>
  <c r="H16" i="50"/>
  <c r="G16" i="50"/>
  <c r="K15" i="50"/>
  <c r="J15" i="50"/>
  <c r="I15" i="50"/>
  <c r="H15" i="50"/>
  <c r="G15" i="50"/>
  <c r="K14" i="50"/>
  <c r="J14" i="50"/>
  <c r="I14" i="50"/>
  <c r="H14" i="50"/>
  <c r="G14" i="50"/>
  <c r="K13" i="50"/>
  <c r="J13" i="50"/>
  <c r="I13" i="50"/>
  <c r="H13" i="50"/>
  <c r="G13" i="50"/>
  <c r="K12" i="50"/>
  <c r="J12" i="50"/>
  <c r="I12" i="50"/>
  <c r="H12" i="50"/>
  <c r="G12" i="50"/>
  <c r="K11" i="50"/>
  <c r="J11" i="50"/>
  <c r="I11" i="50"/>
  <c r="H11" i="50"/>
  <c r="G11" i="50"/>
  <c r="K10" i="50"/>
  <c r="J10" i="50"/>
  <c r="I10" i="50"/>
  <c r="H10" i="50"/>
  <c r="G10" i="50"/>
  <c r="K9" i="50"/>
  <c r="J9" i="50"/>
  <c r="I9" i="50"/>
  <c r="H9" i="50"/>
  <c r="G9" i="50"/>
  <c r="K8" i="50"/>
  <c r="J8" i="50"/>
  <c r="I8" i="50"/>
  <c r="H8" i="50"/>
  <c r="G8" i="50"/>
  <c r="K20" i="32"/>
  <c r="J20" i="32"/>
  <c r="I20" i="32"/>
  <c r="H20" i="32"/>
  <c r="G20" i="32"/>
  <c r="K19" i="32"/>
  <c r="J19" i="32"/>
  <c r="I19" i="32"/>
  <c r="H19" i="32"/>
  <c r="G19" i="32"/>
  <c r="K18" i="32"/>
  <c r="J18" i="32"/>
  <c r="I18" i="32"/>
  <c r="H18" i="32"/>
  <c r="G18" i="32"/>
  <c r="K17" i="32"/>
  <c r="J17" i="32"/>
  <c r="I17" i="32"/>
  <c r="H17" i="32"/>
  <c r="G17" i="32"/>
  <c r="K16" i="32"/>
  <c r="J16" i="32"/>
  <c r="I16" i="32"/>
  <c r="H16" i="32"/>
  <c r="G16" i="32"/>
  <c r="K15" i="32"/>
  <c r="J15" i="32"/>
  <c r="I15" i="32"/>
  <c r="H15" i="32"/>
  <c r="G15" i="32"/>
  <c r="K14" i="32"/>
  <c r="J14" i="32"/>
  <c r="I14" i="32"/>
  <c r="H14" i="32"/>
  <c r="G14" i="32"/>
  <c r="K13" i="32"/>
  <c r="J13" i="32"/>
  <c r="I13" i="32"/>
  <c r="H13" i="32"/>
  <c r="G13" i="32"/>
  <c r="K12" i="32"/>
  <c r="J12" i="32"/>
  <c r="I12" i="32"/>
  <c r="H12" i="32"/>
  <c r="G12" i="32"/>
  <c r="K11" i="32"/>
  <c r="J11" i="32"/>
  <c r="I11" i="32"/>
  <c r="H11" i="32"/>
  <c r="G11" i="32"/>
  <c r="K10" i="32"/>
  <c r="J10" i="32"/>
  <c r="I10" i="32"/>
  <c r="H10" i="32"/>
  <c r="G10" i="32"/>
  <c r="K9" i="32"/>
  <c r="J9" i="32"/>
  <c r="I9" i="32"/>
  <c r="H9" i="32"/>
  <c r="G9" i="32"/>
  <c r="K8" i="32"/>
  <c r="J8" i="32"/>
  <c r="I8" i="32"/>
  <c r="H8" i="32"/>
  <c r="G8" i="32"/>
  <c r="K20" i="57"/>
  <c r="J20" i="57"/>
  <c r="I20" i="57"/>
  <c r="H20" i="57"/>
  <c r="G20" i="57"/>
  <c r="K19" i="57"/>
  <c r="J19" i="57"/>
  <c r="I19" i="57"/>
  <c r="H19" i="57"/>
  <c r="G19" i="57"/>
  <c r="K18" i="57"/>
  <c r="J18" i="57"/>
  <c r="I18" i="57"/>
  <c r="H18" i="57"/>
  <c r="G18" i="57"/>
  <c r="K17" i="57"/>
  <c r="J17" i="57"/>
  <c r="I17" i="57"/>
  <c r="H17" i="57"/>
  <c r="G17" i="57"/>
  <c r="K16" i="57"/>
  <c r="J16" i="57"/>
  <c r="I16" i="57"/>
  <c r="H16" i="57"/>
  <c r="G16" i="57"/>
  <c r="K15" i="57"/>
  <c r="J15" i="57"/>
  <c r="I15" i="57"/>
  <c r="H15" i="57"/>
  <c r="G15" i="57"/>
  <c r="K14" i="57"/>
  <c r="J14" i="57"/>
  <c r="I14" i="57"/>
  <c r="H14" i="57"/>
  <c r="G14" i="57"/>
  <c r="K13" i="57"/>
  <c r="J13" i="57"/>
  <c r="I13" i="57"/>
  <c r="H13" i="57"/>
  <c r="G13" i="57"/>
  <c r="K12" i="57"/>
  <c r="J12" i="57"/>
  <c r="I12" i="57"/>
  <c r="H12" i="57"/>
  <c r="G12" i="57"/>
  <c r="K11" i="57"/>
  <c r="J11" i="57"/>
  <c r="I11" i="57"/>
  <c r="H11" i="57"/>
  <c r="G11" i="57"/>
  <c r="K10" i="57"/>
  <c r="J10" i="57"/>
  <c r="I10" i="57"/>
  <c r="H10" i="57"/>
  <c r="G10" i="57"/>
  <c r="K9" i="57"/>
  <c r="J9" i="57"/>
  <c r="I9" i="57"/>
  <c r="H9" i="57"/>
  <c r="G9" i="57"/>
  <c r="K8" i="57"/>
  <c r="J8" i="57"/>
  <c r="I8" i="57"/>
  <c r="H8" i="57"/>
  <c r="G8" i="57"/>
  <c r="K20" i="39"/>
  <c r="J20" i="39"/>
  <c r="I20" i="39"/>
  <c r="H20" i="39"/>
  <c r="G20" i="39"/>
  <c r="K19" i="39"/>
  <c r="J19" i="39"/>
  <c r="I19" i="39"/>
  <c r="H19" i="39"/>
  <c r="G19" i="39"/>
  <c r="K18" i="39"/>
  <c r="J18" i="39"/>
  <c r="I18" i="39"/>
  <c r="H18" i="39"/>
  <c r="G18" i="39"/>
  <c r="K17" i="39"/>
  <c r="J17" i="39"/>
  <c r="I17" i="39"/>
  <c r="H17" i="39"/>
  <c r="G17" i="39"/>
  <c r="K16" i="39"/>
  <c r="J16" i="39"/>
  <c r="I16" i="39"/>
  <c r="H16" i="39"/>
  <c r="G16" i="39"/>
  <c r="K15" i="39"/>
  <c r="J15" i="39"/>
  <c r="I15" i="39"/>
  <c r="H15" i="39"/>
  <c r="G15" i="39"/>
  <c r="K14" i="39"/>
  <c r="J14" i="39"/>
  <c r="I14" i="39"/>
  <c r="H14" i="39"/>
  <c r="G14" i="39"/>
  <c r="K13" i="39"/>
  <c r="J13" i="39"/>
  <c r="I13" i="39"/>
  <c r="H13" i="39"/>
  <c r="G13" i="39"/>
  <c r="K12" i="39"/>
  <c r="J12" i="39"/>
  <c r="I12" i="39"/>
  <c r="H12" i="39"/>
  <c r="G12" i="39"/>
  <c r="K11" i="39"/>
  <c r="J11" i="39"/>
  <c r="I11" i="39"/>
  <c r="H11" i="39"/>
  <c r="G11" i="39"/>
  <c r="K10" i="39"/>
  <c r="J10" i="39"/>
  <c r="I10" i="39"/>
  <c r="H10" i="39"/>
  <c r="G10" i="39"/>
  <c r="K9" i="39"/>
  <c r="J9" i="39"/>
  <c r="I9" i="39"/>
  <c r="H9" i="39"/>
  <c r="G9" i="39"/>
  <c r="K8" i="39"/>
  <c r="J8" i="39"/>
  <c r="I8" i="39"/>
  <c r="H8" i="39"/>
  <c r="G8" i="39"/>
  <c r="K20" i="47"/>
  <c r="J20" i="47"/>
  <c r="I20" i="47"/>
  <c r="H20" i="47"/>
  <c r="G20" i="47"/>
  <c r="K19" i="47"/>
  <c r="J19" i="47"/>
  <c r="I19" i="47"/>
  <c r="H19" i="47"/>
  <c r="G19" i="47"/>
  <c r="K18" i="47"/>
  <c r="J18" i="47"/>
  <c r="I18" i="47"/>
  <c r="H18" i="47"/>
  <c r="G18" i="47"/>
  <c r="K17" i="47"/>
  <c r="J17" i="47"/>
  <c r="I17" i="47"/>
  <c r="H17" i="47"/>
  <c r="G17" i="47"/>
  <c r="K16" i="47"/>
  <c r="J16" i="47"/>
  <c r="I16" i="47"/>
  <c r="H16" i="47"/>
  <c r="G16" i="47"/>
  <c r="K15" i="47"/>
  <c r="J15" i="47"/>
  <c r="I15" i="47"/>
  <c r="H15" i="47"/>
  <c r="G15" i="47"/>
  <c r="K14" i="47"/>
  <c r="J14" i="47"/>
  <c r="I14" i="47"/>
  <c r="H14" i="47"/>
  <c r="G14" i="47"/>
  <c r="K13" i="47"/>
  <c r="J13" i="47"/>
  <c r="I13" i="47"/>
  <c r="H13" i="47"/>
  <c r="G13" i="47"/>
  <c r="K12" i="47"/>
  <c r="J12" i="47"/>
  <c r="I12" i="47"/>
  <c r="H12" i="47"/>
  <c r="G12" i="47"/>
  <c r="K11" i="47"/>
  <c r="J11" i="47"/>
  <c r="I11" i="47"/>
  <c r="H11" i="47"/>
  <c r="G11" i="47"/>
  <c r="K10" i="47"/>
  <c r="J10" i="47"/>
  <c r="I10" i="47"/>
  <c r="H10" i="47"/>
  <c r="G10" i="47"/>
  <c r="K9" i="47"/>
  <c r="J9" i="47"/>
  <c r="I9" i="47"/>
  <c r="H9" i="47"/>
  <c r="G9" i="47"/>
  <c r="K8" i="47"/>
  <c r="J8" i="47"/>
  <c r="I8" i="47"/>
  <c r="H8" i="47"/>
  <c r="G8" i="47"/>
  <c r="K20" i="31"/>
  <c r="J20" i="31"/>
  <c r="I20" i="31"/>
  <c r="H20" i="31"/>
  <c r="G20" i="31"/>
  <c r="K19" i="31"/>
  <c r="J19" i="31"/>
  <c r="I19" i="31"/>
  <c r="H19" i="31"/>
  <c r="G19" i="31"/>
  <c r="K18" i="31"/>
  <c r="J18" i="31"/>
  <c r="I18" i="31"/>
  <c r="H18" i="31"/>
  <c r="G18" i="31"/>
  <c r="K17" i="31"/>
  <c r="J17" i="31"/>
  <c r="I17" i="31"/>
  <c r="H17" i="31"/>
  <c r="G17" i="31"/>
  <c r="K16" i="31"/>
  <c r="J16" i="31"/>
  <c r="I16" i="31"/>
  <c r="H16" i="31"/>
  <c r="G16" i="31"/>
  <c r="K15" i="31"/>
  <c r="J15" i="31"/>
  <c r="I15" i="31"/>
  <c r="H15" i="31"/>
  <c r="G15" i="31"/>
  <c r="K14" i="31"/>
  <c r="J14" i="31"/>
  <c r="I14" i="31"/>
  <c r="H14" i="31"/>
  <c r="G14" i="31"/>
  <c r="K13" i="31"/>
  <c r="J13" i="31"/>
  <c r="I13" i="31"/>
  <c r="H13" i="31"/>
  <c r="G13" i="31"/>
  <c r="K12" i="31"/>
  <c r="J12" i="31"/>
  <c r="I12" i="31"/>
  <c r="H12" i="31"/>
  <c r="G12" i="31"/>
  <c r="K11" i="31"/>
  <c r="J11" i="31"/>
  <c r="I11" i="31"/>
  <c r="H11" i="31"/>
  <c r="G11" i="31"/>
  <c r="K10" i="31"/>
  <c r="J10" i="31"/>
  <c r="I10" i="31"/>
  <c r="H10" i="31"/>
  <c r="G10" i="31"/>
  <c r="K9" i="31"/>
  <c r="J9" i="31"/>
  <c r="I9" i="31"/>
  <c r="H9" i="31"/>
  <c r="G9" i="31"/>
  <c r="K8" i="31"/>
  <c r="J8" i="31"/>
  <c r="I8" i="31"/>
  <c r="H8" i="31"/>
  <c r="G8" i="31"/>
  <c r="K20" i="26"/>
  <c r="J20" i="26"/>
  <c r="I20" i="26"/>
  <c r="H20" i="26"/>
  <c r="G20" i="26"/>
  <c r="K19" i="26"/>
  <c r="J19" i="26"/>
  <c r="I19" i="26"/>
  <c r="H19" i="26"/>
  <c r="G19" i="26"/>
  <c r="K18" i="26"/>
  <c r="J18" i="26"/>
  <c r="I18" i="26"/>
  <c r="H18" i="26"/>
  <c r="G18" i="26"/>
  <c r="K17" i="26"/>
  <c r="J17" i="26"/>
  <c r="I17" i="26"/>
  <c r="H17" i="26"/>
  <c r="G17" i="26"/>
  <c r="K16" i="26"/>
  <c r="J16" i="26"/>
  <c r="I16" i="26"/>
  <c r="H16" i="26"/>
  <c r="G16" i="26"/>
  <c r="K15" i="26"/>
  <c r="J15" i="26"/>
  <c r="I15" i="26"/>
  <c r="H15" i="26"/>
  <c r="G15" i="26"/>
  <c r="K14" i="26"/>
  <c r="J14" i="26"/>
  <c r="I14" i="26"/>
  <c r="H14" i="26"/>
  <c r="G14" i="26"/>
  <c r="K13" i="26"/>
  <c r="J13" i="26"/>
  <c r="I13" i="26"/>
  <c r="H13" i="26"/>
  <c r="G13" i="26"/>
  <c r="K12" i="26"/>
  <c r="J12" i="26"/>
  <c r="I12" i="26"/>
  <c r="H12" i="26"/>
  <c r="G12" i="26"/>
  <c r="K11" i="26"/>
  <c r="J11" i="26"/>
  <c r="I11" i="26"/>
  <c r="H11" i="26"/>
  <c r="G11" i="26"/>
  <c r="K10" i="26"/>
  <c r="J10" i="26"/>
  <c r="I10" i="26"/>
  <c r="H10" i="26"/>
  <c r="G10" i="26"/>
  <c r="K9" i="26"/>
  <c r="J9" i="26"/>
  <c r="I9" i="26"/>
  <c r="H9" i="26"/>
  <c r="G9" i="26"/>
  <c r="K8" i="26"/>
  <c r="J8" i="26"/>
  <c r="I8" i="26"/>
  <c r="H8" i="26"/>
  <c r="G8" i="26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20" i="52"/>
  <c r="J20" i="52"/>
  <c r="I20" i="52"/>
  <c r="H20" i="52"/>
  <c r="G20" i="52"/>
  <c r="K19" i="52"/>
  <c r="J19" i="52"/>
  <c r="I19" i="52"/>
  <c r="H19" i="52"/>
  <c r="G19" i="52"/>
  <c r="K18" i="52"/>
  <c r="J18" i="52"/>
  <c r="I18" i="52"/>
  <c r="H18" i="52"/>
  <c r="G18" i="52"/>
  <c r="K17" i="52"/>
  <c r="J17" i="52"/>
  <c r="I17" i="52"/>
  <c r="H17" i="52"/>
  <c r="G17" i="52"/>
  <c r="K16" i="52"/>
  <c r="J16" i="52"/>
  <c r="I16" i="52"/>
  <c r="H16" i="52"/>
  <c r="G16" i="52"/>
  <c r="K15" i="52"/>
  <c r="J15" i="52"/>
  <c r="I15" i="52"/>
  <c r="H15" i="52"/>
  <c r="G15" i="52"/>
  <c r="K14" i="52"/>
  <c r="J14" i="52"/>
  <c r="I14" i="52"/>
  <c r="H14" i="52"/>
  <c r="G14" i="52"/>
  <c r="K13" i="52"/>
  <c r="J13" i="52"/>
  <c r="I13" i="52"/>
  <c r="H13" i="52"/>
  <c r="G13" i="52"/>
  <c r="K12" i="52"/>
  <c r="J12" i="52"/>
  <c r="I12" i="52"/>
  <c r="H12" i="52"/>
  <c r="G12" i="52"/>
  <c r="K11" i="52"/>
  <c r="J11" i="52"/>
  <c r="I11" i="52"/>
  <c r="H11" i="52"/>
  <c r="G11" i="52"/>
  <c r="K10" i="52"/>
  <c r="J10" i="52"/>
  <c r="I10" i="52"/>
  <c r="H10" i="52"/>
  <c r="G10" i="52"/>
  <c r="K9" i="52"/>
  <c r="J9" i="52"/>
  <c r="I9" i="52"/>
  <c r="H9" i="52"/>
  <c r="G9" i="52"/>
  <c r="K8" i="52"/>
  <c r="J8" i="52"/>
  <c r="I8" i="52"/>
  <c r="H8" i="52"/>
  <c r="G8" i="52"/>
  <c r="K20" i="53"/>
  <c r="J20" i="53"/>
  <c r="I20" i="53"/>
  <c r="H20" i="53"/>
  <c r="G20" i="53"/>
  <c r="K19" i="53"/>
  <c r="J19" i="53"/>
  <c r="I19" i="53"/>
  <c r="H19" i="53"/>
  <c r="G19" i="53"/>
  <c r="K18" i="53"/>
  <c r="J18" i="53"/>
  <c r="I18" i="53"/>
  <c r="H18" i="53"/>
  <c r="G18" i="53"/>
  <c r="K17" i="53"/>
  <c r="J17" i="53"/>
  <c r="I17" i="53"/>
  <c r="H17" i="53"/>
  <c r="G17" i="53"/>
  <c r="K16" i="53"/>
  <c r="J16" i="53"/>
  <c r="I16" i="53"/>
  <c r="H16" i="53"/>
  <c r="G16" i="53"/>
  <c r="K15" i="53"/>
  <c r="J15" i="53"/>
  <c r="I15" i="53"/>
  <c r="H15" i="53"/>
  <c r="G15" i="53"/>
  <c r="K14" i="53"/>
  <c r="J14" i="53"/>
  <c r="I14" i="53"/>
  <c r="H14" i="53"/>
  <c r="G14" i="53"/>
  <c r="K13" i="53"/>
  <c r="J13" i="53"/>
  <c r="I13" i="53"/>
  <c r="H13" i="53"/>
  <c r="G13" i="53"/>
  <c r="K12" i="53"/>
  <c r="J12" i="53"/>
  <c r="I12" i="53"/>
  <c r="H12" i="53"/>
  <c r="G12" i="53"/>
  <c r="K11" i="53"/>
  <c r="J11" i="53"/>
  <c r="I11" i="53"/>
  <c r="H11" i="53"/>
  <c r="G11" i="53"/>
  <c r="K10" i="53"/>
  <c r="J10" i="53"/>
  <c r="I10" i="53"/>
  <c r="H10" i="53"/>
  <c r="G10" i="53"/>
  <c r="K9" i="53"/>
  <c r="J9" i="53"/>
  <c r="I9" i="53"/>
  <c r="H9" i="53"/>
  <c r="G9" i="53"/>
  <c r="K8" i="53"/>
  <c r="J8" i="53"/>
  <c r="I8" i="53"/>
  <c r="H8" i="53"/>
  <c r="G8" i="53"/>
  <c r="K20" i="60"/>
  <c r="J20" i="60"/>
  <c r="I20" i="60"/>
  <c r="H20" i="60"/>
  <c r="G20" i="60"/>
  <c r="K19" i="60"/>
  <c r="J19" i="60"/>
  <c r="I19" i="60"/>
  <c r="H19" i="60"/>
  <c r="G19" i="60"/>
  <c r="K18" i="60"/>
  <c r="J18" i="60"/>
  <c r="I18" i="60"/>
  <c r="H18" i="60"/>
  <c r="G18" i="60"/>
  <c r="K17" i="60"/>
  <c r="J17" i="60"/>
  <c r="I17" i="60"/>
  <c r="H17" i="60"/>
  <c r="G17" i="60"/>
  <c r="K16" i="60"/>
  <c r="J16" i="60"/>
  <c r="I16" i="60"/>
  <c r="H16" i="60"/>
  <c r="G16" i="60"/>
  <c r="K15" i="60"/>
  <c r="J15" i="60"/>
  <c r="I15" i="60"/>
  <c r="H15" i="60"/>
  <c r="G15" i="60"/>
  <c r="K14" i="60"/>
  <c r="J14" i="60"/>
  <c r="I14" i="60"/>
  <c r="H14" i="60"/>
  <c r="G14" i="60"/>
  <c r="K13" i="60"/>
  <c r="J13" i="60"/>
  <c r="I13" i="60"/>
  <c r="H13" i="60"/>
  <c r="G13" i="60"/>
  <c r="K12" i="60"/>
  <c r="J12" i="60"/>
  <c r="I12" i="60"/>
  <c r="H12" i="60"/>
  <c r="G12" i="60"/>
  <c r="K11" i="60"/>
  <c r="J11" i="60"/>
  <c r="I11" i="60"/>
  <c r="H11" i="60"/>
  <c r="G11" i="60"/>
  <c r="K10" i="60"/>
  <c r="J10" i="60"/>
  <c r="I10" i="60"/>
  <c r="H10" i="60"/>
  <c r="G10" i="60"/>
  <c r="K9" i="60"/>
  <c r="J9" i="60"/>
  <c r="I9" i="60"/>
  <c r="H9" i="60"/>
  <c r="G9" i="60"/>
  <c r="K8" i="60"/>
  <c r="J8" i="60"/>
  <c r="I8" i="60"/>
  <c r="H8" i="60"/>
  <c r="G8" i="60"/>
  <c r="K20" i="45"/>
  <c r="J20" i="45"/>
  <c r="I20" i="45"/>
  <c r="H20" i="45"/>
  <c r="G20" i="45"/>
  <c r="K19" i="45"/>
  <c r="J19" i="45"/>
  <c r="I19" i="45"/>
  <c r="H19" i="45"/>
  <c r="G19" i="45"/>
  <c r="K18" i="45"/>
  <c r="J18" i="45"/>
  <c r="I18" i="45"/>
  <c r="H18" i="45"/>
  <c r="G18" i="45"/>
  <c r="K17" i="45"/>
  <c r="J17" i="45"/>
  <c r="I17" i="45"/>
  <c r="H17" i="45"/>
  <c r="G17" i="45"/>
  <c r="K16" i="45"/>
  <c r="J16" i="45"/>
  <c r="I16" i="45"/>
  <c r="H16" i="45"/>
  <c r="G16" i="45"/>
  <c r="K15" i="45"/>
  <c r="J15" i="45"/>
  <c r="I15" i="45"/>
  <c r="H15" i="45"/>
  <c r="G15" i="45"/>
  <c r="K14" i="45"/>
  <c r="J14" i="45"/>
  <c r="I14" i="45"/>
  <c r="H14" i="45"/>
  <c r="G14" i="45"/>
  <c r="K13" i="45"/>
  <c r="J13" i="45"/>
  <c r="I13" i="45"/>
  <c r="H13" i="45"/>
  <c r="G13" i="45"/>
  <c r="K12" i="45"/>
  <c r="J12" i="45"/>
  <c r="I12" i="45"/>
  <c r="H12" i="45"/>
  <c r="G12" i="45"/>
  <c r="K11" i="45"/>
  <c r="J11" i="45"/>
  <c r="I11" i="45"/>
  <c r="H11" i="45"/>
  <c r="G11" i="45"/>
  <c r="K10" i="45"/>
  <c r="J10" i="45"/>
  <c r="I10" i="45"/>
  <c r="H10" i="45"/>
  <c r="G10" i="45"/>
  <c r="K9" i="45"/>
  <c r="J9" i="45"/>
  <c r="I9" i="45"/>
  <c r="H9" i="45"/>
  <c r="G9" i="45"/>
  <c r="K8" i="45"/>
  <c r="J8" i="45"/>
  <c r="I8" i="45"/>
  <c r="H8" i="45"/>
  <c r="G8" i="45"/>
  <c r="K20" i="59"/>
  <c r="J20" i="59"/>
  <c r="I20" i="59"/>
  <c r="H20" i="59"/>
  <c r="G20" i="59"/>
  <c r="K19" i="59"/>
  <c r="J19" i="59"/>
  <c r="I19" i="59"/>
  <c r="H19" i="59"/>
  <c r="G19" i="59"/>
  <c r="K18" i="59"/>
  <c r="J18" i="59"/>
  <c r="I18" i="59"/>
  <c r="H18" i="59"/>
  <c r="G18" i="59"/>
  <c r="K17" i="59"/>
  <c r="J17" i="59"/>
  <c r="I17" i="59"/>
  <c r="H17" i="59"/>
  <c r="G17" i="59"/>
  <c r="K16" i="59"/>
  <c r="J16" i="59"/>
  <c r="I16" i="59"/>
  <c r="H16" i="59"/>
  <c r="G16" i="59"/>
  <c r="K15" i="59"/>
  <c r="J15" i="59"/>
  <c r="I15" i="59"/>
  <c r="H15" i="59"/>
  <c r="G15" i="59"/>
  <c r="K14" i="59"/>
  <c r="J14" i="59"/>
  <c r="I14" i="59"/>
  <c r="H14" i="59"/>
  <c r="G14" i="59"/>
  <c r="K13" i="59"/>
  <c r="J13" i="59"/>
  <c r="I13" i="59"/>
  <c r="H13" i="59"/>
  <c r="G13" i="59"/>
  <c r="K12" i="59"/>
  <c r="J12" i="59"/>
  <c r="I12" i="59"/>
  <c r="H12" i="59"/>
  <c r="G12" i="59"/>
  <c r="K11" i="59"/>
  <c r="J11" i="59"/>
  <c r="I11" i="59"/>
  <c r="H11" i="59"/>
  <c r="G11" i="59"/>
  <c r="K10" i="59"/>
  <c r="J10" i="59"/>
  <c r="I10" i="59"/>
  <c r="H10" i="59"/>
  <c r="G10" i="59"/>
  <c r="K9" i="59"/>
  <c r="J9" i="59"/>
  <c r="I9" i="59"/>
  <c r="H9" i="59"/>
  <c r="G9" i="59"/>
  <c r="K8" i="59"/>
  <c r="J8" i="59"/>
  <c r="I8" i="59"/>
  <c r="H8" i="59"/>
  <c r="G8" i="59"/>
  <c r="K20" i="37"/>
  <c r="J20" i="37"/>
  <c r="I20" i="37"/>
  <c r="H20" i="37"/>
  <c r="G20" i="37"/>
  <c r="K19" i="37"/>
  <c r="J19" i="37"/>
  <c r="I19" i="37"/>
  <c r="H19" i="37"/>
  <c r="G19" i="37"/>
  <c r="K18" i="37"/>
  <c r="J18" i="37"/>
  <c r="I18" i="37"/>
  <c r="H18" i="37"/>
  <c r="G18" i="37"/>
  <c r="K17" i="37"/>
  <c r="J17" i="37"/>
  <c r="I17" i="37"/>
  <c r="H17" i="37"/>
  <c r="G17" i="37"/>
  <c r="K16" i="37"/>
  <c r="J16" i="37"/>
  <c r="I16" i="37"/>
  <c r="H16" i="37"/>
  <c r="G16" i="37"/>
  <c r="K15" i="37"/>
  <c r="J15" i="37"/>
  <c r="I15" i="37"/>
  <c r="H15" i="37"/>
  <c r="G15" i="37"/>
  <c r="K14" i="37"/>
  <c r="J14" i="37"/>
  <c r="I14" i="37"/>
  <c r="H14" i="37"/>
  <c r="G14" i="37"/>
  <c r="K13" i="37"/>
  <c r="J13" i="37"/>
  <c r="I13" i="37"/>
  <c r="H13" i="37"/>
  <c r="G13" i="37"/>
  <c r="K12" i="37"/>
  <c r="J12" i="37"/>
  <c r="I12" i="37"/>
  <c r="H12" i="37"/>
  <c r="G12" i="37"/>
  <c r="K11" i="37"/>
  <c r="J11" i="37"/>
  <c r="I11" i="37"/>
  <c r="H11" i="37"/>
  <c r="G11" i="37"/>
  <c r="K10" i="37"/>
  <c r="J10" i="37"/>
  <c r="I10" i="37"/>
  <c r="H10" i="37"/>
  <c r="G10" i="37"/>
  <c r="K9" i="37"/>
  <c r="J9" i="37"/>
  <c r="I9" i="37"/>
  <c r="H9" i="37"/>
  <c r="G9" i="37"/>
  <c r="K8" i="37"/>
  <c r="J8" i="37"/>
  <c r="I8" i="37"/>
  <c r="H8" i="37"/>
  <c r="G8" i="37"/>
  <c r="K20" i="48"/>
  <c r="J20" i="48"/>
  <c r="I20" i="48"/>
  <c r="H20" i="48"/>
  <c r="G20" i="48"/>
  <c r="K19" i="48"/>
  <c r="J19" i="48"/>
  <c r="I19" i="48"/>
  <c r="H19" i="48"/>
  <c r="G19" i="48"/>
  <c r="K18" i="48"/>
  <c r="J18" i="48"/>
  <c r="I18" i="48"/>
  <c r="H18" i="48"/>
  <c r="G18" i="48"/>
  <c r="K17" i="48"/>
  <c r="J17" i="48"/>
  <c r="I17" i="48"/>
  <c r="H17" i="48"/>
  <c r="G17" i="48"/>
  <c r="K16" i="48"/>
  <c r="J16" i="48"/>
  <c r="I16" i="48"/>
  <c r="H16" i="48"/>
  <c r="G16" i="48"/>
  <c r="K15" i="48"/>
  <c r="J15" i="48"/>
  <c r="I15" i="48"/>
  <c r="H15" i="48"/>
  <c r="G15" i="48"/>
  <c r="K14" i="48"/>
  <c r="J14" i="48"/>
  <c r="I14" i="48"/>
  <c r="H14" i="48"/>
  <c r="G14" i="48"/>
  <c r="K13" i="48"/>
  <c r="J13" i="48"/>
  <c r="I13" i="48"/>
  <c r="H13" i="48"/>
  <c r="G13" i="48"/>
  <c r="K12" i="48"/>
  <c r="J12" i="48"/>
  <c r="I12" i="48"/>
  <c r="H12" i="48"/>
  <c r="G12" i="48"/>
  <c r="K11" i="48"/>
  <c r="J11" i="48"/>
  <c r="I11" i="48"/>
  <c r="H11" i="48"/>
  <c r="G11" i="48"/>
  <c r="K10" i="48"/>
  <c r="J10" i="48"/>
  <c r="I10" i="48"/>
  <c r="H10" i="48"/>
  <c r="G10" i="48"/>
  <c r="K9" i="48"/>
  <c r="J9" i="48"/>
  <c r="I9" i="48"/>
  <c r="H9" i="48"/>
  <c r="G9" i="48"/>
  <c r="K8" i="48"/>
  <c r="J8" i="48"/>
  <c r="I8" i="48"/>
  <c r="H8" i="48"/>
  <c r="G8" i="48"/>
  <c r="K20" i="33"/>
  <c r="J20" i="33"/>
  <c r="I20" i="33"/>
  <c r="H20" i="33"/>
  <c r="G20" i="33"/>
  <c r="K19" i="33"/>
  <c r="J19" i="33"/>
  <c r="I19" i="33"/>
  <c r="H19" i="33"/>
  <c r="G19" i="33"/>
  <c r="K18" i="33"/>
  <c r="J18" i="33"/>
  <c r="I18" i="33"/>
  <c r="H18" i="33"/>
  <c r="G18" i="33"/>
  <c r="K17" i="33"/>
  <c r="J17" i="33"/>
  <c r="I17" i="33"/>
  <c r="H17" i="33"/>
  <c r="G17" i="33"/>
  <c r="K16" i="33"/>
  <c r="J16" i="33"/>
  <c r="I16" i="33"/>
  <c r="H16" i="33"/>
  <c r="G16" i="33"/>
  <c r="K15" i="33"/>
  <c r="J15" i="33"/>
  <c r="I15" i="33"/>
  <c r="H15" i="33"/>
  <c r="G15" i="33"/>
  <c r="K14" i="33"/>
  <c r="J14" i="33"/>
  <c r="I14" i="33"/>
  <c r="H14" i="33"/>
  <c r="G14" i="33"/>
  <c r="K13" i="33"/>
  <c r="J13" i="33"/>
  <c r="I13" i="33"/>
  <c r="H13" i="33"/>
  <c r="G13" i="33"/>
  <c r="K12" i="33"/>
  <c r="J12" i="33"/>
  <c r="I12" i="33"/>
  <c r="H12" i="33"/>
  <c r="G12" i="33"/>
  <c r="K11" i="33"/>
  <c r="J11" i="33"/>
  <c r="I11" i="33"/>
  <c r="H11" i="33"/>
  <c r="G11" i="33"/>
  <c r="K10" i="33"/>
  <c r="J10" i="33"/>
  <c r="I10" i="33"/>
  <c r="H10" i="33"/>
  <c r="G10" i="33"/>
  <c r="K9" i="33"/>
  <c r="J9" i="33"/>
  <c r="I9" i="33"/>
  <c r="H9" i="33"/>
  <c r="G9" i="33"/>
  <c r="K8" i="33"/>
  <c r="J8" i="33"/>
  <c r="I8" i="33"/>
  <c r="H8" i="33"/>
  <c r="G8" i="33"/>
  <c r="K20" i="61"/>
  <c r="J20" i="61"/>
  <c r="I20" i="61"/>
  <c r="H20" i="61"/>
  <c r="G20" i="61"/>
  <c r="K19" i="61"/>
  <c r="J19" i="61"/>
  <c r="I19" i="61"/>
  <c r="H19" i="61"/>
  <c r="G19" i="61"/>
  <c r="K18" i="61"/>
  <c r="J18" i="61"/>
  <c r="I18" i="61"/>
  <c r="H18" i="61"/>
  <c r="G18" i="61"/>
  <c r="K17" i="61"/>
  <c r="J17" i="61"/>
  <c r="I17" i="61"/>
  <c r="H17" i="61"/>
  <c r="G17" i="61"/>
  <c r="K16" i="61"/>
  <c r="J16" i="61"/>
  <c r="I16" i="61"/>
  <c r="H16" i="61"/>
  <c r="G16" i="61"/>
  <c r="K15" i="61"/>
  <c r="J15" i="61"/>
  <c r="I15" i="61"/>
  <c r="H15" i="61"/>
  <c r="G15" i="61"/>
  <c r="K14" i="61"/>
  <c r="J14" i="61"/>
  <c r="I14" i="61"/>
  <c r="H14" i="61"/>
  <c r="G14" i="61"/>
  <c r="K13" i="61"/>
  <c r="J13" i="61"/>
  <c r="I13" i="61"/>
  <c r="H13" i="61"/>
  <c r="G13" i="61"/>
  <c r="K12" i="61"/>
  <c r="J12" i="61"/>
  <c r="I12" i="61"/>
  <c r="H12" i="61"/>
  <c r="G12" i="61"/>
  <c r="K11" i="61"/>
  <c r="J11" i="61"/>
  <c r="I11" i="61"/>
  <c r="H11" i="61"/>
  <c r="G11" i="61"/>
  <c r="K10" i="61"/>
  <c r="J10" i="61"/>
  <c r="I10" i="61"/>
  <c r="H10" i="61"/>
  <c r="G10" i="61"/>
  <c r="K9" i="61"/>
  <c r="J9" i="61"/>
  <c r="I9" i="61"/>
  <c r="H9" i="61"/>
  <c r="G9" i="61"/>
  <c r="K8" i="61"/>
  <c r="J8" i="61"/>
  <c r="I8" i="61"/>
  <c r="H8" i="61"/>
  <c r="G8" i="61"/>
  <c r="K20" i="58"/>
  <c r="J20" i="58"/>
  <c r="I20" i="58"/>
  <c r="H20" i="58"/>
  <c r="G20" i="58"/>
  <c r="K19" i="58"/>
  <c r="J19" i="58"/>
  <c r="I19" i="58"/>
  <c r="H19" i="58"/>
  <c r="G19" i="58"/>
  <c r="K18" i="58"/>
  <c r="J18" i="58"/>
  <c r="I18" i="58"/>
  <c r="H18" i="58"/>
  <c r="G18" i="58"/>
  <c r="K17" i="58"/>
  <c r="J17" i="58"/>
  <c r="I17" i="58"/>
  <c r="H17" i="58"/>
  <c r="G17" i="58"/>
  <c r="K16" i="58"/>
  <c r="J16" i="58"/>
  <c r="I16" i="58"/>
  <c r="H16" i="58"/>
  <c r="G16" i="58"/>
  <c r="K15" i="58"/>
  <c r="J15" i="58"/>
  <c r="I15" i="58"/>
  <c r="H15" i="58"/>
  <c r="G15" i="58"/>
  <c r="K14" i="58"/>
  <c r="J14" i="58"/>
  <c r="I14" i="58"/>
  <c r="H14" i="58"/>
  <c r="G14" i="58"/>
  <c r="K13" i="58"/>
  <c r="J13" i="58"/>
  <c r="I13" i="58"/>
  <c r="H13" i="58"/>
  <c r="G13" i="58"/>
  <c r="K12" i="58"/>
  <c r="J12" i="58"/>
  <c r="I12" i="58"/>
  <c r="H12" i="58"/>
  <c r="G12" i="58"/>
  <c r="K11" i="58"/>
  <c r="J11" i="58"/>
  <c r="I11" i="58"/>
  <c r="H11" i="58"/>
  <c r="G11" i="58"/>
  <c r="K10" i="58"/>
  <c r="J10" i="58"/>
  <c r="I10" i="58"/>
  <c r="H10" i="58"/>
  <c r="G10" i="58"/>
  <c r="K9" i="58"/>
  <c r="J9" i="58"/>
  <c r="I9" i="58"/>
  <c r="H9" i="58"/>
  <c r="G9" i="58"/>
  <c r="K8" i="58"/>
  <c r="J8" i="58"/>
  <c r="I8" i="58"/>
  <c r="H8" i="58"/>
  <c r="G8" i="58"/>
  <c r="K20" i="41"/>
  <c r="J20" i="41"/>
  <c r="I20" i="41"/>
  <c r="H20" i="41"/>
  <c r="G20" i="41"/>
  <c r="K19" i="41"/>
  <c r="J19" i="41"/>
  <c r="I19" i="41"/>
  <c r="H19" i="41"/>
  <c r="G19" i="41"/>
  <c r="K18" i="41"/>
  <c r="J18" i="41"/>
  <c r="I18" i="41"/>
  <c r="H18" i="41"/>
  <c r="G18" i="41"/>
  <c r="K17" i="41"/>
  <c r="J17" i="41"/>
  <c r="I17" i="41"/>
  <c r="H17" i="41"/>
  <c r="G17" i="41"/>
  <c r="K16" i="41"/>
  <c r="J16" i="41"/>
  <c r="I16" i="41"/>
  <c r="H16" i="41"/>
  <c r="G16" i="41"/>
  <c r="K15" i="41"/>
  <c r="J15" i="41"/>
  <c r="I15" i="41"/>
  <c r="H15" i="41"/>
  <c r="G15" i="41"/>
  <c r="K14" i="41"/>
  <c r="J14" i="41"/>
  <c r="I14" i="41"/>
  <c r="H14" i="41"/>
  <c r="G14" i="41"/>
  <c r="K13" i="41"/>
  <c r="J13" i="41"/>
  <c r="I13" i="41"/>
  <c r="H13" i="41"/>
  <c r="G13" i="41"/>
  <c r="K12" i="41"/>
  <c r="J12" i="41"/>
  <c r="I12" i="41"/>
  <c r="H12" i="41"/>
  <c r="G12" i="41"/>
  <c r="K11" i="41"/>
  <c r="J11" i="41"/>
  <c r="I11" i="41"/>
  <c r="H11" i="41"/>
  <c r="G11" i="41"/>
  <c r="K10" i="41"/>
  <c r="J10" i="41"/>
  <c r="I10" i="41"/>
  <c r="H10" i="41"/>
  <c r="G10" i="41"/>
  <c r="K9" i="41"/>
  <c r="J9" i="41"/>
  <c r="I9" i="41"/>
  <c r="H9" i="41"/>
  <c r="G9" i="41"/>
  <c r="K8" i="41"/>
  <c r="J8" i="41"/>
  <c r="I8" i="41"/>
  <c r="H8" i="41"/>
  <c r="G8" i="41"/>
  <c r="K20" i="27"/>
  <c r="J20" i="27"/>
  <c r="I20" i="27"/>
  <c r="H20" i="27"/>
  <c r="G20" i="27"/>
  <c r="K19" i="27"/>
  <c r="J19" i="27"/>
  <c r="I19" i="27"/>
  <c r="H19" i="27"/>
  <c r="G19" i="27"/>
  <c r="K18" i="27"/>
  <c r="J18" i="27"/>
  <c r="I18" i="27"/>
  <c r="H18" i="27"/>
  <c r="G18" i="27"/>
  <c r="K17" i="27"/>
  <c r="J17" i="27"/>
  <c r="I17" i="27"/>
  <c r="H17" i="27"/>
  <c r="G17" i="27"/>
  <c r="K16" i="27"/>
  <c r="J16" i="27"/>
  <c r="I16" i="27"/>
  <c r="H16" i="27"/>
  <c r="G16" i="27"/>
  <c r="K15" i="27"/>
  <c r="J15" i="27"/>
  <c r="I15" i="27"/>
  <c r="H15" i="27"/>
  <c r="G15" i="27"/>
  <c r="K14" i="27"/>
  <c r="J14" i="27"/>
  <c r="I14" i="27"/>
  <c r="H14" i="27"/>
  <c r="G14" i="27"/>
  <c r="K13" i="27"/>
  <c r="J13" i="27"/>
  <c r="I13" i="27"/>
  <c r="H13" i="27"/>
  <c r="G13" i="27"/>
  <c r="K12" i="27"/>
  <c r="J12" i="27"/>
  <c r="I12" i="27"/>
  <c r="H12" i="27"/>
  <c r="G12" i="27"/>
  <c r="K11" i="27"/>
  <c r="J11" i="27"/>
  <c r="I11" i="27"/>
  <c r="H11" i="27"/>
  <c r="G11" i="27"/>
  <c r="K10" i="27"/>
  <c r="J10" i="27"/>
  <c r="I10" i="27"/>
  <c r="H10" i="27"/>
  <c r="G10" i="27"/>
  <c r="K9" i="27"/>
  <c r="J9" i="27"/>
  <c r="I9" i="27"/>
  <c r="H9" i="27"/>
  <c r="G9" i="27"/>
  <c r="K8" i="27"/>
  <c r="J8" i="27"/>
  <c r="I8" i="27"/>
  <c r="H8" i="27"/>
  <c r="G8" i="27"/>
  <c r="K20" i="56"/>
  <c r="J20" i="56"/>
  <c r="I20" i="56"/>
  <c r="H20" i="56"/>
  <c r="G20" i="56"/>
  <c r="K19" i="56"/>
  <c r="J19" i="56"/>
  <c r="I19" i="56"/>
  <c r="H19" i="56"/>
  <c r="G19" i="56"/>
  <c r="K18" i="56"/>
  <c r="J18" i="56"/>
  <c r="I18" i="56"/>
  <c r="H18" i="56"/>
  <c r="G18" i="56"/>
  <c r="K17" i="56"/>
  <c r="J17" i="56"/>
  <c r="I17" i="56"/>
  <c r="H17" i="56"/>
  <c r="G17" i="56"/>
  <c r="K16" i="56"/>
  <c r="J16" i="56"/>
  <c r="I16" i="56"/>
  <c r="H16" i="56"/>
  <c r="G16" i="56"/>
  <c r="K15" i="56"/>
  <c r="J15" i="56"/>
  <c r="I15" i="56"/>
  <c r="H15" i="56"/>
  <c r="G15" i="56"/>
  <c r="K14" i="56"/>
  <c r="J14" i="56"/>
  <c r="I14" i="56"/>
  <c r="H14" i="56"/>
  <c r="G14" i="56"/>
  <c r="K13" i="56"/>
  <c r="J13" i="56"/>
  <c r="I13" i="56"/>
  <c r="H13" i="56"/>
  <c r="G13" i="56"/>
  <c r="K12" i="56"/>
  <c r="J12" i="56"/>
  <c r="I12" i="56"/>
  <c r="H12" i="56"/>
  <c r="G12" i="56"/>
  <c r="K11" i="56"/>
  <c r="J11" i="56"/>
  <c r="I11" i="56"/>
  <c r="H11" i="56"/>
  <c r="G11" i="56"/>
  <c r="K10" i="56"/>
  <c r="J10" i="56"/>
  <c r="I10" i="56"/>
  <c r="H10" i="56"/>
  <c r="G10" i="56"/>
  <c r="K9" i="56"/>
  <c r="J9" i="56"/>
  <c r="I9" i="56"/>
  <c r="H9" i="56"/>
  <c r="G9" i="56"/>
  <c r="K8" i="56"/>
  <c r="J8" i="56"/>
  <c r="I8" i="56"/>
  <c r="H8" i="56"/>
  <c r="G8" i="56"/>
  <c r="K20" i="55"/>
  <c r="J20" i="55"/>
  <c r="I20" i="55"/>
  <c r="H20" i="55"/>
  <c r="G20" i="55"/>
  <c r="K19" i="55"/>
  <c r="J19" i="55"/>
  <c r="I19" i="55"/>
  <c r="H19" i="55"/>
  <c r="G19" i="55"/>
  <c r="K18" i="55"/>
  <c r="J18" i="55"/>
  <c r="I18" i="55"/>
  <c r="H18" i="55"/>
  <c r="G18" i="55"/>
  <c r="K17" i="55"/>
  <c r="J17" i="55"/>
  <c r="I17" i="55"/>
  <c r="H17" i="55"/>
  <c r="G17" i="55"/>
  <c r="K16" i="55"/>
  <c r="J16" i="55"/>
  <c r="I16" i="55"/>
  <c r="H16" i="55"/>
  <c r="G16" i="55"/>
  <c r="K15" i="55"/>
  <c r="J15" i="55"/>
  <c r="I15" i="55"/>
  <c r="H15" i="55"/>
  <c r="G15" i="55"/>
  <c r="K14" i="55"/>
  <c r="J14" i="55"/>
  <c r="I14" i="55"/>
  <c r="H14" i="55"/>
  <c r="G14" i="55"/>
  <c r="K13" i="55"/>
  <c r="J13" i="55"/>
  <c r="I13" i="55"/>
  <c r="H13" i="55"/>
  <c r="G13" i="55"/>
  <c r="K12" i="55"/>
  <c r="J12" i="55"/>
  <c r="I12" i="55"/>
  <c r="H12" i="55"/>
  <c r="G12" i="55"/>
  <c r="K11" i="55"/>
  <c r="J11" i="55"/>
  <c r="I11" i="55"/>
  <c r="H11" i="55"/>
  <c r="G11" i="55"/>
  <c r="K10" i="55"/>
  <c r="J10" i="55"/>
  <c r="I10" i="55"/>
  <c r="H10" i="55"/>
  <c r="G10" i="55"/>
  <c r="K9" i="55"/>
  <c r="J9" i="55"/>
  <c r="I9" i="55"/>
  <c r="H9" i="55"/>
  <c r="G9" i="55"/>
  <c r="K8" i="55"/>
  <c r="J8" i="55"/>
  <c r="I8" i="55"/>
  <c r="H8" i="55"/>
  <c r="G8" i="55"/>
  <c r="P14" i="7"/>
  <c r="O14" i="7"/>
  <c r="N14" i="7"/>
  <c r="M14" i="7"/>
  <c r="P13" i="7"/>
  <c r="O13" i="7"/>
  <c r="N13" i="7"/>
  <c r="M13" i="7"/>
  <c r="L14" i="7"/>
  <c r="L13" i="7"/>
  <c r="I12" i="1"/>
  <c r="L10" i="1"/>
  <c r="I12" i="11"/>
  <c r="M10" i="11"/>
  <c r="L10" i="11"/>
  <c r="I12" i="2" l="1"/>
  <c r="I12" i="3"/>
  <c r="I12" i="4"/>
  <c r="I12" i="5"/>
  <c r="K55" i="63"/>
  <c r="K56" i="63"/>
  <c r="K57" i="63"/>
  <c r="K58" i="63"/>
  <c r="K59" i="63"/>
  <c r="K60" i="63"/>
  <c r="K61" i="63"/>
  <c r="K62" i="63"/>
  <c r="K63" i="63"/>
  <c r="K64" i="63"/>
  <c r="K65" i="63"/>
  <c r="K66" i="63"/>
  <c r="K67" i="63"/>
  <c r="K68" i="63"/>
  <c r="K69" i="63"/>
  <c r="K70" i="63"/>
  <c r="K77" i="63"/>
  <c r="K78" i="63"/>
  <c r="K79" i="63"/>
  <c r="K80" i="63"/>
  <c r="K81" i="63"/>
  <c r="K82" i="63"/>
  <c r="K83" i="63"/>
  <c r="K84" i="63"/>
  <c r="K85" i="63"/>
  <c r="K86" i="63"/>
  <c r="K87" i="63"/>
  <c r="K88" i="63"/>
  <c r="K89" i="63"/>
  <c r="K90" i="63"/>
  <c r="K91" i="63"/>
  <c r="K92" i="63"/>
  <c r="K93" i="63"/>
  <c r="K94" i="63"/>
  <c r="K95" i="63"/>
  <c r="K96" i="63"/>
  <c r="K97" i="63"/>
  <c r="K98" i="63"/>
  <c r="K99" i="63"/>
  <c r="K54" i="63"/>
  <c r="I49" i="63"/>
  <c r="K49" i="63" s="1"/>
  <c r="I48" i="63"/>
  <c r="K48" i="63" s="1"/>
  <c r="I47" i="63"/>
  <c r="K47" i="63" s="1"/>
  <c r="I46" i="63"/>
  <c r="K46" i="63" s="1"/>
  <c r="I45" i="63"/>
  <c r="K45" i="63" s="1"/>
  <c r="I44" i="63"/>
  <c r="K44" i="63" s="1"/>
  <c r="I43" i="63"/>
  <c r="K43" i="63" s="1"/>
  <c r="I42" i="63"/>
  <c r="K42" i="63" s="1"/>
  <c r="I41" i="63"/>
  <c r="K41" i="63" s="1"/>
  <c r="I40" i="63"/>
  <c r="K40" i="63" s="1"/>
  <c r="I39" i="63"/>
  <c r="K39" i="63" s="1"/>
  <c r="I38" i="63"/>
  <c r="K38" i="63" s="1"/>
  <c r="I37" i="63"/>
  <c r="K37" i="63" s="1"/>
  <c r="I36" i="63"/>
  <c r="K36" i="63" s="1"/>
  <c r="I35" i="63"/>
  <c r="K35" i="63" s="1"/>
  <c r="I34" i="63"/>
  <c r="K34" i="63" s="1"/>
  <c r="I33" i="63"/>
  <c r="K33" i="63" s="1"/>
  <c r="I32" i="63"/>
  <c r="K32" i="63" s="1"/>
  <c r="I31" i="63"/>
  <c r="K31" i="63" s="1"/>
  <c r="I30" i="63"/>
  <c r="K30" i="63" s="1"/>
  <c r="I29" i="63"/>
  <c r="K29" i="63" s="1"/>
  <c r="I28" i="63"/>
  <c r="K28" i="63" s="1"/>
  <c r="I27" i="63"/>
  <c r="K27" i="63" s="1"/>
  <c r="I26" i="63"/>
  <c r="K26" i="63" s="1"/>
  <c r="I25" i="63"/>
  <c r="K25" i="63" s="1"/>
  <c r="I24" i="63"/>
  <c r="K24" i="63" s="1"/>
  <c r="I23" i="63"/>
  <c r="K23" i="63" s="1"/>
  <c r="I22" i="63"/>
  <c r="K22" i="63" s="1"/>
  <c r="I21" i="63"/>
  <c r="K21" i="63" s="1"/>
  <c r="I20" i="63"/>
  <c r="K20" i="63" s="1"/>
  <c r="I19" i="63"/>
  <c r="K19" i="63" s="1"/>
  <c r="I18" i="63"/>
  <c r="K18" i="63" s="1"/>
  <c r="I17" i="63"/>
  <c r="K17" i="63" s="1"/>
  <c r="I16" i="63"/>
  <c r="K16" i="63" s="1"/>
  <c r="I15" i="63"/>
  <c r="K15" i="63" s="1"/>
  <c r="I14" i="63"/>
  <c r="K14" i="63" s="1"/>
  <c r="I13" i="63"/>
  <c r="K13" i="63" s="1"/>
  <c r="I12" i="63"/>
  <c r="K12" i="63" s="1"/>
  <c r="I11" i="63"/>
  <c r="K11" i="63" s="1"/>
  <c r="I10" i="63"/>
  <c r="K10" i="63" s="1"/>
  <c r="I9" i="63"/>
  <c r="K9" i="63" s="1"/>
  <c r="I8" i="63"/>
  <c r="K8" i="63" s="1"/>
  <c r="I7" i="63"/>
  <c r="K7" i="63" s="1"/>
  <c r="I6" i="63"/>
  <c r="K6" i="63" s="1"/>
  <c r="I5" i="63"/>
  <c r="K5" i="63" s="1"/>
  <c r="I4" i="63"/>
  <c r="K4" i="63" s="1"/>
  <c r="E2" i="63"/>
  <c r="E3" i="63"/>
  <c r="E4" i="63"/>
  <c r="E5" i="63"/>
  <c r="E6" i="63"/>
  <c r="E7" i="63"/>
  <c r="E8" i="63"/>
  <c r="E9" i="63"/>
  <c r="E10" i="63"/>
  <c r="E11" i="63"/>
  <c r="E12" i="63"/>
  <c r="E13" i="63"/>
  <c r="E14" i="63"/>
  <c r="E15" i="63"/>
  <c r="E16" i="63"/>
  <c r="E17" i="63"/>
  <c r="E18" i="63"/>
  <c r="E19" i="63"/>
  <c r="E20" i="63"/>
  <c r="E21" i="63"/>
  <c r="E22" i="63"/>
  <c r="E23" i="63"/>
  <c r="E24" i="63"/>
  <c r="E25" i="63"/>
  <c r="E26" i="63"/>
  <c r="E27" i="63"/>
  <c r="E28" i="63"/>
  <c r="E29" i="63"/>
  <c r="E30" i="63"/>
  <c r="E31" i="63"/>
  <c r="E32" i="63"/>
  <c r="E33" i="63"/>
  <c r="E34" i="63"/>
  <c r="E35" i="63"/>
  <c r="E36" i="63"/>
  <c r="E37" i="63"/>
  <c r="E38" i="63"/>
  <c r="E39" i="63"/>
  <c r="E40" i="63"/>
  <c r="E41" i="63"/>
  <c r="E42" i="63"/>
  <c r="E43" i="63"/>
  <c r="E44" i="63"/>
  <c r="E45" i="63"/>
  <c r="E46" i="63"/>
  <c r="E1" i="63"/>
  <c r="A10" i="62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A26" i="62" s="1"/>
  <c r="A27" i="62" s="1"/>
  <c r="A28" i="62" s="1"/>
  <c r="A29" i="62" s="1"/>
  <c r="A30" i="62" s="1"/>
  <c r="A31" i="62" s="1"/>
  <c r="A32" i="62" s="1"/>
  <c r="A33" i="62" s="1"/>
  <c r="A34" i="62" s="1"/>
  <c r="A35" i="62" s="1"/>
  <c r="A36" i="62" s="1"/>
  <c r="A37" i="62" s="1"/>
  <c r="A38" i="62" s="1"/>
  <c r="A39" i="62" s="1"/>
  <c r="A40" i="62" s="1"/>
  <c r="A41" i="62" s="1"/>
  <c r="A42" i="62" s="1"/>
  <c r="A43" i="62" s="1"/>
  <c r="A44" i="62" s="1"/>
  <c r="A45" i="62" s="1"/>
  <c r="A46" i="62" s="1"/>
  <c r="A47" i="62" s="1"/>
  <c r="A48" i="62" s="1"/>
  <c r="A49" i="62" s="1"/>
  <c r="A50" i="62" s="1"/>
  <c r="A51" i="62" s="1"/>
  <c r="A52" i="62" s="1"/>
  <c r="A53" i="62" s="1"/>
  <c r="A54" i="62" s="1"/>
  <c r="A55" i="62" s="1"/>
  <c r="A56" i="62" s="1"/>
  <c r="A57" i="62" s="1"/>
  <c r="A58" i="62" s="1"/>
  <c r="A59" i="62" s="1"/>
  <c r="A60" i="62" s="1"/>
  <c r="A61" i="62" s="1"/>
  <c r="A62" i="62" s="1"/>
  <c r="A63" i="62" s="1"/>
  <c r="A64" i="62" s="1"/>
  <c r="A65" i="62" s="1"/>
  <c r="A66" i="62" s="1"/>
  <c r="A67" i="62" s="1"/>
  <c r="A68" i="62" s="1"/>
  <c r="A69" i="62" s="1"/>
  <c r="A70" i="62" s="1"/>
  <c r="A71" i="62" s="1"/>
  <c r="A72" i="62" s="1"/>
  <c r="A73" i="62" s="1"/>
  <c r="A74" i="62" s="1"/>
  <c r="A75" i="62" s="1"/>
  <c r="A76" i="62" s="1"/>
  <c r="A77" i="62" s="1"/>
  <c r="A78" i="62" s="1"/>
  <c r="A79" i="62" s="1"/>
  <c r="A80" i="62" s="1"/>
  <c r="A81" i="62" s="1"/>
  <c r="A82" i="62" s="1"/>
  <c r="A83" i="62" s="1"/>
  <c r="A84" i="62" s="1"/>
  <c r="A85" i="62" s="1"/>
  <c r="A86" i="62" s="1"/>
  <c r="A87" i="62" s="1"/>
  <c r="A88" i="62" s="1"/>
  <c r="A89" i="62" s="1"/>
  <c r="A90" i="62" s="1"/>
  <c r="A91" i="62" s="1"/>
  <c r="A92" i="62" s="1"/>
  <c r="A93" i="62" s="1"/>
  <c r="A94" i="62" s="1"/>
  <c r="A95" i="62" s="1"/>
  <c r="A96" i="62" s="1"/>
  <c r="A97" i="62" s="1"/>
  <c r="A98" i="62" s="1"/>
  <c r="A99" i="62" s="1"/>
  <c r="A100" i="62" s="1"/>
  <c r="A101" i="62" s="1"/>
  <c r="A102" i="62" s="1"/>
  <c r="A103" i="62" s="1"/>
  <c r="A104" i="62" s="1"/>
  <c r="A105" i="62" s="1"/>
  <c r="A106" i="62" s="1"/>
  <c r="A107" i="62" s="1"/>
  <c r="A108" i="62" s="1"/>
  <c r="A109" i="62" s="1"/>
  <c r="A110" i="62" s="1"/>
  <c r="A111" i="62" s="1"/>
  <c r="A112" i="62" s="1"/>
  <c r="A113" i="62" s="1"/>
  <c r="A114" i="62" s="1"/>
  <c r="A115" i="62" s="1"/>
  <c r="A116" i="62" s="1"/>
  <c r="A117" i="62" s="1"/>
  <c r="A118" i="62" s="1"/>
  <c r="A119" i="62" s="1"/>
  <c r="A120" i="62" s="1"/>
  <c r="A121" i="62" s="1"/>
  <c r="A122" i="62" s="1"/>
  <c r="A123" i="62" s="1"/>
  <c r="A124" i="62" s="1"/>
  <c r="A125" i="62" s="1"/>
  <c r="A126" i="62" s="1"/>
  <c r="A127" i="62" s="1"/>
  <c r="A128" i="62" s="1"/>
  <c r="A129" i="62" s="1"/>
  <c r="A130" i="62" s="1"/>
  <c r="A131" i="62" s="1"/>
  <c r="A132" i="62" s="1"/>
  <c r="A133" i="62" s="1"/>
  <c r="A134" i="62" s="1"/>
  <c r="A135" i="62" s="1"/>
  <c r="A136" i="62" s="1"/>
  <c r="A137" i="62" s="1"/>
  <c r="A138" i="62" s="1"/>
  <c r="A139" i="62" s="1"/>
  <c r="A140" i="62" s="1"/>
  <c r="A141" i="62" s="1"/>
  <c r="A142" i="62" s="1"/>
  <c r="A143" i="62" s="1"/>
  <c r="A144" i="62" s="1"/>
  <c r="A145" i="62" s="1"/>
  <c r="A146" i="62" s="1"/>
  <c r="A147" i="62" s="1"/>
  <c r="A148" i="62" s="1"/>
  <c r="A149" i="62" s="1"/>
  <c r="A150" i="62" s="1"/>
  <c r="A151" i="62" s="1"/>
  <c r="A152" i="62" s="1"/>
  <c r="A153" i="62" s="1"/>
  <c r="A154" i="62" s="1"/>
  <c r="A155" i="62" s="1"/>
  <c r="A156" i="62" s="1"/>
  <c r="A157" i="62" s="1"/>
  <c r="A158" i="62" s="1"/>
  <c r="A159" i="62" s="1"/>
  <c r="A160" i="62" s="1"/>
  <c r="A161" i="62" s="1"/>
  <c r="A162" i="62" s="1"/>
  <c r="A163" i="62" s="1"/>
  <c r="A164" i="62" s="1"/>
  <c r="A165" i="62" s="1"/>
  <c r="A166" i="62" s="1"/>
  <c r="A167" i="62" s="1"/>
  <c r="A168" i="62" s="1"/>
  <c r="A169" i="62" s="1"/>
  <c r="A170" i="62" s="1"/>
  <c r="A171" i="62" s="1"/>
  <c r="A172" i="62" s="1"/>
  <c r="A173" i="62" s="1"/>
  <c r="A174" i="62" s="1"/>
  <c r="A175" i="62" s="1"/>
  <c r="A176" i="62" s="1"/>
  <c r="A177" i="62" s="1"/>
  <c r="A178" i="62" s="1"/>
  <c r="A179" i="62" s="1"/>
  <c r="A180" i="62" s="1"/>
  <c r="A181" i="62" s="1"/>
  <c r="A182" i="62" s="1"/>
  <c r="A183" i="62" s="1"/>
  <c r="A184" i="62" s="1"/>
  <c r="A185" i="62" s="1"/>
  <c r="A186" i="62" s="1"/>
  <c r="A187" i="62" s="1"/>
  <c r="A188" i="62" s="1"/>
  <c r="A189" i="62" s="1"/>
  <c r="A190" i="62" s="1"/>
  <c r="A191" i="62" s="1"/>
  <c r="A192" i="62" s="1"/>
  <c r="A193" i="62" s="1"/>
  <c r="A194" i="62" s="1"/>
  <c r="A195" i="62" s="1"/>
  <c r="A196" i="62" s="1"/>
  <c r="A197" i="62" s="1"/>
  <c r="A198" i="62" s="1"/>
  <c r="A199" i="62" s="1"/>
  <c r="A200" i="62" s="1"/>
  <c r="A201" i="62" s="1"/>
  <c r="A202" i="62" s="1"/>
  <c r="A203" i="62" s="1"/>
  <c r="A204" i="62" s="1"/>
  <c r="A205" i="62" s="1"/>
  <c r="A206" i="62" s="1"/>
  <c r="A207" i="62" s="1"/>
  <c r="A208" i="62" s="1"/>
  <c r="A209" i="62" s="1"/>
  <c r="A210" i="62" s="1"/>
  <c r="A211" i="62" s="1"/>
  <c r="A212" i="62" s="1"/>
  <c r="A213" i="62" s="1"/>
  <c r="A214" i="62" s="1"/>
  <c r="A215" i="62" s="1"/>
  <c r="A216" i="62" s="1"/>
  <c r="A217" i="62" s="1"/>
  <c r="A218" i="62" s="1"/>
  <c r="A219" i="62" s="1"/>
  <c r="A220" i="62" s="1"/>
  <c r="A221" i="62" s="1"/>
  <c r="A222" i="62" s="1"/>
  <c r="A223" i="62" s="1"/>
  <c r="A224" i="62" s="1"/>
  <c r="A225" i="62" s="1"/>
  <c r="A226" i="62" s="1"/>
  <c r="A227" i="62" s="1"/>
  <c r="A228" i="62" s="1"/>
  <c r="A229" i="62" s="1"/>
  <c r="A230" i="62" s="1"/>
  <c r="A231" i="62" s="1"/>
  <c r="A232" i="62" s="1"/>
  <c r="A233" i="62" s="1"/>
  <c r="A234" i="62" s="1"/>
  <c r="A235" i="62" s="1"/>
  <c r="A236" i="62" s="1"/>
  <c r="A237" i="62" s="1"/>
  <c r="A238" i="62" s="1"/>
  <c r="A239" i="62" s="1"/>
  <c r="A240" i="62" s="1"/>
  <c r="A241" i="62" s="1"/>
  <c r="A242" i="62" s="1"/>
  <c r="A243" i="62" s="1"/>
  <c r="A244" i="62" s="1"/>
  <c r="A245" i="62" s="1"/>
  <c r="A246" i="62" s="1"/>
  <c r="A247" i="62" s="1"/>
  <c r="A248" i="62" s="1"/>
  <c r="A249" i="62" s="1"/>
  <c r="A250" i="62" s="1"/>
  <c r="A251" i="62" s="1"/>
  <c r="A252" i="62" s="1"/>
  <c r="A253" i="62" s="1"/>
  <c r="A254" i="62" s="1"/>
  <c r="A255" i="62" s="1"/>
  <c r="A256" i="62" s="1"/>
  <c r="A257" i="62" s="1"/>
  <c r="A258" i="62" s="1"/>
  <c r="A259" i="62" s="1"/>
  <c r="A260" i="62" s="1"/>
  <c r="A261" i="62" s="1"/>
  <c r="A262" i="62" s="1"/>
  <c r="A263" i="62" s="1"/>
  <c r="A264" i="62" s="1"/>
  <c r="A265" i="62" s="1"/>
  <c r="A266" i="62" s="1"/>
  <c r="A267" i="62" s="1"/>
  <c r="A268" i="62" s="1"/>
  <c r="A269" i="62" s="1"/>
  <c r="A270" i="62" s="1"/>
  <c r="A271" i="62" s="1"/>
  <c r="A272" i="62" s="1"/>
  <c r="A273" i="62" s="1"/>
  <c r="A274" i="62" s="1"/>
  <c r="A275" i="62" s="1"/>
  <c r="A276" i="62" s="1"/>
  <c r="A277" i="62" s="1"/>
  <c r="A278" i="62" s="1"/>
  <c r="A279" i="62" s="1"/>
  <c r="A280" i="62" s="1"/>
  <c r="A281" i="62" s="1"/>
  <c r="A282" i="62" s="1"/>
  <c r="A283" i="62" s="1"/>
  <c r="A284" i="62" s="1"/>
  <c r="A285" i="62" s="1"/>
  <c r="A286" i="62" s="1"/>
  <c r="A287" i="62" s="1"/>
  <c r="A288" i="62" s="1"/>
  <c r="A289" i="62" s="1"/>
  <c r="A290" i="62" s="1"/>
  <c r="A291" i="62" s="1"/>
  <c r="A292" i="62" s="1"/>
  <c r="A293" i="62" s="1"/>
  <c r="A294" i="62" s="1"/>
  <c r="A295" i="62" s="1"/>
  <c r="A296" i="62" s="1"/>
  <c r="A297" i="62" s="1"/>
  <c r="A298" i="62" s="1"/>
  <c r="A299" i="62" s="1"/>
  <c r="A300" i="62" s="1"/>
  <c r="A301" i="62" s="1"/>
  <c r="A302" i="62" s="1"/>
  <c r="A303" i="62" s="1"/>
  <c r="A304" i="62" s="1"/>
  <c r="A305" i="62" s="1"/>
  <c r="A306" i="62" s="1"/>
  <c r="A307" i="62" s="1"/>
  <c r="A308" i="62" s="1"/>
  <c r="A309" i="62" s="1"/>
  <c r="A310" i="62" s="1"/>
  <c r="A311" i="62" s="1"/>
  <c r="A312" i="62" s="1"/>
  <c r="A313" i="62" s="1"/>
  <c r="A314" i="62" s="1"/>
  <c r="A315" i="62" s="1"/>
  <c r="A316" i="62" s="1"/>
  <c r="A317" i="62" s="1"/>
  <c r="A318" i="62" s="1"/>
  <c r="A319" i="62" s="1"/>
  <c r="A320" i="62" s="1"/>
  <c r="A321" i="62" s="1"/>
  <c r="A322" i="62" s="1"/>
  <c r="A323" i="62" s="1"/>
  <c r="A324" i="62" s="1"/>
  <c r="A325" i="62" s="1"/>
  <c r="A326" i="62" s="1"/>
  <c r="A327" i="62" s="1"/>
  <c r="A328" i="62" s="1"/>
  <c r="A329" i="62" s="1"/>
  <c r="A330" i="62" s="1"/>
  <c r="A331" i="62" s="1"/>
  <c r="A332" i="62" s="1"/>
  <c r="A333" i="62" s="1"/>
  <c r="A334" i="62" s="1"/>
  <c r="A335" i="62" s="1"/>
  <c r="A336" i="62" s="1"/>
  <c r="A337" i="62" s="1"/>
  <c r="A338" i="62" s="1"/>
  <c r="A339" i="62" s="1"/>
  <c r="A340" i="62" s="1"/>
  <c r="A341" i="62" s="1"/>
  <c r="A342" i="62" s="1"/>
  <c r="A343" i="62" s="1"/>
  <c r="A344" i="62" s="1"/>
  <c r="A345" i="62" s="1"/>
  <c r="A346" i="62" s="1"/>
  <c r="A347" i="62" s="1"/>
  <c r="A348" i="62" s="1"/>
  <c r="A349" i="62" s="1"/>
  <c r="A350" i="62" s="1"/>
  <c r="A351" i="62" s="1"/>
  <c r="A352" i="62" s="1"/>
  <c r="A353" i="62" s="1"/>
  <c r="A354" i="62" s="1"/>
  <c r="A355" i="62" s="1"/>
  <c r="A356" i="62" s="1"/>
  <c r="A357" i="62" s="1"/>
  <c r="A358" i="62" s="1"/>
  <c r="A359" i="62" s="1"/>
  <c r="A360" i="62" s="1"/>
  <c r="A361" i="62" s="1"/>
  <c r="A362" i="62" s="1"/>
  <c r="A363" i="62" s="1"/>
  <c r="A364" i="62" s="1"/>
  <c r="A365" i="62" s="1"/>
  <c r="A366" i="62" s="1"/>
  <c r="A367" i="62" s="1"/>
  <c r="A368" i="62" s="1"/>
  <c r="A369" i="62" s="1"/>
  <c r="A370" i="62" s="1"/>
  <c r="A371" i="62" s="1"/>
  <c r="A372" i="62" s="1"/>
  <c r="A373" i="62" s="1"/>
  <c r="A374" i="62" s="1"/>
  <c r="A375" i="62" s="1"/>
  <c r="A376" i="62" s="1"/>
  <c r="A377" i="62" s="1"/>
  <c r="A378" i="62" s="1"/>
  <c r="A379" i="62" s="1"/>
  <c r="A380" i="62" s="1"/>
  <c r="A381" i="62" s="1"/>
  <c r="A382" i="62" s="1"/>
  <c r="A383" i="62" s="1"/>
  <c r="A384" i="62" s="1"/>
  <c r="A385" i="62" s="1"/>
  <c r="A386" i="62" s="1"/>
  <c r="A387" i="62" s="1"/>
  <c r="A388" i="62" s="1"/>
  <c r="A389" i="62" s="1"/>
  <c r="A390" i="62" s="1"/>
  <c r="A391" i="62" s="1"/>
  <c r="A392" i="62" s="1"/>
  <c r="A393" i="62" s="1"/>
  <c r="A394" i="62" s="1"/>
  <c r="A395" i="62" s="1"/>
  <c r="A396" i="62" s="1"/>
  <c r="A397" i="62" s="1"/>
  <c r="A398" i="62" s="1"/>
  <c r="A399" i="62" s="1"/>
  <c r="A400" i="62" s="1"/>
  <c r="A401" i="62" s="1"/>
  <c r="A402" i="62" s="1"/>
  <c r="A403" i="62" s="1"/>
  <c r="A404" i="62" s="1"/>
  <c r="A405" i="62" s="1"/>
  <c r="A406" i="62" s="1"/>
  <c r="A407" i="62" s="1"/>
  <c r="A408" i="62" s="1"/>
  <c r="A409" i="62" s="1"/>
  <c r="A410" i="62" s="1"/>
  <c r="A411" i="62" s="1"/>
  <c r="A412" i="62" s="1"/>
  <c r="A413" i="62" s="1"/>
  <c r="A414" i="62" s="1"/>
  <c r="A415" i="62" s="1"/>
  <c r="A416" i="62" s="1"/>
  <c r="A417" i="62" s="1"/>
  <c r="A418" i="62" s="1"/>
  <c r="A419" i="62" s="1"/>
  <c r="A420" i="62" s="1"/>
  <c r="A421" i="62" s="1"/>
  <c r="A422" i="62" s="1"/>
  <c r="A423" i="62" s="1"/>
  <c r="A424" i="62" s="1"/>
  <c r="A425" i="62" s="1"/>
  <c r="A426" i="62" s="1"/>
  <c r="A427" i="62" s="1"/>
  <c r="A428" i="62" s="1"/>
  <c r="A429" i="62" s="1"/>
  <c r="A430" i="62" s="1"/>
  <c r="A431" i="62" s="1"/>
  <c r="A432" i="62" s="1"/>
  <c r="A433" i="62" s="1"/>
  <c r="A434" i="62" s="1"/>
  <c r="A435" i="62" s="1"/>
  <c r="A436" i="62" s="1"/>
  <c r="A437" i="62" s="1"/>
  <c r="A438" i="62" s="1"/>
  <c r="A439" i="62" s="1"/>
  <c r="A440" i="62" s="1"/>
  <c r="A441" i="62" s="1"/>
  <c r="A442" i="62" s="1"/>
  <c r="A443" i="62" s="1"/>
  <c r="A444" i="62" s="1"/>
  <c r="A445" i="62" s="1"/>
  <c r="A446" i="62" s="1"/>
  <c r="A447" i="62" s="1"/>
  <c r="A448" i="62" s="1"/>
  <c r="A449" i="62" s="1"/>
  <c r="A450" i="62" s="1"/>
  <c r="A451" i="62" s="1"/>
  <c r="A452" i="62" s="1"/>
  <c r="A453" i="62" s="1"/>
  <c r="A454" i="62" s="1"/>
  <c r="A455" i="62" s="1"/>
  <c r="A456" i="62" s="1"/>
  <c r="A457" i="62" s="1"/>
  <c r="A458" i="62" s="1"/>
  <c r="A459" i="62" s="1"/>
  <c r="A460" i="62" s="1"/>
  <c r="A461" i="62" s="1"/>
  <c r="A462" i="62" s="1"/>
  <c r="A463" i="62" s="1"/>
  <c r="A464" i="62" s="1"/>
  <c r="A465" i="62" s="1"/>
  <c r="A466" i="62" s="1"/>
  <c r="A467" i="62" s="1"/>
  <c r="A468" i="62" s="1"/>
  <c r="A469" i="62" s="1"/>
  <c r="A470" i="62" s="1"/>
  <c r="A471" i="62" s="1"/>
  <c r="A472" i="62" s="1"/>
  <c r="A473" i="62" s="1"/>
  <c r="A474" i="62" s="1"/>
  <c r="A475" i="62" s="1"/>
  <c r="A476" i="62" s="1"/>
  <c r="A477" i="62" s="1"/>
  <c r="A478" i="62" s="1"/>
  <c r="A479" i="62" s="1"/>
  <c r="A480" i="62" s="1"/>
  <c r="A481" i="62" s="1"/>
  <c r="A482" i="62" s="1"/>
  <c r="A483" i="62" s="1"/>
  <c r="A484" i="62" s="1"/>
  <c r="A485" i="62" s="1"/>
  <c r="A486" i="62" s="1"/>
  <c r="A487" i="62" s="1"/>
  <c r="A488" i="62" s="1"/>
  <c r="A489" i="62" s="1"/>
  <c r="A490" i="62" s="1"/>
  <c r="A491" i="62" s="1"/>
  <c r="A492" i="62" s="1"/>
  <c r="A493" i="62" s="1"/>
  <c r="A494" i="62" s="1"/>
  <c r="A495" i="62" s="1"/>
  <c r="A496" i="62" s="1"/>
  <c r="A497" i="62" s="1"/>
  <c r="A498" i="62" s="1"/>
  <c r="A499" i="62" s="1"/>
  <c r="A500" i="62" s="1"/>
  <c r="A501" i="62" s="1"/>
  <c r="A502" i="62" s="1"/>
  <c r="A503" i="62" s="1"/>
  <c r="A504" i="62" s="1"/>
  <c r="A505" i="62" s="1"/>
  <c r="A506" i="62" s="1"/>
  <c r="A507" i="62" s="1"/>
  <c r="A508" i="62" s="1"/>
  <c r="A509" i="62" s="1"/>
  <c r="A510" i="62" s="1"/>
  <c r="A511" i="62" s="1"/>
  <c r="A512" i="62" s="1"/>
  <c r="A513" i="62" s="1"/>
  <c r="A514" i="62" s="1"/>
  <c r="A515" i="62" s="1"/>
  <c r="A516" i="62" s="1"/>
  <c r="A517" i="62" s="1"/>
  <c r="A518" i="62" s="1"/>
  <c r="A519" i="62" s="1"/>
  <c r="A520" i="62" s="1"/>
  <c r="A521" i="62" s="1"/>
  <c r="A522" i="62" s="1"/>
  <c r="A523" i="62" s="1"/>
  <c r="A524" i="62" s="1"/>
  <c r="A525" i="62" s="1"/>
  <c r="A526" i="62" s="1"/>
  <c r="A527" i="62" s="1"/>
  <c r="A528" i="62" s="1"/>
  <c r="A529" i="62" s="1"/>
  <c r="A530" i="62" s="1"/>
  <c r="A531" i="62" s="1"/>
  <c r="A532" i="62" s="1"/>
  <c r="A533" i="62" s="1"/>
  <c r="A534" i="62" s="1"/>
  <c r="A535" i="62" s="1"/>
  <c r="A536" i="62" s="1"/>
  <c r="A537" i="62" s="1"/>
  <c r="A538" i="62" s="1"/>
  <c r="A539" i="62" s="1"/>
  <c r="A540" i="62" s="1"/>
  <c r="A541" i="62" s="1"/>
  <c r="A542" i="62" s="1"/>
  <c r="A543" i="62" s="1"/>
  <c r="A544" i="62" s="1"/>
  <c r="A545" i="62" s="1"/>
  <c r="A546" i="62" s="1"/>
  <c r="A547" i="62" s="1"/>
  <c r="A548" i="62" s="1"/>
  <c r="A549" i="62" s="1"/>
  <c r="A550" i="62" s="1"/>
  <c r="A551" i="62" s="1"/>
  <c r="A552" i="62" s="1"/>
  <c r="A553" i="62" s="1"/>
  <c r="A554" i="62" s="1"/>
  <c r="A555" i="62" s="1"/>
  <c r="A556" i="62" s="1"/>
  <c r="A557" i="62" s="1"/>
  <c r="A558" i="62" s="1"/>
  <c r="A559" i="62" s="1"/>
  <c r="A560" i="62" s="1"/>
  <c r="A561" i="62" s="1"/>
  <c r="A562" i="62" s="1"/>
  <c r="A563" i="62" s="1"/>
  <c r="A564" i="62" s="1"/>
  <c r="A565" i="62" s="1"/>
  <c r="A566" i="62" s="1"/>
  <c r="A567" i="62" s="1"/>
  <c r="A568" i="62" s="1"/>
  <c r="A569" i="62" s="1"/>
  <c r="A570" i="62" s="1"/>
  <c r="A571" i="62" s="1"/>
  <c r="A572" i="62" s="1"/>
  <c r="A573" i="62" s="1"/>
  <c r="A574" i="62" s="1"/>
  <c r="A575" i="62" s="1"/>
  <c r="A576" i="62" s="1"/>
  <c r="A577" i="62" s="1"/>
  <c r="A578" i="62" s="1"/>
  <c r="A579" i="62" s="1"/>
  <c r="A580" i="62" s="1"/>
  <c r="A581" i="62" s="1"/>
  <c r="A582" i="62" s="1"/>
  <c r="A583" i="62" s="1"/>
  <c r="A584" i="62" s="1"/>
  <c r="A585" i="62" s="1"/>
  <c r="A586" i="62" s="1"/>
  <c r="A587" i="62" s="1"/>
  <c r="A588" i="62" s="1"/>
  <c r="A589" i="62" s="1"/>
  <c r="A590" i="62" s="1"/>
  <c r="A591" i="62" s="1"/>
  <c r="A592" i="62" s="1"/>
  <c r="A593" i="62" s="1"/>
  <c r="A594" i="62" s="1"/>
  <c r="A595" i="62" s="1"/>
  <c r="A596" i="62" s="1"/>
  <c r="A597" i="62" s="1"/>
  <c r="A598" i="62" s="1"/>
  <c r="A599" i="62" s="1"/>
  <c r="A600" i="62" s="1"/>
  <c r="A601" i="62" s="1"/>
  <c r="A602" i="62" s="1"/>
  <c r="A603" i="62" s="1"/>
  <c r="A604" i="62" s="1"/>
  <c r="A605" i="62" s="1"/>
  <c r="A606" i="62" s="1"/>
  <c r="A607" i="62" s="1"/>
  <c r="A608" i="62" s="1"/>
  <c r="A609" i="62" s="1"/>
  <c r="A610" i="62" s="1"/>
  <c r="A611" i="62" s="1"/>
  <c r="A612" i="62" s="1"/>
  <c r="A613" i="62" s="1"/>
  <c r="A614" i="62" s="1"/>
  <c r="A615" i="62" s="1"/>
  <c r="A616" i="62" s="1"/>
  <c r="A617" i="62" s="1"/>
  <c r="A618" i="62" s="1"/>
  <c r="A619" i="62" s="1"/>
  <c r="A620" i="62" s="1"/>
  <c r="A621" i="62" s="1"/>
  <c r="A622" i="62" s="1"/>
  <c r="A623" i="62" s="1"/>
  <c r="A624" i="62" s="1"/>
  <c r="A625" i="62" s="1"/>
  <c r="A626" i="62" s="1"/>
  <c r="A627" i="62" s="1"/>
  <c r="A628" i="62" s="1"/>
  <c r="A629" i="62" s="1"/>
  <c r="A630" i="62" s="1"/>
  <c r="A631" i="62" s="1"/>
  <c r="A632" i="62" s="1"/>
  <c r="A633" i="62" s="1"/>
  <c r="A634" i="62" s="1"/>
  <c r="A635" i="62" s="1"/>
  <c r="A636" i="62" s="1"/>
  <c r="A637" i="62" s="1"/>
  <c r="A638" i="62" s="1"/>
  <c r="A639" i="62" s="1"/>
  <c r="A640" i="62" s="1"/>
  <c r="A641" i="62" s="1"/>
  <c r="A642" i="62" s="1"/>
  <c r="A643" i="62" s="1"/>
  <c r="A644" i="62" s="1"/>
  <c r="A645" i="62" s="1"/>
  <c r="A646" i="62" s="1"/>
  <c r="A647" i="62" s="1"/>
  <c r="A648" i="62" s="1"/>
  <c r="A649" i="62" s="1"/>
  <c r="A650" i="62" s="1"/>
  <c r="A651" i="62" s="1"/>
  <c r="A652" i="62" s="1"/>
  <c r="A653" i="62" s="1"/>
  <c r="A654" i="62" s="1"/>
  <c r="A655" i="62" s="1"/>
  <c r="A656" i="62" s="1"/>
  <c r="A657" i="62" s="1"/>
  <c r="A658" i="62" s="1"/>
  <c r="A659" i="62" s="1"/>
  <c r="A660" i="62" s="1"/>
  <c r="A661" i="62" s="1"/>
  <c r="A662" i="62" s="1"/>
  <c r="A663" i="62" s="1"/>
  <c r="A664" i="62" s="1"/>
  <c r="A665" i="62" s="1"/>
  <c r="A666" i="62" s="1"/>
  <c r="A667" i="62" s="1"/>
  <c r="A668" i="62" s="1"/>
  <c r="A669" i="62" s="1"/>
  <c r="A670" i="62" s="1"/>
  <c r="A671" i="62" s="1"/>
  <c r="A672" i="62" s="1"/>
  <c r="A673" i="62" s="1"/>
  <c r="A674" i="62" s="1"/>
  <c r="A675" i="62" s="1"/>
  <c r="A676" i="62" s="1"/>
  <c r="A677" i="62" s="1"/>
  <c r="A678" i="62" s="1"/>
  <c r="A679" i="62" s="1"/>
  <c r="A680" i="62" s="1"/>
  <c r="A681" i="62" s="1"/>
  <c r="A682" i="62" s="1"/>
  <c r="A683" i="62" s="1"/>
  <c r="A684" i="62" s="1"/>
  <c r="A685" i="62" s="1"/>
  <c r="A686" i="62" s="1"/>
  <c r="A687" i="62" s="1"/>
  <c r="A688" i="62" s="1"/>
  <c r="A689" i="62" s="1"/>
  <c r="A690" i="62" s="1"/>
  <c r="A691" i="62" s="1"/>
  <c r="A692" i="62" s="1"/>
  <c r="A693" i="62" s="1"/>
  <c r="A694" i="62" s="1"/>
  <c r="A695" i="62" s="1"/>
  <c r="A696" i="62" s="1"/>
  <c r="A697" i="62" s="1"/>
  <c r="A698" i="62" s="1"/>
  <c r="A699" i="62" s="1"/>
  <c r="A700" i="62" s="1"/>
  <c r="A701" i="62" s="1"/>
  <c r="A702" i="62" s="1"/>
  <c r="A703" i="62" s="1"/>
  <c r="A704" i="62" s="1"/>
  <c r="A705" i="62" s="1"/>
  <c r="A706" i="62" s="1"/>
  <c r="A707" i="62" s="1"/>
  <c r="A708" i="62" s="1"/>
  <c r="A709" i="62" s="1"/>
  <c r="A710" i="62" s="1"/>
  <c r="A711" i="62" s="1"/>
  <c r="A712" i="62" s="1"/>
  <c r="A713" i="62" s="1"/>
  <c r="A714" i="62" s="1"/>
  <c r="A715" i="62" s="1"/>
  <c r="A716" i="62" s="1"/>
  <c r="A717" i="62" s="1"/>
  <c r="A718" i="62" s="1"/>
  <c r="A719" i="62" s="1"/>
  <c r="A720" i="62" s="1"/>
  <c r="A721" i="62" s="1"/>
  <c r="A722" i="62" s="1"/>
  <c r="A723" i="62" s="1"/>
  <c r="A724" i="62" s="1"/>
  <c r="A725" i="62" s="1"/>
  <c r="A726" i="62" s="1"/>
  <c r="A727" i="62" s="1"/>
  <c r="A728" i="62" s="1"/>
  <c r="A729" i="62" s="1"/>
  <c r="A730" i="62" s="1"/>
  <c r="A731" i="62" s="1"/>
  <c r="A732" i="62" s="1"/>
  <c r="A733" i="62" s="1"/>
  <c r="A734" i="62" s="1"/>
  <c r="A735" i="62" s="1"/>
  <c r="A736" i="62" s="1"/>
  <c r="A737" i="62" s="1"/>
  <c r="A738" i="62" s="1"/>
  <c r="A739" i="62" s="1"/>
  <c r="A740" i="62" s="1"/>
  <c r="A741" i="62" s="1"/>
  <c r="A742" i="62" s="1"/>
  <c r="A743" i="62" s="1"/>
  <c r="A744" i="62" s="1"/>
  <c r="A745" i="62" s="1"/>
  <c r="A746" i="62" s="1"/>
  <c r="A747" i="62" s="1"/>
  <c r="A748" i="62" s="1"/>
  <c r="A749" i="62" s="1"/>
  <c r="A750" i="62" s="1"/>
  <c r="A751" i="62" s="1"/>
  <c r="A752" i="62" s="1"/>
  <c r="A753" i="62" s="1"/>
  <c r="A754" i="62" s="1"/>
  <c r="A755" i="62" s="1"/>
  <c r="A756" i="62" s="1"/>
  <c r="A757" i="62" s="1"/>
  <c r="A758" i="62" s="1"/>
  <c r="A759" i="62" s="1"/>
  <c r="A760" i="62" s="1"/>
  <c r="A761" i="62" s="1"/>
  <c r="A762" i="62" s="1"/>
  <c r="A763" i="62" s="1"/>
  <c r="A764" i="62" s="1"/>
  <c r="A765" i="62" s="1"/>
  <c r="A766" i="62" s="1"/>
  <c r="A767" i="62" s="1"/>
  <c r="A768" i="62" s="1"/>
  <c r="A769" i="62" s="1"/>
  <c r="A770" i="62" s="1"/>
  <c r="A771" i="62" s="1"/>
  <c r="A772" i="62" s="1"/>
  <c r="A773" i="62" s="1"/>
  <c r="A774" i="62" s="1"/>
  <c r="A775" i="62" s="1"/>
  <c r="A776" i="62" s="1"/>
  <c r="A777" i="62" s="1"/>
  <c r="A778" i="62" s="1"/>
  <c r="A779" i="62" s="1"/>
  <c r="A780" i="62" s="1"/>
  <c r="A781" i="62" s="1"/>
  <c r="A782" i="62" s="1"/>
  <c r="A783" i="62" s="1"/>
  <c r="A784" i="62" s="1"/>
  <c r="A785" i="62" s="1"/>
  <c r="A786" i="62" s="1"/>
  <c r="A787" i="62" s="1"/>
  <c r="A788" i="62" s="1"/>
  <c r="A789" i="62" s="1"/>
  <c r="A790" i="62" s="1"/>
  <c r="A791" i="62" s="1"/>
  <c r="A792" i="62" s="1"/>
  <c r="A793" i="62" s="1"/>
  <c r="A794" i="62" s="1"/>
  <c r="A795" i="62" s="1"/>
  <c r="A796" i="62" s="1"/>
  <c r="A797" i="62" s="1"/>
  <c r="A798" i="62" s="1"/>
  <c r="A799" i="62" s="1"/>
  <c r="A800" i="62" s="1"/>
  <c r="A801" i="62" s="1"/>
  <c r="A802" i="62" s="1"/>
  <c r="A803" i="62" s="1"/>
  <c r="A804" i="62" s="1"/>
  <c r="A805" i="62" s="1"/>
  <c r="A806" i="62" s="1"/>
  <c r="A807" i="62" s="1"/>
  <c r="A808" i="62" s="1"/>
  <c r="A809" i="62" s="1"/>
  <c r="A810" i="62" s="1"/>
  <c r="A811" i="62" s="1"/>
  <c r="A812" i="62" s="1"/>
  <c r="A813" i="62" s="1"/>
  <c r="A814" i="62" s="1"/>
  <c r="A815" i="62" s="1"/>
  <c r="A816" i="62" s="1"/>
  <c r="A817" i="62" s="1"/>
  <c r="A818" i="62" s="1"/>
  <c r="A819" i="62" s="1"/>
  <c r="A820" i="62" s="1"/>
  <c r="A821" i="62" s="1"/>
  <c r="A822" i="62" s="1"/>
  <c r="A823" i="62" s="1"/>
  <c r="A824" i="62" s="1"/>
  <c r="A825" i="62" s="1"/>
  <c r="A826" i="62" s="1"/>
  <c r="A827" i="62" s="1"/>
  <c r="A828" i="62" s="1"/>
  <c r="A829" i="62" s="1"/>
  <c r="A830" i="62" s="1"/>
  <c r="A831" i="62" s="1"/>
  <c r="A832" i="62" s="1"/>
  <c r="A833" i="62" s="1"/>
  <c r="A834" i="62" s="1"/>
  <c r="A835" i="62" s="1"/>
  <c r="A836" i="62" s="1"/>
  <c r="A837" i="62" s="1"/>
  <c r="A838" i="62" s="1"/>
  <c r="A839" i="62" s="1"/>
  <c r="A840" i="62" s="1"/>
  <c r="A841" i="62" s="1"/>
  <c r="A842" i="62" s="1"/>
  <c r="A843" i="62" s="1"/>
  <c r="A844" i="62" s="1"/>
  <c r="A845" i="62" s="1"/>
  <c r="A846" i="62" s="1"/>
  <c r="A847" i="62" s="1"/>
  <c r="A848" i="62" s="1"/>
  <c r="A849" i="62" s="1"/>
  <c r="A850" i="62" s="1"/>
  <c r="A851" i="62" s="1"/>
  <c r="A852" i="62" s="1"/>
  <c r="A853" i="62" s="1"/>
  <c r="A854" i="62" s="1"/>
  <c r="A855" i="62" s="1"/>
  <c r="A856" i="62" s="1"/>
  <c r="A857" i="62" s="1"/>
  <c r="A858" i="62" s="1"/>
  <c r="A859" i="62" s="1"/>
  <c r="A860" i="62" s="1"/>
  <c r="A861" i="62" s="1"/>
  <c r="A862" i="62" s="1"/>
  <c r="A863" i="62" s="1"/>
  <c r="A864" i="62" s="1"/>
  <c r="A865" i="62" s="1"/>
  <c r="A866" i="62" s="1"/>
  <c r="A867" i="62" s="1"/>
  <c r="A868" i="62" s="1"/>
  <c r="A869" i="62" s="1"/>
  <c r="A870" i="62" s="1"/>
  <c r="A871" i="62" s="1"/>
  <c r="A872" i="62" s="1"/>
  <c r="A873" i="62" s="1"/>
  <c r="A874" i="62" s="1"/>
  <c r="A875" i="62" s="1"/>
  <c r="A876" i="62" s="1"/>
  <c r="A877" i="62" s="1"/>
  <c r="A878" i="62" s="1"/>
  <c r="A879" i="62" s="1"/>
  <c r="A880" i="62" s="1"/>
  <c r="A881" i="62" s="1"/>
  <c r="A882" i="62" s="1"/>
  <c r="A883" i="62" s="1"/>
  <c r="A884" i="62" s="1"/>
  <c r="A885" i="62" s="1"/>
  <c r="A886" i="62" s="1"/>
  <c r="A887" i="62" s="1"/>
  <c r="A888" i="62" s="1"/>
  <c r="A889" i="62" s="1"/>
  <c r="A890" i="62" s="1"/>
  <c r="A891" i="62" s="1"/>
  <c r="A892" i="62" s="1"/>
  <c r="A893" i="62" s="1"/>
  <c r="A894" i="62" s="1"/>
  <c r="A895" i="62" s="1"/>
  <c r="K5" i="10" l="1"/>
  <c r="K6" i="10" s="1"/>
  <c r="F32" i="7" l="1"/>
  <c r="G32" i="7"/>
  <c r="H32" i="7"/>
  <c r="I32" i="7"/>
  <c r="J32" i="7"/>
  <c r="F33" i="7"/>
  <c r="G33" i="7"/>
  <c r="H33" i="7"/>
  <c r="I33" i="7"/>
  <c r="J33" i="7"/>
  <c r="F34" i="7"/>
  <c r="G34" i="7"/>
  <c r="H34" i="7"/>
  <c r="I34" i="7"/>
  <c r="J34" i="7"/>
  <c r="F35" i="7"/>
  <c r="G35" i="7"/>
  <c r="H35" i="7"/>
  <c r="I35" i="7"/>
  <c r="J35" i="7"/>
  <c r="F36" i="7"/>
  <c r="G36" i="7"/>
  <c r="H36" i="7"/>
  <c r="I36" i="7"/>
  <c r="J36" i="7"/>
  <c r="F37" i="7"/>
  <c r="G37" i="7"/>
  <c r="H37" i="7"/>
  <c r="I37" i="7"/>
  <c r="J37" i="7"/>
  <c r="F38" i="7"/>
  <c r="G38" i="7"/>
  <c r="H38" i="7"/>
  <c r="I38" i="7"/>
  <c r="J38" i="7"/>
  <c r="F39" i="7"/>
  <c r="G39" i="7"/>
  <c r="H39" i="7"/>
  <c r="I39" i="7"/>
  <c r="J39" i="7"/>
  <c r="F40" i="7"/>
  <c r="G40" i="7"/>
  <c r="H40" i="7"/>
  <c r="I40" i="7"/>
  <c r="J40" i="7"/>
  <c r="F41" i="7"/>
  <c r="G41" i="7"/>
  <c r="H41" i="7"/>
  <c r="I41" i="7"/>
  <c r="J41" i="7"/>
  <c r="F42" i="7"/>
  <c r="G42" i="7"/>
  <c r="H42" i="7"/>
  <c r="I42" i="7"/>
  <c r="J42" i="7"/>
  <c r="F43" i="7"/>
  <c r="G43" i="7"/>
  <c r="H43" i="7"/>
  <c r="I43" i="7"/>
  <c r="J43" i="7"/>
  <c r="F44" i="7"/>
  <c r="G44" i="7"/>
  <c r="H44" i="7"/>
  <c r="I44" i="7"/>
  <c r="J44" i="7"/>
  <c r="F45" i="7"/>
  <c r="G45" i="7"/>
  <c r="H45" i="7"/>
  <c r="I45" i="7"/>
  <c r="J45" i="7"/>
  <c r="F46" i="7"/>
  <c r="G46" i="7"/>
  <c r="H46" i="7"/>
  <c r="I46" i="7"/>
  <c r="J46" i="7"/>
  <c r="F47" i="7"/>
  <c r="G47" i="7"/>
  <c r="H47" i="7"/>
  <c r="I47" i="7"/>
  <c r="J47" i="7"/>
  <c r="F48" i="7"/>
  <c r="G48" i="7"/>
  <c r="H48" i="7"/>
  <c r="I48" i="7"/>
  <c r="J48" i="7"/>
  <c r="G26" i="7" l="1"/>
  <c r="H26" i="7"/>
  <c r="I26" i="7"/>
  <c r="J26" i="7"/>
  <c r="F26" i="7"/>
  <c r="L12" i="5" l="1"/>
  <c r="M10" i="5"/>
  <c r="L10" i="5"/>
  <c r="L12" i="4" l="1"/>
  <c r="M10" i="4"/>
  <c r="L10" i="4"/>
  <c r="L12" i="3" l="1"/>
  <c r="M10" i="3"/>
  <c r="L10" i="3"/>
  <c r="L12" i="2" l="1"/>
  <c r="M10" i="2"/>
  <c r="L10" i="2"/>
  <c r="M10" i="1" l="1"/>
  <c r="A14" i="11" l="1"/>
  <c r="E48" i="7" l="1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 l="1"/>
  <c r="C32" i="7"/>
  <c r="B32" i="7"/>
  <c r="J31" i="7"/>
  <c r="I31" i="7"/>
  <c r="H31" i="7"/>
  <c r="G31" i="7"/>
  <c r="F31" i="7"/>
  <c r="E31" i="7"/>
  <c r="D31" i="7"/>
  <c r="C31" i="7"/>
  <c r="B31" i="7"/>
  <c r="J30" i="7"/>
  <c r="I30" i="7"/>
  <c r="H30" i="7"/>
  <c r="G30" i="7"/>
  <c r="F30" i="7"/>
  <c r="E30" i="7"/>
  <c r="D30" i="7"/>
  <c r="C30" i="7"/>
  <c r="B30" i="7"/>
  <c r="J29" i="7"/>
  <c r="I29" i="7"/>
  <c r="H29" i="7"/>
  <c r="G29" i="7"/>
  <c r="F29" i="7"/>
  <c r="E29" i="7"/>
  <c r="D29" i="7"/>
  <c r="C29" i="7"/>
  <c r="B29" i="7"/>
  <c r="J28" i="7"/>
  <c r="I28" i="7"/>
  <c r="H28" i="7"/>
  <c r="G28" i="7"/>
  <c r="F28" i="7"/>
  <c r="E28" i="7"/>
  <c r="D28" i="7"/>
  <c r="C28" i="7"/>
  <c r="B28" i="7"/>
  <c r="J27" i="7"/>
  <c r="I27" i="7"/>
  <c r="H27" i="7"/>
  <c r="G27" i="7"/>
  <c r="F27" i="7"/>
  <c r="E27" i="7"/>
  <c r="D27" i="7"/>
  <c r="C27" i="7"/>
  <c r="B27" i="7"/>
  <c r="E26" i="7"/>
  <c r="D26" i="7"/>
  <c r="C26" i="7"/>
  <c r="B26" i="7"/>
  <c r="J25" i="7"/>
  <c r="I25" i="7"/>
  <c r="H25" i="7"/>
  <c r="G25" i="7"/>
  <c r="F25" i="7"/>
  <c r="E25" i="7"/>
  <c r="D25" i="7"/>
  <c r="C25" i="7"/>
  <c r="B25" i="7"/>
  <c r="J24" i="7"/>
  <c r="I24" i="7"/>
  <c r="H24" i="7"/>
  <c r="G24" i="7"/>
  <c r="F24" i="7"/>
  <c r="E24" i="7"/>
  <c r="D24" i="7"/>
  <c r="C24" i="7"/>
  <c r="B24" i="7"/>
  <c r="J23" i="7"/>
  <c r="I23" i="7"/>
  <c r="H23" i="7"/>
  <c r="G23" i="7"/>
  <c r="F23" i="7"/>
  <c r="E23" i="7"/>
  <c r="D23" i="7"/>
  <c r="C23" i="7"/>
  <c r="B23" i="7"/>
  <c r="J22" i="7"/>
  <c r="I22" i="7"/>
  <c r="H22" i="7"/>
  <c r="G22" i="7"/>
  <c r="F22" i="7"/>
  <c r="E22" i="7"/>
  <c r="D22" i="7"/>
  <c r="C22" i="7"/>
  <c r="B22" i="7"/>
  <c r="J21" i="7"/>
  <c r="I21" i="7"/>
  <c r="H21" i="7"/>
  <c r="G21" i="7"/>
  <c r="F21" i="7"/>
  <c r="E21" i="7"/>
  <c r="D21" i="7"/>
  <c r="C21" i="7"/>
  <c r="B21" i="7"/>
  <c r="J20" i="7"/>
  <c r="I20" i="7"/>
  <c r="H20" i="7"/>
  <c r="G20" i="7"/>
  <c r="F20" i="7"/>
  <c r="E20" i="7"/>
  <c r="D20" i="7"/>
  <c r="C20" i="7" l="1"/>
  <c r="B20" i="7"/>
  <c r="J19" i="7"/>
  <c r="I19" i="7"/>
  <c r="H19" i="7"/>
  <c r="G19" i="7"/>
  <c r="F19" i="7"/>
  <c r="E19" i="7"/>
  <c r="D19" i="7" l="1"/>
  <c r="C19" i="7"/>
  <c r="B19" i="7"/>
  <c r="J18" i="7"/>
  <c r="I18" i="7"/>
  <c r="H18" i="7"/>
  <c r="G18" i="7"/>
  <c r="F18" i="7"/>
  <c r="E18" i="7"/>
  <c r="D18" i="7"/>
  <c r="C18" i="7"/>
  <c r="B18" i="7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15" i="7"/>
  <c r="I15" i="7"/>
  <c r="H15" i="7"/>
  <c r="G15" i="7"/>
  <c r="F15" i="7"/>
  <c r="E15" i="7"/>
  <c r="D15" i="7"/>
  <c r="C15" i="7"/>
  <c r="B15" i="7"/>
  <c r="J14" i="7"/>
  <c r="I14" i="7"/>
  <c r="H14" i="7"/>
  <c r="G14" i="7"/>
  <c r="F14" i="7"/>
  <c r="E14" i="7" l="1"/>
  <c r="D14" i="7"/>
  <c r="C14" i="7"/>
  <c r="B14" i="7"/>
  <c r="J13" i="7"/>
  <c r="I13" i="7"/>
  <c r="H13" i="7"/>
  <c r="G13" i="7"/>
  <c r="F13" i="7"/>
  <c r="E13" i="7"/>
  <c r="D13" i="7"/>
  <c r="C13" i="7"/>
  <c r="B13" i="7"/>
  <c r="E12" i="7" l="1"/>
  <c r="D12" i="7"/>
  <c r="C12" i="7"/>
  <c r="C11" i="7" l="1"/>
  <c r="B11" i="7"/>
  <c r="J10" i="7"/>
  <c r="I10" i="7"/>
  <c r="H10" i="7"/>
  <c r="G3" i="7" l="1"/>
  <c r="A10" i="10" l="1"/>
  <c r="A15" i="11" l="1"/>
  <c r="A16" i="11" s="1"/>
  <c r="A11" i="10" l="1"/>
  <c r="A12" i="10"/>
  <c r="A13" i="10"/>
  <c r="A17" i="11"/>
  <c r="A18" i="11" s="1"/>
  <c r="A19" i="11" s="1"/>
  <c r="A20" i="11" s="1"/>
  <c r="A21" i="11" s="1"/>
  <c r="A22" i="11" s="1"/>
  <c r="A23" i="11" s="1"/>
  <c r="A24" i="11" s="1"/>
  <c r="A25" i="11" s="1"/>
  <c r="A14" i="10" l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13" i="11"/>
  <c r="B14" i="11" s="1"/>
  <c r="F14" i="11" l="1"/>
  <c r="F15" i="11" s="1"/>
  <c r="F16" i="11" s="1"/>
  <c r="B15" i="11" l="1"/>
  <c r="B16" i="11" s="1"/>
  <c r="B17" i="11" s="1"/>
  <c r="D14" i="11"/>
  <c r="D15" i="11" s="1"/>
  <c r="D16" i="11" s="1"/>
  <c r="H16" i="11" s="1"/>
  <c r="E14" i="11"/>
  <c r="E15" i="11" l="1"/>
  <c r="B18" i="11"/>
  <c r="B19" i="11" s="1"/>
  <c r="B20" i="11" s="1"/>
  <c r="D17" i="11"/>
  <c r="D18" i="11" s="1"/>
  <c r="D19" i="11" s="1"/>
  <c r="H19" i="11" s="1"/>
  <c r="B21" i="11" l="1"/>
  <c r="B22" i="11" s="1"/>
  <c r="B23" i="11" s="1"/>
  <c r="D20" i="11"/>
  <c r="D21" i="11" s="1"/>
  <c r="D22" i="11" s="1"/>
  <c r="H22" i="11" s="1"/>
  <c r="E16" i="11"/>
  <c r="D23" i="11" l="1"/>
  <c r="D24" i="11" s="1"/>
  <c r="D25" i="11" s="1"/>
  <c r="H25" i="11" s="1"/>
  <c r="B24" i="11"/>
  <c r="B25" i="11" s="1"/>
  <c r="B26" i="11" s="1"/>
  <c r="D26" i="11" l="1"/>
  <c r="D27" i="11" s="1"/>
  <c r="D28" i="11" s="1"/>
  <c r="H28" i="11" s="1"/>
  <c r="B27" i="11"/>
  <c r="B28" i="11" s="1"/>
  <c r="B29" i="11" s="1"/>
  <c r="B30" i="11" l="1"/>
  <c r="B31" i="11" s="1"/>
  <c r="B32" i="11" s="1"/>
  <c r="D29" i="11"/>
  <c r="D30" i="11" s="1"/>
  <c r="D31" i="11" s="1"/>
  <c r="H31" i="11" s="1"/>
  <c r="D32" i="11" l="1"/>
  <c r="D33" i="11" s="1"/>
  <c r="D34" i="11" s="1"/>
  <c r="H34" i="11" s="1"/>
  <c r="B33" i="11"/>
  <c r="B34" i="11" s="1"/>
  <c r="B35" i="11" s="1"/>
  <c r="B36" i="11" l="1"/>
  <c r="B37" i="11" s="1"/>
  <c r="B38" i="11" s="1"/>
  <c r="D35" i="11"/>
  <c r="D36" i="11" s="1"/>
  <c r="D37" i="11" s="1"/>
  <c r="H37" i="11" s="1"/>
  <c r="D38" i="11" l="1"/>
  <c r="D39" i="11" s="1"/>
  <c r="D40" i="11" s="1"/>
  <c r="H40" i="11" s="1"/>
  <c r="B39" i="11"/>
  <c r="B40" i="11" s="1"/>
  <c r="B41" i="11" s="1"/>
  <c r="B42" i="11" l="1"/>
  <c r="B43" i="11" s="1"/>
  <c r="B44" i="11" s="1"/>
  <c r="D41" i="11"/>
  <c r="D42" i="11" s="1"/>
  <c r="D43" i="11" s="1"/>
  <c r="H43" i="11" s="1"/>
  <c r="D44" i="11" l="1"/>
  <c r="D45" i="11" s="1"/>
  <c r="D46" i="11" s="1"/>
  <c r="H46" i="11" s="1"/>
  <c r="B45" i="11"/>
  <c r="B46" i="11" s="1"/>
  <c r="B47" i="11" s="1"/>
  <c r="A28" i="10" l="1"/>
  <c r="E17" i="11"/>
  <c r="D47" i="11"/>
  <c r="D48" i="11" s="1"/>
  <c r="D49" i="11" s="1"/>
  <c r="H49" i="11" s="1"/>
  <c r="B48" i="11"/>
  <c r="B49" i="11" s="1"/>
  <c r="E18" i="11" l="1"/>
  <c r="A29" i="10"/>
  <c r="F17" i="11"/>
  <c r="F18" i="11" s="1"/>
  <c r="A30" i="10"/>
  <c r="A31" i="10" s="1"/>
  <c r="A32" i="10" s="1"/>
  <c r="A33" i="10" s="1"/>
  <c r="F32" i="11" s="1"/>
  <c r="F33" i="11" s="1"/>
  <c r="E29" i="11" l="1"/>
  <c r="E32" i="11"/>
  <c r="E20" i="11"/>
  <c r="F23" i="11"/>
  <c r="F24" i="11" s="1"/>
  <c r="F25" i="11" s="1"/>
  <c r="F20" i="11"/>
  <c r="F21" i="11" s="1"/>
  <c r="F22" i="11" s="1"/>
  <c r="E19" i="11"/>
  <c r="A34" i="10"/>
  <c r="F35" i="11" s="1"/>
  <c r="F36" i="11" s="1"/>
  <c r="F37" i="11" s="1"/>
  <c r="E23" i="11"/>
  <c r="F29" i="11"/>
  <c r="E26" i="11"/>
  <c r="F26" i="11"/>
  <c r="F27" i="11" s="1"/>
  <c r="F28" i="11" s="1"/>
  <c r="F19" i="11"/>
  <c r="F34" i="11"/>
  <c r="E30" i="11" l="1"/>
  <c r="E31" i="11" s="1"/>
  <c r="A35" i="10"/>
  <c r="E38" i="11" s="1"/>
  <c r="E35" i="11"/>
  <c r="E24" i="11"/>
  <c r="E21" i="11"/>
  <c r="E33" i="11"/>
  <c r="F38" i="11"/>
  <c r="F39" i="11" s="1"/>
  <c r="F40" i="11" s="1"/>
  <c r="E27" i="11"/>
  <c r="F30" i="11"/>
  <c r="F31" i="11" s="1"/>
  <c r="A36" i="10"/>
  <c r="E39" i="11" l="1"/>
  <c r="E40" i="11" s="1"/>
  <c r="E36" i="11"/>
  <c r="E37" i="11" s="1"/>
  <c r="E25" i="11"/>
  <c r="E22" i="11"/>
  <c r="E34" i="11"/>
  <c r="E28" i="11"/>
  <c r="A37" i="10"/>
  <c r="A38" i="10" l="1"/>
  <c r="A39" i="10" l="1"/>
  <c r="A40" i="10" s="1"/>
  <c r="A41" i="10" s="1"/>
  <c r="A42" i="10" s="1"/>
  <c r="A43" i="10" s="1"/>
  <c r="A44" i="10" s="1"/>
  <c r="F44" i="11" l="1"/>
  <c r="F45" i="11" s="1"/>
  <c r="F46" i="11" s="1"/>
  <c r="E44" i="11"/>
  <c r="E47" i="11"/>
  <c r="F41" i="11"/>
  <c r="F42" i="11" s="1"/>
  <c r="F43" i="11" s="1"/>
  <c r="F47" i="11"/>
  <c r="F48" i="11" s="1"/>
  <c r="F49" i="11" s="1"/>
  <c r="E41" i="11"/>
  <c r="E48" i="11" l="1"/>
  <c r="E45" i="11"/>
  <c r="E42" i="11"/>
  <c r="E49" i="11" l="1"/>
  <c r="E46" i="11"/>
  <c r="E43" i="11"/>
  <c r="A45" i="10" l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A722" i="10" s="1"/>
  <c r="A723" i="10" s="1"/>
  <c r="A724" i="10" s="1"/>
  <c r="A725" i="10" s="1"/>
  <c r="A726" i="10" s="1"/>
  <c r="A727" i="10" s="1"/>
  <c r="A728" i="10" s="1"/>
  <c r="A729" i="10" s="1"/>
  <c r="A730" i="10" s="1"/>
  <c r="A731" i="10" s="1"/>
  <c r="A732" i="10" s="1"/>
  <c r="A733" i="10" s="1"/>
  <c r="A734" i="10" s="1"/>
  <c r="A735" i="10" s="1"/>
  <c r="A736" i="10" s="1"/>
  <c r="A737" i="10" s="1"/>
  <c r="A738" i="10" s="1"/>
  <c r="A739" i="10" s="1"/>
  <c r="A740" i="10" s="1"/>
  <c r="A741" i="10" s="1"/>
  <c r="A742" i="10" s="1"/>
  <c r="A743" i="10" s="1"/>
  <c r="A744" i="10" s="1"/>
  <c r="A745" i="10" s="1"/>
  <c r="A746" i="10" s="1"/>
  <c r="A747" i="10" s="1"/>
  <c r="A748" i="10" s="1"/>
  <c r="A749" i="10" s="1"/>
  <c r="A750" i="10" s="1"/>
  <c r="A751" i="10" s="1"/>
  <c r="A752" i="10" s="1"/>
  <c r="A753" i="10" s="1"/>
  <c r="A754" i="10" s="1"/>
  <c r="A755" i="10" s="1"/>
  <c r="A756" i="10" s="1"/>
  <c r="A757" i="10" s="1"/>
  <c r="A758" i="10" s="1"/>
  <c r="A759" i="10" s="1"/>
  <c r="A760" i="10" s="1"/>
  <c r="A761" i="10" s="1"/>
  <c r="A762" i="10" s="1"/>
  <c r="A763" i="10" s="1"/>
  <c r="A764" i="10" s="1"/>
  <c r="A765" i="10" s="1"/>
  <c r="A766" i="10" s="1"/>
  <c r="A767" i="10" s="1"/>
  <c r="A768" i="10" s="1"/>
  <c r="A769" i="10" s="1"/>
  <c r="A770" i="10" s="1"/>
  <c r="A771" i="10" s="1"/>
  <c r="A772" i="10" s="1"/>
  <c r="A773" i="10" s="1"/>
  <c r="A774" i="10" s="1"/>
  <c r="A775" i="10" s="1"/>
  <c r="A776" i="10" s="1"/>
  <c r="A777" i="10" s="1"/>
  <c r="A778" i="10" s="1"/>
  <c r="A779" i="10" s="1"/>
  <c r="A780" i="10" s="1"/>
  <c r="A781" i="10" s="1"/>
  <c r="A782" i="10" s="1"/>
  <c r="A783" i="10" s="1"/>
  <c r="A784" i="10" s="1"/>
  <c r="A785" i="10" s="1"/>
  <c r="A786" i="10" s="1"/>
  <c r="A787" i="10" s="1"/>
  <c r="A788" i="10" s="1"/>
  <c r="A789" i="10" s="1"/>
  <c r="A790" i="10" s="1"/>
  <c r="A791" i="10" s="1"/>
  <c r="A792" i="10" s="1"/>
  <c r="A793" i="10" s="1"/>
  <c r="A794" i="10" s="1"/>
  <c r="A795" i="10" s="1"/>
  <c r="A796" i="10" s="1"/>
  <c r="A797" i="10" s="1"/>
  <c r="A798" i="10" s="1"/>
  <c r="A799" i="10" s="1"/>
  <c r="A800" i="10" s="1"/>
  <c r="A801" i="10" s="1"/>
  <c r="A802" i="10" s="1"/>
  <c r="A803" i="10" s="1"/>
  <c r="A804" i="10" s="1"/>
  <c r="A805" i="10" s="1"/>
  <c r="A806" i="10" s="1"/>
  <c r="A807" i="10" s="1"/>
  <c r="A808" i="10" s="1"/>
  <c r="A809" i="10" s="1"/>
  <c r="A810" i="10" s="1"/>
  <c r="A811" i="10" s="1"/>
  <c r="A812" i="10" s="1"/>
  <c r="A813" i="10" s="1"/>
  <c r="A814" i="10" s="1"/>
  <c r="A815" i="10" s="1"/>
  <c r="A816" i="10" s="1"/>
  <c r="A817" i="10" s="1"/>
  <c r="A818" i="10" s="1"/>
  <c r="A819" i="10" s="1"/>
  <c r="A820" i="10" s="1"/>
  <c r="A821" i="10" s="1"/>
  <c r="A822" i="10" s="1"/>
  <c r="A823" i="10" s="1"/>
  <c r="A824" i="10" s="1"/>
  <c r="A825" i="10" s="1"/>
  <c r="A826" i="10" s="1"/>
  <c r="A827" i="10" s="1"/>
  <c r="A828" i="10" s="1"/>
  <c r="A829" i="10" s="1"/>
  <c r="A830" i="10" s="1"/>
  <c r="A831" i="10" s="1"/>
  <c r="A832" i="10" s="1"/>
  <c r="A833" i="10" s="1"/>
  <c r="A834" i="10" s="1"/>
  <c r="A835" i="10" s="1"/>
  <c r="A836" i="10" s="1"/>
  <c r="A837" i="10" s="1"/>
  <c r="A838" i="10" s="1"/>
  <c r="A839" i="10" s="1"/>
  <c r="A840" i="10" s="1"/>
  <c r="A841" i="10" s="1"/>
  <c r="A842" i="10" s="1"/>
  <c r="A843" i="10" s="1"/>
  <c r="A844" i="10" s="1"/>
  <c r="A845" i="10" s="1"/>
  <c r="A846" i="10" s="1"/>
  <c r="A847" i="10" s="1"/>
  <c r="A848" i="10" s="1"/>
  <c r="A849" i="10" s="1"/>
  <c r="A850" i="10" s="1"/>
  <c r="A851" i="10" s="1"/>
  <c r="A852" i="10" s="1"/>
  <c r="A853" i="10" s="1"/>
  <c r="A854" i="10" s="1"/>
  <c r="A855" i="10" s="1"/>
  <c r="A856" i="10" s="1"/>
  <c r="A857" i="10" s="1"/>
  <c r="A858" i="10" s="1"/>
  <c r="A859" i="10" s="1"/>
  <c r="A860" i="10" s="1"/>
  <c r="A861" i="10" s="1"/>
  <c r="A862" i="10" s="1"/>
  <c r="A863" i="10" s="1"/>
  <c r="A864" i="10" s="1"/>
  <c r="A865" i="10" s="1"/>
  <c r="A866" i="10" s="1"/>
  <c r="A867" i="10" s="1"/>
  <c r="A868" i="10" s="1"/>
  <c r="A869" i="10" s="1"/>
  <c r="A870" i="10" s="1"/>
  <c r="A871" i="10" s="1"/>
  <c r="A872" i="10" s="1"/>
  <c r="A873" i="10" s="1"/>
  <c r="A874" i="10" s="1"/>
  <c r="A875" i="10" s="1"/>
  <c r="A876" i="10" s="1"/>
  <c r="A877" i="10" s="1"/>
  <c r="A878" i="10" s="1"/>
  <c r="A879" i="10" s="1"/>
  <c r="A880" i="10" s="1"/>
  <c r="A881" i="10" s="1"/>
  <c r="A882" i="10" s="1"/>
  <c r="A883" i="10" s="1"/>
  <c r="A884" i="10" s="1"/>
  <c r="A885" i="10" s="1"/>
  <c r="A886" i="10" s="1"/>
  <c r="A887" i="10" s="1"/>
  <c r="A888" i="10" s="1"/>
  <c r="A889" i="10" s="1"/>
  <c r="A890" i="10" s="1"/>
  <c r="A891" i="10" s="1"/>
  <c r="A892" i="10" s="1"/>
  <c r="A893" i="10" s="1"/>
  <c r="A894" i="10" s="1"/>
  <c r="A895" i="10" s="1"/>
  <c r="C44" i="11" l="1"/>
  <c r="C38" i="11"/>
  <c r="C47" i="11"/>
  <c r="C41" i="11"/>
  <c r="C48" i="11" l="1"/>
  <c r="C39" i="11"/>
  <c r="C42" i="11"/>
  <c r="C45" i="11"/>
  <c r="C46" i="11" l="1"/>
  <c r="C43" i="11"/>
  <c r="C40" i="11"/>
  <c r="C49" i="11"/>
  <c r="C8" i="5" l="1"/>
  <c r="C8" i="11"/>
  <c r="C8" i="1"/>
  <c r="C8" i="4"/>
  <c r="C8" i="2"/>
  <c r="C8" i="3"/>
  <c r="F11" i="11" l="1"/>
  <c r="C14" i="5"/>
  <c r="C14" i="3"/>
  <c r="C14" i="4"/>
  <c r="T13" i="7"/>
  <c r="C14" i="2"/>
  <c r="C14" i="1"/>
  <c r="C15" i="4" l="1"/>
  <c r="C50" i="4"/>
  <c r="C15" i="1"/>
  <c r="C50" i="1"/>
  <c r="C15" i="3"/>
  <c r="C50" i="3"/>
  <c r="C50" i="2"/>
  <c r="C15" i="2"/>
  <c r="C50" i="5"/>
  <c r="C15" i="5"/>
  <c r="T14" i="7"/>
  <c r="T15" i="7" s="1"/>
  <c r="T16" i="7" s="1"/>
  <c r="T17" i="7" s="1"/>
  <c r="T18" i="7" s="1"/>
  <c r="T19" i="7" s="1"/>
  <c r="T20" i="7" s="1"/>
  <c r="T21" i="7" s="1"/>
  <c r="T22" i="7" s="1"/>
  <c r="T23" i="7" s="1"/>
  <c r="T24" i="7" s="1"/>
  <c r="T25" i="7" s="1"/>
  <c r="T26" i="7" s="1"/>
  <c r="T27" i="7" s="1"/>
  <c r="T28" i="7" s="1"/>
  <c r="T29" i="7" s="1"/>
  <c r="T30" i="7" s="1"/>
  <c r="T31" i="7" s="1"/>
  <c r="T32" i="7" s="1"/>
  <c r="T33" i="7" s="1"/>
  <c r="T34" i="7" s="1"/>
  <c r="T35" i="7" s="1"/>
  <c r="T36" i="7" s="1"/>
  <c r="C32" i="11"/>
  <c r="C26" i="11"/>
  <c r="C35" i="11"/>
  <c r="C20" i="11"/>
  <c r="C14" i="11"/>
  <c r="C23" i="11"/>
  <c r="C17" i="11"/>
  <c r="C29" i="11"/>
  <c r="C18" i="11" l="1"/>
  <c r="C36" i="11"/>
  <c r="C86" i="2"/>
  <c r="O9" i="10"/>
  <c r="C24" i="11"/>
  <c r="C27" i="11"/>
  <c r="C15" i="11"/>
  <c r="C33" i="11"/>
  <c r="C51" i="3"/>
  <c r="C16" i="3"/>
  <c r="C86" i="1"/>
  <c r="C16" i="2"/>
  <c r="C51" i="2"/>
  <c r="C30" i="11"/>
  <c r="C21" i="11"/>
  <c r="C16" i="5"/>
  <c r="C51" i="5"/>
  <c r="C51" i="1"/>
  <c r="C16" i="1"/>
  <c r="C86" i="4"/>
  <c r="C86" i="5"/>
  <c r="C16" i="4"/>
  <c r="C51" i="4"/>
  <c r="O10" i="10" l="1"/>
  <c r="O46" i="10"/>
  <c r="C87" i="5"/>
  <c r="C52" i="3"/>
  <c r="C17" i="3"/>
  <c r="C87" i="4"/>
  <c r="C17" i="1"/>
  <c r="C52" i="1"/>
  <c r="C87" i="2"/>
  <c r="C17" i="4"/>
  <c r="C52" i="4"/>
  <c r="C122" i="5"/>
  <c r="C122" i="4"/>
  <c r="C87" i="1"/>
  <c r="C52" i="5"/>
  <c r="C17" i="5"/>
  <c r="C22" i="11"/>
  <c r="C31" i="11"/>
  <c r="C52" i="2"/>
  <c r="C17" i="2"/>
  <c r="C122" i="1"/>
  <c r="C34" i="11"/>
  <c r="C16" i="11"/>
  <c r="C28" i="11"/>
  <c r="C25" i="11"/>
  <c r="C122" i="2"/>
  <c r="C37" i="11"/>
  <c r="C19" i="11"/>
  <c r="C18" i="5" l="1"/>
  <c r="C53" i="5"/>
  <c r="C158" i="1"/>
  <c r="C88" i="2"/>
  <c r="C88" i="4"/>
  <c r="C123" i="2"/>
  <c r="C18" i="1"/>
  <c r="C53" i="1"/>
  <c r="C158" i="4"/>
  <c r="O47" i="10"/>
  <c r="O48" i="10" s="1"/>
  <c r="O49" i="10" s="1"/>
  <c r="O50" i="10" s="1"/>
  <c r="O51" i="10" s="1"/>
  <c r="O52" i="10" s="1"/>
  <c r="O53" i="10" s="1"/>
  <c r="O54" i="10" s="1"/>
  <c r="O55" i="10" s="1"/>
  <c r="O56" i="10" s="1"/>
  <c r="O57" i="10" s="1"/>
  <c r="O58" i="10" s="1"/>
  <c r="O59" i="10" s="1"/>
  <c r="O60" i="10" s="1"/>
  <c r="O61" i="10" s="1"/>
  <c r="O62" i="10" s="1"/>
  <c r="O63" i="10" s="1"/>
  <c r="O64" i="10" s="1"/>
  <c r="O65" i="10" s="1"/>
  <c r="O66" i="10" s="1"/>
  <c r="O67" i="10" s="1"/>
  <c r="O68" i="10" s="1"/>
  <c r="O69" i="10" s="1"/>
  <c r="O70" i="10" s="1"/>
  <c r="O71" i="10" s="1"/>
  <c r="O72" i="10" s="1"/>
  <c r="O73" i="10" s="1"/>
  <c r="O74" i="10" s="1"/>
  <c r="O75" i="10" s="1"/>
  <c r="O76" i="10" s="1"/>
  <c r="O77" i="10" s="1"/>
  <c r="O78" i="10" s="1"/>
  <c r="O79" i="10" s="1"/>
  <c r="O80" i="10" s="1"/>
  <c r="O81" i="10" s="1"/>
  <c r="O83" i="10"/>
  <c r="C158" i="2"/>
  <c r="C123" i="1"/>
  <c r="C158" i="5"/>
  <c r="C53" i="4"/>
  <c r="C18" i="4"/>
  <c r="C88" i="5"/>
  <c r="C18" i="3"/>
  <c r="C53" i="3"/>
  <c r="C123" i="5"/>
  <c r="O11" i="10"/>
  <c r="C18" i="2"/>
  <c r="C53" i="2"/>
  <c r="C88" i="1"/>
  <c r="C123" i="4"/>
  <c r="C54" i="3" l="1"/>
  <c r="C19" i="3"/>
  <c r="C159" i="4"/>
  <c r="C124" i="1"/>
  <c r="C54" i="4"/>
  <c r="C19" i="4"/>
  <c r="C159" i="1"/>
  <c r="O84" i="10"/>
  <c r="O85" i="10" s="1"/>
  <c r="O86" i="10" s="1"/>
  <c r="O87" i="10" s="1"/>
  <c r="O88" i="10" s="1"/>
  <c r="O89" i="10" s="1"/>
  <c r="O90" i="10" s="1"/>
  <c r="O91" i="10" s="1"/>
  <c r="O92" i="10" s="1"/>
  <c r="O93" i="10" s="1"/>
  <c r="O94" i="10" s="1"/>
  <c r="O95" i="10" s="1"/>
  <c r="O96" i="10" s="1"/>
  <c r="O97" i="10" s="1"/>
  <c r="O98" i="10" s="1"/>
  <c r="O99" i="10" s="1"/>
  <c r="O100" i="10" s="1"/>
  <c r="O101" i="10" s="1"/>
  <c r="O102" i="10" s="1"/>
  <c r="O103" i="10" s="1"/>
  <c r="O104" i="10" s="1"/>
  <c r="O105" i="10" s="1"/>
  <c r="O106" i="10" s="1"/>
  <c r="O107" i="10" s="1"/>
  <c r="O108" i="10" s="1"/>
  <c r="O109" i="10" s="1"/>
  <c r="O110" i="10" s="1"/>
  <c r="O111" i="10" s="1"/>
  <c r="O112" i="10" s="1"/>
  <c r="O113" i="10" s="1"/>
  <c r="O114" i="10" s="1"/>
  <c r="O115" i="10" s="1"/>
  <c r="O116" i="10" s="1"/>
  <c r="O117" i="10" s="1"/>
  <c r="O118" i="10" s="1"/>
  <c r="O120" i="10"/>
  <c r="C89" i="2"/>
  <c r="C89" i="4"/>
  <c r="C89" i="1"/>
  <c r="C124" i="4"/>
  <c r="C124" i="5"/>
  <c r="C194" i="5"/>
  <c r="C159" i="2"/>
  <c r="C54" i="2"/>
  <c r="C19" i="2"/>
  <c r="O12" i="10"/>
  <c r="C159" i="5"/>
  <c r="C54" i="1"/>
  <c r="C19" i="1"/>
  <c r="C124" i="2"/>
  <c r="C194" i="1"/>
  <c r="C89" i="5"/>
  <c r="C194" i="2"/>
  <c r="C194" i="4"/>
  <c r="C54" i="5"/>
  <c r="C19" i="5"/>
  <c r="O13" i="10" l="1"/>
  <c r="C90" i="5"/>
  <c r="C125" i="5"/>
  <c r="C20" i="1"/>
  <c r="C55" i="1"/>
  <c r="C195" i="5"/>
  <c r="C160" i="5"/>
  <c r="C160" i="4"/>
  <c r="C195" i="1"/>
  <c r="C20" i="3"/>
  <c r="C55" i="3"/>
  <c r="C230" i="4"/>
  <c r="C90" i="1"/>
  <c r="C195" i="2"/>
  <c r="C230" i="5"/>
  <c r="C125" i="2"/>
  <c r="O121" i="10"/>
  <c r="O122" i="10" s="1"/>
  <c r="O123" i="10" s="1"/>
  <c r="O124" i="10" s="1"/>
  <c r="O125" i="10" s="1"/>
  <c r="O126" i="10" s="1"/>
  <c r="O127" i="10" s="1"/>
  <c r="O128" i="10" s="1"/>
  <c r="O129" i="10" s="1"/>
  <c r="O130" i="10" s="1"/>
  <c r="O131" i="10" s="1"/>
  <c r="O132" i="10" s="1"/>
  <c r="O133" i="10" s="1"/>
  <c r="O134" i="10" s="1"/>
  <c r="O135" i="10" s="1"/>
  <c r="O136" i="10" s="1"/>
  <c r="O137" i="10" s="1"/>
  <c r="O138" i="10" s="1"/>
  <c r="O139" i="10" s="1"/>
  <c r="O140" i="10" s="1"/>
  <c r="O141" i="10" s="1"/>
  <c r="O142" i="10" s="1"/>
  <c r="O143" i="10" s="1"/>
  <c r="O144" i="10" s="1"/>
  <c r="O145" i="10" s="1"/>
  <c r="O146" i="10" s="1"/>
  <c r="O147" i="10" s="1"/>
  <c r="O148" i="10" s="1"/>
  <c r="O149" i="10" s="1"/>
  <c r="O150" i="10" s="1"/>
  <c r="O151" i="10" s="1"/>
  <c r="O152" i="10" s="1"/>
  <c r="O153" i="10" s="1"/>
  <c r="O154" i="10" s="1"/>
  <c r="O155" i="10" s="1"/>
  <c r="O157" i="10"/>
  <c r="C195" i="4"/>
  <c r="C20" i="4"/>
  <c r="C55" i="4"/>
  <c r="C160" i="1"/>
  <c r="C20" i="2"/>
  <c r="C55" i="2"/>
  <c r="C125" i="4"/>
  <c r="C55" i="5"/>
  <c r="C20" i="5"/>
  <c r="C230" i="1"/>
  <c r="C160" i="2"/>
  <c r="C90" i="2"/>
  <c r="C125" i="1"/>
  <c r="C90" i="4"/>
  <c r="C126" i="4" l="1"/>
  <c r="C161" i="4"/>
  <c r="C91" i="2"/>
  <c r="C196" i="1"/>
  <c r="C161" i="2"/>
  <c r="C56" i="1"/>
  <c r="C21" i="1"/>
  <c r="C126" i="5"/>
  <c r="C126" i="2"/>
  <c r="C56" i="5"/>
  <c r="C21" i="5"/>
  <c r="C196" i="5"/>
  <c r="C196" i="2"/>
  <c r="C56" i="2"/>
  <c r="C21" i="2"/>
  <c r="C161" i="1"/>
  <c r="C266" i="1"/>
  <c r="C91" i="5"/>
  <c r="C91" i="4"/>
  <c r="O158" i="10"/>
  <c r="O159" i="10" s="1"/>
  <c r="O160" i="10" s="1"/>
  <c r="O161" i="10" s="1"/>
  <c r="O162" i="10" s="1"/>
  <c r="O163" i="10" s="1"/>
  <c r="O164" i="10" s="1"/>
  <c r="O165" i="10" s="1"/>
  <c r="O166" i="10" s="1"/>
  <c r="O167" i="10" s="1"/>
  <c r="O168" i="10" s="1"/>
  <c r="O169" i="10" s="1"/>
  <c r="O170" i="10" s="1"/>
  <c r="O171" i="10" s="1"/>
  <c r="O172" i="10" s="1"/>
  <c r="O173" i="10" s="1"/>
  <c r="O174" i="10" s="1"/>
  <c r="O175" i="10" s="1"/>
  <c r="O176" i="10" s="1"/>
  <c r="O177" i="10" s="1"/>
  <c r="O178" i="10" s="1"/>
  <c r="O179" i="10" s="1"/>
  <c r="O180" i="10" s="1"/>
  <c r="O181" i="10" s="1"/>
  <c r="O182" i="10" s="1"/>
  <c r="O183" i="10" s="1"/>
  <c r="O184" i="10" s="1"/>
  <c r="O185" i="10" s="1"/>
  <c r="O186" i="10" s="1"/>
  <c r="O187" i="10" s="1"/>
  <c r="O188" i="10" s="1"/>
  <c r="O189" i="10" s="1"/>
  <c r="O190" i="10" s="1"/>
  <c r="O191" i="10" s="1"/>
  <c r="O192" i="10" s="1"/>
  <c r="O194" i="10"/>
  <c r="C266" i="5"/>
  <c r="C126" i="1"/>
  <c r="C56" i="3"/>
  <c r="C21" i="3"/>
  <c r="C231" i="1"/>
  <c r="C231" i="5"/>
  <c r="C161" i="5"/>
  <c r="O14" i="10"/>
  <c r="C56" i="4"/>
  <c r="C21" i="4"/>
  <c r="C231" i="4"/>
  <c r="C196" i="4"/>
  <c r="C91" i="1"/>
  <c r="C127" i="1" l="1"/>
  <c r="C92" i="4"/>
  <c r="C162" i="1"/>
  <c r="C197" i="1"/>
  <c r="C162" i="2"/>
  <c r="C162" i="5"/>
  <c r="O15" i="10"/>
  <c r="C127" i="5"/>
  <c r="C57" i="1"/>
  <c r="C22" i="1"/>
  <c r="C232" i="1"/>
  <c r="C197" i="5"/>
  <c r="C267" i="5"/>
  <c r="C267" i="1"/>
  <c r="O231" i="10"/>
  <c r="O195" i="10"/>
  <c r="O196" i="10" s="1"/>
  <c r="O197" i="10" s="1"/>
  <c r="O198" i="10" s="1"/>
  <c r="O199" i="10" s="1"/>
  <c r="O200" i="10" s="1"/>
  <c r="O201" i="10" s="1"/>
  <c r="O202" i="10" s="1"/>
  <c r="O203" i="10" s="1"/>
  <c r="O204" i="10" s="1"/>
  <c r="O205" i="10" s="1"/>
  <c r="O206" i="10" s="1"/>
  <c r="O207" i="10" s="1"/>
  <c r="O208" i="10" s="1"/>
  <c r="O209" i="10" s="1"/>
  <c r="O210" i="10" s="1"/>
  <c r="O211" i="10" s="1"/>
  <c r="O212" i="10" s="1"/>
  <c r="O213" i="10" s="1"/>
  <c r="O214" i="10" s="1"/>
  <c r="O215" i="10" s="1"/>
  <c r="O216" i="10" s="1"/>
  <c r="O217" i="10" s="1"/>
  <c r="O218" i="10" s="1"/>
  <c r="O219" i="10" s="1"/>
  <c r="O220" i="10" s="1"/>
  <c r="O221" i="10" s="1"/>
  <c r="O222" i="10" s="1"/>
  <c r="O223" i="10" s="1"/>
  <c r="O224" i="10" s="1"/>
  <c r="O225" i="10" s="1"/>
  <c r="O226" i="10" s="1"/>
  <c r="O227" i="10" s="1"/>
  <c r="O228" i="10" s="1"/>
  <c r="O229" i="10" s="1"/>
  <c r="C302" i="1"/>
  <c r="C22" i="2"/>
  <c r="C57" i="2"/>
  <c r="C22" i="5"/>
  <c r="C57" i="5"/>
  <c r="C92" i="1"/>
  <c r="C127" i="2"/>
  <c r="C232" i="4"/>
  <c r="C22" i="4"/>
  <c r="C57" i="4"/>
  <c r="C22" i="3"/>
  <c r="C57" i="3"/>
  <c r="C127" i="4"/>
  <c r="C92" i="2"/>
  <c r="C232" i="5"/>
  <c r="C92" i="5"/>
  <c r="C197" i="2"/>
  <c r="C197" i="4"/>
  <c r="C162" i="4"/>
  <c r="C128" i="5" l="1"/>
  <c r="C128" i="2"/>
  <c r="C338" i="1"/>
  <c r="C233" i="5"/>
  <c r="O16" i="10"/>
  <c r="C233" i="1"/>
  <c r="C198" i="1"/>
  <c r="C128" i="4"/>
  <c r="C268" i="5"/>
  <c r="C93" i="2"/>
  <c r="C58" i="1"/>
  <c r="C23" i="1"/>
  <c r="C233" i="4"/>
  <c r="C163" i="4"/>
  <c r="C93" i="4"/>
  <c r="C163" i="2"/>
  <c r="C128" i="1"/>
  <c r="C93" i="5"/>
  <c r="C23" i="2"/>
  <c r="C58" i="2"/>
  <c r="C303" i="1"/>
  <c r="C268" i="1"/>
  <c r="C93" i="1"/>
  <c r="C198" i="5"/>
  <c r="C198" i="2"/>
  <c r="C198" i="4"/>
  <c r="C58" i="3"/>
  <c r="C23" i="3"/>
  <c r="C58" i="4"/>
  <c r="C23" i="4"/>
  <c r="C58" i="5"/>
  <c r="C23" i="5"/>
  <c r="O232" i="10"/>
  <c r="O233" i="10" s="1"/>
  <c r="O234" i="10" s="1"/>
  <c r="O235" i="10" s="1"/>
  <c r="O236" i="10" s="1"/>
  <c r="O237" i="10" s="1"/>
  <c r="O238" i="10" s="1"/>
  <c r="O239" i="10" s="1"/>
  <c r="O240" i="10" s="1"/>
  <c r="O241" i="10" s="1"/>
  <c r="O242" i="10" s="1"/>
  <c r="O243" i="10" s="1"/>
  <c r="O244" i="10" s="1"/>
  <c r="O245" i="10" s="1"/>
  <c r="O246" i="10" s="1"/>
  <c r="O247" i="10" s="1"/>
  <c r="O248" i="10" s="1"/>
  <c r="O249" i="10" s="1"/>
  <c r="O250" i="10" s="1"/>
  <c r="O251" i="10" s="1"/>
  <c r="O252" i="10" s="1"/>
  <c r="O253" i="10" s="1"/>
  <c r="O254" i="10" s="1"/>
  <c r="O255" i="10" s="1"/>
  <c r="O256" i="10" s="1"/>
  <c r="O257" i="10" s="1"/>
  <c r="O258" i="10" s="1"/>
  <c r="O259" i="10" s="1"/>
  <c r="O260" i="10" s="1"/>
  <c r="O261" i="10" s="1"/>
  <c r="O262" i="10" s="1"/>
  <c r="O263" i="10" s="1"/>
  <c r="O264" i="10" s="1"/>
  <c r="O265" i="10" s="1"/>
  <c r="O266" i="10" s="1"/>
  <c r="O268" i="10"/>
  <c r="C163" i="5"/>
  <c r="C163" i="1"/>
  <c r="C94" i="5" l="1"/>
  <c r="C24" i="4"/>
  <c r="C59" i="4"/>
  <c r="C304" i="1"/>
  <c r="C339" i="1"/>
  <c r="C129" i="5"/>
  <c r="C234" i="1"/>
  <c r="C269" i="1"/>
  <c r="C374" i="1"/>
  <c r="C164" i="2"/>
  <c r="C164" i="5"/>
  <c r="C199" i="1"/>
  <c r="C199" i="5"/>
  <c r="O269" i="10"/>
  <c r="O270" i="10" s="1"/>
  <c r="O271" i="10" s="1"/>
  <c r="O272" i="10" s="1"/>
  <c r="O273" i="10" s="1"/>
  <c r="O274" i="10" s="1"/>
  <c r="O275" i="10" s="1"/>
  <c r="O276" i="10" s="1"/>
  <c r="O277" i="10" s="1"/>
  <c r="O278" i="10" s="1"/>
  <c r="O279" i="10" s="1"/>
  <c r="O280" i="10" s="1"/>
  <c r="O281" i="10" s="1"/>
  <c r="O282" i="10" s="1"/>
  <c r="O283" i="10" s="1"/>
  <c r="O284" i="10" s="1"/>
  <c r="O285" i="10" s="1"/>
  <c r="O286" i="10" s="1"/>
  <c r="O287" i="10" s="1"/>
  <c r="O288" i="10" s="1"/>
  <c r="O289" i="10" s="1"/>
  <c r="O290" i="10" s="1"/>
  <c r="O291" i="10" s="1"/>
  <c r="O292" i="10" s="1"/>
  <c r="O293" i="10" s="1"/>
  <c r="O294" i="10" s="1"/>
  <c r="O295" i="10" s="1"/>
  <c r="O296" i="10" s="1"/>
  <c r="O297" i="10" s="1"/>
  <c r="O298" i="10" s="1"/>
  <c r="O299" i="10" s="1"/>
  <c r="O300" i="10" s="1"/>
  <c r="O301" i="10" s="1"/>
  <c r="O302" i="10" s="1"/>
  <c r="O303" i="10" s="1"/>
  <c r="O305" i="10"/>
  <c r="C94" i="4"/>
  <c r="C164" i="1"/>
  <c r="C199" i="2"/>
  <c r="C129" i="4"/>
  <c r="C164" i="4"/>
  <c r="C269" i="5"/>
  <c r="C59" i="3"/>
  <c r="C24" i="3"/>
  <c r="C234" i="4"/>
  <c r="C234" i="5"/>
  <c r="C94" i="2"/>
  <c r="C199" i="4"/>
  <c r="C59" i="1"/>
  <c r="C24" i="1"/>
  <c r="C129" i="2"/>
  <c r="C59" i="5"/>
  <c r="C24" i="5"/>
  <c r="C129" i="1"/>
  <c r="C59" i="2"/>
  <c r="C24" i="2"/>
  <c r="C94" i="1"/>
  <c r="O17" i="10"/>
  <c r="O18" i="10" l="1"/>
  <c r="C95" i="2"/>
  <c r="C25" i="3"/>
  <c r="C60" i="3"/>
  <c r="O306" i="10"/>
  <c r="O307" i="10" s="1"/>
  <c r="O308" i="10" s="1"/>
  <c r="O309" i="10" s="1"/>
  <c r="O310" i="10" s="1"/>
  <c r="O311" i="10" s="1"/>
  <c r="O312" i="10" s="1"/>
  <c r="O313" i="10" s="1"/>
  <c r="O314" i="10" s="1"/>
  <c r="O315" i="10" s="1"/>
  <c r="O316" i="10" s="1"/>
  <c r="O317" i="10" s="1"/>
  <c r="O318" i="10" s="1"/>
  <c r="O319" i="10" s="1"/>
  <c r="O320" i="10" s="1"/>
  <c r="O321" i="10" s="1"/>
  <c r="O322" i="10" s="1"/>
  <c r="O323" i="10" s="1"/>
  <c r="O324" i="10" s="1"/>
  <c r="O325" i="10" s="1"/>
  <c r="O326" i="10" s="1"/>
  <c r="O327" i="10" s="1"/>
  <c r="O328" i="10" s="1"/>
  <c r="O329" i="10" s="1"/>
  <c r="O330" i="10" s="1"/>
  <c r="O331" i="10" s="1"/>
  <c r="O332" i="10" s="1"/>
  <c r="O333" i="10" s="1"/>
  <c r="O334" i="10" s="1"/>
  <c r="O335" i="10" s="1"/>
  <c r="O336" i="10" s="1"/>
  <c r="O337" i="10" s="1"/>
  <c r="O338" i="10" s="1"/>
  <c r="O339" i="10" s="1"/>
  <c r="O340" i="10" s="1"/>
  <c r="O342" i="10"/>
  <c r="C235" i="5"/>
  <c r="C130" i="2"/>
  <c r="C200" i="4"/>
  <c r="C130" i="4"/>
  <c r="C235" i="1"/>
  <c r="C410" i="1"/>
  <c r="C340" i="1"/>
  <c r="C130" i="5"/>
  <c r="C130" i="1"/>
  <c r="C25" i="5"/>
  <c r="C60" i="5"/>
  <c r="C165" i="2"/>
  <c r="C25" i="1"/>
  <c r="C60" i="1"/>
  <c r="C270" i="5"/>
  <c r="C165" i="4"/>
  <c r="C200" i="5"/>
  <c r="C305" i="1"/>
  <c r="C165" i="5"/>
  <c r="C95" i="4"/>
  <c r="C25" i="2"/>
  <c r="C60" i="2"/>
  <c r="C165" i="1"/>
  <c r="C95" i="5"/>
  <c r="C95" i="1"/>
  <c r="C235" i="4"/>
  <c r="C200" i="1"/>
  <c r="C200" i="2"/>
  <c r="C270" i="1"/>
  <c r="C375" i="1"/>
  <c r="C25" i="4"/>
  <c r="C60" i="4"/>
  <c r="C236" i="1" l="1"/>
  <c r="C201" i="2"/>
  <c r="C166" i="5"/>
  <c r="C26" i="3"/>
  <c r="C61" i="3"/>
  <c r="C96" i="4"/>
  <c r="C306" i="1"/>
  <c r="C131" i="1"/>
  <c r="C201" i="1"/>
  <c r="C96" i="2"/>
  <c r="C376" i="1"/>
  <c r="C236" i="4"/>
  <c r="C166" i="2"/>
  <c r="C131" i="2"/>
  <c r="O19" i="10"/>
  <c r="C61" i="4"/>
  <c r="C26" i="4"/>
  <c r="C26" i="2"/>
  <c r="C61" i="2"/>
  <c r="C131" i="4"/>
  <c r="C201" i="5"/>
  <c r="C341" i="1"/>
  <c r="C236" i="5"/>
  <c r="C96" i="1"/>
  <c r="C96" i="5"/>
  <c r="C271" i="1"/>
  <c r="O379" i="10"/>
  <c r="O343" i="10"/>
  <c r="O344" i="10" s="1"/>
  <c r="O345" i="10" s="1"/>
  <c r="O346" i="10" s="1"/>
  <c r="O347" i="10" s="1"/>
  <c r="O348" i="10" s="1"/>
  <c r="O349" i="10" s="1"/>
  <c r="O350" i="10" s="1"/>
  <c r="O351" i="10" s="1"/>
  <c r="O352" i="10" s="1"/>
  <c r="O353" i="10" s="1"/>
  <c r="O354" i="10" s="1"/>
  <c r="O355" i="10" s="1"/>
  <c r="O356" i="10" s="1"/>
  <c r="O357" i="10" s="1"/>
  <c r="O358" i="10" s="1"/>
  <c r="O359" i="10" s="1"/>
  <c r="O360" i="10" s="1"/>
  <c r="O361" i="10" s="1"/>
  <c r="O362" i="10" s="1"/>
  <c r="O363" i="10" s="1"/>
  <c r="O364" i="10" s="1"/>
  <c r="O365" i="10" s="1"/>
  <c r="O366" i="10" s="1"/>
  <c r="O367" i="10" s="1"/>
  <c r="O368" i="10" s="1"/>
  <c r="O369" i="10" s="1"/>
  <c r="O370" i="10" s="1"/>
  <c r="O371" i="10" s="1"/>
  <c r="O372" i="10" s="1"/>
  <c r="O373" i="10" s="1"/>
  <c r="O374" i="10" s="1"/>
  <c r="O375" i="10" s="1"/>
  <c r="O376" i="10" s="1"/>
  <c r="O377" i="10" s="1"/>
  <c r="C411" i="1"/>
  <c r="C131" i="5"/>
  <c r="C201" i="4"/>
  <c r="C61" i="1"/>
  <c r="C26" i="1"/>
  <c r="C26" i="5"/>
  <c r="C61" i="5"/>
  <c r="C166" i="1"/>
  <c r="C166" i="4"/>
  <c r="C271" i="5"/>
  <c r="C202" i="1" l="1"/>
  <c r="C27" i="5"/>
  <c r="C62" i="5"/>
  <c r="C237" i="4"/>
  <c r="C167" i="5"/>
  <c r="C27" i="2"/>
  <c r="C62" i="2"/>
  <c r="C97" i="4"/>
  <c r="C62" i="3"/>
  <c r="C27" i="3"/>
  <c r="O380" i="10"/>
  <c r="O381" i="10" s="1"/>
  <c r="O382" i="10" s="1"/>
  <c r="O383" i="10" s="1"/>
  <c r="O384" i="10" s="1"/>
  <c r="O385" i="10" s="1"/>
  <c r="O386" i="10" s="1"/>
  <c r="O387" i="10" s="1"/>
  <c r="O388" i="10" s="1"/>
  <c r="O389" i="10" s="1"/>
  <c r="O390" i="10" s="1"/>
  <c r="O391" i="10" s="1"/>
  <c r="O392" i="10" s="1"/>
  <c r="O393" i="10" s="1"/>
  <c r="O394" i="10" s="1"/>
  <c r="O395" i="10" s="1"/>
  <c r="O396" i="10" s="1"/>
  <c r="O397" i="10" s="1"/>
  <c r="O398" i="10" s="1"/>
  <c r="O399" i="10" s="1"/>
  <c r="O400" i="10" s="1"/>
  <c r="O401" i="10" s="1"/>
  <c r="O402" i="10" s="1"/>
  <c r="O403" i="10" s="1"/>
  <c r="O404" i="10" s="1"/>
  <c r="O405" i="10" s="1"/>
  <c r="O406" i="10" s="1"/>
  <c r="O407" i="10" s="1"/>
  <c r="O408" i="10" s="1"/>
  <c r="O409" i="10" s="1"/>
  <c r="O410" i="10" s="1"/>
  <c r="O411" i="10" s="1"/>
  <c r="O412" i="10" s="1"/>
  <c r="O413" i="10" s="1"/>
  <c r="O414" i="10" s="1"/>
  <c r="O416" i="10"/>
  <c r="O417" i="10" s="1"/>
  <c r="O418" i="10" s="1"/>
  <c r="O419" i="10" s="1"/>
  <c r="O420" i="10" s="1"/>
  <c r="O421" i="10" s="1"/>
  <c r="O422" i="10" s="1"/>
  <c r="O423" i="10" s="1"/>
  <c r="O424" i="10" s="1"/>
  <c r="O425" i="10" s="1"/>
  <c r="O426" i="10" s="1"/>
  <c r="O427" i="10" s="1"/>
  <c r="O428" i="10" s="1"/>
  <c r="O429" i="10" s="1"/>
  <c r="O430" i="10" s="1"/>
  <c r="O431" i="10" s="1"/>
  <c r="O432" i="10" s="1"/>
  <c r="O433" i="10" s="1"/>
  <c r="O434" i="10" s="1"/>
  <c r="O435" i="10" s="1"/>
  <c r="O436" i="10" s="1"/>
  <c r="O437" i="10" s="1"/>
  <c r="O438" i="10" s="1"/>
  <c r="O439" i="10" s="1"/>
  <c r="O440" i="10" s="1"/>
  <c r="O441" i="10" s="1"/>
  <c r="O442" i="10" s="1"/>
  <c r="O443" i="10" s="1"/>
  <c r="O444" i="10" s="1"/>
  <c r="O445" i="10" s="1"/>
  <c r="O446" i="10" s="1"/>
  <c r="O447" i="10" s="1"/>
  <c r="O448" i="10" s="1"/>
  <c r="O449" i="10" s="1"/>
  <c r="O450" i="10" s="1"/>
  <c r="O451" i="10" s="1"/>
  <c r="C132" i="5"/>
  <c r="C272" i="5"/>
  <c r="C377" i="1"/>
  <c r="C237" i="5"/>
  <c r="C167" i="4"/>
  <c r="O20" i="10"/>
  <c r="C202" i="2"/>
  <c r="C167" i="1"/>
  <c r="C342" i="1"/>
  <c r="C132" i="4"/>
  <c r="C27" i="1"/>
  <c r="C62" i="1"/>
  <c r="C167" i="2"/>
  <c r="C412" i="1"/>
  <c r="C202" i="4"/>
  <c r="C97" i="5"/>
  <c r="C97" i="1"/>
  <c r="C307" i="1"/>
  <c r="C132" i="1"/>
  <c r="C97" i="2"/>
  <c r="C27" i="4"/>
  <c r="C62" i="4"/>
  <c r="C132" i="2"/>
  <c r="C237" i="1"/>
  <c r="C202" i="5"/>
  <c r="C272" i="1"/>
  <c r="C308" i="1" l="1"/>
  <c r="C238" i="5"/>
  <c r="C133" i="2"/>
  <c r="C133" i="1"/>
  <c r="C133" i="5"/>
  <c r="C238" i="4"/>
  <c r="C203" i="4"/>
  <c r="C273" i="5"/>
  <c r="C413" i="1"/>
  <c r="C168" i="5"/>
  <c r="C343" i="1"/>
  <c r="C203" i="2"/>
  <c r="C98" i="1"/>
  <c r="C63" i="3"/>
  <c r="C28" i="3"/>
  <c r="C203" i="5"/>
  <c r="C98" i="5"/>
  <c r="C273" i="1"/>
  <c r="C168" i="2"/>
  <c r="C98" i="4"/>
  <c r="C168" i="1"/>
  <c r="C63" i="1"/>
  <c r="C28" i="1"/>
  <c r="O21" i="10"/>
  <c r="C98" i="2"/>
  <c r="C28" i="5"/>
  <c r="C63" i="5"/>
  <c r="C238" i="1"/>
  <c r="C63" i="4"/>
  <c r="C28" i="4"/>
  <c r="C168" i="4"/>
  <c r="C378" i="1"/>
  <c r="C203" i="1"/>
  <c r="C133" i="4"/>
  <c r="C63" i="2"/>
  <c r="C28" i="2"/>
  <c r="C239" i="1" l="1"/>
  <c r="C414" i="1"/>
  <c r="C204" i="4"/>
  <c r="C99" i="5"/>
  <c r="C64" i="1"/>
  <c r="C29" i="1"/>
  <c r="C134" i="5"/>
  <c r="C379" i="1"/>
  <c r="C274" i="1"/>
  <c r="C29" i="5"/>
  <c r="C64" i="5"/>
  <c r="C99" i="1"/>
  <c r="C204" i="1"/>
  <c r="C134" i="4"/>
  <c r="C344" i="1"/>
  <c r="C29" i="2"/>
  <c r="C64" i="2"/>
  <c r="C64" i="4"/>
  <c r="C29" i="4"/>
  <c r="O22" i="10"/>
  <c r="C29" i="3"/>
  <c r="C64" i="3"/>
  <c r="C99" i="2"/>
  <c r="C169" i="4"/>
  <c r="C99" i="4"/>
  <c r="C134" i="2"/>
  <c r="C204" i="2"/>
  <c r="C309" i="1"/>
  <c r="C239" i="5"/>
  <c r="C134" i="1"/>
  <c r="C204" i="5"/>
  <c r="C239" i="4"/>
  <c r="C169" i="5"/>
  <c r="C169" i="1"/>
  <c r="C169" i="2"/>
  <c r="C274" i="5"/>
  <c r="O23" i="10" l="1"/>
  <c r="C100" i="4"/>
  <c r="C240" i="4"/>
  <c r="C275" i="1"/>
  <c r="C205" i="2"/>
  <c r="C170" i="2"/>
  <c r="C135" i="4"/>
  <c r="C205" i="4"/>
  <c r="C135" i="2"/>
  <c r="C100" i="2"/>
  <c r="C170" i="4"/>
  <c r="C100" i="5"/>
  <c r="C310" i="1"/>
  <c r="C65" i="1"/>
  <c r="C30" i="1"/>
  <c r="C205" i="1"/>
  <c r="C205" i="5"/>
  <c r="C170" i="1"/>
  <c r="C275" i="5"/>
  <c r="C65" i="2"/>
  <c r="C30" i="2"/>
  <c r="C380" i="1"/>
  <c r="C240" i="1"/>
  <c r="C30" i="5"/>
  <c r="C65" i="5"/>
  <c r="C415" i="1"/>
  <c r="C170" i="5"/>
  <c r="C100" i="1"/>
  <c r="C240" i="5"/>
  <c r="C345" i="1"/>
  <c r="C65" i="3"/>
  <c r="C30" i="3"/>
  <c r="C65" i="4"/>
  <c r="C30" i="4"/>
  <c r="C135" i="1"/>
  <c r="C135" i="5"/>
  <c r="C171" i="5" l="1"/>
  <c r="C31" i="4"/>
  <c r="C66" i="4"/>
  <c r="C136" i="1"/>
  <c r="C276" i="1"/>
  <c r="C101" i="2"/>
  <c r="C206" i="1"/>
  <c r="C241" i="5"/>
  <c r="C241" i="1"/>
  <c r="C206" i="4"/>
  <c r="C311" i="1"/>
  <c r="C101" i="4"/>
  <c r="C66" i="1"/>
  <c r="C31" i="1"/>
  <c r="C136" i="2"/>
  <c r="C171" i="4"/>
  <c r="C136" i="4"/>
  <c r="C31" i="3"/>
  <c r="C66" i="3"/>
  <c r="C101" i="5"/>
  <c r="C101" i="1"/>
  <c r="C171" i="2"/>
  <c r="C241" i="4"/>
  <c r="C171" i="1"/>
  <c r="C381" i="1"/>
  <c r="C276" i="5"/>
  <c r="C206" i="5"/>
  <c r="C31" i="5"/>
  <c r="C66" i="5"/>
  <c r="C416" i="1"/>
  <c r="C31" i="2"/>
  <c r="C66" i="2"/>
  <c r="C346" i="1"/>
  <c r="C136" i="5"/>
  <c r="C206" i="2"/>
  <c r="O24" i="10"/>
  <c r="C242" i="5" l="1"/>
  <c r="C417" i="1"/>
  <c r="C207" i="1"/>
  <c r="C137" i="5"/>
  <c r="C67" i="3"/>
  <c r="C32" i="3"/>
  <c r="C137" i="2"/>
  <c r="C312" i="1"/>
  <c r="O25" i="10"/>
  <c r="C172" i="5"/>
  <c r="C382" i="1"/>
  <c r="C102" i="5"/>
  <c r="C137" i="4"/>
  <c r="C242" i="1"/>
  <c r="C207" i="5"/>
  <c r="C102" i="2"/>
  <c r="C32" i="5"/>
  <c r="C67" i="5"/>
  <c r="C137" i="1"/>
  <c r="C207" i="4"/>
  <c r="C172" i="2"/>
  <c r="C67" i="1"/>
  <c r="C32" i="1"/>
  <c r="C347" i="1"/>
  <c r="C242" i="4"/>
  <c r="C172" i="1"/>
  <c r="C102" i="4"/>
  <c r="C67" i="2"/>
  <c r="C32" i="2"/>
  <c r="C207" i="2"/>
  <c r="C172" i="4"/>
  <c r="C102" i="1"/>
  <c r="C277" i="1"/>
  <c r="C277" i="5"/>
  <c r="C32" i="4"/>
  <c r="C67" i="4"/>
  <c r="C103" i="4" l="1"/>
  <c r="C313" i="1"/>
  <c r="C68" i="4"/>
  <c r="C33" i="4"/>
  <c r="C208" i="4"/>
  <c r="C138" i="4"/>
  <c r="C208" i="1"/>
  <c r="C383" i="1"/>
  <c r="C173" i="1"/>
  <c r="C208" i="2"/>
  <c r="C103" i="5"/>
  <c r="C138" i="2"/>
  <c r="O26" i="10"/>
  <c r="C348" i="1"/>
  <c r="C173" i="5"/>
  <c r="C138" i="1"/>
  <c r="C33" i="2"/>
  <c r="C68" i="2"/>
  <c r="C33" i="1"/>
  <c r="C68" i="1"/>
  <c r="C33" i="5"/>
  <c r="C68" i="5"/>
  <c r="C243" i="5"/>
  <c r="C138" i="5"/>
  <c r="C173" i="2"/>
  <c r="C278" i="5"/>
  <c r="C103" i="2"/>
  <c r="C103" i="1"/>
  <c r="C243" i="4"/>
  <c r="C278" i="1"/>
  <c r="C173" i="4"/>
  <c r="C418" i="1"/>
  <c r="C208" i="5"/>
  <c r="C33" i="3"/>
  <c r="C68" i="3"/>
  <c r="C243" i="1"/>
  <c r="C34" i="3" l="1"/>
  <c r="C69" i="3"/>
  <c r="C279" i="1"/>
  <c r="C244" i="5"/>
  <c r="C174" i="5"/>
  <c r="C139" i="5"/>
  <c r="C244" i="4"/>
  <c r="C139" i="4"/>
  <c r="C314" i="1"/>
  <c r="C209" i="4"/>
  <c r="C139" i="2"/>
  <c r="C104" i="5"/>
  <c r="C104" i="1"/>
  <c r="C104" i="2"/>
  <c r="C174" i="1"/>
  <c r="C209" i="5"/>
  <c r="C174" i="2"/>
  <c r="C419" i="1"/>
  <c r="C174" i="4"/>
  <c r="C34" i="4"/>
  <c r="C69" i="4"/>
  <c r="C139" i="1"/>
  <c r="C209" i="2"/>
  <c r="C279" i="5"/>
  <c r="C69" i="5"/>
  <c r="C34" i="5"/>
  <c r="C34" i="1"/>
  <c r="C69" i="1"/>
  <c r="C34" i="2"/>
  <c r="C69" i="2"/>
  <c r="C384" i="1"/>
  <c r="O27" i="10"/>
  <c r="C209" i="1"/>
  <c r="C244" i="1"/>
  <c r="C104" i="4"/>
  <c r="C349" i="1"/>
  <c r="C385" i="1" l="1"/>
  <c r="C245" i="1"/>
  <c r="C140" i="4"/>
  <c r="C280" i="1"/>
  <c r="C175" i="1"/>
  <c r="C105" i="4"/>
  <c r="C280" i="5"/>
  <c r="C420" i="1"/>
  <c r="C105" i="2"/>
  <c r="C105" i="1"/>
  <c r="C70" i="5"/>
  <c r="C35" i="5"/>
  <c r="C70" i="4"/>
  <c r="C35" i="4"/>
  <c r="C210" i="4"/>
  <c r="C245" i="5"/>
  <c r="C210" i="1"/>
  <c r="C140" i="2"/>
  <c r="C140" i="1"/>
  <c r="C140" i="5"/>
  <c r="C175" i="2"/>
  <c r="C175" i="4"/>
  <c r="C175" i="5"/>
  <c r="C315" i="1"/>
  <c r="C35" i="3"/>
  <c r="C70" i="3"/>
  <c r="O28" i="10"/>
  <c r="C70" i="2"/>
  <c r="C35" i="2"/>
  <c r="C70" i="1"/>
  <c r="C35" i="1"/>
  <c r="C105" i="5"/>
  <c r="C210" i="2"/>
  <c r="C350" i="1"/>
  <c r="C210" i="5"/>
  <c r="C245" i="4"/>
  <c r="C386" i="1" l="1"/>
  <c r="C141" i="5"/>
  <c r="C71" i="1"/>
  <c r="C36" i="1"/>
  <c r="O29" i="10"/>
  <c r="C71" i="3"/>
  <c r="C36" i="3"/>
  <c r="C211" i="5"/>
  <c r="C211" i="4"/>
  <c r="C176" i="5"/>
  <c r="C281" i="5"/>
  <c r="C246" i="4"/>
  <c r="C106" i="4"/>
  <c r="C421" i="1"/>
  <c r="C246" i="5"/>
  <c r="C106" i="1"/>
  <c r="C36" i="2"/>
  <c r="C71" i="2"/>
  <c r="C211" i="2"/>
  <c r="C246" i="1"/>
  <c r="C141" i="2"/>
  <c r="C106" i="2"/>
  <c r="C176" i="2"/>
  <c r="C71" i="5"/>
  <c r="C36" i="5"/>
  <c r="C141" i="1"/>
  <c r="C141" i="4"/>
  <c r="C211" i="1"/>
  <c r="C316" i="1"/>
  <c r="C281" i="1"/>
  <c r="C351" i="1"/>
  <c r="C176" i="1"/>
  <c r="C36" i="4"/>
  <c r="C71" i="4"/>
  <c r="C106" i="5"/>
  <c r="C176" i="4"/>
  <c r="C142" i="5" l="1"/>
  <c r="C72" i="4"/>
  <c r="C37" i="4"/>
  <c r="C212" i="1"/>
  <c r="C352" i="1"/>
  <c r="C247" i="1"/>
  <c r="C177" i="4"/>
  <c r="C282" i="1"/>
  <c r="C37" i="2"/>
  <c r="C72" i="2"/>
  <c r="C142" i="1"/>
  <c r="C282" i="5"/>
  <c r="C212" i="4"/>
  <c r="C387" i="1"/>
  <c r="C142" i="2"/>
  <c r="C142" i="4"/>
  <c r="C247" i="4"/>
  <c r="O30" i="10"/>
  <c r="C72" i="1"/>
  <c r="C37" i="1"/>
  <c r="C317" i="1"/>
  <c r="C177" i="1"/>
  <c r="C72" i="5"/>
  <c r="C37" i="5"/>
  <c r="C212" i="2"/>
  <c r="C247" i="5"/>
  <c r="C72" i="3"/>
  <c r="C37" i="3"/>
  <c r="C107" i="1"/>
  <c r="C177" i="5"/>
  <c r="C422" i="1"/>
  <c r="C107" i="4"/>
  <c r="C107" i="5"/>
  <c r="C177" i="2"/>
  <c r="C107" i="2"/>
  <c r="C212" i="5"/>
  <c r="C248" i="5" l="1"/>
  <c r="C213" i="5"/>
  <c r="C143" i="1"/>
  <c r="C38" i="5"/>
  <c r="C73" i="5"/>
  <c r="C248" i="4"/>
  <c r="C178" i="1"/>
  <c r="C108" i="2"/>
  <c r="C213" i="4"/>
  <c r="C283" i="1"/>
  <c r="C388" i="1"/>
  <c r="C73" i="4"/>
  <c r="C38" i="4"/>
  <c r="C178" i="5"/>
  <c r="C143" i="2"/>
  <c r="C213" i="2"/>
  <c r="C108" i="5"/>
  <c r="C213" i="1"/>
  <c r="C38" i="1"/>
  <c r="C73" i="1"/>
  <c r="C178" i="2"/>
  <c r="C38" i="2"/>
  <c r="C73" i="2"/>
  <c r="C108" i="4"/>
  <c r="C143" i="5"/>
  <c r="C38" i="3"/>
  <c r="C73" i="3"/>
  <c r="C353" i="1"/>
  <c r="C108" i="1"/>
  <c r="C178" i="4"/>
  <c r="C423" i="1"/>
  <c r="C318" i="1"/>
  <c r="C143" i="4"/>
  <c r="C283" i="5"/>
  <c r="O31" i="10"/>
  <c r="C248" i="1"/>
  <c r="C284" i="1" l="1"/>
  <c r="C214" i="4"/>
  <c r="C214" i="2"/>
  <c r="C109" i="4"/>
  <c r="C144" i="2"/>
  <c r="C214" i="1"/>
  <c r="C179" i="4"/>
  <c r="C389" i="1"/>
  <c r="C39" i="3"/>
  <c r="C74" i="3"/>
  <c r="C179" i="2"/>
  <c r="C424" i="1"/>
  <c r="C319" i="1"/>
  <c r="C249" i="4"/>
  <c r="C109" i="5"/>
  <c r="C179" i="1"/>
  <c r="C249" i="5"/>
  <c r="C284" i="5"/>
  <c r="C354" i="1"/>
  <c r="C144" i="1"/>
  <c r="C179" i="5"/>
  <c r="C109" i="2"/>
  <c r="C109" i="1"/>
  <c r="C39" i="5"/>
  <c r="C74" i="5"/>
  <c r="O32" i="10"/>
  <c r="C144" i="4"/>
  <c r="C74" i="2"/>
  <c r="C39" i="2"/>
  <c r="C39" i="1"/>
  <c r="C74" i="1"/>
  <c r="C249" i="1"/>
  <c r="C144" i="5"/>
  <c r="C214" i="5"/>
  <c r="C39" i="4"/>
  <c r="C74" i="4"/>
  <c r="C40" i="4" l="1"/>
  <c r="C75" i="4"/>
  <c r="C250" i="5"/>
  <c r="C110" i="1"/>
  <c r="C40" i="5"/>
  <c r="C75" i="5"/>
  <c r="C145" i="5"/>
  <c r="C215" i="2"/>
  <c r="C425" i="1"/>
  <c r="C250" i="1"/>
  <c r="C180" i="2"/>
  <c r="C250" i="4"/>
  <c r="C40" i="1"/>
  <c r="C75" i="1"/>
  <c r="C75" i="2"/>
  <c r="C40" i="2"/>
  <c r="O33" i="10"/>
  <c r="C180" i="1"/>
  <c r="C390" i="1"/>
  <c r="C145" i="4"/>
  <c r="C110" i="2"/>
  <c r="C180" i="4"/>
  <c r="C145" i="1"/>
  <c r="C285" i="5"/>
  <c r="C215" i="1"/>
  <c r="C355" i="1"/>
  <c r="C75" i="3"/>
  <c r="C40" i="3"/>
  <c r="C215" i="4"/>
  <c r="C110" i="4"/>
  <c r="C180" i="5"/>
  <c r="C285" i="1"/>
  <c r="C110" i="5"/>
  <c r="C145" i="2"/>
  <c r="C215" i="5"/>
  <c r="C320" i="1"/>
  <c r="C181" i="2" l="1"/>
  <c r="C146" i="4"/>
  <c r="C216" i="4"/>
  <c r="C181" i="4"/>
  <c r="C216" i="1"/>
  <c r="C146" i="1"/>
  <c r="C146" i="5"/>
  <c r="C321" i="1"/>
  <c r="C216" i="5"/>
  <c r="C251" i="1"/>
  <c r="C146" i="2"/>
  <c r="C426" i="1"/>
  <c r="C76" i="2"/>
  <c r="C41" i="2"/>
  <c r="C216" i="2"/>
  <c r="C286" i="1"/>
  <c r="C111" i="5"/>
  <c r="C286" i="5"/>
  <c r="C111" i="4"/>
  <c r="C356" i="1"/>
  <c r="C251" i="5"/>
  <c r="C251" i="4"/>
  <c r="C41" i="3"/>
  <c r="C76" i="3"/>
  <c r="C391" i="1"/>
  <c r="C111" i="2"/>
  <c r="C111" i="1"/>
  <c r="C181" i="5"/>
  <c r="C76" i="5"/>
  <c r="C41" i="5"/>
  <c r="C41" i="4"/>
  <c r="C76" i="4"/>
  <c r="C181" i="1"/>
  <c r="O34" i="10"/>
  <c r="C76" i="1"/>
  <c r="C41" i="1"/>
  <c r="C217" i="1" l="1"/>
  <c r="C112" i="5"/>
  <c r="C182" i="2"/>
  <c r="C252" i="5"/>
  <c r="C357" i="1"/>
  <c r="C182" i="5"/>
  <c r="C182" i="4"/>
  <c r="C217" i="5"/>
  <c r="C147" i="4"/>
  <c r="C322" i="1"/>
  <c r="C42" i="1"/>
  <c r="C77" i="1"/>
  <c r="O35" i="10"/>
  <c r="C112" i="1"/>
  <c r="C112" i="4"/>
  <c r="C147" i="1"/>
  <c r="C147" i="2"/>
  <c r="C42" i="2"/>
  <c r="C77" i="2"/>
  <c r="C287" i="1"/>
  <c r="C77" i="4"/>
  <c r="C42" i="4"/>
  <c r="C42" i="5"/>
  <c r="C77" i="5"/>
  <c r="C427" i="1"/>
  <c r="C77" i="3"/>
  <c r="C42" i="3"/>
  <c r="C287" i="5"/>
  <c r="C392" i="1"/>
  <c r="C147" i="5"/>
  <c r="C112" i="2"/>
  <c r="C182" i="1"/>
  <c r="C252" i="1"/>
  <c r="C217" i="4"/>
  <c r="C252" i="4"/>
  <c r="C217" i="2"/>
  <c r="C113" i="5" l="1"/>
  <c r="C113" i="4"/>
  <c r="C148" i="4"/>
  <c r="C113" i="1"/>
  <c r="C218" i="2"/>
  <c r="C218" i="1"/>
  <c r="C78" i="5"/>
  <c r="C43" i="5"/>
  <c r="C323" i="1"/>
  <c r="C113" i="2"/>
  <c r="C183" i="2"/>
  <c r="C183" i="1"/>
  <c r="O36" i="10"/>
  <c r="C43" i="1"/>
  <c r="C78" i="1"/>
  <c r="C183" i="4"/>
  <c r="C218" i="4"/>
  <c r="C253" i="1"/>
  <c r="C288" i="1"/>
  <c r="C253" i="4"/>
  <c r="C148" i="2"/>
  <c r="C183" i="5"/>
  <c r="C428" i="1"/>
  <c r="C43" i="2"/>
  <c r="C78" i="2"/>
  <c r="C148" i="1"/>
  <c r="C358" i="1"/>
  <c r="C253" i="5"/>
  <c r="C218" i="5"/>
  <c r="C393" i="1"/>
  <c r="C288" i="5"/>
  <c r="C78" i="3"/>
  <c r="C43" i="3"/>
  <c r="C78" i="4"/>
  <c r="C43" i="4"/>
  <c r="C148" i="5"/>
  <c r="C44" i="4" l="1"/>
  <c r="C79" i="4"/>
  <c r="C184" i="1"/>
  <c r="C44" i="2"/>
  <c r="C79" i="2"/>
  <c r="C324" i="1"/>
  <c r="C44" i="1"/>
  <c r="C79" i="1"/>
  <c r="C219" i="1"/>
  <c r="C219" i="2"/>
  <c r="C44" i="5"/>
  <c r="C79" i="5"/>
  <c r="C254" i="1"/>
  <c r="C184" i="5"/>
  <c r="C114" i="4"/>
  <c r="C429" i="1"/>
  <c r="C254" i="5"/>
  <c r="C394" i="1"/>
  <c r="C184" i="2"/>
  <c r="C289" i="1"/>
  <c r="C219" i="4"/>
  <c r="O37" i="10"/>
  <c r="C359" i="1"/>
  <c r="C114" i="5"/>
  <c r="C149" i="5"/>
  <c r="C44" i="3"/>
  <c r="C79" i="3"/>
  <c r="C289" i="5"/>
  <c r="C254" i="4"/>
  <c r="C149" i="1"/>
  <c r="C149" i="4"/>
  <c r="C114" i="2"/>
  <c r="C219" i="5"/>
  <c r="C114" i="1"/>
  <c r="C149" i="2"/>
  <c r="C184" i="4"/>
  <c r="C255" i="5" l="1"/>
  <c r="O38" i="10"/>
  <c r="C115" i="5"/>
  <c r="C255" i="1"/>
  <c r="C45" i="4"/>
  <c r="C80" i="4"/>
  <c r="C220" i="4"/>
  <c r="C185" i="2"/>
  <c r="C255" i="4"/>
  <c r="C220" i="2"/>
  <c r="C45" i="5"/>
  <c r="C80" i="5"/>
  <c r="C150" i="1"/>
  <c r="C185" i="4"/>
  <c r="C185" i="5"/>
  <c r="C395" i="1"/>
  <c r="C325" i="1"/>
  <c r="C430" i="1"/>
  <c r="C115" i="1"/>
  <c r="C115" i="2"/>
  <c r="C220" i="1"/>
  <c r="C150" i="2"/>
  <c r="C185" i="1"/>
  <c r="C80" i="3"/>
  <c r="C45" i="3"/>
  <c r="C150" i="5"/>
  <c r="C290" i="5"/>
  <c r="C150" i="4"/>
  <c r="C220" i="5"/>
  <c r="C290" i="1"/>
  <c r="C80" i="1"/>
  <c r="C45" i="1"/>
  <c r="C360" i="1"/>
  <c r="C45" i="2"/>
  <c r="C80" i="2"/>
  <c r="C115" i="4"/>
  <c r="C151" i="4" l="1"/>
  <c r="C46" i="2"/>
  <c r="C81" i="2"/>
  <c r="C186" i="5"/>
  <c r="C221" i="1"/>
  <c r="C186" i="2"/>
  <c r="C431" i="1"/>
  <c r="C221" i="4"/>
  <c r="C256" i="4"/>
  <c r="C116" i="4"/>
  <c r="C256" i="1"/>
  <c r="C81" i="4"/>
  <c r="C46" i="4"/>
  <c r="C291" i="1"/>
  <c r="C151" i="5"/>
  <c r="C81" i="1"/>
  <c r="C46" i="1"/>
  <c r="C186" i="4"/>
  <c r="C151" i="2"/>
  <c r="C221" i="5"/>
  <c r="C116" i="5"/>
  <c r="C221" i="2"/>
  <c r="C291" i="5"/>
  <c r="C116" i="2"/>
  <c r="C396" i="1"/>
  <c r="C116" i="1"/>
  <c r="C326" i="1"/>
  <c r="C256" i="5"/>
  <c r="C81" i="3"/>
  <c r="C46" i="3"/>
  <c r="C151" i="1"/>
  <c r="C361" i="1"/>
  <c r="C186" i="1"/>
  <c r="C81" i="5"/>
  <c r="C46" i="5"/>
  <c r="O39" i="10"/>
  <c r="C222" i="1" l="1"/>
  <c r="C292" i="5"/>
  <c r="C327" i="1"/>
  <c r="C47" i="4"/>
  <c r="C82" i="4"/>
  <c r="C292" i="1"/>
  <c r="C257" i="1"/>
  <c r="O40" i="10"/>
  <c r="C187" i="1"/>
  <c r="C362" i="1"/>
  <c r="C117" i="4"/>
  <c r="C117" i="2"/>
  <c r="C82" i="5"/>
  <c r="C47" i="5"/>
  <c r="C152" i="1"/>
  <c r="C432" i="1"/>
  <c r="C152" i="5"/>
  <c r="C257" i="5"/>
  <c r="C187" i="2"/>
  <c r="C222" i="4"/>
  <c r="C82" i="1"/>
  <c r="C47" i="1"/>
  <c r="C187" i="5"/>
  <c r="C222" i="2"/>
  <c r="C222" i="5"/>
  <c r="C82" i="2"/>
  <c r="C47" i="2"/>
  <c r="C187" i="4"/>
  <c r="C117" i="5"/>
  <c r="C397" i="1"/>
  <c r="C47" i="3"/>
  <c r="C82" i="3"/>
  <c r="C152" i="2"/>
  <c r="C117" i="1"/>
  <c r="C152" i="4"/>
  <c r="C257" i="4"/>
  <c r="C48" i="2" l="1"/>
  <c r="C83" i="2"/>
  <c r="C223" i="5"/>
  <c r="C118" i="1"/>
  <c r="C293" i="5"/>
  <c r="C118" i="5"/>
  <c r="C153" i="2"/>
  <c r="O41" i="10"/>
  <c r="C48" i="4"/>
  <c r="C83" i="4"/>
  <c r="C83" i="3"/>
  <c r="C48" i="3"/>
  <c r="C433" i="1"/>
  <c r="C223" i="4"/>
  <c r="C118" i="2"/>
  <c r="C258" i="4"/>
  <c r="C223" i="2"/>
  <c r="C363" i="1"/>
  <c r="C153" i="4"/>
  <c r="C398" i="1"/>
  <c r="C293" i="1"/>
  <c r="C258" i="1"/>
  <c r="C188" i="4"/>
  <c r="C153" i="1"/>
  <c r="C188" i="2"/>
  <c r="C153" i="5"/>
  <c r="C258" i="5"/>
  <c r="C48" i="1"/>
  <c r="C83" i="1"/>
  <c r="C188" i="5"/>
  <c r="C188" i="1"/>
  <c r="C48" i="5"/>
  <c r="C83" i="5"/>
  <c r="C223" i="1"/>
  <c r="C328" i="1"/>
  <c r="C118" i="4"/>
  <c r="C224" i="5" l="1"/>
  <c r="C294" i="5"/>
  <c r="C189" i="5"/>
  <c r="C189" i="1"/>
  <c r="C329" i="1"/>
  <c r="C119" i="4"/>
  <c r="O42" i="10"/>
  <c r="C154" i="5"/>
  <c r="C224" i="2"/>
  <c r="C224" i="4"/>
  <c r="C84" i="4"/>
  <c r="C49" i="4"/>
  <c r="C154" i="1"/>
  <c r="C259" i="5"/>
  <c r="C259" i="1"/>
  <c r="C119" i="5"/>
  <c r="C119" i="1"/>
  <c r="C294" i="1"/>
  <c r="C189" i="4"/>
  <c r="C399" i="1"/>
  <c r="C259" i="4"/>
  <c r="C49" i="3"/>
  <c r="C84" i="3"/>
  <c r="C119" i="2"/>
  <c r="C154" i="4"/>
  <c r="C364" i="1"/>
  <c r="C49" i="5"/>
  <c r="C84" i="5"/>
  <c r="C224" i="1"/>
  <c r="C49" i="1"/>
  <c r="C84" i="1"/>
  <c r="C434" i="1"/>
  <c r="C154" i="2"/>
  <c r="C189" i="2"/>
  <c r="C49" i="2"/>
  <c r="C84" i="2"/>
  <c r="C120" i="2" l="1"/>
  <c r="C225" i="2"/>
  <c r="C85" i="5"/>
  <c r="C400" i="1"/>
  <c r="C190" i="4"/>
  <c r="C155" i="1"/>
  <c r="C120" i="4"/>
  <c r="O43" i="10"/>
  <c r="C225" i="1"/>
  <c r="C225" i="5"/>
  <c r="C85" i="2"/>
  <c r="C120" i="1"/>
  <c r="C155" i="5"/>
  <c r="C295" i="5"/>
  <c r="C190" i="1"/>
  <c r="C155" i="4"/>
  <c r="C260" i="5"/>
  <c r="C190" i="2"/>
  <c r="C85" i="1"/>
  <c r="C260" i="1"/>
  <c r="C435" i="1"/>
  <c r="C295" i="1"/>
  <c r="C260" i="4"/>
  <c r="C365" i="1"/>
  <c r="C120" i="5"/>
  <c r="C155" i="2"/>
  <c r="C85" i="3"/>
  <c r="C225" i="4"/>
  <c r="C330" i="1"/>
  <c r="C85" i="4"/>
  <c r="C190" i="5"/>
  <c r="C191" i="2" l="1"/>
  <c r="C226" i="2"/>
  <c r="C191" i="4"/>
  <c r="C261" i="5"/>
  <c r="C191" i="1"/>
  <c r="C121" i="4"/>
  <c r="C156" i="5"/>
  <c r="C296" i="1"/>
  <c r="C261" i="1"/>
  <c r="O44" i="10"/>
  <c r="M190" i="2" s="1"/>
  <c r="N112" i="2"/>
  <c r="M149" i="2"/>
  <c r="N217" i="5"/>
  <c r="L393" i="1"/>
  <c r="M112" i="5"/>
  <c r="M44" i="5"/>
  <c r="M149" i="1"/>
  <c r="L149" i="2"/>
  <c r="L43" i="5"/>
  <c r="L44" i="2"/>
  <c r="N255" i="5"/>
  <c r="M220" i="1"/>
  <c r="M45" i="3"/>
  <c r="M151" i="2"/>
  <c r="N185" i="1"/>
  <c r="L361" i="1"/>
  <c r="L185" i="2"/>
  <c r="L220" i="1"/>
  <c r="L150" i="2"/>
  <c r="L252" i="5"/>
  <c r="L149" i="4"/>
  <c r="N114" i="4"/>
  <c r="N252" i="5"/>
  <c r="N148" i="5"/>
  <c r="M114" i="2"/>
  <c r="L252" i="4"/>
  <c r="L253" i="4"/>
  <c r="L43" i="1"/>
  <c r="N44" i="3"/>
  <c r="N252" i="1"/>
  <c r="N182" i="4"/>
  <c r="N288" i="5"/>
  <c r="M44" i="3"/>
  <c r="L45" i="5"/>
  <c r="M45" i="1"/>
  <c r="N150" i="2"/>
  <c r="N150" i="1"/>
  <c r="M396" i="1"/>
  <c r="M186" i="4"/>
  <c r="N186" i="2"/>
  <c r="M151" i="4"/>
  <c r="N361" i="1"/>
  <c r="L291" i="5"/>
  <c r="N256" i="4"/>
  <c r="N147" i="4"/>
  <c r="N148" i="2"/>
  <c r="N44" i="5"/>
  <c r="N114" i="2"/>
  <c r="L217" i="4"/>
  <c r="M217" i="5"/>
  <c r="L43" i="4"/>
  <c r="M394" i="1"/>
  <c r="N43" i="5"/>
  <c r="N322" i="1"/>
  <c r="N252" i="4"/>
  <c r="N78" i="4"/>
  <c r="M43" i="4"/>
  <c r="L219" i="4"/>
  <c r="L79" i="1"/>
  <c r="N79" i="4"/>
  <c r="N326" i="1"/>
  <c r="N81" i="4"/>
  <c r="N80" i="3"/>
  <c r="N221" i="2"/>
  <c r="N46" i="1"/>
  <c r="M186" i="2"/>
  <c r="N81" i="5"/>
  <c r="M291" i="5"/>
  <c r="N221" i="4"/>
  <c r="L184" i="4"/>
  <c r="N218" i="5"/>
  <c r="N183" i="2"/>
  <c r="M359" i="1"/>
  <c r="L429" i="1"/>
  <c r="M182" i="5"/>
  <c r="M288" i="5"/>
  <c r="M114" i="1"/>
  <c r="M148" i="2"/>
  <c r="M79" i="5"/>
  <c r="N254" i="4"/>
  <c r="N324" i="1"/>
  <c r="M255" i="4"/>
  <c r="N220" i="2"/>
  <c r="N116" i="1"/>
  <c r="N116" i="5"/>
  <c r="N255" i="1"/>
  <c r="M186" i="5"/>
  <c r="M81" i="5"/>
  <c r="N291" i="5"/>
  <c r="N45" i="1"/>
  <c r="N431" i="1"/>
  <c r="L257" i="4"/>
  <c r="N188" i="2"/>
  <c r="M188" i="4"/>
  <c r="M258" i="4"/>
  <c r="L433" i="1"/>
  <c r="N82" i="5"/>
  <c r="N118" i="1"/>
  <c r="N223" i="5"/>
  <c r="L82" i="3"/>
  <c r="M257" i="4"/>
  <c r="L223" i="1"/>
  <c r="L83" i="5"/>
  <c r="L83" i="1"/>
  <c r="N363" i="1"/>
  <c r="N223" i="4"/>
  <c r="N48" i="3"/>
  <c r="M82" i="1"/>
  <c r="N82" i="3"/>
  <c r="N118" i="4"/>
  <c r="L328" i="1"/>
  <c r="M188" i="1"/>
  <c r="M48" i="1"/>
  <c r="L398" i="1"/>
  <c r="L118" i="2"/>
  <c r="L83" i="3"/>
  <c r="M153" i="2"/>
  <c r="M147" i="4"/>
  <c r="L42" i="3"/>
  <c r="L358" i="1"/>
  <c r="M79" i="2"/>
  <c r="M148" i="1"/>
  <c r="M184" i="5"/>
  <c r="M78" i="4"/>
  <c r="N149" i="4"/>
  <c r="L254" i="5"/>
  <c r="M217" i="1"/>
  <c r="N42" i="1"/>
  <c r="M218" i="5"/>
  <c r="L184" i="1"/>
  <c r="M150" i="1"/>
  <c r="N115" i="2"/>
  <c r="L220" i="4"/>
  <c r="N80" i="2"/>
  <c r="L186" i="4"/>
  <c r="M290" i="5"/>
  <c r="N46" i="3"/>
  <c r="L150" i="4"/>
  <c r="M256" i="4"/>
  <c r="N217" i="2"/>
  <c r="N359" i="1"/>
  <c r="L79" i="4"/>
  <c r="N112" i="1"/>
  <c r="L218" i="2"/>
  <c r="N114" i="1"/>
  <c r="N253" i="1"/>
  <c r="N42" i="2"/>
  <c r="L148" i="5"/>
  <c r="L254" i="4"/>
  <c r="M114" i="4"/>
  <c r="N42" i="3"/>
  <c r="M322" i="1"/>
  <c r="N43" i="2"/>
  <c r="L114" i="4"/>
  <c r="L151" i="1"/>
  <c r="M255" i="1"/>
  <c r="M81" i="2"/>
  <c r="M325" i="1"/>
  <c r="L116" i="5"/>
  <c r="M46" i="1"/>
  <c r="L186" i="5"/>
  <c r="L46" i="3"/>
  <c r="L81" i="1"/>
  <c r="L221" i="4"/>
  <c r="N79" i="5"/>
  <c r="M254" i="4"/>
  <c r="M253" i="4"/>
  <c r="M147" i="5"/>
  <c r="L253" i="1"/>
  <c r="N79" i="1"/>
  <c r="L147" i="1"/>
  <c r="M288" i="1"/>
  <c r="L114" i="5"/>
  <c r="M112" i="1"/>
  <c r="N182" i="5"/>
  <c r="M43" i="5"/>
  <c r="M183" i="4"/>
  <c r="M151" i="1"/>
  <c r="N185" i="2"/>
  <c r="L80" i="4"/>
  <c r="N290" i="5"/>
  <c r="L46" i="5"/>
  <c r="N255" i="4"/>
  <c r="L151" i="5"/>
  <c r="M80" i="3"/>
  <c r="M46" i="3"/>
  <c r="N81" i="1"/>
  <c r="M431" i="1"/>
  <c r="L217" i="5"/>
  <c r="N357" i="1"/>
  <c r="M184" i="2"/>
  <c r="N288" i="1"/>
  <c r="M42" i="3"/>
  <c r="N44" i="4"/>
  <c r="L324" i="1"/>
  <c r="L218" i="1"/>
  <c r="M149" i="5"/>
  <c r="M324" i="1"/>
  <c r="N148" i="1"/>
  <c r="L78" i="4"/>
  <c r="N151" i="1"/>
  <c r="L185" i="5"/>
  <c r="L185" i="1"/>
  <c r="N46" i="5"/>
  <c r="N396" i="1"/>
  <c r="N151" i="2"/>
  <c r="M220" i="4"/>
  <c r="L151" i="4"/>
  <c r="M361" i="1"/>
  <c r="M80" i="5"/>
  <c r="M81" i="1"/>
  <c r="M185" i="1"/>
  <c r="L117" i="2"/>
  <c r="M118" i="5"/>
  <c r="L257" i="5"/>
  <c r="N187" i="5"/>
  <c r="M47" i="2"/>
  <c r="L188" i="2"/>
  <c r="N258" i="4"/>
  <c r="M433" i="1"/>
  <c r="L48" i="4"/>
  <c r="L118" i="1"/>
  <c r="M223" i="5"/>
  <c r="N47" i="2"/>
  <c r="M83" i="5"/>
  <c r="M83" i="1"/>
  <c r="N258" i="1"/>
  <c r="N153" i="4"/>
  <c r="M223" i="4"/>
  <c r="N78" i="1"/>
  <c r="M82" i="5"/>
  <c r="M293" i="5"/>
  <c r="N83" i="2"/>
  <c r="L118" i="4"/>
  <c r="N328" i="1"/>
  <c r="L48" i="5"/>
  <c r="N48" i="1"/>
  <c r="N398" i="1"/>
  <c r="M83" i="3"/>
  <c r="N153" i="2"/>
  <c r="N82" i="1"/>
  <c r="L47" i="2"/>
  <c r="M48" i="2"/>
  <c r="N393" i="1"/>
  <c r="N43" i="4"/>
  <c r="N114" i="5"/>
  <c r="M217" i="2"/>
  <c r="L219" i="2"/>
  <c r="L289" i="1"/>
  <c r="N44" i="2"/>
  <c r="L42" i="1"/>
  <c r="M43" i="1"/>
  <c r="L359" i="1"/>
  <c r="N254" i="1"/>
  <c r="L357" i="1"/>
  <c r="M42" i="2"/>
  <c r="M183" i="1"/>
  <c r="N429" i="1"/>
  <c r="N325" i="1"/>
  <c r="L45" i="4"/>
  <c r="M150" i="5"/>
  <c r="M221" i="2"/>
  <c r="N151" i="5"/>
  <c r="N46" i="2"/>
  <c r="N220" i="5"/>
  <c r="M115" i="5"/>
  <c r="M221" i="4"/>
  <c r="N42" i="4"/>
  <c r="L43" i="2"/>
  <c r="M148" i="5"/>
  <c r="L217" i="1"/>
  <c r="N112" i="5"/>
  <c r="L219" i="1"/>
  <c r="L148" i="2"/>
  <c r="M254" i="1"/>
  <c r="L44" i="4"/>
  <c r="N289" i="1"/>
  <c r="N183" i="1"/>
  <c r="L112" i="2"/>
  <c r="N219" i="1"/>
  <c r="L149" i="5"/>
  <c r="N43" i="1"/>
  <c r="M80" i="1"/>
  <c r="N219" i="5"/>
  <c r="M290" i="1"/>
  <c r="N221" i="5"/>
  <c r="M151" i="5"/>
  <c r="M45" i="2"/>
  <c r="L81" i="5"/>
  <c r="L360" i="1"/>
  <c r="N45" i="4"/>
  <c r="L431" i="1"/>
  <c r="L147" i="5"/>
  <c r="M44" i="4"/>
  <c r="N394" i="1"/>
  <c r="L112" i="5"/>
  <c r="M218" i="1"/>
  <c r="L149" i="1"/>
  <c r="M112" i="2"/>
  <c r="L218" i="5"/>
  <c r="M79" i="3"/>
  <c r="N184" i="5"/>
  <c r="L112" i="1"/>
  <c r="M253" i="1"/>
  <c r="L114" i="1"/>
  <c r="L184" i="5"/>
  <c r="N45" i="3"/>
  <c r="L80" i="5"/>
  <c r="L185" i="4"/>
  <c r="L81" i="2"/>
  <c r="M116" i="1"/>
  <c r="M116" i="5"/>
  <c r="M45" i="4"/>
  <c r="N186" i="5"/>
  <c r="N290" i="1"/>
  <c r="N116" i="4"/>
  <c r="L80" i="3"/>
  <c r="N358" i="1"/>
  <c r="N149" i="1"/>
  <c r="L217" i="2"/>
  <c r="L147" i="4"/>
  <c r="L184" i="2"/>
  <c r="M184" i="1"/>
  <c r="N392" i="1"/>
  <c r="N149" i="2"/>
  <c r="M393" i="1"/>
  <c r="M182" i="4"/>
  <c r="N217" i="4"/>
  <c r="N184" i="2"/>
  <c r="L79" i="2"/>
  <c r="M326" i="1"/>
  <c r="L115" i="5"/>
  <c r="M115" i="4"/>
  <c r="L115" i="1"/>
  <c r="M255" i="5"/>
  <c r="N186" i="4"/>
  <c r="N185" i="4"/>
  <c r="M115" i="1"/>
  <c r="N185" i="5"/>
  <c r="L255" i="1"/>
  <c r="N150" i="5"/>
  <c r="N118" i="5"/>
  <c r="M188" i="2"/>
  <c r="N188" i="4"/>
  <c r="L258" i="4"/>
  <c r="N433" i="1"/>
  <c r="N48" i="4"/>
  <c r="N223" i="1"/>
  <c r="N83" i="1"/>
  <c r="L258" i="1"/>
  <c r="L153" i="4"/>
  <c r="L363" i="1"/>
  <c r="L223" i="4"/>
  <c r="L48" i="3"/>
  <c r="N293" i="5"/>
  <c r="M187" i="5"/>
  <c r="M83" i="2"/>
  <c r="M118" i="4"/>
  <c r="M328" i="1"/>
  <c r="M48" i="5"/>
  <c r="L188" i="1"/>
  <c r="M398" i="1"/>
  <c r="M118" i="2"/>
  <c r="L153" i="2"/>
  <c r="M257" i="5"/>
  <c r="L48" i="2"/>
  <c r="L182" i="4"/>
  <c r="M219" i="1"/>
  <c r="N149" i="5"/>
  <c r="M429" i="1"/>
  <c r="L392" i="1"/>
  <c r="M184" i="4"/>
  <c r="N218" i="2"/>
  <c r="L182" i="5"/>
  <c r="N147" i="5"/>
  <c r="N289" i="5"/>
  <c r="M79" i="1"/>
  <c r="M43" i="2"/>
  <c r="M252" i="4"/>
  <c r="N219" i="2"/>
  <c r="L79" i="3"/>
  <c r="L254" i="1"/>
  <c r="L326" i="1"/>
  <c r="M81" i="4"/>
  <c r="N81" i="2"/>
  <c r="M221" i="5"/>
  <c r="N220" i="1"/>
  <c r="N151" i="4"/>
  <c r="L80" i="1"/>
  <c r="L220" i="2"/>
  <c r="L430" i="1"/>
  <c r="L252" i="1"/>
  <c r="N219" i="4"/>
  <c r="N184" i="1"/>
  <c r="N217" i="1"/>
  <c r="L289" i="5"/>
  <c r="L183" i="1"/>
  <c r="M79" i="4"/>
  <c r="M219" i="4"/>
  <c r="N79" i="2"/>
  <c r="M44" i="2"/>
  <c r="M392" i="1"/>
  <c r="M289" i="5"/>
  <c r="M183" i="2"/>
  <c r="L148" i="1"/>
  <c r="M80" i="2"/>
  <c r="N430" i="1"/>
  <c r="M46" i="5"/>
  <c r="L116" i="1"/>
  <c r="L151" i="2"/>
  <c r="N80" i="4"/>
  <c r="L46" i="2"/>
  <c r="L150" i="1"/>
  <c r="N116" i="2"/>
  <c r="M116" i="4"/>
  <c r="L290" i="5"/>
  <c r="M252" i="1"/>
  <c r="N253" i="4"/>
  <c r="N218" i="1"/>
  <c r="N147" i="2"/>
  <c r="L79" i="5"/>
  <c r="M149" i="4"/>
  <c r="N254" i="5"/>
  <c r="M42" i="1"/>
  <c r="M42" i="4"/>
  <c r="N184" i="4"/>
  <c r="L394" i="1"/>
  <c r="M44" i="1"/>
  <c r="L288" i="1"/>
  <c r="M289" i="1"/>
  <c r="N44" i="1"/>
  <c r="M220" i="5"/>
  <c r="N150" i="4"/>
  <c r="N395" i="1"/>
  <c r="L396" i="1"/>
  <c r="L221" i="5"/>
  <c r="M395" i="1"/>
  <c r="M46" i="2"/>
  <c r="L116" i="2"/>
  <c r="L256" i="4"/>
  <c r="L45" i="2"/>
  <c r="L42" i="2"/>
  <c r="M219" i="2"/>
  <c r="N79" i="3"/>
  <c r="M254" i="5"/>
  <c r="L42" i="4"/>
  <c r="L183" i="4"/>
  <c r="L183" i="2"/>
  <c r="L44" i="3"/>
  <c r="L322" i="1"/>
  <c r="M218" i="2"/>
  <c r="L114" i="2"/>
  <c r="L44" i="5"/>
  <c r="M358" i="1"/>
  <c r="M360" i="1"/>
  <c r="L81" i="4"/>
  <c r="L220" i="5"/>
  <c r="L221" i="2"/>
  <c r="L46" i="1"/>
  <c r="L186" i="2"/>
  <c r="M45" i="5"/>
  <c r="M116" i="2"/>
  <c r="L115" i="2"/>
  <c r="L116" i="4"/>
  <c r="L115" i="4"/>
  <c r="L118" i="5"/>
  <c r="L82" i="1"/>
  <c r="L188" i="4"/>
  <c r="M48" i="4"/>
  <c r="N117" i="2"/>
  <c r="N257" i="5"/>
  <c r="M118" i="1"/>
  <c r="L223" i="5"/>
  <c r="M223" i="1"/>
  <c r="N83" i="5"/>
  <c r="M258" i="1"/>
  <c r="M153" i="4"/>
  <c r="M363" i="1"/>
  <c r="M48" i="3"/>
  <c r="M117" i="2"/>
  <c r="L293" i="5"/>
  <c r="L83" i="2"/>
  <c r="N48" i="5"/>
  <c r="N188" i="1"/>
  <c r="L48" i="1"/>
  <c r="N118" i="2"/>
  <c r="N83" i="3"/>
  <c r="L82" i="5"/>
  <c r="L187" i="5"/>
  <c r="M82" i="3"/>
  <c r="N257" i="4"/>
  <c r="N48" i="2"/>
  <c r="L120" i="4"/>
  <c r="C156" i="4"/>
  <c r="M120" i="4"/>
  <c r="N120" i="4"/>
  <c r="L119" i="1"/>
  <c r="L190" i="4"/>
  <c r="C226" i="4"/>
  <c r="M190" i="4"/>
  <c r="N190" i="4"/>
  <c r="C436" i="1"/>
  <c r="N400" i="1"/>
  <c r="L400" i="1"/>
  <c r="M400" i="1"/>
  <c r="N49" i="5"/>
  <c r="N225" i="2"/>
  <c r="M225" i="2"/>
  <c r="L225" i="2"/>
  <c r="N84" i="2"/>
  <c r="C226" i="5"/>
  <c r="M190" i="5"/>
  <c r="N190" i="5"/>
  <c r="L190" i="5"/>
  <c r="C366" i="1"/>
  <c r="M330" i="1"/>
  <c r="L330" i="1"/>
  <c r="N330" i="1"/>
  <c r="C401" i="1"/>
  <c r="N365" i="1"/>
  <c r="M365" i="1"/>
  <c r="L365" i="1"/>
  <c r="L260" i="4"/>
  <c r="M260" i="4"/>
  <c r="N260" i="4"/>
  <c r="C121" i="1"/>
  <c r="N85" i="1"/>
  <c r="L85" i="1"/>
  <c r="M85" i="1"/>
  <c r="C226" i="1"/>
  <c r="N190" i="1"/>
  <c r="L190" i="1"/>
  <c r="M190" i="1"/>
  <c r="L295" i="5"/>
  <c r="M295" i="5"/>
  <c r="N295" i="5"/>
  <c r="L224" i="2"/>
  <c r="M84" i="4"/>
  <c r="M119" i="1"/>
  <c r="M259" i="4"/>
  <c r="N154" i="4"/>
  <c r="L364" i="1"/>
  <c r="C121" i="5"/>
  <c r="N85" i="5"/>
  <c r="M85" i="5"/>
  <c r="L85" i="5"/>
  <c r="L434" i="1"/>
  <c r="L189" i="2"/>
  <c r="C156" i="2"/>
  <c r="N120" i="2"/>
  <c r="L120" i="2"/>
  <c r="M120" i="2"/>
  <c r="C261" i="4"/>
  <c r="N225" i="4"/>
  <c r="M225" i="4"/>
  <c r="L225" i="4"/>
  <c r="C331" i="1"/>
  <c r="M295" i="1"/>
  <c r="N295" i="1"/>
  <c r="L295" i="1"/>
  <c r="C296" i="5"/>
  <c r="M260" i="5"/>
  <c r="N260" i="5"/>
  <c r="L260" i="5"/>
  <c r="C191" i="5"/>
  <c r="N155" i="5"/>
  <c r="M155" i="5"/>
  <c r="L155" i="5"/>
  <c r="C156" i="1"/>
  <c r="M120" i="1"/>
  <c r="N120" i="1"/>
  <c r="L120" i="1"/>
  <c r="C121" i="2"/>
  <c r="N85" i="2"/>
  <c r="M85" i="2"/>
  <c r="L85" i="2"/>
  <c r="L84" i="4"/>
  <c r="N119" i="1"/>
  <c r="N259" i="4"/>
  <c r="L154" i="4"/>
  <c r="N364" i="1"/>
  <c r="L49" i="5"/>
  <c r="N434" i="1"/>
  <c r="M189" i="2"/>
  <c r="L84" i="2"/>
  <c r="L261" i="4" l="1"/>
  <c r="N261" i="4"/>
  <c r="M261" i="4"/>
  <c r="M436" i="1"/>
  <c r="N436" i="1"/>
  <c r="L436" i="1"/>
  <c r="M357" i="1"/>
  <c r="M217" i="4"/>
  <c r="L44" i="1"/>
  <c r="M252" i="5"/>
  <c r="L225" i="1"/>
  <c r="N296" i="1"/>
  <c r="M296" i="1"/>
  <c r="C332" i="1"/>
  <c r="L296" i="1"/>
  <c r="N435" i="1"/>
  <c r="L156" i="5"/>
  <c r="M156" i="5"/>
  <c r="C192" i="5"/>
  <c r="N156" i="5"/>
  <c r="L85" i="3"/>
  <c r="C157" i="4"/>
  <c r="L121" i="4"/>
  <c r="M121" i="4"/>
  <c r="N121" i="4"/>
  <c r="N189" i="2"/>
  <c r="M364" i="1"/>
  <c r="M155" i="1"/>
  <c r="L225" i="5"/>
  <c r="C227" i="4"/>
  <c r="L191" i="4"/>
  <c r="N191" i="4"/>
  <c r="M191" i="4"/>
  <c r="N226" i="2"/>
  <c r="L226" i="2"/>
  <c r="M226" i="2"/>
  <c r="N155" i="2"/>
  <c r="N121" i="5"/>
  <c r="L121" i="5"/>
  <c r="C157" i="5"/>
  <c r="M121" i="5"/>
  <c r="N226" i="1"/>
  <c r="M226" i="1"/>
  <c r="C262" i="1"/>
  <c r="L226" i="1"/>
  <c r="C402" i="1"/>
  <c r="N366" i="1"/>
  <c r="L366" i="1"/>
  <c r="M366" i="1"/>
  <c r="M114" i="5"/>
  <c r="L288" i="5"/>
  <c r="N83" i="4"/>
  <c r="N225" i="1"/>
  <c r="N260" i="1"/>
  <c r="M435" i="1"/>
  <c r="L120" i="5"/>
  <c r="M85" i="3"/>
  <c r="M85" i="4"/>
  <c r="C227" i="1"/>
  <c r="L191" i="1"/>
  <c r="M191" i="1"/>
  <c r="N191" i="1"/>
  <c r="N84" i="4"/>
  <c r="M261" i="5"/>
  <c r="N261" i="5"/>
  <c r="C297" i="5"/>
  <c r="L261" i="5"/>
  <c r="L155" i="4"/>
  <c r="N191" i="2"/>
  <c r="L191" i="2"/>
  <c r="M191" i="2"/>
  <c r="C227" i="2"/>
  <c r="N121" i="2"/>
  <c r="M121" i="2"/>
  <c r="L121" i="2"/>
  <c r="C157" i="2"/>
  <c r="C192" i="1"/>
  <c r="N156" i="1"/>
  <c r="L156" i="1"/>
  <c r="M156" i="1"/>
  <c r="C227" i="5"/>
  <c r="L191" i="5"/>
  <c r="M191" i="5"/>
  <c r="N191" i="5"/>
  <c r="L296" i="5"/>
  <c r="M296" i="5"/>
  <c r="N296" i="5"/>
  <c r="N156" i="2"/>
  <c r="L156" i="2"/>
  <c r="M156" i="2"/>
  <c r="C192" i="2"/>
  <c r="L121" i="1"/>
  <c r="C157" i="1"/>
  <c r="M121" i="1"/>
  <c r="N121" i="1"/>
  <c r="C437" i="1"/>
  <c r="M401" i="1"/>
  <c r="N401" i="1"/>
  <c r="L401" i="1"/>
  <c r="C192" i="4"/>
  <c r="L156" i="4"/>
  <c r="M156" i="4"/>
  <c r="N156" i="4"/>
  <c r="N82" i="2"/>
  <c r="N55" i="2"/>
  <c r="L158" i="4"/>
  <c r="N230" i="1"/>
  <c r="N88" i="2"/>
  <c r="L123" i="5"/>
  <c r="L160" i="1"/>
  <c r="L89" i="4"/>
  <c r="M18" i="1"/>
  <c r="M195" i="5"/>
  <c r="N230" i="4"/>
  <c r="M158" i="1"/>
  <c r="M20" i="2"/>
  <c r="G230" i="5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L160" i="5"/>
  <c r="M124" i="2"/>
  <c r="M89" i="2"/>
  <c r="N195" i="2"/>
  <c r="M195" i="1"/>
  <c r="N125" i="5"/>
  <c r="L230" i="4"/>
  <c r="M54" i="4"/>
  <c r="M20" i="5"/>
  <c r="M55" i="3"/>
  <c r="L125" i="4"/>
  <c r="N20" i="3"/>
  <c r="N18" i="5"/>
  <c r="N55" i="4"/>
  <c r="L125" i="2"/>
  <c r="N160" i="2"/>
  <c r="N92" i="5"/>
  <c r="M55" i="5"/>
  <c r="L20" i="1"/>
  <c r="N19" i="2"/>
  <c r="N124" i="4"/>
  <c r="L55" i="4"/>
  <c r="M90" i="1"/>
  <c r="N19" i="4"/>
  <c r="L91" i="2"/>
  <c r="N159" i="5"/>
  <c r="L194" i="1"/>
  <c r="L19" i="1"/>
  <c r="L124" i="4"/>
  <c r="N125" i="1"/>
  <c r="L19" i="2"/>
  <c r="M19" i="2"/>
  <c r="L159" i="1"/>
  <c r="N90" i="4"/>
  <c r="M90" i="2"/>
  <c r="M20" i="3"/>
  <c r="N54" i="4"/>
  <c r="L90" i="2"/>
  <c r="M125" i="5"/>
  <c r="L160" i="2"/>
  <c r="M160" i="1"/>
  <c r="N89" i="4"/>
  <c r="M230" i="5"/>
  <c r="M125" i="1"/>
  <c r="M159" i="2"/>
  <c r="G194" i="5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M159" i="1"/>
  <c r="N194" i="4"/>
  <c r="L55" i="2"/>
  <c r="N124" i="5"/>
  <c r="N20" i="1"/>
  <c r="N55" i="3"/>
  <c r="N89" i="5"/>
  <c r="N125" i="4"/>
  <c r="N89" i="2"/>
  <c r="N194" i="1"/>
  <c r="L54" i="3"/>
  <c r="L89" i="5"/>
  <c r="N20" i="5"/>
  <c r="N54" i="1"/>
  <c r="M55" i="4"/>
  <c r="N90" i="1"/>
  <c r="L89" i="1"/>
  <c r="M194" i="5"/>
  <c r="N54" i="3"/>
  <c r="L55" i="3"/>
  <c r="M124" i="4"/>
  <c r="N194" i="2"/>
  <c r="L125" i="1"/>
  <c r="L90" i="5"/>
  <c r="N19" i="5"/>
  <c r="N54" i="5"/>
  <c r="L20" i="5"/>
  <c r="M19" i="5"/>
  <c r="L195" i="2"/>
  <c r="L54" i="5"/>
  <c r="M19" i="1"/>
  <c r="N160" i="1"/>
  <c r="L20" i="2"/>
  <c r="M89" i="1"/>
  <c r="N159" i="1"/>
  <c r="M159" i="5"/>
  <c r="M20" i="1"/>
  <c r="G194" i="4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M159" i="4"/>
  <c r="L230" i="5"/>
  <c r="N19" i="3"/>
  <c r="L90" i="4"/>
  <c r="M230" i="1"/>
  <c r="M160" i="2"/>
  <c r="M19" i="4"/>
  <c r="L89" i="2"/>
  <c r="M124" i="1"/>
  <c r="L159" i="4"/>
  <c r="M90" i="5"/>
  <c r="N90" i="2"/>
  <c r="L124" i="1"/>
  <c r="L54" i="2"/>
  <c r="L194" i="4"/>
  <c r="M55" i="2"/>
  <c r="M19" i="3"/>
  <c r="L19" i="5"/>
  <c r="M125" i="2"/>
  <c r="G230" i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N230" i="5"/>
  <c r="M125" i="4"/>
  <c r="M194" i="4"/>
  <c r="N124" i="1"/>
  <c r="L54" i="4"/>
  <c r="N194" i="5"/>
  <c r="L124" i="5"/>
  <c r="M89" i="4"/>
  <c r="N125" i="2"/>
  <c r="G194" i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N89" i="1"/>
  <c r="N195" i="1"/>
  <c r="N20" i="2"/>
  <c r="N195" i="5"/>
  <c r="M89" i="5"/>
  <c r="M195" i="2"/>
  <c r="N159" i="4"/>
  <c r="L159" i="2"/>
  <c r="M54" i="3"/>
  <c r="M54" i="5"/>
  <c r="M194" i="2"/>
  <c r="N90" i="5"/>
  <c r="L230" i="1"/>
  <c r="L195" i="5"/>
  <c r="M54" i="1"/>
  <c r="L195" i="1"/>
  <c r="L125" i="5"/>
  <c r="M194" i="1"/>
  <c r="M54" i="2"/>
  <c r="M160" i="5"/>
  <c r="L55" i="5"/>
  <c r="L90" i="1"/>
  <c r="L124" i="2"/>
  <c r="L19" i="3"/>
  <c r="N159" i="2"/>
  <c r="N19" i="1"/>
  <c r="M124" i="5"/>
  <c r="L159" i="5"/>
  <c r="N55" i="5"/>
  <c r="L20" i="3"/>
  <c r="L194" i="2"/>
  <c r="L54" i="1"/>
  <c r="L194" i="5"/>
  <c r="N54" i="2"/>
  <c r="G194" i="2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L19" i="4"/>
  <c r="N124" i="2"/>
  <c r="G302" i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L160" i="4"/>
  <c r="L92" i="2"/>
  <c r="G230" i="4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M55" i="1"/>
  <c r="N56" i="4"/>
  <c r="M160" i="4"/>
  <c r="M56" i="3"/>
  <c r="N126" i="1"/>
  <c r="M197" i="5"/>
  <c r="M21" i="5"/>
  <c r="L195" i="4"/>
  <c r="M56" i="4"/>
  <c r="N161" i="1"/>
  <c r="M126" i="2"/>
  <c r="N56" i="3"/>
  <c r="N55" i="1"/>
  <c r="M161" i="1"/>
  <c r="M92" i="5"/>
  <c r="M232" i="4"/>
  <c r="M302" i="1"/>
  <c r="N160" i="4"/>
  <c r="M126" i="5"/>
  <c r="L91" i="5"/>
  <c r="N161" i="4"/>
  <c r="L56" i="4"/>
  <c r="L126" i="2"/>
  <c r="L126" i="5"/>
  <c r="L55" i="1"/>
  <c r="N231" i="4"/>
  <c r="N126" i="5"/>
  <c r="M91" i="1"/>
  <c r="N197" i="5"/>
  <c r="M230" i="4"/>
  <c r="L126" i="1"/>
  <c r="N302" i="1"/>
  <c r="L232" i="4"/>
  <c r="M56" i="2"/>
  <c r="L196" i="1"/>
  <c r="L161" i="1"/>
  <c r="L20" i="4"/>
  <c r="M195" i="4"/>
  <c r="M126" i="4"/>
  <c r="M20" i="4"/>
  <c r="M231" i="4"/>
  <c r="N195" i="4"/>
  <c r="L231" i="4"/>
  <c r="M126" i="1"/>
  <c r="N232" i="4"/>
  <c r="L56" i="3"/>
  <c r="N91" i="1"/>
  <c r="M92" i="2"/>
  <c r="N20" i="4"/>
  <c r="L91" i="1"/>
  <c r="N126" i="2"/>
  <c r="G266" i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N56" i="2"/>
  <c r="L56" i="5"/>
  <c r="L196" i="4"/>
  <c r="M231" i="5"/>
  <c r="L231" i="5"/>
  <c r="M196" i="2"/>
  <c r="N56" i="5"/>
  <c r="L266" i="5"/>
  <c r="N231" i="1"/>
  <c r="L56" i="1"/>
  <c r="N56" i="1"/>
  <c r="M91" i="2"/>
  <c r="N21" i="2"/>
  <c r="L21" i="3"/>
  <c r="N91" i="2"/>
  <c r="L21" i="4"/>
  <c r="L231" i="1"/>
  <c r="M266" i="5"/>
  <c r="N198" i="2"/>
  <c r="N57" i="4"/>
  <c r="L266" i="1"/>
  <c r="M161" i="4"/>
  <c r="L196" i="2"/>
  <c r="L126" i="4"/>
  <c r="N231" i="5"/>
  <c r="M231" i="1"/>
  <c r="N21" i="5"/>
  <c r="L196" i="5"/>
  <c r="M196" i="5"/>
  <c r="L161" i="2"/>
  <c r="M161" i="5"/>
  <c r="N91" i="4"/>
  <c r="N266" i="1"/>
  <c r="L161" i="4"/>
  <c r="M161" i="2"/>
  <c r="N91" i="5"/>
  <c r="N266" i="5"/>
  <c r="N200" i="1"/>
  <c r="L163" i="5"/>
  <c r="L57" i="2"/>
  <c r="M57" i="4"/>
  <c r="M266" i="1"/>
  <c r="N196" i="5"/>
  <c r="M21" i="3"/>
  <c r="M196" i="1"/>
  <c r="N21" i="3"/>
  <c r="N161" i="2"/>
  <c r="M56" i="1"/>
  <c r="L92" i="5"/>
  <c r="M21" i="1"/>
  <c r="L56" i="2"/>
  <c r="L91" i="4"/>
  <c r="N21" i="4"/>
  <c r="L197" i="5"/>
  <c r="N92" i="2"/>
  <c r="M91" i="5"/>
  <c r="N196" i="1"/>
  <c r="L21" i="5"/>
  <c r="G266" i="5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L21" i="2"/>
  <c r="N161" i="5"/>
  <c r="N126" i="4"/>
  <c r="L302" i="1"/>
  <c r="N196" i="2"/>
  <c r="L21" i="1"/>
  <c r="M196" i="4"/>
  <c r="M21" i="4"/>
  <c r="M56" i="5"/>
  <c r="N21" i="1"/>
  <c r="L161" i="5"/>
  <c r="M21" i="2"/>
  <c r="M91" i="4"/>
  <c r="N196" i="4"/>
  <c r="M95" i="2"/>
  <c r="M165" i="1"/>
  <c r="L128" i="4"/>
  <c r="M163" i="4"/>
  <c r="N128" i="2"/>
  <c r="N93" i="4"/>
  <c r="N128" i="4"/>
  <c r="L128" i="1"/>
  <c r="L197" i="4"/>
  <c r="L22" i="5"/>
  <c r="M127" i="5"/>
  <c r="N163" i="2"/>
  <c r="L163" i="2"/>
  <c r="M22" i="1"/>
  <c r="N57" i="3"/>
  <c r="N127" i="1"/>
  <c r="N338" i="1"/>
  <c r="N233" i="5"/>
  <c r="M198" i="2"/>
  <c r="L92" i="4"/>
  <c r="L340" i="1"/>
  <c r="M57" i="3"/>
  <c r="L23" i="4"/>
  <c r="N127" i="2"/>
  <c r="L268" i="5"/>
  <c r="N127" i="4"/>
  <c r="N58" i="3"/>
  <c r="N268" i="5"/>
  <c r="N58" i="4"/>
  <c r="M22" i="2"/>
  <c r="M162" i="5"/>
  <c r="N22" i="1"/>
  <c r="L163" i="4"/>
  <c r="N128" i="5"/>
  <c r="M22" i="5"/>
  <c r="L57" i="5"/>
  <c r="L128" i="2"/>
  <c r="L127" i="2"/>
  <c r="L267" i="1"/>
  <c r="N267" i="1"/>
  <c r="M58" i="3"/>
  <c r="L23" i="2"/>
  <c r="L162" i="5"/>
  <c r="M23" i="5"/>
  <c r="L93" i="4"/>
  <c r="M92" i="4"/>
  <c r="L92" i="1"/>
  <c r="L128" i="5"/>
  <c r="N166" i="1"/>
  <c r="L22" i="4"/>
  <c r="M163" i="5"/>
  <c r="M267" i="1"/>
  <c r="M58" i="2"/>
  <c r="M93" i="4"/>
  <c r="N23" i="2"/>
  <c r="L338" i="1"/>
  <c r="L198" i="1"/>
  <c r="L93" i="1"/>
  <c r="M197" i="2"/>
  <c r="L410" i="1"/>
  <c r="L23" i="1"/>
  <c r="M163" i="1"/>
  <c r="M163" i="2"/>
  <c r="M128" i="4"/>
  <c r="N163" i="1"/>
  <c r="N23" i="3"/>
  <c r="N197" i="4"/>
  <c r="L232" i="1"/>
  <c r="L23" i="5"/>
  <c r="N232" i="1"/>
  <c r="N22" i="2"/>
  <c r="L197" i="1"/>
  <c r="N57" i="5"/>
  <c r="M58" i="1"/>
  <c r="M268" i="5"/>
  <c r="N162" i="4"/>
  <c r="L57" i="4"/>
  <c r="N303" i="1"/>
  <c r="M128" i="5"/>
  <c r="L233" i="4"/>
  <c r="M23" i="1"/>
  <c r="N198" i="4"/>
  <c r="N93" i="5"/>
  <c r="M233" i="4"/>
  <c r="N198" i="5"/>
  <c r="M198" i="4"/>
  <c r="M162" i="4"/>
  <c r="N58" i="1"/>
  <c r="N23" i="5"/>
  <c r="L270" i="5"/>
  <c r="M128" i="1"/>
  <c r="M197" i="4"/>
  <c r="L127" i="4"/>
  <c r="N57" i="1"/>
  <c r="M127" i="1"/>
  <c r="M92" i="1"/>
  <c r="M232" i="5"/>
  <c r="G338" i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M57" i="2"/>
  <c r="M268" i="1"/>
  <c r="L58" i="3"/>
  <c r="M338" i="1"/>
  <c r="N23" i="1"/>
  <c r="M127" i="2"/>
  <c r="L58" i="5"/>
  <c r="M197" i="1"/>
  <c r="L268" i="1"/>
  <c r="N197" i="1"/>
  <c r="N233" i="1"/>
  <c r="M303" i="1"/>
  <c r="M232" i="1"/>
  <c r="L197" i="2"/>
  <c r="L162" i="1"/>
  <c r="N22" i="4"/>
  <c r="L198" i="2"/>
  <c r="L93" i="2"/>
  <c r="M128" i="2"/>
  <c r="N23" i="4"/>
  <c r="L198" i="5"/>
  <c r="N197" i="2"/>
  <c r="L93" i="5"/>
  <c r="L127" i="5"/>
  <c r="N93" i="1"/>
  <c r="N163" i="5"/>
  <c r="L22" i="1"/>
  <c r="N162" i="5"/>
  <c r="M130" i="2"/>
  <c r="L303" i="1"/>
  <c r="L57" i="1"/>
  <c r="N93" i="2"/>
  <c r="L58" i="2"/>
  <c r="L233" i="5"/>
  <c r="L198" i="4"/>
  <c r="L58" i="4"/>
  <c r="M233" i="5"/>
  <c r="N270" i="1"/>
  <c r="M127" i="4"/>
  <c r="N163" i="4"/>
  <c r="M23" i="4"/>
  <c r="N92" i="1"/>
  <c r="N58" i="2"/>
  <c r="M22" i="4"/>
  <c r="N92" i="4"/>
  <c r="L232" i="5"/>
  <c r="M233" i="1"/>
  <c r="M93" i="2"/>
  <c r="M162" i="1"/>
  <c r="L163" i="1"/>
  <c r="M93" i="1"/>
  <c r="N267" i="5"/>
  <c r="L267" i="5"/>
  <c r="L127" i="1"/>
  <c r="L22" i="2"/>
  <c r="N58" i="5"/>
  <c r="N198" i="1"/>
  <c r="N57" i="2"/>
  <c r="M57" i="1"/>
  <c r="N162" i="2"/>
  <c r="L22" i="3"/>
  <c r="N22" i="5"/>
  <c r="L162" i="4"/>
  <c r="L57" i="3"/>
  <c r="N233" i="4"/>
  <c r="N268" i="1"/>
  <c r="M58" i="5"/>
  <c r="N162" i="1"/>
  <c r="N232" i="5"/>
  <c r="M198" i="1"/>
  <c r="M23" i="2"/>
  <c r="L233" i="1"/>
  <c r="M267" i="5"/>
  <c r="L58" i="1"/>
  <c r="M23" i="3"/>
  <c r="N22" i="3"/>
  <c r="M198" i="5"/>
  <c r="M162" i="2"/>
  <c r="L162" i="2"/>
  <c r="N127" i="5"/>
  <c r="L23" i="3"/>
  <c r="M22" i="3"/>
  <c r="M57" i="5"/>
  <c r="M93" i="5"/>
  <c r="N128" i="1"/>
  <c r="M58" i="4"/>
  <c r="N59" i="3"/>
  <c r="N26" i="5"/>
  <c r="M200" i="2"/>
  <c r="N26" i="3"/>
  <c r="M60" i="4"/>
  <c r="M269" i="1"/>
  <c r="L201" i="5"/>
  <c r="N94" i="4"/>
  <c r="L164" i="4"/>
  <c r="N25" i="3"/>
  <c r="L60" i="2"/>
  <c r="M165" i="2"/>
  <c r="N270" i="5"/>
  <c r="L199" i="4"/>
  <c r="L24" i="1"/>
  <c r="N129" i="1"/>
  <c r="G410" i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N130" i="5"/>
  <c r="N26" i="2"/>
  <c r="L202" i="5"/>
  <c r="L95" i="1"/>
  <c r="M26" i="2"/>
  <c r="N129" i="4"/>
  <c r="N164" i="5"/>
  <c r="L339" i="1"/>
  <c r="L165" i="2"/>
  <c r="N94" i="5"/>
  <c r="M236" i="5"/>
  <c r="M236" i="4"/>
  <c r="M411" i="1"/>
  <c r="N199" i="1"/>
  <c r="L164" i="5"/>
  <c r="M164" i="5"/>
  <c r="L94" i="4"/>
  <c r="M200" i="4"/>
  <c r="N234" i="4"/>
  <c r="N60" i="2"/>
  <c r="M24" i="4"/>
  <c r="N200" i="2"/>
  <c r="L129" i="5"/>
  <c r="L59" i="1"/>
  <c r="L341" i="1"/>
  <c r="L199" i="1"/>
  <c r="M199" i="1"/>
  <c r="M304" i="1"/>
  <c r="N164" i="2"/>
  <c r="L94" i="5"/>
  <c r="N59" i="1"/>
  <c r="M59" i="2"/>
  <c r="M129" i="4"/>
  <c r="M164" i="2"/>
  <c r="M199" i="4"/>
  <c r="N95" i="1"/>
  <c r="L129" i="4"/>
  <c r="N199" i="5"/>
  <c r="L59" i="4"/>
  <c r="N340" i="1"/>
  <c r="L24" i="5"/>
  <c r="N94" i="2"/>
  <c r="N24" i="1"/>
  <c r="M166" i="1"/>
  <c r="L60" i="4"/>
  <c r="N59" i="2"/>
  <c r="N165" i="2"/>
  <c r="M374" i="1"/>
  <c r="N94" i="1"/>
  <c r="M129" i="1"/>
  <c r="M129" i="2"/>
  <c r="M59" i="1"/>
  <c r="M200" i="1"/>
  <c r="M59" i="5"/>
  <c r="N199" i="4"/>
  <c r="M270" i="5"/>
  <c r="L200" i="1"/>
  <c r="L24" i="3"/>
  <c r="L304" i="1"/>
  <c r="M94" i="1"/>
  <c r="N61" i="4"/>
  <c r="L59" i="5"/>
  <c r="M25" i="3"/>
  <c r="N96" i="5"/>
  <c r="N200" i="4"/>
  <c r="L199" i="2"/>
  <c r="M199" i="2"/>
  <c r="N199" i="2"/>
  <c r="M24" i="1"/>
  <c r="M340" i="1"/>
  <c r="L131" i="5"/>
  <c r="M164" i="4"/>
  <c r="N129" i="5"/>
  <c r="L129" i="2"/>
  <c r="L200" i="4"/>
  <c r="L234" i="4"/>
  <c r="M269" i="5"/>
  <c r="N130" i="2"/>
  <c r="N164" i="4"/>
  <c r="M59" i="4"/>
  <c r="M199" i="5"/>
  <c r="L94" i="1"/>
  <c r="N24" i="5"/>
  <c r="M164" i="1"/>
  <c r="N236" i="4"/>
  <c r="L374" i="1"/>
  <c r="M24" i="3"/>
  <c r="L234" i="1"/>
  <c r="N24" i="3"/>
  <c r="N60" i="4"/>
  <c r="L59" i="2"/>
  <c r="L200" i="2"/>
  <c r="L95" i="2"/>
  <c r="N304" i="1"/>
  <c r="L24" i="2"/>
  <c r="M130" i="5"/>
  <c r="L269" i="1"/>
  <c r="G374" i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N24" i="2"/>
  <c r="L130" i="5"/>
  <c r="N269" i="1"/>
  <c r="N59" i="4"/>
  <c r="L129" i="1"/>
  <c r="M410" i="1"/>
  <c r="L25" i="3"/>
  <c r="M59" i="3"/>
  <c r="M129" i="5"/>
  <c r="N129" i="2"/>
  <c r="N24" i="4"/>
  <c r="L94" i="2"/>
  <c r="N95" i="2"/>
  <c r="L130" i="2"/>
  <c r="N234" i="5"/>
  <c r="L165" i="1"/>
  <c r="M94" i="2"/>
  <c r="M201" i="4"/>
  <c r="N234" i="1"/>
  <c r="L199" i="5"/>
  <c r="L234" i="5"/>
  <c r="L270" i="1"/>
  <c r="M94" i="4"/>
  <c r="N339" i="1"/>
  <c r="M94" i="5"/>
  <c r="M234" i="5"/>
  <c r="M60" i="2"/>
  <c r="L164" i="1"/>
  <c r="M95" i="1"/>
  <c r="N410" i="1"/>
  <c r="M234" i="4"/>
  <c r="M234" i="1"/>
  <c r="M24" i="5"/>
  <c r="L164" i="2"/>
  <c r="M24" i="2"/>
  <c r="N59" i="5"/>
  <c r="L59" i="3"/>
  <c r="M339" i="1"/>
  <c r="N165" i="1"/>
  <c r="M270" i="1"/>
  <c r="L61" i="4"/>
  <c r="N269" i="5"/>
  <c r="N374" i="1"/>
  <c r="L269" i="5"/>
  <c r="L24" i="4"/>
  <c r="N164" i="1"/>
  <c r="N60" i="3"/>
  <c r="L26" i="3"/>
  <c r="M26" i="3"/>
  <c r="N95" i="4"/>
  <c r="M201" i="5"/>
  <c r="M132" i="2"/>
  <c r="M96" i="5"/>
  <c r="M202" i="4"/>
  <c r="L132" i="5"/>
  <c r="L25" i="2"/>
  <c r="M167" i="5"/>
  <c r="L131" i="4"/>
  <c r="M60" i="3"/>
  <c r="L62" i="1"/>
  <c r="M95" i="4"/>
  <c r="N97" i="1"/>
  <c r="M375" i="1"/>
  <c r="L132" i="2"/>
  <c r="N95" i="5"/>
  <c r="L235" i="1"/>
  <c r="M25" i="5"/>
  <c r="N62" i="5"/>
  <c r="M131" i="5"/>
  <c r="N305" i="1"/>
  <c r="L375" i="1"/>
  <c r="L27" i="3"/>
  <c r="L202" i="4"/>
  <c r="L25" i="1"/>
  <c r="L130" i="1"/>
  <c r="N131" i="5"/>
  <c r="M200" i="5"/>
  <c r="N202" i="2"/>
  <c r="L95" i="4"/>
  <c r="N60" i="5"/>
  <c r="M305" i="1"/>
  <c r="N25" i="5"/>
  <c r="N26" i="4"/>
  <c r="M25" i="2"/>
  <c r="N97" i="5"/>
  <c r="N200" i="5"/>
  <c r="L97" i="1"/>
  <c r="M60" i="5"/>
  <c r="L95" i="5"/>
  <c r="L26" i="2"/>
  <c r="N167" i="2"/>
  <c r="N375" i="1"/>
  <c r="N235" i="5"/>
  <c r="N237" i="4"/>
  <c r="M271" i="1"/>
  <c r="N60" i="1"/>
  <c r="N201" i="4"/>
  <c r="M25" i="1"/>
  <c r="N27" i="1"/>
  <c r="L165" i="4"/>
  <c r="M235" i="4"/>
  <c r="L237" i="1"/>
  <c r="N165" i="5"/>
  <c r="M235" i="5"/>
  <c r="N130" i="1"/>
  <c r="L237" i="5"/>
  <c r="L26" i="5"/>
  <c r="L60" i="3"/>
  <c r="N167" i="5"/>
  <c r="L62" i="4"/>
  <c r="M60" i="1"/>
  <c r="L272" i="1"/>
  <c r="L167" i="4"/>
  <c r="L166" i="1"/>
  <c r="L25" i="4"/>
  <c r="M202" i="5"/>
  <c r="M306" i="1"/>
  <c r="N201" i="2"/>
  <c r="N131" i="1"/>
  <c r="N170" i="2"/>
  <c r="L305" i="1"/>
  <c r="N341" i="1"/>
  <c r="N236" i="5"/>
  <c r="L25" i="5"/>
  <c r="N25" i="1"/>
  <c r="M62" i="1"/>
  <c r="N25" i="4"/>
  <c r="L60" i="1"/>
  <c r="M165" i="5"/>
  <c r="M25" i="4"/>
  <c r="M272" i="5"/>
  <c r="L165" i="5"/>
  <c r="N130" i="4"/>
  <c r="M131" i="4"/>
  <c r="M61" i="4"/>
  <c r="L200" i="5"/>
  <c r="M130" i="1"/>
  <c r="L201" i="4"/>
  <c r="N307" i="1"/>
  <c r="M235" i="1"/>
  <c r="L96" i="5"/>
  <c r="N235" i="4"/>
  <c r="L60" i="5"/>
  <c r="M272" i="1"/>
  <c r="N61" i="3"/>
  <c r="N26" i="1"/>
  <c r="L130" i="4"/>
  <c r="M97" i="5"/>
  <c r="M341" i="1"/>
  <c r="N165" i="4"/>
  <c r="M95" i="5"/>
  <c r="M26" i="5"/>
  <c r="M237" i="5"/>
  <c r="N132" i="5"/>
  <c r="N237" i="1"/>
  <c r="M27" i="3"/>
  <c r="N131" i="4"/>
  <c r="L236" i="4"/>
  <c r="N235" i="1"/>
  <c r="N97" i="2"/>
  <c r="N201" i="5"/>
  <c r="M167" i="4"/>
  <c r="L235" i="4"/>
  <c r="L236" i="5"/>
  <c r="L377" i="1"/>
  <c r="N411" i="1"/>
  <c r="L235" i="5"/>
  <c r="M165" i="4"/>
  <c r="L97" i="2"/>
  <c r="N25" i="2"/>
  <c r="M130" i="4"/>
  <c r="L411" i="1"/>
  <c r="N132" i="1"/>
  <c r="M377" i="1"/>
  <c r="M202" i="2"/>
  <c r="M30" i="5"/>
  <c r="L61" i="3"/>
  <c r="N271" i="1"/>
  <c r="L306" i="1"/>
  <c r="L26" i="1"/>
  <c r="L96" i="2"/>
  <c r="N96" i="4"/>
  <c r="L201" i="2"/>
  <c r="M166" i="2"/>
  <c r="M376" i="1"/>
  <c r="N61" i="5"/>
  <c r="N62" i="4"/>
  <c r="L61" i="2"/>
  <c r="L166" i="4"/>
  <c r="N166" i="5"/>
  <c r="L237" i="4"/>
  <c r="M96" i="4"/>
  <c r="N61" i="1"/>
  <c r="G26" i="11"/>
  <c r="G27" i="11" s="1"/>
  <c r="G28" i="11" s="1"/>
  <c r="M97" i="1"/>
  <c r="N306" i="1"/>
  <c r="L202" i="2"/>
  <c r="L97" i="5"/>
  <c r="N167" i="1"/>
  <c r="M170" i="4"/>
  <c r="N271" i="5"/>
  <c r="N131" i="2"/>
  <c r="N96" i="1"/>
  <c r="M236" i="1"/>
  <c r="L96" i="4"/>
  <c r="L236" i="1"/>
  <c r="L166" i="2"/>
  <c r="L271" i="1"/>
  <c r="M166" i="5"/>
  <c r="L27" i="1"/>
  <c r="M131" i="2"/>
  <c r="N166" i="4"/>
  <c r="N202" i="5"/>
  <c r="M132" i="5"/>
  <c r="M26" i="4"/>
  <c r="N201" i="1"/>
  <c r="M61" i="1"/>
  <c r="L166" i="5"/>
  <c r="M61" i="3"/>
  <c r="N135" i="5"/>
  <c r="N27" i="3"/>
  <c r="L132" i="1"/>
  <c r="L167" i="2"/>
  <c r="L61" i="1"/>
  <c r="N202" i="4"/>
  <c r="L30" i="1"/>
  <c r="G86" i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L100" i="5"/>
  <c r="L26" i="4"/>
  <c r="L62" i="5"/>
  <c r="L272" i="5"/>
  <c r="M167" i="2"/>
  <c r="M96" i="2"/>
  <c r="N167" i="4"/>
  <c r="N132" i="2"/>
  <c r="L271" i="5"/>
  <c r="M237" i="4"/>
  <c r="L376" i="1"/>
  <c r="M132" i="1"/>
  <c r="M62" i="5"/>
  <c r="M96" i="1"/>
  <c r="M97" i="2"/>
  <c r="N62" i="1"/>
  <c r="M307" i="1"/>
  <c r="M61" i="5"/>
  <c r="M61" i="2"/>
  <c r="N237" i="5"/>
  <c r="L28" i="3"/>
  <c r="L98" i="1"/>
  <c r="M30" i="4"/>
  <c r="L61" i="5"/>
  <c r="N236" i="1"/>
  <c r="M62" i="4"/>
  <c r="L96" i="1"/>
  <c r="L167" i="5"/>
  <c r="N377" i="1"/>
  <c r="M201" i="2"/>
  <c r="N96" i="2"/>
  <c r="L131" i="1"/>
  <c r="N166" i="2"/>
  <c r="N376" i="1"/>
  <c r="M26" i="1"/>
  <c r="N86" i="5"/>
  <c r="M27" i="1"/>
  <c r="M271" i="5"/>
  <c r="L307" i="1"/>
  <c r="L201" i="1"/>
  <c r="M201" i="1"/>
  <c r="M131" i="1"/>
  <c r="N272" i="1"/>
  <c r="M166" i="4"/>
  <c r="N272" i="5"/>
  <c r="M237" i="1"/>
  <c r="L131" i="2"/>
  <c r="N61" i="2"/>
  <c r="L135" i="2"/>
  <c r="L63" i="2"/>
  <c r="G29" i="11"/>
  <c r="G30" i="11" s="1"/>
  <c r="G31" i="11" s="1"/>
  <c r="N14" i="1"/>
  <c r="G14" i="2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M167" i="1"/>
  <c r="M203" i="2"/>
  <c r="N52" i="5"/>
  <c r="G41" i="11"/>
  <c r="G42" i="11" s="1"/>
  <c r="G43" i="11" s="1"/>
  <c r="L412" i="1"/>
  <c r="N27" i="5"/>
  <c r="M123" i="5"/>
  <c r="L97" i="4"/>
  <c r="M53" i="1"/>
  <c r="N87" i="1"/>
  <c r="M203" i="1"/>
  <c r="M15" i="1"/>
  <c r="G122" i="2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L14" i="5"/>
  <c r="M27" i="4"/>
  <c r="L18" i="1"/>
  <c r="N97" i="4"/>
  <c r="N16" i="4"/>
  <c r="N53" i="1"/>
  <c r="M29" i="11"/>
  <c r="N44" i="11"/>
  <c r="L50" i="5"/>
  <c r="L14" i="1"/>
  <c r="M51" i="1"/>
  <c r="M21" i="11"/>
  <c r="G50" i="4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N18" i="11"/>
  <c r="N168" i="1"/>
  <c r="M39" i="11"/>
  <c r="L122" i="2"/>
  <c r="N46" i="11"/>
  <c r="L14" i="2"/>
  <c r="L86" i="5"/>
  <c r="L53" i="1"/>
  <c r="M16" i="3"/>
  <c r="N16" i="11"/>
  <c r="L28" i="11"/>
  <c r="L25" i="11"/>
  <c r="L52" i="3"/>
  <c r="M27" i="2"/>
  <c r="M25" i="11"/>
  <c r="M86" i="4"/>
  <c r="M44" i="11"/>
  <c r="N15" i="4"/>
  <c r="L122" i="5"/>
  <c r="N27" i="4"/>
  <c r="M38" i="11"/>
  <c r="M52" i="5"/>
  <c r="M86" i="1"/>
  <c r="M50" i="2"/>
  <c r="M35" i="11"/>
  <c r="N28" i="5"/>
  <c r="N14" i="3"/>
  <c r="L19" i="11"/>
  <c r="N53" i="3"/>
  <c r="M158" i="5"/>
  <c r="L168" i="4"/>
  <c r="M14" i="3"/>
  <c r="M158" i="4"/>
  <c r="N342" i="1"/>
  <c r="L98" i="4"/>
  <c r="N30" i="11"/>
  <c r="M26" i="11"/>
  <c r="N122" i="4"/>
  <c r="M18" i="3"/>
  <c r="M168" i="4"/>
  <c r="L35" i="11"/>
  <c r="N50" i="4"/>
  <c r="M50" i="5"/>
  <c r="G47" i="11"/>
  <c r="G48" i="11" s="1"/>
  <c r="G49" i="11" s="1"/>
  <c r="L158" i="1"/>
  <c r="L27" i="11"/>
  <c r="L123" i="2"/>
  <c r="L48" i="11"/>
  <c r="N15" i="2"/>
  <c r="G35" i="11"/>
  <c r="G36" i="11" s="1"/>
  <c r="G37" i="11" s="1"/>
  <c r="L42" i="11"/>
  <c r="N51" i="4"/>
  <c r="M86" i="2"/>
  <c r="L22" i="11"/>
  <c r="M122" i="1"/>
  <c r="N25" i="11"/>
  <c r="N158" i="2"/>
  <c r="M87" i="2"/>
  <c r="L27" i="4"/>
  <c r="M14" i="4"/>
  <c r="L18" i="11"/>
  <c r="M22" i="11"/>
  <c r="M16" i="5"/>
  <c r="M46" i="11"/>
  <c r="M19" i="11"/>
  <c r="M48" i="11"/>
  <c r="M18" i="4"/>
  <c r="G32" i="11"/>
  <c r="G33" i="11" s="1"/>
  <c r="G34" i="11" s="1"/>
  <c r="N52" i="2"/>
  <c r="L43" i="11"/>
  <c r="M28" i="4"/>
  <c r="M87" i="4"/>
  <c r="N15" i="5"/>
  <c r="G50" i="5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L16" i="2"/>
  <c r="N160" i="5"/>
  <c r="L49" i="11"/>
  <c r="N123" i="1"/>
  <c r="N88" i="1"/>
  <c r="M28" i="1"/>
  <c r="L88" i="1"/>
  <c r="N16" i="3"/>
  <c r="L33" i="11"/>
  <c r="L158" i="2"/>
  <c r="N16" i="5"/>
  <c r="M52" i="2"/>
  <c r="N26" i="11"/>
  <c r="N38" i="11"/>
  <c r="L45" i="11"/>
  <c r="M15" i="5"/>
  <c r="L16" i="3"/>
  <c r="L21" i="11"/>
  <c r="N88" i="4"/>
  <c r="N28" i="1"/>
  <c r="L158" i="5"/>
  <c r="M33" i="11"/>
  <c r="M63" i="5"/>
  <c r="N122" i="5"/>
  <c r="N122" i="1"/>
  <c r="M62" i="3"/>
  <c r="L53" i="3"/>
  <c r="N17" i="5"/>
  <c r="L18" i="3"/>
  <c r="L50" i="4"/>
  <c r="G122" i="4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N203" i="2"/>
  <c r="G158" i="2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M50" i="1"/>
  <c r="N50" i="3"/>
  <c r="L16" i="1"/>
  <c r="N37" i="11"/>
  <c r="N88" i="5"/>
  <c r="L168" i="1"/>
  <c r="M24" i="11"/>
  <c r="N238" i="1"/>
  <c r="N17" i="11"/>
  <c r="L27" i="5"/>
  <c r="N16" i="1"/>
  <c r="G50" i="3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N43" i="11"/>
  <c r="N51" i="2"/>
  <c r="M158" i="2"/>
  <c r="M37" i="11"/>
  <c r="L15" i="3"/>
  <c r="M63" i="1"/>
  <c r="G50" i="2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N63" i="5"/>
  <c r="N123" i="4"/>
  <c r="G14" i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N18" i="1"/>
  <c r="L18" i="2"/>
  <c r="L62" i="2"/>
  <c r="L23" i="11"/>
  <c r="G14" i="11"/>
  <c r="G15" i="11" s="1"/>
  <c r="G16" i="11" s="1"/>
  <c r="L44" i="11"/>
  <c r="G14" i="4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N53" i="5"/>
  <c r="L28" i="2"/>
  <c r="M23" i="11"/>
  <c r="L52" i="2"/>
  <c r="N122" i="2"/>
  <c r="L238" i="1"/>
  <c r="L17" i="11"/>
  <c r="N51" i="1"/>
  <c r="N50" i="5"/>
  <c r="N158" i="4"/>
  <c r="L88" i="5"/>
  <c r="M14" i="2"/>
  <c r="L86" i="1"/>
  <c r="M412" i="1"/>
  <c r="L28" i="1"/>
  <c r="N18" i="3"/>
  <c r="M132" i="4"/>
  <c r="M87" i="5"/>
  <c r="N34" i="11"/>
  <c r="N18" i="4"/>
  <c r="M47" i="11"/>
  <c r="L87" i="4"/>
  <c r="L17" i="2"/>
  <c r="L40" i="11"/>
  <c r="G122" i="5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N28" i="4"/>
  <c r="N29" i="11"/>
  <c r="L15" i="5"/>
  <c r="M52" i="1"/>
  <c r="L62" i="3"/>
  <c r="L17" i="5"/>
  <c r="L123" i="1"/>
  <c r="N27" i="2"/>
  <c r="L28" i="5"/>
  <c r="N16" i="2"/>
  <c r="L20" i="11"/>
  <c r="M15" i="3"/>
  <c r="N50" i="1"/>
  <c r="N86" i="4"/>
  <c r="N308" i="1"/>
  <c r="L51" i="3"/>
  <c r="M88" i="2"/>
  <c r="G23" i="11"/>
  <c r="G24" i="11" s="1"/>
  <c r="G25" i="11" s="1"/>
  <c r="M52" i="4"/>
  <c r="N53" i="2"/>
  <c r="M51" i="3"/>
  <c r="M100" i="2"/>
  <c r="N51" i="5"/>
  <c r="M34" i="11"/>
  <c r="N40" i="11"/>
  <c r="M17" i="1"/>
  <c r="M18" i="11"/>
  <c r="L202" i="1"/>
  <c r="M90" i="4"/>
  <c r="N49" i="11"/>
  <c r="N63" i="1"/>
  <c r="M123" i="2"/>
  <c r="N52" i="1"/>
  <c r="M87" i="1"/>
  <c r="N48" i="11"/>
  <c r="G158" i="5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M53" i="4"/>
  <c r="N98" i="4"/>
  <c r="L86" i="4"/>
  <c r="N41" i="11"/>
  <c r="L52" i="5"/>
  <c r="L87" i="2"/>
  <c r="M42" i="11"/>
  <c r="G44" i="11"/>
  <c r="G45" i="11" s="1"/>
  <c r="G46" i="11" s="1"/>
  <c r="L17" i="1"/>
  <c r="M52" i="3"/>
  <c r="M17" i="5"/>
  <c r="L32" i="11"/>
  <c r="N39" i="11"/>
  <c r="L63" i="5"/>
  <c r="N86" i="1"/>
  <c r="M98" i="4"/>
  <c r="M16" i="2"/>
  <c r="N51" i="3"/>
  <c r="N123" i="5"/>
  <c r="L88" i="2"/>
  <c r="M17" i="11"/>
  <c r="M28" i="11"/>
  <c r="M122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L203" i="1"/>
  <c r="L38" i="11"/>
  <c r="M378" i="1"/>
  <c r="G38" i="11"/>
  <c r="G39" i="11" s="1"/>
  <c r="G40" i="11" s="1"/>
  <c r="N17" i="2"/>
  <c r="N343" i="1"/>
  <c r="M88" i="5"/>
  <c r="L51" i="1"/>
  <c r="L88" i="4"/>
  <c r="L31" i="11"/>
  <c r="N23" i="11"/>
  <c r="N15" i="1"/>
  <c r="N52" i="4"/>
  <c r="M53" i="2"/>
  <c r="M27" i="11"/>
  <c r="L53" i="5"/>
  <c r="L52" i="4"/>
  <c r="L15" i="4"/>
  <c r="N31" i="11"/>
  <c r="L50" i="2"/>
  <c r="L15" i="11"/>
  <c r="N168" i="4"/>
  <c r="L47" i="11"/>
  <c r="L87" i="5"/>
  <c r="L53" i="4"/>
  <c r="L122" i="4"/>
  <c r="N87" i="4"/>
  <c r="L16" i="5"/>
  <c r="M86" i="5"/>
  <c r="L18" i="5"/>
  <c r="G14" i="3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M15" i="2"/>
  <c r="N53" i="4"/>
  <c r="M202" i="1"/>
  <c r="L14" i="11"/>
  <c r="L308" i="1"/>
  <c r="L30" i="11"/>
  <c r="M18" i="5"/>
  <c r="L24" i="11"/>
  <c r="L51" i="5"/>
  <c r="L39" i="11"/>
  <c r="N47" i="11"/>
  <c r="G50" i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N14" i="4"/>
  <c r="M49" i="11"/>
  <c r="N19" i="11"/>
  <c r="G158" i="4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M27" i="5"/>
  <c r="N28" i="2"/>
  <c r="L123" i="4"/>
  <c r="G17" i="11"/>
  <c r="G18" i="11" s="1"/>
  <c r="G19" i="11" s="1"/>
  <c r="M32" i="11"/>
  <c r="L36" i="11"/>
  <c r="L51" i="2"/>
  <c r="N14" i="11"/>
  <c r="L98" i="5"/>
  <c r="M97" i="4"/>
  <c r="N62" i="3"/>
  <c r="N158" i="1"/>
  <c r="M28" i="5"/>
  <c r="N14" i="2"/>
  <c r="L378" i="1"/>
  <c r="M88" i="4"/>
  <c r="M14" i="5"/>
  <c r="N132" i="4"/>
  <c r="M30" i="11"/>
  <c r="L14" i="4"/>
  <c r="N36" i="11"/>
  <c r="N98" i="5"/>
  <c r="L171" i="1"/>
  <c r="N101" i="2"/>
  <c r="N18" i="2"/>
  <c r="G86" i="5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M53" i="3"/>
  <c r="L28" i="4"/>
  <c r="M122" i="4"/>
  <c r="M16" i="11"/>
  <c r="M17" i="4"/>
  <c r="N412" i="1"/>
  <c r="M45" i="11"/>
  <c r="N20" i="11"/>
  <c r="M343" i="1"/>
  <c r="N42" i="11"/>
  <c r="L46" i="11"/>
  <c r="M50" i="3"/>
  <c r="M15" i="11"/>
  <c r="M98" i="5"/>
  <c r="N87" i="5"/>
  <c r="M62" i="2"/>
  <c r="M31" i="11"/>
  <c r="G158" i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L50" i="1"/>
  <c r="N27" i="11"/>
  <c r="L15" i="2"/>
  <c r="N15" i="3"/>
  <c r="N203" i="1"/>
  <c r="M16" i="4"/>
  <c r="N202" i="1"/>
  <c r="N62" i="2"/>
  <c r="N378" i="1"/>
  <c r="M17" i="3"/>
  <c r="N52" i="3"/>
  <c r="M36" i="11"/>
  <c r="L53" i="2"/>
  <c r="L51" i="4"/>
  <c r="N123" i="2"/>
  <c r="L343" i="1"/>
  <c r="L27" i="2"/>
  <c r="L18" i="4"/>
  <c r="M18" i="2"/>
  <c r="L17" i="3"/>
  <c r="N14" i="5"/>
  <c r="N17" i="1"/>
  <c r="L15" i="1"/>
  <c r="N15" i="11"/>
  <c r="M168" i="1"/>
  <c r="M342" i="1"/>
  <c r="N50" i="2"/>
  <c r="G86" i="4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L34" i="11"/>
  <c r="M41" i="11"/>
  <c r="M14" i="1"/>
  <c r="L86" i="2"/>
  <c r="M122" i="2"/>
  <c r="N33" i="11"/>
  <c r="L132" i="4"/>
  <c r="N158" i="5"/>
  <c r="G86" i="2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L41" i="11"/>
  <c r="L16" i="11"/>
  <c r="G20" i="11"/>
  <c r="G21" i="11" s="1"/>
  <c r="G22" i="11" s="1"/>
  <c r="N24" i="11"/>
  <c r="M16" i="1"/>
  <c r="M17" i="2"/>
  <c r="M20" i="11"/>
  <c r="L16" i="4"/>
  <c r="N28" i="11"/>
  <c r="L167" i="1"/>
  <c r="L50" i="3"/>
  <c r="M123" i="1"/>
  <c r="N87" i="2"/>
  <c r="L37" i="11"/>
  <c r="M238" i="1"/>
  <c r="L29" i="11"/>
  <c r="L87" i="1"/>
  <c r="L203" i="2"/>
  <c r="N86" i="2"/>
  <c r="N17" i="3"/>
  <c r="M53" i="5"/>
  <c r="L63" i="1"/>
  <c r="N32" i="11"/>
  <c r="M308" i="1"/>
  <c r="M15" i="4"/>
  <c r="N21" i="11"/>
  <c r="M51" i="5"/>
  <c r="M43" i="11"/>
  <c r="M40" i="11"/>
  <c r="G122" i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M88" i="1"/>
  <c r="M28" i="2"/>
  <c r="L342" i="1"/>
  <c r="M51" i="2"/>
  <c r="L26" i="11"/>
  <c r="L14" i="3"/>
  <c r="N35" i="11"/>
  <c r="N45" i="11"/>
  <c r="M50" i="4"/>
  <c r="N17" i="4"/>
  <c r="M123" i="4"/>
  <c r="N22" i="11"/>
  <c r="L122" i="1"/>
  <c r="L17" i="4"/>
  <c r="M51" i="4"/>
  <c r="L52" i="1"/>
  <c r="M14" i="11"/>
  <c r="M31" i="3"/>
  <c r="N133" i="2"/>
  <c r="L135" i="4"/>
  <c r="M133" i="2"/>
  <c r="N63" i="2"/>
  <c r="N273" i="5"/>
  <c r="N273" i="1"/>
  <c r="L63" i="3"/>
  <c r="L273" i="5"/>
  <c r="M205" i="5"/>
  <c r="L203" i="4"/>
  <c r="N133" i="1"/>
  <c r="M63" i="3"/>
  <c r="M238" i="4"/>
  <c r="L203" i="5"/>
  <c r="N63" i="3"/>
  <c r="M203" i="4"/>
  <c r="N205" i="1"/>
  <c r="N30" i="2"/>
  <c r="M100" i="4"/>
  <c r="L133" i="4"/>
  <c r="M98" i="1"/>
  <c r="L413" i="1"/>
  <c r="M203" i="5"/>
  <c r="L273" i="1"/>
  <c r="M380" i="1"/>
  <c r="L238" i="4"/>
  <c r="N168" i="5"/>
  <c r="M240" i="4"/>
  <c r="N238" i="5"/>
  <c r="N28" i="3"/>
  <c r="L98" i="2"/>
  <c r="N98" i="2"/>
  <c r="M100" i="1"/>
  <c r="N133" i="4"/>
  <c r="M275" i="5"/>
  <c r="L238" i="5"/>
  <c r="M63" i="2"/>
  <c r="L133" i="5"/>
  <c r="L63" i="4"/>
  <c r="M205" i="4"/>
  <c r="M28" i="3"/>
  <c r="M65" i="1"/>
  <c r="N133" i="5"/>
  <c r="N168" i="2"/>
  <c r="L67" i="4"/>
  <c r="N413" i="1"/>
  <c r="N238" i="4"/>
  <c r="M133" i="1"/>
  <c r="L168" i="5"/>
  <c r="M168" i="5"/>
  <c r="N240" i="5"/>
  <c r="L168" i="2"/>
  <c r="M170" i="1"/>
  <c r="L381" i="1"/>
  <c r="N63" i="4"/>
  <c r="N98" i="1"/>
  <c r="N275" i="1"/>
  <c r="M133" i="4"/>
  <c r="M238" i="5"/>
  <c r="M273" i="1"/>
  <c r="N203" i="5"/>
  <c r="M133" i="5"/>
  <c r="M63" i="4"/>
  <c r="M310" i="1"/>
  <c r="L133" i="1"/>
  <c r="M168" i="2"/>
  <c r="N203" i="4"/>
  <c r="L133" i="2"/>
  <c r="M413" i="1"/>
  <c r="M273" i="5"/>
  <c r="N30" i="3"/>
  <c r="M98" i="2"/>
  <c r="N65" i="4"/>
  <c r="N172" i="1"/>
  <c r="M169" i="4"/>
  <c r="L274" i="1"/>
  <c r="N274" i="1"/>
  <c r="L30" i="3"/>
  <c r="N239" i="1"/>
  <c r="L64" i="4"/>
  <c r="L205" i="2"/>
  <c r="N29" i="1"/>
  <c r="M29" i="4"/>
  <c r="L204" i="2"/>
  <c r="M204" i="1"/>
  <c r="N134" i="4"/>
  <c r="N64" i="3"/>
  <c r="L380" i="1"/>
  <c r="N102" i="4"/>
  <c r="L65" i="1"/>
  <c r="M100" i="5"/>
  <c r="L134" i="5"/>
  <c r="M134" i="2"/>
  <c r="M99" i="5"/>
  <c r="L65" i="4"/>
  <c r="M205" i="2"/>
  <c r="L65" i="5"/>
  <c r="L100" i="4"/>
  <c r="L29" i="5"/>
  <c r="N65" i="5"/>
  <c r="M30" i="3"/>
  <c r="L100" i="1"/>
  <c r="L204" i="1"/>
  <c r="N169" i="2"/>
  <c r="M99" i="4"/>
  <c r="M239" i="5"/>
  <c r="N29" i="3"/>
  <c r="N169" i="5"/>
  <c r="N204" i="1"/>
  <c r="M169" i="5"/>
  <c r="M29" i="5"/>
  <c r="M239" i="4"/>
  <c r="M29" i="1"/>
  <c r="L415" i="1"/>
  <c r="N33" i="3"/>
  <c r="N30" i="1"/>
  <c r="L29" i="4"/>
  <c r="M414" i="1"/>
  <c r="N239" i="5"/>
  <c r="M204" i="2"/>
  <c r="M345" i="1"/>
  <c r="L29" i="2"/>
  <c r="L64" i="2"/>
  <c r="N65" i="3"/>
  <c r="M30" i="2"/>
  <c r="N64" i="4"/>
  <c r="L172" i="4"/>
  <c r="N350" i="1"/>
  <c r="N379" i="1"/>
  <c r="M135" i="4"/>
  <c r="L204" i="5"/>
  <c r="L240" i="5"/>
  <c r="N99" i="2"/>
  <c r="L240" i="1"/>
  <c r="L204" i="4"/>
  <c r="M99" i="2"/>
  <c r="L275" i="1"/>
  <c r="L29" i="3"/>
  <c r="N170" i="4"/>
  <c r="N65" i="1"/>
  <c r="L277" i="5"/>
  <c r="N242" i="4"/>
  <c r="N134" i="1"/>
  <c r="L239" i="1"/>
  <c r="N239" i="4"/>
  <c r="M275" i="1"/>
  <c r="M415" i="1"/>
  <c r="L64" i="1"/>
  <c r="L170" i="1"/>
  <c r="L170" i="2"/>
  <c r="M239" i="1"/>
  <c r="M277" i="5"/>
  <c r="M64" i="4"/>
  <c r="M170" i="2"/>
  <c r="N344" i="1"/>
  <c r="M309" i="1"/>
  <c r="N135" i="4"/>
  <c r="L29" i="1"/>
  <c r="L169" i="2"/>
  <c r="L344" i="1"/>
  <c r="N169" i="1"/>
  <c r="N65" i="2"/>
  <c r="N414" i="1"/>
  <c r="L99" i="4"/>
  <c r="N274" i="5"/>
  <c r="M169" i="2"/>
  <c r="L240" i="4"/>
  <c r="M102" i="2"/>
  <c r="L169" i="1"/>
  <c r="N134" i="5"/>
  <c r="N204" i="5"/>
  <c r="N99" i="4"/>
  <c r="M29" i="3"/>
  <c r="L205" i="5"/>
  <c r="M29" i="2"/>
  <c r="N29" i="4"/>
  <c r="L205" i="4"/>
  <c r="L99" i="5"/>
  <c r="L205" i="1"/>
  <c r="N172" i="2"/>
  <c r="M347" i="1"/>
  <c r="M134" i="4"/>
  <c r="M240" i="1"/>
  <c r="L64" i="3"/>
  <c r="N100" i="2"/>
  <c r="M135" i="1"/>
  <c r="N100" i="4"/>
  <c r="N205" i="2"/>
  <c r="M169" i="1"/>
  <c r="N415" i="1"/>
  <c r="M134" i="5"/>
  <c r="M64" i="2"/>
  <c r="M170" i="5"/>
  <c r="L345" i="1"/>
  <c r="L239" i="5"/>
  <c r="M204" i="5"/>
  <c r="N309" i="1"/>
  <c r="L134" i="2"/>
  <c r="M274" i="5"/>
  <c r="L99" i="1"/>
  <c r="N64" i="5"/>
  <c r="L276" i="1"/>
  <c r="L101" i="5"/>
  <c r="M205" i="1"/>
  <c r="M67" i="3"/>
  <c r="L170" i="5"/>
  <c r="L135" i="1"/>
  <c r="L379" i="1"/>
  <c r="N380" i="1"/>
  <c r="N170" i="1"/>
  <c r="N205" i="4"/>
  <c r="L30" i="4"/>
  <c r="M240" i="5"/>
  <c r="L310" i="1"/>
  <c r="L169" i="4"/>
  <c r="L134" i="4"/>
  <c r="N135" i="1"/>
  <c r="N100" i="1"/>
  <c r="M204" i="4"/>
  <c r="L99" i="2"/>
  <c r="N205" i="5"/>
  <c r="M99" i="1"/>
  <c r="N135" i="2"/>
  <c r="M30" i="1"/>
  <c r="N29" i="2"/>
  <c r="N30" i="4"/>
  <c r="L347" i="1"/>
  <c r="M344" i="1"/>
  <c r="N99" i="5"/>
  <c r="M134" i="1"/>
  <c r="M64" i="1"/>
  <c r="L100" i="2"/>
  <c r="N64" i="2"/>
  <c r="M65" i="2"/>
  <c r="N99" i="1"/>
  <c r="M206" i="5"/>
  <c r="M277" i="1"/>
  <c r="M379" i="1"/>
  <c r="N240" i="4"/>
  <c r="N204" i="2"/>
  <c r="M274" i="1"/>
  <c r="L274" i="5"/>
  <c r="N275" i="5"/>
  <c r="L65" i="2"/>
  <c r="L64" i="5"/>
  <c r="N134" i="2"/>
  <c r="N29" i="5"/>
  <c r="L309" i="1"/>
  <c r="M135" i="2"/>
  <c r="N240" i="1"/>
  <c r="L30" i="5"/>
  <c r="L275" i="5"/>
  <c r="M64" i="3"/>
  <c r="L170" i="4"/>
  <c r="L135" i="5"/>
  <c r="M65" i="3"/>
  <c r="N169" i="4"/>
  <c r="L65" i="3"/>
  <c r="N345" i="1"/>
  <c r="M135" i="5"/>
  <c r="M32" i="4"/>
  <c r="M65" i="5"/>
  <c r="M64" i="5"/>
  <c r="M65" i="4"/>
  <c r="N30" i="5"/>
  <c r="N100" i="5"/>
  <c r="L30" i="2"/>
  <c r="L239" i="4"/>
  <c r="L414" i="1"/>
  <c r="N64" i="1"/>
  <c r="N170" i="5"/>
  <c r="L169" i="5"/>
  <c r="L134" i="1"/>
  <c r="N204" i="4"/>
  <c r="N310" i="1"/>
  <c r="N66" i="4"/>
  <c r="M32" i="1"/>
  <c r="L31" i="3"/>
  <c r="N67" i="5"/>
  <c r="M172" i="4"/>
  <c r="L242" i="4"/>
  <c r="N381" i="1"/>
  <c r="L101" i="2"/>
  <c r="M137" i="1"/>
  <c r="N31" i="3"/>
  <c r="N137" i="1"/>
  <c r="M101" i="2"/>
  <c r="L137" i="1"/>
  <c r="N137" i="5"/>
  <c r="L66" i="1"/>
  <c r="L172" i="1"/>
  <c r="L67" i="3"/>
  <c r="N101" i="5"/>
  <c r="M276" i="1"/>
  <c r="N32" i="4"/>
  <c r="M67" i="5"/>
  <c r="M381" i="1"/>
  <c r="L32" i="2"/>
  <c r="M207" i="1"/>
  <c r="L172" i="2"/>
  <c r="L206" i="5"/>
  <c r="M172" i="1"/>
  <c r="N277" i="5"/>
  <c r="M171" i="1"/>
  <c r="N67" i="4"/>
  <c r="N276" i="1"/>
  <c r="N171" i="1"/>
  <c r="L66" i="2"/>
  <c r="M31" i="1"/>
  <c r="L138" i="5"/>
  <c r="M101" i="5"/>
  <c r="N206" i="5"/>
  <c r="N102" i="2"/>
  <c r="N277" i="1"/>
  <c r="M102" i="4"/>
  <c r="L277" i="1"/>
  <c r="M137" i="4"/>
  <c r="L278" i="5"/>
  <c r="M31" i="2"/>
  <c r="L66" i="4"/>
  <c r="N136" i="4"/>
  <c r="N31" i="1"/>
  <c r="L136" i="5"/>
  <c r="L136" i="1"/>
  <c r="L206" i="4"/>
  <c r="N172" i="4"/>
  <c r="M278" i="1"/>
  <c r="M276" i="5"/>
  <c r="L171" i="2"/>
  <c r="N138" i="5"/>
  <c r="L416" i="1"/>
  <c r="N173" i="2"/>
  <c r="N206" i="4"/>
  <c r="N101" i="1"/>
  <c r="M243" i="4"/>
  <c r="N278" i="5"/>
  <c r="L173" i="4"/>
  <c r="N68" i="2"/>
  <c r="N311" i="1"/>
  <c r="L136" i="2"/>
  <c r="N208" i="4"/>
  <c r="L208" i="4"/>
  <c r="L171" i="4"/>
  <c r="L206" i="1"/>
  <c r="N208" i="2"/>
  <c r="M101" i="1"/>
  <c r="N31" i="2"/>
  <c r="L136" i="4"/>
  <c r="N347" i="1"/>
  <c r="L103" i="4"/>
  <c r="L102" i="1"/>
  <c r="N137" i="4"/>
  <c r="L68" i="3"/>
  <c r="L33" i="1"/>
  <c r="L35" i="1"/>
  <c r="L105" i="5"/>
  <c r="L346" i="1"/>
  <c r="M66" i="2"/>
  <c r="N103" i="1"/>
  <c r="N241" i="4"/>
  <c r="L31" i="4"/>
  <c r="M173" i="5"/>
  <c r="L31" i="5"/>
  <c r="L241" i="4"/>
  <c r="N171" i="5"/>
  <c r="N208" i="5"/>
  <c r="M31" i="4"/>
  <c r="N241" i="1"/>
  <c r="M242" i="4"/>
  <c r="L241" i="1"/>
  <c r="N276" i="5"/>
  <c r="M383" i="1"/>
  <c r="L278" i="1"/>
  <c r="N416" i="1"/>
  <c r="N206" i="2"/>
  <c r="M206" i="2"/>
  <c r="M31" i="5"/>
  <c r="L66" i="3"/>
  <c r="M241" i="5"/>
  <c r="L67" i="5"/>
  <c r="N346" i="1"/>
  <c r="L32" i="4"/>
  <c r="N66" i="3"/>
  <c r="M171" i="2"/>
  <c r="M173" i="4"/>
  <c r="N136" i="2"/>
  <c r="M208" i="2"/>
  <c r="M33" i="2"/>
  <c r="L137" i="2"/>
  <c r="M172" i="5"/>
  <c r="N417" i="1"/>
  <c r="L32" i="3"/>
  <c r="N32" i="3"/>
  <c r="N101" i="4"/>
  <c r="N31" i="5"/>
  <c r="M136" i="1"/>
  <c r="N138" i="1"/>
  <c r="L243" i="1"/>
  <c r="L31" i="2"/>
  <c r="M241" i="4"/>
  <c r="M346" i="1"/>
  <c r="M171" i="4"/>
  <c r="L206" i="2"/>
  <c r="N66" i="1"/>
  <c r="L311" i="1"/>
  <c r="M136" i="2"/>
  <c r="M171" i="5"/>
  <c r="L241" i="5"/>
  <c r="N33" i="4"/>
  <c r="M311" i="1"/>
  <c r="M138" i="4"/>
  <c r="N136" i="5"/>
  <c r="N66" i="2"/>
  <c r="M68" i="5"/>
  <c r="L101" i="1"/>
  <c r="N241" i="5"/>
  <c r="M66" i="4"/>
  <c r="M416" i="1"/>
  <c r="M101" i="4"/>
  <c r="L276" i="5"/>
  <c r="M241" i="1"/>
  <c r="M66" i="5"/>
  <c r="N138" i="2"/>
  <c r="M418" i="1"/>
  <c r="M242" i="1"/>
  <c r="M138" i="1"/>
  <c r="M210" i="2"/>
  <c r="L103" i="1"/>
  <c r="N383" i="1"/>
  <c r="M137" i="2"/>
  <c r="L102" i="4"/>
  <c r="M206" i="4"/>
  <c r="M136" i="4"/>
  <c r="M66" i="3"/>
  <c r="L102" i="2"/>
  <c r="L418" i="1"/>
  <c r="M206" i="1"/>
  <c r="M67" i="4"/>
  <c r="N103" i="2"/>
  <c r="N66" i="5"/>
  <c r="M66" i="1"/>
  <c r="L101" i="4"/>
  <c r="M136" i="5"/>
  <c r="L31" i="1"/>
  <c r="N136" i="1"/>
  <c r="M172" i="2"/>
  <c r="L243" i="5"/>
  <c r="L66" i="5"/>
  <c r="N31" i="4"/>
  <c r="N206" i="1"/>
  <c r="N67" i="3"/>
  <c r="N171" i="2"/>
  <c r="L103" i="5"/>
  <c r="L171" i="5"/>
  <c r="M68" i="3"/>
  <c r="M173" i="2"/>
  <c r="N171" i="4"/>
  <c r="M68" i="1"/>
  <c r="N243" i="4"/>
  <c r="M138" i="2"/>
  <c r="L67" i="2"/>
  <c r="M242" i="5"/>
  <c r="N138" i="4"/>
  <c r="M207" i="4"/>
  <c r="N313" i="1"/>
  <c r="N351" i="1"/>
  <c r="L138" i="2"/>
  <c r="N173" i="5"/>
  <c r="M137" i="5"/>
  <c r="N382" i="1"/>
  <c r="N68" i="1"/>
  <c r="N32" i="5"/>
  <c r="L68" i="5"/>
  <c r="L68" i="2"/>
  <c r="M68" i="2"/>
  <c r="M33" i="1"/>
  <c r="L137" i="4"/>
  <c r="M67" i="2"/>
  <c r="N67" i="2"/>
  <c r="L68" i="1"/>
  <c r="L207" i="1"/>
  <c r="N32" i="2"/>
  <c r="M32" i="3"/>
  <c r="L312" i="1"/>
  <c r="N103" i="4"/>
  <c r="L67" i="1"/>
  <c r="N278" i="1"/>
  <c r="L106" i="2"/>
  <c r="N36" i="4"/>
  <c r="M246" i="4"/>
  <c r="L106" i="4"/>
  <c r="M139" i="5"/>
  <c r="M419" i="1"/>
  <c r="N209" i="1"/>
  <c r="M138" i="5"/>
  <c r="M208" i="5"/>
  <c r="M207" i="2"/>
  <c r="M33" i="3"/>
  <c r="L417" i="1"/>
  <c r="N102" i="5"/>
  <c r="N418" i="1"/>
  <c r="N67" i="1"/>
  <c r="M102" i="1"/>
  <c r="N242" i="1"/>
  <c r="M32" i="2"/>
  <c r="L102" i="5"/>
  <c r="M417" i="1"/>
  <c r="M278" i="5"/>
  <c r="L207" i="5"/>
  <c r="M103" i="4"/>
  <c r="L243" i="4"/>
  <c r="M348" i="1"/>
  <c r="L382" i="1"/>
  <c r="L138" i="1"/>
  <c r="N173" i="4"/>
  <c r="M67" i="1"/>
  <c r="L208" i="5"/>
  <c r="N172" i="5"/>
  <c r="M382" i="1"/>
  <c r="L208" i="2"/>
  <c r="L207" i="2"/>
  <c r="L172" i="5"/>
  <c r="N103" i="5"/>
  <c r="M243" i="5"/>
  <c r="L246" i="4"/>
  <c r="L106" i="1"/>
  <c r="M207" i="5"/>
  <c r="M102" i="5"/>
  <c r="N207" i="2"/>
  <c r="L242" i="5"/>
  <c r="N312" i="1"/>
  <c r="L33" i="2"/>
  <c r="N68" i="3"/>
  <c r="M312" i="1"/>
  <c r="L32" i="1"/>
  <c r="L173" i="2"/>
  <c r="M32" i="5"/>
  <c r="M103" i="5"/>
  <c r="L33" i="3"/>
  <c r="M103" i="1"/>
  <c r="N243" i="5"/>
  <c r="M33" i="4"/>
  <c r="N207" i="4"/>
  <c r="N33" i="5"/>
  <c r="L138" i="4"/>
  <c r="N207" i="5"/>
  <c r="M208" i="4"/>
  <c r="N102" i="1"/>
  <c r="L176" i="1"/>
  <c r="L173" i="5"/>
  <c r="N68" i="5"/>
  <c r="M243" i="1"/>
  <c r="N137" i="2"/>
  <c r="L242" i="1"/>
  <c r="N243" i="1"/>
  <c r="L32" i="5"/>
  <c r="M103" i="2"/>
  <c r="L383" i="1"/>
  <c r="N32" i="1"/>
  <c r="M176" i="1"/>
  <c r="L209" i="4"/>
  <c r="M139" i="1"/>
  <c r="N209" i="4"/>
  <c r="L207" i="4"/>
  <c r="L33" i="4"/>
  <c r="N207" i="1"/>
  <c r="N242" i="5"/>
  <c r="L103" i="2"/>
  <c r="L137" i="5"/>
  <c r="N142" i="5"/>
  <c r="N212" i="4"/>
  <c r="M209" i="4"/>
  <c r="M35" i="3"/>
  <c r="M104" i="5"/>
  <c r="L244" i="1"/>
  <c r="N69" i="4"/>
  <c r="M384" i="1"/>
  <c r="N69" i="3"/>
  <c r="L173" i="1"/>
  <c r="L139" i="2"/>
  <c r="L313" i="1"/>
  <c r="N246" i="1"/>
  <c r="M209" i="1"/>
  <c r="N174" i="4"/>
  <c r="L139" i="1"/>
  <c r="L209" i="1"/>
  <c r="N104" i="1"/>
  <c r="N104" i="5"/>
  <c r="L104" i="1"/>
  <c r="L106" i="5"/>
  <c r="L246" i="5"/>
  <c r="M36" i="2"/>
  <c r="M69" i="2"/>
  <c r="L349" i="1"/>
  <c r="N69" i="2"/>
  <c r="L244" i="5"/>
  <c r="L384" i="1"/>
  <c r="M34" i="5"/>
  <c r="N139" i="4"/>
  <c r="M69" i="1"/>
  <c r="L141" i="4"/>
  <c r="L174" i="4"/>
  <c r="L34" i="5"/>
  <c r="L104" i="5"/>
  <c r="N244" i="1"/>
  <c r="M244" i="1"/>
  <c r="L68" i="4"/>
  <c r="M34" i="2"/>
  <c r="L34" i="1"/>
  <c r="L72" i="4"/>
  <c r="M244" i="4"/>
  <c r="L142" i="2"/>
  <c r="M142" i="1"/>
  <c r="M34" i="1"/>
  <c r="N35" i="1"/>
  <c r="L177" i="1"/>
  <c r="N210" i="1"/>
  <c r="M104" i="1"/>
  <c r="L279" i="1"/>
  <c r="M244" i="5"/>
  <c r="N33" i="1"/>
  <c r="N348" i="1"/>
  <c r="N69" i="1"/>
  <c r="L351" i="1"/>
  <c r="N69" i="5"/>
  <c r="M104" i="4"/>
  <c r="N209" i="5"/>
  <c r="L139" i="5"/>
  <c r="M279" i="5"/>
  <c r="M34" i="4"/>
  <c r="M139" i="2"/>
  <c r="M211" i="4"/>
  <c r="M211" i="2"/>
  <c r="N421" i="1"/>
  <c r="L69" i="1"/>
  <c r="M349" i="1"/>
  <c r="N174" i="1"/>
  <c r="L279" i="5"/>
  <c r="L36" i="2"/>
  <c r="N104" i="4"/>
  <c r="L174" i="1"/>
  <c r="N349" i="1"/>
  <c r="N279" i="5"/>
  <c r="N139" i="2"/>
  <c r="L174" i="5"/>
  <c r="L36" i="4"/>
  <c r="N34" i="3"/>
  <c r="L34" i="2"/>
  <c r="N34" i="2"/>
  <c r="N34" i="1"/>
  <c r="M105" i="5"/>
  <c r="N177" i="4"/>
  <c r="L35" i="5"/>
  <c r="M352" i="1"/>
  <c r="N177" i="5"/>
  <c r="M421" i="1"/>
  <c r="N174" i="5"/>
  <c r="L209" i="2"/>
  <c r="N72" i="5"/>
  <c r="M105" i="2"/>
  <c r="M104" i="2"/>
  <c r="N34" i="4"/>
  <c r="M68" i="4"/>
  <c r="M34" i="3"/>
  <c r="N246" i="5"/>
  <c r="M176" i="4"/>
  <c r="L419" i="1"/>
  <c r="L209" i="5"/>
  <c r="N212" i="5"/>
  <c r="N173" i="1"/>
  <c r="N419" i="1"/>
  <c r="N34" i="5"/>
  <c r="N244" i="5"/>
  <c r="L69" i="3"/>
  <c r="L104" i="2"/>
  <c r="N208" i="1"/>
  <c r="N384" i="1"/>
  <c r="L348" i="1"/>
  <c r="M33" i="5"/>
  <c r="M69" i="4"/>
  <c r="L211" i="1"/>
  <c r="L174" i="2"/>
  <c r="M314" i="1"/>
  <c r="N106" i="1"/>
  <c r="M350" i="1"/>
  <c r="M282" i="5"/>
  <c r="N140" i="4"/>
  <c r="M140" i="5"/>
  <c r="N107" i="2"/>
  <c r="L248" i="1"/>
  <c r="L244" i="4"/>
  <c r="M35" i="1"/>
  <c r="M174" i="5"/>
  <c r="M72" i="2"/>
  <c r="L212" i="5"/>
  <c r="M313" i="1"/>
  <c r="N139" i="5"/>
  <c r="L69" i="4"/>
  <c r="M174" i="1"/>
  <c r="L139" i="4"/>
  <c r="L33" i="5"/>
  <c r="L69" i="2"/>
  <c r="N139" i="1"/>
  <c r="N106" i="2"/>
  <c r="N211" i="1"/>
  <c r="L104" i="4"/>
  <c r="M279" i="1"/>
  <c r="M174" i="4"/>
  <c r="N279" i="1"/>
  <c r="N211" i="4"/>
  <c r="M246" i="1"/>
  <c r="N316" i="1"/>
  <c r="L314" i="1"/>
  <c r="L176" i="4"/>
  <c r="N68" i="4"/>
  <c r="M173" i="1"/>
  <c r="M139" i="4"/>
  <c r="M69" i="3"/>
  <c r="M209" i="5"/>
  <c r="L34" i="4"/>
  <c r="N33" i="2"/>
  <c r="M208" i="1"/>
  <c r="N104" i="2"/>
  <c r="L208" i="1"/>
  <c r="N246" i="4"/>
  <c r="N106" i="5"/>
  <c r="L37" i="5"/>
  <c r="L34" i="3"/>
  <c r="M174" i="2"/>
  <c r="N212" i="2"/>
  <c r="M107" i="2"/>
  <c r="N210" i="2"/>
  <c r="M209" i="2"/>
  <c r="N209" i="2"/>
  <c r="N247" i="4"/>
  <c r="M69" i="5"/>
  <c r="N106" i="4"/>
  <c r="N314" i="1"/>
  <c r="M316" i="1"/>
  <c r="N105" i="5"/>
  <c r="N70" i="5"/>
  <c r="L177" i="5"/>
  <c r="L281" i="1"/>
  <c r="L388" i="1"/>
  <c r="M71" i="1"/>
  <c r="L36" i="5"/>
  <c r="M247" i="5"/>
  <c r="N213" i="4"/>
  <c r="N244" i="4"/>
  <c r="L211" i="2"/>
  <c r="L350" i="1"/>
  <c r="M283" i="1"/>
  <c r="M176" i="5"/>
  <c r="M70" i="5"/>
  <c r="N71" i="5"/>
  <c r="N352" i="1"/>
  <c r="M248" i="5"/>
  <c r="L141" i="2"/>
  <c r="L107" i="4"/>
  <c r="L69" i="5"/>
  <c r="N174" i="2"/>
  <c r="M38" i="5"/>
  <c r="M141" i="2"/>
  <c r="L386" i="1"/>
  <c r="L212" i="2"/>
  <c r="N176" i="1"/>
  <c r="L210" i="2"/>
  <c r="N141" i="4"/>
  <c r="M73" i="1"/>
  <c r="N142" i="2"/>
  <c r="M211" i="5"/>
  <c r="L143" i="1"/>
  <c r="M141" i="1"/>
  <c r="M280" i="5"/>
  <c r="M177" i="2"/>
  <c r="N107" i="4"/>
  <c r="N70" i="4"/>
  <c r="N72" i="4"/>
  <c r="M317" i="1"/>
  <c r="N105" i="4"/>
  <c r="M141" i="4"/>
  <c r="L70" i="4"/>
  <c r="M211" i="1"/>
  <c r="L387" i="1"/>
  <c r="L142" i="1"/>
  <c r="N71" i="1"/>
  <c r="N39" i="4"/>
  <c r="L176" i="2"/>
  <c r="N175" i="5"/>
  <c r="L247" i="4"/>
  <c r="N245" i="1"/>
  <c r="M212" i="4"/>
  <c r="M35" i="4"/>
  <c r="N175" i="2"/>
  <c r="L142" i="4"/>
  <c r="L352" i="1"/>
  <c r="M105" i="1"/>
  <c r="L70" i="2"/>
  <c r="M142" i="5"/>
  <c r="L37" i="3"/>
  <c r="L72" i="1"/>
  <c r="N245" i="4"/>
  <c r="M246" i="5"/>
  <c r="M36" i="4"/>
  <c r="N280" i="1"/>
  <c r="N247" i="1"/>
  <c r="L175" i="4"/>
  <c r="N37" i="5"/>
  <c r="M385" i="1"/>
  <c r="M70" i="4"/>
  <c r="L72" i="5"/>
  <c r="M71" i="3"/>
  <c r="M212" i="5"/>
  <c r="M142" i="4"/>
  <c r="L143" i="4"/>
  <c r="N141" i="1"/>
  <c r="M386" i="1"/>
  <c r="M35" i="2"/>
  <c r="M247" i="4"/>
  <c r="L35" i="4"/>
  <c r="N36" i="2"/>
  <c r="L140" i="1"/>
  <c r="M420" i="1"/>
  <c r="L280" i="5"/>
  <c r="M387" i="1"/>
  <c r="M177" i="1"/>
  <c r="N386" i="1"/>
  <c r="N317" i="1"/>
  <c r="M39" i="4"/>
  <c r="N214" i="1"/>
  <c r="M105" i="4"/>
  <c r="N107" i="5"/>
  <c r="M36" i="3"/>
  <c r="L175" i="5"/>
  <c r="L141" i="1"/>
  <c r="N140" i="2"/>
  <c r="M210" i="5"/>
  <c r="L245" i="4"/>
  <c r="N142" i="1"/>
  <c r="M37" i="5"/>
  <c r="N36" i="3"/>
  <c r="N72" i="2"/>
  <c r="L210" i="5"/>
  <c r="N142" i="4"/>
  <c r="N35" i="4"/>
  <c r="M280" i="1"/>
  <c r="L105" i="1"/>
  <c r="N210" i="5"/>
  <c r="L71" i="2"/>
  <c r="N281" i="5"/>
  <c r="N318" i="1"/>
  <c r="L35" i="3"/>
  <c r="N280" i="5"/>
  <c r="N70" i="1"/>
  <c r="N211" i="2"/>
  <c r="L177" i="4"/>
  <c r="N72" i="1"/>
  <c r="N140" i="5"/>
  <c r="N70" i="3"/>
  <c r="L105" i="2"/>
  <c r="N176" i="4"/>
  <c r="M73" i="2"/>
  <c r="N141" i="2"/>
  <c r="M36" i="1"/>
  <c r="L107" i="2"/>
  <c r="L210" i="1"/>
  <c r="L35" i="2"/>
  <c r="L71" i="5"/>
  <c r="L107" i="5"/>
  <c r="N175" i="4"/>
  <c r="N177" i="1"/>
  <c r="M37" i="1"/>
  <c r="M106" i="1"/>
  <c r="M35" i="5"/>
  <c r="N387" i="1"/>
  <c r="L316" i="1"/>
  <c r="N247" i="5"/>
  <c r="L71" i="3"/>
  <c r="N211" i="5"/>
  <c r="M175" i="2"/>
  <c r="M315" i="1"/>
  <c r="N282" i="1"/>
  <c r="L70" i="1"/>
  <c r="L210" i="4"/>
  <c r="M177" i="5"/>
  <c r="N141" i="5"/>
  <c r="L281" i="5"/>
  <c r="L211" i="5"/>
  <c r="M106" i="4"/>
  <c r="N315" i="1"/>
  <c r="M210" i="4"/>
  <c r="L140" i="5"/>
  <c r="M72" i="5"/>
  <c r="L107" i="1"/>
  <c r="L105" i="4"/>
  <c r="L211" i="4"/>
  <c r="M72" i="4"/>
  <c r="M37" i="3"/>
  <c r="L178" i="2"/>
  <c r="N281" i="1"/>
  <c r="N176" i="2"/>
  <c r="M37" i="2"/>
  <c r="L385" i="1"/>
  <c r="N105" i="2"/>
  <c r="L72" i="2"/>
  <c r="N175" i="1"/>
  <c r="M245" i="4"/>
  <c r="M37" i="4"/>
  <c r="L142" i="5"/>
  <c r="M175" i="4"/>
  <c r="L420" i="1"/>
  <c r="N37" i="2"/>
  <c r="N140" i="1"/>
  <c r="M140" i="1"/>
  <c r="N107" i="1"/>
  <c r="M72" i="1"/>
  <c r="N71" i="3"/>
  <c r="L37" i="1"/>
  <c r="N105" i="1"/>
  <c r="L280" i="1"/>
  <c r="N37" i="1"/>
  <c r="N245" i="5"/>
  <c r="N210" i="4"/>
  <c r="M212" i="2"/>
  <c r="M142" i="2"/>
  <c r="M70" i="1"/>
  <c r="N35" i="2"/>
  <c r="M351" i="1"/>
  <c r="N282" i="5"/>
  <c r="M389" i="1"/>
  <c r="L70" i="3"/>
  <c r="L282" i="1"/>
  <c r="L177" i="2"/>
  <c r="L421" i="1"/>
  <c r="M107" i="4"/>
  <c r="M175" i="5"/>
  <c r="N36" i="5"/>
  <c r="L37" i="4"/>
  <c r="M140" i="2"/>
  <c r="M106" i="5"/>
  <c r="L36" i="1"/>
  <c r="L247" i="5"/>
  <c r="L176" i="5"/>
  <c r="M108" i="1"/>
  <c r="N176" i="5"/>
  <c r="N177" i="2"/>
  <c r="L315" i="1"/>
  <c r="N37" i="3"/>
  <c r="N385" i="1"/>
  <c r="L317" i="1"/>
  <c r="M70" i="3"/>
  <c r="M245" i="5"/>
  <c r="L246" i="1"/>
  <c r="M210" i="1"/>
  <c r="M175" i="1"/>
  <c r="L247" i="1"/>
  <c r="L71" i="1"/>
  <c r="M107" i="5"/>
  <c r="N420" i="1"/>
  <c r="L245" i="1"/>
  <c r="M140" i="4"/>
  <c r="M106" i="2"/>
  <c r="L72" i="3"/>
  <c r="L175" i="2"/>
  <c r="N35" i="5"/>
  <c r="L140" i="4"/>
  <c r="L70" i="5"/>
  <c r="N72" i="3"/>
  <c r="M422" i="1"/>
  <c r="L422" i="1"/>
  <c r="M71" i="5"/>
  <c r="M72" i="3"/>
  <c r="L175" i="1"/>
  <c r="N70" i="2"/>
  <c r="M70" i="2"/>
  <c r="N35" i="3"/>
  <c r="N422" i="1"/>
  <c r="L37" i="2"/>
  <c r="L140" i="2"/>
  <c r="L245" i="5"/>
  <c r="N37" i="4"/>
  <c r="M245" i="1"/>
  <c r="L282" i="5"/>
  <c r="M247" i="1"/>
  <c r="N71" i="4"/>
  <c r="L141" i="5"/>
  <c r="N36" i="1"/>
  <c r="M176" i="2"/>
  <c r="N213" i="5"/>
  <c r="N214" i="5"/>
  <c r="L145" i="2"/>
  <c r="M177" i="4"/>
  <c r="M39" i="5"/>
  <c r="N389" i="1"/>
  <c r="M36" i="5"/>
  <c r="M214" i="5"/>
  <c r="L39" i="5"/>
  <c r="L214" i="1"/>
  <c r="M281" i="5"/>
  <c r="M38" i="3"/>
  <c r="M282" i="1"/>
  <c r="L71" i="4"/>
  <c r="L39" i="1"/>
  <c r="M143" i="1"/>
  <c r="L212" i="4"/>
  <c r="L38" i="2"/>
  <c r="N74" i="1"/>
  <c r="N248" i="4"/>
  <c r="N73" i="4"/>
  <c r="L36" i="3"/>
  <c r="N71" i="2"/>
  <c r="M213" i="1"/>
  <c r="M143" i="5"/>
  <c r="L73" i="3"/>
  <c r="N108" i="5"/>
  <c r="M180" i="1"/>
  <c r="N40" i="5"/>
  <c r="M107" i="1"/>
  <c r="M71" i="2"/>
  <c r="M141" i="5"/>
  <c r="M71" i="4"/>
  <c r="M281" i="1"/>
  <c r="L38" i="1"/>
  <c r="L425" i="1"/>
  <c r="L215" i="5"/>
  <c r="N215" i="5"/>
  <c r="L283" i="5"/>
  <c r="M143" i="2"/>
  <c r="N73" i="2"/>
  <c r="M212" i="1"/>
  <c r="M388" i="1"/>
  <c r="N143" i="1"/>
  <c r="L144" i="2"/>
  <c r="N212" i="1"/>
  <c r="N38" i="5"/>
  <c r="M353" i="1"/>
  <c r="L179" i="2"/>
  <c r="N214" i="4"/>
  <c r="N143" i="5"/>
  <c r="M145" i="2"/>
  <c r="M143" i="4"/>
  <c r="L73" i="1"/>
  <c r="L213" i="2"/>
  <c r="N213" i="2"/>
  <c r="N248" i="5"/>
  <c r="N75" i="2"/>
  <c r="L178" i="1"/>
  <c r="L73" i="4"/>
  <c r="N38" i="1"/>
  <c r="N178" i="5"/>
  <c r="N178" i="2"/>
  <c r="N38" i="3"/>
  <c r="N423" i="1"/>
  <c r="M181" i="1"/>
  <c r="N178" i="4"/>
  <c r="L248" i="5"/>
  <c r="N108" i="2"/>
  <c r="N39" i="5"/>
  <c r="N283" i="5"/>
  <c r="M423" i="1"/>
  <c r="M178" i="1"/>
  <c r="M213" i="5"/>
  <c r="L38" i="4"/>
  <c r="M179" i="2"/>
  <c r="L38" i="5"/>
  <c r="N73" i="3"/>
  <c r="N38" i="2"/>
  <c r="M318" i="1"/>
  <c r="M144" i="2"/>
  <c r="L283" i="1"/>
  <c r="N248" i="1"/>
  <c r="N73" i="1"/>
  <c r="L75" i="3"/>
  <c r="N143" i="2"/>
  <c r="L213" i="4"/>
  <c r="M73" i="3"/>
  <c r="L318" i="1"/>
  <c r="N73" i="5"/>
  <c r="M248" i="4"/>
  <c r="L212" i="1"/>
  <c r="M178" i="5"/>
  <c r="L213" i="5"/>
  <c r="M74" i="1"/>
  <c r="L353" i="1"/>
  <c r="L39" i="2"/>
  <c r="L248" i="4"/>
  <c r="N388" i="1"/>
  <c r="M108" i="4"/>
  <c r="L143" i="5"/>
  <c r="L109" i="5"/>
  <c r="N179" i="2"/>
  <c r="M355" i="1"/>
  <c r="M180" i="4"/>
  <c r="N38" i="4"/>
  <c r="M178" i="4"/>
  <c r="N178" i="1"/>
  <c r="M214" i="4"/>
  <c r="L214" i="5"/>
  <c r="M73" i="4"/>
  <c r="N108" i="1"/>
  <c r="N109" i="5"/>
  <c r="L73" i="5"/>
  <c r="N353" i="1"/>
  <c r="L389" i="1"/>
  <c r="L180" i="1"/>
  <c r="L143" i="2"/>
  <c r="L213" i="1"/>
  <c r="L178" i="4"/>
  <c r="L108" i="2"/>
  <c r="M73" i="5"/>
  <c r="M213" i="4"/>
  <c r="N283" i="1"/>
  <c r="M109" i="5"/>
  <c r="L108" i="1"/>
  <c r="L73" i="2"/>
  <c r="M38" i="2"/>
  <c r="M283" i="5"/>
  <c r="L178" i="5"/>
  <c r="N144" i="2"/>
  <c r="L215" i="1"/>
  <c r="M213" i="2"/>
  <c r="L38" i="3"/>
  <c r="M248" i="1"/>
  <c r="M39" i="1"/>
  <c r="M108" i="2"/>
  <c r="M178" i="2"/>
  <c r="N143" i="4"/>
  <c r="N39" i="2"/>
  <c r="M285" i="1"/>
  <c r="M180" i="2"/>
  <c r="L39" i="4"/>
  <c r="M75" i="3"/>
  <c r="N40" i="4"/>
  <c r="N75" i="1"/>
  <c r="L40" i="2"/>
  <c r="N77" i="5"/>
  <c r="N180" i="2"/>
  <c r="M38" i="1"/>
  <c r="L110" i="2"/>
  <c r="L145" i="5"/>
  <c r="M110" i="1"/>
  <c r="M40" i="3"/>
  <c r="N214" i="2"/>
  <c r="N75" i="3"/>
  <c r="M179" i="1"/>
  <c r="L249" i="5"/>
  <c r="N213" i="1"/>
  <c r="L423" i="1"/>
  <c r="M75" i="5"/>
  <c r="N215" i="4"/>
  <c r="M40" i="5"/>
  <c r="N216" i="5"/>
  <c r="N146" i="4"/>
  <c r="L424" i="1"/>
  <c r="L145" i="4"/>
  <c r="N75" i="5"/>
  <c r="L320" i="1"/>
  <c r="N40" i="2"/>
  <c r="N75" i="4"/>
  <c r="N145" i="1"/>
  <c r="N145" i="4"/>
  <c r="M38" i="4"/>
  <c r="L75" i="1"/>
  <c r="M250" i="1"/>
  <c r="L74" i="2"/>
  <c r="L144" i="5"/>
  <c r="N110" i="5"/>
  <c r="N354" i="1"/>
  <c r="L180" i="5"/>
  <c r="M215" i="1"/>
  <c r="M39" i="2"/>
  <c r="L108" i="5"/>
  <c r="L215" i="2"/>
  <c r="N320" i="1"/>
  <c r="M108" i="5"/>
  <c r="L286" i="5"/>
  <c r="L180" i="4"/>
  <c r="N110" i="1"/>
  <c r="N108" i="4"/>
  <c r="L40" i="3"/>
  <c r="N249" i="1"/>
  <c r="N215" i="1"/>
  <c r="L110" i="1"/>
  <c r="N179" i="5"/>
  <c r="L108" i="4"/>
  <c r="N110" i="4"/>
  <c r="L285" i="5"/>
  <c r="M214" i="1"/>
  <c r="L250" i="4"/>
  <c r="M110" i="5"/>
  <c r="M75" i="2"/>
  <c r="M40" i="4"/>
  <c r="M250" i="5"/>
  <c r="L216" i="2"/>
  <c r="N355" i="1"/>
  <c r="M390" i="1"/>
  <c r="N285" i="5"/>
  <c r="L74" i="1"/>
  <c r="M146" i="5"/>
  <c r="N40" i="3"/>
  <c r="L40" i="1"/>
  <c r="L144" i="1"/>
  <c r="M354" i="1"/>
  <c r="N179" i="1"/>
  <c r="M249" i="1"/>
  <c r="L181" i="5"/>
  <c r="M249" i="5"/>
  <c r="L179" i="1"/>
  <c r="L74" i="3"/>
  <c r="M320" i="1"/>
  <c r="L249" i="4"/>
  <c r="N425" i="1"/>
  <c r="N250" i="1"/>
  <c r="M109" i="1"/>
  <c r="L285" i="1"/>
  <c r="M40" i="2"/>
  <c r="M284" i="5"/>
  <c r="N144" i="4"/>
  <c r="L75" i="4"/>
  <c r="L109" i="2"/>
  <c r="L109" i="1"/>
  <c r="N39" i="3"/>
  <c r="L179" i="5"/>
  <c r="N109" i="2"/>
  <c r="L74" i="5"/>
  <c r="N249" i="5"/>
  <c r="L145" i="1"/>
  <c r="L284" i="5"/>
  <c r="M74" i="4"/>
  <c r="M144" i="1"/>
  <c r="L144" i="4"/>
  <c r="L214" i="2"/>
  <c r="M214" i="2"/>
  <c r="M215" i="2"/>
  <c r="N40" i="1"/>
  <c r="N319" i="1"/>
  <c r="N145" i="2"/>
  <c r="M250" i="4"/>
  <c r="L250" i="5"/>
  <c r="L111" i="4"/>
  <c r="L214" i="4"/>
  <c r="L75" i="5"/>
  <c r="N321" i="1"/>
  <c r="M215" i="4"/>
  <c r="N74" i="3"/>
  <c r="M39" i="3"/>
  <c r="M424" i="1"/>
  <c r="N179" i="4"/>
  <c r="L110" i="5"/>
  <c r="M284" i="1"/>
  <c r="M110" i="2"/>
  <c r="M144" i="4"/>
  <c r="N390" i="1"/>
  <c r="N180" i="1"/>
  <c r="M109" i="2"/>
  <c r="L74" i="4"/>
  <c r="M41" i="2"/>
  <c r="N251" i="4"/>
  <c r="N145" i="5"/>
  <c r="N424" i="1"/>
  <c r="N74" i="4"/>
  <c r="N39" i="1"/>
  <c r="L355" i="1"/>
  <c r="N215" i="2"/>
  <c r="N285" i="1"/>
  <c r="M75" i="1"/>
  <c r="N249" i="4"/>
  <c r="L75" i="2"/>
  <c r="N144" i="1"/>
  <c r="N284" i="1"/>
  <c r="N180" i="4"/>
  <c r="N250" i="5"/>
  <c r="L390" i="1"/>
  <c r="N284" i="5"/>
  <c r="M144" i="5"/>
  <c r="M75" i="4"/>
  <c r="L284" i="1"/>
  <c r="M74" i="3"/>
  <c r="M180" i="5"/>
  <c r="M319" i="1"/>
  <c r="L39" i="3"/>
  <c r="N110" i="2"/>
  <c r="M74" i="5"/>
  <c r="L215" i="4"/>
  <c r="L76" i="5"/>
  <c r="M145" i="1"/>
  <c r="M249" i="4"/>
  <c r="L76" i="1"/>
  <c r="L180" i="2"/>
  <c r="L40" i="4"/>
  <c r="M145" i="4"/>
  <c r="N180" i="5"/>
  <c r="N144" i="5"/>
  <c r="N250" i="4"/>
  <c r="N109" i="1"/>
  <c r="N74" i="2"/>
  <c r="L109" i="4"/>
  <c r="L354" i="1"/>
  <c r="L179" i="4"/>
  <c r="M179" i="5"/>
  <c r="L40" i="5"/>
  <c r="M215" i="5"/>
  <c r="M285" i="5"/>
  <c r="L250" i="1"/>
  <c r="N74" i="5"/>
  <c r="M145" i="5"/>
  <c r="L249" i="1"/>
  <c r="M74" i="2"/>
  <c r="M179" i="4"/>
  <c r="N109" i="4"/>
  <c r="L319" i="1"/>
  <c r="M110" i="4"/>
  <c r="M109" i="4"/>
  <c r="L110" i="4"/>
  <c r="M286" i="1"/>
  <c r="N426" i="1"/>
  <c r="L251" i="4"/>
  <c r="M426" i="1"/>
  <c r="M286" i="5"/>
  <c r="M251" i="4"/>
  <c r="N216" i="4"/>
  <c r="L321" i="1"/>
  <c r="M216" i="2"/>
  <c r="M425" i="1"/>
  <c r="L77" i="2"/>
  <c r="M111" i="4"/>
  <c r="N181" i="4"/>
  <c r="L146" i="2"/>
  <c r="L41" i="1"/>
  <c r="M77" i="1"/>
  <c r="M41" i="1"/>
  <c r="N41" i="1"/>
  <c r="L219" i="5"/>
  <c r="N181" i="1"/>
  <c r="L146" i="4"/>
  <c r="L146" i="5"/>
  <c r="M76" i="5"/>
  <c r="N216" i="2"/>
  <c r="N112" i="4"/>
  <c r="N76" i="5"/>
  <c r="M216" i="5"/>
  <c r="N146" i="2"/>
  <c r="M146" i="2"/>
  <c r="N286" i="1"/>
  <c r="N76" i="4"/>
  <c r="L77" i="4"/>
  <c r="M321" i="1"/>
  <c r="L216" i="5"/>
  <c r="N181" i="5"/>
  <c r="N287" i="1"/>
  <c r="L426" i="1"/>
  <c r="L251" i="1"/>
  <c r="L147" i="2"/>
  <c r="L41" i="4"/>
  <c r="M146" i="4"/>
  <c r="M40" i="1"/>
  <c r="M181" i="5"/>
  <c r="N146" i="5"/>
  <c r="N286" i="5"/>
  <c r="N111" i="5"/>
  <c r="N111" i="4"/>
  <c r="L286" i="1"/>
  <c r="L181" i="1"/>
  <c r="M76" i="4"/>
  <c r="M224" i="2"/>
  <c r="L216" i="4"/>
  <c r="L77" i="1"/>
  <c r="N111" i="1"/>
  <c r="L77" i="3"/>
  <c r="L216" i="1"/>
  <c r="N148" i="4"/>
  <c r="L76" i="2"/>
  <c r="L181" i="4"/>
  <c r="M78" i="5"/>
  <c r="N115" i="5"/>
  <c r="M187" i="4"/>
  <c r="M220" i="2"/>
  <c r="L186" i="1"/>
  <c r="N46" i="4"/>
  <c r="N117" i="1"/>
  <c r="L222" i="2"/>
  <c r="M187" i="1"/>
  <c r="L43" i="3"/>
  <c r="N113" i="1"/>
  <c r="M253" i="5"/>
  <c r="L42" i="5"/>
  <c r="M113" i="2"/>
  <c r="M183" i="5"/>
  <c r="M111" i="2"/>
  <c r="N253" i="5"/>
  <c r="L81" i="3"/>
  <c r="M222" i="4"/>
  <c r="M362" i="1"/>
  <c r="N152" i="4"/>
  <c r="N222" i="5"/>
  <c r="L152" i="1"/>
  <c r="L82" i="4"/>
  <c r="N115" i="4"/>
  <c r="M113" i="4"/>
  <c r="M76" i="3"/>
  <c r="L323" i="1"/>
  <c r="N43" i="3"/>
  <c r="M78" i="2"/>
  <c r="M181" i="4"/>
  <c r="N356" i="1"/>
  <c r="M47" i="4"/>
  <c r="L82" i="2"/>
  <c r="M46" i="4"/>
  <c r="N360" i="1"/>
  <c r="M257" i="1"/>
  <c r="L222" i="1"/>
  <c r="M47" i="1"/>
  <c r="M47" i="5"/>
  <c r="N80" i="1"/>
  <c r="L111" i="5"/>
  <c r="N183" i="5"/>
  <c r="L113" i="2"/>
  <c r="M78" i="1"/>
  <c r="M219" i="5"/>
  <c r="M147" i="2"/>
  <c r="M77" i="4"/>
  <c r="N287" i="5"/>
  <c r="N291" i="1"/>
  <c r="M397" i="1"/>
  <c r="M80" i="4"/>
  <c r="M117" i="4"/>
  <c r="L325" i="1"/>
  <c r="N222" i="2"/>
  <c r="N47" i="5"/>
  <c r="N81" i="3"/>
  <c r="L189" i="1"/>
  <c r="M189" i="5"/>
  <c r="N294" i="5"/>
  <c r="L259" i="5"/>
  <c r="L154" i="1"/>
  <c r="N119" i="4"/>
  <c r="N293" i="1"/>
  <c r="N258" i="5"/>
  <c r="L154" i="2"/>
  <c r="N49" i="1"/>
  <c r="L224" i="1"/>
  <c r="L84" i="3"/>
  <c r="L399" i="1"/>
  <c r="M224" i="4"/>
  <c r="M329" i="1"/>
  <c r="N84" i="5"/>
  <c r="N119" i="2"/>
  <c r="N49" i="3"/>
  <c r="L294" i="1"/>
  <c r="M49" i="4"/>
  <c r="L154" i="5"/>
  <c r="M223" i="2"/>
  <c r="N146" i="1"/>
  <c r="L76" i="3"/>
  <c r="N113" i="5"/>
  <c r="N76" i="1"/>
  <c r="L111" i="2"/>
  <c r="L287" i="5"/>
  <c r="N391" i="1"/>
  <c r="M112" i="4"/>
  <c r="N42" i="5"/>
  <c r="L80" i="2"/>
  <c r="L222" i="4"/>
  <c r="M327" i="1"/>
  <c r="L117" i="4"/>
  <c r="M222" i="1"/>
  <c r="L152" i="2"/>
  <c r="N47" i="1"/>
  <c r="M221" i="1"/>
  <c r="L76" i="4"/>
  <c r="N77" i="3"/>
  <c r="M41" i="3"/>
  <c r="M181" i="2"/>
  <c r="L181" i="2"/>
  <c r="N41" i="3"/>
  <c r="M76" i="1"/>
  <c r="N256" i="1"/>
  <c r="M186" i="1"/>
  <c r="L187" i="2"/>
  <c r="L257" i="1"/>
  <c r="L117" i="1"/>
  <c r="M222" i="2"/>
  <c r="N45" i="2"/>
  <c r="M185" i="5"/>
  <c r="M287" i="5"/>
  <c r="N77" i="4"/>
  <c r="L112" i="4"/>
  <c r="M78" i="3"/>
  <c r="M428" i="1"/>
  <c r="L391" i="1"/>
  <c r="M148" i="4"/>
  <c r="N251" i="5"/>
  <c r="L255" i="4"/>
  <c r="M187" i="2"/>
  <c r="L327" i="1"/>
  <c r="M292" i="5"/>
  <c r="M291" i="1"/>
  <c r="M117" i="1"/>
  <c r="N152" i="5"/>
  <c r="L187" i="1"/>
  <c r="N218" i="4"/>
  <c r="L41" i="2"/>
  <c r="L218" i="4"/>
  <c r="M251" i="5"/>
  <c r="N216" i="1"/>
  <c r="L182" i="2"/>
  <c r="L287" i="1"/>
  <c r="M391" i="1"/>
  <c r="L111" i="1"/>
  <c r="M115" i="2"/>
  <c r="N187" i="4"/>
  <c r="N327" i="1"/>
  <c r="L362" i="1"/>
  <c r="N222" i="1"/>
  <c r="L47" i="1"/>
  <c r="N187" i="1"/>
  <c r="L293" i="1"/>
  <c r="M189" i="1"/>
  <c r="L189" i="5"/>
  <c r="M294" i="5"/>
  <c r="N49" i="2"/>
  <c r="L84" i="1"/>
  <c r="N119" i="5"/>
  <c r="L119" i="4"/>
  <c r="N224" i="5"/>
  <c r="M154" i="2"/>
  <c r="M224" i="1"/>
  <c r="M84" i="3"/>
  <c r="M399" i="1"/>
  <c r="L259" i="1"/>
  <c r="M153" i="5"/>
  <c r="N188" i="5"/>
  <c r="M84" i="5"/>
  <c r="M119" i="2"/>
  <c r="M49" i="3"/>
  <c r="L189" i="4"/>
  <c r="N49" i="4"/>
  <c r="L153" i="5"/>
  <c r="M293" i="1"/>
  <c r="M77" i="3"/>
  <c r="M77" i="2"/>
  <c r="L146" i="1"/>
  <c r="M356" i="1"/>
  <c r="M41" i="4"/>
  <c r="L78" i="5"/>
  <c r="L113" i="4"/>
  <c r="L113" i="1"/>
  <c r="N221" i="1"/>
  <c r="L47" i="3"/>
  <c r="N187" i="2"/>
  <c r="M185" i="2"/>
  <c r="N257" i="1"/>
  <c r="N45" i="5"/>
  <c r="M117" i="5"/>
  <c r="M152" i="5"/>
  <c r="L291" i="1"/>
  <c r="L356" i="1"/>
  <c r="M287" i="1"/>
  <c r="N76" i="3"/>
  <c r="N111" i="2"/>
  <c r="M113" i="5"/>
  <c r="M182" i="2"/>
  <c r="N428" i="1"/>
  <c r="L46" i="4"/>
  <c r="N397" i="1"/>
  <c r="L221" i="1"/>
  <c r="L45" i="1"/>
  <c r="M152" i="2"/>
  <c r="L152" i="5"/>
  <c r="N220" i="4"/>
  <c r="L256" i="5"/>
  <c r="N251" i="1"/>
  <c r="L78" i="2"/>
  <c r="M216" i="4"/>
  <c r="N182" i="1"/>
  <c r="N78" i="5"/>
  <c r="M216" i="1"/>
  <c r="M146" i="1"/>
  <c r="L427" i="1"/>
  <c r="M47" i="3"/>
  <c r="M150" i="2"/>
  <c r="M150" i="4"/>
  <c r="N117" i="4"/>
  <c r="N256" i="5"/>
  <c r="N117" i="5"/>
  <c r="M432" i="1"/>
  <c r="M292" i="1"/>
  <c r="N183" i="4"/>
  <c r="L251" i="5"/>
  <c r="L148" i="4"/>
  <c r="L183" i="5"/>
  <c r="L113" i="5"/>
  <c r="N182" i="2"/>
  <c r="N78" i="3"/>
  <c r="L182" i="1"/>
  <c r="N41" i="2"/>
  <c r="M256" i="5"/>
  <c r="N222" i="4"/>
  <c r="L290" i="1"/>
  <c r="M430" i="1"/>
  <c r="L152" i="4"/>
  <c r="L432" i="1"/>
  <c r="L292" i="1"/>
  <c r="L83" i="4"/>
  <c r="N223" i="2"/>
  <c r="N189" i="5"/>
  <c r="M49" i="2"/>
  <c r="M84" i="1"/>
  <c r="L119" i="5"/>
  <c r="M259" i="5"/>
  <c r="M154" i="1"/>
  <c r="M119" i="4"/>
  <c r="N153" i="5"/>
  <c r="L224" i="5"/>
  <c r="N154" i="2"/>
  <c r="M49" i="1"/>
  <c r="N259" i="1"/>
  <c r="N224" i="4"/>
  <c r="L329" i="1"/>
  <c r="L119" i="2"/>
  <c r="N189" i="4"/>
  <c r="M294" i="1"/>
  <c r="N154" i="5"/>
  <c r="L153" i="1"/>
  <c r="M188" i="5"/>
  <c r="N224" i="2"/>
  <c r="L77" i="5"/>
  <c r="M76" i="2"/>
  <c r="M182" i="1"/>
  <c r="M218" i="4"/>
  <c r="N147" i="1"/>
  <c r="M43" i="3"/>
  <c r="M77" i="5"/>
  <c r="M111" i="1"/>
  <c r="M111" i="5"/>
  <c r="L47" i="4"/>
  <c r="L397" i="1"/>
  <c r="L395" i="1"/>
  <c r="M81" i="3"/>
  <c r="M256" i="1"/>
  <c r="M152" i="4"/>
  <c r="M222" i="5"/>
  <c r="L47" i="5"/>
  <c r="M113" i="1"/>
  <c r="M427" i="1"/>
  <c r="L41" i="3"/>
  <c r="M323" i="1"/>
  <c r="M42" i="5"/>
  <c r="N77" i="2"/>
  <c r="M251" i="1"/>
  <c r="M41" i="5"/>
  <c r="N47" i="4"/>
  <c r="M82" i="2"/>
  <c r="L292" i="5"/>
  <c r="L45" i="3"/>
  <c r="L117" i="5"/>
  <c r="N432" i="1"/>
  <c r="N292" i="1"/>
  <c r="N186" i="1"/>
  <c r="L428" i="1"/>
  <c r="L78" i="3"/>
  <c r="N76" i="2"/>
  <c r="N113" i="4"/>
  <c r="N181" i="2"/>
  <c r="N113" i="2"/>
  <c r="N78" i="2"/>
  <c r="N427" i="1"/>
  <c r="L187" i="4"/>
  <c r="L256" i="1"/>
  <c r="N80" i="5"/>
  <c r="N362" i="1"/>
  <c r="N115" i="1"/>
  <c r="L222" i="5"/>
  <c r="N152" i="1"/>
  <c r="N82" i="4"/>
  <c r="N41" i="5"/>
  <c r="M147" i="1"/>
  <c r="N323" i="1"/>
  <c r="N77" i="1"/>
  <c r="L78" i="1"/>
  <c r="L41" i="5"/>
  <c r="L253" i="5"/>
  <c r="N41" i="4"/>
  <c r="M185" i="4"/>
  <c r="N47" i="3"/>
  <c r="L150" i="5"/>
  <c r="N292" i="5"/>
  <c r="L255" i="5"/>
  <c r="N152" i="2"/>
  <c r="M152" i="1"/>
  <c r="M82" i="4"/>
  <c r="N189" i="1"/>
  <c r="L294" i="5"/>
  <c r="L188" i="5"/>
  <c r="L49" i="2"/>
  <c r="N84" i="1"/>
  <c r="M119" i="5"/>
  <c r="N259" i="5"/>
  <c r="N154" i="1"/>
  <c r="M153" i="1"/>
  <c r="M224" i="5"/>
  <c r="L49" i="1"/>
  <c r="N224" i="1"/>
  <c r="N84" i="3"/>
  <c r="N399" i="1"/>
  <c r="M259" i="1"/>
  <c r="L224" i="4"/>
  <c r="M83" i="4"/>
  <c r="L223" i="2"/>
  <c r="N329" i="1"/>
  <c r="N153" i="1"/>
  <c r="M258" i="5"/>
  <c r="L84" i="5"/>
  <c r="L49" i="3"/>
  <c r="M189" i="4"/>
  <c r="N294" i="1"/>
  <c r="L49" i="4"/>
  <c r="M154" i="5"/>
  <c r="L258" i="5"/>
  <c r="M261" i="1"/>
  <c r="N261" i="1"/>
  <c r="L261" i="1"/>
  <c r="C297" i="1"/>
  <c r="M260" i="1"/>
  <c r="N120" i="5"/>
  <c r="N85" i="3"/>
  <c r="N85" i="4"/>
  <c r="M49" i="5"/>
  <c r="M154" i="4"/>
  <c r="L259" i="4"/>
  <c r="N155" i="1"/>
  <c r="N225" i="5"/>
  <c r="N155" i="4"/>
  <c r="L190" i="2"/>
  <c r="M155" i="2"/>
  <c r="L331" i="1"/>
  <c r="M331" i="1"/>
  <c r="N331" i="1"/>
  <c r="C367" i="1"/>
  <c r="L226" i="5"/>
  <c r="M226" i="5"/>
  <c r="C262" i="5"/>
  <c r="N226" i="5"/>
  <c r="C262" i="4"/>
  <c r="N226" i="4"/>
  <c r="L226" i="4"/>
  <c r="M226" i="4"/>
  <c r="M225" i="1"/>
  <c r="L260" i="1"/>
  <c r="L435" i="1"/>
  <c r="M120" i="5"/>
  <c r="L85" i="4"/>
  <c r="M434" i="1"/>
  <c r="L155" i="1"/>
  <c r="M225" i="5"/>
  <c r="M155" i="4"/>
  <c r="N190" i="2"/>
  <c r="L155" i="2"/>
  <c r="M84" i="2"/>
  <c r="M262" i="5" l="1"/>
  <c r="C298" i="5"/>
  <c r="L262" i="5"/>
  <c r="N262" i="5"/>
  <c r="L192" i="4"/>
  <c r="N192" i="4"/>
  <c r="C228" i="4"/>
  <c r="M192" i="4"/>
  <c r="M157" i="1"/>
  <c r="C193" i="1"/>
  <c r="L157" i="1"/>
  <c r="N157" i="1"/>
  <c r="C263" i="5"/>
  <c r="M227" i="5"/>
  <c r="N227" i="5"/>
  <c r="L227" i="5"/>
  <c r="N227" i="2"/>
  <c r="L227" i="2"/>
  <c r="M227" i="2"/>
  <c r="M227" i="1"/>
  <c r="N227" i="1"/>
  <c r="L227" i="1"/>
  <c r="C263" i="1"/>
  <c r="C228" i="5"/>
  <c r="M192" i="5"/>
  <c r="N192" i="5"/>
  <c r="L192" i="5"/>
  <c r="N262" i="4"/>
  <c r="L262" i="4"/>
  <c r="M262" i="4"/>
  <c r="M367" i="1"/>
  <c r="C403" i="1"/>
  <c r="L367" i="1"/>
  <c r="N367" i="1"/>
  <c r="C333" i="1"/>
  <c r="M297" i="1"/>
  <c r="N297" i="1"/>
  <c r="L297" i="1"/>
  <c r="N192" i="2"/>
  <c r="L192" i="2"/>
  <c r="M192" i="2"/>
  <c r="C228" i="2"/>
  <c r="L192" i="1"/>
  <c r="M192" i="1"/>
  <c r="C228" i="1"/>
  <c r="N192" i="1"/>
  <c r="C368" i="1"/>
  <c r="N332" i="1"/>
  <c r="M332" i="1"/>
  <c r="L332" i="1"/>
  <c r="N437" i="1"/>
  <c r="L437" i="1"/>
  <c r="M437" i="1"/>
  <c r="N157" i="2"/>
  <c r="L157" i="2"/>
  <c r="C193" i="2"/>
  <c r="M157" i="2"/>
  <c r="M157" i="5"/>
  <c r="L157" i="5"/>
  <c r="C193" i="5"/>
  <c r="N157" i="5"/>
  <c r="N297" i="5"/>
  <c r="L297" i="5"/>
  <c r="M297" i="5"/>
  <c r="L402" i="1"/>
  <c r="N402" i="1"/>
  <c r="C438" i="1"/>
  <c r="M402" i="1"/>
  <c r="N262" i="1"/>
  <c r="C298" i="1"/>
  <c r="M262" i="1"/>
  <c r="L262" i="1"/>
  <c r="M227" i="4"/>
  <c r="N227" i="4"/>
  <c r="C263" i="4"/>
  <c r="L227" i="4"/>
  <c r="M157" i="4"/>
  <c r="L157" i="4"/>
  <c r="C193" i="4"/>
  <c r="N157" i="4"/>
  <c r="L263" i="1" l="1"/>
  <c r="N263" i="1"/>
  <c r="C299" i="1"/>
  <c r="M263" i="1"/>
  <c r="L263" i="5"/>
  <c r="C299" i="5"/>
  <c r="M263" i="5"/>
  <c r="N263" i="5"/>
  <c r="N193" i="1"/>
  <c r="M193" i="1"/>
  <c r="C229" i="1"/>
  <c r="L193" i="1"/>
  <c r="L298" i="5"/>
  <c r="N298" i="5"/>
  <c r="M298" i="5"/>
  <c r="L193" i="4"/>
  <c r="M193" i="4"/>
  <c r="N193" i="4"/>
  <c r="C229" i="4"/>
  <c r="M298" i="1"/>
  <c r="L298" i="1"/>
  <c r="N298" i="1"/>
  <c r="C334" i="1"/>
  <c r="M438" i="1"/>
  <c r="L438" i="1"/>
  <c r="N438" i="1"/>
  <c r="N193" i="2"/>
  <c r="L193" i="2"/>
  <c r="M193" i="2"/>
  <c r="C229" i="2"/>
  <c r="M228" i="1"/>
  <c r="N228" i="1"/>
  <c r="C264" i="1"/>
  <c r="L228" i="1"/>
  <c r="C229" i="5"/>
  <c r="L193" i="5"/>
  <c r="N193" i="5"/>
  <c r="M193" i="5"/>
  <c r="N368" i="1"/>
  <c r="C404" i="1"/>
  <c r="L368" i="1"/>
  <c r="M368" i="1"/>
  <c r="N228" i="2"/>
  <c r="L228" i="2"/>
  <c r="M228" i="2"/>
  <c r="M333" i="1"/>
  <c r="N333" i="1"/>
  <c r="C369" i="1"/>
  <c r="L333" i="1"/>
  <c r="L403" i="1"/>
  <c r="M403" i="1"/>
  <c r="C439" i="1"/>
  <c r="N403" i="1"/>
  <c r="N228" i="4"/>
  <c r="L228" i="4"/>
  <c r="M228" i="4"/>
  <c r="C264" i="4"/>
  <c r="L263" i="4"/>
  <c r="N263" i="4"/>
  <c r="M263" i="4"/>
  <c r="C264" i="5"/>
  <c r="L228" i="5"/>
  <c r="M228" i="5"/>
  <c r="N228" i="5"/>
  <c r="L439" i="1" l="1"/>
  <c r="N439" i="1"/>
  <c r="M439" i="1"/>
  <c r="L264" i="1"/>
  <c r="C300" i="1"/>
  <c r="M264" i="1"/>
  <c r="N264" i="1"/>
  <c r="C300" i="5"/>
  <c r="L264" i="5"/>
  <c r="N264" i="5"/>
  <c r="M264" i="5"/>
  <c r="N264" i="4"/>
  <c r="L264" i="4"/>
  <c r="M264" i="4"/>
  <c r="N404" i="1"/>
  <c r="C440" i="1"/>
  <c r="L404" i="1"/>
  <c r="M404" i="1"/>
  <c r="N229" i="2"/>
  <c r="L229" i="2"/>
  <c r="M229" i="2"/>
  <c r="N369" i="1"/>
  <c r="M369" i="1"/>
  <c r="C405" i="1"/>
  <c r="L369" i="1"/>
  <c r="N229" i="5"/>
  <c r="M229" i="5"/>
  <c r="L229" i="5"/>
  <c r="C265" i="5"/>
  <c r="M229" i="1"/>
  <c r="L229" i="1"/>
  <c r="C265" i="1"/>
  <c r="N229" i="1"/>
  <c r="C335" i="1"/>
  <c r="N299" i="1"/>
  <c r="L299" i="1"/>
  <c r="M299" i="1"/>
  <c r="M334" i="1"/>
  <c r="C370" i="1"/>
  <c r="L334" i="1"/>
  <c r="N334" i="1"/>
  <c r="L229" i="4"/>
  <c r="N229" i="4"/>
  <c r="C265" i="4"/>
  <c r="M229" i="4"/>
  <c r="L299" i="5"/>
  <c r="N299" i="5"/>
  <c r="M299" i="5"/>
  <c r="L370" i="1" l="1"/>
  <c r="N370" i="1"/>
  <c r="M370" i="1"/>
  <c r="C406" i="1"/>
  <c r="C371" i="1"/>
  <c r="N335" i="1"/>
  <c r="M335" i="1"/>
  <c r="L335" i="1"/>
  <c r="L265" i="1"/>
  <c r="N265" i="1"/>
  <c r="M265" i="1"/>
  <c r="C301" i="1"/>
  <c r="M405" i="1"/>
  <c r="C441" i="1"/>
  <c r="N405" i="1"/>
  <c r="L405" i="1"/>
  <c r="M440" i="1"/>
  <c r="N440" i="1"/>
  <c r="L440" i="1"/>
  <c r="L265" i="5"/>
  <c r="C301" i="5"/>
  <c r="N265" i="5"/>
  <c r="M265" i="5"/>
  <c r="N300" i="1"/>
  <c r="C336" i="1"/>
  <c r="L300" i="1"/>
  <c r="M300" i="1"/>
  <c r="N265" i="4"/>
  <c r="L265" i="4"/>
  <c r="M265" i="4"/>
  <c r="M300" i="5"/>
  <c r="L300" i="5"/>
  <c r="N300" i="5"/>
  <c r="M441" i="1" l="1"/>
  <c r="L441" i="1"/>
  <c r="N441" i="1"/>
  <c r="C407" i="1"/>
  <c r="L371" i="1"/>
  <c r="M371" i="1"/>
  <c r="N371" i="1"/>
  <c r="N336" i="1"/>
  <c r="M336" i="1"/>
  <c r="C372" i="1"/>
  <c r="L336" i="1"/>
  <c r="M301" i="5"/>
  <c r="N301" i="5"/>
  <c r="L301" i="5"/>
  <c r="L301" i="1"/>
  <c r="N301" i="1"/>
  <c r="M301" i="1"/>
  <c r="C337" i="1"/>
  <c r="L406" i="1"/>
  <c r="C442" i="1"/>
  <c r="N406" i="1"/>
  <c r="M406" i="1"/>
  <c r="L442" i="1" l="1"/>
  <c r="N442" i="1"/>
  <c r="M442" i="1"/>
  <c r="N407" i="1"/>
  <c r="M407" i="1"/>
  <c r="C443" i="1"/>
  <c r="L407" i="1"/>
  <c r="C373" i="1"/>
  <c r="N337" i="1"/>
  <c r="L337" i="1"/>
  <c r="M337" i="1"/>
  <c r="L372" i="1"/>
  <c r="N372" i="1"/>
  <c r="M372" i="1"/>
  <c r="C408" i="1"/>
  <c r="M443" i="1" l="1"/>
  <c r="N443" i="1"/>
  <c r="L443" i="1"/>
  <c r="N408" i="1"/>
  <c r="C444" i="1"/>
  <c r="M408" i="1"/>
  <c r="L408" i="1"/>
  <c r="M373" i="1"/>
  <c r="L373" i="1"/>
  <c r="C409" i="1"/>
  <c r="N373" i="1"/>
  <c r="L444" i="1" l="1"/>
  <c r="N444" i="1"/>
  <c r="M444" i="1"/>
  <c r="C445" i="1"/>
  <c r="N409" i="1"/>
  <c r="L409" i="1"/>
  <c r="M409" i="1"/>
  <c r="N445" i="1" l="1"/>
  <c r="L445" i="1"/>
  <c r="M445" i="1"/>
  <c r="J51" i="4" l="1"/>
  <c r="I14" i="5"/>
  <c r="I14" i="3"/>
  <c r="J17" i="11"/>
  <c r="J14" i="3"/>
  <c r="I17" i="11"/>
  <c r="J35" i="11"/>
  <c r="J50" i="3"/>
  <c r="K14" i="4"/>
  <c r="K14" i="5"/>
  <c r="I14" i="1"/>
  <c r="K14" i="1"/>
  <c r="I14" i="4"/>
  <c r="J14" i="1"/>
  <c r="J14" i="4"/>
  <c r="I14" i="2"/>
  <c r="K14" i="3"/>
  <c r="I16" i="1"/>
  <c r="J21" i="11"/>
  <c r="I23" i="11"/>
  <c r="K18" i="11"/>
  <c r="K48" i="11"/>
  <c r="K29" i="11"/>
  <c r="I21" i="11"/>
  <c r="I15" i="3"/>
  <c r="I47" i="11"/>
  <c r="I32" i="11"/>
  <c r="J16" i="1"/>
  <c r="J36" i="11"/>
  <c r="J51" i="3"/>
  <c r="J14" i="5"/>
  <c r="K39" i="11"/>
  <c r="K32" i="11"/>
  <c r="K51" i="2"/>
  <c r="I29" i="11"/>
  <c r="I15" i="11"/>
  <c r="K41" i="11"/>
  <c r="J38" i="11"/>
  <c r="I50" i="1"/>
  <c r="J30" i="11"/>
  <c r="J46" i="11"/>
  <c r="I38" i="11"/>
  <c r="J15" i="5"/>
  <c r="K50" i="4"/>
  <c r="I16" i="4"/>
  <c r="K50" i="5"/>
  <c r="I15" i="4"/>
  <c r="I50" i="3"/>
  <c r="K20" i="11"/>
  <c r="K24" i="11"/>
  <c r="K50" i="1"/>
  <c r="J48" i="11"/>
  <c r="J14" i="11"/>
  <c r="I50" i="5"/>
  <c r="K15" i="11"/>
  <c r="J40" i="11"/>
  <c r="J50" i="5"/>
  <c r="I49" i="11"/>
  <c r="K47" i="11"/>
  <c r="J29" i="11"/>
  <c r="J16" i="5"/>
  <c r="K15" i="5"/>
  <c r="J41" i="11"/>
  <c r="K15" i="2"/>
  <c r="K15" i="3"/>
  <c r="I16" i="2"/>
  <c r="J18" i="11"/>
  <c r="I16" i="5"/>
  <c r="J44" i="11"/>
  <c r="J14" i="2"/>
  <c r="K14" i="2"/>
  <c r="J15" i="1"/>
  <c r="K15" i="1"/>
  <c r="K40" i="11"/>
  <c r="K36" i="11"/>
  <c r="K21" i="11"/>
  <c r="I15" i="5"/>
  <c r="K16" i="3"/>
  <c r="K35" i="11"/>
  <c r="I15" i="1"/>
  <c r="I18" i="11"/>
  <c r="J43" i="11"/>
  <c r="I35" i="11"/>
  <c r="K49" i="11"/>
  <c r="K38" i="11"/>
  <c r="K33" i="11"/>
  <c r="K44" i="11"/>
  <c r="J15" i="2"/>
  <c r="K50" i="3"/>
  <c r="K45" i="11"/>
  <c r="I15" i="2"/>
  <c r="I14" i="11"/>
  <c r="I42" i="11"/>
  <c r="K86" i="2"/>
  <c r="J33" i="11"/>
  <c r="I86" i="1"/>
  <c r="I50" i="4"/>
  <c r="I50" i="2"/>
  <c r="K15" i="4"/>
  <c r="J23" i="11"/>
  <c r="I43" i="11"/>
  <c r="I33" i="11"/>
  <c r="K86" i="1"/>
  <c r="I86" i="4"/>
  <c r="K43" i="11"/>
  <c r="J86" i="2"/>
  <c r="I51" i="2"/>
  <c r="I20" i="11"/>
  <c r="J16" i="3"/>
  <c r="I44" i="11"/>
  <c r="I48" i="11"/>
  <c r="J15" i="4"/>
  <c r="J27" i="11"/>
  <c r="J15" i="11"/>
  <c r="I86" i="5"/>
  <c r="I45" i="11"/>
  <c r="I26" i="11"/>
  <c r="I86" i="2"/>
  <c r="J15" i="3"/>
  <c r="I36" i="11"/>
  <c r="K51" i="3"/>
  <c r="I30" i="11"/>
  <c r="I51" i="1"/>
  <c r="I16" i="3"/>
  <c r="K86" i="4"/>
  <c r="K23" i="11"/>
  <c r="J32" i="11"/>
  <c r="K17" i="11"/>
  <c r="I24" i="11"/>
  <c r="J24" i="11"/>
  <c r="J20" i="11"/>
  <c r="J50" i="4"/>
  <c r="K50" i="2"/>
  <c r="J16" i="4"/>
  <c r="J26" i="11"/>
  <c r="K14" i="11"/>
  <c r="I39" i="11"/>
  <c r="K27" i="11"/>
  <c r="J50" i="1"/>
  <c r="K26" i="11"/>
  <c r="J87" i="1"/>
  <c r="K122" i="4"/>
  <c r="K46" i="11"/>
  <c r="J51" i="5"/>
  <c r="K87" i="1"/>
  <c r="I40" i="11"/>
  <c r="J39" i="11"/>
  <c r="K87" i="5"/>
  <c r="K16" i="4"/>
  <c r="J17" i="4"/>
  <c r="K52" i="1"/>
  <c r="I17" i="1"/>
  <c r="K16" i="1"/>
  <c r="I41" i="11"/>
  <c r="K34" i="11"/>
  <c r="K52" i="5"/>
  <c r="J51" i="2"/>
  <c r="K122" i="5"/>
  <c r="K28" i="11"/>
  <c r="K17" i="2"/>
  <c r="K19" i="11"/>
  <c r="K25" i="11"/>
  <c r="J17" i="5"/>
  <c r="J25" i="11"/>
  <c r="K17" i="4"/>
  <c r="J51" i="1"/>
  <c r="K52" i="2"/>
  <c r="K30" i="11"/>
  <c r="K87" i="2"/>
  <c r="K16" i="2"/>
  <c r="I34" i="11"/>
  <c r="K51" i="5"/>
  <c r="J47" i="11"/>
  <c r="J122" i="5"/>
  <c r="I122" i="4"/>
  <c r="I37" i="11"/>
  <c r="J52" i="2"/>
  <c r="K17" i="3"/>
  <c r="K16" i="5"/>
  <c r="J37" i="11"/>
  <c r="I17" i="4"/>
  <c r="K22" i="11"/>
  <c r="I122" i="5"/>
  <c r="K86" i="5"/>
  <c r="J122" i="2"/>
  <c r="J49" i="11"/>
  <c r="I22" i="11"/>
  <c r="I51" i="3"/>
  <c r="I52" i="3"/>
  <c r="J22" i="11"/>
  <c r="K17" i="5"/>
  <c r="J45" i="11"/>
  <c r="I16" i="11"/>
  <c r="J86" i="5"/>
  <c r="I31" i="11"/>
  <c r="J87" i="4"/>
  <c r="K52" i="4"/>
  <c r="J19" i="11"/>
  <c r="I19" i="11"/>
  <c r="J17" i="3"/>
  <c r="J122" i="1"/>
  <c r="K51" i="1"/>
  <c r="I51" i="5"/>
  <c r="I52" i="4"/>
  <c r="I28" i="11"/>
  <c r="K17" i="1"/>
  <c r="J42" i="11"/>
  <c r="K37" i="11"/>
  <c r="K42" i="11"/>
  <c r="I87" i="1"/>
  <c r="I25" i="11"/>
  <c r="I27" i="11"/>
  <c r="I51" i="4"/>
  <c r="J16" i="2"/>
  <c r="I46" i="11"/>
  <c r="K16" i="11"/>
  <c r="I87" i="5"/>
  <c r="K122" i="1"/>
  <c r="J87" i="2"/>
  <c r="J86" i="4"/>
  <c r="J50" i="2"/>
  <c r="I17" i="5"/>
  <c r="J28" i="11"/>
  <c r="K122" i="2"/>
  <c r="J17" i="1"/>
  <c r="I17" i="3"/>
  <c r="J18" i="1"/>
  <c r="J158" i="2"/>
  <c r="I88" i="1"/>
  <c r="J123" i="2"/>
  <c r="I88" i="2"/>
  <c r="I53" i="4"/>
  <c r="K53" i="2"/>
  <c r="J53" i="5"/>
  <c r="K123" i="4"/>
  <c r="I88" i="4"/>
  <c r="J18" i="3"/>
  <c r="I122" i="2"/>
  <c r="I158" i="5"/>
  <c r="J88" i="5"/>
  <c r="K53" i="4"/>
  <c r="I18" i="2"/>
  <c r="J158" i="4"/>
  <c r="J53" i="4"/>
  <c r="J18" i="4"/>
  <c r="J158" i="1"/>
  <c r="I53" i="3"/>
  <c r="J18" i="5"/>
  <c r="J123" i="4"/>
  <c r="K53" i="5"/>
  <c r="J52" i="5"/>
  <c r="K53" i="1"/>
  <c r="K53" i="3"/>
  <c r="J18" i="2"/>
  <c r="J17" i="2"/>
  <c r="I53" i="5"/>
  <c r="I18" i="4"/>
  <c r="I53" i="2"/>
  <c r="K51" i="4"/>
  <c r="J53" i="3"/>
  <c r="J52" i="1"/>
  <c r="K87" i="4"/>
  <c r="I53" i="1"/>
  <c r="I123" i="5"/>
  <c r="K158" i="2"/>
  <c r="I123" i="2"/>
  <c r="K88" i="4"/>
  <c r="J123" i="5"/>
  <c r="I52" i="5"/>
  <c r="J87" i="5"/>
  <c r="I88" i="5"/>
  <c r="I87" i="4"/>
  <c r="K158" i="5"/>
  <c r="J88" i="2"/>
  <c r="J123" i="1"/>
  <c r="J88" i="4"/>
  <c r="J53" i="2"/>
  <c r="I123" i="4"/>
  <c r="J31" i="11"/>
  <c r="K123" i="1"/>
  <c r="K18" i="1"/>
  <c r="K88" i="2"/>
  <c r="I52" i="1"/>
  <c r="K158" i="4"/>
  <c r="K31" i="11"/>
  <c r="J88" i="1"/>
  <c r="K88" i="5"/>
  <c r="I158" i="1"/>
  <c r="I18" i="1"/>
  <c r="I17" i="2"/>
  <c r="K88" i="1"/>
  <c r="I18" i="5"/>
  <c r="J16" i="11"/>
  <c r="K18" i="4"/>
  <c r="J122" i="4"/>
  <c r="K18" i="2"/>
  <c r="K158" i="1"/>
  <c r="I18" i="3"/>
  <c r="I52" i="2"/>
  <c r="J52" i="4"/>
  <c r="J158" i="5"/>
  <c r="J34" i="11"/>
  <c r="I158" i="4"/>
  <c r="I123" i="1"/>
  <c r="J86" i="1"/>
  <c r="J53" i="1"/>
  <c r="K18" i="5"/>
  <c r="I87" i="2"/>
  <c r="K123" i="5"/>
  <c r="K123" i="2"/>
  <c r="J52" i="3"/>
  <c r="K125" i="2"/>
  <c r="K194" i="2"/>
  <c r="I124" i="2"/>
  <c r="J89" i="4"/>
  <c r="K18" i="3"/>
  <c r="J194" i="1"/>
  <c r="J194" i="5"/>
  <c r="K159" i="5"/>
  <c r="I89" i="4"/>
  <c r="I54" i="4"/>
  <c r="J124" i="4"/>
  <c r="I19" i="2"/>
  <c r="K89" i="2"/>
  <c r="J54" i="3"/>
  <c r="J54" i="1"/>
  <c r="K194" i="5"/>
  <c r="I194" i="5"/>
  <c r="J54" i="5"/>
  <c r="I194" i="1"/>
  <c r="I54" i="5"/>
  <c r="J159" i="2"/>
  <c r="I54" i="3"/>
  <c r="J159" i="4"/>
  <c r="J54" i="4"/>
  <c r="I19" i="3"/>
  <c r="I89" i="1"/>
  <c r="K159" i="2"/>
  <c r="I194" i="2"/>
  <c r="K89" i="5"/>
  <c r="J89" i="2"/>
  <c r="I194" i="4"/>
  <c r="I89" i="5"/>
  <c r="K19" i="4"/>
  <c r="K54" i="1"/>
  <c r="K54" i="4"/>
  <c r="J159" i="1"/>
  <c r="J89" i="5"/>
  <c r="I124" i="4"/>
  <c r="J19" i="1"/>
  <c r="I19" i="1"/>
  <c r="I54" i="1"/>
  <c r="J194" i="2"/>
  <c r="K124" i="2"/>
  <c r="I159" i="2"/>
  <c r="J124" i="5"/>
  <c r="K19" i="1"/>
  <c r="K54" i="5"/>
  <c r="I124" i="1"/>
  <c r="I89" i="2"/>
  <c r="I124" i="5"/>
  <c r="K54" i="2"/>
  <c r="K124" i="5"/>
  <c r="I158" i="2"/>
  <c r="J124" i="2"/>
  <c r="J194" i="4"/>
  <c r="I159" i="1"/>
  <c r="K124" i="4"/>
  <c r="I19" i="5"/>
  <c r="K52" i="3"/>
  <c r="I159" i="4"/>
  <c r="K89" i="4"/>
  <c r="K19" i="5"/>
  <c r="K194" i="1"/>
  <c r="K89" i="1"/>
  <c r="J124" i="1"/>
  <c r="K159" i="1"/>
  <c r="I122" i="1"/>
  <c r="K194" i="4"/>
  <c r="K54" i="3"/>
  <c r="I54" i="2"/>
  <c r="K19" i="2"/>
  <c r="J19" i="3"/>
  <c r="K124" i="1"/>
  <c r="J159" i="5"/>
  <c r="K159" i="4"/>
  <c r="J19" i="2"/>
  <c r="I159" i="5"/>
  <c r="K19" i="3"/>
  <c r="J19" i="4"/>
  <c r="J19" i="5"/>
  <c r="I19" i="4"/>
  <c r="J89" i="1"/>
  <c r="J54" i="2"/>
  <c r="J230" i="4"/>
  <c r="J160" i="1"/>
  <c r="I55" i="3"/>
  <c r="I20" i="2"/>
  <c r="I55" i="5"/>
  <c r="J195" i="2"/>
  <c r="J20" i="2"/>
  <c r="J55" i="4"/>
  <c r="I55" i="4"/>
  <c r="I195" i="5"/>
  <c r="I195" i="4"/>
  <c r="K195" i="4"/>
  <c r="J125" i="4"/>
  <c r="I125" i="2"/>
  <c r="J230" i="1"/>
  <c r="K20" i="4"/>
  <c r="I125" i="1"/>
  <c r="J20" i="4"/>
  <c r="J125" i="2"/>
  <c r="K160" i="5"/>
  <c r="J125" i="1"/>
  <c r="J195" i="4"/>
  <c r="J20" i="1"/>
  <c r="K55" i="2"/>
  <c r="K20" i="3"/>
  <c r="K195" i="2"/>
  <c r="K230" i="5"/>
  <c r="J230" i="5"/>
  <c r="J90" i="1"/>
  <c r="K90" i="1"/>
  <c r="K20" i="5"/>
  <c r="K230" i="4"/>
  <c r="K55" i="1"/>
  <c r="K20" i="2"/>
  <c r="K20" i="1"/>
  <c r="K160" i="4"/>
  <c r="K160" i="1"/>
  <c r="I125" i="5"/>
  <c r="K195" i="5"/>
  <c r="K90" i="5"/>
  <c r="I20" i="1"/>
  <c r="J195" i="5"/>
  <c r="K125" i="4"/>
  <c r="I195" i="1"/>
  <c r="I90" i="5"/>
  <c r="K55" i="4"/>
  <c r="I90" i="4"/>
  <c r="J55" i="1"/>
  <c r="J160" i="2"/>
  <c r="I160" i="1"/>
  <c r="I55" i="2"/>
  <c r="J90" i="2"/>
  <c r="I230" i="5"/>
  <c r="K230" i="1"/>
  <c r="J90" i="4"/>
  <c r="J90" i="5"/>
  <c r="K125" i="5"/>
  <c r="I55" i="1"/>
  <c r="K55" i="5"/>
  <c r="I160" i="4"/>
  <c r="K160" i="2"/>
  <c r="J55" i="2"/>
  <c r="K195" i="1"/>
  <c r="J20" i="5"/>
  <c r="I160" i="5"/>
  <c r="K125" i="1"/>
  <c r="J55" i="5"/>
  <c r="I90" i="2"/>
  <c r="K55" i="3"/>
  <c r="I91" i="1"/>
  <c r="I20" i="3"/>
  <c r="I230" i="1"/>
  <c r="I20" i="4"/>
  <c r="I230" i="4"/>
  <c r="K90" i="2"/>
  <c r="J160" i="5"/>
  <c r="I20" i="5"/>
  <c r="K90" i="4"/>
  <c r="J160" i="4"/>
  <c r="J125" i="5"/>
  <c r="I160" i="2"/>
  <c r="I90" i="1"/>
  <c r="J55" i="3"/>
  <c r="I125" i="4"/>
  <c r="J195" i="1"/>
  <c r="I195" i="2"/>
  <c r="J20" i="3"/>
  <c r="I21" i="2"/>
  <c r="K56" i="3"/>
  <c r="I266" i="5"/>
  <c r="I231" i="4"/>
  <c r="K266" i="1"/>
  <c r="K231" i="1"/>
  <c r="J161" i="4"/>
  <c r="K21" i="1"/>
  <c r="J196" i="4"/>
  <c r="I231" i="5"/>
  <c r="J231" i="4"/>
  <c r="J91" i="4"/>
  <c r="K196" i="4"/>
  <c r="K21" i="2"/>
  <c r="K161" i="4"/>
  <c r="K91" i="2"/>
  <c r="K196" i="5"/>
  <c r="I196" i="1"/>
  <c r="K266" i="5"/>
  <c r="J91" i="2"/>
  <c r="J196" i="2"/>
  <c r="K126" i="2"/>
  <c r="J56" i="5"/>
  <c r="J91" i="5"/>
  <c r="J21" i="4"/>
  <c r="I91" i="4"/>
  <c r="I56" i="5"/>
  <c r="I231" i="1"/>
  <c r="I56" i="4"/>
  <c r="I161" i="1"/>
  <c r="I196" i="2"/>
  <c r="I126" i="2"/>
  <c r="I21" i="4"/>
  <c r="I56" i="3"/>
  <c r="K231" i="4"/>
  <c r="I126" i="5"/>
  <c r="K56" i="5"/>
  <c r="I196" i="4"/>
  <c r="K126" i="5"/>
  <c r="K161" i="2"/>
  <c r="J56" i="4"/>
  <c r="J21" i="5"/>
  <c r="J91" i="1"/>
  <c r="J126" i="4"/>
  <c r="K161" i="5"/>
  <c r="J266" i="5"/>
  <c r="K126" i="1"/>
  <c r="J56" i="1"/>
  <c r="I21" i="3"/>
  <c r="I91" i="5"/>
  <c r="K56" i="2"/>
  <c r="K196" i="1"/>
  <c r="K21" i="3"/>
  <c r="J161" i="1"/>
  <c r="I266" i="1"/>
  <c r="J161" i="5"/>
  <c r="J21" i="1"/>
  <c r="J56" i="2"/>
  <c r="I196" i="5"/>
  <c r="I56" i="2"/>
  <c r="I161" i="4"/>
  <c r="J126" i="1"/>
  <c r="K126" i="4"/>
  <c r="J266" i="1"/>
  <c r="I21" i="1"/>
  <c r="K56" i="1"/>
  <c r="J56" i="3"/>
  <c r="K21" i="4"/>
  <c r="I161" i="5"/>
  <c r="K196" i="2"/>
  <c r="I21" i="5"/>
  <c r="I56" i="1"/>
  <c r="J21" i="2"/>
  <c r="J231" i="1"/>
  <c r="I126" i="4"/>
  <c r="J196" i="5"/>
  <c r="K161" i="1"/>
  <c r="J21" i="3"/>
  <c r="J196" i="1"/>
  <c r="I91" i="2"/>
  <c r="J126" i="5"/>
  <c r="J126" i="2"/>
  <c r="J161" i="2"/>
  <c r="I161" i="2"/>
  <c r="J231" i="5"/>
  <c r="K91" i="5"/>
  <c r="K56" i="4"/>
  <c r="K21" i="5"/>
  <c r="I126" i="1"/>
  <c r="K91" i="1"/>
  <c r="K91" i="4"/>
  <c r="K231" i="5"/>
  <c r="J232" i="4"/>
  <c r="J127" i="1"/>
  <c r="K127" i="4"/>
  <c r="I127" i="2"/>
  <c r="K22" i="5"/>
  <c r="K127" i="5"/>
  <c r="I127" i="5"/>
  <c r="I267" i="1"/>
  <c r="I57" i="4"/>
  <c r="K92" i="4"/>
  <c r="K232" i="5"/>
  <c r="K92" i="1"/>
  <c r="I22" i="1"/>
  <c r="I127" i="4"/>
  <c r="J92" i="1"/>
  <c r="I22" i="3"/>
  <c r="J92" i="2"/>
  <c r="I22" i="2"/>
  <c r="J92" i="5"/>
  <c r="K197" i="1"/>
  <c r="K57" i="5"/>
  <c r="I92" i="5"/>
  <c r="I57" i="5"/>
  <c r="K162" i="4"/>
  <c r="J22" i="4"/>
  <c r="I92" i="1"/>
  <c r="I197" i="2"/>
  <c r="J302" i="1"/>
  <c r="I197" i="4"/>
  <c r="I92" i="2"/>
  <c r="K232" i="1"/>
  <c r="J267" i="1"/>
  <c r="J92" i="4"/>
  <c r="K162" i="1"/>
  <c r="I92" i="4"/>
  <c r="K162" i="5"/>
  <c r="J127" i="5"/>
  <c r="I162" i="2"/>
  <c r="J57" i="1"/>
  <c r="I162" i="1"/>
  <c r="J197" i="5"/>
  <c r="K57" i="2"/>
  <c r="J57" i="2"/>
  <c r="I57" i="1"/>
  <c r="I57" i="2"/>
  <c r="J57" i="3"/>
  <c r="J197" i="2"/>
  <c r="K197" i="4"/>
  <c r="K267" i="1"/>
  <c r="J267" i="5"/>
  <c r="J162" i="1"/>
  <c r="I57" i="3"/>
  <c r="K127" i="2"/>
  <c r="J57" i="4"/>
  <c r="K22" i="3"/>
  <c r="K232" i="4"/>
  <c r="K127" i="1"/>
  <c r="I22" i="5"/>
  <c r="I232" i="1"/>
  <c r="I232" i="4"/>
  <c r="J232" i="1"/>
  <c r="K22" i="4"/>
  <c r="I302" i="1"/>
  <c r="J162" i="5"/>
  <c r="K22" i="1"/>
  <c r="K162" i="2"/>
  <c r="K57" i="3"/>
  <c r="K302" i="1"/>
  <c r="J162" i="4"/>
  <c r="I197" i="5"/>
  <c r="I127" i="1"/>
  <c r="I22" i="4"/>
  <c r="K57" i="1"/>
  <c r="K92" i="2"/>
  <c r="K57" i="4"/>
  <c r="J197" i="1"/>
  <c r="J162" i="2"/>
  <c r="K197" i="5"/>
  <c r="K267" i="5"/>
  <c r="J22" i="3"/>
  <c r="J232" i="5"/>
  <c r="I197" i="1"/>
  <c r="K197" i="2"/>
  <c r="I162" i="4"/>
  <c r="J22" i="2"/>
  <c r="K22" i="2"/>
  <c r="K92" i="5"/>
  <c r="J198" i="4"/>
  <c r="K58" i="4"/>
  <c r="K23" i="1"/>
  <c r="I93" i="2"/>
  <c r="I163" i="4"/>
  <c r="I268" i="1"/>
  <c r="K128" i="2"/>
  <c r="K58" i="2"/>
  <c r="I303" i="1"/>
  <c r="I58" i="2"/>
  <c r="I233" i="4"/>
  <c r="I163" i="1"/>
  <c r="I58" i="3"/>
  <c r="J128" i="2"/>
  <c r="K233" i="1"/>
  <c r="J303" i="1"/>
  <c r="J128" i="4"/>
  <c r="K23" i="5"/>
  <c r="I23" i="3"/>
  <c r="J127" i="2"/>
  <c r="I162" i="5"/>
  <c r="J163" i="4"/>
  <c r="K338" i="1"/>
  <c r="J58" i="4"/>
  <c r="J58" i="1"/>
  <c r="K23" i="4"/>
  <c r="J58" i="3"/>
  <c r="J163" i="5"/>
  <c r="J163" i="2"/>
  <c r="I58" i="4"/>
  <c r="J163" i="1"/>
  <c r="J128" i="1"/>
  <c r="I23" i="4"/>
  <c r="I163" i="5"/>
  <c r="J198" i="5"/>
  <c r="K23" i="2"/>
  <c r="J338" i="1"/>
  <c r="K198" i="1"/>
  <c r="I128" i="2"/>
  <c r="I93" i="5"/>
  <c r="J198" i="1"/>
  <c r="K268" i="5"/>
  <c r="I163" i="2"/>
  <c r="K163" i="1"/>
  <c r="I232" i="5"/>
  <c r="J127" i="4"/>
  <c r="J22" i="1"/>
  <c r="J197" i="4"/>
  <c r="K58" i="1"/>
  <c r="I58" i="1"/>
  <c r="J268" i="1"/>
  <c r="K268" i="1"/>
  <c r="K128" i="1"/>
  <c r="I23" i="1"/>
  <c r="K93" i="2"/>
  <c r="I268" i="5"/>
  <c r="K93" i="1"/>
  <c r="K163" i="4"/>
  <c r="I233" i="5"/>
  <c r="I198" i="2"/>
  <c r="K163" i="5"/>
  <c r="J58" i="5"/>
  <c r="I23" i="2"/>
  <c r="J23" i="4"/>
  <c r="J23" i="2"/>
  <c r="K233" i="4"/>
  <c r="J23" i="1"/>
  <c r="J22" i="5"/>
  <c r="J57" i="5"/>
  <c r="I267" i="5"/>
  <c r="J233" i="4"/>
  <c r="K233" i="5"/>
  <c r="I198" i="1"/>
  <c r="I233" i="1"/>
  <c r="I128" i="4"/>
  <c r="I58" i="5"/>
  <c r="K93" i="5"/>
  <c r="K128" i="4"/>
  <c r="J23" i="5"/>
  <c r="J58" i="2"/>
  <c r="K163" i="2"/>
  <c r="K198" i="4"/>
  <c r="K23" i="3"/>
  <c r="K58" i="5"/>
  <c r="I23" i="5"/>
  <c r="I93" i="1"/>
  <c r="J23" i="3"/>
  <c r="I128" i="5"/>
  <c r="J233" i="5"/>
  <c r="I93" i="4"/>
  <c r="J268" i="5"/>
  <c r="K128" i="5"/>
  <c r="J93" i="5"/>
  <c r="J93" i="4"/>
  <c r="K198" i="5"/>
  <c r="I198" i="4"/>
  <c r="J93" i="2"/>
  <c r="K58" i="3"/>
  <c r="I338" i="1"/>
  <c r="J198" i="2"/>
  <c r="J128" i="5"/>
  <c r="K198" i="2"/>
  <c r="I128" i="1"/>
  <c r="J233" i="1"/>
  <c r="I198" i="5"/>
  <c r="J199" i="4"/>
  <c r="K164" i="5"/>
  <c r="J59" i="1"/>
  <c r="J234" i="1"/>
  <c r="K93" i="4"/>
  <c r="I164" i="1"/>
  <c r="J269" i="1"/>
  <c r="J199" i="1"/>
  <c r="K164" i="1"/>
  <c r="I269" i="5"/>
  <c r="J164" i="5"/>
  <c r="I59" i="2"/>
  <c r="K199" i="5"/>
  <c r="J129" i="2"/>
  <c r="J339" i="1"/>
  <c r="I234" i="1"/>
  <c r="K24" i="1"/>
  <c r="K129" i="2"/>
  <c r="K199" i="1"/>
  <c r="J164" i="4"/>
  <c r="K129" i="4"/>
  <c r="I129" i="2"/>
  <c r="K94" i="5"/>
  <c r="I24" i="2"/>
  <c r="K94" i="4"/>
  <c r="I164" i="4"/>
  <c r="K303" i="1"/>
  <c r="J129" i="4"/>
  <c r="K269" i="1"/>
  <c r="K199" i="4"/>
  <c r="I59" i="4"/>
  <c r="I234" i="5"/>
  <c r="I94" i="2"/>
  <c r="J59" i="2"/>
  <c r="I164" i="2"/>
  <c r="J199" i="5"/>
  <c r="J234" i="4"/>
  <c r="J59" i="3"/>
  <c r="J59" i="4"/>
  <c r="K129" i="1"/>
  <c r="I94" i="4"/>
  <c r="J199" i="2"/>
  <c r="K24" i="4"/>
  <c r="K94" i="1"/>
  <c r="K164" i="4"/>
  <c r="I234" i="4"/>
  <c r="K199" i="2"/>
  <c r="I304" i="1"/>
  <c r="I199" i="5"/>
  <c r="I129" i="4"/>
  <c r="K234" i="4"/>
  <c r="I24" i="5"/>
  <c r="J129" i="5"/>
  <c r="I59" i="5"/>
  <c r="K164" i="2"/>
  <c r="J24" i="1"/>
  <c r="K24" i="5"/>
  <c r="K269" i="5"/>
  <c r="J94" i="2"/>
  <c r="K304" i="1"/>
  <c r="I59" i="3"/>
  <c r="I269" i="1"/>
  <c r="J24" i="5"/>
  <c r="J269" i="5"/>
  <c r="J234" i="5"/>
  <c r="I199" i="4"/>
  <c r="J59" i="5"/>
  <c r="K374" i="1"/>
  <c r="K24" i="2"/>
  <c r="I94" i="1"/>
  <c r="J24" i="3"/>
  <c r="I164" i="5"/>
  <c r="J129" i="1"/>
  <c r="K94" i="2"/>
  <c r="K234" i="5"/>
  <c r="J93" i="1"/>
  <c r="K59" i="1"/>
  <c r="K59" i="4"/>
  <c r="J94" i="1"/>
  <c r="I199" i="2"/>
  <c r="J374" i="1"/>
  <c r="I24" i="3"/>
  <c r="J94" i="5"/>
  <c r="I374" i="1"/>
  <c r="K59" i="3"/>
  <c r="I339" i="1"/>
  <c r="J24" i="4"/>
  <c r="J164" i="1"/>
  <c r="I24" i="4"/>
  <c r="K129" i="5"/>
  <c r="I199" i="1"/>
  <c r="I129" i="1"/>
  <c r="K234" i="1"/>
  <c r="I59" i="1"/>
  <c r="I129" i="5"/>
  <c r="K59" i="5"/>
  <c r="I24" i="1"/>
  <c r="K339" i="1"/>
  <c r="J24" i="2"/>
  <c r="I94" i="5"/>
  <c r="J164" i="2"/>
  <c r="J304" i="1"/>
  <c r="I95" i="1"/>
  <c r="I95" i="4"/>
  <c r="K165" i="2"/>
  <c r="K24" i="3"/>
  <c r="K130" i="2"/>
  <c r="I60" i="4"/>
  <c r="K60" i="2"/>
  <c r="K95" i="1"/>
  <c r="J60" i="5"/>
  <c r="I165" i="4"/>
  <c r="K200" i="1"/>
  <c r="I25" i="2"/>
  <c r="J165" i="1"/>
  <c r="K200" i="5"/>
  <c r="I270" i="1"/>
  <c r="K270" i="1"/>
  <c r="J165" i="4"/>
  <c r="I165" i="1"/>
  <c r="K235" i="1"/>
  <c r="K25" i="2"/>
  <c r="J200" i="2"/>
  <c r="J200" i="5"/>
  <c r="J25" i="3"/>
  <c r="K235" i="4"/>
  <c r="I200" i="1"/>
  <c r="J235" i="1"/>
  <c r="J95" i="2"/>
  <c r="J270" i="5"/>
  <c r="J130" i="1"/>
  <c r="J340" i="1"/>
  <c r="I410" i="1"/>
  <c r="J25" i="5"/>
  <c r="I25" i="5"/>
  <c r="I60" i="2"/>
  <c r="J165" i="5"/>
  <c r="I235" i="4"/>
  <c r="I165" i="5"/>
  <c r="I165" i="2"/>
  <c r="I95" i="2"/>
  <c r="K25" i="3"/>
  <c r="J305" i="1"/>
  <c r="K130" i="4"/>
  <c r="J375" i="1"/>
  <c r="J130" i="5"/>
  <c r="I235" i="1"/>
  <c r="I130" i="2"/>
  <c r="I25" i="1"/>
  <c r="K200" i="4"/>
  <c r="K165" i="5"/>
  <c r="I130" i="4"/>
  <c r="K166" i="1"/>
  <c r="K270" i="5"/>
  <c r="I60" i="5"/>
  <c r="J200" i="4"/>
  <c r="I375" i="1"/>
  <c r="J235" i="4"/>
  <c r="K95" i="2"/>
  <c r="J94" i="4"/>
  <c r="J60" i="4"/>
  <c r="J130" i="2"/>
  <c r="I200" i="4"/>
  <c r="K25" i="4"/>
  <c r="K95" i="4"/>
  <c r="J25" i="4"/>
  <c r="J130" i="4"/>
  <c r="K60" i="5"/>
  <c r="J270" i="1"/>
  <c r="I200" i="2"/>
  <c r="J60" i="2"/>
  <c r="K59" i="2"/>
  <c r="J235" i="5"/>
  <c r="K410" i="1"/>
  <c r="K375" i="1"/>
  <c r="I130" i="1"/>
  <c r="J410" i="1"/>
  <c r="K25" i="1"/>
  <c r="I130" i="5"/>
  <c r="J25" i="1"/>
  <c r="K60" i="1"/>
  <c r="I270" i="5"/>
  <c r="K130" i="5"/>
  <c r="I60" i="1"/>
  <c r="K200" i="2"/>
  <c r="I25" i="4"/>
  <c r="J95" i="1"/>
  <c r="K165" i="4"/>
  <c r="J200" i="1"/>
  <c r="I340" i="1"/>
  <c r="K95" i="5"/>
  <c r="J165" i="2"/>
  <c r="J25" i="2"/>
  <c r="J60" i="1"/>
  <c r="K340" i="1"/>
  <c r="K305" i="1"/>
  <c r="J95" i="5"/>
  <c r="I25" i="3"/>
  <c r="K60" i="4"/>
  <c r="I95" i="5"/>
  <c r="K165" i="1"/>
  <c r="I305" i="1"/>
  <c r="I200" i="5"/>
  <c r="K25" i="5"/>
  <c r="J95" i="4"/>
  <c r="J411" i="1"/>
  <c r="I96" i="2"/>
  <c r="I26" i="2"/>
  <c r="I166" i="5"/>
  <c r="I411" i="1"/>
  <c r="K61" i="4"/>
  <c r="I271" i="5"/>
  <c r="J26" i="2"/>
  <c r="I96" i="5"/>
  <c r="J376" i="1"/>
  <c r="K166" i="2"/>
  <c r="I166" i="2"/>
  <c r="K60" i="3"/>
  <c r="K26" i="3"/>
  <c r="K131" i="5"/>
  <c r="K96" i="4"/>
  <c r="I201" i="5"/>
  <c r="J271" i="1"/>
  <c r="J166" i="2"/>
  <c r="I236" i="1"/>
  <c r="J131" i="1"/>
  <c r="I236" i="5"/>
  <c r="K131" i="2"/>
  <c r="I61" i="3"/>
  <c r="I61" i="2"/>
  <c r="J96" i="4"/>
  <c r="I96" i="4"/>
  <c r="J201" i="4"/>
  <c r="J236" i="5"/>
  <c r="J96" i="5"/>
  <c r="I376" i="1"/>
  <c r="J166" i="4"/>
  <c r="K306" i="1"/>
  <c r="I166" i="4"/>
  <c r="I271" i="1"/>
  <c r="I96" i="1"/>
  <c r="K341" i="1"/>
  <c r="K201" i="1"/>
  <c r="I26" i="3"/>
  <c r="I60" i="3"/>
  <c r="K26" i="5"/>
  <c r="J201" i="2"/>
  <c r="J306" i="1"/>
  <c r="K376" i="1"/>
  <c r="J166" i="5"/>
  <c r="I131" i="4"/>
  <c r="K96" i="5"/>
  <c r="J61" i="2"/>
  <c r="I236" i="4"/>
  <c r="J131" i="4"/>
  <c r="K201" i="4"/>
  <c r="J26" i="3"/>
  <c r="J61" i="1"/>
  <c r="I131" i="5"/>
  <c r="K271" i="5"/>
  <c r="I61" i="1"/>
  <c r="K61" i="3"/>
  <c r="J61" i="3"/>
  <c r="J131" i="5"/>
  <c r="K96" i="2"/>
  <c r="J26" i="1"/>
  <c r="K61" i="5"/>
  <c r="K131" i="1"/>
  <c r="K236" i="5"/>
  <c r="I166" i="1"/>
  <c r="I341" i="1"/>
  <c r="J341" i="1"/>
  <c r="J61" i="4"/>
  <c r="J271" i="5"/>
  <c r="K235" i="5"/>
  <c r="I26" i="4"/>
  <c r="J96" i="1"/>
  <c r="K61" i="2"/>
  <c r="K26" i="4"/>
  <c r="I61" i="4"/>
  <c r="K26" i="2"/>
  <c r="K96" i="1"/>
  <c r="I306" i="1"/>
  <c r="I131" i="1"/>
  <c r="J201" i="5"/>
  <c r="K26" i="1"/>
  <c r="K166" i="5"/>
  <c r="K130" i="1"/>
  <c r="K236" i="4"/>
  <c r="K271" i="1"/>
  <c r="J60" i="3"/>
  <c r="I201" i="4"/>
  <c r="J26" i="4"/>
  <c r="K411" i="1"/>
  <c r="I26" i="1"/>
  <c r="I201" i="1"/>
  <c r="I201" i="2"/>
  <c r="K201" i="2"/>
  <c r="J131" i="2"/>
  <c r="J61" i="5"/>
  <c r="I235" i="5"/>
  <c r="I61" i="5"/>
  <c r="J26" i="5"/>
  <c r="I131" i="2"/>
  <c r="K131" i="4"/>
  <c r="K61" i="1"/>
  <c r="J201" i="1"/>
  <c r="J96" i="2"/>
  <c r="K201" i="5"/>
  <c r="K236" i="1"/>
  <c r="J166" i="1"/>
  <c r="J236" i="4"/>
  <c r="K62" i="3"/>
  <c r="J272" i="1"/>
  <c r="I132" i="1"/>
  <c r="I27" i="3"/>
  <c r="K62" i="5"/>
  <c r="K342" i="1"/>
  <c r="K237" i="5"/>
  <c r="I27" i="5"/>
  <c r="I307" i="1"/>
  <c r="J132" i="2"/>
  <c r="K132" i="4"/>
  <c r="K62" i="2"/>
  <c r="J167" i="4"/>
  <c r="J272" i="5"/>
  <c r="J97" i="2"/>
  <c r="K167" i="1"/>
  <c r="K27" i="1"/>
  <c r="K237" i="4"/>
  <c r="J167" i="2"/>
  <c r="J97" i="5"/>
  <c r="K132" i="2"/>
  <c r="K97" i="5"/>
  <c r="I97" i="2"/>
  <c r="J97" i="4"/>
  <c r="J237" i="5"/>
  <c r="I167" i="5"/>
  <c r="J377" i="1"/>
  <c r="K202" i="1"/>
  <c r="K202" i="5"/>
  <c r="I97" i="4"/>
  <c r="K202" i="2"/>
  <c r="I237" i="4"/>
  <c r="J27" i="3"/>
  <c r="I27" i="2"/>
  <c r="J27" i="5"/>
  <c r="J236" i="1"/>
  <c r="I342" i="1"/>
  <c r="K377" i="1"/>
  <c r="J27" i="4"/>
  <c r="J132" i="4"/>
  <c r="K167" i="4"/>
  <c r="J202" i="1"/>
  <c r="K272" i="1"/>
  <c r="I132" i="2"/>
  <c r="I272" i="5"/>
  <c r="J202" i="4"/>
  <c r="I202" i="1"/>
  <c r="J202" i="5"/>
  <c r="J202" i="2"/>
  <c r="K307" i="1"/>
  <c r="I62" i="4"/>
  <c r="I27" i="4"/>
  <c r="K97" i="2"/>
  <c r="I377" i="1"/>
  <c r="I132" i="5"/>
  <c r="J62" i="1"/>
  <c r="I62" i="1"/>
  <c r="I97" i="1"/>
  <c r="I26" i="5"/>
  <c r="I202" i="5"/>
  <c r="I132" i="4"/>
  <c r="K97" i="1"/>
  <c r="J167" i="1"/>
  <c r="J97" i="1"/>
  <c r="I167" i="1"/>
  <c r="K167" i="2"/>
  <c r="I202" i="4"/>
  <c r="I62" i="5"/>
  <c r="K272" i="5"/>
  <c r="J62" i="5"/>
  <c r="I202" i="2"/>
  <c r="I412" i="1"/>
  <c r="K412" i="1"/>
  <c r="I167" i="4"/>
  <c r="K167" i="5"/>
  <c r="I272" i="1"/>
  <c r="K27" i="5"/>
  <c r="I237" i="5"/>
  <c r="K166" i="4"/>
  <c r="K27" i="3"/>
  <c r="I97" i="5"/>
  <c r="J27" i="2"/>
  <c r="J307" i="1"/>
  <c r="K202" i="4"/>
  <c r="K132" i="5"/>
  <c r="K62" i="4"/>
  <c r="J62" i="2"/>
  <c r="J62" i="4"/>
  <c r="J167" i="5"/>
  <c r="I237" i="1"/>
  <c r="I27" i="1"/>
  <c r="J132" i="1"/>
  <c r="K27" i="4"/>
  <c r="K237" i="1"/>
  <c r="I167" i="2"/>
  <c r="J412" i="1"/>
  <c r="K132" i="1"/>
  <c r="I133" i="5"/>
  <c r="K62" i="1"/>
  <c r="I62" i="3"/>
  <c r="I62" i="2"/>
  <c r="J342" i="1"/>
  <c r="J27" i="1"/>
  <c r="J237" i="4"/>
  <c r="K97" i="4"/>
  <c r="I28" i="4"/>
  <c r="I168" i="2"/>
  <c r="K98" i="4"/>
  <c r="I238" i="1"/>
  <c r="J62" i="3"/>
  <c r="J63" i="4"/>
  <c r="K273" i="5"/>
  <c r="K168" i="4"/>
  <c r="I203" i="4"/>
  <c r="K133" i="2"/>
  <c r="K133" i="5"/>
  <c r="J343" i="1"/>
  <c r="K63" i="5"/>
  <c r="K238" i="4"/>
  <c r="K133" i="1"/>
  <c r="I273" i="1"/>
  <c r="J133" i="5"/>
  <c r="K28" i="3"/>
  <c r="J413" i="1"/>
  <c r="K168" i="5"/>
  <c r="I98" i="4"/>
  <c r="J168" i="1"/>
  <c r="I133" i="2"/>
  <c r="J273" i="1"/>
  <c r="J63" i="3"/>
  <c r="J168" i="5"/>
  <c r="K168" i="1"/>
  <c r="I238" i="5"/>
  <c r="K63" i="3"/>
  <c r="J98" i="4"/>
  <c r="K98" i="1"/>
  <c r="K238" i="1"/>
  <c r="K63" i="2"/>
  <c r="J28" i="2"/>
  <c r="J28" i="4"/>
  <c r="I238" i="4"/>
  <c r="J63" i="1"/>
  <c r="I203" i="5"/>
  <c r="J28" i="5"/>
  <c r="J238" i="5"/>
  <c r="I28" i="3"/>
  <c r="J203" i="2"/>
  <c r="J203" i="1"/>
  <c r="K28" i="1"/>
  <c r="J203" i="4"/>
  <c r="I378" i="1"/>
  <c r="J98" i="1"/>
  <c r="I98" i="2"/>
  <c r="K203" i="4"/>
  <c r="J168" i="2"/>
  <c r="J238" i="4"/>
  <c r="I413" i="1"/>
  <c r="I133" i="4"/>
  <c r="J133" i="1"/>
  <c r="J238" i="1"/>
  <c r="J63" i="2"/>
  <c r="J63" i="5"/>
  <c r="J237" i="1"/>
  <c r="K28" i="5"/>
  <c r="I273" i="5"/>
  <c r="I28" i="2"/>
  <c r="K273" i="1"/>
  <c r="J28" i="1"/>
  <c r="K27" i="2"/>
  <c r="J28" i="3"/>
  <c r="J273" i="5"/>
  <c r="I343" i="1"/>
  <c r="I63" i="3"/>
  <c r="I28" i="1"/>
  <c r="J133" i="2"/>
  <c r="I168" i="4"/>
  <c r="J98" i="2"/>
  <c r="I203" i="1"/>
  <c r="J308" i="1"/>
  <c r="I28" i="5"/>
  <c r="I203" i="2"/>
  <c r="K28" i="4"/>
  <c r="K308" i="1"/>
  <c r="I63" i="4"/>
  <c r="J132" i="5"/>
  <c r="K133" i="4"/>
  <c r="K343" i="1"/>
  <c r="I308" i="1"/>
  <c r="J168" i="4"/>
  <c r="K203" i="2"/>
  <c r="K168" i="2"/>
  <c r="I133" i="1"/>
  <c r="I98" i="1"/>
  <c r="J98" i="5"/>
  <c r="I168" i="1"/>
  <c r="K378" i="1"/>
  <c r="K98" i="5"/>
  <c r="I63" i="1"/>
  <c r="I63" i="2"/>
  <c r="J133" i="4"/>
  <c r="I98" i="5"/>
  <c r="I168" i="5"/>
  <c r="J378" i="1"/>
  <c r="K98" i="2"/>
  <c r="K238" i="5"/>
  <c r="I63" i="5"/>
  <c r="J203" i="5"/>
  <c r="K203" i="5"/>
  <c r="K413" i="1"/>
  <c r="K63" i="4"/>
  <c r="K203" i="1"/>
  <c r="K63" i="1"/>
  <c r="K28" i="2"/>
  <c r="I64" i="4"/>
  <c r="K239" i="1"/>
  <c r="I99" i="5"/>
  <c r="J99" i="2"/>
  <c r="J29" i="4"/>
  <c r="K29" i="1"/>
  <c r="K204" i="1"/>
  <c r="K274" i="5"/>
  <c r="I239" i="4"/>
  <c r="I204" i="2"/>
  <c r="J99" i="5"/>
  <c r="K29" i="5"/>
  <c r="K64" i="3"/>
  <c r="K99" i="2"/>
  <c r="K169" i="2"/>
  <c r="K344" i="1"/>
  <c r="J239" i="5"/>
  <c r="K29" i="3"/>
  <c r="J134" i="4"/>
  <c r="I169" i="4"/>
  <c r="J99" i="4"/>
  <c r="I64" i="1"/>
  <c r="I379" i="1"/>
  <c r="K29" i="4"/>
  <c r="J29" i="5"/>
  <c r="J379" i="1"/>
  <c r="K64" i="2"/>
  <c r="J344" i="1"/>
  <c r="K99" i="1"/>
  <c r="I29" i="4"/>
  <c r="I99" i="1"/>
  <c r="K204" i="5"/>
  <c r="K64" i="4"/>
  <c r="I204" i="4"/>
  <c r="I99" i="4"/>
  <c r="I64" i="3"/>
  <c r="I99" i="2"/>
  <c r="I29" i="2"/>
  <c r="I169" i="2"/>
  <c r="K169" i="5"/>
  <c r="I309" i="1"/>
  <c r="J169" i="1"/>
  <c r="I64" i="2"/>
  <c r="I274" i="1"/>
  <c r="J29" i="1"/>
  <c r="J204" i="2"/>
  <c r="K134" i="1"/>
  <c r="K169" i="4"/>
  <c r="K204" i="2"/>
  <c r="J64" i="4"/>
  <c r="J169" i="4"/>
  <c r="J64" i="3"/>
  <c r="K274" i="1"/>
  <c r="I134" i="4"/>
  <c r="I64" i="5"/>
  <c r="J169" i="2"/>
  <c r="J64" i="1"/>
  <c r="J274" i="5"/>
  <c r="I134" i="2"/>
  <c r="K134" i="2"/>
  <c r="I134" i="1"/>
  <c r="I29" i="3"/>
  <c r="I239" i="5"/>
  <c r="K309" i="1"/>
  <c r="J204" i="1"/>
  <c r="J274" i="1"/>
  <c r="I204" i="5"/>
  <c r="K169" i="1"/>
  <c r="I29" i="5"/>
  <c r="K134" i="4"/>
  <c r="K134" i="5"/>
  <c r="J134" i="5"/>
  <c r="I169" i="1"/>
  <c r="K379" i="1"/>
  <c r="I239" i="1"/>
  <c r="K239" i="5"/>
  <c r="J204" i="5"/>
  <c r="I204" i="1"/>
  <c r="J239" i="1"/>
  <c r="J134" i="2"/>
  <c r="J414" i="1"/>
  <c r="J29" i="3"/>
  <c r="K239" i="4"/>
  <c r="K414" i="1"/>
  <c r="K99" i="4"/>
  <c r="J169" i="5"/>
  <c r="K64" i="5"/>
  <c r="I414" i="1"/>
  <c r="J64" i="2"/>
  <c r="J204" i="4"/>
  <c r="J29" i="2"/>
  <c r="J99" i="1"/>
  <c r="I344" i="1"/>
  <c r="K64" i="1"/>
  <c r="K29" i="2"/>
  <c r="J64" i="5"/>
  <c r="I169" i="5"/>
  <c r="K204" i="4"/>
  <c r="J309" i="1"/>
  <c r="I135" i="5"/>
  <c r="I29" i="1"/>
  <c r="J239" i="4"/>
  <c r="I134" i="5"/>
  <c r="J134" i="1"/>
  <c r="I274" i="5"/>
  <c r="J170" i="4"/>
  <c r="K170" i="2"/>
  <c r="K170" i="1"/>
  <c r="I170" i="2"/>
  <c r="I415" i="1"/>
  <c r="J170" i="2"/>
  <c r="K205" i="4"/>
  <c r="I100" i="1"/>
  <c r="K30" i="5"/>
  <c r="J170" i="1"/>
  <c r="K100" i="1"/>
  <c r="J30" i="5"/>
  <c r="I135" i="1"/>
  <c r="I65" i="2"/>
  <c r="J135" i="2"/>
  <c r="J275" i="5"/>
  <c r="K240" i="4"/>
  <c r="K205" i="5"/>
  <c r="K135" i="1"/>
  <c r="I380" i="1"/>
  <c r="K135" i="4"/>
  <c r="I205" i="4"/>
  <c r="I30" i="4"/>
  <c r="J135" i="4"/>
  <c r="J380" i="1"/>
  <c r="J135" i="1"/>
  <c r="I241" i="5"/>
  <c r="K65" i="3"/>
  <c r="I65" i="1"/>
  <c r="J30" i="2"/>
  <c r="K380" i="1"/>
  <c r="I345" i="1"/>
  <c r="I170" i="4"/>
  <c r="K100" i="4"/>
  <c r="I30" i="3"/>
  <c r="K30" i="3"/>
  <c r="I135" i="4"/>
  <c r="I310" i="1"/>
  <c r="I65" i="5"/>
  <c r="J65" i="2"/>
  <c r="I275" i="1"/>
  <c r="J240" i="5"/>
  <c r="K99" i="5"/>
  <c r="K415" i="1"/>
  <c r="I100" i="4"/>
  <c r="I205" i="1"/>
  <c r="K30" i="1"/>
  <c r="K240" i="1"/>
  <c r="K275" i="5"/>
  <c r="J310" i="1"/>
  <c r="K100" i="2"/>
  <c r="I100" i="2"/>
  <c r="I240" i="4"/>
  <c r="I205" i="5"/>
  <c r="I30" i="2"/>
  <c r="I65" i="4"/>
  <c r="J100" i="5"/>
  <c r="I100" i="5"/>
  <c r="K65" i="5"/>
  <c r="K170" i="5"/>
  <c r="J240" i="4"/>
  <c r="J345" i="1"/>
  <c r="K170" i="4"/>
  <c r="J205" i="4"/>
  <c r="J65" i="4"/>
  <c r="K310" i="1"/>
  <c r="I30" i="5"/>
  <c r="J170" i="5"/>
  <c r="J275" i="1"/>
  <c r="J135" i="5"/>
  <c r="J100" i="1"/>
  <c r="J30" i="4"/>
  <c r="I135" i="2"/>
  <c r="K205" i="2"/>
  <c r="K275" i="1"/>
  <c r="K100" i="5"/>
  <c r="K65" i="1"/>
  <c r="K135" i="2"/>
  <c r="K65" i="4"/>
  <c r="J240" i="1"/>
  <c r="I275" i="5"/>
  <c r="J30" i="1"/>
  <c r="I65" i="3"/>
  <c r="K345" i="1"/>
  <c r="K30" i="2"/>
  <c r="K135" i="5"/>
  <c r="J30" i="3"/>
  <c r="I240" i="5"/>
  <c r="I170" i="1"/>
  <c r="J205" i="1"/>
  <c r="J205" i="5"/>
  <c r="I240" i="1"/>
  <c r="K30" i="4"/>
  <c r="J100" i="4"/>
  <c r="I205" i="2"/>
  <c r="K240" i="5"/>
  <c r="J415" i="1"/>
  <c r="J100" i="2"/>
  <c r="I170" i="5"/>
  <c r="J65" i="5"/>
  <c r="I30" i="1"/>
  <c r="J205" i="2"/>
  <c r="J65" i="1"/>
  <c r="J65" i="3"/>
  <c r="K65" i="2"/>
  <c r="K205" i="1"/>
  <c r="J171" i="4"/>
  <c r="K346" i="1"/>
  <c r="K31" i="4"/>
  <c r="I346" i="1"/>
  <c r="J31" i="3"/>
  <c r="J276" i="1"/>
  <c r="I276" i="1"/>
  <c r="J31" i="5"/>
  <c r="J241" i="5"/>
  <c r="I206" i="1"/>
  <c r="K136" i="5"/>
  <c r="I311" i="1"/>
  <c r="K31" i="1"/>
  <c r="K241" i="5"/>
  <c r="I171" i="5"/>
  <c r="I31" i="2"/>
  <c r="K206" i="4"/>
  <c r="I206" i="2"/>
  <c r="J136" i="1"/>
  <c r="K101" i="1"/>
  <c r="J171" i="5"/>
  <c r="I136" i="4"/>
  <c r="K136" i="4"/>
  <c r="K171" i="4"/>
  <c r="K136" i="1"/>
  <c r="I171" i="4"/>
  <c r="J276" i="5"/>
  <c r="K276" i="5"/>
  <c r="I66" i="1"/>
  <c r="I241" i="4"/>
  <c r="J66" i="5"/>
  <c r="I416" i="1"/>
  <c r="J101" i="5"/>
  <c r="K276" i="1"/>
  <c r="J136" i="2"/>
  <c r="J206" i="5"/>
  <c r="I101" i="1"/>
  <c r="K381" i="1"/>
  <c r="J66" i="4"/>
  <c r="J66" i="3"/>
  <c r="K206" i="5"/>
  <c r="J416" i="1"/>
  <c r="J346" i="1"/>
  <c r="I171" i="2"/>
  <c r="J136" i="5"/>
  <c r="I66" i="4"/>
  <c r="J206" i="1"/>
  <c r="J206" i="2"/>
  <c r="K416" i="1"/>
  <c r="K66" i="3"/>
  <c r="K101" i="4"/>
  <c r="K66" i="2"/>
  <c r="J381" i="1"/>
  <c r="K101" i="2"/>
  <c r="K171" i="1"/>
  <c r="J241" i="4"/>
  <c r="K31" i="2"/>
  <c r="I206" i="4"/>
  <c r="J171" i="2"/>
  <c r="K171" i="2"/>
  <c r="K31" i="3"/>
  <c r="K206" i="1"/>
  <c r="J31" i="2"/>
  <c r="J136" i="4"/>
  <c r="K241" i="4"/>
  <c r="J206" i="4"/>
  <c r="I136" i="5"/>
  <c r="K101" i="5"/>
  <c r="I101" i="4"/>
  <c r="J171" i="1"/>
  <c r="K206" i="2"/>
  <c r="J101" i="2"/>
  <c r="I136" i="2"/>
  <c r="I66" i="5"/>
  <c r="K66" i="1"/>
  <c r="J101" i="4"/>
  <c r="K136" i="2"/>
  <c r="I31" i="3"/>
  <c r="J241" i="1"/>
  <c r="I66" i="3"/>
  <c r="I276" i="5"/>
  <c r="K241" i="1"/>
  <c r="K171" i="5"/>
  <c r="J66" i="1"/>
  <c r="I31" i="1"/>
  <c r="I66" i="2"/>
  <c r="I171" i="1"/>
  <c r="K66" i="5"/>
  <c r="I206" i="5"/>
  <c r="K66" i="4"/>
  <c r="I31" i="5"/>
  <c r="J66" i="2"/>
  <c r="K311" i="1"/>
  <c r="I101" i="2"/>
  <c r="I136" i="1"/>
  <c r="I101" i="5"/>
  <c r="J311" i="1"/>
  <c r="J31" i="1"/>
  <c r="J101" i="1"/>
  <c r="I381" i="1"/>
  <c r="K31" i="5"/>
  <c r="K67" i="4"/>
  <c r="J32" i="3"/>
  <c r="J172" i="4"/>
  <c r="I242" i="5"/>
  <c r="I207" i="2"/>
  <c r="K67" i="2"/>
  <c r="J277" i="5"/>
  <c r="K242" i="5"/>
  <c r="I32" i="2"/>
  <c r="J242" i="1"/>
  <c r="K102" i="2"/>
  <c r="J137" i="1"/>
  <c r="J102" i="5"/>
  <c r="K277" i="1"/>
  <c r="I172" i="5"/>
  <c r="I102" i="1"/>
  <c r="J67" i="1"/>
  <c r="J207" i="4"/>
  <c r="I417" i="1"/>
  <c r="K172" i="4"/>
  <c r="K67" i="1"/>
  <c r="J137" i="5"/>
  <c r="K347" i="1"/>
  <c r="K312" i="1"/>
  <c r="I102" i="5"/>
  <c r="I172" i="2"/>
  <c r="I32" i="1"/>
  <c r="K102" i="5"/>
  <c r="I137" i="1"/>
  <c r="I67" i="3"/>
  <c r="J67" i="4"/>
  <c r="I207" i="5"/>
  <c r="K207" i="2"/>
  <c r="I172" i="4"/>
  <c r="J277" i="1"/>
  <c r="I277" i="1"/>
  <c r="I137" i="4"/>
  <c r="J102" i="4"/>
  <c r="J172" i="1"/>
  <c r="I67" i="5"/>
  <c r="K32" i="3"/>
  <c r="I207" i="1"/>
  <c r="I312" i="1"/>
  <c r="J67" i="5"/>
  <c r="I67" i="2"/>
  <c r="J242" i="5"/>
  <c r="K382" i="1"/>
  <c r="I67" i="1"/>
  <c r="I102" i="2"/>
  <c r="K102" i="1"/>
  <c r="I31" i="4"/>
  <c r="J382" i="1"/>
  <c r="K137" i="4"/>
  <c r="K172" i="2"/>
  <c r="K207" i="5"/>
  <c r="J102" i="2"/>
  <c r="J347" i="1"/>
  <c r="I102" i="4"/>
  <c r="I32" i="4"/>
  <c r="K242" i="1"/>
  <c r="K137" i="1"/>
  <c r="J31" i="4"/>
  <c r="J137" i="2"/>
  <c r="I241" i="1"/>
  <c r="K32" i="5"/>
  <c r="I277" i="5"/>
  <c r="J207" i="5"/>
  <c r="I207" i="4"/>
  <c r="J32" i="5"/>
  <c r="J242" i="4"/>
  <c r="J67" i="2"/>
  <c r="J32" i="4"/>
  <c r="I137" i="2"/>
  <c r="I242" i="1"/>
  <c r="I32" i="3"/>
  <c r="K67" i="5"/>
  <c r="I347" i="1"/>
  <c r="K102" i="4"/>
  <c r="K67" i="3"/>
  <c r="J67" i="3"/>
  <c r="J207" i="2"/>
  <c r="J137" i="4"/>
  <c r="J102" i="1"/>
  <c r="K207" i="4"/>
  <c r="I172" i="1"/>
  <c r="K172" i="5"/>
  <c r="K172" i="1"/>
  <c r="K32" i="1"/>
  <c r="I242" i="4"/>
  <c r="J32" i="2"/>
  <c r="K137" i="5"/>
  <c r="K32" i="4"/>
  <c r="J172" i="2"/>
  <c r="K32" i="2"/>
  <c r="I137" i="5"/>
  <c r="J312" i="1"/>
  <c r="I67" i="4"/>
  <c r="I382" i="1"/>
  <c r="K242" i="4"/>
  <c r="I32" i="5"/>
  <c r="J32" i="1"/>
  <c r="K277" i="5"/>
  <c r="K137" i="2"/>
  <c r="J207" i="1"/>
  <c r="J138" i="5"/>
  <c r="J278" i="5"/>
  <c r="I68" i="1"/>
  <c r="I278" i="1"/>
  <c r="J33" i="1"/>
  <c r="K417" i="1"/>
  <c r="J208" i="2"/>
  <c r="J208" i="4"/>
  <c r="J33" i="4"/>
  <c r="J417" i="1"/>
  <c r="K208" i="4"/>
  <c r="J243" i="1"/>
  <c r="J173" i="4"/>
  <c r="I33" i="3"/>
  <c r="K243" i="4"/>
  <c r="K278" i="5"/>
  <c r="K138" i="1"/>
  <c r="K313" i="1"/>
  <c r="K68" i="1"/>
  <c r="J33" i="2"/>
  <c r="J383" i="1"/>
  <c r="K173" i="2"/>
  <c r="K243" i="1"/>
  <c r="I173" i="5"/>
  <c r="I68" i="3"/>
  <c r="J68" i="2"/>
  <c r="K33" i="4"/>
  <c r="K348" i="1"/>
  <c r="J33" i="3"/>
  <c r="J173" i="5"/>
  <c r="I348" i="1"/>
  <c r="K103" i="2"/>
  <c r="I208" i="1"/>
  <c r="I208" i="4"/>
  <c r="I68" i="5"/>
  <c r="J418" i="1"/>
  <c r="I173" i="1"/>
  <c r="K33" i="1"/>
  <c r="I138" i="1"/>
  <c r="J33" i="5"/>
  <c r="K138" i="2"/>
  <c r="K208" i="5"/>
  <c r="J243" i="4"/>
  <c r="I313" i="1"/>
  <c r="K103" i="5"/>
  <c r="K68" i="2"/>
  <c r="I68" i="2"/>
  <c r="J138" i="4"/>
  <c r="K103" i="4"/>
  <c r="J68" i="4"/>
  <c r="K243" i="5"/>
  <c r="K383" i="1"/>
  <c r="I33" i="4"/>
  <c r="J348" i="1"/>
  <c r="I68" i="4"/>
  <c r="K173" i="4"/>
  <c r="K33" i="5"/>
  <c r="J103" i="1"/>
  <c r="I243" i="1"/>
  <c r="I243" i="4"/>
  <c r="K68" i="3"/>
  <c r="J173" i="2"/>
  <c r="I208" i="5"/>
  <c r="I278" i="5"/>
  <c r="I138" i="2"/>
  <c r="J138" i="2"/>
  <c r="I173" i="2"/>
  <c r="I33" i="5"/>
  <c r="I103" i="5"/>
  <c r="K207" i="1"/>
  <c r="I138" i="5"/>
  <c r="J172" i="5"/>
  <c r="J68" i="5"/>
  <c r="I103" i="2"/>
  <c r="J243" i="5"/>
  <c r="K68" i="5"/>
  <c r="I418" i="1"/>
  <c r="J138" i="1"/>
  <c r="K278" i="1"/>
  <c r="K138" i="4"/>
  <c r="I103" i="1"/>
  <c r="K418" i="1"/>
  <c r="J173" i="1"/>
  <c r="J103" i="5"/>
  <c r="I383" i="1"/>
  <c r="K138" i="5"/>
  <c r="K208" i="1"/>
  <c r="K33" i="3"/>
  <c r="J103" i="2"/>
  <c r="I138" i="4"/>
  <c r="J208" i="5"/>
  <c r="J208" i="1"/>
  <c r="K173" i="1"/>
  <c r="I33" i="1"/>
  <c r="K208" i="2"/>
  <c r="J278" i="1"/>
  <c r="K173" i="5"/>
  <c r="K33" i="2"/>
  <c r="J313" i="1"/>
  <c r="I33" i="2"/>
  <c r="K68" i="4"/>
  <c r="I103" i="4"/>
  <c r="J68" i="1"/>
  <c r="K103" i="1"/>
  <c r="J68" i="3"/>
  <c r="K209" i="4"/>
  <c r="I243" i="5"/>
  <c r="I208" i="2"/>
  <c r="I173" i="4"/>
  <c r="J103" i="4"/>
  <c r="J34" i="4"/>
  <c r="I139" i="2"/>
  <c r="I104" i="2"/>
  <c r="J244" i="4"/>
  <c r="K174" i="2"/>
  <c r="J139" i="2"/>
  <c r="J209" i="5"/>
  <c r="I244" i="5"/>
  <c r="K69" i="4"/>
  <c r="K174" i="1"/>
  <c r="J244" i="1"/>
  <c r="I349" i="1"/>
  <c r="I279" i="1"/>
  <c r="I34" i="4"/>
  <c r="K419" i="1"/>
  <c r="K174" i="5"/>
  <c r="J34" i="5"/>
  <c r="K104" i="1"/>
  <c r="J139" i="5"/>
  <c r="K139" i="1"/>
  <c r="J209" i="1"/>
  <c r="I69" i="2"/>
  <c r="I34" i="2"/>
  <c r="I34" i="1"/>
  <c r="I104" i="4"/>
  <c r="J104" i="4"/>
  <c r="K139" i="5"/>
  <c r="I69" i="3"/>
  <c r="I244" i="1"/>
  <c r="I209" i="1"/>
  <c r="K209" i="1"/>
  <c r="J69" i="1"/>
  <c r="J349" i="1"/>
  <c r="J314" i="1"/>
  <c r="I139" i="5"/>
  <c r="J279" i="1"/>
  <c r="I314" i="1"/>
  <c r="J209" i="2"/>
  <c r="K139" i="2"/>
  <c r="J139" i="4"/>
  <c r="I384" i="1"/>
  <c r="I209" i="5"/>
  <c r="J174" i="2"/>
  <c r="I244" i="4"/>
  <c r="K139" i="4"/>
  <c r="K279" i="1"/>
  <c r="I174" i="1"/>
  <c r="K69" i="1"/>
  <c r="K244" i="4"/>
  <c r="J279" i="5"/>
  <c r="K69" i="5"/>
  <c r="J69" i="3"/>
  <c r="K69" i="3"/>
  <c r="K209" i="5"/>
  <c r="J174" i="4"/>
  <c r="J69" i="5"/>
  <c r="K104" i="4"/>
  <c r="J384" i="1"/>
  <c r="J104" i="2"/>
  <c r="I209" i="2"/>
  <c r="K279" i="5"/>
  <c r="I419" i="1"/>
  <c r="J34" i="2"/>
  <c r="J104" i="1"/>
  <c r="I69" i="4"/>
  <c r="J209" i="4"/>
  <c r="J34" i="3"/>
  <c r="K34" i="1"/>
  <c r="J104" i="5"/>
  <c r="K314" i="1"/>
  <c r="K104" i="2"/>
  <c r="J419" i="1"/>
  <c r="K244" i="1"/>
  <c r="I174" i="4"/>
  <c r="I34" i="3"/>
  <c r="K34" i="4"/>
  <c r="I139" i="4"/>
  <c r="K174" i="4"/>
  <c r="I139" i="1"/>
  <c r="K34" i="2"/>
  <c r="J69" i="2"/>
  <c r="K34" i="3"/>
  <c r="K244" i="5"/>
  <c r="I69" i="5"/>
  <c r="K69" i="2"/>
  <c r="I104" i="1"/>
  <c r="J139" i="1"/>
  <c r="J174" i="5"/>
  <c r="J69" i="4"/>
  <c r="K384" i="1"/>
  <c r="K104" i="5"/>
  <c r="I69" i="1"/>
  <c r="I34" i="5"/>
  <c r="K209" i="2"/>
  <c r="J244" i="5"/>
  <c r="J174" i="1"/>
  <c r="K349" i="1"/>
  <c r="I104" i="5"/>
  <c r="K34" i="5"/>
  <c r="I279" i="5"/>
  <c r="J175" i="5"/>
  <c r="I140" i="1"/>
  <c r="I140" i="2"/>
  <c r="I245" i="4"/>
  <c r="K245" i="1"/>
  <c r="K245" i="4"/>
  <c r="K105" i="2"/>
  <c r="I175" i="5"/>
  <c r="I140" i="5"/>
  <c r="J105" i="5"/>
  <c r="I70" i="3"/>
  <c r="J210" i="1"/>
  <c r="K175" i="2"/>
  <c r="J315" i="1"/>
  <c r="J105" i="1"/>
  <c r="J175" i="2"/>
  <c r="J176" i="5"/>
  <c r="J105" i="4"/>
  <c r="J245" i="5"/>
  <c r="K105" i="5"/>
  <c r="I35" i="4"/>
  <c r="I315" i="1"/>
  <c r="K175" i="5"/>
  <c r="I70" i="2"/>
  <c r="K280" i="1"/>
  <c r="K35" i="4"/>
  <c r="I35" i="1"/>
  <c r="K350" i="1"/>
  <c r="I210" i="5"/>
  <c r="J34" i="1"/>
  <c r="J175" i="1"/>
  <c r="J140" i="5"/>
  <c r="J210" i="2"/>
  <c r="K105" i="1"/>
  <c r="I105" i="2"/>
  <c r="J245" i="1"/>
  <c r="I35" i="5"/>
  <c r="K70" i="1"/>
  <c r="K420" i="1"/>
  <c r="K140" i="2"/>
  <c r="J70" i="3"/>
  <c r="K175" i="1"/>
  <c r="K70" i="3"/>
  <c r="I35" i="3"/>
  <c r="J35" i="5"/>
  <c r="J210" i="5"/>
  <c r="I280" i="1"/>
  <c r="I174" i="5"/>
  <c r="I140" i="4"/>
  <c r="J140" i="2"/>
  <c r="K175" i="4"/>
  <c r="J350" i="1"/>
  <c r="K385" i="1"/>
  <c r="I70" i="4"/>
  <c r="J280" i="1"/>
  <c r="I245" i="5"/>
  <c r="K210" i="2"/>
  <c r="K35" i="3"/>
  <c r="J35" i="2"/>
  <c r="I210" i="2"/>
  <c r="J420" i="1"/>
  <c r="J35" i="4"/>
  <c r="I175" i="4"/>
  <c r="J245" i="4"/>
  <c r="I175" i="2"/>
  <c r="I350" i="1"/>
  <c r="J70" i="5"/>
  <c r="I209" i="4"/>
  <c r="K70" i="5"/>
  <c r="I245" i="1"/>
  <c r="I210" i="1"/>
  <c r="I174" i="2"/>
  <c r="J175" i="4"/>
  <c r="J385" i="1"/>
  <c r="I105" i="1"/>
  <c r="K35" i="5"/>
  <c r="I280" i="5"/>
  <c r="J70" i="1"/>
  <c r="K140" i="4"/>
  <c r="I70" i="1"/>
  <c r="K210" i="4"/>
  <c r="I35" i="2"/>
  <c r="J70" i="2"/>
  <c r="J140" i="4"/>
  <c r="I105" i="5"/>
  <c r="J140" i="1"/>
  <c r="J70" i="4"/>
  <c r="J210" i="4"/>
  <c r="K140" i="5"/>
  <c r="I70" i="5"/>
  <c r="K35" i="2"/>
  <c r="K210" i="5"/>
  <c r="J35" i="3"/>
  <c r="J35" i="1"/>
  <c r="K245" i="5"/>
  <c r="I210" i="4"/>
  <c r="K105" i="4"/>
  <c r="I385" i="1"/>
  <c r="I420" i="1"/>
  <c r="K70" i="2"/>
  <c r="K280" i="5"/>
  <c r="I105" i="4"/>
  <c r="I175" i="1"/>
  <c r="K140" i="1"/>
  <c r="K35" i="1"/>
  <c r="J105" i="2"/>
  <c r="K70" i="4"/>
  <c r="K315" i="1"/>
  <c r="J280" i="5"/>
  <c r="K210" i="1"/>
  <c r="I36" i="5"/>
  <c r="K106" i="1"/>
  <c r="I141" i="5"/>
  <c r="I281" i="1"/>
  <c r="I36" i="1"/>
  <c r="K211" i="1"/>
  <c r="I71" i="1"/>
  <c r="K71" i="4"/>
  <c r="I71" i="2"/>
  <c r="J141" i="2"/>
  <c r="J176" i="4"/>
  <c r="J281" i="5"/>
  <c r="K176" i="2"/>
  <c r="K211" i="5"/>
  <c r="K36" i="3"/>
  <c r="I351" i="1"/>
  <c r="I176" i="5"/>
  <c r="K71" i="5"/>
  <c r="I246" i="5"/>
  <c r="J106" i="2"/>
  <c r="J246" i="5"/>
  <c r="I211" i="5"/>
  <c r="J71" i="5"/>
  <c r="J141" i="1"/>
  <c r="I141" i="1"/>
  <c r="I106" i="5"/>
  <c r="J36" i="1"/>
  <c r="J71" i="1"/>
  <c r="J36" i="4"/>
  <c r="I176" i="2"/>
  <c r="I36" i="2"/>
  <c r="K141" i="1"/>
  <c r="K421" i="1"/>
  <c r="K36" i="4"/>
  <c r="K141" i="4"/>
  <c r="K71" i="3"/>
  <c r="K36" i="5"/>
  <c r="J211" i="1"/>
  <c r="J106" i="5"/>
  <c r="K106" i="2"/>
  <c r="I316" i="1"/>
  <c r="K211" i="4"/>
  <c r="J176" i="2"/>
  <c r="J71" i="2"/>
  <c r="K106" i="4"/>
  <c r="J106" i="4"/>
  <c r="J141" i="4"/>
  <c r="J211" i="2"/>
  <c r="J211" i="4"/>
  <c r="K71" i="2"/>
  <c r="I106" i="4"/>
  <c r="K36" i="1"/>
  <c r="K211" i="2"/>
  <c r="J421" i="1"/>
  <c r="K176" i="5"/>
  <c r="I71" i="3"/>
  <c r="J281" i="1"/>
  <c r="I281" i="5"/>
  <c r="K106" i="5"/>
  <c r="I246" i="1"/>
  <c r="K141" i="5"/>
  <c r="K36" i="2"/>
  <c r="I176" i="4"/>
  <c r="K71" i="1"/>
  <c r="I36" i="3"/>
  <c r="I211" i="1"/>
  <c r="J36" i="3"/>
  <c r="K386" i="1"/>
  <c r="I211" i="4"/>
  <c r="J316" i="1"/>
  <c r="I71" i="5"/>
  <c r="K246" i="5"/>
  <c r="K246" i="1"/>
  <c r="I71" i="4"/>
  <c r="I176" i="1"/>
  <c r="I141" i="4"/>
  <c r="J176" i="1"/>
  <c r="J351" i="1"/>
  <c r="J386" i="1"/>
  <c r="J246" i="4"/>
  <c r="I246" i="4"/>
  <c r="I106" i="1"/>
  <c r="J141" i="5"/>
  <c r="K351" i="1"/>
  <c r="I36" i="4"/>
  <c r="J246" i="1"/>
  <c r="K176" i="4"/>
  <c r="K281" i="5"/>
  <c r="I141" i="2"/>
  <c r="I211" i="2"/>
  <c r="I421" i="1"/>
  <c r="K176" i="1"/>
  <c r="J36" i="5"/>
  <c r="I106" i="2"/>
  <c r="J106" i="1"/>
  <c r="J71" i="4"/>
  <c r="K316" i="1"/>
  <c r="J36" i="2"/>
  <c r="K246" i="4"/>
  <c r="K141" i="2"/>
  <c r="J211" i="5"/>
  <c r="K281" i="1"/>
  <c r="J142" i="4"/>
  <c r="K212" i="4"/>
  <c r="J177" i="5"/>
  <c r="K247" i="5"/>
  <c r="K317" i="1"/>
  <c r="K72" i="4"/>
  <c r="K247" i="4"/>
  <c r="J72" i="2"/>
  <c r="I142" i="4"/>
  <c r="I177" i="2"/>
  <c r="K177" i="5"/>
  <c r="J107" i="4"/>
  <c r="I142" i="5"/>
  <c r="K177" i="4"/>
  <c r="J177" i="4"/>
  <c r="J72" i="3"/>
  <c r="K212" i="1"/>
  <c r="I142" i="1"/>
  <c r="J212" i="1"/>
  <c r="K107" i="5"/>
  <c r="J317" i="1"/>
  <c r="J247" i="4"/>
  <c r="J212" i="2"/>
  <c r="J177" i="1"/>
  <c r="I107" i="4"/>
  <c r="K107" i="2"/>
  <c r="I177" i="4"/>
  <c r="K107" i="4"/>
  <c r="J107" i="2"/>
  <c r="I212" i="5"/>
  <c r="J37" i="1"/>
  <c r="J107" i="1"/>
  <c r="I282" i="1"/>
  <c r="K142" i="2"/>
  <c r="J212" i="4"/>
  <c r="I386" i="1"/>
  <c r="J387" i="1"/>
  <c r="K72" i="1"/>
  <c r="J72" i="5"/>
  <c r="I37" i="5"/>
  <c r="J107" i="5"/>
  <c r="I177" i="5"/>
  <c r="I37" i="1"/>
  <c r="I142" i="2"/>
  <c r="I37" i="4"/>
  <c r="K37" i="5"/>
  <c r="I37" i="2"/>
  <c r="I107" i="1"/>
  <c r="I282" i="5"/>
  <c r="I247" i="5"/>
  <c r="J352" i="1"/>
  <c r="K352" i="1"/>
  <c r="J247" i="5"/>
  <c r="K282" i="1"/>
  <c r="J37" i="2"/>
  <c r="K282" i="5"/>
  <c r="J247" i="1"/>
  <c r="K142" i="1"/>
  <c r="I387" i="1"/>
  <c r="K212" i="2"/>
  <c r="K212" i="5"/>
  <c r="J37" i="4"/>
  <c r="I177" i="1"/>
  <c r="K37" i="2"/>
  <c r="K387" i="1"/>
  <c r="K37" i="3"/>
  <c r="I212" i="4"/>
  <c r="K72" i="5"/>
  <c r="J37" i="3"/>
  <c r="J422" i="1"/>
  <c r="J177" i="2"/>
  <c r="I317" i="1"/>
  <c r="I72" i="3"/>
  <c r="J282" i="5"/>
  <c r="K107" i="1"/>
  <c r="J72" i="4"/>
  <c r="I72" i="1"/>
  <c r="I72" i="2"/>
  <c r="J142" i="5"/>
  <c r="I352" i="1"/>
  <c r="K247" i="1"/>
  <c r="K177" i="1"/>
  <c r="I72" i="5"/>
  <c r="K72" i="2"/>
  <c r="J282" i="1"/>
  <c r="I422" i="1"/>
  <c r="K37" i="1"/>
  <c r="K72" i="3"/>
  <c r="J71" i="3"/>
  <c r="J142" i="2"/>
  <c r="J72" i="1"/>
  <c r="I37" i="3"/>
  <c r="K142" i="4"/>
  <c r="K422" i="1"/>
  <c r="K177" i="2"/>
  <c r="I212" i="1"/>
  <c r="K37" i="4"/>
  <c r="I72" i="4"/>
  <c r="I212" i="2"/>
  <c r="J37" i="5"/>
  <c r="I247" i="1"/>
  <c r="K142" i="5"/>
  <c r="J142" i="1"/>
  <c r="I247" i="4"/>
  <c r="I107" i="2"/>
  <c r="I107" i="5"/>
  <c r="J423" i="1"/>
  <c r="I213" i="4"/>
  <c r="I73" i="2"/>
  <c r="K108" i="5"/>
  <c r="I248" i="1"/>
  <c r="K283" i="5"/>
  <c r="K143" i="1"/>
  <c r="K388" i="1"/>
  <c r="K38" i="4"/>
  <c r="I73" i="5"/>
  <c r="I73" i="3"/>
  <c r="J143" i="2"/>
  <c r="I283" i="5"/>
  <c r="K38" i="1"/>
  <c r="I143" i="1"/>
  <c r="K38" i="5"/>
  <c r="I73" i="4"/>
  <c r="K248" i="4"/>
  <c r="J38" i="2"/>
  <c r="J213" i="5"/>
  <c r="I178" i="5"/>
  <c r="K73" i="4"/>
  <c r="K423" i="1"/>
  <c r="I423" i="1"/>
  <c r="K178" i="5"/>
  <c r="I388" i="1"/>
  <c r="J248" i="4"/>
  <c r="J178" i="5"/>
  <c r="I108" i="4"/>
  <c r="K213" i="5"/>
  <c r="J143" i="5"/>
  <c r="K143" i="4"/>
  <c r="J38" i="3"/>
  <c r="I213" i="5"/>
  <c r="J283" i="1"/>
  <c r="J178" i="2"/>
  <c r="I108" i="5"/>
  <c r="K213" i="4"/>
  <c r="K178" i="1"/>
  <c r="J38" i="4"/>
  <c r="J38" i="5"/>
  <c r="K283" i="1"/>
  <c r="I143" i="5"/>
  <c r="I73" i="1"/>
  <c r="J213" i="4"/>
  <c r="I283" i="1"/>
  <c r="I108" i="2"/>
  <c r="I178" i="4"/>
  <c r="J38" i="1"/>
  <c r="I318" i="1"/>
  <c r="K143" i="5"/>
  <c r="J212" i="5"/>
  <c r="I353" i="1"/>
  <c r="I213" i="1"/>
  <c r="I38" i="5"/>
  <c r="J73" i="3"/>
  <c r="J143" i="1"/>
  <c r="K143" i="2"/>
  <c r="J248" i="5"/>
  <c r="J213" i="1"/>
  <c r="J73" i="2"/>
  <c r="K108" i="1"/>
  <c r="I143" i="4"/>
  <c r="K213" i="2"/>
  <c r="J283" i="5"/>
  <c r="K353" i="1"/>
  <c r="K178" i="4"/>
  <c r="K318" i="1"/>
  <c r="K248" i="1"/>
  <c r="J73" i="4"/>
  <c r="K73" i="1"/>
  <c r="I38" i="3"/>
  <c r="I143" i="2"/>
  <c r="I38" i="1"/>
  <c r="I178" i="1"/>
  <c r="I213" i="2"/>
  <c r="K108" i="4"/>
  <c r="K73" i="5"/>
  <c r="J73" i="5"/>
  <c r="K73" i="2"/>
  <c r="K108" i="2"/>
  <c r="J108" i="5"/>
  <c r="J178" i="4"/>
  <c r="K38" i="3"/>
  <c r="K248" i="5"/>
  <c r="J73" i="1"/>
  <c r="I38" i="4"/>
  <c r="I248" i="5"/>
  <c r="I248" i="4"/>
  <c r="J178" i="1"/>
  <c r="J248" i="1"/>
  <c r="J108" i="4"/>
  <c r="J143" i="4"/>
  <c r="I178" i="2"/>
  <c r="J388" i="1"/>
  <c r="J353" i="1"/>
  <c r="J318" i="1"/>
  <c r="K178" i="2"/>
  <c r="I38" i="2"/>
  <c r="J213" i="2"/>
  <c r="J108" i="2"/>
  <c r="K73" i="3"/>
  <c r="K38" i="2"/>
  <c r="K213" i="1"/>
  <c r="J108" i="1"/>
  <c r="J214" i="2"/>
  <c r="I144" i="2"/>
  <c r="K214" i="1"/>
  <c r="I144" i="5"/>
  <c r="I214" i="4"/>
  <c r="K74" i="4"/>
  <c r="J74" i="3"/>
  <c r="J214" i="4"/>
  <c r="I74" i="2"/>
  <c r="K249" i="5"/>
  <c r="J179" i="2"/>
  <c r="J39" i="1"/>
  <c r="I214" i="1"/>
  <c r="I179" i="2"/>
  <c r="K39" i="2"/>
  <c r="K424" i="1"/>
  <c r="K74" i="3"/>
  <c r="J424" i="1"/>
  <c r="K74" i="1"/>
  <c r="J389" i="1"/>
  <c r="J179" i="5"/>
  <c r="K284" i="5"/>
  <c r="I74" i="1"/>
  <c r="J109" i="1"/>
  <c r="K179" i="1"/>
  <c r="I109" i="2"/>
  <c r="K144" i="1"/>
  <c r="I144" i="4"/>
  <c r="J74" i="1"/>
  <c r="I74" i="5"/>
  <c r="K74" i="2"/>
  <c r="K214" i="4"/>
  <c r="J354" i="1"/>
  <c r="K109" i="1"/>
  <c r="I389" i="1"/>
  <c r="J179" i="1"/>
  <c r="K39" i="5"/>
  <c r="I39" i="4"/>
  <c r="I39" i="3"/>
  <c r="J109" i="4"/>
  <c r="K214" i="5"/>
  <c r="I109" i="5"/>
  <c r="I214" i="2"/>
  <c r="J144" i="1"/>
  <c r="K249" i="1"/>
  <c r="J74" i="2"/>
  <c r="K284" i="1"/>
  <c r="I109" i="4"/>
  <c r="J144" i="4"/>
  <c r="J39" i="3"/>
  <c r="K389" i="1"/>
  <c r="J319" i="1"/>
  <c r="J249" i="1"/>
  <c r="K214" i="2"/>
  <c r="K74" i="5"/>
  <c r="K144" i="2"/>
  <c r="I39" i="1"/>
  <c r="I284" i="5"/>
  <c r="J74" i="5"/>
  <c r="I144" i="1"/>
  <c r="J39" i="4"/>
  <c r="K354" i="1"/>
  <c r="I179" i="4"/>
  <c r="I249" i="5"/>
  <c r="I109" i="1"/>
  <c r="K109" i="4"/>
  <c r="J214" i="1"/>
  <c r="K249" i="4"/>
  <c r="J144" i="2"/>
  <c r="J284" i="1"/>
  <c r="K39" i="4"/>
  <c r="I249" i="4"/>
  <c r="J144" i="5"/>
  <c r="J249" i="4"/>
  <c r="I74" i="4"/>
  <c r="J284" i="5"/>
  <c r="J249" i="5"/>
  <c r="K179" i="5"/>
  <c r="I249" i="1"/>
  <c r="I39" i="2"/>
  <c r="I179" i="1"/>
  <c r="I354" i="1"/>
  <c r="J39" i="2"/>
  <c r="K144" i="4"/>
  <c r="I424" i="1"/>
  <c r="J214" i="5"/>
  <c r="I108" i="1"/>
  <c r="I39" i="5"/>
  <c r="J109" i="2"/>
  <c r="I74" i="3"/>
  <c r="J39" i="5"/>
  <c r="I214" i="5"/>
  <c r="K144" i="5"/>
  <c r="K39" i="1"/>
  <c r="K109" i="2"/>
  <c r="K179" i="4"/>
  <c r="K179" i="2"/>
  <c r="K319" i="1"/>
  <c r="I284" i="1"/>
  <c r="J74" i="4"/>
  <c r="K39" i="3"/>
  <c r="J109" i="5"/>
  <c r="I319" i="1"/>
  <c r="K109" i="5"/>
  <c r="K250" i="5"/>
  <c r="J180" i="2"/>
  <c r="K320" i="1"/>
  <c r="K145" i="5"/>
  <c r="I250" i="1"/>
  <c r="K215" i="2"/>
  <c r="J75" i="3"/>
  <c r="J145" i="5"/>
  <c r="K40" i="1"/>
  <c r="I180" i="1"/>
  <c r="J145" i="4"/>
  <c r="J179" i="4"/>
  <c r="J390" i="1"/>
  <c r="K75" i="2"/>
  <c r="I40" i="1"/>
  <c r="J215" i="1"/>
  <c r="K110" i="1"/>
  <c r="I75" i="3"/>
  <c r="K75" i="4"/>
  <c r="K40" i="5"/>
  <c r="J180" i="4"/>
  <c r="I75" i="2"/>
  <c r="K215" i="1"/>
  <c r="I180" i="2"/>
  <c r="J425" i="1"/>
  <c r="I215" i="5"/>
  <c r="J215" i="5"/>
  <c r="J40" i="2"/>
  <c r="I250" i="4"/>
  <c r="I40" i="4"/>
  <c r="K180" i="2"/>
  <c r="J250" i="5"/>
  <c r="I75" i="5"/>
  <c r="I215" i="4"/>
  <c r="J75" i="5"/>
  <c r="J320" i="1"/>
  <c r="K285" i="5"/>
  <c r="K425" i="1"/>
  <c r="K110" i="5"/>
  <c r="J75" i="4"/>
  <c r="I75" i="4"/>
  <c r="I40" i="5"/>
  <c r="I215" i="1"/>
  <c r="I110" i="1"/>
  <c r="K75" i="1"/>
  <c r="J110" i="5"/>
  <c r="J40" i="5"/>
  <c r="I250" i="5"/>
  <c r="K40" i="4"/>
  <c r="K180" i="4"/>
  <c r="I425" i="1"/>
  <c r="J110" i="4"/>
  <c r="I145" i="5"/>
  <c r="J110" i="1"/>
  <c r="J180" i="5"/>
  <c r="K215" i="4"/>
  <c r="J250" i="1"/>
  <c r="J145" i="2"/>
  <c r="K250" i="1"/>
  <c r="J250" i="4"/>
  <c r="I180" i="4"/>
  <c r="I110" i="4"/>
  <c r="J110" i="2"/>
  <c r="K75" i="5"/>
  <c r="I179" i="5"/>
  <c r="K75" i="3"/>
  <c r="J285" i="1"/>
  <c r="I215" i="2"/>
  <c r="I110" i="5"/>
  <c r="I75" i="1"/>
  <c r="J40" i="4"/>
  <c r="J75" i="1"/>
  <c r="K215" i="5"/>
  <c r="K110" i="2"/>
  <c r="I355" i="1"/>
  <c r="I320" i="1"/>
  <c r="J285" i="5"/>
  <c r="I180" i="5"/>
  <c r="K390" i="1"/>
  <c r="I110" i="2"/>
  <c r="I390" i="1"/>
  <c r="J145" i="1"/>
  <c r="K180" i="1"/>
  <c r="I40" i="2"/>
  <c r="K180" i="5"/>
  <c r="I145" i="1"/>
  <c r="I181" i="1"/>
  <c r="J180" i="1"/>
  <c r="K355" i="1"/>
  <c r="J40" i="3"/>
  <c r="J75" i="2"/>
  <c r="I145" i="4"/>
  <c r="J355" i="1"/>
  <c r="I285" i="1"/>
  <c r="J215" i="2"/>
  <c r="K40" i="3"/>
  <c r="I40" i="3"/>
  <c r="J40" i="1"/>
  <c r="K250" i="4"/>
  <c r="K40" i="2"/>
  <c r="I145" i="2"/>
  <c r="I285" i="5"/>
  <c r="K145" i="4"/>
  <c r="K110" i="4"/>
  <c r="J215" i="4"/>
  <c r="K145" i="1"/>
  <c r="I181" i="4"/>
  <c r="I42" i="4"/>
  <c r="I146" i="2"/>
  <c r="K181" i="2"/>
  <c r="I76" i="3"/>
  <c r="I181" i="2"/>
  <c r="K181" i="4"/>
  <c r="J41" i="4"/>
  <c r="K111" i="4"/>
  <c r="K426" i="1"/>
  <c r="I146" i="4"/>
  <c r="K286" i="1"/>
  <c r="I41" i="1"/>
  <c r="I76" i="4"/>
  <c r="J216" i="1"/>
  <c r="K41" i="4"/>
  <c r="I356" i="1"/>
  <c r="I41" i="3"/>
  <c r="K321" i="1"/>
  <c r="I76" i="5"/>
  <c r="J76" i="3"/>
  <c r="K41" i="5"/>
  <c r="K285" i="1"/>
  <c r="K216" i="5"/>
  <c r="J286" i="5"/>
  <c r="J391" i="1"/>
  <c r="J111" i="4"/>
  <c r="J426" i="1"/>
  <c r="I286" i="1"/>
  <c r="I216" i="5"/>
  <c r="K356" i="1"/>
  <c r="J76" i="5"/>
  <c r="K216" i="4"/>
  <c r="K391" i="1"/>
  <c r="K251" i="5"/>
  <c r="K181" i="5"/>
  <c r="J76" i="2"/>
  <c r="I41" i="5"/>
  <c r="I251" i="1"/>
  <c r="J181" i="5"/>
  <c r="I111" i="1"/>
  <c r="I41" i="2"/>
  <c r="J146" i="1"/>
  <c r="K216" i="1"/>
  <c r="J111" i="2"/>
  <c r="J41" i="1"/>
  <c r="K41" i="1"/>
  <c r="I76" i="2"/>
  <c r="K251" i="1"/>
  <c r="I251" i="5"/>
  <c r="J76" i="4"/>
  <c r="K146" i="5"/>
  <c r="I181" i="5"/>
  <c r="J111" i="1"/>
  <c r="I216" i="2"/>
  <c r="K76" i="1"/>
  <c r="K146" i="1"/>
  <c r="K146" i="4"/>
  <c r="J146" i="5"/>
  <c r="J41" i="2"/>
  <c r="J286" i="1"/>
  <c r="J251" i="5"/>
  <c r="J251" i="4"/>
  <c r="I76" i="1"/>
  <c r="I111" i="2"/>
  <c r="K145" i="2"/>
  <c r="K76" i="5"/>
  <c r="I286" i="5"/>
  <c r="J146" i="4"/>
  <c r="K111" i="5"/>
  <c r="K111" i="2"/>
  <c r="J181" i="4"/>
  <c r="K41" i="3"/>
  <c r="J216" i="5"/>
  <c r="I391" i="1"/>
  <c r="I41" i="4"/>
  <c r="J251" i="1"/>
  <c r="J76" i="1"/>
  <c r="J216" i="4"/>
  <c r="K146" i="2"/>
  <c r="I111" i="4"/>
  <c r="I321" i="1"/>
  <c r="I146" i="5"/>
  <c r="J41" i="5"/>
  <c r="J216" i="2"/>
  <c r="K76" i="2"/>
  <c r="J41" i="3"/>
  <c r="K76" i="3"/>
  <c r="J356" i="1"/>
  <c r="K286" i="5"/>
  <c r="J181" i="1"/>
  <c r="J321" i="1"/>
  <c r="J111" i="5"/>
  <c r="I251" i="4"/>
  <c r="I111" i="5"/>
  <c r="I146" i="1"/>
  <c r="K41" i="2"/>
  <c r="K216" i="2"/>
  <c r="K251" i="4"/>
  <c r="I426" i="1"/>
  <c r="K111" i="1"/>
  <c r="I216" i="1"/>
  <c r="K42" i="4"/>
  <c r="K217" i="2"/>
  <c r="I252" i="1"/>
  <c r="I77" i="4"/>
  <c r="K217" i="4"/>
  <c r="J112" i="2"/>
  <c r="I217" i="1"/>
  <c r="K182" i="1"/>
  <c r="J217" i="5"/>
  <c r="J77" i="5"/>
  <c r="J217" i="4"/>
  <c r="J147" i="1"/>
  <c r="I252" i="5"/>
  <c r="I357" i="1"/>
  <c r="J181" i="2"/>
  <c r="I147" i="4"/>
  <c r="J182" i="5"/>
  <c r="J42" i="2"/>
  <c r="I252" i="4"/>
  <c r="J147" i="2"/>
  <c r="J182" i="4"/>
  <c r="K112" i="4"/>
  <c r="J146" i="2"/>
  <c r="I216" i="4"/>
  <c r="J252" i="4"/>
  <c r="I147" i="2"/>
  <c r="I147" i="1"/>
  <c r="K217" i="1"/>
  <c r="K42" i="1"/>
  <c r="J287" i="5"/>
  <c r="J287" i="1"/>
  <c r="K147" i="2"/>
  <c r="I217" i="5"/>
  <c r="I112" i="2"/>
  <c r="I217" i="4"/>
  <c r="J392" i="1"/>
  <c r="K322" i="1"/>
  <c r="J77" i="2"/>
  <c r="I42" i="5"/>
  <c r="K42" i="2"/>
  <c r="J147" i="5"/>
  <c r="I322" i="1"/>
  <c r="I112" i="1"/>
  <c r="J42" i="3"/>
  <c r="J112" i="4"/>
  <c r="K217" i="5"/>
  <c r="K252" i="5"/>
  <c r="J217" i="1"/>
  <c r="J42" i="5"/>
  <c r="I42" i="3"/>
  <c r="K147" i="4"/>
  <c r="I112" i="4"/>
  <c r="K77" i="1"/>
  <c r="I287" i="5"/>
  <c r="J77" i="4"/>
  <c r="K427" i="1"/>
  <c r="K147" i="1"/>
  <c r="K112" i="2"/>
  <c r="J42" i="4"/>
  <c r="K42" i="3"/>
  <c r="K77" i="2"/>
  <c r="K42" i="5"/>
  <c r="I392" i="1"/>
  <c r="K287" i="1"/>
  <c r="K182" i="4"/>
  <c r="K181" i="1"/>
  <c r="J182" i="1"/>
  <c r="I77" i="1"/>
  <c r="J427" i="1"/>
  <c r="K77" i="4"/>
  <c r="K392" i="1"/>
  <c r="K182" i="2"/>
  <c r="J357" i="1"/>
  <c r="K252" i="1"/>
  <c r="J147" i="4"/>
  <c r="J252" i="5"/>
  <c r="J112" i="5"/>
  <c r="K77" i="5"/>
  <c r="K76" i="4"/>
  <c r="J252" i="1"/>
  <c r="I77" i="3"/>
  <c r="J217" i="2"/>
  <c r="I217" i="2"/>
  <c r="K77" i="3"/>
  <c r="J42" i="1"/>
  <c r="K112" i="1"/>
  <c r="I182" i="1"/>
  <c r="J322" i="1"/>
  <c r="I287" i="1"/>
  <c r="K147" i="5"/>
  <c r="I182" i="4"/>
  <c r="J182" i="2"/>
  <c r="K182" i="5"/>
  <c r="K287" i="5"/>
  <c r="I182" i="5"/>
  <c r="I427" i="1"/>
  <c r="K357" i="1"/>
  <c r="J77" i="1"/>
  <c r="I77" i="2"/>
  <c r="I77" i="5"/>
  <c r="I182" i="2"/>
  <c r="I147" i="5"/>
  <c r="J77" i="3"/>
  <c r="J112" i="1"/>
  <c r="I42" i="1"/>
  <c r="I42" i="2"/>
  <c r="K252" i="4"/>
  <c r="K288" i="5"/>
  <c r="K112" i="5"/>
  <c r="K253" i="4"/>
  <c r="J113" i="1"/>
  <c r="K148" i="4"/>
  <c r="J253" i="4"/>
  <c r="J78" i="2"/>
  <c r="J288" i="1"/>
  <c r="J148" i="4"/>
  <c r="J218" i="5"/>
  <c r="K78" i="2"/>
  <c r="K253" i="5"/>
  <c r="K43" i="5"/>
  <c r="I113" i="5"/>
  <c r="K393" i="1"/>
  <c r="I78" i="3"/>
  <c r="J218" i="4"/>
  <c r="J148" i="5"/>
  <c r="K288" i="1"/>
  <c r="I183" i="4"/>
  <c r="J253" i="1"/>
  <c r="I148" i="5"/>
  <c r="K78" i="1"/>
  <c r="J323" i="1"/>
  <c r="K183" i="4"/>
  <c r="J43" i="4"/>
  <c r="J288" i="5"/>
  <c r="I148" i="2"/>
  <c r="K148" i="1"/>
  <c r="K113" i="1"/>
  <c r="J43" i="5"/>
  <c r="I113" i="2"/>
  <c r="I288" i="1"/>
  <c r="I43" i="5"/>
  <c r="J393" i="1"/>
  <c r="I43" i="1"/>
  <c r="J43" i="1"/>
  <c r="J218" i="1"/>
  <c r="J113" i="5"/>
  <c r="J428" i="1"/>
  <c r="K428" i="1"/>
  <c r="J148" i="1"/>
  <c r="K78" i="3"/>
  <c r="K218" i="5"/>
  <c r="J43" i="3"/>
  <c r="K113" i="4"/>
  <c r="I148" i="1"/>
  <c r="K148" i="2"/>
  <c r="J113" i="2"/>
  <c r="K218" i="4"/>
  <c r="K78" i="5"/>
  <c r="K183" i="2"/>
  <c r="I253" i="4"/>
  <c r="J113" i="4"/>
  <c r="I113" i="4"/>
  <c r="I183" i="1"/>
  <c r="I218" i="4"/>
  <c r="K253" i="1"/>
  <c r="K183" i="5"/>
  <c r="J358" i="1"/>
  <c r="K113" i="2"/>
  <c r="I43" i="2"/>
  <c r="J218" i="2"/>
  <c r="J78" i="3"/>
  <c r="K148" i="5"/>
  <c r="I78" i="2"/>
  <c r="J78" i="4"/>
  <c r="I253" i="1"/>
  <c r="J183" i="5"/>
  <c r="I428" i="1"/>
  <c r="I358" i="1"/>
  <c r="J43" i="2"/>
  <c r="I183" i="2"/>
  <c r="I218" i="5"/>
  <c r="I43" i="3"/>
  <c r="K43" i="2"/>
  <c r="I253" i="5"/>
  <c r="K113" i="5"/>
  <c r="J253" i="5"/>
  <c r="K78" i="4"/>
  <c r="I112" i="5"/>
  <c r="J78" i="5"/>
  <c r="I148" i="4"/>
  <c r="I43" i="4"/>
  <c r="I393" i="1"/>
  <c r="I113" i="1"/>
  <c r="K323" i="1"/>
  <c r="J78" i="1"/>
  <c r="K218" i="2"/>
  <c r="K183" i="1"/>
  <c r="K43" i="1"/>
  <c r="K218" i="1"/>
  <c r="J183" i="2"/>
  <c r="J183" i="1"/>
  <c r="J183" i="4"/>
  <c r="I288" i="5"/>
  <c r="I323" i="1"/>
  <c r="I78" i="5"/>
  <c r="K43" i="4"/>
  <c r="K43" i="3"/>
  <c r="I78" i="4"/>
  <c r="K358" i="1"/>
  <c r="I78" i="1"/>
  <c r="I218" i="2"/>
  <c r="I218" i="1"/>
  <c r="J148" i="2"/>
  <c r="I183" i="5"/>
  <c r="J149" i="1"/>
  <c r="K79" i="3"/>
  <c r="I44" i="4"/>
  <c r="J114" i="5"/>
  <c r="I289" i="1"/>
  <c r="J394" i="1"/>
  <c r="I149" i="1"/>
  <c r="J254" i="5"/>
  <c r="K219" i="2"/>
  <c r="I429" i="1"/>
  <c r="J114" i="1"/>
  <c r="J79" i="3"/>
  <c r="K289" i="1"/>
  <c r="K359" i="1"/>
  <c r="I219" i="5"/>
  <c r="I44" i="2"/>
  <c r="J289" i="5"/>
  <c r="J184" i="2"/>
  <c r="K394" i="1"/>
  <c r="J219" i="4"/>
  <c r="K184" i="5"/>
  <c r="K149" i="5"/>
  <c r="I114" i="5"/>
  <c r="J79" i="1"/>
  <c r="J149" i="5"/>
  <c r="I149" i="2"/>
  <c r="J184" i="5"/>
  <c r="J79" i="2"/>
  <c r="K44" i="3"/>
  <c r="K114" i="5"/>
  <c r="K149" i="2"/>
  <c r="J115" i="4"/>
  <c r="I359" i="1"/>
  <c r="J219" i="1"/>
  <c r="J44" i="3"/>
  <c r="J254" i="1"/>
  <c r="I149" i="5"/>
  <c r="K114" i="4"/>
  <c r="J219" i="2"/>
  <c r="I254" i="5"/>
  <c r="J184" i="4"/>
  <c r="K184" i="4"/>
  <c r="I254" i="1"/>
  <c r="I114" i="4"/>
  <c r="J219" i="5"/>
  <c r="J114" i="2"/>
  <c r="J254" i="4"/>
  <c r="I184" i="5"/>
  <c r="J324" i="1"/>
  <c r="J44" i="5"/>
  <c r="I184" i="4"/>
  <c r="K219" i="5"/>
  <c r="K44" i="5"/>
  <c r="K79" i="4"/>
  <c r="K219" i="4"/>
  <c r="J289" i="1"/>
  <c r="K114" i="1"/>
  <c r="I219" i="1"/>
  <c r="K44" i="1"/>
  <c r="K184" i="2"/>
  <c r="J44" i="2"/>
  <c r="K429" i="1"/>
  <c r="K184" i="1"/>
  <c r="I324" i="1"/>
  <c r="I79" i="2"/>
  <c r="I114" i="2"/>
  <c r="J114" i="4"/>
  <c r="K219" i="1"/>
  <c r="I219" i="2"/>
  <c r="I79" i="5"/>
  <c r="I289" i="5"/>
  <c r="J79" i="4"/>
  <c r="I219" i="4"/>
  <c r="K289" i="5"/>
  <c r="J149" i="4"/>
  <c r="K254" i="1"/>
  <c r="I79" i="1"/>
  <c r="I114" i="1"/>
  <c r="K149" i="4"/>
  <c r="K149" i="1"/>
  <c r="J359" i="1"/>
  <c r="K114" i="2"/>
  <c r="K254" i="4"/>
  <c r="I44" i="5"/>
  <c r="I79" i="4"/>
  <c r="J79" i="5"/>
  <c r="K79" i="5"/>
  <c r="I79" i="3"/>
  <c r="J429" i="1"/>
  <c r="I254" i="4"/>
  <c r="K79" i="2"/>
  <c r="I149" i="4"/>
  <c r="K254" i="5"/>
  <c r="I394" i="1"/>
  <c r="I44" i="1"/>
  <c r="K324" i="1"/>
  <c r="I184" i="2"/>
  <c r="K44" i="2"/>
  <c r="J184" i="1"/>
  <c r="J149" i="2"/>
  <c r="I184" i="1"/>
  <c r="J44" i="1"/>
  <c r="J44" i="4"/>
  <c r="I44" i="3"/>
  <c r="K44" i="4"/>
  <c r="K79" i="1"/>
  <c r="I46" i="4"/>
  <c r="I115" i="4"/>
  <c r="K45" i="5"/>
  <c r="J150" i="5"/>
  <c r="I150" i="1"/>
  <c r="K150" i="2"/>
  <c r="J255" i="5"/>
  <c r="I80" i="3"/>
  <c r="K430" i="1"/>
  <c r="J80" i="2"/>
  <c r="J115" i="2"/>
  <c r="J45" i="2"/>
  <c r="I80" i="1"/>
  <c r="I150" i="4"/>
  <c r="J185" i="2"/>
  <c r="I115" i="2"/>
  <c r="J45" i="1"/>
  <c r="J80" i="5"/>
  <c r="K115" i="2"/>
  <c r="J220" i="5"/>
  <c r="I290" i="5"/>
  <c r="J150" i="4"/>
  <c r="J185" i="5"/>
  <c r="I255" i="1"/>
  <c r="I80" i="2"/>
  <c r="K115" i="1"/>
  <c r="K80" i="1"/>
  <c r="K45" i="1"/>
  <c r="J45" i="3"/>
  <c r="I115" i="1"/>
  <c r="K80" i="4"/>
  <c r="K80" i="2"/>
  <c r="K325" i="1"/>
  <c r="I80" i="5"/>
  <c r="K220" i="4"/>
  <c r="K255" i="1"/>
  <c r="I395" i="1"/>
  <c r="J290" i="1"/>
  <c r="I430" i="1"/>
  <c r="J185" i="1"/>
  <c r="J220" i="1"/>
  <c r="I185" i="2"/>
  <c r="J115" i="1"/>
  <c r="I115" i="5"/>
  <c r="K80" i="5"/>
  <c r="J150" i="1"/>
  <c r="J150" i="2"/>
  <c r="K80" i="3"/>
  <c r="I45" i="3"/>
  <c r="J220" i="4"/>
  <c r="J395" i="1"/>
  <c r="I325" i="1"/>
  <c r="K185" i="5"/>
  <c r="J185" i="4"/>
  <c r="J255" i="4"/>
  <c r="J80" i="3"/>
  <c r="J430" i="1"/>
  <c r="J80" i="4"/>
  <c r="I185" i="5"/>
  <c r="K185" i="4"/>
  <c r="I185" i="1"/>
  <c r="I220" i="5"/>
  <c r="I45" i="5"/>
  <c r="J115" i="5"/>
  <c r="I150" i="5"/>
  <c r="I80" i="4"/>
  <c r="J45" i="4"/>
  <c r="K150" i="5"/>
  <c r="I45" i="1"/>
  <c r="J80" i="1"/>
  <c r="K185" i="1"/>
  <c r="I220" i="1"/>
  <c r="K395" i="1"/>
  <c r="K290" i="1"/>
  <c r="K255" i="5"/>
  <c r="K150" i="4"/>
  <c r="K115" i="4"/>
  <c r="J360" i="1"/>
  <c r="I185" i="4"/>
  <c r="I290" i="1"/>
  <c r="K45" i="4"/>
  <c r="J220" i="2"/>
  <c r="I220" i="4"/>
  <c r="K185" i="2"/>
  <c r="I150" i="2"/>
  <c r="K220" i="5"/>
  <c r="J255" i="1"/>
  <c r="I220" i="2"/>
  <c r="J325" i="1"/>
  <c r="I360" i="1"/>
  <c r="K360" i="1"/>
  <c r="I255" i="4"/>
  <c r="K115" i="5"/>
  <c r="I45" i="4"/>
  <c r="K150" i="1"/>
  <c r="K255" i="4"/>
  <c r="J45" i="5"/>
  <c r="K45" i="3"/>
  <c r="K220" i="2"/>
  <c r="K290" i="5"/>
  <c r="J290" i="5"/>
  <c r="I255" i="5"/>
  <c r="K45" i="2"/>
  <c r="I45" i="2"/>
  <c r="K221" i="4"/>
  <c r="J151" i="1"/>
  <c r="J291" i="5"/>
  <c r="J46" i="2"/>
  <c r="K256" i="4"/>
  <c r="I46" i="5"/>
  <c r="J186" i="1"/>
  <c r="J291" i="1"/>
  <c r="K81" i="3"/>
  <c r="J221" i="4"/>
  <c r="J186" i="5"/>
  <c r="K396" i="1"/>
  <c r="I291" i="1"/>
  <c r="K151" i="2"/>
  <c r="K256" i="1"/>
  <c r="I221" i="2"/>
  <c r="J221" i="2"/>
  <c r="J81" i="2"/>
  <c r="I256" i="5"/>
  <c r="J46" i="3"/>
  <c r="I186" i="1"/>
  <c r="J151" i="5"/>
  <c r="I116" i="4"/>
  <c r="K46" i="5"/>
  <c r="I186" i="4"/>
  <c r="K291" i="1"/>
  <c r="K186" i="5"/>
  <c r="K116" i="4"/>
  <c r="J151" i="4"/>
  <c r="I46" i="2"/>
  <c r="J431" i="1"/>
  <c r="J116" i="1"/>
  <c r="J361" i="1"/>
  <c r="K326" i="1"/>
  <c r="J46" i="5"/>
  <c r="J326" i="1"/>
  <c r="I116" i="1"/>
  <c r="I46" i="1"/>
  <c r="K220" i="1"/>
  <c r="K81" i="1"/>
  <c r="J81" i="3"/>
  <c r="I221" i="1"/>
  <c r="K221" i="2"/>
  <c r="I431" i="1"/>
  <c r="I396" i="1"/>
  <c r="J116" i="2"/>
  <c r="I151" i="1"/>
  <c r="J256" i="5"/>
  <c r="K256" i="5"/>
  <c r="K46" i="1"/>
  <c r="K186" i="2"/>
  <c r="I151" i="4"/>
  <c r="I116" i="2"/>
  <c r="I186" i="2"/>
  <c r="J116" i="5"/>
  <c r="J46" i="1"/>
  <c r="I221" i="5"/>
  <c r="K151" i="5"/>
  <c r="I81" i="1"/>
  <c r="K186" i="1"/>
  <c r="I81" i="2"/>
  <c r="J116" i="4"/>
  <c r="K221" i="5"/>
  <c r="J186" i="4"/>
  <c r="I326" i="1"/>
  <c r="K46" i="2"/>
  <c r="K116" i="1"/>
  <c r="I81" i="3"/>
  <c r="J221" i="5"/>
  <c r="I81" i="5"/>
  <c r="I361" i="1"/>
  <c r="J81" i="4"/>
  <c r="I151" i="2"/>
  <c r="I186" i="5"/>
  <c r="J256" i="1"/>
  <c r="J151" i="2"/>
  <c r="K361" i="1"/>
  <c r="J186" i="2"/>
  <c r="I151" i="5"/>
  <c r="K151" i="4"/>
  <c r="K151" i="1"/>
  <c r="K81" i="4"/>
  <c r="K81" i="2"/>
  <c r="K116" i="5"/>
  <c r="K116" i="2"/>
  <c r="I221" i="4"/>
  <c r="J81" i="5"/>
  <c r="K186" i="4"/>
  <c r="K81" i="5"/>
  <c r="K46" i="4"/>
  <c r="J221" i="1"/>
  <c r="K46" i="3"/>
  <c r="J81" i="1"/>
  <c r="I81" i="4"/>
  <c r="J46" i="4"/>
  <c r="K221" i="1"/>
  <c r="I46" i="3"/>
  <c r="J396" i="1"/>
  <c r="K291" i="5"/>
  <c r="K431" i="1"/>
  <c r="J292" i="1"/>
  <c r="K82" i="5"/>
  <c r="K327" i="1"/>
  <c r="J47" i="2"/>
  <c r="J117" i="4"/>
  <c r="J47" i="5"/>
  <c r="I222" i="2"/>
  <c r="K432" i="1"/>
  <c r="J82" i="2"/>
  <c r="K117" i="4"/>
  <c r="K397" i="1"/>
  <c r="I47" i="1"/>
  <c r="J152" i="1"/>
  <c r="K47" i="5"/>
  <c r="I291" i="5"/>
  <c r="J117" i="2"/>
  <c r="K292" i="1"/>
  <c r="I397" i="1"/>
  <c r="K362" i="1"/>
  <c r="K82" i="3"/>
  <c r="J187" i="1"/>
  <c r="K257" i="5"/>
  <c r="K152" i="1"/>
  <c r="I222" i="4"/>
  <c r="K117" i="2"/>
  <c r="I47" i="4"/>
  <c r="J327" i="1"/>
  <c r="I152" i="5"/>
  <c r="K152" i="2"/>
  <c r="K47" i="4"/>
  <c r="K222" i="1"/>
  <c r="K187" i="2"/>
  <c r="J432" i="1"/>
  <c r="I257" i="1"/>
  <c r="I117" i="2"/>
  <c r="J47" i="1"/>
  <c r="I116" i="5"/>
  <c r="I256" i="1"/>
  <c r="I256" i="4"/>
  <c r="J257" i="5"/>
  <c r="I82" i="3"/>
  <c r="K47" i="1"/>
  <c r="J222" i="2"/>
  <c r="J82" i="3"/>
  <c r="J222" i="4"/>
  <c r="I187" i="2"/>
  <c r="K47" i="3"/>
  <c r="K82" i="4"/>
  <c r="K117" i="1"/>
  <c r="J82" i="4"/>
  <c r="K187" i="4"/>
  <c r="K82" i="1"/>
  <c r="I187" i="5"/>
  <c r="J257" i="4"/>
  <c r="I432" i="1"/>
  <c r="I152" i="1"/>
  <c r="K187" i="5"/>
  <c r="K82" i="2"/>
  <c r="I257" i="4"/>
  <c r="J256" i="4"/>
  <c r="J82" i="5"/>
  <c r="I292" i="1"/>
  <c r="K152" i="4"/>
  <c r="J47" i="3"/>
  <c r="I47" i="3"/>
  <c r="I222" i="1"/>
  <c r="K222" i="2"/>
  <c r="K152" i="5"/>
  <c r="J222" i="5"/>
  <c r="J397" i="1"/>
  <c r="I82" i="5"/>
  <c r="I327" i="1"/>
  <c r="I47" i="5"/>
  <c r="K292" i="5"/>
  <c r="J187" i="5"/>
  <c r="J117" i="1"/>
  <c r="J152" i="5"/>
  <c r="J187" i="2"/>
  <c r="K257" i="4"/>
  <c r="J362" i="1"/>
  <c r="J117" i="5"/>
  <c r="I292" i="5"/>
  <c r="J82" i="1"/>
  <c r="J152" i="4"/>
  <c r="K187" i="1"/>
  <c r="K47" i="2"/>
  <c r="J152" i="2"/>
  <c r="J47" i="4"/>
  <c r="K257" i="1"/>
  <c r="I47" i="2"/>
  <c r="I82" i="1"/>
  <c r="J292" i="5"/>
  <c r="I117" i="5"/>
  <c r="I82" i="4"/>
  <c r="I152" i="2"/>
  <c r="I222" i="5"/>
  <c r="I117" i="1"/>
  <c r="K222" i="5"/>
  <c r="J187" i="4"/>
  <c r="J222" i="1"/>
  <c r="K222" i="4"/>
  <c r="I187" i="4"/>
  <c r="I152" i="4"/>
  <c r="K117" i="5"/>
  <c r="I187" i="1"/>
  <c r="I362" i="1"/>
  <c r="I117" i="4"/>
  <c r="I82" i="2"/>
  <c r="J224" i="2"/>
  <c r="K48" i="1"/>
  <c r="K118" i="2"/>
  <c r="J188" i="4"/>
  <c r="K293" i="1"/>
  <c r="J223" i="5"/>
  <c r="I258" i="5"/>
  <c r="K153" i="2"/>
  <c r="I293" i="5"/>
  <c r="K223" i="4"/>
  <c r="I153" i="1"/>
  <c r="K83" i="5"/>
  <c r="K153" i="1"/>
  <c r="I223" i="2"/>
  <c r="I258" i="4"/>
  <c r="J257" i="1"/>
  <c r="J118" i="2"/>
  <c r="I83" i="5"/>
  <c r="J118" i="1"/>
  <c r="K223" i="2"/>
  <c r="J433" i="1"/>
  <c r="K223" i="5"/>
  <c r="J48" i="2"/>
  <c r="J83" i="5"/>
  <c r="K398" i="1"/>
  <c r="K83" i="1"/>
  <c r="J153" i="4"/>
  <c r="K118" i="1"/>
  <c r="J258" i="4"/>
  <c r="J48" i="5"/>
  <c r="J48" i="4"/>
  <c r="K328" i="1"/>
  <c r="I188" i="4"/>
  <c r="I118" i="2"/>
  <c r="I118" i="1"/>
  <c r="J83" i="4"/>
  <c r="I83" i="2"/>
  <c r="K258" i="4"/>
  <c r="K188" i="4"/>
  <c r="I48" i="1"/>
  <c r="K84" i="2"/>
  <c r="I433" i="1"/>
  <c r="J48" i="3"/>
  <c r="J83" i="3"/>
  <c r="K433" i="1"/>
  <c r="I223" i="4"/>
  <c r="J223" i="4"/>
  <c r="J293" i="5"/>
  <c r="I153" i="2"/>
  <c r="J188" i="1"/>
  <c r="J48" i="1"/>
  <c r="J118" i="5"/>
  <c r="I398" i="1"/>
  <c r="J153" i="2"/>
  <c r="K188" i="1"/>
  <c r="J188" i="2"/>
  <c r="K118" i="5"/>
  <c r="K153" i="4"/>
  <c r="K83" i="3"/>
  <c r="I48" i="3"/>
  <c r="J293" i="1"/>
  <c r="I223" i="5"/>
  <c r="I223" i="1"/>
  <c r="J188" i="5"/>
  <c r="K118" i="4"/>
  <c r="J223" i="1"/>
  <c r="I363" i="1"/>
  <c r="I83" i="1"/>
  <c r="K293" i="5"/>
  <c r="K258" i="5"/>
  <c r="J328" i="1"/>
  <c r="J363" i="1"/>
  <c r="K48" i="2"/>
  <c r="K48" i="5"/>
  <c r="I188" i="1"/>
  <c r="K83" i="2"/>
  <c r="J83" i="2"/>
  <c r="J153" i="1"/>
  <c r="I118" i="4"/>
  <c r="J153" i="5"/>
  <c r="I293" i="1"/>
  <c r="I188" i="2"/>
  <c r="J258" i="1"/>
  <c r="J258" i="5"/>
  <c r="K83" i="4"/>
  <c r="I83" i="4"/>
  <c r="K48" i="4"/>
  <c r="J398" i="1"/>
  <c r="K188" i="2"/>
  <c r="I188" i="5"/>
  <c r="I328" i="1"/>
  <c r="I48" i="4"/>
  <c r="I257" i="5"/>
  <c r="J83" i="1"/>
  <c r="I118" i="5"/>
  <c r="K188" i="5"/>
  <c r="K363" i="1"/>
  <c r="I153" i="4"/>
  <c r="I258" i="1"/>
  <c r="K258" i="1"/>
  <c r="I83" i="3"/>
  <c r="K48" i="3"/>
  <c r="J118" i="4"/>
  <c r="I48" i="5"/>
  <c r="K153" i="5"/>
  <c r="K259" i="5"/>
  <c r="I84" i="2"/>
  <c r="J294" i="1"/>
  <c r="I49" i="2"/>
  <c r="J223" i="2"/>
  <c r="K224" i="2"/>
  <c r="I329" i="1"/>
  <c r="I154" i="5"/>
  <c r="I294" i="1"/>
  <c r="I189" i="2"/>
  <c r="K119" i="2"/>
  <c r="J119" i="2"/>
  <c r="J224" i="4"/>
  <c r="K223" i="1"/>
  <c r="I154" i="4"/>
  <c r="K84" i="4"/>
  <c r="I84" i="5"/>
  <c r="K294" i="5"/>
  <c r="J259" i="1"/>
  <c r="I189" i="4"/>
  <c r="J259" i="5"/>
  <c r="I119" i="1"/>
  <c r="J49" i="4"/>
  <c r="I224" i="2"/>
  <c r="I364" i="1"/>
  <c r="J189" i="1"/>
  <c r="J49" i="5"/>
  <c r="K224" i="5"/>
  <c r="J224" i="1"/>
  <c r="I154" i="1"/>
  <c r="J84" i="3"/>
  <c r="J434" i="1"/>
  <c r="K154" i="1"/>
  <c r="I49" i="1"/>
  <c r="I49" i="5"/>
  <c r="J49" i="2"/>
  <c r="I224" i="5"/>
  <c r="J119" i="1"/>
  <c r="J49" i="3"/>
  <c r="J364" i="1"/>
  <c r="K189" i="5"/>
  <c r="J154" i="1"/>
  <c r="I119" i="5"/>
  <c r="J154" i="2"/>
  <c r="I119" i="4"/>
  <c r="K224" i="1"/>
  <c r="K189" i="4"/>
  <c r="K49" i="5"/>
  <c r="K49" i="4"/>
  <c r="J119" i="4"/>
  <c r="J189" i="5"/>
  <c r="J84" i="4"/>
  <c r="K49" i="1"/>
  <c r="J49" i="1"/>
  <c r="K399" i="1"/>
  <c r="I399" i="1"/>
  <c r="K49" i="3"/>
  <c r="K154" i="2"/>
  <c r="I84" i="1"/>
  <c r="K434" i="1"/>
  <c r="J84" i="5"/>
  <c r="J189" i="4"/>
  <c r="I49" i="3"/>
  <c r="J399" i="1"/>
  <c r="J154" i="4"/>
  <c r="I189" i="5"/>
  <c r="J84" i="1"/>
  <c r="J294" i="5"/>
  <c r="J329" i="1"/>
  <c r="K189" i="1"/>
  <c r="K119" i="1"/>
  <c r="K84" i="1"/>
  <c r="I119" i="2"/>
  <c r="I224" i="4"/>
  <c r="I224" i="1"/>
  <c r="K49" i="2"/>
  <c r="K259" i="1"/>
  <c r="K329" i="1"/>
  <c r="J119" i="5"/>
  <c r="I259" i="1"/>
  <c r="K364" i="1"/>
  <c r="K84" i="3"/>
  <c r="K259" i="4"/>
  <c r="J84" i="2"/>
  <c r="K189" i="2"/>
  <c r="J224" i="5"/>
  <c r="K119" i="4"/>
  <c r="I154" i="2"/>
  <c r="I434" i="1"/>
  <c r="I49" i="4"/>
  <c r="I84" i="4"/>
  <c r="I48" i="2"/>
  <c r="K84" i="5"/>
  <c r="K119" i="5"/>
  <c r="K224" i="4"/>
  <c r="J189" i="2"/>
  <c r="I84" i="3"/>
  <c r="J154" i="5"/>
  <c r="I259" i="5"/>
  <c r="I294" i="5"/>
  <c r="I153" i="5"/>
  <c r="I435" i="1"/>
  <c r="J260" i="5"/>
  <c r="J225" i="5"/>
  <c r="I225" i="1"/>
  <c r="K190" i="2"/>
  <c r="J225" i="2"/>
  <c r="K365" i="1"/>
  <c r="J295" i="5"/>
  <c r="J190" i="1"/>
  <c r="I225" i="4"/>
  <c r="I155" i="1"/>
  <c r="J260" i="1"/>
  <c r="K295" i="1"/>
  <c r="K260" i="1"/>
  <c r="I189" i="1"/>
  <c r="J85" i="2"/>
  <c r="I120" i="4"/>
  <c r="K120" i="2"/>
  <c r="K120" i="4"/>
  <c r="J155" i="1"/>
  <c r="J85" i="1"/>
  <c r="I260" i="1"/>
  <c r="I260" i="4"/>
  <c r="J120" i="2"/>
  <c r="I295" i="5"/>
  <c r="K190" i="4"/>
  <c r="K294" i="1"/>
  <c r="I85" i="4"/>
  <c r="I155" i="4"/>
  <c r="J120" i="5"/>
  <c r="J225" i="1"/>
  <c r="K190" i="5"/>
  <c r="J85" i="4"/>
  <c r="K85" i="4"/>
  <c r="J330" i="1"/>
  <c r="J295" i="1"/>
  <c r="I330" i="1"/>
  <c r="K85" i="1"/>
  <c r="J190" i="2"/>
  <c r="K330" i="1"/>
  <c r="I259" i="4"/>
  <c r="I295" i="1"/>
  <c r="J120" i="1"/>
  <c r="K154" i="5"/>
  <c r="J260" i="4"/>
  <c r="J85" i="3"/>
  <c r="I225" i="5"/>
  <c r="K155" i="4"/>
  <c r="I155" i="5"/>
  <c r="I85" i="3"/>
  <c r="K120" i="5"/>
  <c r="K155" i="2"/>
  <c r="J85" i="5"/>
  <c r="J120" i="4"/>
  <c r="K225" i="1"/>
  <c r="K154" i="4"/>
  <c r="J365" i="1"/>
  <c r="K435" i="1"/>
  <c r="J400" i="1"/>
  <c r="I85" i="1"/>
  <c r="I120" i="2"/>
  <c r="J435" i="1"/>
  <c r="I400" i="1"/>
  <c r="K400" i="1"/>
  <c r="J155" i="5"/>
  <c r="I85" i="5"/>
  <c r="I190" i="1"/>
  <c r="I365" i="1"/>
  <c r="K155" i="1"/>
  <c r="K260" i="4"/>
  <c r="K85" i="2"/>
  <c r="I120" i="1"/>
  <c r="K85" i="5"/>
  <c r="I260" i="5"/>
  <c r="K120" i="1"/>
  <c r="J190" i="5"/>
  <c r="J225" i="4"/>
  <c r="I120" i="5"/>
  <c r="I190" i="4"/>
  <c r="J259" i="4"/>
  <c r="K85" i="3"/>
  <c r="K225" i="4"/>
  <c r="I190" i="5"/>
  <c r="J155" i="4"/>
  <c r="I155" i="2"/>
  <c r="K190" i="1"/>
  <c r="K155" i="5"/>
  <c r="K225" i="2"/>
  <c r="I190" i="2"/>
  <c r="I85" i="2"/>
  <c r="I226" i="1"/>
  <c r="J156" i="2"/>
  <c r="J156" i="1"/>
  <c r="I261" i="1"/>
  <c r="K436" i="1"/>
  <c r="K156" i="1"/>
  <c r="I331" i="1"/>
  <c r="I191" i="5"/>
  <c r="K191" i="2"/>
  <c r="I261" i="4"/>
  <c r="K191" i="1"/>
  <c r="K191" i="4"/>
  <c r="K261" i="5"/>
  <c r="J156" i="5"/>
  <c r="J261" i="1"/>
  <c r="K226" i="2"/>
  <c r="J191" i="4"/>
  <c r="I226" i="2"/>
  <c r="I156" i="2"/>
  <c r="I225" i="2"/>
  <c r="I366" i="1"/>
  <c r="I191" i="1"/>
  <c r="K331" i="1"/>
  <c r="J191" i="1"/>
  <c r="I401" i="1"/>
  <c r="J226" i="5"/>
  <c r="I226" i="4"/>
  <c r="I121" i="1"/>
  <c r="K156" i="2"/>
  <c r="J156" i="4"/>
  <c r="K366" i="1"/>
  <c r="I156" i="4"/>
  <c r="I156" i="5"/>
  <c r="I296" i="1"/>
  <c r="J366" i="1"/>
  <c r="J226" i="1"/>
  <c r="J296" i="1"/>
  <c r="K295" i="5"/>
  <c r="J401" i="1"/>
  <c r="I121" i="4"/>
  <c r="I261" i="5"/>
  <c r="K226" i="5"/>
  <c r="I296" i="5"/>
  <c r="J436" i="1"/>
  <c r="J190" i="4"/>
  <c r="J261" i="4"/>
  <c r="K121" i="1"/>
  <c r="J121" i="4"/>
  <c r="K226" i="1"/>
  <c r="J121" i="2"/>
  <c r="J331" i="1"/>
  <c r="J121" i="5"/>
  <c r="K225" i="5"/>
  <c r="I121" i="2"/>
  <c r="J296" i="5"/>
  <c r="J155" i="2"/>
  <c r="I191" i="4"/>
  <c r="I191" i="2"/>
  <c r="J261" i="5"/>
  <c r="K156" i="5"/>
  <c r="K121" i="4"/>
  <c r="K261" i="4"/>
  <c r="K296" i="5"/>
  <c r="K156" i="4"/>
  <c r="J226" i="4"/>
  <c r="I436" i="1"/>
  <c r="K260" i="5"/>
  <c r="K226" i="4"/>
  <c r="I121" i="5"/>
  <c r="J191" i="2"/>
  <c r="I156" i="1"/>
  <c r="J191" i="5"/>
  <c r="K401" i="1"/>
  <c r="K191" i="5"/>
  <c r="I226" i="5"/>
  <c r="K261" i="1"/>
  <c r="J121" i="1"/>
  <c r="K121" i="2"/>
  <c r="J226" i="2"/>
  <c r="I262" i="1"/>
  <c r="K227" i="5"/>
  <c r="I332" i="1"/>
  <c r="K262" i="1"/>
  <c r="J157" i="4"/>
  <c r="I297" i="1"/>
  <c r="K332" i="1"/>
  <c r="J262" i="4"/>
  <c r="J227" i="5"/>
  <c r="J157" i="5"/>
  <c r="K192" i="2"/>
  <c r="J157" i="1"/>
  <c r="K192" i="5"/>
  <c r="K157" i="1"/>
  <c r="I262" i="4"/>
  <c r="I227" i="1"/>
  <c r="I227" i="5"/>
  <c r="K437" i="1"/>
  <c r="J227" i="4"/>
  <c r="J367" i="1"/>
  <c r="K227" i="4"/>
  <c r="J332" i="1"/>
  <c r="K192" i="4"/>
  <c r="I157" i="5"/>
  <c r="J402" i="1"/>
  <c r="I227" i="4"/>
  <c r="K157" i="5"/>
  <c r="K227" i="1"/>
  <c r="I192" i="5"/>
  <c r="J192" i="5"/>
  <c r="J262" i="1"/>
  <c r="K121" i="5"/>
  <c r="J227" i="1"/>
  <c r="K262" i="4"/>
  <c r="I297" i="5"/>
  <c r="J437" i="1"/>
  <c r="K297" i="5"/>
  <c r="J297" i="5"/>
  <c r="I157" i="2"/>
  <c r="K227" i="2"/>
  <c r="I157" i="1"/>
  <c r="K157" i="4"/>
  <c r="K402" i="1"/>
  <c r="K157" i="2"/>
  <c r="K367" i="1"/>
  <c r="I437" i="1"/>
  <c r="K262" i="5"/>
  <c r="I192" i="1"/>
  <c r="J262" i="5"/>
  <c r="I227" i="2"/>
  <c r="I402" i="1"/>
  <c r="J192" i="1"/>
  <c r="K297" i="1"/>
  <c r="J227" i="2"/>
  <c r="K192" i="1"/>
  <c r="J157" i="2"/>
  <c r="I192" i="2"/>
  <c r="J192" i="2"/>
  <c r="J297" i="1"/>
  <c r="I367" i="1"/>
  <c r="K296" i="1"/>
  <c r="J192" i="4"/>
  <c r="I299" i="5"/>
  <c r="I263" i="4"/>
  <c r="I193" i="4"/>
  <c r="I403" i="1"/>
  <c r="J193" i="5"/>
  <c r="J228" i="2"/>
  <c r="I298" i="5"/>
  <c r="J193" i="2"/>
  <c r="I228" i="4"/>
  <c r="J368" i="1"/>
  <c r="K298" i="5"/>
  <c r="I228" i="5"/>
  <c r="K403" i="1"/>
  <c r="I263" i="1"/>
  <c r="K193" i="2"/>
  <c r="J228" i="4"/>
  <c r="K193" i="4"/>
  <c r="J263" i="1"/>
  <c r="I368" i="1"/>
  <c r="I193" i="1"/>
  <c r="I262" i="5"/>
  <c r="I193" i="5"/>
  <c r="I438" i="1"/>
  <c r="J228" i="5"/>
  <c r="K333" i="1"/>
  <c r="K438" i="1"/>
  <c r="K263" i="5"/>
  <c r="I228" i="2"/>
  <c r="J333" i="1"/>
  <c r="J298" i="5"/>
  <c r="K228" i="4"/>
  <c r="I192" i="4"/>
  <c r="K263" i="4"/>
  <c r="K263" i="1"/>
  <c r="J228" i="1"/>
  <c r="K228" i="1"/>
  <c r="K228" i="2"/>
  <c r="K368" i="1"/>
  <c r="J193" i="1"/>
  <c r="I333" i="1"/>
  <c r="J263" i="5"/>
  <c r="I228" i="1"/>
  <c r="J263" i="4"/>
  <c r="I263" i="5"/>
  <c r="I298" i="1"/>
  <c r="I157" i="4"/>
  <c r="J403" i="1"/>
  <c r="J438" i="1"/>
  <c r="J298" i="1"/>
  <c r="K298" i="1"/>
  <c r="J193" i="4"/>
  <c r="I193" i="2"/>
  <c r="K193" i="5"/>
  <c r="K193" i="1"/>
  <c r="I229" i="2"/>
  <c r="I264" i="4"/>
  <c r="K404" i="1"/>
  <c r="I439" i="1"/>
  <c r="I264" i="1"/>
  <c r="K264" i="5"/>
  <c r="J439" i="1"/>
  <c r="K229" i="1"/>
  <c r="I229" i="5"/>
  <c r="K299" i="1"/>
  <c r="J229" i="5"/>
  <c r="I334" i="1"/>
  <c r="J264" i="1"/>
  <c r="K334" i="1"/>
  <c r="K299" i="5"/>
  <c r="K264" i="1"/>
  <c r="J299" i="1"/>
  <c r="J369" i="1"/>
  <c r="J299" i="5"/>
  <c r="I264" i="5"/>
  <c r="I229" i="1"/>
  <c r="K228" i="5"/>
  <c r="J229" i="4"/>
  <c r="K369" i="1"/>
  <c r="I229" i="4"/>
  <c r="K439" i="1"/>
  <c r="J264" i="4"/>
  <c r="K229" i="2"/>
  <c r="J229" i="1"/>
  <c r="J404" i="1"/>
  <c r="K229" i="5"/>
  <c r="K264" i="4"/>
  <c r="K229" i="4"/>
  <c r="J334" i="1"/>
  <c r="J264" i="5"/>
  <c r="I404" i="1"/>
  <c r="J229" i="2"/>
  <c r="I299" i="1"/>
  <c r="I369" i="1"/>
  <c r="J300" i="1"/>
  <c r="K405" i="1"/>
  <c r="I405" i="1"/>
  <c r="J440" i="1"/>
  <c r="K440" i="1"/>
  <c r="I265" i="5"/>
  <c r="J300" i="5"/>
  <c r="J335" i="1"/>
  <c r="I370" i="1"/>
  <c r="I440" i="1"/>
  <c r="K300" i="1"/>
  <c r="I265" i="4"/>
  <c r="K265" i="5"/>
  <c r="I300" i="5"/>
  <c r="K335" i="1"/>
  <c r="I300" i="1"/>
  <c r="J265" i="5"/>
  <c r="J265" i="1"/>
  <c r="K265" i="4"/>
  <c r="I335" i="1"/>
  <c r="K265" i="1"/>
  <c r="J405" i="1"/>
  <c r="J370" i="1"/>
  <c r="J265" i="4"/>
  <c r="K370" i="1"/>
  <c r="K300" i="5"/>
  <c r="I265" i="1"/>
  <c r="J406" i="1"/>
  <c r="I301" i="5"/>
  <c r="K301" i="1"/>
  <c r="K301" i="5"/>
  <c r="J301" i="1"/>
  <c r="J301" i="5"/>
  <c r="J336" i="1"/>
  <c r="K441" i="1"/>
  <c r="J371" i="1"/>
  <c r="I336" i="1"/>
  <c r="J441" i="1"/>
  <c r="I406" i="1"/>
  <c r="K371" i="1"/>
  <c r="I441" i="1"/>
  <c r="I371" i="1"/>
  <c r="I301" i="1"/>
  <c r="K336" i="1"/>
  <c r="J442" i="1"/>
  <c r="K337" i="1"/>
  <c r="J407" i="1"/>
  <c r="I442" i="1"/>
  <c r="I407" i="1"/>
  <c r="I337" i="1"/>
  <c r="K407" i="1"/>
  <c r="I372" i="1"/>
  <c r="K406" i="1"/>
  <c r="K372" i="1"/>
  <c r="J372" i="1"/>
  <c r="K442" i="1"/>
  <c r="J337" i="1"/>
  <c r="J373" i="1"/>
  <c r="K408" i="1"/>
  <c r="K443" i="1"/>
  <c r="J409" i="1"/>
  <c r="J443" i="1"/>
  <c r="I408" i="1"/>
  <c r="J408" i="1"/>
  <c r="I373" i="1"/>
  <c r="I443" i="1"/>
  <c r="I444" i="1"/>
  <c r="K373" i="1"/>
  <c r="J444" i="1"/>
  <c r="K444" i="1"/>
  <c r="I409" i="1"/>
  <c r="K409" i="1"/>
  <c r="K445" i="1"/>
  <c r="J445" i="1"/>
  <c r="I445" i="1"/>
</calcChain>
</file>

<file path=xl/comments1.xml><?xml version="1.0" encoding="utf-8"?>
<comments xmlns="http://schemas.openxmlformats.org/spreadsheetml/2006/main">
  <authors>
    <author>Eracine-johnson</author>
  </authors>
  <commentList>
    <comment ref="K2" authorId="0" shapeId="0">
      <text>
        <r>
          <rPr>
            <b/>
            <sz val="9"/>
            <color indexed="81"/>
            <rFont val="Tahoma"/>
            <family val="2"/>
          </rPr>
          <t>Eracine-johnson:</t>
        </r>
        <r>
          <rPr>
            <sz val="9"/>
            <color indexed="81"/>
            <rFont val="Tahoma"/>
            <family val="2"/>
          </rPr>
          <t xml:space="preserve">
=EDATE(TODAY(),1)</t>
        </r>
      </text>
    </comment>
  </commentList>
</comments>
</file>

<file path=xl/sharedStrings.xml><?xml version="1.0" encoding="utf-8"?>
<sst xmlns="http://schemas.openxmlformats.org/spreadsheetml/2006/main" count="22228" uniqueCount="1180">
  <si>
    <t>PJM / MISO</t>
  </si>
  <si>
    <t>Start Date</t>
  </si>
  <si>
    <t>State</t>
  </si>
  <si>
    <t>EDC</t>
  </si>
  <si>
    <t>Rate Class</t>
  </si>
  <si>
    <t>Segment</t>
  </si>
  <si>
    <t>PA</t>
  </si>
  <si>
    <t>GS</t>
  </si>
  <si>
    <t>Meted</t>
  </si>
  <si>
    <t>GSCL</t>
  </si>
  <si>
    <t>GSCM</t>
  </si>
  <si>
    <t>GSCS</t>
  </si>
  <si>
    <t>Penelec</t>
  </si>
  <si>
    <t>PECO</t>
  </si>
  <si>
    <t>PPL</t>
  </si>
  <si>
    <t>GS1</t>
  </si>
  <si>
    <t>GS3</t>
  </si>
  <si>
    <t>WPP</t>
  </si>
  <si>
    <t>GS20</t>
  </si>
  <si>
    <t>Champion Energy Services - CONFIDENTIAL Information</t>
  </si>
  <si>
    <t>OH</t>
  </si>
  <si>
    <t>GS2</t>
  </si>
  <si>
    <t>SS</t>
  </si>
  <si>
    <t>Duke</t>
  </si>
  <si>
    <t>DS</t>
  </si>
  <si>
    <t>IL</t>
  </si>
  <si>
    <t>COMED</t>
  </si>
  <si>
    <t>LP28</t>
  </si>
  <si>
    <t>LP29</t>
  </si>
  <si>
    <t>AMEREN</t>
  </si>
  <si>
    <t>DS2</t>
  </si>
  <si>
    <t>NJ</t>
  </si>
  <si>
    <t>AECO</t>
  </si>
  <si>
    <t>MGS</t>
  </si>
  <si>
    <t>AGS</t>
  </si>
  <si>
    <t>JCPL</t>
  </si>
  <si>
    <t>PSEG</t>
  </si>
  <si>
    <t>GLP</t>
  </si>
  <si>
    <t>LPL</t>
  </si>
  <si>
    <t>MD</t>
  </si>
  <si>
    <t>BGE</t>
  </si>
  <si>
    <t>G</t>
  </si>
  <si>
    <t>GL</t>
  </si>
  <si>
    <t>Delmarva</t>
  </si>
  <si>
    <t>PEPCO</t>
  </si>
  <si>
    <t>MGT LV II</t>
  </si>
  <si>
    <t>RC_3T7</t>
  </si>
  <si>
    <t>Potomac Edison</t>
  </si>
  <si>
    <t>DQE</t>
  </si>
  <si>
    <t>Segment Name</t>
  </si>
  <si>
    <t>Pennsylvania</t>
  </si>
  <si>
    <t>Ohio</t>
  </si>
  <si>
    <t>Illinois</t>
  </si>
  <si>
    <t>New Jersey</t>
  </si>
  <si>
    <t>Maryland</t>
  </si>
  <si>
    <t>ISO</t>
  </si>
  <si>
    <t>Broker Fee ($/MWh):</t>
  </si>
  <si>
    <t>MWh/YR</t>
  </si>
  <si>
    <t>12 mths</t>
  </si>
  <si>
    <t>18 mths</t>
  </si>
  <si>
    <t>24 mths</t>
  </si>
  <si>
    <t>0-100 MWh</t>
  </si>
  <si>
    <t>100-500 MWh</t>
  </si>
  <si>
    <t>AEP OH</t>
  </si>
  <si>
    <t>FE OH</t>
  </si>
  <si>
    <t>EDC Matrix Name</t>
  </si>
  <si>
    <t>P&amp;L UDC</t>
  </si>
  <si>
    <t>Long Description</t>
  </si>
  <si>
    <t>Start Month</t>
  </si>
  <si>
    <t>6 Mths</t>
  </si>
  <si>
    <t>12 Mths</t>
  </si>
  <si>
    <t>18 Mths</t>
  </si>
  <si>
    <t>24 Mths</t>
  </si>
  <si>
    <t>36 Mths</t>
  </si>
  <si>
    <t>PJM Prompt Start Mth:</t>
  </si>
  <si>
    <t>Today's Date (Formula):</t>
  </si>
  <si>
    <t># of Unique Segements</t>
  </si>
  <si>
    <t>Segment ID</t>
  </si>
  <si>
    <t>Max PJM Prompt Start Mth</t>
  </si>
  <si>
    <t>Start Mth ID</t>
  </si>
  <si>
    <t># of Unique Rows (excluding Blanks)</t>
  </si>
  <si>
    <t>Combo ID (vlookup)</t>
  </si>
  <si>
    <t>Trade Date</t>
  </si>
  <si>
    <t>Version</t>
  </si>
  <si>
    <t>Max Price Date that Matches 'Today' in Source File:</t>
  </si>
  <si>
    <t>Row ID (6 Mths tab)</t>
  </si>
  <si>
    <t>Column ID</t>
  </si>
  <si>
    <t>Is 'Today' After the 15th?</t>
  </si>
  <si>
    <t>Matrix Source Data Report</t>
  </si>
  <si>
    <t>Inputs for Creating Source Data Report</t>
  </si>
  <si>
    <t>Max # of Forward Start Mth Terms</t>
  </si>
  <si>
    <t>SIZE ADDER in $/MWh</t>
  </si>
  <si>
    <t>RISK PREMIUMS in $/MWh</t>
  </si>
  <si>
    <t>Matrix Source Data Adders</t>
  </si>
  <si>
    <t># of Size Segments</t>
  </si>
  <si>
    <t>Description</t>
  </si>
  <si>
    <t>Choose State:</t>
  </si>
  <si>
    <t>Month List</t>
  </si>
  <si>
    <t>*Not Part of Print Range</t>
  </si>
  <si>
    <t>500-700 MWh</t>
  </si>
  <si>
    <t>Penn Pwr</t>
  </si>
  <si>
    <t>_(* #,##0.00_);_(* (#,##0.00);_(* "-"??_);_(@_)</t>
  </si>
  <si>
    <t>_(* #,##0.00000_);_(* (#,##0.00000);_(* "-"??_);_(@_)</t>
  </si>
  <si>
    <t>Incremental Premium</t>
  </si>
  <si>
    <t>From CES Matrix Archive</t>
  </si>
  <si>
    <t>Dayton</t>
  </si>
  <si>
    <t>Start:</t>
  </si>
  <si>
    <t>Rolling Start Date</t>
  </si>
  <si>
    <t>Check Trade Date</t>
  </si>
  <si>
    <t>No</t>
  </si>
  <si>
    <t>Min:</t>
  </si>
  <si>
    <t>Last Trade Date Before 15th</t>
  </si>
  <si>
    <t>Count @ Min:</t>
  </si>
  <si>
    <t>Max Price Date that Matches</t>
  </si>
  <si>
    <t>Max:</t>
  </si>
  <si>
    <t># of Forward Start Mth Terms to Show</t>
  </si>
  <si>
    <t>PJM Previous Start Mth Rolled Over:</t>
  </si>
  <si>
    <t>Count @ Max:</t>
  </si>
  <si>
    <t>AECO LP_10V1_S_41365</t>
  </si>
  <si>
    <t>AECO LP_10V1_S</t>
  </si>
  <si>
    <t>PJM</t>
  </si>
  <si>
    <t>Mthly Gen. Service</t>
  </si>
  <si>
    <t>BOD</t>
  </si>
  <si>
    <t>AECO LP_14V1_M_41365</t>
  </si>
  <si>
    <t>AECO LP_14V1_M</t>
  </si>
  <si>
    <t>Annual Gen Service</t>
  </si>
  <si>
    <t>AEP_OH_CS - test CSGS1_41365</t>
  </si>
  <si>
    <t>AEP_OH_CS - test CSGS1</t>
  </si>
  <si>
    <t>AEP OH CS</t>
  </si>
  <si>
    <t>General Service Small</t>
  </si>
  <si>
    <t>AEP_OH_CS - test CSGS2U_41365</t>
  </si>
  <si>
    <t>AEP_OH_CS - test CSGS2U</t>
  </si>
  <si>
    <t>General Service Medium</t>
  </si>
  <si>
    <t>AEP_OH_CS - test CSGS3U_41365</t>
  </si>
  <si>
    <t>AEP_OH_CS - test CSGS3U</t>
  </si>
  <si>
    <t>General Service Large</t>
  </si>
  <si>
    <t>Ameren RateZnIII LP DS2HH_41365</t>
  </si>
  <si>
    <t>Ameren RateZnIII LP DS2HH</t>
  </si>
  <si>
    <t>MISO</t>
  </si>
  <si>
    <t>Ameren</t>
  </si>
  <si>
    <t>General Service</t>
  </si>
  <si>
    <t>BGE LP_GL_41365</t>
  </si>
  <si>
    <t>BGE LP_GL</t>
  </si>
  <si>
    <t>BGE LP_G_41365</t>
  </si>
  <si>
    <t>BGE LP_G</t>
  </si>
  <si>
    <t>BGE LP_GS_41365</t>
  </si>
  <si>
    <t>BGE LP_GS</t>
  </si>
  <si>
    <t>ComEd - test LP_28_41365</t>
  </si>
  <si>
    <t>ComEd - test LP_28</t>
  </si>
  <si>
    <t>ComED</t>
  </si>
  <si>
    <t>0 - 100 kW</t>
  </si>
  <si>
    <t>ComEd - test LP_29_41365</t>
  </si>
  <si>
    <t>ComEd - test LP_29</t>
  </si>
  <si>
    <t>100 - 400 kW</t>
  </si>
  <si>
    <t>DAY_RC_843_41365</t>
  </si>
  <si>
    <t>DAY_RC_843</t>
  </si>
  <si>
    <t>DAYTON</t>
  </si>
  <si>
    <t>Sec. Service</t>
  </si>
  <si>
    <t>Delmarva MD LP_MDGS_M_41365</t>
  </si>
  <si>
    <t>Delmarva MD LP_MDGS_M</t>
  </si>
  <si>
    <t>DQE LP_GSGM_M_41365</t>
  </si>
  <si>
    <t>DQE LP_GSGM_M</t>
  </si>
  <si>
    <t>Duke_OH_RC_DS01_41365</t>
  </si>
  <si>
    <t>Duke_OH_RC_DS01</t>
  </si>
  <si>
    <t>DUKE OH</t>
  </si>
  <si>
    <t>FE_OE - test RC_GSF_41365</t>
  </si>
  <si>
    <t>FE_OE - test RC_GSF</t>
  </si>
  <si>
    <t>FE IC</t>
  </si>
  <si>
    <t>JCPL LP_GSCL_41365</t>
  </si>
  <si>
    <t>JCPL LP_GSCL</t>
  </si>
  <si>
    <t>JCPL LP_GSCM_41365</t>
  </si>
  <si>
    <t>JCPL LP_GSCM</t>
  </si>
  <si>
    <t>JCPL LP_GSCS_41365</t>
  </si>
  <si>
    <t>JCPL LP_GSCS</t>
  </si>
  <si>
    <t>MetEd RC_GSLF_41365</t>
  </si>
  <si>
    <t>MetEd RC_GSLF</t>
  </si>
  <si>
    <t>MetED</t>
  </si>
  <si>
    <t>METED</t>
  </si>
  <si>
    <t>MetEd RC_GSDF_41365</t>
  </si>
  <si>
    <t>MetEd RC_GSDF</t>
  </si>
  <si>
    <t>MetEd RC_GSSF_41365</t>
  </si>
  <si>
    <t>MetEd RC_GSSF</t>
  </si>
  <si>
    <t>PECO LP_GS_41365</t>
  </si>
  <si>
    <t>PECO LP_GS</t>
  </si>
  <si>
    <t>Penelec RC_GSLF_41365</t>
  </si>
  <si>
    <t>Penelec RC_GSLF</t>
  </si>
  <si>
    <t>PENELEC</t>
  </si>
  <si>
    <t>Penelec RC_GSMF_41365</t>
  </si>
  <si>
    <t>Penelec RC_GSMF</t>
  </si>
  <si>
    <t>Penelec RC_GSSF_41365</t>
  </si>
  <si>
    <t>Penelec RC_GSSF</t>
  </si>
  <si>
    <t>Penn Power RC_GMD_41365</t>
  </si>
  <si>
    <t>Penn Power RC_GMD</t>
  </si>
  <si>
    <t>PENN POWER</t>
  </si>
  <si>
    <t>PEPCO MD LP_MDND_41365</t>
  </si>
  <si>
    <t>PEPCO MD LP_MDND</t>
  </si>
  <si>
    <t>PEPCO MD LP_MMGTL2A_41365</t>
  </si>
  <si>
    <t>PEPCO MD LP_MMGTL2A</t>
  </si>
  <si>
    <t>Time Metered Gen Service</t>
  </si>
  <si>
    <t>PEPCO MD RC_3T7_41365</t>
  </si>
  <si>
    <t>PEPCO MD RC_3T7</t>
  </si>
  <si>
    <t>Potomac Edison LP_GSCM_M_41365</t>
  </si>
  <si>
    <t>Potomac Edison LP_GSCM_M</t>
  </si>
  <si>
    <t>PPL - TEST RCGS1_41365</t>
  </si>
  <si>
    <t>PPL - TEST RCGS1</t>
  </si>
  <si>
    <t>PPL - TEST RCGS3_41365</t>
  </si>
  <si>
    <t>PPL - TEST RCGS3</t>
  </si>
  <si>
    <t>PSEG LP_GLP_M_41365</t>
  </si>
  <si>
    <t>PSEG LP_GLP_M</t>
  </si>
  <si>
    <t>General L&amp;P</t>
  </si>
  <si>
    <t>PSEG LP_LPL_41365</t>
  </si>
  <si>
    <t>PSEG LP_LPL</t>
  </si>
  <si>
    <t>Large P&amp;L</t>
  </si>
  <si>
    <t>West Penn Power LP_GSCM_41365</t>
  </si>
  <si>
    <t>West Penn Power LP_GSCM</t>
  </si>
  <si>
    <t>WEST PENN POWER</t>
  </si>
  <si>
    <t>AECO LP_10V1_S_41395</t>
  </si>
  <si>
    <t>AECO LP_14V1_M_41395</t>
  </si>
  <si>
    <t>AEP_OH_CS - test CSGS1_41395</t>
  </si>
  <si>
    <t>AEP_OH_CS - test CSGS2U_41395</t>
  </si>
  <si>
    <t>AEP_OH_CS - test CSGS3U_41395</t>
  </si>
  <si>
    <t>Ameren RateZnIII LP DS2HH_41395</t>
  </si>
  <si>
    <t>BGE LP_GL_41395</t>
  </si>
  <si>
    <t>BGE LP_G_41395</t>
  </si>
  <si>
    <t>BGE LP_GS_41395</t>
  </si>
  <si>
    <t>ComEd - test LP_28_41395</t>
  </si>
  <si>
    <t>ComEd - test LP_29_41395</t>
  </si>
  <si>
    <t>DAY_RC_843_41395</t>
  </si>
  <si>
    <t>Delmarva MD LP_MDGS_M_41395</t>
  </si>
  <si>
    <t>DQE LP_GSGM_M_41395</t>
  </si>
  <si>
    <t>Duke_OH_RC_DS01_41395</t>
  </si>
  <si>
    <t>FE_OE - test RC_GSF_41395</t>
  </si>
  <si>
    <t>JCPL LP_GSCL_41395</t>
  </si>
  <si>
    <t>JCPL LP_GSCM_41395</t>
  </si>
  <si>
    <t>JCPL LP_GSCS_41395</t>
  </si>
  <si>
    <t>MetEd RC_GSLF_41395</t>
  </si>
  <si>
    <t>MetEd RC_GSDF_41395</t>
  </si>
  <si>
    <t>MetEd RC_GSSF_41395</t>
  </si>
  <si>
    <t>PECO LP_GS_41395</t>
  </si>
  <si>
    <t>Penelec RC_GSLF_41395</t>
  </si>
  <si>
    <t>Penelec RC_GSMF_41395</t>
  </si>
  <si>
    <t>Penelec RC_GSSF_41395</t>
  </si>
  <si>
    <t>Penn Power RC_GMD_41395</t>
  </si>
  <si>
    <t>PEPCO MD LP_MDND_41395</t>
  </si>
  <si>
    <t>PEPCO MD LP_MMGTL2A_41395</t>
  </si>
  <si>
    <t>PEPCO MD RC_3T7_41395</t>
  </si>
  <si>
    <t>Potomac Edison LP_GSCM_M_41395</t>
  </si>
  <si>
    <t>PPL - TEST RCGS1_41395</t>
  </si>
  <si>
    <t>PPL - TEST RCGS3_41395</t>
  </si>
  <si>
    <t>PSEG LP_GLP_M_41395</t>
  </si>
  <si>
    <t>PSEG LP_LPL_41395</t>
  </si>
  <si>
    <t>West Penn Power LP_GSCM_41395</t>
  </si>
  <si>
    <t>AECO LP_10V1_S_41426</t>
  </si>
  <si>
    <t>AECO LP_14V1_M_41426</t>
  </si>
  <si>
    <t>AEP_OH_CS - test CSGS1_41426</t>
  </si>
  <si>
    <t>AEP_OH_CS - test CSGS2U_41426</t>
  </si>
  <si>
    <t>AEP_OH_CS - test CSGS3U_41426</t>
  </si>
  <si>
    <t>Ameren RateZnIII LP DS2HH_41426</t>
  </si>
  <si>
    <t>BGE LP_GL_41426</t>
  </si>
  <si>
    <t>BGE LP_G_41426</t>
  </si>
  <si>
    <t>BGE LP_GS_41426</t>
  </si>
  <si>
    <t>ComEd - test LP_28_41426</t>
  </si>
  <si>
    <t>ComEd - test LP_29_41426</t>
  </si>
  <si>
    <t>DAY_RC_843_41426</t>
  </si>
  <si>
    <t>Delmarva MD LP_MDGS_M_41426</t>
  </si>
  <si>
    <t>DQE LP_GSGM_M_41426</t>
  </si>
  <si>
    <t>Duke_OH_RC_DS01_41426</t>
  </si>
  <si>
    <t>FE_OE - test RC_GSF_41426</t>
  </si>
  <si>
    <t>JCPL LP_GSCL_41426</t>
  </si>
  <si>
    <t>JCPL LP_GSCM_41426</t>
  </si>
  <si>
    <t>JCPL LP_GSCS_41426</t>
  </si>
  <si>
    <t>MetEd RC_GSLF_41426</t>
  </si>
  <si>
    <t>MetEd RC_GSDF_41426</t>
  </si>
  <si>
    <t>MetEd RC_GSSF_41426</t>
  </si>
  <si>
    <t>PECO LP_GS_41426</t>
  </si>
  <si>
    <t>Penelec RC_GSLF_41426</t>
  </si>
  <si>
    <t>Penelec RC_GSMF_41426</t>
  </si>
  <si>
    <t>Penelec RC_GSSF_41426</t>
  </si>
  <si>
    <t>Penn Power RC_GMD_41426</t>
  </si>
  <si>
    <t>PEPCO MD LP_MDND_41426</t>
  </si>
  <si>
    <t>PEPCO MD LP_MMGTL2A_41426</t>
  </si>
  <si>
    <t>PEPCO MD RC_3T7_41426</t>
  </si>
  <si>
    <t>Potomac Edison LP_GSCM_M_41426</t>
  </si>
  <si>
    <t>PPL - TEST RCGS1_41426</t>
  </si>
  <si>
    <t>PPL - TEST RCGS3_41426</t>
  </si>
  <si>
    <t>PSEG LP_GLP_M_41426</t>
  </si>
  <si>
    <t>PSEG LP_LPL_41426</t>
  </si>
  <si>
    <t>West Penn Power LP_GSCM_41426</t>
  </si>
  <si>
    <t>AECO LP_10V1_S_41456</t>
  </si>
  <si>
    <t>AECO LP_14V1_M_41456</t>
  </si>
  <si>
    <t>AEP_OH_CS - test CSGS1_41456</t>
  </si>
  <si>
    <t>AEP_OH_CS - test CSGS2U_41456</t>
  </si>
  <si>
    <t>AEP_OH_CS - test CSGS3U_41456</t>
  </si>
  <si>
    <t>Ameren RateZnIII LP DS2HH_41456</t>
  </si>
  <si>
    <t>BGE LP_GL_41456</t>
  </si>
  <si>
    <t>BGE LP_G_41456</t>
  </si>
  <si>
    <t>BGE LP_GS_41456</t>
  </si>
  <si>
    <t>ComEd - test LP_28_41456</t>
  </si>
  <si>
    <t>ComEd - test LP_29_41456</t>
  </si>
  <si>
    <t>DAY_RC_843_41456</t>
  </si>
  <si>
    <t>Delmarva MD LP_MDGS_M_41456</t>
  </si>
  <si>
    <t>DQE LP_GSGM_M_41456</t>
  </si>
  <si>
    <t>Duke_OH_RC_DS01_41456</t>
  </si>
  <si>
    <t>FE_OE - test RC_GSF_41456</t>
  </si>
  <si>
    <t>JCPL LP_GSCL_41456</t>
  </si>
  <si>
    <t>JCPL LP_GSCM_41456</t>
  </si>
  <si>
    <t>JCPL LP_GSCS_41456</t>
  </si>
  <si>
    <t>MetEd RC_GSLF_41456</t>
  </si>
  <si>
    <t>MetEd RC_GSDF_41456</t>
  </si>
  <si>
    <t>MetEd RC_GSSF_41456</t>
  </si>
  <si>
    <t>PECO LP_GS_41456</t>
  </si>
  <si>
    <t>Penelec RC_GSLF_41456</t>
  </si>
  <si>
    <t>Penelec RC_GSMF_41456</t>
  </si>
  <si>
    <t>Penelec RC_GSSF_41456</t>
  </si>
  <si>
    <t>Penn Power RC_GMD_41456</t>
  </si>
  <si>
    <t>PEPCO MD LP_MDND_41456</t>
  </si>
  <si>
    <t>PEPCO MD LP_MMGTL2A_41456</t>
  </si>
  <si>
    <t>PEPCO MD RC_3T7_41456</t>
  </si>
  <si>
    <t>Potomac Edison LP_GSCM_M_41456</t>
  </si>
  <si>
    <t>PPL - TEST RCGS1_41456</t>
  </si>
  <si>
    <t>PPL - TEST RCGS3_41456</t>
  </si>
  <si>
    <t>PSEG LP_GLP_M_41456</t>
  </si>
  <si>
    <t>PSEG LP_LPL_41456</t>
  </si>
  <si>
    <t>West Penn Power LP_GSCM_41456</t>
  </si>
  <si>
    <t>AECO LP_10V1_S_41487</t>
  </si>
  <si>
    <t>AECO LP_14V1_M_41487</t>
  </si>
  <si>
    <t>AEP_OH_CS - test CSGS1_41487</t>
  </si>
  <si>
    <t>AEP_OH_CS - test CSGS2U_41487</t>
  </si>
  <si>
    <t>AEP_OH_CS - test CSGS3U_41487</t>
  </si>
  <si>
    <t>Ameren RateZnIII LP DS2HH_41487</t>
  </si>
  <si>
    <t>BGE LP_GL_41487</t>
  </si>
  <si>
    <t>BGE LP_G_41487</t>
  </si>
  <si>
    <t>BGE LP_GS_41487</t>
  </si>
  <si>
    <t>ComEd - test LP_28_41487</t>
  </si>
  <si>
    <t>ComEd - test LP_29_41487</t>
  </si>
  <si>
    <t>DAY_RC_843_41487</t>
  </si>
  <si>
    <t>Delmarva MD LP_MDGS_M_41487</t>
  </si>
  <si>
    <t>DQE LP_GSGM_M_41487</t>
  </si>
  <si>
    <t>Duke_OH_RC_DS01_41487</t>
  </si>
  <si>
    <t>FE_OE - test RC_GSF_41487</t>
  </si>
  <si>
    <t>JCPL LP_GSCL_41487</t>
  </si>
  <si>
    <t>JCPL LP_GSCM_41487</t>
  </si>
  <si>
    <t>JCPL LP_GSCS_41487</t>
  </si>
  <si>
    <t>MetEd RC_GSLF_41487</t>
  </si>
  <si>
    <t>MetEd RC_GSDF_41487</t>
  </si>
  <si>
    <t>MetEd RC_GSSF_41487</t>
  </si>
  <si>
    <t>PECO LP_GS_41487</t>
  </si>
  <si>
    <t>Penelec RC_GSLF_41487</t>
  </si>
  <si>
    <t>Penelec RC_GSMF_41487</t>
  </si>
  <si>
    <t>Penelec RC_GSSF_41487</t>
  </si>
  <si>
    <t>Penn Power RC_GMD_41487</t>
  </si>
  <si>
    <t>PEPCO MD LP_MDND_41487</t>
  </si>
  <si>
    <t>PEPCO MD LP_MMGTL2A_41487</t>
  </si>
  <si>
    <t>PEPCO MD RC_3T7_41487</t>
  </si>
  <si>
    <t>Potomac Edison LP_GSCM_M_41487</t>
  </si>
  <si>
    <t>PPL - TEST RCGS1_41487</t>
  </si>
  <si>
    <t>PPL - TEST RCGS3_41487</t>
  </si>
  <si>
    <t>PSEG LP_GLP_M_41487</t>
  </si>
  <si>
    <t>PSEG LP_LPL_41487</t>
  </si>
  <si>
    <t>West Penn Power LP_GSCM_41487</t>
  </si>
  <si>
    <t>AECO LP_10V1_S_41518</t>
  </si>
  <si>
    <t>AECO LP_14V1_M_41518</t>
  </si>
  <si>
    <t>AEP_OH_CS - test CSGS1_41518</t>
  </si>
  <si>
    <t>AEP_OH_CS - test CSGS2U_41518</t>
  </si>
  <si>
    <t>AEP_OH_CS - test CSGS3U_41518</t>
  </si>
  <si>
    <t>Ameren RateZnIII LP DS2HH_41518</t>
  </si>
  <si>
    <t>BGE LP_GL_41518</t>
  </si>
  <si>
    <t>BGE LP_G_41518</t>
  </si>
  <si>
    <t>BGE LP_GS_41518</t>
  </si>
  <si>
    <t>ComEd - test LP_28_41518</t>
  </si>
  <si>
    <t>ComEd - test LP_29_41518</t>
  </si>
  <si>
    <t>DAY_RC_843_41518</t>
  </si>
  <si>
    <t>Delmarva MD LP_MDGS_M_41518</t>
  </si>
  <si>
    <t>DQE LP_GSGM_M_41518</t>
  </si>
  <si>
    <t>Duke_OH_RC_DS01_41518</t>
  </si>
  <si>
    <t>FE_OE - test RC_GSF_41518</t>
  </si>
  <si>
    <t>JCPL LP_GSCL_41518</t>
  </si>
  <si>
    <t>JCPL LP_GSCM_41518</t>
  </si>
  <si>
    <t>JCPL LP_GSCS_41518</t>
  </si>
  <si>
    <t>MetEd RC_GSLF_41518</t>
  </si>
  <si>
    <t>MetEd RC_GSDF_41518</t>
  </si>
  <si>
    <t>MetEd RC_GSSF_41518</t>
  </si>
  <si>
    <t>PECO LP_GS_41518</t>
  </si>
  <si>
    <t>Penelec RC_GSLF_41518</t>
  </si>
  <si>
    <t>Penelec RC_GSMF_41518</t>
  </si>
  <si>
    <t>Penelec RC_GSSF_41518</t>
  </si>
  <si>
    <t>Penn Power RC_GMD_41518</t>
  </si>
  <si>
    <t>PEPCO MD LP_MDND_41518</t>
  </si>
  <si>
    <t>PEPCO MD LP_MMGTL2A_41518</t>
  </si>
  <si>
    <t>PEPCO MD RC_3T7_41518</t>
  </si>
  <si>
    <t>Potomac Edison LP_GSCM_M_41518</t>
  </si>
  <si>
    <t>PPL - TEST RCGS1_41518</t>
  </si>
  <si>
    <t>PPL - TEST RCGS3_41518</t>
  </si>
  <si>
    <t>PSEG LP_GLP_M_41518</t>
  </si>
  <si>
    <t>PSEG LP_LPL_41518</t>
  </si>
  <si>
    <t>West Penn Power LP_GSCM_41518</t>
  </si>
  <si>
    <t>AECO LP_10V1_S_41548</t>
  </si>
  <si>
    <t>AECO LP_14V1_M_41548</t>
  </si>
  <si>
    <t>AEP_OH_CS - test CSGS1_41548</t>
  </si>
  <si>
    <t>AEP_OH_CS - test CSGS2U_41548</t>
  </si>
  <si>
    <t>AEP_OH_CS - test CSGS3U_41548</t>
  </si>
  <si>
    <t>Ameren RateZnIII LP DS2HH_41548</t>
  </si>
  <si>
    <t>BGE LP_GL_41548</t>
  </si>
  <si>
    <t>BGE LP_G_41548</t>
  </si>
  <si>
    <t>BGE LP_GS_41548</t>
  </si>
  <si>
    <t>ComEd - test LP_28_41548</t>
  </si>
  <si>
    <t>ComEd - test LP_29_41548</t>
  </si>
  <si>
    <t>DAY_RC_843_41548</t>
  </si>
  <si>
    <t>Delmarva MD LP_MDGS_M_41548</t>
  </si>
  <si>
    <t>DQE LP_GSGM_M_41548</t>
  </si>
  <si>
    <t>Duke_OH_RC_DS01_41548</t>
  </si>
  <si>
    <t>FE_OE - test RC_GSF_41548</t>
  </si>
  <si>
    <t>JCPL LP_GSCL_41548</t>
  </si>
  <si>
    <t>JCPL LP_GSCM_41548</t>
  </si>
  <si>
    <t>JCPL LP_GSCS_41548</t>
  </si>
  <si>
    <t>MetEd RC_GSLF_41548</t>
  </si>
  <si>
    <t>MetEd RC_GSDF_41548</t>
  </si>
  <si>
    <t>MetEd RC_GSSF_41548</t>
  </si>
  <si>
    <t>PECO LP_GS_41548</t>
  </si>
  <si>
    <t>Penelec RC_GSLF_41548</t>
  </si>
  <si>
    <t>Penelec RC_GSMF_41548</t>
  </si>
  <si>
    <t>Penelec RC_GSSF_41548</t>
  </si>
  <si>
    <t>Penn Power RC_GMD_41548</t>
  </si>
  <si>
    <t>PEPCO MD LP_MDND_41548</t>
  </si>
  <si>
    <t>PEPCO MD LP_MMGTL2A_41548</t>
  </si>
  <si>
    <t>PEPCO MD RC_3T7_41548</t>
  </si>
  <si>
    <t>Potomac Edison LP_GSCM_M_41548</t>
  </si>
  <si>
    <t>PPL - TEST RCGS1_41548</t>
  </si>
  <si>
    <t>PPL - TEST RCGS3_41548</t>
  </si>
  <si>
    <t>PSEG LP_GLP_M_41548</t>
  </si>
  <si>
    <t>PSEG LP_LPL_41548</t>
  </si>
  <si>
    <t>West Penn Power LP_GSCM_41548</t>
  </si>
  <si>
    <t>AECO LP_10V1_S_41579</t>
  </si>
  <si>
    <t>AECO LP_14V1_M_41579</t>
  </si>
  <si>
    <t>AEP_OH_CS - test CSGS1_41579</t>
  </si>
  <si>
    <t>AEP_OH_CS - test CSGS2U_41579</t>
  </si>
  <si>
    <t>AEP_OH_CS - test CSGS3U_41579</t>
  </si>
  <si>
    <t>Ameren RateZnIII LP DS2HH_41579</t>
  </si>
  <si>
    <t>BGE LP_GL_41579</t>
  </si>
  <si>
    <t>BGE LP_G_41579</t>
  </si>
  <si>
    <t>BGE LP_GS_41579</t>
  </si>
  <si>
    <t>ComEd - test LP_28_41579</t>
  </si>
  <si>
    <t>ComEd - test LP_29_41579</t>
  </si>
  <si>
    <t>DAY_RC_843_41579</t>
  </si>
  <si>
    <t>Delmarva MD LP_MDGS_M_41579</t>
  </si>
  <si>
    <t>DQE LP_GSGM_M_41579</t>
  </si>
  <si>
    <t>Duke_OH_RC_DS01_41579</t>
  </si>
  <si>
    <t>FE_OE - test RC_GSF_41579</t>
  </si>
  <si>
    <t>JCPL LP_GSCL_41579</t>
  </si>
  <si>
    <t>JCPL LP_GSCM_41579</t>
  </si>
  <si>
    <t>JCPL LP_GSCS_41579</t>
  </si>
  <si>
    <t>MetEd RC_GSLF_41579</t>
  </si>
  <si>
    <t>MetEd RC_GSDF_41579</t>
  </si>
  <si>
    <t>MetEd RC_GSSF_41579</t>
  </si>
  <si>
    <t>PECO LP_GS_41579</t>
  </si>
  <si>
    <t>Penelec RC_GSLF_41579</t>
  </si>
  <si>
    <t>Penelec RC_GSMF_41579</t>
  </si>
  <si>
    <t>Penelec RC_GSSF_41579</t>
  </si>
  <si>
    <t>Penn Power RC_GMD_41579</t>
  </si>
  <si>
    <t>PEPCO MD LP_MDND_41579</t>
  </si>
  <si>
    <t>PEPCO MD LP_MMGTL2A_41579</t>
  </si>
  <si>
    <t>PEPCO MD RC_3T7_41579</t>
  </si>
  <si>
    <t>Potomac Edison LP_GSCM_M_41579</t>
  </si>
  <si>
    <t>PPL - TEST RCGS1_41579</t>
  </si>
  <si>
    <t>PPL - TEST RCGS3_41579</t>
  </si>
  <si>
    <t>PSEG LP_GLP_M_41579</t>
  </si>
  <si>
    <t>PSEG LP_LPL_41579</t>
  </si>
  <si>
    <t>West Penn Power LP_GSCM_41579</t>
  </si>
  <si>
    <t>AECO LP_10V1_S_41609</t>
  </si>
  <si>
    <t>AECO LP_14V1_M_41609</t>
  </si>
  <si>
    <t>AEP_OH_CS - test CSGS1_41609</t>
  </si>
  <si>
    <t>AEP_OH_CS - test CSGS2U_41609</t>
  </si>
  <si>
    <t>AEP_OH_CS - test CSGS3U_41609</t>
  </si>
  <si>
    <t>Ameren RateZnIII LP DS2HH_41609</t>
  </si>
  <si>
    <t>BGE LP_GL_41609</t>
  </si>
  <si>
    <t>BGE LP_G_41609</t>
  </si>
  <si>
    <t>BGE LP_GS_41609</t>
  </si>
  <si>
    <t>ComEd - test LP_28_41609</t>
  </si>
  <si>
    <t>ComEd - test LP_29_41609</t>
  </si>
  <si>
    <t>DAY_RC_843_41609</t>
  </si>
  <si>
    <t>Delmarva MD LP_MDGS_M_41609</t>
  </si>
  <si>
    <t>DQE LP_GSGM_M_41609</t>
  </si>
  <si>
    <t>Duke_OH_RC_DS01_41609</t>
  </si>
  <si>
    <t>FE_OE - test RC_GSF_41609</t>
  </si>
  <si>
    <t>JCPL LP_GSCL_41609</t>
  </si>
  <si>
    <t>JCPL LP_GSCM_41609</t>
  </si>
  <si>
    <t>JCPL LP_GSCS_41609</t>
  </si>
  <si>
    <t>MetEd RC_GSLF_41609</t>
  </si>
  <si>
    <t>MetEd RC_GSDF_41609</t>
  </si>
  <si>
    <t>MetEd RC_GSSF_41609</t>
  </si>
  <si>
    <t>PECO LP_GS_41609</t>
  </si>
  <si>
    <t>Penelec RC_GSLF_41609</t>
  </si>
  <si>
    <t>Penelec RC_GSMF_41609</t>
  </si>
  <si>
    <t>Penelec RC_GSSF_41609</t>
  </si>
  <si>
    <t>Penn Power RC_GMD_41609</t>
  </si>
  <si>
    <t>PEPCO MD LP_MDND_41609</t>
  </si>
  <si>
    <t>PEPCO MD LP_MMGTL2A_41609</t>
  </si>
  <si>
    <t>PEPCO MD RC_3T7_41609</t>
  </si>
  <si>
    <t>Potomac Edison LP_GSCM_M_41609</t>
  </si>
  <si>
    <t>PPL - TEST RCGS1_41609</t>
  </si>
  <si>
    <t>PPL - TEST RCGS3_41609</t>
  </si>
  <si>
    <t>PSEG LP_GLP_M_41609</t>
  </si>
  <si>
    <t>PSEG LP_LPL_41609</t>
  </si>
  <si>
    <t>West Penn Power LP_GSCM_41609</t>
  </si>
  <si>
    <t>AECO LP_10V1_S_41640</t>
  </si>
  <si>
    <t>AECO LP_14V1_M_41640</t>
  </si>
  <si>
    <t>AEP_OH_CS - test CSGS1_41640</t>
  </si>
  <si>
    <t>AEP_OH_CS - test CSGS2U_41640</t>
  </si>
  <si>
    <t>AEP_OH_CS - test CSGS3U_41640</t>
  </si>
  <si>
    <t>Ameren RateZnIII LP DS2HH_41640</t>
  </si>
  <si>
    <t>BGE LP_GL_41640</t>
  </si>
  <si>
    <t>BGE LP_G_41640</t>
  </si>
  <si>
    <t>BGE LP_GS_41640</t>
  </si>
  <si>
    <t>ComEd - test LP_28_41640</t>
  </si>
  <si>
    <t>ComEd - test LP_29_41640</t>
  </si>
  <si>
    <t>DAY_RC_843_41640</t>
  </si>
  <si>
    <t>Delmarva MD LP_MDGS_M_41640</t>
  </si>
  <si>
    <t>DQE LP_GSGM_M_41640</t>
  </si>
  <si>
    <t>Duke_OH_RC_DS01_41640</t>
  </si>
  <si>
    <t>FE_OE - test RC_GSF_41640</t>
  </si>
  <si>
    <t>JCPL LP_GSCL_41640</t>
  </si>
  <si>
    <t>JCPL LP_GSCM_41640</t>
  </si>
  <si>
    <t>JCPL LP_GSCS_41640</t>
  </si>
  <si>
    <t>MetEd RC_GSLF_41640</t>
  </si>
  <si>
    <t>MetEd RC_GSDF_41640</t>
  </si>
  <si>
    <t>MetEd RC_GSSF_41640</t>
  </si>
  <si>
    <t>PECO LP_GS_41640</t>
  </si>
  <si>
    <t>Penelec RC_GSLF_41640</t>
  </si>
  <si>
    <t>Penelec RC_GSMF_41640</t>
  </si>
  <si>
    <t>Penelec RC_GSSF_41640</t>
  </si>
  <si>
    <t>Penn Power RC_GMD_41640</t>
  </si>
  <si>
    <t>PEPCO MD LP_MDND_41640</t>
  </si>
  <si>
    <t>PEPCO MD LP_MMGTL2A_41640</t>
  </si>
  <si>
    <t>PEPCO MD RC_3T7_41640</t>
  </si>
  <si>
    <t>Potomac Edison LP_GSCM_M_41640</t>
  </si>
  <si>
    <t>PPL - TEST RCGS1_41640</t>
  </si>
  <si>
    <t>PPL - TEST RCGS3_41640</t>
  </si>
  <si>
    <t>PSEG LP_GLP_M_41640</t>
  </si>
  <si>
    <t>PSEG LP_LPL_41640</t>
  </si>
  <si>
    <t>West Penn Power LP_GSCM_41640</t>
  </si>
  <si>
    <t>AECO LP_10V1_S_41671</t>
  </si>
  <si>
    <t>AECO LP_14V1_M_41671</t>
  </si>
  <si>
    <t>AEP_OH_CS - test CSGS1_41671</t>
  </si>
  <si>
    <t>AEP_OH_CS - test CSGS2U_41671</t>
  </si>
  <si>
    <t>AEP_OH_CS - test CSGS3U_41671</t>
  </si>
  <si>
    <t>Ameren RateZnIII LP DS2HH_41671</t>
  </si>
  <si>
    <t>BGE LP_GL_41671</t>
  </si>
  <si>
    <t>BGE LP_G_41671</t>
  </si>
  <si>
    <t>BGE LP_GS_41671</t>
  </si>
  <si>
    <t>ComEd - test LP_28_41671</t>
  </si>
  <si>
    <t>ComEd - test LP_29_41671</t>
  </si>
  <si>
    <t>DAY_RC_843_41671</t>
  </si>
  <si>
    <t>Delmarva MD LP_MDGS_M_41671</t>
  </si>
  <si>
    <t>DQE LP_GSGM_M_41671</t>
  </si>
  <si>
    <t>Duke_OH_RC_DS01_41671</t>
  </si>
  <si>
    <t>FE_OE - test RC_GSF_41671</t>
  </si>
  <si>
    <t>JCPL LP_GSCL_41671</t>
  </si>
  <si>
    <t>JCPL LP_GSCM_41671</t>
  </si>
  <si>
    <t>JCPL LP_GSCS_41671</t>
  </si>
  <si>
    <t>MetEd RC_GSLF_41671</t>
  </si>
  <si>
    <t>MetEd RC_GSDF_41671</t>
  </si>
  <si>
    <t>MetEd RC_GSSF_41671</t>
  </si>
  <si>
    <t>PECO LP_GS_41671</t>
  </si>
  <si>
    <t>Penelec RC_GSLF_41671</t>
  </si>
  <si>
    <t>Penelec RC_GSMF_41671</t>
  </si>
  <si>
    <t>Penelec RC_GSSF_41671</t>
  </si>
  <si>
    <t>Penn Power RC_GMD_41671</t>
  </si>
  <si>
    <t>PEPCO MD LP_MDND_41671</t>
  </si>
  <si>
    <t>PEPCO MD LP_MMGTL2A_41671</t>
  </si>
  <si>
    <t>PEPCO MD RC_3T7_41671</t>
  </si>
  <si>
    <t>Potomac Edison LP_GSCM_M_41671</t>
  </si>
  <si>
    <t>PPL - TEST RCGS1_41671</t>
  </si>
  <si>
    <t>PPL - TEST RCGS3_41671</t>
  </si>
  <si>
    <t>PSEG LP_GLP_M_41671</t>
  </si>
  <si>
    <t>PSEG LP_LPL_41671</t>
  </si>
  <si>
    <t>West Penn Power LP_GSCM_41671</t>
  </si>
  <si>
    <t>AECO LP_10V1_S_41699</t>
  </si>
  <si>
    <t>AECO LP_14V1_M_41699</t>
  </si>
  <si>
    <t>AEP_OH_CS - test CSGS1_41699</t>
  </si>
  <si>
    <t>AEP_OH_CS - test CSGS2U_41699</t>
  </si>
  <si>
    <t>AEP_OH_CS - test CSGS3U_41699</t>
  </si>
  <si>
    <t>Ameren RateZnIII LP DS2HH_41699</t>
  </si>
  <si>
    <t>BGE LP_GL_41699</t>
  </si>
  <si>
    <t>BGE LP_G_41699</t>
  </si>
  <si>
    <t>BGE LP_GS_41699</t>
  </si>
  <si>
    <t>ComEd - test LP_28_41699</t>
  </si>
  <si>
    <t>ComEd - test LP_29_41699</t>
  </si>
  <si>
    <t>DAY_RC_843_41699</t>
  </si>
  <si>
    <t>Delmarva MD LP_MDGS_M_41699</t>
  </si>
  <si>
    <t>DQE LP_GSGM_M_41699</t>
  </si>
  <si>
    <t>Duke_OH_RC_DS01_41699</t>
  </si>
  <si>
    <t>FE_OE - test RC_GSF_41699</t>
  </si>
  <si>
    <t>JCPL LP_GSCL_41699</t>
  </si>
  <si>
    <t>JCPL LP_GSCM_41699</t>
  </si>
  <si>
    <t>JCPL LP_GSCS_41699</t>
  </si>
  <si>
    <t>MetEd RC_GSLF_41699</t>
  </si>
  <si>
    <t>MetEd RC_GSDF_41699</t>
  </si>
  <si>
    <t>MetEd RC_GSSF_41699</t>
  </si>
  <si>
    <t>PECO LP_GS_41699</t>
  </si>
  <si>
    <t>Penelec RC_GSLF_41699</t>
  </si>
  <si>
    <t>Penelec RC_GSMF_41699</t>
  </si>
  <si>
    <t>Penelec RC_GSSF_41699</t>
  </si>
  <si>
    <t>Penn Power RC_GMD_41699</t>
  </si>
  <si>
    <t>PEPCO MD LP_MDND_41699</t>
  </si>
  <si>
    <t>PEPCO MD LP_MMGTL2A_41699</t>
  </si>
  <si>
    <t>PEPCO MD RC_3T7_41699</t>
  </si>
  <si>
    <t>Potomac Edison LP_GSCM_M_41699</t>
  </si>
  <si>
    <t>PPL - TEST RCGS1_41699</t>
  </si>
  <si>
    <t>PPL - TEST RCGS3_41699</t>
  </si>
  <si>
    <t>PSEG LP_GLP_M_41699</t>
  </si>
  <si>
    <t>PSEG LP_LPL_41699</t>
  </si>
  <si>
    <t>West Penn Power LP_GSCM_41699</t>
  </si>
  <si>
    <t>AECO LP_10V1_S_</t>
  </si>
  <si>
    <t>AECO LP_14V1_M_</t>
  </si>
  <si>
    <t>AEP_OH_CS - test CSGS1_</t>
  </si>
  <si>
    <t>AEP_OH_CS - test CSGS2U_</t>
  </si>
  <si>
    <t>AEP_OH_CS - test CSGS3U_</t>
  </si>
  <si>
    <t>Ameren RateZnIII LP DS2HH_</t>
  </si>
  <si>
    <t>BGE LP_GL_</t>
  </si>
  <si>
    <t>BGE LP_G_</t>
  </si>
  <si>
    <t>BGE LP_GS_</t>
  </si>
  <si>
    <t>ComEd - test LP_28_</t>
  </si>
  <si>
    <t>ComEd - test LP_29_</t>
  </si>
  <si>
    <t>DAY_RC_843_</t>
  </si>
  <si>
    <t>Delmarva MD LP_MDGS_M_</t>
  </si>
  <si>
    <t>DQE LP_GSGM_M_</t>
  </si>
  <si>
    <t>Duke_OH_RC_DS01_</t>
  </si>
  <si>
    <t>FE_OE - test RC_GSF_</t>
  </si>
  <si>
    <t>JCPL LP_GSCL_</t>
  </si>
  <si>
    <t>JCPL LP_GSCM_</t>
  </si>
  <si>
    <t>JCPL LP_GSCS_</t>
  </si>
  <si>
    <t>MetEd RC_GSLF_</t>
  </si>
  <si>
    <t>MetEd RC_GSDF_</t>
  </si>
  <si>
    <t>MetEd RC_GSSF_</t>
  </si>
  <si>
    <t>PECO LP_GS_</t>
  </si>
  <si>
    <t>Penelec RC_GSLF_</t>
  </si>
  <si>
    <t>Penelec RC_GSMF_</t>
  </si>
  <si>
    <t>Penelec RC_GSSF_</t>
  </si>
  <si>
    <t>Penn Power RC_GMD_</t>
  </si>
  <si>
    <t>PEPCO MD LP_MDND_</t>
  </si>
  <si>
    <t>PEPCO MD LP_MMGTL2A_</t>
  </si>
  <si>
    <t>PEPCO MD RC_3T7_</t>
  </si>
  <si>
    <t>Potomac Edison LP_GSCM_M_</t>
  </si>
  <si>
    <t>PPL - TEST RCGS1_</t>
  </si>
  <si>
    <t>PPL - TEST RCGS3_</t>
  </si>
  <si>
    <t>PSEG LP_GLP_M_</t>
  </si>
  <si>
    <t>PSEG LP_LPL_</t>
  </si>
  <si>
    <t>West Penn Power LP_GSCM_</t>
  </si>
  <si>
    <t>Utility</t>
  </si>
  <si>
    <t>Market Segment</t>
  </si>
  <si>
    <t>Term Results ($/MWh)</t>
  </si>
  <si>
    <t>Product Name</t>
  </si>
  <si>
    <t>PJM Matrix Price</t>
  </si>
  <si>
    <t>6</t>
  </si>
  <si>
    <t>12</t>
  </si>
  <si>
    <t>18</t>
  </si>
  <si>
    <t>24</t>
  </si>
  <si>
    <t>36</t>
  </si>
  <si>
    <t>Analysis Time</t>
  </si>
  <si>
    <t>Activation Time</t>
  </si>
  <si>
    <t>Duquesne Light</t>
  </si>
  <si>
    <t>MetEd</t>
  </si>
  <si>
    <t>Penn Power</t>
  </si>
  <si>
    <t>West Penn Power</t>
  </si>
  <si>
    <t>DQE LP_GSGM_MMS</t>
  </si>
  <si>
    <t>MetEd RC_GSLFMS</t>
  </si>
  <si>
    <t>MetEd RC_GSDFMS</t>
  </si>
  <si>
    <t>MetEd RC_GSSFMS</t>
  </si>
  <si>
    <t>Penelec RC_GSLFMS</t>
  </si>
  <si>
    <t>Penelec RC_GSMFMS</t>
  </si>
  <si>
    <t>Penelec RC_GSSFMS</t>
  </si>
  <si>
    <t>PECO LP_GSMS</t>
  </si>
  <si>
    <t>Penn Power RC_GMDMS</t>
  </si>
  <si>
    <t>PPL_RCGS1MS</t>
  </si>
  <si>
    <t>PPL_RCGS3MS</t>
  </si>
  <si>
    <t>West Penn Power LP_GSCMMS</t>
  </si>
  <si>
    <t>3/7/2013 4:54:25 PM</t>
  </si>
  <si>
    <t>Ohio Edison</t>
  </si>
  <si>
    <t>AEP_OH_CS</t>
  </si>
  <si>
    <t>JCP&amp;L</t>
  </si>
  <si>
    <t>BG&amp;E</t>
  </si>
  <si>
    <t>PEPCO_MD</t>
  </si>
  <si>
    <t>ComEd</t>
  </si>
  <si>
    <t>DLMRV_MD</t>
  </si>
  <si>
    <t>Duke Energy</t>
  </si>
  <si>
    <t>3/7/2013 5:22:40 PM</t>
  </si>
  <si>
    <t>3/7/2013 5:22:44 PM</t>
  </si>
  <si>
    <t>3/7/2013 10:13:10 PM</t>
  </si>
  <si>
    <t>MISO Matrix Price</t>
  </si>
  <si>
    <t>Ameren IL</t>
  </si>
  <si>
    <t>500-2500 MWh</t>
  </si>
  <si>
    <t>Prices in $/MWh</t>
  </si>
  <si>
    <t># of Forward Start Mth Terms</t>
  </si>
  <si>
    <t>AECO LP_10V1_SMS</t>
  </si>
  <si>
    <t>AECO LP_14V1_MMS</t>
  </si>
  <si>
    <t>AEP_OH_CS - test CSGS1MS</t>
  </si>
  <si>
    <t>AEP_OH_CS - test CSGS2UMS</t>
  </si>
  <si>
    <t>AEP_OH_CS - test CSGS3UMS</t>
  </si>
  <si>
    <t>Ameren RateZnIII LP DS2HHMS</t>
  </si>
  <si>
    <t>BGE LP_GLMS</t>
  </si>
  <si>
    <t>BGE LP_GMS</t>
  </si>
  <si>
    <t>BGE LP_GSMS</t>
  </si>
  <si>
    <t>ComEd - test LP_28MS</t>
  </si>
  <si>
    <t>ComEd - test LP_29MS</t>
  </si>
  <si>
    <t>DAY_RC_843MS</t>
  </si>
  <si>
    <t>Delmarva MD LP_MDGS_MMS</t>
  </si>
  <si>
    <t>DQE LP_GSGM_MMS (2)</t>
  </si>
  <si>
    <t>Duke_OH_RC_DS01MS</t>
  </si>
  <si>
    <t>FE_OE - test RC_GSFMS</t>
  </si>
  <si>
    <t>Adders</t>
  </si>
  <si>
    <t>Matrix</t>
  </si>
  <si>
    <t>Main</t>
  </si>
  <si>
    <t>LMPMain</t>
  </si>
  <si>
    <t>JCPL LP_GSCLMS</t>
  </si>
  <si>
    <t>JCPL LP_GSCMMS</t>
  </si>
  <si>
    <t>JCPL LP_GSCSMS</t>
  </si>
  <si>
    <t>MetEd RC_GSDFMS (2)</t>
  </si>
  <si>
    <t>MetEd RC_GSLFMS (2)</t>
  </si>
  <si>
    <t>MetEd RC_GSSFMS (2)</t>
  </si>
  <si>
    <t>PECO LP_GSMS (2)</t>
  </si>
  <si>
    <t>Penelec RC_GSLFMS (2)</t>
  </si>
  <si>
    <t>Penelec RC_GSMFMS (2)</t>
  </si>
  <si>
    <t>Penelec RC_GSSFMS (2)</t>
  </si>
  <si>
    <t>Penn Power RC_GMDMS (2)</t>
  </si>
  <si>
    <t>PEPCO MD LP_MDNDMS</t>
  </si>
  <si>
    <t>PEPCO MD LP_MMGTL2AMS</t>
  </si>
  <si>
    <t>PEPCO MD RC_3T7MS</t>
  </si>
  <si>
    <t>Potomac Edison LP_GSCM_MMS</t>
  </si>
  <si>
    <t>PPL_RCGS1MS (2)</t>
  </si>
  <si>
    <t>PPL_RCGS3MS (2)</t>
  </si>
  <si>
    <t>PSEG LP_GLP_MMS</t>
  </si>
  <si>
    <t>PSEG LP_LPLMS</t>
  </si>
  <si>
    <t>West Penn Power LP_GSCMMS (2)</t>
  </si>
  <si>
    <t>AllSheetNames</t>
  </si>
  <si>
    <t>Workbooks(varFileName).Sheets("GLE").Protect Password:="radiohead", DrawingObjects:=False, Contents:=True, Scenarios:=True, AllowFiltering:=True, UserInterFaceOnly:=True</t>
  </si>
  <si>
    <t>Workbooks(varFileName).Sheets("</t>
  </si>
  <si>
    <t>").Protect Password:="radiohead", DrawingObjects:=False, Contents:=True, Scenarios:=True, AllowFiltering:=True, UserInterFaceOnly:=True</t>
  </si>
  <si>
    <t>").Visible = xlVeryHidden</t>
  </si>
  <si>
    <t xml:space="preserve"> Market Supply Detail</t>
  </si>
  <si>
    <t>Mass Markets Matrix Pricing Parameters:</t>
  </si>
  <si>
    <t>&gt; Prices above include no mils for brokers/consultants (please add accordingly).</t>
  </si>
  <si>
    <t>&gt; Applies to customers with usage less than or equal to 2,500,000 kWh per year.</t>
  </si>
  <si>
    <t>&gt; Matrix contracts in excess of 1,500,000 annual kWh must be on a written agreement.</t>
  </si>
  <si>
    <t>&gt; Contracts must be received by 4:00 PM (CST) to be accepted (Fax: 713-366-8821) (Email: ChampionMM@championenergyservices.com)</t>
  </si>
  <si>
    <t>&gt; Contracts must be accompanied by customer's most recent (current) bill copy demonstrating zero balance forward and no late fees.</t>
  </si>
  <si>
    <t>&gt; Contracts in excess of 5 meters must be confirmed via Champion prior to submission for acceptance / enrollment.</t>
  </si>
  <si>
    <t>&gt; Champion reserves the right to reject contracts for, but not limited to, market movement, credit reasons, and/or delayed submission.</t>
  </si>
  <si>
    <t>MM PJM Fixed-Index-24 Matrix Pricing</t>
  </si>
  <si>
    <t>AECO LP_10V1_S_42156</t>
  </si>
  <si>
    <t>AECO LP_14V1_M_42156</t>
  </si>
  <si>
    <t>AEP_OH_CS - test CSGS1_42156</t>
  </si>
  <si>
    <t>AEP_OH_CS - test CSGS2U_42156</t>
  </si>
  <si>
    <t>AEP_OH_CS - test CSGS3U_42156</t>
  </si>
  <si>
    <t>Ameren RateZnIII LP DS2HH_42156</t>
  </si>
  <si>
    <t>BGE LP_GL_42156</t>
  </si>
  <si>
    <t>BGE LP_G_42156</t>
  </si>
  <si>
    <t>BGE LP_GS_42156</t>
  </si>
  <si>
    <t>ComEd - test LP_28_42156</t>
  </si>
  <si>
    <t>ComEd - test LP_29_42156</t>
  </si>
  <si>
    <t>DAY_RC_843_42156</t>
  </si>
  <si>
    <t>Delmarva MD LP_MDGS_M_42156</t>
  </si>
  <si>
    <t>DQE LP_GSGM_M_42156</t>
  </si>
  <si>
    <t>Duke_OH_RC_DS01_42156</t>
  </si>
  <si>
    <t>FE_OE - test RC_GSF_42156</t>
  </si>
  <si>
    <t>JCPL LP_GSCL_42156</t>
  </si>
  <si>
    <t>JCPL LP_GSCM_42156</t>
  </si>
  <si>
    <t>JCPL LP_GSCS_42156</t>
  </si>
  <si>
    <t>MetEd RC_GSLF_42156</t>
  </si>
  <si>
    <t>MetEd RC_GSDF_42156</t>
  </si>
  <si>
    <t>MetEd RC_GSSF_42156</t>
  </si>
  <si>
    <t>PECO LP_GS_42156</t>
  </si>
  <si>
    <t>Penelec RC_GSLF_42156</t>
  </si>
  <si>
    <t>Penelec RC_GSMF_42156</t>
  </si>
  <si>
    <t>Penelec RC_GSSF_42156</t>
  </si>
  <si>
    <t>Penn Power RC_GMD_42156</t>
  </si>
  <si>
    <t>PEPCO MD LP_MDND_42156</t>
  </si>
  <si>
    <t>PEPCO MD LP_MMGTL2A_42156</t>
  </si>
  <si>
    <t>PEPCO MD RC_3T7_42156</t>
  </si>
  <si>
    <t>Potomac Edison LP_GSCM_M_42156</t>
  </si>
  <si>
    <t>PPL - TEST RCGS1_42156</t>
  </si>
  <si>
    <t>PPL - TEST RCGS3_42156</t>
  </si>
  <si>
    <t>PSEG LP_GLP_M_42156</t>
  </si>
  <si>
    <t>PSEG LP_LPL_42156</t>
  </si>
  <si>
    <t>West Penn Power LP_GSCM_42156</t>
  </si>
  <si>
    <t>AECO LP_10V1_S_42186</t>
  </si>
  <si>
    <t>AECO LP_14V1_M_42186</t>
  </si>
  <si>
    <t>AEP_OH_CS - test CSGS1_42186</t>
  </si>
  <si>
    <t>AEP_OH_CS - test CSGS2U_42186</t>
  </si>
  <si>
    <t>AEP_OH_CS - test CSGS3U_42186</t>
  </si>
  <si>
    <t>Ameren RateZnIII LP DS2HH_42186</t>
  </si>
  <si>
    <t>BGE LP_GL_42186</t>
  </si>
  <si>
    <t>BGE LP_G_42186</t>
  </si>
  <si>
    <t>BGE LP_GS_42186</t>
  </si>
  <si>
    <t>ComEd - test LP_28_42186</t>
  </si>
  <si>
    <t>ComEd - test LP_29_42186</t>
  </si>
  <si>
    <t>DAY_RC_843_42186</t>
  </si>
  <si>
    <t>Delmarva MD LP_MDGS_M_42186</t>
  </si>
  <si>
    <t>DQE LP_GSGM_M_42186</t>
  </si>
  <si>
    <t>Duke_OH_RC_DS01_42186</t>
  </si>
  <si>
    <t>FE_OE - test RC_GSF_42186</t>
  </si>
  <si>
    <t>JCPL LP_GSCL_42186</t>
  </si>
  <si>
    <t>JCPL LP_GSCM_42186</t>
  </si>
  <si>
    <t>JCPL LP_GSCS_42186</t>
  </si>
  <si>
    <t>MetEd RC_GSLF_42186</t>
  </si>
  <si>
    <t>MetEd RC_GSDF_42186</t>
  </si>
  <si>
    <t>MetEd RC_GSSF_42186</t>
  </si>
  <si>
    <t>PECO LP_GS_42186</t>
  </si>
  <si>
    <t>Penelec RC_GSLF_42186</t>
  </si>
  <si>
    <t>Penelec RC_GSMF_42186</t>
  </si>
  <si>
    <t>Penelec RC_GSSF_42186</t>
  </si>
  <si>
    <t>Penn Power RC_GMD_42186</t>
  </si>
  <si>
    <t>PEPCO MD LP_MDND_42186</t>
  </si>
  <si>
    <t>PEPCO MD LP_MMGTL2A_42186</t>
  </si>
  <si>
    <t>PEPCO MD RC_3T7_42186</t>
  </si>
  <si>
    <t>Potomac Edison LP_GSCM_M_42186</t>
  </si>
  <si>
    <t>PPL - TEST RCGS1_42186</t>
  </si>
  <si>
    <t>PPL - TEST RCGS3_42186</t>
  </si>
  <si>
    <t>PSEG LP_GLP_M_42186</t>
  </si>
  <si>
    <t>PSEG LP_LPL_42186</t>
  </si>
  <si>
    <t>West Penn Power LP_GSCM_42186</t>
  </si>
  <si>
    <t>AECO LP_10V1_S_42217</t>
  </si>
  <si>
    <t>AECO LP_14V1_M_42217</t>
  </si>
  <si>
    <t>AEP_OH_CS - test CSGS1_42217</t>
  </si>
  <si>
    <t>AEP_OH_CS - test CSGS2U_42217</t>
  </si>
  <si>
    <t>AEP_OH_CS - test CSGS3U_42217</t>
  </si>
  <si>
    <t>Ameren RateZnIII LP DS2HH_42217</t>
  </si>
  <si>
    <t>BGE LP_GL_42217</t>
  </si>
  <si>
    <t>BGE LP_G_42217</t>
  </si>
  <si>
    <t>BGE LP_GS_42217</t>
  </si>
  <si>
    <t>ComEd - test LP_28_42217</t>
  </si>
  <si>
    <t>ComEd - test LP_29_42217</t>
  </si>
  <si>
    <t>DAY_RC_843_42217</t>
  </si>
  <si>
    <t>Delmarva MD LP_MDGS_M_42217</t>
  </si>
  <si>
    <t>DQE LP_GSGM_M_42217</t>
  </si>
  <si>
    <t>Duke_OH_RC_DS01_42217</t>
  </si>
  <si>
    <t>FE_OE - test RC_GSF_42217</t>
  </si>
  <si>
    <t>JCPL LP_GSCL_42217</t>
  </si>
  <si>
    <t>JCPL LP_GSCM_42217</t>
  </si>
  <si>
    <t>JCPL LP_GSCS_42217</t>
  </si>
  <si>
    <t>MetEd RC_GSLF_42217</t>
  </si>
  <si>
    <t>MetEd RC_GSDF_42217</t>
  </si>
  <si>
    <t>MetEd RC_GSSF_42217</t>
  </si>
  <si>
    <t>PECO LP_GS_42217</t>
  </si>
  <si>
    <t>Penelec RC_GSLF_42217</t>
  </si>
  <si>
    <t>Penelec RC_GSMF_42217</t>
  </si>
  <si>
    <t>Penelec RC_GSSF_42217</t>
  </si>
  <si>
    <t>Penn Power RC_GMD_42217</t>
  </si>
  <si>
    <t>PEPCO MD LP_MDND_42217</t>
  </si>
  <si>
    <t>PEPCO MD LP_MMGTL2A_42217</t>
  </si>
  <si>
    <t>PEPCO MD RC_3T7_42217</t>
  </si>
  <si>
    <t>Potomac Edison LP_GSCM_M_42217</t>
  </si>
  <si>
    <t>PPL - TEST RCGS1_42217</t>
  </si>
  <si>
    <t>PPL - TEST RCGS3_42217</t>
  </si>
  <si>
    <t>PSEG LP_GLP_M_42217</t>
  </si>
  <si>
    <t>PSEG LP_LPL_42217</t>
  </si>
  <si>
    <t>West Penn Power LP_GSCM_42217</t>
  </si>
  <si>
    <t>AECO LP_10V1_S_42248</t>
  </si>
  <si>
    <t>AECO LP_14V1_M_42248</t>
  </si>
  <si>
    <t>AEP_OH_CS - test CSGS1_42248</t>
  </si>
  <si>
    <t>AEP_OH_CS - test CSGS2U_42248</t>
  </si>
  <si>
    <t>AEP_OH_CS - test CSGS3U_42248</t>
  </si>
  <si>
    <t>Ameren RateZnIII LP DS2HH_42248</t>
  </si>
  <si>
    <t>BGE LP_GL_42248</t>
  </si>
  <si>
    <t>BGE LP_G_42248</t>
  </si>
  <si>
    <t>BGE LP_GS_42248</t>
  </si>
  <si>
    <t>ComEd - test LP_28_42248</t>
  </si>
  <si>
    <t>ComEd - test LP_29_42248</t>
  </si>
  <si>
    <t>DAY_RC_843_42248</t>
  </si>
  <si>
    <t>Delmarva MD LP_MDGS_M_42248</t>
  </si>
  <si>
    <t>DQE LP_GSGM_M_42248</t>
  </si>
  <si>
    <t>Duke_OH_RC_DS01_42248</t>
  </si>
  <si>
    <t>FE_OE - test RC_GSF_42248</t>
  </si>
  <si>
    <t>JCPL LP_GSCL_42248</t>
  </si>
  <si>
    <t>JCPL LP_GSCM_42248</t>
  </si>
  <si>
    <t>JCPL LP_GSCS_42248</t>
  </si>
  <si>
    <t>MetEd RC_GSLF_42248</t>
  </si>
  <si>
    <t>MetEd RC_GSDF_42248</t>
  </si>
  <si>
    <t>MetEd RC_GSSF_42248</t>
  </si>
  <si>
    <t>PECO LP_GS_42248</t>
  </si>
  <si>
    <t>Penelec RC_GSLF_42248</t>
  </si>
  <si>
    <t>Penelec RC_GSMF_42248</t>
  </si>
  <si>
    <t>Penelec RC_GSSF_42248</t>
  </si>
  <si>
    <t>Penn Power RC_GMD_42248</t>
  </si>
  <si>
    <t>PEPCO MD LP_MDND_42248</t>
  </si>
  <si>
    <t>PEPCO MD LP_MMGTL2A_42248</t>
  </si>
  <si>
    <t>PEPCO MD RC_3T7_42248</t>
  </si>
  <si>
    <t>Potomac Edison LP_GSCM_M_42248</t>
  </si>
  <si>
    <t>PPL - TEST RCGS1_42248</t>
  </si>
  <si>
    <t>PPL - TEST RCGS3_42248</t>
  </si>
  <si>
    <t>PSEG LP_GLP_M_42248</t>
  </si>
  <si>
    <t>PSEG LP_LPL_42248</t>
  </si>
  <si>
    <t>West Penn Power LP_GSCM_42248</t>
  </si>
  <si>
    <t>AECO LP_10V1_S_42278</t>
  </si>
  <si>
    <t>AECO LP_14V1_M_42278</t>
  </si>
  <si>
    <t>AEP_OH_CS - test CSGS1_42278</t>
  </si>
  <si>
    <t>AEP_OH_CS - test CSGS2U_42278</t>
  </si>
  <si>
    <t>AEP_OH_CS - test CSGS3U_42278</t>
  </si>
  <si>
    <t>Ameren RateZnIII LP DS2HH_42278</t>
  </si>
  <si>
    <t>BGE LP_GL_42278</t>
  </si>
  <si>
    <t>BGE LP_G_42278</t>
  </si>
  <si>
    <t>BGE LP_GS_42278</t>
  </si>
  <si>
    <t>ComEd - test LP_28_42278</t>
  </si>
  <si>
    <t>ComEd - test LP_29_42278</t>
  </si>
  <si>
    <t>DAY_RC_843_42278</t>
  </si>
  <si>
    <t>Delmarva MD LP_MDGS_M_42278</t>
  </si>
  <si>
    <t>DQE LP_GSGM_M_42278</t>
  </si>
  <si>
    <t>Duke_OH_RC_DS01_42278</t>
  </si>
  <si>
    <t>FE_OE - test RC_GSF_42278</t>
  </si>
  <si>
    <t>JCPL LP_GSCL_42278</t>
  </si>
  <si>
    <t>JCPL LP_GSCM_42278</t>
  </si>
  <si>
    <t>JCPL LP_GSCS_42278</t>
  </si>
  <si>
    <t>MetEd RC_GSLF_42278</t>
  </si>
  <si>
    <t>MetEd RC_GSDF_42278</t>
  </si>
  <si>
    <t>MetEd RC_GSSF_42278</t>
  </si>
  <si>
    <t>PECO LP_GS_42278</t>
  </si>
  <si>
    <t>Penelec RC_GSLF_42278</t>
  </si>
  <si>
    <t>Penelec RC_GSMF_42278</t>
  </si>
  <si>
    <t>Penelec RC_GSSF_42278</t>
  </si>
  <si>
    <t>Penn Power RC_GMD_42278</t>
  </si>
  <si>
    <t>PEPCO MD LP_MDND_42278</t>
  </si>
  <si>
    <t>PEPCO MD LP_MMGTL2A_42278</t>
  </si>
  <si>
    <t>PEPCO MD RC_3T7_42278</t>
  </si>
  <si>
    <t>Potomac Edison LP_GSCM_M_42278</t>
  </si>
  <si>
    <t>PPL - TEST RCGS1_42278</t>
  </si>
  <si>
    <t>PPL - TEST RCGS3_42278</t>
  </si>
  <si>
    <t>PSEG LP_GLP_M_42278</t>
  </si>
  <si>
    <t>PSEG LP_LPL_42278</t>
  </si>
  <si>
    <t>West Penn Power LP_GSCM_42278</t>
  </si>
  <si>
    <t>AECO LP_10V1_S_42309</t>
  </si>
  <si>
    <t>AECO LP_14V1_M_42309</t>
  </si>
  <si>
    <t>AEP_OH_CS - test CSGS1_42309</t>
  </si>
  <si>
    <t>AEP_OH_CS - test CSGS2U_42309</t>
  </si>
  <si>
    <t>AEP_OH_CS - test CSGS3U_42309</t>
  </si>
  <si>
    <t>Ameren RateZnIII LP DS2HH_42309</t>
  </si>
  <si>
    <t>BGE LP_GL_42309</t>
  </si>
  <si>
    <t>BGE LP_G_42309</t>
  </si>
  <si>
    <t>BGE LP_GS_42309</t>
  </si>
  <si>
    <t>ComEd - test LP_28_42309</t>
  </si>
  <si>
    <t>ComEd - test LP_29_42309</t>
  </si>
  <si>
    <t>DAY_RC_843_42309</t>
  </si>
  <si>
    <t>Delmarva MD LP_MDGS_M_42309</t>
  </si>
  <si>
    <t>DQE LP_GSGM_M_42309</t>
  </si>
  <si>
    <t>Duke_OH_RC_DS01_42309</t>
  </si>
  <si>
    <t>FE_OE - test RC_GSF_42309</t>
  </si>
  <si>
    <t>JCPL LP_GSCL_42309</t>
  </si>
  <si>
    <t>JCPL LP_GSCM_42309</t>
  </si>
  <si>
    <t>JCPL LP_GSCS_42309</t>
  </si>
  <si>
    <t>MetEd RC_GSLF_42309</t>
  </si>
  <si>
    <t>MetEd RC_GSDF_42309</t>
  </si>
  <si>
    <t>MetEd RC_GSSF_42309</t>
  </si>
  <si>
    <t>PECO LP_GS_42309</t>
  </si>
  <si>
    <t>Penelec RC_GSLF_42309</t>
  </si>
  <si>
    <t>Penelec RC_GSMF_42309</t>
  </si>
  <si>
    <t>Penelec RC_GSSF_42309</t>
  </si>
  <si>
    <t>Penn Power RC_GMD_42309</t>
  </si>
  <si>
    <t>PEPCO MD LP_MDND_42309</t>
  </si>
  <si>
    <t>PEPCO MD LP_MMGTL2A_42309</t>
  </si>
  <si>
    <t>PEPCO MD RC_3T7_42309</t>
  </si>
  <si>
    <t>Potomac Edison LP_GSCM_M_42309</t>
  </si>
  <si>
    <t>PPL - TEST RCGS1_42309</t>
  </si>
  <si>
    <t>PPL - TEST RCGS3_42309</t>
  </si>
  <si>
    <t>PSEG LP_GLP_M_42309</t>
  </si>
  <si>
    <t>PSEG LP_LPL_42309</t>
  </si>
  <si>
    <t>West Penn Power LP_GSCM_42309</t>
  </si>
  <si>
    <t>AECO LP_10V1_S_42339</t>
  </si>
  <si>
    <t>AECO LP_14V1_M_42339</t>
  </si>
  <si>
    <t>AEP_OH_CS - test CSGS1_42339</t>
  </si>
  <si>
    <t>AEP_OH_CS - test CSGS2U_42339</t>
  </si>
  <si>
    <t>AEP_OH_CS - test CSGS3U_42339</t>
  </si>
  <si>
    <t>Ameren RateZnIII LP DS2HH_42339</t>
  </si>
  <si>
    <t>BGE LP_GL_42339</t>
  </si>
  <si>
    <t>BGE LP_G_42339</t>
  </si>
  <si>
    <t>BGE LP_GS_42339</t>
  </si>
  <si>
    <t>ComEd - test LP_28_42339</t>
  </si>
  <si>
    <t>ComEd - test LP_29_42339</t>
  </si>
  <si>
    <t>DAY_RC_843_42339</t>
  </si>
  <si>
    <t>Delmarva MD LP_MDGS_M_42339</t>
  </si>
  <si>
    <t>DQE LP_GSGM_M_42339</t>
  </si>
  <si>
    <t>Duke_OH_RC_DS01_42339</t>
  </si>
  <si>
    <t>FE_OE - test RC_GSF_42339</t>
  </si>
  <si>
    <t>JCPL LP_GSCL_42339</t>
  </si>
  <si>
    <t>JCPL LP_GSCM_42339</t>
  </si>
  <si>
    <t>JCPL LP_GSCS_42339</t>
  </si>
  <si>
    <t>MetEd RC_GSLF_42339</t>
  </si>
  <si>
    <t>MetEd RC_GSDF_42339</t>
  </si>
  <si>
    <t>MetEd RC_GSSF_42339</t>
  </si>
  <si>
    <t>PECO LP_GS_42339</t>
  </si>
  <si>
    <t>Penelec RC_GSLF_42339</t>
  </si>
  <si>
    <t>Penelec RC_GSMF_42339</t>
  </si>
  <si>
    <t>Penelec RC_GSSF_42339</t>
  </si>
  <si>
    <t>Penn Power RC_GMD_42339</t>
  </si>
  <si>
    <t>PEPCO MD LP_MDND_42339</t>
  </si>
  <si>
    <t>PEPCO MD LP_MMGTL2A_42339</t>
  </si>
  <si>
    <t>PEPCO MD RC_3T7_42339</t>
  </si>
  <si>
    <t>Potomac Edison LP_GSCM_M_42339</t>
  </si>
  <si>
    <t>PPL - TEST RCGS1_42339</t>
  </si>
  <si>
    <t>PPL - TEST RCGS3_42339</t>
  </si>
  <si>
    <t>PSEG LP_GLP_M_42339</t>
  </si>
  <si>
    <t>PSEG LP_LPL_42339</t>
  </si>
  <si>
    <t>West Penn Power LP_GSCM_42339</t>
  </si>
  <si>
    <t>AECO LP_10V1_S_42370</t>
  </si>
  <si>
    <t>AECO LP_14V1_M_42370</t>
  </si>
  <si>
    <t>AEP_OH_CS - test CSGS1_42370</t>
  </si>
  <si>
    <t>AEP_OH_CS - test CSGS2U_42370</t>
  </si>
  <si>
    <t>AEP_OH_CS - test CSGS3U_42370</t>
  </si>
  <si>
    <t>Ameren RateZnIII LP DS2HH_42370</t>
  </si>
  <si>
    <t>BGE LP_GL_42370</t>
  </si>
  <si>
    <t>BGE LP_G_42370</t>
  </si>
  <si>
    <t>BGE LP_GS_42370</t>
  </si>
  <si>
    <t>ComEd - test LP_28_42370</t>
  </si>
  <si>
    <t>ComEd - test LP_29_42370</t>
  </si>
  <si>
    <t>DAY_RC_843_42370</t>
  </si>
  <si>
    <t>Delmarva MD LP_MDGS_M_42370</t>
  </si>
  <si>
    <t>DQE LP_GSGM_M_42370</t>
  </si>
  <si>
    <t>Duke_OH_RC_DS01_42370</t>
  </si>
  <si>
    <t>FE_OE - test RC_GSF_42370</t>
  </si>
  <si>
    <t>JCPL LP_GSCL_42370</t>
  </si>
  <si>
    <t>JCPL LP_GSCM_42370</t>
  </si>
  <si>
    <t>JCPL LP_GSCS_42370</t>
  </si>
  <si>
    <t>MetEd RC_GSLF_42370</t>
  </si>
  <si>
    <t>MetEd RC_GSDF_42370</t>
  </si>
  <si>
    <t>MetEd RC_GSSF_42370</t>
  </si>
  <si>
    <t>PECO LP_GS_42370</t>
  </si>
  <si>
    <t>Penelec RC_GSLF_42370</t>
  </si>
  <si>
    <t>Penelec RC_GSMF_42370</t>
  </si>
  <si>
    <t>Penelec RC_GSSF_42370</t>
  </si>
  <si>
    <t>Penn Power RC_GMD_42370</t>
  </si>
  <si>
    <t>PEPCO MD LP_MDND_42370</t>
  </si>
  <si>
    <t>PEPCO MD LP_MMGTL2A_42370</t>
  </si>
  <si>
    <t>PEPCO MD RC_3T7_42370</t>
  </si>
  <si>
    <t>Potomac Edison LP_GSCM_M_42370</t>
  </si>
  <si>
    <t>PPL - TEST RCGS1_42370</t>
  </si>
  <si>
    <t>PPL - TEST RCGS3_42370</t>
  </si>
  <si>
    <t>PSEG LP_GLP_M_42370</t>
  </si>
  <si>
    <t>PSEG LP_LPL_42370</t>
  </si>
  <si>
    <t>West Penn Power LP_GSCM_42370</t>
  </si>
  <si>
    <t>AECO LP_10V1_S_42401</t>
  </si>
  <si>
    <t>AECO LP_14V1_M_42401</t>
  </si>
  <si>
    <t>AEP_OH_CS - test CSGS1_42401</t>
  </si>
  <si>
    <t>AEP_OH_CS - test CSGS2U_42401</t>
  </si>
  <si>
    <t>AEP_OH_CS - test CSGS3U_42401</t>
  </si>
  <si>
    <t>Ameren RateZnIII LP DS2HH_42401</t>
  </si>
  <si>
    <t>BGE LP_GL_42401</t>
  </si>
  <si>
    <t>BGE LP_G_42401</t>
  </si>
  <si>
    <t>BGE LP_GS_42401</t>
  </si>
  <si>
    <t>ComEd - test LP_28_42401</t>
  </si>
  <si>
    <t>ComEd - test LP_29_42401</t>
  </si>
  <si>
    <t>DAY_RC_843_42401</t>
  </si>
  <si>
    <t>Delmarva MD LP_MDGS_M_42401</t>
  </si>
  <si>
    <t>DQE LP_GSGM_M_42401</t>
  </si>
  <si>
    <t>Duke_OH_RC_DS01_42401</t>
  </si>
  <si>
    <t>FE_OE - test RC_GSF_42401</t>
  </si>
  <si>
    <t>JCPL LP_GSCL_42401</t>
  </si>
  <si>
    <t>JCPL LP_GSCM_42401</t>
  </si>
  <si>
    <t>JCPL LP_GSCS_42401</t>
  </si>
  <si>
    <t>MetEd RC_GSLF_42401</t>
  </si>
  <si>
    <t>MetEd RC_GSDF_42401</t>
  </si>
  <si>
    <t>MetEd RC_GSSF_42401</t>
  </si>
  <si>
    <t>PECO LP_GS_42401</t>
  </si>
  <si>
    <t>Penelec RC_GSLF_42401</t>
  </si>
  <si>
    <t>Penelec RC_GSMF_42401</t>
  </si>
  <si>
    <t>Penelec RC_GSSF_42401</t>
  </si>
  <si>
    <t>Penn Power RC_GMD_42401</t>
  </si>
  <si>
    <t>PEPCO MD LP_MDND_42401</t>
  </si>
  <si>
    <t>PEPCO MD LP_MMGTL2A_42401</t>
  </si>
  <si>
    <t>PEPCO MD RC_3T7_42401</t>
  </si>
  <si>
    <t>Potomac Edison LP_GSCM_M_42401</t>
  </si>
  <si>
    <t>PPL - TEST RCGS1_42401</t>
  </si>
  <si>
    <t>PPL - TEST RCGS3_42401</t>
  </si>
  <si>
    <t>PSEG LP_GLP_M_42401</t>
  </si>
  <si>
    <t>PSEG LP_LPL_42401</t>
  </si>
  <si>
    <t>West Penn Power LP_GSCM_42401</t>
  </si>
  <si>
    <t>AECO LP_10V1_S_42430</t>
  </si>
  <si>
    <t>AECO LP_14V1_M_42430</t>
  </si>
  <si>
    <t>AEP_OH_CS - test CSGS1_42430</t>
  </si>
  <si>
    <t>AEP_OH_CS - test CSGS2U_42430</t>
  </si>
  <si>
    <t>AEP_OH_CS - test CSGS3U_42430</t>
  </si>
  <si>
    <t>Ameren RateZnIII LP DS2HH_42430</t>
  </si>
  <si>
    <t>BGE LP_GL_42430</t>
  </si>
  <si>
    <t>BGE LP_G_42430</t>
  </si>
  <si>
    <t>BGE LP_GS_42430</t>
  </si>
  <si>
    <t>ComEd - test LP_28_42430</t>
  </si>
  <si>
    <t>ComEd - test LP_29_42430</t>
  </si>
  <si>
    <t>DAY_RC_843_42430</t>
  </si>
  <si>
    <t>Delmarva MD LP_MDGS_M_42430</t>
  </si>
  <si>
    <t>DQE LP_GSGM_M_42430</t>
  </si>
  <si>
    <t>Duke_OH_RC_DS01_42430</t>
  </si>
  <si>
    <t>FE_OE - test RC_GSF_42430</t>
  </si>
  <si>
    <t>JCPL LP_GSCL_42430</t>
  </si>
  <si>
    <t>JCPL LP_GSCM_42430</t>
  </si>
  <si>
    <t>JCPL LP_GSCS_42430</t>
  </si>
  <si>
    <t>MetEd RC_GSLF_42430</t>
  </si>
  <si>
    <t>MetEd RC_GSDF_42430</t>
  </si>
  <si>
    <t>MetEd RC_GSSF_42430</t>
  </si>
  <si>
    <t>PECO LP_GS_42430</t>
  </si>
  <si>
    <t>Penelec RC_GSLF_42430</t>
  </si>
  <si>
    <t>Penelec RC_GSMF_42430</t>
  </si>
  <si>
    <t>Penelec RC_GSSF_42430</t>
  </si>
  <si>
    <t>Penn Power RC_GMD_42430</t>
  </si>
  <si>
    <t>PEPCO MD LP_MDND_42430</t>
  </si>
  <si>
    <t>PEPCO MD LP_MMGTL2A_42430</t>
  </si>
  <si>
    <t>PEPCO MD RC_3T7_42430</t>
  </si>
  <si>
    <t>Potomac Edison LP_GSCM_M_42430</t>
  </si>
  <si>
    <t>PPL - TEST RCGS1_42430</t>
  </si>
  <si>
    <t>PPL - TEST RCGS3_42430</t>
  </si>
  <si>
    <t>PSEG LP_GLP_M_42430</t>
  </si>
  <si>
    <t>PSEG LP_LPL_42430</t>
  </si>
  <si>
    <t>West Penn Power LP_GSCM_42430</t>
  </si>
  <si>
    <t>AECO LP_10V1_S_42461</t>
  </si>
  <si>
    <t>AECO LP_14V1_M_42461</t>
  </si>
  <si>
    <t>AEP_OH_CS - test CSGS1_42461</t>
  </si>
  <si>
    <t>AEP_OH_CS - test CSGS2U_42461</t>
  </si>
  <si>
    <t>AEP_OH_CS - test CSGS3U_42461</t>
  </si>
  <si>
    <t>Ameren RateZnIII LP DS2HH_42461</t>
  </si>
  <si>
    <t>BGE LP_GL_42461</t>
  </si>
  <si>
    <t>BGE LP_G_42461</t>
  </si>
  <si>
    <t>BGE LP_GS_42461</t>
  </si>
  <si>
    <t>ComEd - test LP_28_42461</t>
  </si>
  <si>
    <t>ComEd - test LP_29_42461</t>
  </si>
  <si>
    <t>DAY_RC_843_42461</t>
  </si>
  <si>
    <t>Delmarva MD LP_MDGS_M_42461</t>
  </si>
  <si>
    <t>DQE LP_GSGM_M_42461</t>
  </si>
  <si>
    <t>Duke_OH_RC_DS01_42461</t>
  </si>
  <si>
    <t>FE_OE - test RC_GSF_42461</t>
  </si>
  <si>
    <t>JCPL LP_GSCL_42461</t>
  </si>
  <si>
    <t>JCPL LP_GSCM_42461</t>
  </si>
  <si>
    <t>JCPL LP_GSCS_42461</t>
  </si>
  <si>
    <t>MetEd RC_GSLF_42461</t>
  </si>
  <si>
    <t>MetEd RC_GSDF_42461</t>
  </si>
  <si>
    <t>MetEd RC_GSSF_42461</t>
  </si>
  <si>
    <t>PECO LP_GS_42461</t>
  </si>
  <si>
    <t>Penelec RC_GSLF_42461</t>
  </si>
  <si>
    <t>Penelec RC_GSMF_42461</t>
  </si>
  <si>
    <t>Penelec RC_GSSF_42461</t>
  </si>
  <si>
    <t>Penn Power RC_GMD_42461</t>
  </si>
  <si>
    <t>PEPCO MD LP_MDND_42461</t>
  </si>
  <si>
    <t>PEPCO MD LP_MMGTL2A_42461</t>
  </si>
  <si>
    <t>PEPCO MD RC_3T7_42461</t>
  </si>
  <si>
    <t>Potomac Edison LP_GSCM_M_42461</t>
  </si>
  <si>
    <t>PPL - TEST RCGS1_42461</t>
  </si>
  <si>
    <t>PPL - TEST RCGS3_42461</t>
  </si>
  <si>
    <t>PSEG LP_GLP_M_42461</t>
  </si>
  <si>
    <t>PSEG LP_LPL_42461</t>
  </si>
  <si>
    <t>West Penn Power LP_GSCM_42461</t>
  </si>
  <si>
    <t>AECO LP_10V1_S_42491</t>
  </si>
  <si>
    <t>AECO LP_14V1_M_42491</t>
  </si>
  <si>
    <t>AEP_OH_CS - test CSGS1_42491</t>
  </si>
  <si>
    <t>AEP_OH_CS - test CSGS2U_42491</t>
  </si>
  <si>
    <t>AEP_OH_CS - test CSGS3U_42491</t>
  </si>
  <si>
    <t>Ameren RateZnIII LP DS2HH_42491</t>
  </si>
  <si>
    <t>BGE LP_GL_42491</t>
  </si>
  <si>
    <t>BGE LP_G_42491</t>
  </si>
  <si>
    <t>BGE LP_GS_42491</t>
  </si>
  <si>
    <t>ComEd - test LP_28_42491</t>
  </si>
  <si>
    <t>ComEd - test LP_29_42491</t>
  </si>
  <si>
    <t>DAY_RC_843_42491</t>
  </si>
  <si>
    <t>Delmarva MD LP_MDGS_M_42491</t>
  </si>
  <si>
    <t>DQE LP_GSGM_M_42491</t>
  </si>
  <si>
    <t>Duke_OH_RC_DS01_42491</t>
  </si>
  <si>
    <t>FE_OE - test RC_GSF_42491</t>
  </si>
  <si>
    <t>JCPL LP_GSCL_42491</t>
  </si>
  <si>
    <t>JCPL LP_GSCM_42491</t>
  </si>
  <si>
    <t>JCPL LP_GSCS_42491</t>
  </si>
  <si>
    <t>MetEd RC_GSLF_42491</t>
  </si>
  <si>
    <t>MetEd RC_GSDF_42491</t>
  </si>
  <si>
    <t>MetEd RC_GSSF_42491</t>
  </si>
  <si>
    <t>PECO LP_GS_42491</t>
  </si>
  <si>
    <t>Penelec RC_GSLF_42491</t>
  </si>
  <si>
    <t>Penelec RC_GSMF_42491</t>
  </si>
  <si>
    <t>Penelec RC_GSSF_42491</t>
  </si>
  <si>
    <t>Penn Power RC_GMD_42491</t>
  </si>
  <si>
    <t>PEPCO MD LP_MDND_42491</t>
  </si>
  <si>
    <t>PEPCO MD LP_MMGTL2A_42491</t>
  </si>
  <si>
    <t>PEPCO MD RC_3T7_42491</t>
  </si>
  <si>
    <t>Potomac Edison LP_GSCM_M_42491</t>
  </si>
  <si>
    <t>PPL - TEST RCGS1_42491</t>
  </si>
  <si>
    <t>PPL - TEST RCGS3_42491</t>
  </si>
  <si>
    <t>PSEG LP_GLP_M_42491</t>
  </si>
  <si>
    <t>PSEG LP_LPL_42491</t>
  </si>
  <si>
    <t>West Penn Power LP_GSCM_42491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</si>
</sst>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/d/yy\ h:mm\ AM/PM;@"/>
    <numFmt numFmtId="165" formatCode="[$-409]mmmm\-yy;@"/>
    <numFmt numFmtId="166" formatCode="[$-409]mmm\-yy;@"/>
    <numFmt numFmtId="167" formatCode="General&quot; Mth&quot;"/>
    <numFmt numFmtId="168" formatCode="&quot;$&quot;0.00;\(&quot;$&quot;0.00\)"/>
    <numFmt numFmtId="169" formatCode="#,##0.00;\-#,##0.00"/>
    <numFmt numFmtId="170" formatCode="&quot;$&quot;#,##0.00;\(&quot;$&quot;#,##0.00\)"/>
    <numFmt numFmtId="171" formatCode="&quot;$&quot;0.0;\(&quot;$&quot;0.0\)"/>
    <numFmt numFmtId="172" formatCode="&quot;$&quot;0;\(&quot;$&quot;0\)"/>
  </numFmts>
  <fonts count="44" x14ac:knownFonts="1">
    <font>
      <sz val="8.5"/>
      <name val="Microsoft Sans Serif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.5"/>
      <name val="Microsoft Sans Serif"/>
      <family val="2"/>
    </font>
    <font>
      <sz val="10"/>
      <color indexed="0"/>
      <name val="Arial"/>
      <family val="2"/>
    </font>
    <font>
      <sz val="10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8"/>
      <color theme="3" tint="0.39997558519241921"/>
      <name val="Calibri"/>
      <family val="2"/>
      <scheme val="minor"/>
    </font>
    <font>
      <sz val="13"/>
      <name val="Calibri"/>
      <family val="2"/>
      <scheme val="minor"/>
    </font>
    <font>
      <b/>
      <sz val="13"/>
      <color theme="0" tint="-0.34998626667073579"/>
      <name val="Arial"/>
      <family val="2"/>
    </font>
    <font>
      <b/>
      <sz val="16"/>
      <color rgb="FFFF0000"/>
      <name val="Arial"/>
      <family val="2"/>
    </font>
    <font>
      <b/>
      <u/>
      <sz val="12"/>
      <name val="Calibri"/>
      <family val="2"/>
      <scheme val="minor"/>
    </font>
    <font>
      <sz val="8.5"/>
      <name val="Calibri"/>
      <family val="2"/>
      <scheme val="minor"/>
    </font>
    <font>
      <b/>
      <u/>
      <sz val="8.5"/>
      <name val="Calibri"/>
      <family val="2"/>
      <scheme val="minor"/>
    </font>
    <font>
      <sz val="8.5"/>
      <color theme="4" tint="-0.499984740745262"/>
      <name val="Calibri"/>
      <family val="2"/>
      <scheme val="minor"/>
    </font>
    <font>
      <sz val="8.5"/>
      <color theme="9" tint="-0.249977111117893"/>
      <name val="Calibri"/>
      <family val="2"/>
      <scheme val="minor"/>
    </font>
    <font>
      <sz val="8.5"/>
      <color theme="3" tint="0.39997558519241921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vertAlign val="superscript"/>
      <sz val="13"/>
      <color theme="0" tint="-0.499984740745262"/>
      <name val="Calibri"/>
      <family val="2"/>
      <scheme val="minor"/>
    </font>
    <font>
      <b/>
      <sz val="12"/>
      <color theme="0" tint="-0.34998626667073579"/>
      <name val="Arial"/>
      <family val="2"/>
    </font>
    <font>
      <b/>
      <u/>
      <sz val="8"/>
      <name val="Calibri"/>
      <family val="2"/>
      <scheme val="minor"/>
    </font>
    <font>
      <sz val="8.5"/>
      <color theme="0" tint="-0.499984740745262"/>
      <name val="Calibri"/>
      <family val="2"/>
      <scheme val="minor"/>
    </font>
    <font>
      <b/>
      <sz val="8.5"/>
      <name val="Microsoft Sans Serif"/>
      <family val="2"/>
    </font>
    <font>
      <sz val="8.5"/>
      <name val="Microsoft Sans Serif"/>
      <family val="2"/>
    </font>
    <font>
      <b/>
      <sz val="17"/>
      <name val="Microsoft Sans Serif"/>
      <family val="2"/>
    </font>
    <font>
      <sz val="8.5"/>
      <color theme="0"/>
      <name val="Microsoft Sans Serif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icrosoft Sans Serif"/>
      <family val="2"/>
    </font>
    <font>
      <sz val="10"/>
      <color rgb="FF22222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BDB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23"/>
      </right>
      <top/>
      <bottom style="hair">
        <color indexed="23"/>
      </bottom>
      <diagonal/>
    </border>
    <border>
      <left/>
      <right style="thin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499984740745262"/>
      </left>
      <right/>
      <top style="medium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</borders>
  <cellStyleXfs count="32">
    <xf numFmtId="0" fontId="0" fillId="0" borderId="0">
      <protection locked="0"/>
    </xf>
    <xf numFmtId="43" fontId="12" fillId="0" borderId="0" applyFont="0" applyFill="0" applyBorder="0" applyAlignment="0" applyProtection="0"/>
    <xf numFmtId="0" fontId="5" fillId="0" borderId="0"/>
    <xf numFmtId="0" fontId="3" fillId="0" borderId="0"/>
    <xf numFmtId="0" fontId="12" fillId="0" borderId="0">
      <protection locked="0"/>
    </xf>
    <xf numFmtId="43" fontId="5" fillId="0" borderId="0" applyFont="0" applyFill="0" applyBorder="0" applyAlignment="0" applyProtection="0">
      <alignment wrapText="1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5" fillId="0" borderId="0" applyFont="0" applyFill="0" applyBorder="0" applyAlignment="0" applyProtection="0">
      <alignment wrapText="1"/>
    </xf>
    <xf numFmtId="164" fontId="3" fillId="0" borderId="0"/>
    <xf numFmtId="164" fontId="3" fillId="0" borderId="0"/>
    <xf numFmtId="0" fontId="3" fillId="0" borderId="0"/>
    <xf numFmtId="0" fontId="3" fillId="0" borderId="0"/>
    <xf numFmtId="0" fontId="12" fillId="0" borderId="0">
      <protection locked="0"/>
    </xf>
    <xf numFmtId="0" fontId="5" fillId="0" borderId="0">
      <alignment wrapText="1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5" fillId="0" borderId="0"/>
    <xf numFmtId="0" fontId="13" fillId="0" borderId="0"/>
    <xf numFmtId="0" fontId="14" fillId="0" borderId="0"/>
    <xf numFmtId="0" fontId="3" fillId="0" borderId="0"/>
    <xf numFmtId="0" fontId="3" fillId="0" borderId="0"/>
    <xf numFmtId="0" fontId="2" fillId="0" borderId="0"/>
    <xf numFmtId="0" fontId="12" fillId="0" borderId="0">
      <protection locked="0"/>
    </xf>
    <xf numFmtId="44" fontId="12" fillId="0" borderId="0" applyFont="0" applyFill="0" applyBorder="0" applyAlignment="0" applyProtection="0"/>
    <xf numFmtId="0" fontId="36" fillId="0" borderId="0">
      <protection locked="0"/>
    </xf>
    <xf numFmtId="0" fontId="1" fillId="0" borderId="0"/>
  </cellStyleXfs>
  <cellXfs count="222">
    <xf numFmtId="0" fontId="0" fillId="0" borderId="0" xfId="0">
      <protection locked="0"/>
    </xf>
    <xf numFmtId="0" fontId="12" fillId="0" borderId="7" xfId="0" applyFont="1" applyBorder="1" applyProtection="1"/>
    <xf numFmtId="0" fontId="12" fillId="0" borderId="0" xfId="0" applyFont="1" applyProtection="1"/>
    <xf numFmtId="0" fontId="12" fillId="0" borderId="10" xfId="0" applyFont="1" applyBorder="1" applyProtection="1"/>
    <xf numFmtId="0" fontId="12" fillId="0" borderId="11" xfId="0" applyFont="1" applyBorder="1" applyProtection="1"/>
    <xf numFmtId="0" fontId="12" fillId="0" borderId="4" xfId="0" applyFont="1" applyBorder="1" applyProtection="1"/>
    <xf numFmtId="0" fontId="12" fillId="0" borderId="0" xfId="0" applyFont="1" applyBorder="1" applyProtection="1"/>
    <xf numFmtId="0" fontId="12" fillId="0" borderId="5" xfId="0" applyFont="1" applyBorder="1" applyProtection="1"/>
    <xf numFmtId="0" fontId="16" fillId="4" borderId="6" xfId="0" applyFont="1" applyFill="1" applyBorder="1" applyAlignment="1" applyProtection="1">
      <alignment horizontal="centerContinuous"/>
    </xf>
    <xf numFmtId="0" fontId="12" fillId="4" borderId="7" xfId="0" applyFont="1" applyFill="1" applyBorder="1" applyAlignment="1" applyProtection="1">
      <alignment horizontal="centerContinuous"/>
    </xf>
    <xf numFmtId="0" fontId="12" fillId="4" borderId="8" xfId="0" applyFont="1" applyFill="1" applyBorder="1" applyAlignment="1" applyProtection="1">
      <alignment horizontal="centerContinuous"/>
    </xf>
    <xf numFmtId="44" fontId="19" fillId="3" borderId="15" xfId="29" applyFont="1" applyFill="1" applyBorder="1" applyAlignment="1" applyProtection="1">
      <alignment vertical="center"/>
      <protection locked="0"/>
    </xf>
    <xf numFmtId="0" fontId="21" fillId="0" borderId="0" xfId="22" applyFont="1" applyProtection="1">
      <protection locked="0"/>
    </xf>
    <xf numFmtId="0" fontId="22" fillId="0" borderId="0" xfId="22" applyFont="1" applyProtection="1">
      <protection locked="0"/>
    </xf>
    <xf numFmtId="0" fontId="23" fillId="0" borderId="0" xfId="22" applyFont="1" applyAlignment="1" applyProtection="1">
      <alignment horizontal="center"/>
      <protection locked="0"/>
    </xf>
    <xf numFmtId="0" fontId="22" fillId="0" borderId="0" xfId="0" applyFont="1">
      <protection locked="0"/>
    </xf>
    <xf numFmtId="0" fontId="22" fillId="0" borderId="0" xfId="22" applyFont="1" applyAlignment="1" applyProtection="1">
      <alignment horizontal="right"/>
      <protection locked="0"/>
    </xf>
    <xf numFmtId="0" fontId="22" fillId="0" borderId="0" xfId="0" applyFont="1" applyAlignment="1">
      <alignment horizontal="right"/>
      <protection locked="0"/>
    </xf>
    <xf numFmtId="0" fontId="24" fillId="0" borderId="0" xfId="22" applyFont="1" applyAlignment="1" applyProtection="1">
      <alignment horizontal="center"/>
      <protection locked="0"/>
    </xf>
    <xf numFmtId="164" fontId="22" fillId="7" borderId="0" xfId="22" applyNumberFormat="1" applyFont="1" applyFill="1" applyAlignment="1" applyProtection="1">
      <alignment horizontal="center" shrinkToFit="1"/>
      <protection locked="0"/>
    </xf>
    <xf numFmtId="0" fontId="22" fillId="0" borderId="0" xfId="0" applyFont="1" applyAlignment="1">
      <alignment horizontal="center"/>
      <protection locked="0"/>
    </xf>
    <xf numFmtId="0" fontId="24" fillId="7" borderId="0" xfId="22" applyFont="1" applyFill="1" applyAlignment="1" applyProtection="1">
      <alignment horizontal="center"/>
      <protection locked="0"/>
    </xf>
    <xf numFmtId="14" fontId="22" fillId="0" borderId="0" xfId="0" applyNumberFormat="1" applyFont="1" applyAlignment="1">
      <alignment horizontal="center" shrinkToFit="1"/>
      <protection locked="0"/>
    </xf>
    <xf numFmtId="0" fontId="22" fillId="6" borderId="31" xfId="0" applyFont="1" applyFill="1" applyBorder="1" applyAlignment="1" applyProtection="1">
      <alignment horizontal="center" vertical="top" wrapText="1" shrinkToFit="1"/>
    </xf>
    <xf numFmtId="0" fontId="22" fillId="10" borderId="31" xfId="0" applyFont="1" applyFill="1" applyBorder="1" applyAlignment="1" applyProtection="1">
      <alignment horizontal="center" vertical="top" wrapText="1" shrinkToFit="1"/>
    </xf>
    <xf numFmtId="0" fontId="22" fillId="5" borderId="32" xfId="0" applyFont="1" applyFill="1" applyBorder="1" applyAlignment="1" applyProtection="1">
      <alignment horizontal="center" vertical="top" wrapText="1" shrinkToFit="1"/>
    </xf>
    <xf numFmtId="0" fontId="22" fillId="5" borderId="31" xfId="0" applyFont="1" applyFill="1" applyBorder="1" applyAlignment="1" applyProtection="1">
      <alignment horizontal="center" vertical="top" wrapText="1" shrinkToFit="1"/>
    </xf>
    <xf numFmtId="0" fontId="22" fillId="9" borderId="31" xfId="0" applyFont="1" applyFill="1" applyBorder="1" applyAlignment="1" applyProtection="1">
      <alignment horizontal="center" vertical="top" wrapText="1" shrinkToFit="1"/>
    </xf>
    <xf numFmtId="0" fontId="22" fillId="8" borderId="31" xfId="0" applyFont="1" applyFill="1" applyBorder="1" applyAlignment="1" applyProtection="1">
      <alignment horizontal="center" vertical="top" wrapText="1" shrinkToFit="1"/>
    </xf>
    <xf numFmtId="0" fontId="22" fillId="0" borderId="30" xfId="0" applyFont="1" applyBorder="1" applyAlignment="1">
      <alignment horizontal="center" shrinkToFit="1"/>
      <protection locked="0"/>
    </xf>
    <xf numFmtId="0" fontId="25" fillId="0" borderId="30" xfId="0" applyFont="1" applyBorder="1" applyAlignment="1">
      <alignment horizontal="center" shrinkToFit="1"/>
      <protection locked="0"/>
    </xf>
    <xf numFmtId="0" fontId="22" fillId="0" borderId="30" xfId="0" applyFont="1" applyBorder="1" applyAlignment="1" applyProtection="1">
      <alignment shrinkToFit="1"/>
    </xf>
    <xf numFmtId="0" fontId="26" fillId="0" borderId="30" xfId="0" applyFont="1" applyBorder="1" applyAlignment="1" applyProtection="1">
      <alignment horizontal="center" shrinkToFit="1"/>
    </xf>
    <xf numFmtId="14" fontId="26" fillId="0" borderId="30" xfId="0" applyNumberFormat="1" applyFont="1" applyBorder="1" applyAlignment="1">
      <alignment horizontal="center" shrinkToFit="1"/>
      <protection locked="0"/>
    </xf>
    <xf numFmtId="14" fontId="22" fillId="0" borderId="30" xfId="0" applyNumberFormat="1" applyFont="1" applyBorder="1" applyAlignment="1">
      <alignment shrinkToFit="1"/>
      <protection locked="0"/>
    </xf>
    <xf numFmtId="0" fontId="22" fillId="0" borderId="30" xfId="0" applyFont="1" applyBorder="1" applyAlignment="1" applyProtection="1">
      <alignment horizontal="center" shrinkToFit="1"/>
    </xf>
    <xf numFmtId="14" fontId="22" fillId="0" borderId="30" xfId="0" applyNumberFormat="1" applyFont="1" applyBorder="1" applyAlignment="1">
      <alignment horizontal="center" shrinkToFit="1"/>
      <protection locked="0"/>
    </xf>
    <xf numFmtId="0" fontId="22" fillId="0" borderId="0" xfId="0" applyFont="1" applyAlignment="1">
      <alignment shrinkToFit="1"/>
      <protection locked="0"/>
    </xf>
    <xf numFmtId="0" fontId="24" fillId="0" borderId="30" xfId="0" applyFont="1" applyBorder="1" applyAlignment="1">
      <alignment horizontal="center" shrinkToFit="1"/>
      <protection locked="0"/>
    </xf>
    <xf numFmtId="0" fontId="24" fillId="0" borderId="30" xfId="0" applyFont="1" applyBorder="1" applyAlignment="1">
      <alignment shrinkToFit="1"/>
      <protection locked="0"/>
    </xf>
    <xf numFmtId="0" fontId="24" fillId="0" borderId="30" xfId="0" applyFont="1" applyBorder="1" applyAlignment="1" applyProtection="1">
      <alignment horizontal="center" shrinkToFit="1"/>
    </xf>
    <xf numFmtId="14" fontId="24" fillId="0" borderId="30" xfId="0" applyNumberFormat="1" applyFont="1" applyBorder="1" applyAlignment="1">
      <alignment horizontal="center" shrinkToFit="1"/>
      <protection locked="0"/>
    </xf>
    <xf numFmtId="14" fontId="24" fillId="0" borderId="30" xfId="0" applyNumberFormat="1" applyFont="1" applyBorder="1" applyAlignment="1">
      <alignment shrinkToFit="1"/>
      <protection locked="0"/>
    </xf>
    <xf numFmtId="0" fontId="24" fillId="0" borderId="30" xfId="0" applyFont="1" applyBorder="1" applyAlignment="1">
      <alignment horizontal="center"/>
      <protection locked="0"/>
    </xf>
    <xf numFmtId="0" fontId="24" fillId="0" borderId="30" xfId="0" applyFont="1" applyBorder="1">
      <protection locked="0"/>
    </xf>
    <xf numFmtId="0" fontId="27" fillId="0" borderId="0" xfId="0" applyFont="1">
      <protection locked="0"/>
    </xf>
    <xf numFmtId="0" fontId="28" fillId="0" borderId="0" xfId="0" applyFont="1">
      <protection locked="0"/>
    </xf>
    <xf numFmtId="0" fontId="27" fillId="0" borderId="34" xfId="2" applyFont="1" applyFill="1" applyBorder="1" applyAlignment="1">
      <alignment horizontal="center" vertical="center"/>
    </xf>
    <xf numFmtId="0" fontId="27" fillId="0" borderId="35" xfId="2" applyFont="1" applyFill="1" applyBorder="1" applyAlignment="1">
      <alignment horizontal="center" vertical="center"/>
    </xf>
    <xf numFmtId="43" fontId="29" fillId="0" borderId="39" xfId="1" applyFont="1" applyBorder="1"/>
    <xf numFmtId="43" fontId="29" fillId="0" borderId="40" xfId="1" applyFont="1" applyBorder="1"/>
    <xf numFmtId="43" fontId="29" fillId="0" borderId="41" xfId="1" applyFont="1" applyBorder="1"/>
    <xf numFmtId="43" fontId="29" fillId="0" borderId="42" xfId="1" applyFont="1" applyBorder="1"/>
    <xf numFmtId="43" fontId="29" fillId="0" borderId="30" xfId="1" applyFont="1" applyBorder="1"/>
    <xf numFmtId="43" fontId="29" fillId="0" borderId="43" xfId="1" applyFont="1" applyBorder="1"/>
    <xf numFmtId="43" fontId="29" fillId="0" borderId="45" xfId="1" applyFont="1" applyBorder="1"/>
    <xf numFmtId="43" fontId="29" fillId="0" borderId="46" xfId="1" applyFont="1" applyBorder="1"/>
    <xf numFmtId="0" fontId="28" fillId="0" borderId="0" xfId="0" applyFont="1" applyAlignment="1">
      <alignment horizontal="right"/>
      <protection locked="0"/>
    </xf>
    <xf numFmtId="0" fontId="28" fillId="0" borderId="0" xfId="0" applyFont="1" applyAlignment="1">
      <alignment horizontal="center"/>
      <protection locked="0"/>
    </xf>
    <xf numFmtId="43" fontId="27" fillId="0" borderId="0" xfId="0" applyNumberFormat="1" applyFont="1">
      <protection locked="0"/>
    </xf>
    <xf numFmtId="0" fontId="27" fillId="0" borderId="42" xfId="2" applyFont="1" applyFill="1" applyBorder="1" applyAlignment="1">
      <alignment horizontal="center" vertical="center"/>
    </xf>
    <xf numFmtId="0" fontId="27" fillId="0" borderId="30" xfId="2" applyFont="1" applyFill="1" applyBorder="1" applyAlignment="1">
      <alignment horizontal="center" vertical="center"/>
    </xf>
    <xf numFmtId="0" fontId="27" fillId="0" borderId="43" xfId="2" applyFont="1" applyFill="1" applyBorder="1" applyAlignment="1">
      <alignment horizontal="center" vertical="center"/>
    </xf>
    <xf numFmtId="0" fontId="27" fillId="0" borderId="44" xfId="2" applyFont="1" applyFill="1" applyBorder="1" applyAlignment="1">
      <alignment horizontal="center" vertical="center"/>
    </xf>
    <xf numFmtId="0" fontId="27" fillId="0" borderId="45" xfId="2" applyFont="1" applyFill="1" applyBorder="1" applyAlignment="1">
      <alignment horizontal="center" vertical="center"/>
    </xf>
    <xf numFmtId="0" fontId="27" fillId="0" borderId="46" xfId="2" applyFont="1" applyFill="1" applyBorder="1" applyAlignment="1">
      <alignment horizontal="center" vertical="center"/>
    </xf>
    <xf numFmtId="0" fontId="27" fillId="0" borderId="49" xfId="2" applyFont="1" applyFill="1" applyBorder="1" applyAlignment="1">
      <alignment horizontal="center" vertical="center"/>
    </xf>
    <xf numFmtId="0" fontId="27" fillId="0" borderId="50" xfId="2" applyFont="1" applyFill="1" applyBorder="1" applyAlignment="1">
      <alignment horizontal="center" vertical="center"/>
    </xf>
    <xf numFmtId="0" fontId="27" fillId="0" borderId="51" xfId="2" applyFont="1" applyFill="1" applyBorder="1" applyAlignment="1">
      <alignment horizontal="center" vertical="center"/>
    </xf>
    <xf numFmtId="43" fontId="29" fillId="0" borderId="47" xfId="1" applyFont="1" applyBorder="1"/>
    <xf numFmtId="43" fontId="29" fillId="0" borderId="48" xfId="1" applyFont="1" applyBorder="1"/>
    <xf numFmtId="43" fontId="29" fillId="0" borderId="58" xfId="1" applyFont="1" applyBorder="1"/>
    <xf numFmtId="43" fontId="29" fillId="0" borderId="59" xfId="1" applyFont="1" applyBorder="1"/>
    <xf numFmtId="43" fontId="29" fillId="0" borderId="60" xfId="1" applyFont="1" applyBorder="1"/>
    <xf numFmtId="0" fontId="27" fillId="0" borderId="61" xfId="2" applyFont="1" applyFill="1" applyBorder="1" applyAlignment="1">
      <alignment horizontal="center" vertical="center"/>
    </xf>
    <xf numFmtId="0" fontId="27" fillId="12" borderId="30" xfId="0" applyFont="1" applyFill="1" applyBorder="1" applyAlignment="1">
      <alignment horizontal="center"/>
      <protection locked="0"/>
    </xf>
    <xf numFmtId="165" fontId="27" fillId="0" borderId="30" xfId="0" applyNumberFormat="1" applyFont="1" applyBorder="1" applyAlignment="1">
      <alignment shrinkToFit="1"/>
      <protection locked="0"/>
    </xf>
    <xf numFmtId="0" fontId="12" fillId="0" borderId="13" xfId="0" applyFont="1" applyBorder="1" applyProtection="1"/>
    <xf numFmtId="0" fontId="16" fillId="0" borderId="10" xfId="0" applyFont="1" applyBorder="1" applyProtection="1"/>
    <xf numFmtId="0" fontId="12" fillId="0" borderId="0" xfId="0" applyFont="1" applyBorder="1" applyAlignment="1" applyProtection="1"/>
    <xf numFmtId="0" fontId="23" fillId="0" borderId="0" xfId="22" applyFont="1" applyAlignment="1" applyProtection="1">
      <alignment horizontal="left"/>
      <protection locked="0"/>
    </xf>
    <xf numFmtId="0" fontId="33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28" fillId="0" borderId="0" xfId="0" applyFont="1" applyAlignment="1" applyProtection="1">
      <alignment horizontal="left" vertical="top"/>
      <protection locked="0"/>
    </xf>
    <xf numFmtId="44" fontId="28" fillId="0" borderId="0" xfId="0" applyNumberFormat="1" applyFont="1" applyAlignment="1">
      <alignment horizontal="right" vertical="center"/>
      <protection locked="0"/>
    </xf>
    <xf numFmtId="44" fontId="29" fillId="7" borderId="39" xfId="1" applyNumberFormat="1" applyFont="1" applyFill="1" applyBorder="1" applyAlignment="1">
      <alignment vertical="center"/>
    </xf>
    <xf numFmtId="167" fontId="30" fillId="13" borderId="36" xfId="3" applyNumberFormat="1" applyFont="1" applyFill="1" applyBorder="1" applyAlignment="1">
      <alignment horizontal="center" vertical="center" wrapText="1"/>
    </xf>
    <xf numFmtId="167" fontId="30" fillId="13" borderId="37" xfId="3" applyNumberFormat="1" applyFont="1" applyFill="1" applyBorder="1" applyAlignment="1">
      <alignment horizontal="center" vertical="center" wrapText="1"/>
    </xf>
    <xf numFmtId="167" fontId="30" fillId="13" borderId="38" xfId="3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shrinkToFit="1"/>
      <protection locked="0"/>
    </xf>
    <xf numFmtId="0" fontId="28" fillId="14" borderId="52" xfId="2" applyFont="1" applyFill="1" applyBorder="1" applyAlignment="1">
      <alignment horizontal="center" vertical="center" wrapText="1"/>
    </xf>
    <xf numFmtId="0" fontId="28" fillId="14" borderId="53" xfId="2" applyFont="1" applyFill="1" applyBorder="1" applyAlignment="1">
      <alignment horizontal="center" vertical="center" wrapText="1"/>
    </xf>
    <xf numFmtId="0" fontId="28" fillId="14" borderId="54" xfId="2" applyFont="1" applyFill="1" applyBorder="1" applyAlignment="1">
      <alignment horizontal="center" vertical="center" wrapText="1"/>
    </xf>
    <xf numFmtId="167" fontId="30" fillId="14" borderId="36" xfId="3" applyNumberFormat="1" applyFont="1" applyFill="1" applyBorder="1" applyAlignment="1">
      <alignment horizontal="center" vertical="center" wrapText="1"/>
    </xf>
    <xf numFmtId="167" fontId="30" fillId="14" borderId="37" xfId="3" applyNumberFormat="1" applyFont="1" applyFill="1" applyBorder="1" applyAlignment="1">
      <alignment horizontal="center" vertical="center" wrapText="1"/>
    </xf>
    <xf numFmtId="167" fontId="30" fillId="14" borderId="38" xfId="3" applyNumberFormat="1" applyFont="1" applyFill="1" applyBorder="1" applyAlignment="1">
      <alignment horizontal="center" vertical="center" wrapText="1"/>
    </xf>
    <xf numFmtId="0" fontId="28" fillId="4" borderId="33" xfId="2" applyFont="1" applyFill="1" applyBorder="1" applyAlignment="1">
      <alignment horizontal="center" vertical="center" wrapText="1"/>
    </xf>
    <xf numFmtId="167" fontId="30" fillId="4" borderId="57" xfId="3" applyNumberFormat="1" applyFont="1" applyFill="1" applyBorder="1" applyAlignment="1">
      <alignment horizontal="center"/>
    </xf>
    <xf numFmtId="167" fontId="30" fillId="4" borderId="55" xfId="3" applyNumberFormat="1" applyFont="1" applyFill="1" applyBorder="1" applyAlignment="1">
      <alignment horizontal="center"/>
    </xf>
    <xf numFmtId="167" fontId="30" fillId="4" borderId="56" xfId="3" applyNumberFormat="1" applyFont="1" applyFill="1" applyBorder="1" applyAlignment="1">
      <alignment horizontal="center"/>
    </xf>
    <xf numFmtId="0" fontId="15" fillId="0" borderId="0" xfId="3" applyFont="1" applyProtection="1"/>
    <xf numFmtId="0" fontId="18" fillId="0" borderId="0" xfId="3" applyFont="1" applyProtection="1"/>
    <xf numFmtId="0" fontId="19" fillId="0" borderId="0" xfId="2" applyFont="1" applyAlignment="1" applyProtection="1">
      <alignment horizontal="right" vertical="center"/>
    </xf>
    <xf numFmtId="0" fontId="31" fillId="0" borderId="0" xfId="3" applyFont="1" applyProtection="1"/>
    <xf numFmtId="0" fontId="17" fillId="0" borderId="0" xfId="3" applyFont="1" applyProtection="1"/>
    <xf numFmtId="0" fontId="15" fillId="0" borderId="9" xfId="3" applyFont="1" applyBorder="1" applyProtection="1"/>
    <xf numFmtId="0" fontId="15" fillId="0" borderId="10" xfId="3" applyFont="1" applyBorder="1" applyProtection="1"/>
    <xf numFmtId="0" fontId="15" fillId="0" borderId="11" xfId="3" applyFont="1" applyBorder="1" applyProtection="1"/>
    <xf numFmtId="0" fontId="15" fillId="0" borderId="4" xfId="3" applyFont="1" applyBorder="1" applyProtection="1"/>
    <xf numFmtId="0" fontId="6" fillId="0" borderId="0" xfId="2" applyFont="1" applyBorder="1" applyAlignment="1" applyProtection="1">
      <alignment horizontal="left"/>
    </xf>
    <xf numFmtId="0" fontId="5" fillId="0" borderId="0" xfId="2" applyFont="1" applyBorder="1" applyProtection="1"/>
    <xf numFmtId="0" fontId="15" fillId="0" borderId="0" xfId="3" applyFont="1" applyBorder="1" applyProtection="1"/>
    <xf numFmtId="0" fontId="15" fillId="0" borderId="5" xfId="3" applyFont="1" applyBorder="1" applyProtection="1"/>
    <xf numFmtId="0" fontId="5" fillId="0" borderId="0" xfId="2" applyFont="1" applyBorder="1" applyAlignment="1" applyProtection="1">
      <alignment vertical="center"/>
    </xf>
    <xf numFmtId="0" fontId="8" fillId="0" borderId="0" xfId="2" applyFont="1" applyBorder="1" applyAlignment="1" applyProtection="1">
      <alignment horizontal="left"/>
    </xf>
    <xf numFmtId="0" fontId="8" fillId="0" borderId="0" xfId="2" applyFont="1" applyBorder="1" applyAlignment="1" applyProtection="1">
      <alignment horizontal="centerContinuous"/>
    </xf>
    <xf numFmtId="0" fontId="15" fillId="0" borderId="0" xfId="3" applyFont="1" applyBorder="1" applyAlignment="1" applyProtection="1">
      <alignment horizontal="centerContinuous"/>
    </xf>
    <xf numFmtId="0" fontId="9" fillId="0" borderId="0" xfId="2" applyFont="1" applyBorder="1" applyAlignment="1" applyProtection="1">
      <alignment vertical="center" shrinkToFit="1"/>
    </xf>
    <xf numFmtId="0" fontId="4" fillId="0" borderId="0" xfId="3" applyFont="1" applyBorder="1" applyAlignment="1" applyProtection="1">
      <alignment shrinkToFit="1"/>
    </xf>
    <xf numFmtId="0" fontId="8" fillId="0" borderId="0" xfId="2" applyFont="1" applyBorder="1" applyAlignment="1" applyProtection="1">
      <alignment horizontal="right"/>
    </xf>
    <xf numFmtId="0" fontId="9" fillId="0" borderId="0" xfId="2" applyFont="1" applyFill="1" applyBorder="1" applyAlignment="1" applyProtection="1">
      <alignment vertical="center"/>
    </xf>
    <xf numFmtId="0" fontId="4" fillId="0" borderId="0" xfId="3" applyFont="1" applyBorder="1" applyProtection="1"/>
    <xf numFmtId="0" fontId="4" fillId="0" borderId="0" xfId="3" applyFont="1" applyProtection="1"/>
    <xf numFmtId="0" fontId="4" fillId="0" borderId="4" xfId="3" applyFont="1" applyBorder="1" applyAlignment="1" applyProtection="1">
      <alignment shrinkToFi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28" xfId="2" applyFont="1" applyFill="1" applyBorder="1" applyAlignment="1" applyProtection="1">
      <alignment horizontal="center" vertical="center" wrapText="1"/>
    </xf>
    <xf numFmtId="0" fontId="10" fillId="2" borderId="29" xfId="2" applyFont="1" applyFill="1" applyBorder="1" applyAlignment="1" applyProtection="1">
      <alignment horizontal="center" vertical="center" wrapText="1"/>
    </xf>
    <xf numFmtId="165" fontId="11" fillId="0" borderId="25" xfId="2" applyNumberFormat="1" applyFont="1" applyFill="1" applyBorder="1" applyAlignment="1" applyProtection="1">
      <alignment horizontal="center" vertical="center"/>
    </xf>
    <xf numFmtId="0" fontId="11" fillId="0" borderId="25" xfId="2" applyFont="1" applyFill="1" applyBorder="1" applyAlignment="1" applyProtection="1">
      <alignment horizontal="center" vertical="center"/>
    </xf>
    <xf numFmtId="0" fontId="11" fillId="0" borderId="25" xfId="2" applyFont="1" applyFill="1" applyBorder="1" applyAlignment="1" applyProtection="1">
      <alignment horizontal="center" vertical="center" shrinkToFit="1"/>
    </xf>
    <xf numFmtId="0" fontId="11" fillId="0" borderId="25" xfId="2" applyFont="1" applyFill="1" applyBorder="1" applyAlignment="1" applyProtection="1">
      <alignment horizontal="center" shrinkToFit="1"/>
    </xf>
    <xf numFmtId="165" fontId="11" fillId="0" borderId="26" xfId="2" applyNumberFormat="1" applyFont="1" applyFill="1" applyBorder="1" applyAlignment="1" applyProtection="1">
      <alignment horizontal="center" vertical="center"/>
    </xf>
    <xf numFmtId="0" fontId="11" fillId="0" borderId="26" xfId="2" applyFont="1" applyFill="1" applyBorder="1" applyAlignment="1" applyProtection="1">
      <alignment horizontal="center" vertical="center"/>
    </xf>
    <xf numFmtId="0" fontId="11" fillId="0" borderId="26" xfId="2" applyFont="1" applyFill="1" applyBorder="1" applyAlignment="1" applyProtection="1">
      <alignment horizontal="center" vertical="center" shrinkToFit="1"/>
    </xf>
    <xf numFmtId="16" fontId="11" fillId="0" borderId="26" xfId="2" applyNumberFormat="1" applyFont="1" applyFill="1" applyBorder="1" applyAlignment="1" applyProtection="1">
      <alignment horizontal="center" shrinkToFit="1"/>
    </xf>
    <xf numFmtId="165" fontId="11" fillId="0" borderId="27" xfId="2" applyNumberFormat="1" applyFont="1" applyFill="1" applyBorder="1" applyAlignment="1" applyProtection="1">
      <alignment horizontal="center" vertical="center"/>
    </xf>
    <xf numFmtId="0" fontId="11" fillId="0" borderId="27" xfId="2" applyFont="1" applyFill="1" applyBorder="1" applyAlignment="1" applyProtection="1">
      <alignment horizontal="center" vertical="center"/>
    </xf>
    <xf numFmtId="0" fontId="11" fillId="0" borderId="27" xfId="2" applyFont="1" applyFill="1" applyBorder="1" applyAlignment="1" applyProtection="1">
      <alignment horizontal="center" vertical="center" shrinkToFit="1"/>
    </xf>
    <xf numFmtId="0" fontId="11" fillId="0" borderId="27" xfId="2" applyFont="1" applyFill="1" applyBorder="1" applyAlignment="1" applyProtection="1">
      <alignment horizontal="center" shrinkToFit="1"/>
    </xf>
    <xf numFmtId="0" fontId="15" fillId="0" borderId="12" xfId="3" applyFont="1" applyBorder="1" applyProtection="1"/>
    <xf numFmtId="0" fontId="15" fillId="0" borderId="13" xfId="3" applyFont="1" applyBorder="1" applyProtection="1"/>
    <xf numFmtId="0" fontId="15" fillId="0" borderId="14" xfId="3" applyFont="1" applyBorder="1" applyProtection="1"/>
    <xf numFmtId="43" fontId="15" fillId="0" borderId="0" xfId="3" applyNumberFormat="1" applyFont="1" applyProtection="1"/>
    <xf numFmtId="43" fontId="5" fillId="0" borderId="0" xfId="2" applyNumberFormat="1" applyFont="1" applyBorder="1" applyAlignment="1" applyProtection="1">
      <alignment vertical="center"/>
    </xf>
    <xf numFmtId="166" fontId="8" fillId="7" borderId="62" xfId="2" applyNumberFormat="1" applyFont="1" applyFill="1" applyBorder="1" applyAlignment="1" applyProtection="1">
      <alignment horizontal="center" shrinkToFit="1"/>
      <protection locked="0"/>
    </xf>
    <xf numFmtId="7" fontId="26" fillId="11" borderId="30" xfId="0" applyNumberFormat="1" applyFont="1" applyFill="1" applyBorder="1" applyAlignment="1">
      <alignment shrinkToFit="1"/>
      <protection locked="0"/>
    </xf>
    <xf numFmtId="0" fontId="23" fillId="0" borderId="0" xfId="22" applyFont="1" applyAlignment="1" applyProtection="1">
      <alignment horizontal="left"/>
    </xf>
    <xf numFmtId="0" fontId="22" fillId="0" borderId="0" xfId="22" applyFont="1" applyProtection="1"/>
    <xf numFmtId="0" fontId="22" fillId="0" borderId="0" xfId="22" applyFont="1" applyAlignment="1" applyProtection="1">
      <alignment horizontal="right"/>
    </xf>
    <xf numFmtId="14" fontId="22" fillId="0" borderId="0" xfId="22" applyNumberFormat="1" applyFont="1" applyAlignment="1" applyProtection="1">
      <alignment shrinkToFit="1"/>
    </xf>
    <xf numFmtId="0" fontId="22" fillId="0" borderId="63" xfId="22" applyFont="1" applyBorder="1" applyAlignment="1" applyProtection="1">
      <alignment horizontal="right"/>
    </xf>
    <xf numFmtId="14" fontId="22" fillId="0" borderId="63" xfId="22" applyNumberFormat="1" applyFont="1" applyBorder="1" applyAlignment="1" applyProtection="1">
      <alignment shrinkToFit="1"/>
    </xf>
    <xf numFmtId="0" fontId="22" fillId="0" borderId="0" xfId="22" applyFont="1" applyAlignment="1" applyProtection="1">
      <alignment horizontal="center"/>
      <protection locked="0"/>
    </xf>
    <xf numFmtId="0" fontId="12" fillId="15" borderId="0" xfId="13" applyFill="1" applyAlignment="1">
      <alignment vertical="top" wrapText="1"/>
      <protection locked="0"/>
    </xf>
    <xf numFmtId="170" fontId="12" fillId="15" borderId="0" xfId="13" applyNumberFormat="1" applyFill="1" applyAlignment="1">
      <alignment vertical="top" wrapText="1"/>
      <protection locked="0"/>
    </xf>
    <xf numFmtId="7" fontId="12" fillId="15" borderId="0" xfId="13" applyNumberFormat="1" applyFill="1" applyAlignment="1">
      <alignment vertical="top" wrapText="1"/>
      <protection locked="0"/>
    </xf>
    <xf numFmtId="0" fontId="36" fillId="0" borderId="64" xfId="30" applyFill="1" applyBorder="1" applyAlignment="1">
      <alignment horizontal="center"/>
      <protection locked="0"/>
    </xf>
    <xf numFmtId="168" fontId="36" fillId="0" borderId="0" xfId="30" applyNumberFormat="1" applyAlignment="1">
      <alignment vertical="top" wrapText="1"/>
      <protection locked="0"/>
    </xf>
    <xf numFmtId="169" fontId="36" fillId="0" borderId="0" xfId="30" applyNumberFormat="1" applyAlignment="1">
      <alignment vertical="top"/>
      <protection locked="0"/>
    </xf>
    <xf numFmtId="171" fontId="36" fillId="0" borderId="0" xfId="30" applyNumberFormat="1" applyAlignment="1">
      <alignment vertical="top" wrapText="1"/>
      <protection locked="0"/>
    </xf>
    <xf numFmtId="0" fontId="4" fillId="0" borderId="4" xfId="3" applyFont="1" applyBorder="1" applyProtection="1"/>
    <xf numFmtId="0" fontId="38" fillId="0" borderId="4" xfId="0" applyFont="1" applyBorder="1" applyProtection="1"/>
    <xf numFmtId="0" fontId="4" fillId="0" borderId="12" xfId="3" applyFont="1" applyBorder="1" applyProtection="1"/>
    <xf numFmtId="2" fontId="35" fillId="0" borderId="0" xfId="30" applyNumberFormat="1" applyFont="1" applyAlignment="1">
      <alignment vertical="top" wrapText="1"/>
      <protection locked="0"/>
    </xf>
    <xf numFmtId="43" fontId="11" fillId="0" borderId="5" xfId="1" applyNumberFormat="1" applyFont="1" applyFill="1" applyBorder="1" applyAlignment="1" applyProtection="1">
      <alignment horizontal="center" shrinkToFit="1"/>
    </xf>
    <xf numFmtId="0" fontId="39" fillId="0" borderId="9" xfId="0" applyFont="1" applyBorder="1" applyProtection="1"/>
    <xf numFmtId="49" fontId="36" fillId="0" borderId="0" xfId="30" applyNumberFormat="1" applyAlignment="1">
      <alignment vertical="top" wrapText="1"/>
      <protection locked="0"/>
    </xf>
    <xf numFmtId="0" fontId="36" fillId="0" borderId="0" xfId="30" applyAlignment="1">
      <alignment vertical="top" wrapText="1"/>
      <protection locked="0"/>
    </xf>
    <xf numFmtId="172" fontId="36" fillId="0" borderId="0" xfId="30" applyNumberFormat="1" applyAlignment="1">
      <alignment vertical="top" wrapText="1"/>
      <protection locked="0"/>
    </xf>
    <xf numFmtId="0" fontId="6" fillId="0" borderId="0" xfId="2" applyFont="1" applyBorder="1" applyAlignment="1" applyProtection="1">
      <alignment horizontal="left"/>
    </xf>
    <xf numFmtId="17" fontId="22" fillId="7" borderId="0" xfId="22" applyNumberFormat="1" applyFont="1" applyFill="1" applyAlignment="1" applyProtection="1">
      <alignment horizontal="center" shrinkToFit="1"/>
      <protection locked="0"/>
    </xf>
    <xf numFmtId="43" fontId="11" fillId="0" borderId="0" xfId="1" applyNumberFormat="1" applyFont="1" applyFill="1" applyBorder="1" applyAlignment="1" applyProtection="1">
      <alignment horizontal="center" shrinkToFit="1"/>
    </xf>
    <xf numFmtId="0" fontId="11" fillId="0" borderId="19" xfId="1" applyNumberFormat="1" applyFont="1" applyFill="1" applyBorder="1" applyAlignment="1" applyProtection="1">
      <alignment horizontal="center" shrinkToFit="1"/>
    </xf>
    <xf numFmtId="0" fontId="11" fillId="0" borderId="20" xfId="1" applyNumberFormat="1" applyFont="1" applyFill="1" applyBorder="1" applyAlignment="1" applyProtection="1">
      <alignment horizontal="center" shrinkToFit="1"/>
    </xf>
    <xf numFmtId="0" fontId="11" fillId="0" borderId="21" xfId="1" applyNumberFormat="1" applyFont="1" applyFill="1" applyBorder="1" applyAlignment="1" applyProtection="1">
      <alignment horizontal="center" shrinkToFit="1"/>
    </xf>
    <xf numFmtId="0" fontId="11" fillId="0" borderId="22" xfId="1" applyNumberFormat="1" applyFont="1" applyFill="1" applyBorder="1" applyAlignment="1" applyProtection="1">
      <alignment horizontal="center" shrinkToFit="1"/>
    </xf>
    <xf numFmtId="0" fontId="11" fillId="0" borderId="23" xfId="1" applyNumberFormat="1" applyFont="1" applyFill="1" applyBorder="1" applyAlignment="1" applyProtection="1">
      <alignment horizontal="center" shrinkToFit="1"/>
    </xf>
    <xf numFmtId="0" fontId="11" fillId="0" borderId="24" xfId="1" applyNumberFormat="1" applyFont="1" applyFill="1" applyBorder="1" applyAlignment="1" applyProtection="1">
      <alignment horizontal="center" shrinkToFit="1"/>
    </xf>
    <xf numFmtId="0" fontId="11" fillId="0" borderId="17" xfId="1" applyNumberFormat="1" applyFont="1" applyFill="1" applyBorder="1" applyAlignment="1" applyProtection="1">
      <alignment horizontal="center" shrinkToFit="1"/>
    </xf>
    <xf numFmtId="0" fontId="11" fillId="0" borderId="18" xfId="1" applyNumberFormat="1" applyFont="1" applyFill="1" applyBorder="1" applyAlignment="1" applyProtection="1">
      <alignment horizontal="center" shrinkToFit="1"/>
    </xf>
    <xf numFmtId="0" fontId="11" fillId="0" borderId="16" xfId="1" applyNumberFormat="1" applyFont="1" applyFill="1" applyBorder="1" applyAlignment="1" applyProtection="1">
      <alignment horizontal="center" shrinkToFit="1"/>
    </xf>
    <xf numFmtId="49" fontId="0" fillId="0" borderId="0" xfId="0" applyNumberFormat="1" applyAlignment="1">
      <alignment vertical="top" wrapText="1"/>
      <protection locked="0"/>
    </xf>
    <xf numFmtId="169" fontId="0" fillId="0" borderId="0" xfId="0" applyNumberFormat="1" applyAlignment="1">
      <alignment vertical="top"/>
      <protection locked="0"/>
    </xf>
    <xf numFmtId="0" fontId="0" fillId="0" borderId="0" xfId="0" applyAlignment="1">
      <alignment vertical="top" wrapText="1"/>
      <protection locked="0"/>
    </xf>
    <xf numFmtId="170" fontId="0" fillId="0" borderId="0" xfId="0" applyNumberFormat="1" applyAlignment="1">
      <alignment vertical="top"/>
      <protection locked="0"/>
    </xf>
    <xf numFmtId="0" fontId="22" fillId="0" borderId="0" xfId="22" applyFont="1" applyAlignment="1" applyProtection="1">
      <alignment horizontal="center"/>
      <protection locked="0"/>
    </xf>
    <xf numFmtId="164" fontId="22" fillId="7" borderId="0" xfId="22" applyNumberFormat="1" applyFont="1" applyFill="1" applyAlignment="1" applyProtection="1">
      <alignment horizontal="center" shrinkToFit="1"/>
      <protection locked="0"/>
    </xf>
    <xf numFmtId="14" fontId="22" fillId="0" borderId="0" xfId="22" applyNumberFormat="1" applyFont="1" applyAlignment="1" applyProtection="1">
      <alignment horizontal="center" shrinkToFit="1"/>
      <protection locked="0"/>
    </xf>
    <xf numFmtId="14" fontId="22" fillId="7" borderId="0" xfId="22" applyNumberFormat="1" applyFont="1" applyFill="1" applyAlignment="1" applyProtection="1">
      <alignment horizontal="center" shrinkToFit="1"/>
      <protection locked="0"/>
    </xf>
    <xf numFmtId="0" fontId="16" fillId="0" borderId="9" xfId="0" applyFont="1" applyBorder="1" applyProtection="1"/>
    <xf numFmtId="0" fontId="42" fillId="0" borderId="4" xfId="0" applyFont="1" applyBorder="1" applyProtection="1"/>
    <xf numFmtId="0" fontId="0" fillId="0" borderId="0" xfId="0" quotePrefix="1">
      <protection locked="0"/>
    </xf>
    <xf numFmtId="0" fontId="43" fillId="0" borderId="0" xfId="0" applyFont="1">
      <protection locked="0"/>
    </xf>
    <xf numFmtId="0" fontId="7" fillId="7" borderId="6" xfId="2" applyFont="1" applyFill="1" applyBorder="1" applyAlignment="1" applyProtection="1">
      <alignment horizontal="centerContinuous" vertical="center" shrinkToFit="1"/>
    </xf>
    <xf numFmtId="0" fontId="7" fillId="7" borderId="7" xfId="2" applyFont="1" applyFill="1" applyBorder="1" applyAlignment="1" applyProtection="1">
      <alignment horizontal="centerContinuous" vertical="center" shrinkToFit="1"/>
    </xf>
    <xf numFmtId="0" fontId="7" fillId="16" borderId="6" xfId="2" applyFont="1" applyFill="1" applyBorder="1" applyAlignment="1" applyProtection="1">
      <alignment horizontal="centerContinuous" vertical="center" shrinkToFit="1"/>
    </xf>
    <xf numFmtId="0" fontId="7" fillId="16" borderId="7" xfId="2" applyFont="1" applyFill="1" applyBorder="1" applyAlignment="1" applyProtection="1">
      <alignment horizontal="centerContinuous" vertical="center" shrinkToFit="1"/>
    </xf>
    <xf numFmtId="0" fontId="7" fillId="16" borderId="8" xfId="2" applyFont="1" applyFill="1" applyBorder="1" applyAlignment="1" applyProtection="1">
      <alignment horizontal="centerContinuous" vertical="center" shrinkToFit="1"/>
    </xf>
    <xf numFmtId="0" fontId="10" fillId="2" borderId="65" xfId="2" applyFont="1" applyFill="1" applyBorder="1" applyAlignment="1" applyProtection="1">
      <alignment horizontal="center" vertical="center" wrapText="1"/>
    </xf>
    <xf numFmtId="0" fontId="12" fillId="0" borderId="14" xfId="0" applyFont="1" applyBorder="1" applyProtection="1"/>
    <xf numFmtId="0" fontId="15" fillId="0" borderId="66" xfId="3" applyFont="1" applyBorder="1" applyProtection="1"/>
    <xf numFmtId="0" fontId="10" fillId="2" borderId="68" xfId="2" applyFont="1" applyFill="1" applyBorder="1" applyAlignment="1" applyProtection="1">
      <alignment horizontal="center" vertical="center" wrapText="1"/>
    </xf>
    <xf numFmtId="0" fontId="15" fillId="0" borderId="67" xfId="3" applyFont="1" applyBorder="1" applyProtection="1"/>
    <xf numFmtId="0" fontId="11" fillId="0" borderId="69" xfId="1" applyNumberFormat="1" applyFont="1" applyFill="1" applyBorder="1" applyAlignment="1" applyProtection="1">
      <alignment horizontal="center" shrinkToFit="1"/>
    </xf>
    <xf numFmtId="49" fontId="36" fillId="0" borderId="0" xfId="30" applyNumberFormat="1" applyAlignment="1">
      <alignment vertical="top" wrapText="1"/>
      <protection locked="0"/>
    </xf>
    <xf numFmtId="0" fontId="36" fillId="0" borderId="0" xfId="30" applyAlignment="1">
      <alignment vertical="top" wrapText="1"/>
      <protection locked="0"/>
    </xf>
    <xf numFmtId="49" fontId="36" fillId="0" borderId="0" xfId="30" applyNumberFormat="1" applyAlignment="1">
      <alignment horizontal="left" vertical="top" wrapText="1"/>
      <protection locked="0"/>
    </xf>
    <xf numFmtId="7" fontId="26" fillId="11" borderId="30" xfId="28" applyNumberFormat="1" applyFont="1" applyFill="1" applyBorder="1" applyAlignment="1">
      <alignment shrinkToFit="1"/>
      <protection locked="0"/>
    </xf>
    <xf numFmtId="0" fontId="22" fillId="0" borderId="0" xfId="28" applyFont="1">
      <protection locked="0"/>
    </xf>
    <xf numFmtId="0" fontId="16" fillId="0" borderId="4" xfId="0" applyFont="1" applyBorder="1" applyProtection="1"/>
    <xf numFmtId="49" fontId="36" fillId="0" borderId="0" xfId="30" applyNumberFormat="1" applyAlignment="1">
      <alignment vertical="top" wrapText="1"/>
      <protection locked="0"/>
    </xf>
    <xf numFmtId="49" fontId="36" fillId="0" borderId="0" xfId="30" applyNumberFormat="1" applyAlignment="1">
      <alignment horizontal="left" vertical="top" wrapText="1"/>
      <protection locked="0"/>
    </xf>
    <xf numFmtId="0" fontId="37" fillId="0" borderId="0" xfId="30" applyFont="1" applyAlignment="1">
      <alignment vertical="top" wrapText="1"/>
      <protection locked="0"/>
    </xf>
    <xf numFmtId="0" fontId="36" fillId="0" borderId="0" xfId="30" applyAlignment="1">
      <alignment vertical="top" wrapText="1"/>
      <protection locked="0"/>
    </xf>
    <xf numFmtId="14" fontId="20" fillId="0" borderId="0" xfId="2" applyNumberFormat="1" applyFont="1" applyBorder="1" applyAlignment="1" applyProtection="1">
      <alignment horizontal="left" vertical="center"/>
    </xf>
    <xf numFmtId="0" fontId="6" fillId="0" borderId="0" xfId="2" applyFont="1" applyBorder="1" applyAlignment="1" applyProtection="1">
      <alignment horizontal="left"/>
    </xf>
    <xf numFmtId="44" fontId="32" fillId="3" borderId="1" xfId="29" applyFont="1" applyFill="1" applyBorder="1" applyAlignment="1" applyProtection="1">
      <alignment horizontal="center" vertical="center"/>
      <protection locked="0"/>
    </xf>
    <xf numFmtId="44" fontId="32" fillId="3" borderId="2" xfId="29" applyFont="1" applyFill="1" applyBorder="1" applyAlignment="1" applyProtection="1">
      <alignment horizontal="center" vertical="center"/>
      <protection locked="0"/>
    </xf>
    <xf numFmtId="0" fontId="22" fillId="0" borderId="0" xfId="22" applyFont="1" applyAlignment="1" applyProtection="1">
      <alignment horizontal="center"/>
      <protection locked="0"/>
    </xf>
    <xf numFmtId="14" fontId="22" fillId="0" borderId="0" xfId="22" applyNumberFormat="1" applyFont="1" applyFill="1" applyAlignment="1" applyProtection="1">
      <alignment horizontal="center" shrinkToFit="1"/>
      <protection locked="0"/>
    </xf>
    <xf numFmtId="164" fontId="22" fillId="7" borderId="0" xfId="22" applyNumberFormat="1" applyFont="1" applyFill="1" applyAlignment="1" applyProtection="1">
      <alignment horizontal="center" shrinkToFit="1"/>
      <protection locked="0"/>
    </xf>
    <xf numFmtId="14" fontId="22" fillId="0" borderId="0" xfId="22" applyNumberFormat="1" applyFont="1" applyAlignment="1" applyProtection="1">
      <alignment horizontal="center" shrinkToFit="1"/>
      <protection locked="0"/>
    </xf>
  </cellXfs>
  <cellStyles count="32">
    <cellStyle name="Comma" xfId="1" builtinId="3"/>
    <cellStyle name="Comma 2" xfId="5"/>
    <cellStyle name="Comma 3" xfId="6"/>
    <cellStyle name="Comma 5" xfId="7"/>
    <cellStyle name="Currency" xfId="29" builtinId="4"/>
    <cellStyle name="Currency 2" xfId="8"/>
    <cellStyle name="Normal" xfId="0" builtinId="0"/>
    <cellStyle name="Normal 10" xfId="28"/>
    <cellStyle name="Normal 11" xfId="30"/>
    <cellStyle name="Normal 129" xfId="9"/>
    <cellStyle name="Normal 130" xfId="10"/>
    <cellStyle name="Normal 19" xfId="11"/>
    <cellStyle name="Normal 19 100" xfId="12"/>
    <cellStyle name="Normal 2" xfId="13"/>
    <cellStyle name="Normal 2 2" xfId="14"/>
    <cellStyle name="Normal 2 3" xfId="15"/>
    <cellStyle name="Normal 2 4" xfId="16"/>
    <cellStyle name="Normal 2 5" xfId="17"/>
    <cellStyle name="Normal 2 6" xfId="18"/>
    <cellStyle name="Normal 2 7" xfId="19"/>
    <cellStyle name="Normal 2 8" xfId="20"/>
    <cellStyle name="Normal 2 9" xfId="21"/>
    <cellStyle name="Normal 3" xfId="3"/>
    <cellStyle name="Normal 3 2" xfId="31"/>
    <cellStyle name="Normal 4" xfId="22"/>
    <cellStyle name="Normal 5" xfId="23"/>
    <cellStyle name="Normal 6" xfId="2"/>
    <cellStyle name="Normal 7" xfId="4"/>
    <cellStyle name="Normal 76" xfId="24"/>
    <cellStyle name="Normal 8" xfId="25"/>
    <cellStyle name="Normal 8 2" xfId="27"/>
    <cellStyle name="Normal 9" xfId="26"/>
  </cellStyles>
  <dxfs count="149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externalLink" Target="externalLinks/externalLink4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282227</xdr:colOff>
      <xdr:row>2</xdr:row>
      <xdr:rowOff>53389</xdr:rowOff>
    </xdr:from>
    <xdr:to>
      <xdr:col>13</xdr:col>
      <xdr:colOff>717560</xdr:colOff>
      <xdr:row>9</xdr:row>
      <xdr:rowOff>153401</xdr:rowOff>
    </xdr:to>
    <xdr:pic>
      <xdr:nvPicPr>
        <xdr:cNvPr id="2" name="Picture 1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70198" y="367154"/>
          <a:ext cx="1757627" cy="11869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310244</xdr:colOff>
      <xdr:row>3</xdr:row>
      <xdr:rowOff>1361</xdr:rowOff>
    </xdr:from>
    <xdr:to>
      <xdr:col>14</xdr:col>
      <xdr:colOff>33202</xdr:colOff>
      <xdr:row>9</xdr:row>
      <xdr:rowOff>169412</xdr:rowOff>
    </xdr:to>
    <xdr:pic>
      <xdr:nvPicPr>
        <xdr:cNvPr id="2" name="Picture 1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54244" y="382361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228601</xdr:colOff>
      <xdr:row>3</xdr:row>
      <xdr:rowOff>42182</xdr:rowOff>
    </xdr:from>
    <xdr:to>
      <xdr:col>14</xdr:col>
      <xdr:colOff>5989</xdr:colOff>
      <xdr:row>9</xdr:row>
      <xdr:rowOff>210233</xdr:rowOff>
    </xdr:to>
    <xdr:pic>
      <xdr:nvPicPr>
        <xdr:cNvPr id="4" name="Picture 3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35887" y="423182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228600</xdr:colOff>
      <xdr:row>4</xdr:row>
      <xdr:rowOff>1361</xdr:rowOff>
    </xdr:from>
    <xdr:to>
      <xdr:col>13</xdr:col>
      <xdr:colOff>672738</xdr:colOff>
      <xdr:row>10</xdr:row>
      <xdr:rowOff>6127</xdr:rowOff>
    </xdr:to>
    <xdr:pic>
      <xdr:nvPicPr>
        <xdr:cNvPr id="4" name="Picture 3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36529" y="450397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214993</xdr:colOff>
      <xdr:row>4</xdr:row>
      <xdr:rowOff>28575</xdr:rowOff>
    </xdr:from>
    <xdr:to>
      <xdr:col>13</xdr:col>
      <xdr:colOff>659130</xdr:colOff>
      <xdr:row>10</xdr:row>
      <xdr:rowOff>33341</xdr:rowOff>
    </xdr:to>
    <xdr:pic>
      <xdr:nvPicPr>
        <xdr:cNvPr id="3" name="Picture 2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99814" y="477611"/>
          <a:ext cx="1750423" cy="12021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283027</xdr:colOff>
      <xdr:row>4</xdr:row>
      <xdr:rowOff>69397</xdr:rowOff>
    </xdr:from>
    <xdr:to>
      <xdr:col>13</xdr:col>
      <xdr:colOff>727164</xdr:colOff>
      <xdr:row>10</xdr:row>
      <xdr:rowOff>74161</xdr:rowOff>
    </xdr:to>
    <xdr:pic>
      <xdr:nvPicPr>
        <xdr:cNvPr id="4" name="Picture 3" descr="X:\IT\Pub\Logo\ChampionLogo4CP_169x110.gif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90956" y="518433"/>
          <a:ext cx="1750423" cy="12021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Odysseus\Downloads\Template%20PJM%20Matrix%20Indirect%20v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Orig\Pvt%20Indirect\Structuring\Matrix\New%20Matrix\Model\Matrix%20Sheet%20Templates\STATIC%20Hybrid%20Templates%20-%20DO%20NOT%20MODIFY\Template%20PJM%20Hybrid%20RES%20v1%20-%20wCapTra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Orig\Pvt%20Indirect\Structuring\Matrix\New%20Matrix\Model\CES%20PJM%20Matrix%20Archive%20v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Users\Odysseus\Downloads\Template%20PJM%20Hybrid%20RES%20v1%20-%20wCapTra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x"/>
      <sheetName val="PA"/>
      <sheetName val="OH"/>
      <sheetName val="IL"/>
      <sheetName val="NJ"/>
      <sheetName val="MD"/>
      <sheetName val="Main"/>
      <sheetName val="Add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5">
          <cell r="T15">
            <v>41395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ECO LP_10V1_SMS"/>
      <sheetName val="AECO LP_14V1_MMS"/>
      <sheetName val="AEP_OH_CS - test CSGS1MS"/>
      <sheetName val="AEP_OH_CS - test CSGS2UMS"/>
      <sheetName val="AEP_OH_CS - test CSGS3UMS"/>
      <sheetName val="Ameren RateZnIII LP DS2HHMS"/>
      <sheetName val="BGE LP_GMS"/>
      <sheetName val="BGE LP_GLMS"/>
      <sheetName val="BGE LP_GSMS"/>
      <sheetName val="ComEd - test LP_28MS"/>
      <sheetName val="ComEd - test LP_29MS"/>
      <sheetName val="DAY_RC_843MS"/>
      <sheetName val="Delmarva MD LP_MDGS_MMS"/>
      <sheetName val="DQE LP_GSGM_MMS (2)"/>
      <sheetName val="Duke_OH_RC_DS01MS"/>
      <sheetName val="FE_OE - test RC_GSFMS"/>
      <sheetName val="Adders"/>
      <sheetName val="Matrix"/>
      <sheetName val="PA"/>
      <sheetName val="OH"/>
      <sheetName val="IL"/>
      <sheetName val="NJ"/>
      <sheetName val="MD"/>
      <sheetName val="Main"/>
      <sheetName val="LMPMain"/>
      <sheetName val="JCPL LP_GSCLMS"/>
      <sheetName val="JCPL LP_GSCMMS"/>
      <sheetName val="JCPL LP_GSCSMS"/>
      <sheetName val="MetEd RC_GSDFMS (2)"/>
      <sheetName val="MetEd RC_GSLFMS (2)"/>
      <sheetName val="MetEd RC_GSSFMS (2)"/>
      <sheetName val="PECO LP_GSMS (2)"/>
      <sheetName val="Penelec RC_GSLFMS (2)"/>
      <sheetName val="Penelec RC_GSSFMS (2)"/>
      <sheetName val="Penelec RC_GSMFMS (2)"/>
      <sheetName val="Penn Power RC_GMDMS (2)"/>
      <sheetName val="PEPCO MD LP_MDNDMS"/>
      <sheetName val="PEPCO MD LP_MMGTL2AMS"/>
      <sheetName val="PEPCO MD RC_3T7MS"/>
      <sheetName val="Potomac Edison LP_GSCM_MMS"/>
      <sheetName val="PPL_RCGS1MS (2)"/>
      <sheetName val="PPL_RCGS3MS (2)"/>
      <sheetName val="PSEG LP_GLP_MMS"/>
      <sheetName val="PSEG LP_LPLMS"/>
      <sheetName val="West Penn Power LP_GSCMMS (2)"/>
      <sheetName val="AllSheetNames"/>
      <sheetName val="DQE LP_GSGM_MMS "/>
      <sheetName val="MetEd RC_GSDFMS"/>
      <sheetName val="PPL_RCGS3MS"/>
    </sheetNames>
    <sheetDataSet>
      <sheetData sheetId="0">
        <row r="8">
          <cell r="G8">
            <v>59.76914712321431</v>
          </cell>
          <cell r="H8">
            <v>48.701630365277083</v>
          </cell>
          <cell r="I8">
            <v>47.891478987935798</v>
          </cell>
          <cell r="J8">
            <v>46.863649176444639</v>
          </cell>
          <cell r="K8">
            <v>46.289026811827313</v>
          </cell>
        </row>
        <row r="9">
          <cell r="G9">
            <v>55.136967204717635</v>
          </cell>
          <cell r="H9">
            <v>47.597723602241054</v>
          </cell>
          <cell r="I9">
            <v>46.968122493216725</v>
          </cell>
          <cell r="J9">
            <v>46.50658834997197</v>
          </cell>
          <cell r="K9">
            <v>45.93152369902554</v>
          </cell>
        </row>
        <row r="10">
          <cell r="G10">
            <v>50.080232447284772</v>
          </cell>
          <cell r="H10">
            <v>46.575879890259245</v>
          </cell>
          <cell r="I10">
            <v>45.815488736428577</v>
          </cell>
          <cell r="J10">
            <v>46.203525222322284</v>
          </cell>
          <cell r="K10">
            <v>45.589657402181381</v>
          </cell>
        </row>
        <row r="11">
          <cell r="G11">
            <v>46.136330807687081</v>
          </cell>
          <cell r="H11">
            <v>45.63806757034741</v>
          </cell>
          <cell r="I11">
            <v>44.813262999907536</v>
          </cell>
          <cell r="J11">
            <v>45.929315756260742</v>
          </cell>
          <cell r="K11">
            <v>45.280861538724373</v>
          </cell>
        </row>
        <row r="12">
          <cell r="G12">
            <v>43.417588877062059</v>
          </cell>
          <cell r="H12">
            <v>44.599715205726476</v>
          </cell>
          <cell r="I12">
            <v>43.962903864593265</v>
          </cell>
          <cell r="J12">
            <v>45.605494481009195</v>
          </cell>
          <cell r="K12">
            <v>44.923948869289497</v>
          </cell>
        </row>
        <row r="13">
          <cell r="G13">
            <v>41.466959511894451</v>
          </cell>
          <cell r="H13">
            <v>43.599321556019319</v>
          </cell>
          <cell r="I13">
            <v>43.469773800910637</v>
          </cell>
          <cell r="J13">
            <v>45.302725424402915</v>
          </cell>
          <cell r="K13">
            <v>44.588124849866382</v>
          </cell>
        </row>
        <row r="14">
          <cell r="G14">
            <v>40.093798782036458</v>
          </cell>
          <cell r="H14">
            <v>42.688408713214855</v>
          </cell>
          <cell r="I14">
            <v>43.259583147129653</v>
          </cell>
          <cell r="J14">
            <v>45.031645651388175</v>
          </cell>
          <cell r="K14">
            <v>44.259982529456373</v>
          </cell>
        </row>
        <row r="15">
          <cell r="G15">
            <v>41.153343688415738</v>
          </cell>
          <cell r="H15">
            <v>43.177555867752439</v>
          </cell>
          <cell r="I15">
            <v>43.926275923121857</v>
          </cell>
          <cell r="J15">
            <v>45.087282149278316</v>
          </cell>
          <cell r="K15">
            <v>44.344549951762893</v>
          </cell>
        </row>
        <row r="16">
          <cell r="G16">
            <v>42.988806683308155</v>
          </cell>
          <cell r="H16">
            <v>43.643247964638867</v>
          </cell>
          <cell r="I16">
            <v>44.892886292508003</v>
          </cell>
          <cell r="J16">
            <v>45.110880104052072</v>
          </cell>
          <cell r="K16">
            <v>44.429433058275343</v>
          </cell>
        </row>
        <row r="17">
          <cell r="G17">
            <v>45.023097880215644</v>
          </cell>
          <cell r="H17">
            <v>44.077508278527489</v>
          </cell>
          <cell r="I17">
            <v>45.850522471168837</v>
          </cell>
          <cell r="J17">
            <v>45.16047876366305</v>
          </cell>
          <cell r="K17">
            <v>44.525384458089277</v>
          </cell>
        </row>
        <row r="18">
          <cell r="G18">
            <v>46.144995906068843</v>
          </cell>
          <cell r="H18">
            <v>44.271768410307125</v>
          </cell>
          <cell r="I18">
            <v>46.468037910454719</v>
          </cell>
          <cell r="J18">
            <v>45.094009513021412</v>
          </cell>
          <cell r="K18">
            <v>44.542959461064733</v>
          </cell>
        </row>
        <row r="19">
          <cell r="G19">
            <v>46.466328413323737</v>
          </cell>
          <cell r="H19">
            <v>44.615728602400857</v>
          </cell>
          <cell r="I19">
            <v>46.841373608706498</v>
          </cell>
          <cell r="J19">
            <v>45.079981638811986</v>
          </cell>
          <cell r="K19">
            <v>44.576505382917361</v>
          </cell>
        </row>
        <row r="20">
          <cell r="G20">
            <v>46.034232887589589</v>
          </cell>
          <cell r="H20">
            <v>45.03312925913913</v>
          </cell>
          <cell r="I20">
            <v>46.954715429700435</v>
          </cell>
          <cell r="J20">
            <v>45.088776823210438</v>
          </cell>
          <cell r="K20">
            <v>44.602345394875677</v>
          </cell>
        </row>
      </sheetData>
      <sheetData sheetId="1">
        <row r="8">
          <cell r="G8">
            <v>46.804733909247666</v>
          </cell>
          <cell r="H8">
            <v>40.691316545987149</v>
          </cell>
          <cell r="I8">
            <v>39.669036549092802</v>
          </cell>
          <cell r="J8">
            <v>39.429303158679375</v>
          </cell>
          <cell r="K8">
            <v>39.11330269897001</v>
          </cell>
        </row>
        <row r="9">
          <cell r="G9">
            <v>44.454835431343298</v>
          </cell>
          <cell r="H9">
            <v>39.903811815184618</v>
          </cell>
          <cell r="I9">
            <v>39.161627660876093</v>
          </cell>
          <cell r="J9">
            <v>39.191115457811733</v>
          </cell>
          <cell r="K9">
            <v>38.873108634255871</v>
          </cell>
        </row>
        <row r="10">
          <cell r="G10">
            <v>42.011568097514704</v>
          </cell>
          <cell r="H10">
            <v>39.156372579971539</v>
          </cell>
          <cell r="I10">
            <v>38.654570094273666</v>
          </cell>
          <cell r="J10">
            <v>38.985519003824933</v>
          </cell>
          <cell r="K10">
            <v>38.638159618710155</v>
          </cell>
        </row>
        <row r="11">
          <cell r="G11">
            <v>39.768056178613065</v>
          </cell>
          <cell r="H11">
            <v>38.478082849782282</v>
          </cell>
          <cell r="I11">
            <v>38.168411754648957</v>
          </cell>
          <cell r="J11">
            <v>38.79943557108809</v>
          </cell>
          <cell r="K11">
            <v>38.425372138943786</v>
          </cell>
        </row>
        <row r="12">
          <cell r="G12">
            <v>37.810290316999087</v>
          </cell>
          <cell r="H12">
            <v>37.7184891521823</v>
          </cell>
          <cell r="I12">
            <v>37.660163753236951</v>
          </cell>
          <cell r="J12">
            <v>38.578894079730176</v>
          </cell>
          <cell r="K12">
            <v>38.180381976807588</v>
          </cell>
        </row>
        <row r="13">
          <cell r="G13">
            <v>36.369241401404182</v>
          </cell>
          <cell r="H13">
            <v>36.994876976084036</v>
          </cell>
          <cell r="I13">
            <v>37.337946822283506</v>
          </cell>
          <cell r="J13">
            <v>38.373842294602099</v>
          </cell>
          <cell r="K13">
            <v>37.950506872115724</v>
          </cell>
        </row>
        <row r="14">
          <cell r="G14">
            <v>35.295594730815694</v>
          </cell>
          <cell r="H14">
            <v>36.318320976941067</v>
          </cell>
          <cell r="I14">
            <v>37.176054457170693</v>
          </cell>
          <cell r="J14">
            <v>38.183173336745625</v>
          </cell>
          <cell r="K14">
            <v>37.721091367740364</v>
          </cell>
        </row>
        <row r="15">
          <cell r="G15">
            <v>35.727484346829918</v>
          </cell>
          <cell r="H15">
            <v>36.622758076608605</v>
          </cell>
          <cell r="I15">
            <v>37.538046533235601</v>
          </cell>
          <cell r="J15">
            <v>38.208130628394173</v>
          </cell>
          <cell r="K15">
            <v>37.783908815751303</v>
          </cell>
        </row>
        <row r="16">
          <cell r="G16">
            <v>36.305437689555184</v>
          </cell>
          <cell r="H16">
            <v>36.973707397611783</v>
          </cell>
          <cell r="I16">
            <v>37.978951707818638</v>
          </cell>
          <cell r="J16">
            <v>38.245514237250816</v>
          </cell>
          <cell r="K16">
            <v>37.862797621188811</v>
          </cell>
        </row>
        <row r="17">
          <cell r="G17">
            <v>37.037651148493026</v>
          </cell>
          <cell r="H17">
            <v>37.322625758791787</v>
          </cell>
          <cell r="I17">
            <v>38.453347564862455</v>
          </cell>
          <cell r="J17">
            <v>38.291971383516696</v>
          </cell>
          <cell r="K17">
            <v>37.944133773082797</v>
          </cell>
        </row>
        <row r="18">
          <cell r="G18">
            <v>37.61210222480792</v>
          </cell>
          <cell r="H18">
            <v>37.579552738452158</v>
          </cell>
          <cell r="I18">
            <v>38.860196805568549</v>
          </cell>
          <cell r="J18">
            <v>38.301488323150586</v>
          </cell>
          <cell r="K18">
            <v>37.998204263319664</v>
          </cell>
        </row>
        <row r="19">
          <cell r="G19">
            <v>37.733681335366853</v>
          </cell>
          <cell r="H19">
            <v>37.861586885585787</v>
          </cell>
          <cell r="I19">
            <v>39.116322133476494</v>
          </cell>
          <cell r="J19">
            <v>38.314309284401077</v>
          </cell>
          <cell r="K19">
            <v>38.045731166750002</v>
          </cell>
        </row>
        <row r="20">
          <cell r="G20">
            <v>37.48104454063872</v>
          </cell>
          <cell r="H20">
            <v>38.171546642150695</v>
          </cell>
          <cell r="I20">
            <v>39.223420370085194</v>
          </cell>
          <cell r="J20">
            <v>38.327752982241435</v>
          </cell>
          <cell r="K20">
            <v>38.083415810820185</v>
          </cell>
        </row>
      </sheetData>
      <sheetData sheetId="2">
        <row r="8">
          <cell r="G8">
            <v>18.115502537206968</v>
          </cell>
          <cell r="H8">
            <v>21.73964354340244</v>
          </cell>
          <cell r="I8">
            <v>23.403313328623298</v>
          </cell>
          <cell r="J8">
            <v>24.149890789165248</v>
          </cell>
          <cell r="K8">
            <v>24.134866054806121</v>
          </cell>
        </row>
        <row r="9">
          <cell r="G9">
            <v>19.637004803918753</v>
          </cell>
          <cell r="H9">
            <v>22.420801259702113</v>
          </cell>
          <cell r="I9">
            <v>24.009179846015204</v>
          </cell>
          <cell r="J9">
            <v>24.542710434521915</v>
          </cell>
          <cell r="K9">
            <v>24.22217599955377</v>
          </cell>
        </row>
        <row r="10">
          <cell r="G10">
            <v>20.959530289374577</v>
          </cell>
          <cell r="H10">
            <v>23.118600072677044</v>
          </cell>
          <cell r="I10">
            <v>24.468173020145148</v>
          </cell>
          <cell r="J10">
            <v>24.948252554708418</v>
          </cell>
          <cell r="K10">
            <v>24.316803089840135</v>
          </cell>
        </row>
        <row r="11">
          <cell r="G11">
            <v>22.022436395861828</v>
          </cell>
          <cell r="H11">
            <v>23.752555874785752</v>
          </cell>
          <cell r="I11">
            <v>24.851032675375173</v>
          </cell>
          <cell r="J11">
            <v>25.322890263792974</v>
          </cell>
          <cell r="K11">
            <v>24.411836446901884</v>
          </cell>
        </row>
        <row r="12">
          <cell r="G12">
            <v>23.025743156160118</v>
          </cell>
          <cell r="H12">
            <v>24.441071364221735</v>
          </cell>
          <cell r="I12">
            <v>25.200490229138175</v>
          </cell>
          <cell r="J12">
            <v>25.727662058056907</v>
          </cell>
          <cell r="K12">
            <v>24.507248022201004</v>
          </cell>
        </row>
        <row r="13">
          <cell r="G13">
            <v>24.00379925538633</v>
          </cell>
          <cell r="H13">
            <v>25.137228586984769</v>
          </cell>
          <cell r="I13">
            <v>25.598759601422053</v>
          </cell>
          <cell r="J13">
            <v>26.127924102143606</v>
          </cell>
          <cell r="K13">
            <v>24.605201271669564</v>
          </cell>
        </row>
        <row r="14">
          <cell r="G14">
            <v>24.969888625575294</v>
          </cell>
          <cell r="H14">
            <v>25.883214069835965</v>
          </cell>
          <cell r="I14">
            <v>26.004673393878242</v>
          </cell>
          <cell r="J14">
            <v>26.541571030873335</v>
          </cell>
          <cell r="K14">
            <v>24.703470882426348</v>
          </cell>
        </row>
        <row r="15">
          <cell r="G15">
            <v>24.826889782377826</v>
          </cell>
          <cell r="H15">
            <v>26.037563986463944</v>
          </cell>
          <cell r="I15">
            <v>26.02133329700056</v>
          </cell>
          <cell r="J15">
            <v>26.365338809191073</v>
          </cell>
          <cell r="K15">
            <v>24.597765985294224</v>
          </cell>
        </row>
        <row r="16">
          <cell r="G16">
            <v>25.055269546010678</v>
          </cell>
          <cell r="H16">
            <v>26.127916090118518</v>
          </cell>
          <cell r="I16">
            <v>26.183020778321392</v>
          </cell>
          <cell r="J16">
            <v>26.155499799456738</v>
          </cell>
          <cell r="K16">
            <v>24.485929444714227</v>
          </cell>
        </row>
        <row r="17">
          <cell r="G17">
            <v>25.435999340159196</v>
          </cell>
          <cell r="H17">
            <v>26.248376509418165</v>
          </cell>
          <cell r="I17">
            <v>26.401994580437425</v>
          </cell>
          <cell r="J17">
            <v>25.954117010378848</v>
          </cell>
          <cell r="K17">
            <v>24.371582658204023</v>
          </cell>
        </row>
        <row r="18">
          <cell r="G18">
            <v>25.866685638362672</v>
          </cell>
          <cell r="H18">
            <v>26.29188563613878</v>
          </cell>
          <cell r="I18">
            <v>26.633353067719394</v>
          </cell>
          <cell r="J18">
            <v>25.730941749830357</v>
          </cell>
          <cell r="K18">
            <v>24.244268656319306</v>
          </cell>
        </row>
        <row r="19">
          <cell r="G19">
            <v>26.348918886032234</v>
          </cell>
          <cell r="H19">
            <v>26.423850240463146</v>
          </cell>
          <cell r="I19">
            <v>26.86830792089852</v>
          </cell>
          <cell r="J19">
            <v>25.527077426773541</v>
          </cell>
          <cell r="K19">
            <v>24.120115408055568</v>
          </cell>
        </row>
        <row r="20">
          <cell r="G20">
            <v>26.897436335627983</v>
          </cell>
          <cell r="H20">
            <v>26.549349358047984</v>
          </cell>
          <cell r="I20">
            <v>27.101679500070169</v>
          </cell>
          <cell r="J20">
            <v>25.325792959093455</v>
          </cell>
          <cell r="K20">
            <v>23.998897006940773</v>
          </cell>
        </row>
      </sheetData>
      <sheetData sheetId="3">
        <row r="8">
          <cell r="G8">
            <v>19.843760648261402</v>
          </cell>
          <cell r="H8">
            <v>24.220282628294878</v>
          </cell>
          <cell r="I8">
            <v>26.065487639519802</v>
          </cell>
          <cell r="J8">
            <v>26.970343931434421</v>
          </cell>
          <cell r="K8">
            <v>26.95013069602108</v>
          </cell>
        </row>
        <row r="9">
          <cell r="G9">
            <v>21.113482839601414</v>
          </cell>
          <cell r="H9">
            <v>25.014448286254115</v>
          </cell>
          <cell r="I9">
            <v>26.538297640192553</v>
          </cell>
          <cell r="J9">
            <v>27.428212979780294</v>
          </cell>
          <cell r="K9">
            <v>27.047376351388447</v>
          </cell>
        </row>
        <row r="10">
          <cell r="G10">
            <v>22.269620707665919</v>
          </cell>
          <cell r="H10">
            <v>25.829786615049652</v>
          </cell>
          <cell r="I10">
            <v>26.927005124938045</v>
          </cell>
          <cell r="J10">
            <v>27.900082219040986</v>
          </cell>
          <cell r="K10">
            <v>27.160305883194063</v>
          </cell>
        </row>
        <row r="11">
          <cell r="G11">
            <v>23.4642934039598</v>
          </cell>
          <cell r="H11">
            <v>26.57379005139186</v>
          </cell>
          <cell r="I11">
            <v>27.351399730805994</v>
          </cell>
          <cell r="J11">
            <v>28.340184341080317</v>
          </cell>
          <cell r="K11">
            <v>27.266801164338919</v>
          </cell>
        </row>
        <row r="12">
          <cell r="G12">
            <v>24.762904614902233</v>
          </cell>
          <cell r="H12">
            <v>27.377717480926762</v>
          </cell>
          <cell r="I12">
            <v>27.825705266102652</v>
          </cell>
          <cell r="J12">
            <v>28.801135153412478</v>
          </cell>
          <cell r="K12">
            <v>27.372880699372722</v>
          </cell>
        </row>
        <row r="13">
          <cell r="G13">
            <v>26.359653826986698</v>
          </cell>
          <cell r="H13">
            <v>28.195139476171576</v>
          </cell>
          <cell r="I13">
            <v>28.447626829384497</v>
          </cell>
          <cell r="J13">
            <v>29.273959907273053</v>
          </cell>
          <cell r="K13">
            <v>27.494876976824695</v>
          </cell>
        </row>
        <row r="14">
          <cell r="G14">
            <v>28.250310084045495</v>
          </cell>
          <cell r="H14">
            <v>29.04652746069625</v>
          </cell>
          <cell r="I14">
            <v>29.210533325250537</v>
          </cell>
          <cell r="J14">
            <v>29.741162855735471</v>
          </cell>
          <cell r="K14">
            <v>27.600611101450955</v>
          </cell>
        </row>
        <row r="15">
          <cell r="G15">
            <v>28.778008231290251</v>
          </cell>
          <cell r="H15">
            <v>29.210486539098657</v>
          </cell>
          <cell r="I15">
            <v>29.479556814452479</v>
          </cell>
          <cell r="J15">
            <v>29.529453828899932</v>
          </cell>
          <cell r="K15">
            <v>27.475056121988686</v>
          </cell>
        </row>
        <row r="16">
          <cell r="G16">
            <v>29.579486063903531</v>
          </cell>
          <cell r="H16">
            <v>29.321834307252974</v>
          </cell>
          <cell r="I16">
            <v>29.839686661141069</v>
          </cell>
          <cell r="J16">
            <v>29.29765715298231</v>
          </cell>
          <cell r="K16">
            <v>27.352408241793402</v>
          </cell>
        </row>
        <row r="17">
          <cell r="G17">
            <v>30.13312019551374</v>
          </cell>
          <cell r="H17">
            <v>29.428735839586654</v>
          </cell>
          <cell r="I17">
            <v>30.110099754436682</v>
          </cell>
          <cell r="J17">
            <v>29.048040581734348</v>
          </cell>
          <cell r="K17">
            <v>27.209385016413158</v>
          </cell>
        </row>
        <row r="18">
          <cell r="G18">
            <v>30.39367516460818</v>
          </cell>
          <cell r="H18">
            <v>29.463242661236762</v>
          </cell>
          <cell r="I18">
            <v>30.274781051125291</v>
          </cell>
          <cell r="J18">
            <v>28.790795254054711</v>
          </cell>
          <cell r="K18">
            <v>27.063479946310167</v>
          </cell>
        </row>
        <row r="19">
          <cell r="G19">
            <v>30.302768657546391</v>
          </cell>
          <cell r="H19">
            <v>29.559152665759548</v>
          </cell>
          <cell r="I19">
            <v>30.333984655454646</v>
          </cell>
          <cell r="J19">
            <v>28.537178697188345</v>
          </cell>
          <cell r="K19">
            <v>26.910361211708018</v>
          </cell>
        </row>
        <row r="20">
          <cell r="G20">
            <v>29.910233629240398</v>
          </cell>
          <cell r="H20">
            <v>29.70821853475319</v>
          </cell>
          <cell r="I20">
            <v>30.262781657972759</v>
          </cell>
          <cell r="J20">
            <v>28.308223180277732</v>
          </cell>
          <cell r="K20">
            <v>26.767147205292723</v>
          </cell>
        </row>
      </sheetData>
      <sheetData sheetId="4">
        <row r="8">
          <cell r="G8">
            <v>18.593684958310792</v>
          </cell>
          <cell r="H8">
            <v>22.027772748806633</v>
          </cell>
          <cell r="I8">
            <v>23.991458220069038</v>
          </cell>
          <cell r="J8">
            <v>24.546794783058257</v>
          </cell>
          <cell r="K8">
            <v>24.536581078545492</v>
          </cell>
        </row>
        <row r="9">
          <cell r="G9">
            <v>19.640736292640337</v>
          </cell>
          <cell r="H9">
            <v>22.739332923375287</v>
          </cell>
          <cell r="I9">
            <v>24.36142365821334</v>
          </cell>
          <cell r="J9">
            <v>24.956336827398914</v>
          </cell>
          <cell r="K9">
            <v>24.626816314640234</v>
          </cell>
        </row>
        <row r="10">
          <cell r="G10">
            <v>20.384768130957596</v>
          </cell>
          <cell r="H10">
            <v>23.487649210083955</v>
          </cell>
          <cell r="I10">
            <v>24.567447924293326</v>
          </cell>
          <cell r="J10">
            <v>25.390910171377772</v>
          </cell>
          <cell r="K10">
            <v>24.730776555151529</v>
          </cell>
        </row>
        <row r="11">
          <cell r="G11">
            <v>21.17717091121763</v>
          </cell>
          <cell r="H11">
            <v>24.161942419798709</v>
          </cell>
          <cell r="I11">
            <v>24.826998244865752</v>
          </cell>
          <cell r="J11">
            <v>25.789377387627631</v>
          </cell>
          <cell r="K11">
            <v>24.827116471749463</v>
          </cell>
        </row>
        <row r="12">
          <cell r="G12">
            <v>22.084515465225394</v>
          </cell>
          <cell r="H12">
            <v>24.904041187900607</v>
          </cell>
          <cell r="I12">
            <v>25.151271580384151</v>
          </cell>
          <cell r="J12">
            <v>26.216738551145294</v>
          </cell>
          <cell r="K12">
            <v>24.928763379499042</v>
          </cell>
        </row>
        <row r="13">
          <cell r="G13">
            <v>23.279509868002098</v>
          </cell>
          <cell r="H13">
            <v>25.669773138612523</v>
          </cell>
          <cell r="I13">
            <v>25.628546672119924</v>
          </cell>
          <cell r="J13">
            <v>26.657163864547631</v>
          </cell>
          <cell r="K13">
            <v>25.044586492540216</v>
          </cell>
        </row>
        <row r="14">
          <cell r="G14">
            <v>24.916096349946713</v>
          </cell>
          <cell r="H14">
            <v>26.463031871269497</v>
          </cell>
          <cell r="I14">
            <v>26.306302943841018</v>
          </cell>
          <cell r="J14">
            <v>27.085986078676267</v>
          </cell>
          <cell r="K14">
            <v>25.143182433934822</v>
          </cell>
        </row>
        <row r="15">
          <cell r="G15">
            <v>25.520193097622851</v>
          </cell>
          <cell r="H15">
            <v>26.608311404621688</v>
          </cell>
          <cell r="I15">
            <v>26.602512822490556</v>
          </cell>
          <cell r="J15">
            <v>26.892900753734132</v>
          </cell>
          <cell r="K15">
            <v>25.03093655103676</v>
          </cell>
        </row>
        <row r="16">
          <cell r="G16">
            <v>26.680451191610629</v>
          </cell>
          <cell r="H16">
            <v>26.69736572752354</v>
          </cell>
          <cell r="I16">
            <v>27.091077426689367</v>
          </cell>
          <cell r="J16">
            <v>26.683174198288572</v>
          </cell>
          <cell r="K16">
            <v>24.921693756143128</v>
          </cell>
        </row>
        <row r="17">
          <cell r="G17">
            <v>27.649092692696982</v>
          </cell>
          <cell r="H17">
            <v>26.799836999854104</v>
          </cell>
          <cell r="I17">
            <v>27.487270317470465</v>
          </cell>
          <cell r="J17">
            <v>26.456557461183809</v>
          </cell>
          <cell r="K17">
            <v>24.793721322653507</v>
          </cell>
        </row>
        <row r="18">
          <cell r="G18">
            <v>28.359936350427169</v>
          </cell>
          <cell r="H18">
            <v>26.840025919420704</v>
          </cell>
          <cell r="I18">
            <v>27.784441715914134</v>
          </cell>
          <cell r="J18">
            <v>26.228379578859567</v>
          </cell>
          <cell r="K18">
            <v>24.664626155889927</v>
          </cell>
        </row>
        <row r="19">
          <cell r="G19">
            <v>28.687220464673253</v>
          </cell>
          <cell r="H19">
            <v>26.93502339512267</v>
          </cell>
          <cell r="I19">
            <v>27.96026159756477</v>
          </cell>
          <cell r="J19">
            <v>25.999369107980293</v>
          </cell>
          <cell r="K19">
            <v>24.52805712389998</v>
          </cell>
        </row>
        <row r="20">
          <cell r="G20">
            <v>28.311536507611436</v>
          </cell>
          <cell r="H20">
            <v>27.059522160203819</v>
          </cell>
          <cell r="I20">
            <v>27.892327484467593</v>
          </cell>
          <cell r="J20">
            <v>25.786407847431001</v>
          </cell>
          <cell r="K20">
            <v>24.39747560454698</v>
          </cell>
        </row>
      </sheetData>
      <sheetData sheetId="5">
        <row r="8">
          <cell r="G8">
            <v>12.742235863811061</v>
          </cell>
          <cell r="H8">
            <v>13.086301570399939</v>
          </cell>
          <cell r="I8">
            <v>12.998083192327588</v>
          </cell>
          <cell r="J8">
            <v>13.229600341620563</v>
          </cell>
          <cell r="K8">
            <v>13.45986420865675</v>
          </cell>
        </row>
        <row r="9">
          <cell r="G9">
            <v>12.957134965079618</v>
          </cell>
          <cell r="H9">
            <v>13.094047163115709</v>
          </cell>
          <cell r="I9">
            <v>13.090301792158485</v>
          </cell>
          <cell r="J9">
            <v>13.256377436638484</v>
          </cell>
          <cell r="K9">
            <v>13.488383709660933</v>
          </cell>
        </row>
        <row r="10">
          <cell r="G10">
            <v>13.220150765648398</v>
          </cell>
          <cell r="H10">
            <v>13.11065840901907</v>
          </cell>
          <cell r="I10">
            <v>13.206925030979898</v>
          </cell>
          <cell r="J10">
            <v>13.294415109619882</v>
          </cell>
          <cell r="K10">
            <v>13.527467303076328</v>
          </cell>
        </row>
        <row r="11">
          <cell r="G11">
            <v>13.377798809736133</v>
          </cell>
          <cell r="H11">
            <v>13.123339672515977</v>
          </cell>
          <cell r="I11">
            <v>13.3082490013088</v>
          </cell>
          <cell r="J11">
            <v>13.328537746311467</v>
          </cell>
          <cell r="K11">
            <v>13.560591375159024</v>
          </cell>
        </row>
        <row r="12">
          <cell r="G12">
            <v>13.438349840086445</v>
          </cell>
          <cell r="H12">
            <v>13.108098917144469</v>
          </cell>
          <cell r="I12">
            <v>13.350293834935657</v>
          </cell>
          <cell r="J12">
            <v>13.342596925537048</v>
          </cell>
          <cell r="K12">
            <v>13.58242279924402</v>
          </cell>
        </row>
        <row r="13">
          <cell r="G13">
            <v>13.436619743095635</v>
          </cell>
          <cell r="H13">
            <v>13.101411214755746</v>
          </cell>
          <cell r="I13">
            <v>13.370865914317003</v>
          </cell>
          <cell r="J13">
            <v>13.365827225317268</v>
          </cell>
          <cell r="K13">
            <v>13.611317477444837</v>
          </cell>
        </row>
        <row r="14">
          <cell r="G14">
            <v>13.392154445591206</v>
          </cell>
          <cell r="H14">
            <v>13.118503460342442</v>
          </cell>
          <cell r="I14">
            <v>13.379409683995954</v>
          </cell>
          <cell r="J14">
            <v>13.401317616994501</v>
          </cell>
          <cell r="K14">
            <v>13.649175570101757</v>
          </cell>
        </row>
        <row r="15">
          <cell r="G15">
            <v>13.222486053071576</v>
          </cell>
          <cell r="H15">
            <v>13.155086691979866</v>
          </cell>
          <cell r="I15">
            <v>13.351857555977265</v>
          </cell>
          <cell r="J15">
            <v>13.437062500071168</v>
          </cell>
          <cell r="K15">
            <v>13.696863858069346</v>
          </cell>
        </row>
        <row r="16">
          <cell r="G16">
            <v>12.997511351025548</v>
          </cell>
          <cell r="H16">
            <v>13.200182068500505</v>
          </cell>
          <cell r="I16">
            <v>13.319705044485307</v>
          </cell>
          <cell r="J16">
            <v>13.492937297040122</v>
          </cell>
          <cell r="K16">
            <v>13.756653838483874</v>
          </cell>
        </row>
        <row r="17">
          <cell r="G17">
            <v>12.832968109798616</v>
          </cell>
          <cell r="H17">
            <v>13.271054631362217</v>
          </cell>
          <cell r="I17">
            <v>13.310672848917726</v>
          </cell>
          <cell r="J17">
            <v>13.556976413322783</v>
          </cell>
          <cell r="K17">
            <v>13.820070950290836</v>
          </cell>
        </row>
        <row r="18">
          <cell r="G18">
            <v>12.723172905105699</v>
          </cell>
          <cell r="H18">
            <v>13.302921449807952</v>
          </cell>
          <cell r="I18">
            <v>13.307407619018987</v>
          </cell>
          <cell r="J18">
            <v>13.588640258189805</v>
          </cell>
          <cell r="K18">
            <v>13.856650117967916</v>
          </cell>
        </row>
        <row r="19">
          <cell r="G19">
            <v>12.706796679689409</v>
          </cell>
          <cell r="H19">
            <v>13.335387531464203</v>
          </cell>
          <cell r="I19">
            <v>13.339632777846569</v>
          </cell>
          <cell r="J19">
            <v>13.616284502146637</v>
          </cell>
          <cell r="K19">
            <v>13.887944754456242</v>
          </cell>
        </row>
        <row r="20">
          <cell r="G20">
            <v>12.810564840053503</v>
          </cell>
          <cell r="H20">
            <v>13.372673264363831</v>
          </cell>
          <cell r="I20">
            <v>13.404607235123704</v>
          </cell>
          <cell r="J20">
            <v>13.646164533141768</v>
          </cell>
          <cell r="K20">
            <v>13.921342921037875</v>
          </cell>
        </row>
      </sheetData>
      <sheetData sheetId="6">
        <row r="8">
          <cell r="G8">
            <v>37.911967480482559</v>
          </cell>
          <cell r="H8">
            <v>32.907204426654843</v>
          </cell>
          <cell r="I8">
            <v>31.592556917975319</v>
          </cell>
          <cell r="J8">
            <v>31.428582019858112</v>
          </cell>
          <cell r="K8">
            <v>30.920331589020513</v>
          </cell>
        </row>
        <row r="9">
          <cell r="G9">
            <v>36.037057753338644</v>
          </cell>
          <cell r="H9">
            <v>32.094414794654419</v>
          </cell>
          <cell r="I9">
            <v>31.185068887747306</v>
          </cell>
          <cell r="J9">
            <v>31.137701883545656</v>
          </cell>
          <cell r="K9">
            <v>30.635432765311901</v>
          </cell>
        </row>
        <row r="10">
          <cell r="G10">
            <v>34.368336613454709</v>
          </cell>
          <cell r="H10">
            <v>31.350552459882582</v>
          </cell>
          <cell r="I10">
            <v>30.810099217935019</v>
          </cell>
          <cell r="J10">
            <v>30.912668914755148</v>
          </cell>
          <cell r="K10">
            <v>30.38736045487806</v>
          </cell>
        </row>
        <row r="11">
          <cell r="G11">
            <v>32.719911099794643</v>
          </cell>
          <cell r="H11">
            <v>30.692770571670355</v>
          </cell>
          <cell r="I11">
            <v>30.45687744182904</v>
          </cell>
          <cell r="J11">
            <v>30.714170658541533</v>
          </cell>
          <cell r="K11">
            <v>30.169580786368069</v>
          </cell>
        </row>
        <row r="12">
          <cell r="G12">
            <v>31.009983851349418</v>
          </cell>
          <cell r="H12">
            <v>29.922387880966316</v>
          </cell>
          <cell r="I12">
            <v>29.988243004315478</v>
          </cell>
          <cell r="J12">
            <v>30.471516903784206</v>
          </cell>
          <cell r="K12">
            <v>29.909010248216703</v>
          </cell>
        </row>
        <row r="13">
          <cell r="G13">
            <v>29.622771690008335</v>
          </cell>
          <cell r="H13">
            <v>29.210067088383937</v>
          </cell>
          <cell r="I13">
            <v>29.670825169473364</v>
          </cell>
          <cell r="J13">
            <v>30.248726262482496</v>
          </cell>
          <cell r="K13">
            <v>29.664992353780022</v>
          </cell>
        </row>
        <row r="14">
          <cell r="G14">
            <v>28.206257128458695</v>
          </cell>
          <cell r="H14">
            <v>28.550450219661069</v>
          </cell>
          <cell r="I14">
            <v>29.368690777375743</v>
          </cell>
          <cell r="J14">
            <v>30.039349177243732</v>
          </cell>
          <cell r="K14">
            <v>29.418806381185703</v>
          </cell>
        </row>
        <row r="15">
          <cell r="G15">
            <v>28.346883244856333</v>
          </cell>
          <cell r="H15">
            <v>28.819817676079602</v>
          </cell>
          <cell r="I15">
            <v>29.564757380286331</v>
          </cell>
          <cell r="J15">
            <v>30.036718838692366</v>
          </cell>
          <cell r="K15">
            <v>29.446218688854504</v>
          </cell>
        </row>
        <row r="16">
          <cell r="G16">
            <v>28.404984025791407</v>
          </cell>
          <cell r="H16">
            <v>29.051580819876364</v>
          </cell>
          <cell r="I16">
            <v>29.781731271296533</v>
          </cell>
          <cell r="J16">
            <v>30.027509048505706</v>
          </cell>
          <cell r="K16">
            <v>29.480849303393338</v>
          </cell>
        </row>
        <row r="17">
          <cell r="G17">
            <v>28.596121868776269</v>
          </cell>
          <cell r="H17">
            <v>29.305603354469572</v>
          </cell>
          <cell r="I17">
            <v>30.033038662022335</v>
          </cell>
          <cell r="J17">
            <v>30.019632928759691</v>
          </cell>
          <cell r="K17">
            <v>29.513191489908355</v>
          </cell>
        </row>
        <row r="18">
          <cell r="G18">
            <v>28.778460673607682</v>
          </cell>
          <cell r="H18">
            <v>29.464946516989965</v>
          </cell>
          <cell r="I18">
            <v>30.286208973283134</v>
          </cell>
          <cell r="J18">
            <v>29.970024838171931</v>
          </cell>
          <cell r="K18">
            <v>29.516417078228308</v>
          </cell>
        </row>
        <row r="19">
          <cell r="G19">
            <v>28.772391254593447</v>
          </cell>
          <cell r="H19">
            <v>29.695535844505262</v>
          </cell>
          <cell r="I19">
            <v>30.46543774091667</v>
          </cell>
          <cell r="J19">
            <v>29.953077810808832</v>
          </cell>
          <cell r="K19">
            <v>29.532457196770249</v>
          </cell>
        </row>
        <row r="20">
          <cell r="G20">
            <v>28.912297895238108</v>
          </cell>
          <cell r="H20">
            <v>29.96286831826129</v>
          </cell>
          <cell r="I20">
            <v>30.668198200172775</v>
          </cell>
          <cell r="J20">
            <v>29.936512654693054</v>
          </cell>
          <cell r="K20">
            <v>29.535007986890548</v>
          </cell>
        </row>
      </sheetData>
      <sheetData sheetId="7">
        <row r="8">
          <cell r="G8">
            <v>36.390348396275655</v>
          </cell>
          <cell r="H8">
            <v>30.552348134911391</v>
          </cell>
          <cell r="I8">
            <v>29.667965381749269</v>
          </cell>
          <cell r="J8">
            <v>29.227584904742159</v>
          </cell>
          <cell r="K8">
            <v>28.792195642388233</v>
          </cell>
        </row>
        <row r="9">
          <cell r="G9">
            <v>34.493738161879193</v>
          </cell>
          <cell r="H9">
            <v>29.857658317624267</v>
          </cell>
          <cell r="I9">
            <v>29.247992859713094</v>
          </cell>
          <cell r="J9">
            <v>29.003797168474918</v>
          </cell>
          <cell r="K9">
            <v>28.558882355833358</v>
          </cell>
        </row>
        <row r="10">
          <cell r="G10">
            <v>32.290225632322169</v>
          </cell>
          <cell r="H10">
            <v>29.162463075238531</v>
          </cell>
          <cell r="I10">
            <v>28.749056922823897</v>
          </cell>
          <cell r="J10">
            <v>28.793645708536832</v>
          </cell>
          <cell r="K10">
            <v>28.324408879624297</v>
          </cell>
        </row>
        <row r="11">
          <cell r="G11">
            <v>30.213858571003275</v>
          </cell>
          <cell r="H11">
            <v>28.534181275880396</v>
          </cell>
          <cell r="I11">
            <v>28.265821706374865</v>
          </cell>
          <cell r="J11">
            <v>28.602965636183107</v>
          </cell>
          <cell r="K11">
            <v>28.113023678926805</v>
          </cell>
        </row>
        <row r="12">
          <cell r="G12">
            <v>28.301858128048497</v>
          </cell>
          <cell r="H12">
            <v>27.823965995126088</v>
          </cell>
          <cell r="I12">
            <v>27.734226910299093</v>
          </cell>
          <cell r="J12">
            <v>28.377168803273452</v>
          </cell>
          <cell r="K12">
            <v>27.867664643615349</v>
          </cell>
        </row>
        <row r="13">
          <cell r="G13">
            <v>26.735028178738549</v>
          </cell>
          <cell r="H13">
            <v>27.161553321924242</v>
          </cell>
          <cell r="I13">
            <v>27.330378000976197</v>
          </cell>
          <cell r="J13">
            <v>28.174536084862492</v>
          </cell>
          <cell r="K13">
            <v>27.642437671308457</v>
          </cell>
        </row>
        <row r="14">
          <cell r="G14">
            <v>25.493367947664193</v>
          </cell>
          <cell r="H14">
            <v>26.54653871797678</v>
          </cell>
          <cell r="I14">
            <v>27.065495497813263</v>
          </cell>
          <cell r="J14">
            <v>27.980206397529361</v>
          </cell>
          <cell r="K14">
            <v>27.412676748260676</v>
          </cell>
        </row>
        <row r="15">
          <cell r="G15">
            <v>25.753344655412597</v>
          </cell>
          <cell r="H15">
            <v>26.780723148815699</v>
          </cell>
          <cell r="I15">
            <v>27.319924735370183</v>
          </cell>
          <cell r="J15">
            <v>27.970780369832845</v>
          </cell>
          <cell r="K15">
            <v>27.438025499990019</v>
          </cell>
        </row>
        <row r="16">
          <cell r="G16">
            <v>26.179833773213844</v>
          </cell>
          <cell r="H16">
            <v>27.01710672475674</v>
          </cell>
          <cell r="I16">
            <v>27.664150372565512</v>
          </cell>
          <cell r="J16">
            <v>27.973160422326732</v>
          </cell>
          <cell r="K16">
            <v>27.478727783683802</v>
          </cell>
        </row>
        <row r="17">
          <cell r="G17">
            <v>26.756110734672415</v>
          </cell>
          <cell r="H17">
            <v>27.261793825789876</v>
          </cell>
          <cell r="I17">
            <v>28.045847353943262</v>
          </cell>
          <cell r="J17">
            <v>27.970192354101659</v>
          </cell>
          <cell r="K17">
            <v>27.51350928975042</v>
          </cell>
        </row>
        <row r="18">
          <cell r="G18">
            <v>27.290164367677445</v>
          </cell>
          <cell r="H18">
            <v>27.434476493907237</v>
          </cell>
          <cell r="I18">
            <v>28.404167880553423</v>
          </cell>
          <cell r="J18">
            <v>27.936141062385456</v>
          </cell>
          <cell r="K18">
            <v>27.527443547162953</v>
          </cell>
        </row>
        <row r="19">
          <cell r="G19">
            <v>27.660700485378833</v>
          </cell>
          <cell r="H19">
            <v>27.65135409644386</v>
          </cell>
          <cell r="I19">
            <v>28.706246967114293</v>
          </cell>
          <cell r="J19">
            <v>27.922484009817413</v>
          </cell>
          <cell r="K19">
            <v>27.546184690768374</v>
          </cell>
        </row>
        <row r="20">
          <cell r="G20">
            <v>27.76232530663103</v>
          </cell>
          <cell r="H20">
            <v>27.905837318558316</v>
          </cell>
          <cell r="I20">
            <v>28.887151557938257</v>
          </cell>
          <cell r="J20">
            <v>27.914217340154785</v>
          </cell>
          <cell r="K20">
            <v>27.55928531683864</v>
          </cell>
        </row>
      </sheetData>
      <sheetData sheetId="8">
        <row r="8">
          <cell r="G8">
            <v>32.531504822742875</v>
          </cell>
          <cell r="H8">
            <v>28.022377691610934</v>
          </cell>
          <cell r="I8">
            <v>27.244206333865169</v>
          </cell>
          <cell r="J8">
            <v>26.979142857398685</v>
          </cell>
          <cell r="K8">
            <v>26.667168417733826</v>
          </cell>
        </row>
        <row r="9">
          <cell r="G9">
            <v>31.316043328101546</v>
          </cell>
          <cell r="H9">
            <v>27.516274839801387</v>
          </cell>
          <cell r="I9">
            <v>27.000287951641649</v>
          </cell>
          <cell r="J9">
            <v>26.820977142855874</v>
          </cell>
          <cell r="K9">
            <v>26.490554275292148</v>
          </cell>
        </row>
        <row r="10">
          <cell r="G10">
            <v>29.656526447882623</v>
          </cell>
          <cell r="H10">
            <v>26.93829818705386</v>
          </cell>
          <cell r="I10">
            <v>26.628940024965807</v>
          </cell>
          <cell r="J10">
            <v>26.648906457971492</v>
          </cell>
          <cell r="K10">
            <v>26.302392569731456</v>
          </cell>
        </row>
        <row r="11">
          <cell r="G11">
            <v>28.093478252232845</v>
          </cell>
          <cell r="H11">
            <v>26.419739515102904</v>
          </cell>
          <cell r="I11">
            <v>26.282942904061702</v>
          </cell>
          <cell r="J11">
            <v>26.498880292355043</v>
          </cell>
          <cell r="K11">
            <v>26.134675683112366</v>
          </cell>
        </row>
        <row r="12">
          <cell r="G12">
            <v>26.627702961211774</v>
          </cell>
          <cell r="H12">
            <v>25.835924342551579</v>
          </cell>
          <cell r="I12">
            <v>25.895933528243173</v>
          </cell>
          <cell r="J12">
            <v>26.322525981526958</v>
          </cell>
          <cell r="K12">
            <v>25.940673431967319</v>
          </cell>
        </row>
        <row r="13">
          <cell r="G13">
            <v>25.285349660205672</v>
          </cell>
          <cell r="H13">
            <v>25.283637377088535</v>
          </cell>
          <cell r="I13">
            <v>25.569658667941184</v>
          </cell>
          <cell r="J13">
            <v>26.154630556101239</v>
          </cell>
          <cell r="K13">
            <v>25.753901698258581</v>
          </cell>
        </row>
        <row r="14">
          <cell r="G14">
            <v>23.992278990936821</v>
          </cell>
          <cell r="H14">
            <v>24.743759180248642</v>
          </cell>
          <cell r="I14">
            <v>25.261644352571793</v>
          </cell>
          <cell r="J14">
            <v>25.98987760931886</v>
          </cell>
          <cell r="K14">
            <v>25.565120752144374</v>
          </cell>
        </row>
        <row r="15">
          <cell r="G15">
            <v>24.132496059728645</v>
          </cell>
          <cell r="H15">
            <v>24.96488665791184</v>
          </cell>
          <cell r="I15">
            <v>25.436797955054818</v>
          </cell>
          <cell r="J15">
            <v>25.996238749681609</v>
          </cell>
          <cell r="K15">
            <v>25.596249174746358</v>
          </cell>
        </row>
        <row r="16">
          <cell r="G16">
            <v>24.380771672199945</v>
          </cell>
          <cell r="H16">
            <v>25.15911894498884</v>
          </cell>
          <cell r="I16">
            <v>25.6864996239166</v>
          </cell>
          <cell r="J16">
            <v>25.995144241670953</v>
          </cell>
          <cell r="K16">
            <v>25.630627986065846</v>
          </cell>
        </row>
        <row r="17">
          <cell r="G17">
            <v>24.712158132854139</v>
          </cell>
          <cell r="H17">
            <v>25.367064810598805</v>
          </cell>
          <cell r="I17">
            <v>25.960828272944703</v>
          </cell>
          <cell r="J17">
            <v>26.007558975461365</v>
          </cell>
          <cell r="K17">
            <v>25.671875035051773</v>
          </cell>
        </row>
        <row r="18">
          <cell r="G18">
            <v>25.001603434895415</v>
          </cell>
          <cell r="H18">
            <v>25.52032113326436</v>
          </cell>
          <cell r="I18">
            <v>26.217198894513405</v>
          </cell>
          <cell r="J18">
            <v>25.988168728034413</v>
          </cell>
          <cell r="K18">
            <v>25.688741878067098</v>
          </cell>
        </row>
        <row r="19">
          <cell r="G19">
            <v>25.281751062002449</v>
          </cell>
          <cell r="H19">
            <v>25.718763221194717</v>
          </cell>
          <cell r="I19">
            <v>26.463452065938355</v>
          </cell>
          <cell r="J19">
            <v>25.983282965485731</v>
          </cell>
          <cell r="K19">
            <v>25.7124599849835</v>
          </cell>
        </row>
        <row r="20">
          <cell r="G20">
            <v>25.588211654319579</v>
          </cell>
          <cell r="H20">
            <v>25.933486764441309</v>
          </cell>
          <cell r="I20">
            <v>26.707323756214439</v>
          </cell>
          <cell r="J20">
            <v>25.988404928976212</v>
          </cell>
          <cell r="K20">
            <v>25.722358652651163</v>
          </cell>
        </row>
      </sheetData>
      <sheetData sheetId="9">
        <row r="8">
          <cell r="G8">
            <v>16.613969715122025</v>
          </cell>
          <cell r="H8">
            <v>21.048591229397449</v>
          </cell>
          <cell r="I8">
            <v>22.69181130446017</v>
          </cell>
          <cell r="J8">
            <v>23.715474011578458</v>
          </cell>
          <cell r="K8">
            <v>23.74504697448117</v>
          </cell>
        </row>
        <row r="9">
          <cell r="G9">
            <v>18.105803632969895</v>
          </cell>
          <cell r="H9">
            <v>21.800918390458687</v>
          </cell>
          <cell r="I9">
            <v>23.269995163436857</v>
          </cell>
          <cell r="J9">
            <v>24.155865485419294</v>
          </cell>
          <cell r="K9">
            <v>23.845033163516977</v>
          </cell>
        </row>
        <row r="10">
          <cell r="G10">
            <v>19.610206266953313</v>
          </cell>
          <cell r="H10">
            <v>22.575641362640898</v>
          </cell>
          <cell r="I10">
            <v>23.80762821712095</v>
          </cell>
          <cell r="J10">
            <v>24.614865994702395</v>
          </cell>
          <cell r="K10">
            <v>23.961268628307039</v>
          </cell>
        </row>
        <row r="11">
          <cell r="G11">
            <v>21.029120577385598</v>
          </cell>
          <cell r="H11">
            <v>23.275208750057637</v>
          </cell>
          <cell r="I11">
            <v>24.332962737131073</v>
          </cell>
          <cell r="J11">
            <v>25.030594574773112</v>
          </cell>
          <cell r="K11">
            <v>24.066149142973995</v>
          </cell>
        </row>
        <row r="12">
          <cell r="G12">
            <v>22.386283577262894</v>
          </cell>
          <cell r="H12">
            <v>24.037375721699515</v>
          </cell>
          <cell r="I12">
            <v>24.853341158933869</v>
          </cell>
          <cell r="J12">
            <v>25.476342225872266</v>
          </cell>
          <cell r="K12">
            <v>24.175006153198204</v>
          </cell>
        </row>
        <row r="13">
          <cell r="G13">
            <v>23.689224030719469</v>
          </cell>
          <cell r="H13">
            <v>24.788559391451685</v>
          </cell>
          <cell r="I13">
            <v>25.372175510761899</v>
          </cell>
          <cell r="J13">
            <v>25.918061877434578</v>
          </cell>
          <cell r="K13">
            <v>24.289159734572902</v>
          </cell>
        </row>
        <row r="14">
          <cell r="G14">
            <v>25.048901671554692</v>
          </cell>
          <cell r="H14">
            <v>25.568499427372476</v>
          </cell>
          <cell r="I14">
            <v>25.918850116734571</v>
          </cell>
          <cell r="J14">
            <v>26.368766707757434</v>
          </cell>
          <cell r="K14">
            <v>24.398950865162409</v>
          </cell>
        </row>
        <row r="15">
          <cell r="G15">
            <v>25.205504884681062</v>
          </cell>
          <cell r="H15">
            <v>25.753279351168995</v>
          </cell>
          <cell r="I15">
            <v>26.062351808491275</v>
          </cell>
          <cell r="J15">
            <v>26.177868474823232</v>
          </cell>
          <cell r="K15">
            <v>24.285106678708871</v>
          </cell>
        </row>
        <row r="16">
          <cell r="G16">
            <v>25.471145801073352</v>
          </cell>
          <cell r="H16">
            <v>25.884165869302308</v>
          </cell>
          <cell r="I16">
            <v>26.25568446943544</v>
          </cell>
          <cell r="J16">
            <v>25.96837720742413</v>
          </cell>
          <cell r="K16">
            <v>24.168924349519425</v>
          </cell>
        </row>
        <row r="17">
          <cell r="G17">
            <v>25.620420710004499</v>
          </cell>
          <cell r="H17">
            <v>26.02215502187671</v>
          </cell>
          <cell r="I17">
            <v>26.399775826772743</v>
          </cell>
          <cell r="J17">
            <v>25.749041970362192</v>
          </cell>
          <cell r="K17">
            <v>24.045413851176285</v>
          </cell>
        </row>
        <row r="18">
          <cell r="G18">
            <v>25.793049810413272</v>
          </cell>
          <cell r="H18">
            <v>26.125329089439013</v>
          </cell>
          <cell r="I18">
            <v>26.5470295378611</v>
          </cell>
          <cell r="J18">
            <v>25.529805244292483</v>
          </cell>
          <cell r="K18">
            <v>23.922091779211918</v>
          </cell>
        </row>
        <row r="19">
          <cell r="G19">
            <v>26.000033683395905</v>
          </cell>
          <cell r="H19">
            <v>26.254607522319205</v>
          </cell>
          <cell r="I19">
            <v>26.708621202957495</v>
          </cell>
          <cell r="J19">
            <v>25.311256450686649</v>
          </cell>
          <cell r="K19">
            <v>23.793379245195677</v>
          </cell>
        </row>
        <row r="20">
          <cell r="G20">
            <v>26.14208791292695</v>
          </cell>
          <cell r="H20">
            <v>26.374950858547574</v>
          </cell>
          <cell r="I20">
            <v>26.837130108421032</v>
          </cell>
          <cell r="J20">
            <v>25.088256786469543</v>
          </cell>
          <cell r="K20">
            <v>23.660606962677129</v>
          </cell>
        </row>
      </sheetData>
      <sheetData sheetId="10">
        <row r="8">
          <cell r="G8">
            <v>15.03007440489942</v>
          </cell>
          <cell r="H8">
            <v>19.313821589472912</v>
          </cell>
          <cell r="I8">
            <v>20.930194933777326</v>
          </cell>
          <cell r="J8">
            <v>21.909575446121796</v>
          </cell>
          <cell r="K8">
            <v>21.938792435542975</v>
          </cell>
        </row>
        <row r="9">
          <cell r="G9">
            <v>16.468923068763232</v>
          </cell>
          <cell r="H9">
            <v>20.043019968314045</v>
          </cell>
          <cell r="I9">
            <v>21.483254652342829</v>
          </cell>
          <cell r="J9">
            <v>22.334038642481513</v>
          </cell>
          <cell r="K9">
            <v>22.035358649197871</v>
          </cell>
        </row>
        <row r="10">
          <cell r="G10">
            <v>17.935813424721175</v>
          </cell>
          <cell r="H10">
            <v>20.79803419881226</v>
          </cell>
          <cell r="I10">
            <v>22.006090191285509</v>
          </cell>
          <cell r="J10">
            <v>22.783329790436429</v>
          </cell>
          <cell r="K10">
            <v>22.149009198176177</v>
          </cell>
        </row>
        <row r="11">
          <cell r="G11">
            <v>19.325178091821137</v>
          </cell>
          <cell r="H11">
            <v>21.480588407721221</v>
          </cell>
          <cell r="I11">
            <v>22.51975005676675</v>
          </cell>
          <cell r="J11">
            <v>23.188098386394508</v>
          </cell>
          <cell r="K11">
            <v>22.251461244099197</v>
          </cell>
        </row>
        <row r="12">
          <cell r="G12">
            <v>20.627910785920268</v>
          </cell>
          <cell r="H12">
            <v>22.216321824269404</v>
          </cell>
          <cell r="I12">
            <v>23.017970010069657</v>
          </cell>
          <cell r="J12">
            <v>23.615911285822467</v>
          </cell>
          <cell r="K12">
            <v>22.354665421744709</v>
          </cell>
        </row>
        <row r="13">
          <cell r="G13">
            <v>21.865113050886656</v>
          </cell>
          <cell r="H13">
            <v>22.948017141296063</v>
          </cell>
          <cell r="I13">
            <v>23.515346620994315</v>
          </cell>
          <cell r="J13">
            <v>24.04893434764546</v>
          </cell>
          <cell r="K13">
            <v>22.469332381274906</v>
          </cell>
        </row>
        <row r="14">
          <cell r="G14">
            <v>23.152408290428653</v>
          </cell>
          <cell r="H14">
            <v>23.712766171827326</v>
          </cell>
          <cell r="I14">
            <v>24.033832449968539</v>
          </cell>
          <cell r="J14">
            <v>24.489392161707229</v>
          </cell>
          <cell r="K14">
            <v>22.575453176316937</v>
          </cell>
        </row>
        <row r="15">
          <cell r="G15">
            <v>23.322015206957428</v>
          </cell>
          <cell r="H15">
            <v>23.888625925052065</v>
          </cell>
          <cell r="I15">
            <v>24.176402475482472</v>
          </cell>
          <cell r="J15">
            <v>24.300759952908283</v>
          </cell>
          <cell r="K15">
            <v>22.463449576437167</v>
          </cell>
        </row>
        <row r="16">
          <cell r="G16">
            <v>23.576037861632425</v>
          </cell>
          <cell r="H16">
            <v>24.012441775146343</v>
          </cell>
          <cell r="I16">
            <v>24.366007735426525</v>
          </cell>
          <cell r="J16">
            <v>24.102798997411789</v>
          </cell>
          <cell r="K16">
            <v>22.354179728555131</v>
          </cell>
        </row>
        <row r="17">
          <cell r="G17">
            <v>23.713415236615624</v>
          </cell>
          <cell r="H17">
            <v>24.145545822095706</v>
          </cell>
          <cell r="I17">
            <v>24.502670463900387</v>
          </cell>
          <cell r="J17">
            <v>23.883715944029166</v>
          </cell>
          <cell r="K17">
            <v>22.23095902483497</v>
          </cell>
        </row>
        <row r="18">
          <cell r="G18">
            <v>23.8973338837142</v>
          </cell>
          <cell r="H18">
            <v>24.247119670098662</v>
          </cell>
          <cell r="I18">
            <v>24.64788729612253</v>
          </cell>
          <cell r="J18">
            <v>23.670688211938312</v>
          </cell>
          <cell r="K18">
            <v>22.112827707110963</v>
          </cell>
        </row>
        <row r="19">
          <cell r="G19">
            <v>24.141527313015683</v>
          </cell>
          <cell r="H19">
            <v>24.38081293813412</v>
          </cell>
          <cell r="I19">
            <v>24.823646380323279</v>
          </cell>
          <cell r="J19">
            <v>23.464994604829688</v>
          </cell>
          <cell r="K19">
            <v>21.990034646938287</v>
          </cell>
        </row>
        <row r="20">
          <cell r="G20">
            <v>24.335360275086899</v>
          </cell>
          <cell r="H20">
            <v>24.497252098541495</v>
          </cell>
          <cell r="I20">
            <v>24.965617498023569</v>
          </cell>
          <cell r="J20">
            <v>23.245916292648154</v>
          </cell>
          <cell r="K20">
            <v>21.860719606549022</v>
          </cell>
        </row>
      </sheetData>
      <sheetData sheetId="11">
        <row r="8">
          <cell r="G8">
            <v>11.627263791155027</v>
          </cell>
          <cell r="H8">
            <v>15.335286769688913</v>
          </cell>
          <cell r="I8">
            <v>16.361470947879049</v>
          </cell>
          <cell r="J8">
            <v>17.341574012824875</v>
          </cell>
          <cell r="K8">
            <v>17.334417620456573</v>
          </cell>
        </row>
        <row r="9">
          <cell r="G9">
            <v>12.486545302098683</v>
          </cell>
          <cell r="H9">
            <v>15.920473162351081</v>
          </cell>
          <cell r="I9">
            <v>16.707351856554968</v>
          </cell>
          <cell r="J9">
            <v>17.667850999587216</v>
          </cell>
          <cell r="K9">
            <v>17.404010100197638</v>
          </cell>
        </row>
        <row r="10">
          <cell r="G10">
            <v>14.61742878591382</v>
          </cell>
          <cell r="H10">
            <v>16.577647385125836</v>
          </cell>
          <cell r="I10">
            <v>17.53156249733189</v>
          </cell>
          <cell r="J10">
            <v>18.049504830521599</v>
          </cell>
          <cell r="K10">
            <v>17.517697965218552</v>
          </cell>
        </row>
        <row r="11">
          <cell r="G11">
            <v>15.984464045510942</v>
          </cell>
          <cell r="H11">
            <v>17.109947892913183</v>
          </cell>
          <cell r="I11">
            <v>18.041019708325262</v>
          </cell>
          <cell r="J11">
            <v>18.34691850850102</v>
          </cell>
          <cell r="K11">
            <v>17.584673598713518</v>
          </cell>
        </row>
        <row r="12">
          <cell r="G12">
            <v>18.047103801577787</v>
          </cell>
          <cell r="H12">
            <v>17.739411569288912</v>
          </cell>
          <cell r="I12">
            <v>18.829304711453759</v>
          </cell>
          <cell r="J12">
            <v>18.677512210402224</v>
          </cell>
          <cell r="K12">
            <v>17.661938232561489</v>
          </cell>
        </row>
        <row r="13">
          <cell r="G13">
            <v>18.539044062115909</v>
          </cell>
          <cell r="H13">
            <v>18.214908094462633</v>
          </cell>
          <cell r="I13">
            <v>19.071751804321568</v>
          </cell>
          <cell r="J13">
            <v>18.982197524130541</v>
          </cell>
          <cell r="K13">
            <v>17.740723058491458</v>
          </cell>
        </row>
        <row r="14">
          <cell r="G14">
            <v>19.298516555707636</v>
          </cell>
          <cell r="H14">
            <v>18.798021867527208</v>
          </cell>
          <cell r="I14">
            <v>19.329129550795169</v>
          </cell>
          <cell r="J14">
            <v>19.330497451423316</v>
          </cell>
          <cell r="K14">
            <v>17.832947346700404</v>
          </cell>
        </row>
        <row r="15">
          <cell r="G15">
            <v>19.327374055422833</v>
          </cell>
          <cell r="H15">
            <v>18.802111137540592</v>
          </cell>
          <cell r="I15">
            <v>19.384818826158842</v>
          </cell>
          <cell r="J15">
            <v>19.118872469464428</v>
          </cell>
          <cell r="K15">
            <v>17.707323015572317</v>
          </cell>
        </row>
        <row r="16">
          <cell r="G16">
            <v>18.378462440484352</v>
          </cell>
          <cell r="H16">
            <v>18.919298164202058</v>
          </cell>
          <cell r="I16">
            <v>19.128838820493808</v>
          </cell>
          <cell r="J16">
            <v>18.975217997384775</v>
          </cell>
          <cell r="K16">
            <v>17.618535558156132</v>
          </cell>
        </row>
        <row r="17">
          <cell r="G17">
            <v>18.085687307075482</v>
          </cell>
          <cell r="H17">
            <v>18.989067235944752</v>
          </cell>
          <cell r="I17">
            <v>19.05797796445276</v>
          </cell>
          <cell r="J17">
            <v>18.775044464585605</v>
          </cell>
          <cell r="K17">
            <v>17.48907786660553</v>
          </cell>
        </row>
        <row r="18">
          <cell r="G18">
            <v>17.515316311222534</v>
          </cell>
          <cell r="H18">
            <v>19.157647819215221</v>
          </cell>
          <cell r="I18">
            <v>18.844867873413982</v>
          </cell>
          <cell r="J18">
            <v>18.641499031849069</v>
          </cell>
          <cell r="K18">
            <v>17.417306436848641</v>
          </cell>
        </row>
        <row r="19">
          <cell r="G19">
            <v>17.933743934695418</v>
          </cell>
          <cell r="H19">
            <v>19.320929787558271</v>
          </cell>
          <cell r="I19">
            <v>19.116353599023917</v>
          </cell>
          <cell r="J19">
            <v>18.517401819898584</v>
          </cell>
          <cell r="K19">
            <v>17.337924214249139</v>
          </cell>
        </row>
        <row r="20">
          <cell r="G20">
            <v>18.333190501688225</v>
          </cell>
          <cell r="H20">
            <v>19.343897598859911</v>
          </cell>
          <cell r="I20">
            <v>19.340639641909632</v>
          </cell>
          <cell r="J20">
            <v>18.33081847886665</v>
          </cell>
          <cell r="K20">
            <v>17.229284663819293</v>
          </cell>
        </row>
      </sheetData>
      <sheetData sheetId="12">
        <row r="8">
          <cell r="G8">
            <v>41.770935761937316</v>
          </cell>
          <cell r="H8">
            <v>35.06665308603602</v>
          </cell>
          <cell r="I8">
            <v>33.966923247331643</v>
          </cell>
          <cell r="J8">
            <v>33.290139237439213</v>
          </cell>
          <cell r="K8">
            <v>32.562777451861152</v>
          </cell>
        </row>
        <row r="9">
          <cell r="G9">
            <v>39.029428134009351</v>
          </cell>
          <cell r="H9">
            <v>34.277451002085577</v>
          </cell>
          <cell r="I9">
            <v>33.335571607550094</v>
          </cell>
          <cell r="J9">
            <v>32.994985363970784</v>
          </cell>
          <cell r="K9">
            <v>32.265711377476684</v>
          </cell>
        </row>
        <row r="10">
          <cell r="G10">
            <v>36.166852662401041</v>
          </cell>
          <cell r="H10">
            <v>33.421234239515947</v>
          </cell>
          <cell r="I10">
            <v>32.587127195699438</v>
          </cell>
          <cell r="J10">
            <v>32.689961933556312</v>
          </cell>
          <cell r="K10">
            <v>31.95725164042161</v>
          </cell>
        </row>
        <row r="11">
          <cell r="G11">
            <v>33.845002650857538</v>
          </cell>
          <cell r="H11">
            <v>32.688928020451144</v>
          </cell>
          <cell r="I11">
            <v>31.990133601255977</v>
          </cell>
          <cell r="J11">
            <v>32.436948189152389</v>
          </cell>
          <cell r="K11">
            <v>31.689372571225544</v>
          </cell>
        </row>
        <row r="12">
          <cell r="G12">
            <v>31.871062439638155</v>
          </cell>
          <cell r="H12">
            <v>31.84545026855351</v>
          </cell>
          <cell r="I12">
            <v>31.376646182402059</v>
          </cell>
          <cell r="J12">
            <v>32.142031275389982</v>
          </cell>
          <cell r="K12">
            <v>31.382589244617701</v>
          </cell>
        </row>
        <row r="13">
          <cell r="G13">
            <v>30.305402903883557</v>
          </cell>
          <cell r="H13">
            <v>31.042698394806152</v>
          </cell>
          <cell r="I13">
            <v>30.936907643183766</v>
          </cell>
          <cell r="J13">
            <v>31.858458199728048</v>
          </cell>
          <cell r="K13">
            <v>31.091047971831262</v>
          </cell>
        </row>
        <row r="14">
          <cell r="G14">
            <v>29.154953252742644</v>
          </cell>
          <cell r="H14">
            <v>30.306469123966686</v>
          </cell>
          <cell r="I14">
            <v>30.699342325003059</v>
          </cell>
          <cell r="J14">
            <v>31.594759103537353</v>
          </cell>
          <cell r="K14">
            <v>30.799690533718621</v>
          </cell>
        </row>
        <row r="15">
          <cell r="G15">
            <v>29.811810631770172</v>
          </cell>
          <cell r="H15">
            <v>30.568763028974505</v>
          </cell>
          <cell r="I15">
            <v>31.070484562893874</v>
          </cell>
          <cell r="J15">
            <v>31.576137280855971</v>
          </cell>
          <cell r="K15">
            <v>30.81821012631589</v>
          </cell>
        </row>
        <row r="16">
          <cell r="G16">
            <v>30.601550576413963</v>
          </cell>
          <cell r="H16">
            <v>30.767567616136038</v>
          </cell>
          <cell r="I16">
            <v>31.511762049659421</v>
          </cell>
          <cell r="J16">
            <v>31.529301638424894</v>
          </cell>
          <cell r="K16">
            <v>30.831519514964672</v>
          </cell>
        </row>
        <row r="17">
          <cell r="G17">
            <v>31.374064561774325</v>
          </cell>
          <cell r="H17">
            <v>30.999398938865944</v>
          </cell>
          <cell r="I17">
            <v>31.928012946006735</v>
          </cell>
          <cell r="J17">
            <v>31.489548894433437</v>
          </cell>
          <cell r="K17">
            <v>30.841783533260028</v>
          </cell>
        </row>
        <row r="18">
          <cell r="G18">
            <v>31.815442744798474</v>
          </cell>
          <cell r="H18">
            <v>31.109808467293689</v>
          </cell>
          <cell r="I18">
            <v>32.241948606803824</v>
          </cell>
          <cell r="J18">
            <v>31.4103205140587</v>
          </cell>
          <cell r="K18">
            <v>30.829699698760582</v>
          </cell>
        </row>
        <row r="19">
          <cell r="G19">
            <v>31.921578896109157</v>
          </cell>
          <cell r="H19">
            <v>31.279925796563077</v>
          </cell>
          <cell r="I19">
            <v>32.437684291685571</v>
          </cell>
          <cell r="J19">
            <v>31.353210802254786</v>
          </cell>
          <cell r="K19">
            <v>30.820414786987111</v>
          </cell>
        </row>
        <row r="20">
          <cell r="G20">
            <v>31.615105177988767</v>
          </cell>
          <cell r="H20">
            <v>31.518019167619666</v>
          </cell>
          <cell r="I20">
            <v>32.474275911186801</v>
          </cell>
          <cell r="J20">
            <v>31.315395382323402</v>
          </cell>
          <cell r="K20">
            <v>30.805524968620215</v>
          </cell>
        </row>
      </sheetData>
      <sheetData sheetId="13">
        <row r="8">
          <cell r="G8">
            <v>16.43553641734912</v>
          </cell>
          <cell r="H8">
            <v>19.97317759976789</v>
          </cell>
          <cell r="I8">
            <v>21.242169377139714</v>
          </cell>
          <cell r="J8">
            <v>21.928752205626733</v>
          </cell>
          <cell r="K8">
            <v>21.839630276429535</v>
          </cell>
        </row>
        <row r="9">
          <cell r="G9">
            <v>17.721493944418768</v>
          </cell>
          <cell r="H9">
            <v>20.577661409816969</v>
          </cell>
          <cell r="I9">
            <v>21.697116477886919</v>
          </cell>
          <cell r="J9">
            <v>22.255134667566978</v>
          </cell>
          <cell r="K9">
            <v>21.914800333895574</v>
          </cell>
        </row>
        <row r="10">
          <cell r="G10">
            <v>18.92333599942954</v>
          </cell>
          <cell r="H10">
            <v>21.203553568480057</v>
          </cell>
          <cell r="I10">
            <v>22.108999188809094</v>
          </cell>
          <cell r="J10">
            <v>22.599445564829516</v>
          </cell>
          <cell r="K10">
            <v>21.99927873650304</v>
          </cell>
        </row>
        <row r="11">
          <cell r="G11">
            <v>19.939382295934291</v>
          </cell>
          <cell r="H11">
            <v>21.760077368438424</v>
          </cell>
          <cell r="I11">
            <v>22.456128542548953</v>
          </cell>
          <cell r="J11">
            <v>22.906832898099349</v>
          </cell>
          <cell r="K11">
            <v>22.074237373286852</v>
          </cell>
        </row>
        <row r="12">
          <cell r="G12">
            <v>21.031454794473404</v>
          </cell>
          <cell r="H12">
            <v>22.370425646802282</v>
          </cell>
          <cell r="I12">
            <v>22.854416453872695</v>
          </cell>
          <cell r="J12">
            <v>23.232828470682374</v>
          </cell>
          <cell r="K12">
            <v>22.147460975343151</v>
          </cell>
        </row>
        <row r="13">
          <cell r="G13">
            <v>22.169879831114311</v>
          </cell>
          <cell r="H13">
            <v>22.962299357127641</v>
          </cell>
          <cell r="I13">
            <v>23.277072638964359</v>
          </cell>
          <cell r="J13">
            <v>23.561417231441762</v>
          </cell>
          <cell r="K13">
            <v>22.228964086430413</v>
          </cell>
        </row>
        <row r="14">
          <cell r="G14">
            <v>23.336374739111218</v>
          </cell>
          <cell r="H14">
            <v>23.586037547404189</v>
          </cell>
          <cell r="I14">
            <v>23.69807948525246</v>
          </cell>
          <cell r="J14">
            <v>23.884493379415641</v>
          </cell>
          <cell r="K14">
            <v>22.29594968705679</v>
          </cell>
        </row>
        <row r="15">
          <cell r="G15">
            <v>23.240371736799514</v>
          </cell>
          <cell r="H15">
            <v>23.615410472124307</v>
          </cell>
          <cell r="I15">
            <v>23.696220211657305</v>
          </cell>
          <cell r="J15">
            <v>23.694021406741953</v>
          </cell>
          <cell r="K15">
            <v>22.184360057410373</v>
          </cell>
        </row>
        <row r="16">
          <cell r="G16">
            <v>23.3901472337398</v>
          </cell>
          <cell r="H16">
            <v>23.666299120489793</v>
          </cell>
          <cell r="I16">
            <v>23.790171144526823</v>
          </cell>
          <cell r="J16">
            <v>23.510685781597982</v>
          </cell>
          <cell r="K16">
            <v>22.076346333974637</v>
          </cell>
        </row>
        <row r="17">
          <cell r="G17">
            <v>23.629390238369503</v>
          </cell>
          <cell r="H17">
            <v>23.72969899362046</v>
          </cell>
          <cell r="I17">
            <v>23.911288559880976</v>
          </cell>
          <cell r="J17">
            <v>23.32758410002225</v>
          </cell>
          <cell r="K17">
            <v>21.968525664787812</v>
          </cell>
        </row>
        <row r="18">
          <cell r="G18">
            <v>23.759185863736594</v>
          </cell>
          <cell r="H18">
            <v>23.782085900148154</v>
          </cell>
          <cell r="I18">
            <v>23.9828773523042</v>
          </cell>
          <cell r="J18">
            <v>23.149315305840862</v>
          </cell>
          <cell r="K18">
            <v>21.865754170364585</v>
          </cell>
        </row>
        <row r="19">
          <cell r="G19">
            <v>23.799783692305095</v>
          </cell>
          <cell r="H19">
            <v>23.846111199459866</v>
          </cell>
          <cell r="I19">
            <v>24.041701721355015</v>
          </cell>
          <cell r="J19">
            <v>22.96682838584158</v>
          </cell>
          <cell r="K19">
            <v>21.752446496783509</v>
          </cell>
        </row>
        <row r="20">
          <cell r="G20">
            <v>23.848950201478743</v>
          </cell>
          <cell r="H20">
            <v>23.88341733123729</v>
          </cell>
          <cell r="I20">
            <v>24.07295374811422</v>
          </cell>
          <cell r="J20">
            <v>22.77140975496825</v>
          </cell>
          <cell r="K20">
            <v>21.634015611553231</v>
          </cell>
        </row>
      </sheetData>
      <sheetData sheetId="14">
        <row r="8">
          <cell r="G8">
            <v>9.0236455570837215</v>
          </cell>
          <cell r="H8">
            <v>13.25702149753544</v>
          </cell>
          <cell r="I8">
            <v>14.858267086969088</v>
          </cell>
          <cell r="J8">
            <v>15.647126772704809</v>
          </cell>
          <cell r="K8">
            <v>15.47191404180311</v>
          </cell>
        </row>
        <row r="9">
          <cell r="G9">
            <v>10.419060488805373</v>
          </cell>
          <cell r="H9">
            <v>13.991286761162739</v>
          </cell>
          <cell r="I9">
            <v>15.319101428833335</v>
          </cell>
          <cell r="J9">
            <v>16.050550644068771</v>
          </cell>
          <cell r="K9">
            <v>15.551164167393237</v>
          </cell>
        </row>
        <row r="10">
          <cell r="G10">
            <v>11.713853217060986</v>
          </cell>
          <cell r="H10">
            <v>14.73257628913173</v>
          </cell>
          <cell r="I10">
            <v>15.720046825908591</v>
          </cell>
          <cell r="J10">
            <v>16.459512437900312</v>
          </cell>
          <cell r="K10">
            <v>15.630427868893392</v>
          </cell>
        </row>
        <row r="11">
          <cell r="G11">
            <v>12.915762433483797</v>
          </cell>
          <cell r="H11">
            <v>15.399098510901577</v>
          </cell>
          <cell r="I11">
            <v>16.124826357455401</v>
          </cell>
          <cell r="J11">
            <v>16.829694125095504</v>
          </cell>
          <cell r="K11">
            <v>15.703125685234712</v>
          </cell>
        </row>
        <row r="12">
          <cell r="G12">
            <v>14.148748295886254</v>
          </cell>
          <cell r="H12">
            <v>16.126915935469231</v>
          </cell>
          <cell r="I12">
            <v>16.571006083089554</v>
          </cell>
          <cell r="J12">
            <v>17.229762869897311</v>
          </cell>
          <cell r="K12">
            <v>15.780159289958462</v>
          </cell>
        </row>
        <row r="13">
          <cell r="G13">
            <v>15.460192033337993</v>
          </cell>
          <cell r="H13">
            <v>16.853890087019629</v>
          </cell>
          <cell r="I13">
            <v>17.079198320896111</v>
          </cell>
          <cell r="J13">
            <v>17.633926885428917</v>
          </cell>
          <cell r="K13">
            <v>15.866118112924179</v>
          </cell>
        </row>
        <row r="14">
          <cell r="G14">
            <v>17.034790123230529</v>
          </cell>
          <cell r="H14">
            <v>17.611636499730167</v>
          </cell>
          <cell r="I14">
            <v>17.687657512058948</v>
          </cell>
          <cell r="J14">
            <v>18.042661917607276</v>
          </cell>
          <cell r="K14">
            <v>15.944913639532512</v>
          </cell>
        </row>
        <row r="15">
          <cell r="G15">
            <v>17.398467826168819</v>
          </cell>
          <cell r="H15">
            <v>17.722941279668365</v>
          </cell>
          <cell r="I15">
            <v>17.867241568786504</v>
          </cell>
          <cell r="J15">
            <v>17.817971356980369</v>
          </cell>
          <cell r="K15">
            <v>15.799651899173227</v>
          </cell>
        </row>
        <row r="16">
          <cell r="G16">
            <v>17.919579512583166</v>
          </cell>
          <cell r="H16">
            <v>17.784655905411217</v>
          </cell>
          <cell r="I16">
            <v>18.097752976454249</v>
          </cell>
          <cell r="J16">
            <v>17.574992994652685</v>
          </cell>
          <cell r="K16">
            <v>15.649508986851544</v>
          </cell>
        </row>
        <row r="17">
          <cell r="G17">
            <v>18.291894962582361</v>
          </cell>
          <cell r="H17">
            <v>17.856763496329545</v>
          </cell>
          <cell r="I17">
            <v>18.266706386906819</v>
          </cell>
          <cell r="J17">
            <v>17.318882105290246</v>
          </cell>
          <cell r="K17">
            <v>15.490580918144742</v>
          </cell>
        </row>
        <row r="18">
          <cell r="G18">
            <v>18.460300104670171</v>
          </cell>
          <cell r="H18">
            <v>17.881792236158624</v>
          </cell>
          <cell r="I18">
            <v>18.370803299741318</v>
          </cell>
          <cell r="J18">
            <v>17.064621847076317</v>
          </cell>
          <cell r="K18">
            <v>15.335244553871501</v>
          </cell>
        </row>
        <row r="19">
          <cell r="G19">
            <v>18.511191047445575</v>
          </cell>
          <cell r="H19">
            <v>17.957501274793394</v>
          </cell>
          <cell r="I19">
            <v>18.442804877306521</v>
          </cell>
          <cell r="J19">
            <v>16.82012840588294</v>
          </cell>
          <cell r="K19">
            <v>15.179322555936087</v>
          </cell>
        </row>
        <row r="20">
          <cell r="G20">
            <v>18.259034624492582</v>
          </cell>
          <cell r="H20">
            <v>18.031884094038752</v>
          </cell>
          <cell r="I20">
            <v>18.403365325320241</v>
          </cell>
          <cell r="J20">
            <v>16.575425112347308</v>
          </cell>
          <cell r="K20">
            <v>15.024775039568725</v>
          </cell>
        </row>
      </sheetData>
      <sheetData sheetId="15">
        <row r="8">
          <cell r="G8">
            <v>10.315037188374401</v>
          </cell>
          <cell r="H8">
            <v>14.285102148311585</v>
          </cell>
          <cell r="I8">
            <v>15.53649821794829</v>
          </cell>
          <cell r="J8">
            <v>19.572589598422766</v>
          </cell>
          <cell r="K8">
            <v>20.94580424734697</v>
          </cell>
        </row>
        <row r="9">
          <cell r="G9">
            <v>11.495827468511713</v>
          </cell>
          <cell r="H9">
            <v>14.93371111644448</v>
          </cell>
          <cell r="I9">
            <v>16.675749335141962</v>
          </cell>
          <cell r="J9">
            <v>20.461786543085367</v>
          </cell>
          <cell r="K9">
            <v>21.092879291013279</v>
          </cell>
        </row>
        <row r="10">
          <cell r="G10">
            <v>13.197547225805987</v>
          </cell>
          <cell r="H10">
            <v>15.627825189041317</v>
          </cell>
          <cell r="I10">
            <v>18.041579917928615</v>
          </cell>
          <cell r="J10">
            <v>21.384644019638124</v>
          </cell>
          <cell r="K10">
            <v>21.26722038990529</v>
          </cell>
        </row>
        <row r="11">
          <cell r="G11">
            <v>14.635133303781762</v>
          </cell>
          <cell r="H11">
            <v>16.210900173930636</v>
          </cell>
          <cell r="I11">
            <v>19.249793026888124</v>
          </cell>
          <cell r="J11">
            <v>22.199315461272235</v>
          </cell>
          <cell r="K11">
            <v>21.40512200024866</v>
          </cell>
        </row>
        <row r="12">
          <cell r="G12">
            <v>16.105940438616905</v>
          </cell>
          <cell r="H12">
            <v>16.895040568251446</v>
          </cell>
          <cell r="I12">
            <v>20.53345043698252</v>
          </cell>
          <cell r="J12">
            <v>23.090823883277753</v>
          </cell>
          <cell r="K12">
            <v>21.557859454280173</v>
          </cell>
        </row>
        <row r="13">
          <cell r="G13">
            <v>17.231252933518867</v>
          </cell>
          <cell r="H13">
            <v>17.540080401117844</v>
          </cell>
          <cell r="I13">
            <v>21.621311978614006</v>
          </cell>
          <cell r="J13">
            <v>23.96210236193744</v>
          </cell>
          <cell r="K13">
            <v>21.71596308888768</v>
          </cell>
        </row>
        <row r="14">
          <cell r="G14">
            <v>18.439615647255664</v>
          </cell>
          <cell r="H14">
            <v>18.197125898406995</v>
          </cell>
          <cell r="I14">
            <v>22.748830277057525</v>
          </cell>
          <cell r="J14">
            <v>24.855883489620062</v>
          </cell>
          <cell r="K14">
            <v>21.868294998074859</v>
          </cell>
        </row>
        <row r="15">
          <cell r="G15">
            <v>18.363018454468747</v>
          </cell>
          <cell r="H15">
            <v>19.25990018893307</v>
          </cell>
          <cell r="I15">
            <v>23.444039313481852</v>
          </cell>
          <cell r="J15">
            <v>24.738565668982581</v>
          </cell>
          <cell r="K15">
            <v>21.808322024201907</v>
          </cell>
        </row>
        <row r="16">
          <cell r="G16">
            <v>17.97386659049932</v>
          </cell>
          <cell r="H16">
            <v>20.414530357834622</v>
          </cell>
          <cell r="I16">
            <v>24.048999419366552</v>
          </cell>
          <cell r="J16">
            <v>24.674389782922155</v>
          </cell>
          <cell r="K16">
            <v>21.78024532595235</v>
          </cell>
        </row>
        <row r="17">
          <cell r="G17">
            <v>17.712877470355725</v>
          </cell>
          <cell r="H17">
            <v>21.496096479131189</v>
          </cell>
          <cell r="I17">
            <v>24.635997312256691</v>
          </cell>
          <cell r="J17">
            <v>24.550841553830626</v>
          </cell>
          <cell r="K17">
            <v>21.720411557832566</v>
          </cell>
        </row>
        <row r="18">
          <cell r="G18">
            <v>17.63024153590337</v>
          </cell>
          <cell r="H18">
            <v>22.666445088740421</v>
          </cell>
          <cell r="I18">
            <v>25.310046973901468</v>
          </cell>
          <cell r="J18">
            <v>24.488237177033493</v>
          </cell>
          <cell r="K18">
            <v>21.699917284970386</v>
          </cell>
        </row>
        <row r="19">
          <cell r="G19">
            <v>17.830578957680249</v>
          </cell>
          <cell r="H19">
            <v>23.749441596706312</v>
          </cell>
          <cell r="I19">
            <v>26.115196795669661</v>
          </cell>
          <cell r="J19">
            <v>24.373547504248688</v>
          </cell>
          <cell r="K19">
            <v>21.636698272980144</v>
          </cell>
        </row>
        <row r="20">
          <cell r="G20">
            <v>17.966987501505695</v>
          </cell>
          <cell r="H20">
            <v>24.850846602046722</v>
          </cell>
          <cell r="I20">
            <v>26.920100165341537</v>
          </cell>
          <cell r="J20">
            <v>24.267058739491521</v>
          </cell>
          <cell r="K20">
            <v>21.615029017808524</v>
          </cell>
        </row>
      </sheetData>
      <sheetData sheetId="16">
        <row r="13">
          <cell r="T13">
            <v>41609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>
        <row r="5">
          <cell r="B5">
            <v>12</v>
          </cell>
        </row>
      </sheetData>
      <sheetData sheetId="25">
        <row r="8">
          <cell r="G8">
            <v>50.539900379689954</v>
          </cell>
          <cell r="H8">
            <v>43.519459277982236</v>
          </cell>
          <cell r="I8">
            <v>42.240200447902041</v>
          </cell>
          <cell r="J8">
            <v>41.916723469507509</v>
          </cell>
          <cell r="K8">
            <v>41.465126704376104</v>
          </cell>
        </row>
        <row r="9">
          <cell r="G9">
            <v>47.786057878173771</v>
          </cell>
          <cell r="H9">
            <v>42.60990284611691</v>
          </cell>
          <cell r="I9">
            <v>41.667992706412541</v>
          </cell>
          <cell r="J9">
            <v>41.622447955726422</v>
          </cell>
          <cell r="K9">
            <v>41.174874827627377</v>
          </cell>
        </row>
        <row r="10">
          <cell r="G10">
            <v>44.905276732733128</v>
          </cell>
          <cell r="H10">
            <v>41.723928571168692</v>
          </cell>
          <cell r="I10">
            <v>41.014864247789092</v>
          </cell>
          <cell r="J10">
            <v>41.357928525418565</v>
          </cell>
          <cell r="K10">
            <v>40.889697827324959</v>
          </cell>
        </row>
        <row r="11">
          <cell r="G11">
            <v>42.500119457683617</v>
          </cell>
          <cell r="H11">
            <v>40.927883831943738</v>
          </cell>
          <cell r="I11">
            <v>40.483038301724697</v>
          </cell>
          <cell r="J11">
            <v>41.121115814990844</v>
          </cell>
          <cell r="K11">
            <v>40.633920748337978</v>
          </cell>
        </row>
        <row r="12">
          <cell r="G12">
            <v>40.529137496093725</v>
          </cell>
          <cell r="H12">
            <v>40.027276379785569</v>
          </cell>
          <cell r="I12">
            <v>39.977171044604951</v>
          </cell>
          <cell r="J12">
            <v>40.838238535052639</v>
          </cell>
          <cell r="K12">
            <v>40.335473887162941</v>
          </cell>
        </row>
        <row r="13">
          <cell r="G13">
            <v>38.798157930035075</v>
          </cell>
          <cell r="H13">
            <v>39.165920978395377</v>
          </cell>
          <cell r="I13">
            <v>39.579254730434016</v>
          </cell>
          <cell r="J13">
            <v>40.575738713810978</v>
          </cell>
          <cell r="K13">
            <v>40.058338043869234</v>
          </cell>
        </row>
        <row r="14">
          <cell r="G14">
            <v>37.309883485146358</v>
          </cell>
          <cell r="H14">
            <v>38.338511742476037</v>
          </cell>
          <cell r="I14">
            <v>39.275284105642747</v>
          </cell>
          <cell r="J14">
            <v>40.317517341319167</v>
          </cell>
          <cell r="K14">
            <v>39.771809953265269</v>
          </cell>
        </row>
        <row r="15">
          <cell r="G15">
            <v>37.80164953296849</v>
          </cell>
          <cell r="H15">
            <v>38.710202334675017</v>
          </cell>
          <cell r="I15">
            <v>39.66958425235434</v>
          </cell>
          <cell r="J15">
            <v>40.352018522789869</v>
          </cell>
          <cell r="K15">
            <v>39.843654145808998</v>
          </cell>
        </row>
        <row r="16">
          <cell r="G16">
            <v>38.515617251420181</v>
          </cell>
          <cell r="H16">
            <v>39.056729687588131</v>
          </cell>
          <cell r="I16">
            <v>40.16945246073368</v>
          </cell>
          <cell r="J16">
            <v>40.383131307910432</v>
          </cell>
          <cell r="K16">
            <v>39.926629282881386</v>
          </cell>
        </row>
        <row r="17">
          <cell r="G17">
            <v>39.173635277236563</v>
          </cell>
          <cell r="H17">
            <v>39.41711441395406</v>
          </cell>
          <cell r="I17">
            <v>40.628469525570914</v>
          </cell>
          <cell r="J17">
            <v>40.425911634666789</v>
          </cell>
          <cell r="K17">
            <v>40.01083361782198</v>
          </cell>
        </row>
        <row r="18">
          <cell r="G18">
            <v>39.456084782269521</v>
          </cell>
          <cell r="H18">
            <v>39.683235155233803</v>
          </cell>
          <cell r="I18">
            <v>40.950120466168741</v>
          </cell>
          <cell r="J18">
            <v>40.428821339952485</v>
          </cell>
          <cell r="K18">
            <v>40.063194537888627</v>
          </cell>
        </row>
        <row r="19">
          <cell r="G19">
            <v>39.592417195479641</v>
          </cell>
          <cell r="H19">
            <v>39.998628487463371</v>
          </cell>
          <cell r="I19">
            <v>41.227129149915051</v>
          </cell>
          <cell r="J19">
            <v>40.441382482697669</v>
          </cell>
          <cell r="K19">
            <v>40.114515605775367</v>
          </cell>
        </row>
        <row r="20">
          <cell r="G20">
            <v>39.505400756048708</v>
          </cell>
          <cell r="H20">
            <v>40.316547925938707</v>
          </cell>
          <cell r="I20">
            <v>41.40086274579577</v>
          </cell>
          <cell r="J20">
            <v>40.440983278431808</v>
          </cell>
          <cell r="K20">
            <v>40.15754826722597</v>
          </cell>
        </row>
      </sheetData>
      <sheetData sheetId="26">
        <row r="8">
          <cell r="G8">
            <v>41.340708769582371</v>
          </cell>
          <cell r="H8">
            <v>40.858202402060321</v>
          </cell>
          <cell r="I8">
            <v>38.512181939484535</v>
          </cell>
          <cell r="J8">
            <v>39.622696452503313</v>
          </cell>
          <cell r="K8">
            <v>39.336377661547644</v>
          </cell>
        </row>
        <row r="9">
          <cell r="G9">
            <v>40.766395478700097</v>
          </cell>
          <cell r="H9">
            <v>40.177327513292248</v>
          </cell>
          <cell r="I9">
            <v>38.401875768176346</v>
          </cell>
          <cell r="J9">
            <v>39.415084579839203</v>
          </cell>
          <cell r="K9">
            <v>39.12029330766196</v>
          </cell>
        </row>
        <row r="10">
          <cell r="G10">
            <v>40.019482432689031</v>
          </cell>
          <cell r="H10">
            <v>39.46796272216001</v>
          </cell>
          <cell r="I10">
            <v>38.303359125031804</v>
          </cell>
          <cell r="J10">
            <v>39.224826907755272</v>
          </cell>
          <cell r="K10">
            <v>38.914023018313394</v>
          </cell>
        </row>
        <row r="11">
          <cell r="G11">
            <v>39.465052741983996</v>
          </cell>
          <cell r="H11">
            <v>38.876018573189761</v>
          </cell>
          <cell r="I11">
            <v>38.294228334913427</v>
          </cell>
          <cell r="J11">
            <v>39.068362646939811</v>
          </cell>
          <cell r="K11">
            <v>38.740467893628725</v>
          </cell>
        </row>
        <row r="12">
          <cell r="G12">
            <v>39.486382792861683</v>
          </cell>
          <cell r="H12">
            <v>38.203748381082981</v>
          </cell>
          <cell r="I12">
            <v>38.420341349543143</v>
          </cell>
          <cell r="J12">
            <v>38.873305299145699</v>
          </cell>
          <cell r="K12">
            <v>38.527355304055988</v>
          </cell>
        </row>
        <row r="13">
          <cell r="G13">
            <v>39.738945920995135</v>
          </cell>
          <cell r="H13">
            <v>37.53688067157767</v>
          </cell>
          <cell r="I13">
            <v>38.649047671621922</v>
          </cell>
          <cell r="J13">
            <v>38.703082760883838</v>
          </cell>
          <cell r="K13">
            <v>38.347923871050433</v>
          </cell>
        </row>
        <row r="14">
          <cell r="G14">
            <v>40.194872909497064</v>
          </cell>
          <cell r="H14">
            <v>36.86835010007006</v>
          </cell>
          <cell r="I14">
            <v>38.924906427419103</v>
          </cell>
          <cell r="J14">
            <v>38.503846867550898</v>
          </cell>
          <cell r="K14">
            <v>38.1290392463739</v>
          </cell>
        </row>
        <row r="15">
          <cell r="G15">
            <v>39.421695327708058</v>
          </cell>
          <cell r="H15">
            <v>37.075341701699919</v>
          </cell>
          <cell r="I15">
            <v>38.88954357849682</v>
          </cell>
          <cell r="J15">
            <v>38.500463052731639</v>
          </cell>
          <cell r="K15">
            <v>38.177506607798286</v>
          </cell>
        </row>
        <row r="16">
          <cell r="G16">
            <v>38.799352793923077</v>
          </cell>
          <cell r="H16">
            <v>37.364655898018505</v>
          </cell>
          <cell r="I16">
            <v>38.925880493595912</v>
          </cell>
          <cell r="J16">
            <v>38.526761765567734</v>
          </cell>
          <cell r="K16">
            <v>38.244495022837548</v>
          </cell>
        </row>
        <row r="17">
          <cell r="G17">
            <v>38.181665536350188</v>
          </cell>
          <cell r="H17">
            <v>37.662817359832083</v>
          </cell>
          <cell r="I17">
            <v>38.922191454174111</v>
          </cell>
          <cell r="J17">
            <v>38.56674332041792</v>
          </cell>
          <cell r="K17">
            <v>38.31614773672392</v>
          </cell>
        </row>
        <row r="18">
          <cell r="G18">
            <v>36.89057323458762</v>
          </cell>
          <cell r="H18">
            <v>37.884130250073582</v>
          </cell>
          <cell r="I18">
            <v>38.667354847633597</v>
          </cell>
          <cell r="J18">
            <v>38.571047806809311</v>
          </cell>
          <cell r="K18">
            <v>38.358816541486952</v>
          </cell>
        </row>
        <row r="19">
          <cell r="G19">
            <v>35.597592002516521</v>
          </cell>
          <cell r="H19">
            <v>38.141842544124813</v>
          </cell>
          <cell r="I19">
            <v>38.388574840814726</v>
          </cell>
          <cell r="J19">
            <v>38.583617312149563</v>
          </cell>
          <cell r="K19">
            <v>38.401737760140136</v>
          </cell>
        </row>
        <row r="20">
          <cell r="G20">
            <v>34.43228984774926</v>
          </cell>
          <cell r="H20">
            <v>38.392371949806098</v>
          </cell>
          <cell r="I20">
            <v>38.054765357626657</v>
          </cell>
          <cell r="J20">
            <v>38.580007284603674</v>
          </cell>
          <cell r="K20">
            <v>38.432300721497498</v>
          </cell>
        </row>
      </sheetData>
      <sheetData sheetId="27">
        <row r="8">
          <cell r="G8">
            <v>46.038362074811182</v>
          </cell>
          <cell r="H8">
            <v>42.581478516871734</v>
          </cell>
          <cell r="I8">
            <v>40.721558623332214</v>
          </cell>
          <cell r="J8">
            <v>41.207188396152212</v>
          </cell>
          <cell r="K8">
            <v>40.864821830222581</v>
          </cell>
        </row>
        <row r="9">
          <cell r="G9">
            <v>45.147684464909688</v>
          </cell>
          <cell r="H9">
            <v>41.786338711256455</v>
          </cell>
          <cell r="I9">
            <v>40.576470298868792</v>
          </cell>
          <cell r="J9">
            <v>40.97476843974966</v>
          </cell>
          <cell r="K9">
            <v>40.626559172843315</v>
          </cell>
        </row>
        <row r="10">
          <cell r="G10">
            <v>44.05631190982097</v>
          </cell>
          <cell r="H10">
            <v>41.008640439544493</v>
          </cell>
          <cell r="I10">
            <v>40.389940075901407</v>
          </cell>
          <cell r="J10">
            <v>40.755223112474283</v>
          </cell>
          <cell r="K10">
            <v>40.391031331066529</v>
          </cell>
        </row>
        <row r="11">
          <cell r="G11">
            <v>43.126005481765432</v>
          </cell>
          <cell r="H11">
            <v>40.31827734445416</v>
          </cell>
          <cell r="I11">
            <v>40.290118635257059</v>
          </cell>
          <cell r="J11">
            <v>40.560929148525801</v>
          </cell>
          <cell r="K11">
            <v>40.181895367578669</v>
          </cell>
        </row>
        <row r="12">
          <cell r="G12">
            <v>41.980751869914243</v>
          </cell>
          <cell r="H12">
            <v>39.517662263413854</v>
          </cell>
          <cell r="I12">
            <v>40.079309184478461</v>
          </cell>
          <cell r="J12">
            <v>40.321642075087361</v>
          </cell>
          <cell r="K12">
            <v>39.929499378870169</v>
          </cell>
        </row>
        <row r="13">
          <cell r="G13">
            <v>40.60314816812943</v>
          </cell>
          <cell r="H13">
            <v>38.756013743367198</v>
          </cell>
          <cell r="I13">
            <v>39.848063943161634</v>
          </cell>
          <cell r="J13">
            <v>40.091379039395726</v>
          </cell>
          <cell r="K13">
            <v>39.688355004930138</v>
          </cell>
        </row>
        <row r="14">
          <cell r="G14">
            <v>38.845993789957681</v>
          </cell>
          <cell r="H14">
            <v>37.968263466942915</v>
          </cell>
          <cell r="I14">
            <v>39.513732264117031</v>
          </cell>
          <cell r="J14">
            <v>39.84757017161202</v>
          </cell>
          <cell r="K14">
            <v>39.430308811163826</v>
          </cell>
        </row>
        <row r="15">
          <cell r="G15">
            <v>38.353673883656619</v>
          </cell>
          <cell r="H15">
            <v>38.271259779670586</v>
          </cell>
          <cell r="I15">
            <v>39.563982181552667</v>
          </cell>
          <cell r="J15">
            <v>39.865765341684323</v>
          </cell>
          <cell r="K15">
            <v>39.488135487259278</v>
          </cell>
        </row>
        <row r="16">
          <cell r="G16">
            <v>38.019914931326703</v>
          </cell>
          <cell r="H16">
            <v>38.579620649356912</v>
          </cell>
          <cell r="I16">
            <v>39.668047776748374</v>
          </cell>
          <cell r="J16">
            <v>39.889113679170741</v>
          </cell>
          <cell r="K16">
            <v>39.556231239805591</v>
          </cell>
        </row>
        <row r="17">
          <cell r="G17">
            <v>37.598238685300522</v>
          </cell>
          <cell r="H17">
            <v>38.898677389479225</v>
          </cell>
          <cell r="I17">
            <v>39.724751658450273</v>
          </cell>
          <cell r="J17">
            <v>39.925606484155168</v>
          </cell>
          <cell r="K17">
            <v>39.626703462547297</v>
          </cell>
        </row>
        <row r="18">
          <cell r="G18">
            <v>37.238377546967307</v>
          </cell>
          <cell r="H18">
            <v>39.167411192746947</v>
          </cell>
          <cell r="I18">
            <v>39.79671122055948</v>
          </cell>
          <cell r="J18">
            <v>39.941070151024689</v>
          </cell>
          <cell r="K18">
            <v>39.680671182394534</v>
          </cell>
        </row>
        <row r="19">
          <cell r="G19">
            <v>37.065587742187603</v>
          </cell>
          <cell r="H19">
            <v>39.487508202436018</v>
          </cell>
          <cell r="I19">
            <v>39.930640098812859</v>
          </cell>
          <cell r="J19">
            <v>39.96784230133747</v>
          </cell>
          <cell r="K19">
            <v>39.73692452482576</v>
          </cell>
        </row>
        <row r="20">
          <cell r="G20">
            <v>37.160561070431434</v>
          </cell>
          <cell r="H20">
            <v>39.834333652165313</v>
          </cell>
          <cell r="I20">
            <v>40.163220255565193</v>
          </cell>
          <cell r="J20">
            <v>40.007933548097185</v>
          </cell>
          <cell r="K20">
            <v>39.792610364648155</v>
          </cell>
        </row>
      </sheetData>
      <sheetData sheetId="28">
        <row r="8">
          <cell r="G8">
            <v>35.871115748414134</v>
          </cell>
          <cell r="H8">
            <v>30.08662715103727</v>
          </cell>
          <cell r="I8">
            <v>28.932325432318812</v>
          </cell>
          <cell r="J8">
            <v>28.732403511593329</v>
          </cell>
          <cell r="K8">
            <v>28.136205513368925</v>
          </cell>
        </row>
        <row r="9">
          <cell r="G9">
            <v>33.601086679204784</v>
          </cell>
          <cell r="H9">
            <v>29.300556001018215</v>
          </cell>
          <cell r="I9">
            <v>28.451230209033994</v>
          </cell>
          <cell r="J9">
            <v>28.480802184553919</v>
          </cell>
          <cell r="K9">
            <v>27.848132956863786</v>
          </cell>
        </row>
        <row r="10">
          <cell r="G10">
            <v>31.958106064211066</v>
          </cell>
          <cell r="H10">
            <v>28.566900348704777</v>
          </cell>
          <cell r="I10">
            <v>28.129063874849432</v>
          </cell>
          <cell r="J10">
            <v>28.262322511280235</v>
          </cell>
          <cell r="K10">
            <v>27.57830196736094</v>
          </cell>
        </row>
        <row r="11">
          <cell r="G11">
            <v>30.291445352303267</v>
          </cell>
          <cell r="H11">
            <v>27.856143697085162</v>
          </cell>
          <cell r="I11">
            <v>27.803894124164806</v>
          </cell>
          <cell r="J11">
            <v>28.042865157668018</v>
          </cell>
          <cell r="K11">
            <v>27.322555592447994</v>
          </cell>
        </row>
        <row r="12">
          <cell r="G12">
            <v>28.524392543956942</v>
          </cell>
          <cell r="H12">
            <v>27.087483623879841</v>
          </cell>
          <cell r="I12">
            <v>27.40261199266148</v>
          </cell>
          <cell r="J12">
            <v>27.804493747102693</v>
          </cell>
          <cell r="K12">
            <v>27.040326682873758</v>
          </cell>
        </row>
        <row r="13">
          <cell r="G13">
            <v>26.267125714733719</v>
          </cell>
          <cell r="H13">
            <v>26.350681706675342</v>
          </cell>
          <cell r="I13">
            <v>26.842083713822184</v>
          </cell>
          <cell r="J13">
            <v>27.579306845691427</v>
          </cell>
          <cell r="K13">
            <v>26.776004218810233</v>
          </cell>
        </row>
        <row r="14">
          <cell r="G14">
            <v>24.788508989254371</v>
          </cell>
          <cell r="H14">
            <v>25.613906164366195</v>
          </cell>
          <cell r="I14">
            <v>26.492891592276013</v>
          </cell>
          <cell r="J14">
            <v>27.355311252735312</v>
          </cell>
          <cell r="K14">
            <v>26.500983817886187</v>
          </cell>
        </row>
        <row r="15">
          <cell r="G15">
            <v>25.257396728733944</v>
          </cell>
          <cell r="H15">
            <v>25.947824502709445</v>
          </cell>
          <cell r="I15">
            <v>26.845993268683216</v>
          </cell>
          <cell r="J15">
            <v>27.324087020197545</v>
          </cell>
          <cell r="K15">
            <v>26.500807810044417</v>
          </cell>
        </row>
        <row r="16">
          <cell r="G16">
            <v>25.180933304950862</v>
          </cell>
          <cell r="H16">
            <v>26.213790873489881</v>
          </cell>
          <cell r="I16">
            <v>27.032885442730937</v>
          </cell>
          <cell r="J16">
            <v>27.303355896828659</v>
          </cell>
          <cell r="K16">
            <v>26.519268486226746</v>
          </cell>
        </row>
        <row r="17">
          <cell r="G17">
            <v>25.239495438647026</v>
          </cell>
          <cell r="H17">
            <v>26.514465128682492</v>
          </cell>
          <cell r="I17">
            <v>27.259201802619124</v>
          </cell>
          <cell r="J17">
            <v>27.269422997096825</v>
          </cell>
          <cell r="K17">
            <v>26.52669595694098</v>
          </cell>
        </row>
        <row r="18">
          <cell r="G18">
            <v>25.526291051752157</v>
          </cell>
          <cell r="H18">
            <v>26.818545269287569</v>
          </cell>
          <cell r="I18">
            <v>27.551467650148517</v>
          </cell>
          <cell r="J18">
            <v>27.244915239531068</v>
          </cell>
          <cell r="K18">
            <v>26.537256900032514</v>
          </cell>
        </row>
        <row r="19">
          <cell r="G19">
            <v>26.443273405905295</v>
          </cell>
          <cell r="H19">
            <v>27.144248021964714</v>
          </cell>
          <cell r="I19">
            <v>28.046527626627508</v>
          </cell>
          <cell r="J19">
            <v>27.223988439184648</v>
          </cell>
          <cell r="K19">
            <v>26.530411589386713</v>
          </cell>
        </row>
        <row r="20">
          <cell r="G20">
            <v>26.51580398214989</v>
          </cell>
          <cell r="H20">
            <v>27.380776421270763</v>
          </cell>
          <cell r="I20">
            <v>28.25878977493614</v>
          </cell>
          <cell r="J20">
            <v>27.16394782367156</v>
          </cell>
          <cell r="K20">
            <v>26.49222226463435</v>
          </cell>
        </row>
      </sheetData>
      <sheetData sheetId="29">
        <row r="8">
          <cell r="G8">
            <v>32.716164620626479</v>
          </cell>
          <cell r="H8">
            <v>27.219982370038231</v>
          </cell>
          <cell r="I8">
            <v>26.221813701118283</v>
          </cell>
          <cell r="J8">
            <v>25.98596078980605</v>
          </cell>
          <cell r="K8">
            <v>25.448767224243237</v>
          </cell>
        </row>
        <row r="9">
          <cell r="G9">
            <v>30.521797379107124</v>
          </cell>
          <cell r="H9">
            <v>26.481584035389371</v>
          </cell>
          <cell r="I9">
            <v>25.736728181912376</v>
          </cell>
          <cell r="J9">
            <v>25.749033275810639</v>
          </cell>
          <cell r="K9">
            <v>25.18422919956825</v>
          </cell>
        </row>
        <row r="10">
          <cell r="G10">
            <v>29.03450732481236</v>
          </cell>
          <cell r="H10">
            <v>25.820510525596919</v>
          </cell>
          <cell r="I10">
            <v>25.454591773699072</v>
          </cell>
          <cell r="J10">
            <v>25.556208428177296</v>
          </cell>
          <cell r="K10">
            <v>24.940890554697802</v>
          </cell>
        </row>
        <row r="11">
          <cell r="G11">
            <v>27.467922648228349</v>
          </cell>
          <cell r="H11">
            <v>25.170673303646623</v>
          </cell>
          <cell r="I11">
            <v>25.152030259917169</v>
          </cell>
          <cell r="J11">
            <v>25.356151347600246</v>
          </cell>
          <cell r="K11">
            <v>24.707825648898833</v>
          </cell>
        </row>
        <row r="12">
          <cell r="G12">
            <v>25.758379075055259</v>
          </cell>
          <cell r="H12">
            <v>24.479633993739625</v>
          </cell>
          <cell r="I12">
            <v>24.769270445268003</v>
          </cell>
          <cell r="J12">
            <v>25.13963614510179</v>
          </cell>
          <cell r="K12">
            <v>24.451210148016248</v>
          </cell>
        </row>
        <row r="13">
          <cell r="G13">
            <v>23.564609487867855</v>
          </cell>
          <cell r="H13">
            <v>23.805643673958585</v>
          </cell>
          <cell r="I13">
            <v>24.21037994269513</v>
          </cell>
          <cell r="J13">
            <v>24.936750669757064</v>
          </cell>
          <cell r="K13">
            <v>24.21256293245483</v>
          </cell>
        </row>
        <row r="14">
          <cell r="G14">
            <v>22.242781038642647</v>
          </cell>
          <cell r="H14">
            <v>23.134021138155791</v>
          </cell>
          <cell r="I14">
            <v>23.891364280913137</v>
          </cell>
          <cell r="J14">
            <v>24.733006606904674</v>
          </cell>
          <cell r="K14">
            <v>23.961346002295574</v>
          </cell>
        </row>
        <row r="15">
          <cell r="G15">
            <v>22.707142813417949</v>
          </cell>
          <cell r="H15">
            <v>23.418723175798696</v>
          </cell>
          <cell r="I15">
            <v>24.230641716783449</v>
          </cell>
          <cell r="J15">
            <v>24.695652821109491</v>
          </cell>
          <cell r="K15">
            <v>23.957248978680603</v>
          </cell>
        </row>
        <row r="16">
          <cell r="G16">
            <v>22.632713621953563</v>
          </cell>
          <cell r="H16">
            <v>23.670022037456434</v>
          </cell>
          <cell r="I16">
            <v>24.403679288371706</v>
          </cell>
          <cell r="J16">
            <v>24.687538113664708</v>
          </cell>
          <cell r="K16">
            <v>23.979277496865947</v>
          </cell>
        </row>
        <row r="17">
          <cell r="G17">
            <v>22.708474197606083</v>
          </cell>
          <cell r="H17">
            <v>23.952895097651719</v>
          </cell>
          <cell r="I17">
            <v>24.621001241964596</v>
          </cell>
          <cell r="J17">
            <v>24.657852637626668</v>
          </cell>
          <cell r="K17">
            <v>23.986976226853667</v>
          </cell>
        </row>
        <row r="18">
          <cell r="G18">
            <v>23.079427239610347</v>
          </cell>
          <cell r="H18">
            <v>24.252137098816483</v>
          </cell>
          <cell r="I18">
            <v>24.921119324405385</v>
          </cell>
          <cell r="J18">
            <v>24.643298618547249</v>
          </cell>
          <cell r="K18">
            <v>24.003001617401431</v>
          </cell>
        </row>
        <row r="19">
          <cell r="G19">
            <v>24.076805051708266</v>
          </cell>
          <cell r="H19">
            <v>24.552250255678668</v>
          </cell>
          <cell r="I19">
            <v>25.430009312240792</v>
          </cell>
          <cell r="J19">
            <v>24.629012133895742</v>
          </cell>
          <cell r="K19">
            <v>23.997863448888737</v>
          </cell>
        </row>
        <row r="20">
          <cell r="G20">
            <v>24.11921437390912</v>
          </cell>
          <cell r="H20">
            <v>24.754621220011273</v>
          </cell>
          <cell r="I20">
            <v>25.61591731215433</v>
          </cell>
          <cell r="J20">
            <v>24.566029771865445</v>
          </cell>
          <cell r="K20">
            <v>23.960775242835886</v>
          </cell>
        </row>
      </sheetData>
      <sheetData sheetId="30">
        <row r="8">
          <cell r="G8">
            <v>31.258151461307513</v>
          </cell>
          <cell r="H8">
            <v>26.308573865370565</v>
          </cell>
          <cell r="I8">
            <v>25.541999274847274</v>
          </cell>
          <cell r="J8">
            <v>25.288456422719825</v>
          </cell>
          <cell r="K8">
            <v>24.856814891018061</v>
          </cell>
        </row>
        <row r="9">
          <cell r="G9">
            <v>29.844578082372426</v>
          </cell>
          <cell r="H9">
            <v>25.683885884355711</v>
          </cell>
          <cell r="I9">
            <v>25.235471476505658</v>
          </cell>
          <cell r="J9">
            <v>25.088713060351399</v>
          </cell>
          <cell r="K9">
            <v>24.636257445209054</v>
          </cell>
        </row>
        <row r="10">
          <cell r="G10">
            <v>29.182530918563536</v>
          </cell>
          <cell r="H10">
            <v>25.135246274662688</v>
          </cell>
          <cell r="I10">
            <v>25.169346601848599</v>
          </cell>
          <cell r="J10">
            <v>24.928590296472557</v>
          </cell>
          <cell r="K10">
            <v>24.436010195112928</v>
          </cell>
        </row>
        <row r="11">
          <cell r="G11">
            <v>28.161137771307033</v>
          </cell>
          <cell r="H11">
            <v>24.584967066549879</v>
          </cell>
          <cell r="I11">
            <v>25.041831808287991</v>
          </cell>
          <cell r="J11">
            <v>24.760673244615134</v>
          </cell>
          <cell r="K11">
            <v>24.242258311961315</v>
          </cell>
        </row>
        <row r="12">
          <cell r="G12">
            <v>26.049054503872998</v>
          </cell>
          <cell r="H12">
            <v>23.989945665144859</v>
          </cell>
          <cell r="I12">
            <v>24.576104730877933</v>
          </cell>
          <cell r="J12">
            <v>24.580077606494861</v>
          </cell>
          <cell r="K12">
            <v>24.029657411670435</v>
          </cell>
        </row>
        <row r="13">
          <cell r="G13">
            <v>23.459529909706546</v>
          </cell>
          <cell r="H13">
            <v>23.419573148443842</v>
          </cell>
          <cell r="I13">
            <v>23.893842700840668</v>
          </cell>
          <cell r="J13">
            <v>24.404134827288672</v>
          </cell>
          <cell r="K13">
            <v>23.826871886290107</v>
          </cell>
        </row>
        <row r="14">
          <cell r="G14">
            <v>21.86744530737457</v>
          </cell>
          <cell r="H14">
            <v>22.846501920402499</v>
          </cell>
          <cell r="I14">
            <v>23.442358391418477</v>
          </cell>
          <cell r="J14">
            <v>24.233947455801726</v>
          </cell>
          <cell r="K14">
            <v>23.619882877131143</v>
          </cell>
        </row>
        <row r="15">
          <cell r="G15">
            <v>22.018606254447239</v>
          </cell>
          <cell r="H15">
            <v>23.07847842270515</v>
          </cell>
          <cell r="I15">
            <v>23.635714381043513</v>
          </cell>
          <cell r="J15">
            <v>24.200153661741982</v>
          </cell>
          <cell r="K15">
            <v>23.615761917149197</v>
          </cell>
        </row>
        <row r="16">
          <cell r="G16">
            <v>21.592612451863221</v>
          </cell>
          <cell r="H16">
            <v>23.299466857012956</v>
          </cell>
          <cell r="I16">
            <v>23.634366193993806</v>
          </cell>
          <cell r="J16">
            <v>24.199534784706927</v>
          </cell>
          <cell r="K16">
            <v>23.637240408155396</v>
          </cell>
        </row>
        <row r="17">
          <cell r="G17">
            <v>21.357086574286505</v>
          </cell>
          <cell r="H17">
            <v>23.561472705586269</v>
          </cell>
          <cell r="I17">
            <v>23.705628458877058</v>
          </cell>
          <cell r="J17">
            <v>24.190459347752782</v>
          </cell>
          <cell r="K17">
            <v>23.654657084743143</v>
          </cell>
        </row>
        <row r="18">
          <cell r="G18">
            <v>21.999734100939449</v>
          </cell>
          <cell r="H18">
            <v>23.850648423350883</v>
          </cell>
          <cell r="I18">
            <v>24.101607269499027</v>
          </cell>
          <cell r="J18">
            <v>24.195345304452669</v>
          </cell>
          <cell r="K18">
            <v>23.677702250172505</v>
          </cell>
        </row>
        <row r="19">
          <cell r="G19">
            <v>23.377761115879153</v>
          </cell>
          <cell r="H19">
            <v>24.11645210556561</v>
          </cell>
          <cell r="I19">
            <v>24.728620088476248</v>
          </cell>
          <cell r="J19">
            <v>24.186194686259292</v>
          </cell>
          <cell r="K19">
            <v>23.674814484976057</v>
          </cell>
        </row>
        <row r="20">
          <cell r="G20">
            <v>23.930984820496999</v>
          </cell>
          <cell r="H20">
            <v>24.270606078128644</v>
          </cell>
          <cell r="I20">
            <v>25.076691535015815</v>
          </cell>
          <cell r="J20">
            <v>24.13323686777218</v>
          </cell>
          <cell r="K20">
            <v>23.643488590517791</v>
          </cell>
        </row>
      </sheetData>
      <sheetData sheetId="31">
        <row r="8">
          <cell r="G8">
            <v>38.483367370887315</v>
          </cell>
          <cell r="H8">
            <v>31.977471670286409</v>
          </cell>
          <cell r="I8">
            <v>30.777801071151064</v>
          </cell>
          <cell r="J8">
            <v>30.298706556467511</v>
          </cell>
          <cell r="K8">
            <v>29.587248604904733</v>
          </cell>
        </row>
        <row r="9">
          <cell r="G9">
            <v>35.903998296144536</v>
          </cell>
          <cell r="H9">
            <v>31.139864494740848</v>
          </cell>
          <cell r="I9">
            <v>30.191196682624369</v>
          </cell>
          <cell r="J9">
            <v>29.99784417959242</v>
          </cell>
          <cell r="K9">
            <v>29.285573092474785</v>
          </cell>
        </row>
        <row r="10">
          <cell r="G10">
            <v>33.084843907753381</v>
          </cell>
          <cell r="H10">
            <v>30.306586903599133</v>
          </cell>
          <cell r="I10">
            <v>29.488101807756298</v>
          </cell>
          <cell r="J10">
            <v>29.714381177990504</v>
          </cell>
          <cell r="K10">
            <v>28.988034232638839</v>
          </cell>
        </row>
        <row r="11">
          <cell r="G11">
            <v>30.97517229092534</v>
          </cell>
          <cell r="H11">
            <v>29.557671405217498</v>
          </cell>
          <cell r="I11">
            <v>28.987687569093524</v>
          </cell>
          <cell r="J11">
            <v>29.45798741087091</v>
          </cell>
          <cell r="K11">
            <v>28.719240411767913</v>
          </cell>
        </row>
        <row r="12">
          <cell r="G12">
            <v>29.04496011776336</v>
          </cell>
          <cell r="H12">
            <v>28.708766687705957</v>
          </cell>
          <cell r="I12">
            <v>28.442802879396485</v>
          </cell>
          <cell r="J12">
            <v>29.155757880254452</v>
          </cell>
          <cell r="K12">
            <v>28.409611440881239</v>
          </cell>
        </row>
        <row r="13">
          <cell r="G13">
            <v>27.532556505688298</v>
          </cell>
          <cell r="H13">
            <v>27.914583270693985</v>
          </cell>
          <cell r="I13">
            <v>28.073489108642182</v>
          </cell>
          <cell r="J13">
            <v>28.891244762933624</v>
          </cell>
          <cell r="K13">
            <v>28.121954973299346</v>
          </cell>
        </row>
        <row r="14">
          <cell r="G14">
            <v>26.177190351245851</v>
          </cell>
          <cell r="H14">
            <v>27.138649278257482</v>
          </cell>
          <cell r="I14">
            <v>27.776597053281868</v>
          </cell>
          <cell r="J14">
            <v>28.619118068211041</v>
          </cell>
          <cell r="K14">
            <v>27.818746990368023</v>
          </cell>
        </row>
        <row r="15">
          <cell r="G15">
            <v>26.699531078839492</v>
          </cell>
          <cell r="H15">
            <v>27.424028465758461</v>
          </cell>
          <cell r="I15">
            <v>28.12237990920466</v>
          </cell>
          <cell r="J15">
            <v>28.599115613672154</v>
          </cell>
          <cell r="K15">
            <v>27.831130435478766</v>
          </cell>
        </row>
        <row r="16">
          <cell r="G16">
            <v>27.485993854392081</v>
          </cell>
          <cell r="H16">
            <v>27.671274375803655</v>
          </cell>
          <cell r="I16">
            <v>28.580164702183975</v>
          </cell>
          <cell r="J16">
            <v>28.557532820261123</v>
          </cell>
          <cell r="K16">
            <v>27.835829380763784</v>
          </cell>
        </row>
        <row r="17">
          <cell r="G17">
            <v>27.965443438254518</v>
          </cell>
          <cell r="H17">
            <v>27.933755989683391</v>
          </cell>
          <cell r="I17">
            <v>28.913665356275931</v>
          </cell>
          <cell r="J17">
            <v>28.521235838588819</v>
          </cell>
          <cell r="K17">
            <v>27.841320155839181</v>
          </cell>
        </row>
        <row r="18">
          <cell r="G18">
            <v>28.322689210206288</v>
          </cell>
          <cell r="H18">
            <v>28.120849862603592</v>
          </cell>
          <cell r="I18">
            <v>29.196090361338261</v>
          </cell>
          <cell r="J18">
            <v>28.461452096915568</v>
          </cell>
          <cell r="K18">
            <v>27.835197195032457</v>
          </cell>
        </row>
        <row r="19">
          <cell r="G19">
            <v>28.358805574420469</v>
          </cell>
          <cell r="H19">
            <v>28.364206931992889</v>
          </cell>
          <cell r="I19">
            <v>29.389945819522961</v>
          </cell>
          <cell r="J19">
            <v>28.433371689475521</v>
          </cell>
          <cell r="K19">
            <v>27.831348583192373</v>
          </cell>
        </row>
        <row r="20">
          <cell r="G20">
            <v>28.221668270338174</v>
          </cell>
          <cell r="H20">
            <v>28.621412857869281</v>
          </cell>
          <cell r="I20">
            <v>29.494637054737577</v>
          </cell>
          <cell r="J20">
            <v>28.394933431748594</v>
          </cell>
          <cell r="K20">
            <v>27.820290411019059</v>
          </cell>
        </row>
      </sheetData>
      <sheetData sheetId="32">
        <row r="8">
          <cell r="G8">
            <v>27.592697143973695</v>
          </cell>
          <cell r="H8">
            <v>23.777583519015199</v>
          </cell>
          <cell r="I8">
            <v>22.77617275033651</v>
          </cell>
          <cell r="J8">
            <v>22.742596774405353</v>
          </cell>
          <cell r="K8">
            <v>22.320291965100591</v>
          </cell>
        </row>
        <row r="9">
          <cell r="G9">
            <v>26.392936308769286</v>
          </cell>
          <cell r="H9">
            <v>23.162126471712195</v>
          </cell>
          <cell r="I9">
            <v>22.511943898368166</v>
          </cell>
          <cell r="J9">
            <v>22.55985040457319</v>
          </cell>
          <cell r="K9">
            <v>22.107446357693895</v>
          </cell>
        </row>
        <row r="10">
          <cell r="G10">
            <v>25.434254885615843</v>
          </cell>
          <cell r="H10">
            <v>22.610037564118773</v>
          </cell>
          <cell r="I10">
            <v>22.355617290056358</v>
          </cell>
          <cell r="J10">
            <v>22.407732573979587</v>
          </cell>
          <cell r="K10">
            <v>21.911071944099671</v>
          </cell>
        </row>
        <row r="11">
          <cell r="G11">
            <v>24.189855915613236</v>
          </cell>
          <cell r="H11">
            <v>22.07127754726049</v>
          </cell>
          <cell r="I11">
            <v>22.110481567695469</v>
          </cell>
          <cell r="J11">
            <v>22.250550497901976</v>
          </cell>
          <cell r="K11">
            <v>21.722239750134868</v>
          </cell>
        </row>
        <row r="12">
          <cell r="G12">
            <v>22.851567031477671</v>
          </cell>
          <cell r="H12">
            <v>21.524074449170929</v>
          </cell>
          <cell r="I12">
            <v>21.83814378684276</v>
          </cell>
          <cell r="J12">
            <v>22.085077507417481</v>
          </cell>
          <cell r="K12">
            <v>21.516522153801308</v>
          </cell>
        </row>
        <row r="13">
          <cell r="G13">
            <v>21.26214894560237</v>
          </cell>
          <cell r="H13">
            <v>20.950418841210595</v>
          </cell>
          <cell r="I13">
            <v>21.448249410378111</v>
          </cell>
          <cell r="J13">
            <v>21.918180270073996</v>
          </cell>
          <cell r="K13">
            <v>21.321781496857877</v>
          </cell>
        </row>
        <row r="14">
          <cell r="G14">
            <v>20.043637415122113</v>
          </cell>
          <cell r="H14">
            <v>20.393781194670993</v>
          </cell>
          <cell r="I14">
            <v>21.151070577651065</v>
          </cell>
          <cell r="J14">
            <v>21.754921380747572</v>
          </cell>
          <cell r="K14">
            <v>21.117519996265898</v>
          </cell>
        </row>
        <row r="15">
          <cell r="G15">
            <v>19.998294259708256</v>
          </cell>
          <cell r="H15">
            <v>20.589838298144755</v>
          </cell>
          <cell r="I15">
            <v>21.300930846885915</v>
          </cell>
          <cell r="J15">
            <v>21.707459022655534</v>
          </cell>
          <cell r="K15">
            <v>21.113227972936226</v>
          </cell>
        </row>
        <row r="16">
          <cell r="G16">
            <v>19.799549450041162</v>
          </cell>
          <cell r="H16">
            <v>20.820852102803627</v>
          </cell>
          <cell r="I16">
            <v>21.40279249353372</v>
          </cell>
          <cell r="J16">
            <v>21.707369931306523</v>
          </cell>
          <cell r="K16">
            <v>21.135920190309093</v>
          </cell>
        </row>
        <row r="17">
          <cell r="G17">
            <v>19.878988736342581</v>
          </cell>
          <cell r="H17">
            <v>21.053764949848699</v>
          </cell>
          <cell r="I17">
            <v>21.590925293222504</v>
          </cell>
          <cell r="J17">
            <v>21.680701054925027</v>
          </cell>
          <cell r="K17">
            <v>21.139208643706596</v>
          </cell>
        </row>
        <row r="18">
          <cell r="G18">
            <v>20.157757084560462</v>
          </cell>
          <cell r="H18">
            <v>21.324286864228824</v>
          </cell>
          <cell r="I18">
            <v>21.825156246675373</v>
          </cell>
          <cell r="J18">
            <v>21.675070822810067</v>
          </cell>
          <cell r="K18">
            <v>21.155957718518973</v>
          </cell>
        </row>
        <row r="19">
          <cell r="G19">
            <v>20.624427803597392</v>
          </cell>
          <cell r="H19">
            <v>21.543396018853617</v>
          </cell>
          <cell r="I19">
            <v>22.143062715726302</v>
          </cell>
          <cell r="J19">
            <v>21.652099914218812</v>
          </cell>
          <cell r="K19">
            <v>21.153120649389486</v>
          </cell>
        </row>
        <row r="20">
          <cell r="G20">
            <v>20.751543290019924</v>
          </cell>
          <cell r="H20">
            <v>21.709641955792801</v>
          </cell>
          <cell r="I20">
            <v>22.331518206542516</v>
          </cell>
          <cell r="J20">
            <v>21.593977174753501</v>
          </cell>
          <cell r="K20">
            <v>21.165665250245585</v>
          </cell>
        </row>
      </sheetData>
      <sheetData sheetId="33">
        <row r="8">
          <cell r="G8">
            <v>23.166793631431965</v>
          </cell>
          <cell r="H8">
            <v>21.934210901344038</v>
          </cell>
          <cell r="I8">
            <v>20.560211871241272</v>
          </cell>
          <cell r="J8">
            <v>21.091183147069412</v>
          </cell>
          <cell r="K8">
            <v>20.752206759755452</v>
          </cell>
        </row>
        <row r="9">
          <cell r="G9">
            <v>23.613452801097669</v>
          </cell>
          <cell r="H9">
            <v>21.447380925532538</v>
          </cell>
          <cell r="I9">
            <v>20.734305431480617</v>
          </cell>
          <cell r="J9">
            <v>20.943446866929751</v>
          </cell>
          <cell r="K9">
            <v>20.575523145916382</v>
          </cell>
        </row>
        <row r="10">
          <cell r="G10">
            <v>24.508620033535895</v>
          </cell>
          <cell r="H10">
            <v>20.995386498229191</v>
          </cell>
          <cell r="I10">
            <v>21.032219642439664</v>
          </cell>
          <cell r="J10">
            <v>20.818807999601201</v>
          </cell>
          <cell r="K10">
            <v>20.42174428989685</v>
          </cell>
        </row>
        <row r="11">
          <cell r="G11">
            <v>25.085433482154603</v>
          </cell>
          <cell r="H11">
            <v>20.545153873241993</v>
          </cell>
          <cell r="I11">
            <v>21.220141873437981</v>
          </cell>
          <cell r="J11">
            <v>20.685804433972759</v>
          </cell>
          <cell r="K11">
            <v>20.27291323830983</v>
          </cell>
        </row>
        <row r="12">
          <cell r="G12">
            <v>24.209944516585999</v>
          </cell>
          <cell r="H12">
            <v>20.075740709322261</v>
          </cell>
          <cell r="I12">
            <v>21.104849777887718</v>
          </cell>
          <cell r="J12">
            <v>20.552255146833822</v>
          </cell>
          <cell r="K12">
            <v>20.110311770591203</v>
          </cell>
        </row>
        <row r="13">
          <cell r="G13">
            <v>22.534145551464778</v>
          </cell>
          <cell r="H13">
            <v>19.587156709894288</v>
          </cell>
          <cell r="I13">
            <v>20.789254568794796</v>
          </cell>
          <cell r="J13">
            <v>20.395320528484067</v>
          </cell>
          <cell r="K13">
            <v>19.941179779238023</v>
          </cell>
        </row>
        <row r="14">
          <cell r="G14">
            <v>20.32490637206417</v>
          </cell>
          <cell r="H14">
            <v>19.100910198580284</v>
          </cell>
          <cell r="I14">
            <v>20.273468857135995</v>
          </cell>
          <cell r="J14">
            <v>20.256592628174225</v>
          </cell>
          <cell r="K14">
            <v>19.775784593734183</v>
          </cell>
        </row>
        <row r="15">
          <cell r="G15">
            <v>19.153636356827764</v>
          </cell>
          <cell r="H15">
            <v>19.269033447614934</v>
          </cell>
          <cell r="I15">
            <v>20.022717216603215</v>
          </cell>
          <cell r="J15">
            <v>20.223501729798063</v>
          </cell>
          <cell r="K15">
            <v>19.77414836464774</v>
          </cell>
        </row>
        <row r="16">
          <cell r="G16">
            <v>18.021775430638222</v>
          </cell>
          <cell r="H16">
            <v>19.455357939139379</v>
          </cell>
          <cell r="I16">
            <v>19.725063874938606</v>
          </cell>
          <cell r="J16">
            <v>20.217683578832514</v>
          </cell>
          <cell r="K16">
            <v>19.788770866536655</v>
          </cell>
        </row>
        <row r="17">
          <cell r="G17">
            <v>17.339001653793506</v>
          </cell>
          <cell r="H17">
            <v>19.636788147940553</v>
          </cell>
          <cell r="I17">
            <v>19.543281945977228</v>
          </cell>
          <cell r="J17">
            <v>20.195804992728249</v>
          </cell>
          <cell r="K17">
            <v>19.790851668985709</v>
          </cell>
        </row>
        <row r="18">
          <cell r="G18">
            <v>17.347966770919463</v>
          </cell>
          <cell r="H18">
            <v>19.874704157657874</v>
          </cell>
          <cell r="I18">
            <v>19.64461907836106</v>
          </cell>
          <cell r="J18">
            <v>20.200963355071622</v>
          </cell>
          <cell r="K18">
            <v>19.80794756641351</v>
          </cell>
        </row>
        <row r="19">
          <cell r="G19">
            <v>17.63076089368721</v>
          </cell>
          <cell r="H19">
            <v>20.091698372853195</v>
          </cell>
          <cell r="I19">
            <v>19.861959932138777</v>
          </cell>
          <cell r="J19">
            <v>20.192786319414147</v>
          </cell>
          <cell r="K19">
            <v>19.811776276542279</v>
          </cell>
        </row>
        <row r="20">
          <cell r="G20">
            <v>18.182067793837266</v>
          </cell>
          <cell r="H20">
            <v>20.251241046445291</v>
          </cell>
          <cell r="I20">
            <v>20.237878562432332</v>
          </cell>
          <cell r="J20">
            <v>20.164262855665182</v>
          </cell>
          <cell r="K20">
            <v>19.827484778385937</v>
          </cell>
        </row>
      </sheetData>
      <sheetData sheetId="34">
        <row r="8">
          <cell r="G8">
            <v>31.526263898634493</v>
          </cell>
          <cell r="H8">
            <v>27.248994420404024</v>
          </cell>
          <cell r="I8">
            <v>26.053569069185865</v>
          </cell>
          <cell r="J8">
            <v>26.056584516469869</v>
          </cell>
          <cell r="K8">
            <v>25.559645712648649</v>
          </cell>
        </row>
        <row r="9">
          <cell r="G9">
            <v>30.20947482726903</v>
          </cell>
          <cell r="H9">
            <v>26.552376715778227</v>
          </cell>
          <cell r="I9">
            <v>25.777872077260447</v>
          </cell>
          <cell r="J9">
            <v>25.847649797752652</v>
          </cell>
          <cell r="K9">
            <v>25.312871546392046</v>
          </cell>
        </row>
        <row r="10">
          <cell r="G10">
            <v>29.099354444054523</v>
          </cell>
          <cell r="H10">
            <v>25.907411966941218</v>
          </cell>
          <cell r="I10">
            <v>25.587654952752033</v>
          </cell>
          <cell r="J10">
            <v>25.66762108723572</v>
          </cell>
          <cell r="K10">
            <v>25.083322915597883</v>
          </cell>
        </row>
        <row r="11">
          <cell r="G11">
            <v>27.757042860518304</v>
          </cell>
          <cell r="H11">
            <v>25.290835693478666</v>
          </cell>
          <cell r="I11">
            <v>25.32902416598759</v>
          </cell>
          <cell r="J11">
            <v>25.487234376928839</v>
          </cell>
          <cell r="K11">
            <v>24.865856709471728</v>
          </cell>
        </row>
        <row r="12">
          <cell r="G12">
            <v>26.311248316091241</v>
          </cell>
          <cell r="H12">
            <v>24.650549798093309</v>
          </cell>
          <cell r="I12">
            <v>25.033719786352723</v>
          </cell>
          <cell r="J12">
            <v>25.29369492684992</v>
          </cell>
          <cell r="K12">
            <v>24.626562660552459</v>
          </cell>
        </row>
        <row r="13">
          <cell r="G13">
            <v>24.58207568537005</v>
          </cell>
          <cell r="H13">
            <v>23.985645354178597</v>
          </cell>
          <cell r="I13">
            <v>24.632348505063501</v>
          </cell>
          <cell r="J13">
            <v>25.095667454782621</v>
          </cell>
          <cell r="K13">
            <v>24.397924529215274</v>
          </cell>
        </row>
        <row r="14">
          <cell r="G14">
            <v>23.033598782792556</v>
          </cell>
          <cell r="H14">
            <v>23.340365641164368</v>
          </cell>
          <cell r="I14">
            <v>24.25353215148948</v>
          </cell>
          <cell r="J14">
            <v>24.907103074174394</v>
          </cell>
          <cell r="K14">
            <v>24.161709686198602</v>
          </cell>
        </row>
        <row r="15">
          <cell r="G15">
            <v>22.969896004770263</v>
          </cell>
          <cell r="H15">
            <v>23.583618361612558</v>
          </cell>
          <cell r="I15">
            <v>24.415532668982664</v>
          </cell>
          <cell r="J15">
            <v>24.86018867067116</v>
          </cell>
          <cell r="K15">
            <v>24.157221236071315</v>
          </cell>
        </row>
        <row r="16">
          <cell r="G16">
            <v>22.744698620255658</v>
          </cell>
          <cell r="H16">
            <v>23.841405858220192</v>
          </cell>
          <cell r="I16">
            <v>24.531624401371673</v>
          </cell>
          <cell r="J16">
            <v>24.853922715091837</v>
          </cell>
          <cell r="K16">
            <v>24.180722710344973</v>
          </cell>
        </row>
        <row r="17">
          <cell r="G17">
            <v>22.774295522007034</v>
          </cell>
          <cell r="H17">
            <v>24.104453367742323</v>
          </cell>
          <cell r="I17">
            <v>24.722512264646358</v>
          </cell>
          <cell r="J17">
            <v>24.817176552082064</v>
          </cell>
          <cell r="K17">
            <v>24.179966858545537</v>
          </cell>
        </row>
        <row r="18">
          <cell r="G18">
            <v>22.981965789092243</v>
          </cell>
          <cell r="H18">
            <v>24.394308514034037</v>
          </cell>
          <cell r="I18">
            <v>24.954052497559086</v>
          </cell>
          <cell r="J18">
            <v>24.801389393865975</v>
          </cell>
          <cell r="K18">
            <v>24.192259049026902</v>
          </cell>
        </row>
        <row r="19">
          <cell r="G19">
            <v>23.381740961771136</v>
          </cell>
          <cell r="H19">
            <v>24.657641702786652</v>
          </cell>
          <cell r="I19">
            <v>25.268035541558643</v>
          </cell>
          <cell r="J19">
            <v>24.777134118185977</v>
          </cell>
          <cell r="K19">
            <v>24.190765223225018</v>
          </cell>
        </row>
        <row r="20">
          <cell r="G20">
            <v>23.650895497205955</v>
          </cell>
          <cell r="H20">
            <v>24.866661415949775</v>
          </cell>
          <cell r="I20">
            <v>25.53494305359143</v>
          </cell>
          <cell r="J20">
            <v>24.717788984320951</v>
          </cell>
          <cell r="K20">
            <v>24.198966575017174</v>
          </cell>
        </row>
      </sheetData>
      <sheetData sheetId="35">
        <row r="8">
          <cell r="G8">
            <v>12.692908312181107</v>
          </cell>
          <cell r="H8">
            <v>17.50551218242024</v>
          </cell>
          <cell r="I8">
            <v>18.340302036809362</v>
          </cell>
          <cell r="J8">
            <v>22.522810104033997</v>
          </cell>
          <cell r="K8">
            <v>23.831742670506731</v>
          </cell>
        </row>
        <row r="9">
          <cell r="G9">
            <v>14.648085223420669</v>
          </cell>
          <cell r="H9">
            <v>18.202501480923249</v>
          </cell>
          <cell r="I9">
            <v>19.716222896046684</v>
          </cell>
          <cell r="J9">
            <v>23.399470187029095</v>
          </cell>
          <cell r="K9">
            <v>23.986419017087549</v>
          </cell>
        </row>
        <row r="10">
          <cell r="G10">
            <v>18.309541077922052</v>
          </cell>
          <cell r="H10">
            <v>18.861151412743308</v>
          </cell>
          <cell r="I10">
            <v>21.620524859593814</v>
          </cell>
          <cell r="J10">
            <v>24.264703040677571</v>
          </cell>
          <cell r="K10">
            <v>24.137116441594234</v>
          </cell>
        </row>
        <row r="11">
          <cell r="G11">
            <v>19.905944403135493</v>
          </cell>
          <cell r="H11">
            <v>19.372847887738427</v>
          </cell>
          <cell r="I11">
            <v>22.883187660819374</v>
          </cell>
          <cell r="J11">
            <v>25.007251222899672</v>
          </cell>
          <cell r="K11">
            <v>24.255116537439484</v>
          </cell>
        </row>
        <row r="12">
          <cell r="G12">
            <v>20.797120718253002</v>
          </cell>
          <cell r="H12">
            <v>19.908966858447133</v>
          </cell>
          <cell r="I12">
            <v>23.955412121254927</v>
          </cell>
          <cell r="J12">
            <v>25.808246704796545</v>
          </cell>
          <cell r="K12">
            <v>24.379882763518669</v>
          </cell>
        </row>
        <row r="13">
          <cell r="G13">
            <v>21.653773144113039</v>
          </cell>
          <cell r="H13">
            <v>20.539093754861124</v>
          </cell>
          <cell r="I13">
            <v>24.888264805170291</v>
          </cell>
          <cell r="J13">
            <v>26.635133403220145</v>
          </cell>
          <cell r="K13">
            <v>24.533812351955461</v>
          </cell>
        </row>
        <row r="14">
          <cell r="G14">
            <v>22.545456842860983</v>
          </cell>
          <cell r="H14">
            <v>21.220276138742367</v>
          </cell>
          <cell r="I14">
            <v>25.893901229662607</v>
          </cell>
          <cell r="J14">
            <v>27.510579703377942</v>
          </cell>
          <cell r="K14">
            <v>24.692664243807375</v>
          </cell>
        </row>
        <row r="15">
          <cell r="G15">
            <v>21.759896625060705</v>
          </cell>
          <cell r="H15">
            <v>22.24928219887174</v>
          </cell>
          <cell r="I15">
            <v>26.312201738469291</v>
          </cell>
          <cell r="J15">
            <v>27.408240410801621</v>
          </cell>
          <cell r="K15">
            <v>24.634818791278093</v>
          </cell>
        </row>
        <row r="16">
          <cell r="G16">
            <v>19.394174794926585</v>
          </cell>
          <cell r="H16">
            <v>23.243180322825367</v>
          </cell>
          <cell r="I16">
            <v>26.200947508561473</v>
          </cell>
          <cell r="J16">
            <v>27.330253643712584</v>
          </cell>
          <cell r="K16">
            <v>24.610294215036813</v>
          </cell>
        </row>
        <row r="17">
          <cell r="G17">
            <v>18.863054141529751</v>
          </cell>
          <cell r="H17">
            <v>24.33508554073277</v>
          </cell>
          <cell r="I17">
            <v>26.651572449560071</v>
          </cell>
          <cell r="J17">
            <v>27.21938753932227</v>
          </cell>
          <cell r="K17">
            <v>24.542627591331687</v>
          </cell>
        </row>
        <row r="18">
          <cell r="G18">
            <v>19.077110389060941</v>
          </cell>
          <cell r="H18">
            <v>25.481340274043397</v>
          </cell>
          <cell r="I18">
            <v>27.403672583731122</v>
          </cell>
          <cell r="J18">
            <v>27.179652644570023</v>
          </cell>
          <cell r="K18">
            <v>24.537650427605936</v>
          </cell>
        </row>
        <row r="19">
          <cell r="G19">
            <v>19.483889419093845</v>
          </cell>
          <cell r="H19">
            <v>26.461323235854497</v>
          </cell>
          <cell r="I19">
            <v>28.232907724808562</v>
          </cell>
          <cell r="J19">
            <v>27.055863939673895</v>
          </cell>
          <cell r="K19">
            <v>24.464812554959622</v>
          </cell>
        </row>
        <row r="20">
          <cell r="G20">
            <v>19.962451101816914</v>
          </cell>
          <cell r="H20">
            <v>27.524357316963396</v>
          </cell>
          <cell r="I20">
            <v>29.105502253448208</v>
          </cell>
          <cell r="J20">
            <v>26.981010038541957</v>
          </cell>
          <cell r="K20">
            <v>24.410958995076591</v>
          </cell>
        </row>
      </sheetData>
      <sheetData sheetId="36">
        <row r="8">
          <cell r="G8">
            <v>40.156519744183655</v>
          </cell>
          <cell r="H8">
            <v>34.993876688438739</v>
          </cell>
          <cell r="I8">
            <v>33.165678750899815</v>
          </cell>
          <cell r="J8">
            <v>33.117872285873283</v>
          </cell>
          <cell r="K8">
            <v>32.436710780425564</v>
          </cell>
        </row>
        <row r="9">
          <cell r="G9">
            <v>38.736865789272528</v>
          </cell>
          <cell r="H9">
            <v>34.084273387632166</v>
          </cell>
          <cell r="I9">
            <v>32.870020787564634</v>
          </cell>
          <cell r="J9">
            <v>32.787676904004861</v>
          </cell>
          <cell r="K9">
            <v>32.121746735956542</v>
          </cell>
        </row>
        <row r="10">
          <cell r="G10">
            <v>37.010060316569799</v>
          </cell>
          <cell r="H10">
            <v>33.205572502760447</v>
          </cell>
          <cell r="I10">
            <v>32.456740410408244</v>
          </cell>
          <cell r="J10">
            <v>32.500718614819462</v>
          </cell>
          <cell r="K10">
            <v>31.815223185390558</v>
          </cell>
        </row>
        <row r="11">
          <cell r="G11">
            <v>35.345743559506531</v>
          </cell>
          <cell r="H11">
            <v>32.370474109092122</v>
          </cell>
          <cell r="I11">
            <v>32.132145596069904</v>
          </cell>
          <cell r="J11">
            <v>32.223920154011807</v>
          </cell>
          <cell r="K11">
            <v>31.536793185661164</v>
          </cell>
        </row>
        <row r="12">
          <cell r="G12">
            <v>33.668499228299268</v>
          </cell>
          <cell r="H12">
            <v>31.43981105546721</v>
          </cell>
          <cell r="I12">
            <v>31.676291266344624</v>
          </cell>
          <cell r="J12">
            <v>31.899184318808192</v>
          </cell>
          <cell r="K12">
            <v>31.211904147241619</v>
          </cell>
        </row>
        <row r="13">
          <cell r="G13">
            <v>32.039221577745963</v>
          </cell>
          <cell r="H13">
            <v>30.577390777185066</v>
          </cell>
          <cell r="I13">
            <v>31.343959391258398</v>
          </cell>
          <cell r="J13">
            <v>31.610815493061367</v>
          </cell>
          <cell r="K13">
            <v>30.91927396404585</v>
          </cell>
        </row>
        <row r="14">
          <cell r="G14">
            <v>29.846886475019161</v>
          </cell>
          <cell r="H14">
            <v>29.687903051210679</v>
          </cell>
          <cell r="I14">
            <v>30.781664681791959</v>
          </cell>
          <cell r="J14">
            <v>31.302259166108755</v>
          </cell>
          <cell r="K14">
            <v>30.597784785731886</v>
          </cell>
        </row>
        <row r="15">
          <cell r="G15">
            <v>29.58812377811995</v>
          </cell>
          <cell r="H15">
            <v>29.986107687603326</v>
          </cell>
          <cell r="I15">
            <v>30.852949696869686</v>
          </cell>
          <cell r="J15">
            <v>31.29759188955941</v>
          </cell>
          <cell r="K15">
            <v>30.618220948222508</v>
          </cell>
        </row>
        <row r="16">
          <cell r="G16">
            <v>29.520330285739064</v>
          </cell>
          <cell r="H16">
            <v>30.221459502303833</v>
          </cell>
          <cell r="I16">
            <v>31.031929405083012</v>
          </cell>
          <cell r="J16">
            <v>31.280284614268776</v>
          </cell>
          <cell r="K16">
            <v>30.648765942105339</v>
          </cell>
        </row>
        <row r="17">
          <cell r="G17">
            <v>29.403225703894972</v>
          </cell>
          <cell r="H17">
            <v>30.526427594164456</v>
          </cell>
          <cell r="I17">
            <v>31.187639142325953</v>
          </cell>
          <cell r="J17">
            <v>31.265858206351734</v>
          </cell>
          <cell r="K17">
            <v>30.669266885559729</v>
          </cell>
        </row>
        <row r="18">
          <cell r="G18">
            <v>29.262211008178561</v>
          </cell>
          <cell r="H18">
            <v>30.693336924891302</v>
          </cell>
          <cell r="I18">
            <v>31.319345506001749</v>
          </cell>
          <cell r="J18">
            <v>31.210909725208285</v>
          </cell>
          <cell r="K18">
            <v>30.674303245820617</v>
          </cell>
        </row>
        <row r="19">
          <cell r="G19">
            <v>29.154520217567821</v>
          </cell>
          <cell r="H19">
            <v>31.000775052134706</v>
          </cell>
          <cell r="I19">
            <v>31.470754821597161</v>
          </cell>
          <cell r="J19">
            <v>31.203989163156677</v>
          </cell>
          <cell r="K19">
            <v>30.691096500136013</v>
          </cell>
        </row>
        <row r="20">
          <cell r="G20">
            <v>29.52956131061179</v>
          </cell>
          <cell r="H20">
            <v>31.248186735906149</v>
          </cell>
          <cell r="I20">
            <v>31.78511600786004</v>
          </cell>
          <cell r="J20">
            <v>31.163853230704568</v>
          </cell>
          <cell r="K20">
            <v>30.698667461284963</v>
          </cell>
        </row>
      </sheetData>
      <sheetData sheetId="37">
        <row r="8">
          <cell r="G8">
            <v>37.729575438837969</v>
          </cell>
          <cell r="H8">
            <v>31.973586790276251</v>
          </cell>
          <cell r="I8">
            <v>30.624400227730472</v>
          </cell>
          <cell r="J8">
            <v>30.288695643713055</v>
          </cell>
          <cell r="K8">
            <v>29.696369367678461</v>
          </cell>
        </row>
        <row r="9">
          <cell r="G9">
            <v>35.749905146753314</v>
          </cell>
          <cell r="H9">
            <v>31.186713515511496</v>
          </cell>
          <cell r="I9">
            <v>30.189206033515458</v>
          </cell>
          <cell r="J9">
            <v>30.009193055844307</v>
          </cell>
          <cell r="K9">
            <v>29.424674624884432</v>
          </cell>
        </row>
        <row r="10">
          <cell r="G10">
            <v>33.451883045500388</v>
          </cell>
          <cell r="H10">
            <v>30.341337773831206</v>
          </cell>
          <cell r="I10">
            <v>29.623982050371445</v>
          </cell>
          <cell r="J10">
            <v>29.727429250000689</v>
          </cell>
          <cell r="K10">
            <v>29.140319413348994</v>
          </cell>
        </row>
        <row r="11">
          <cell r="G11">
            <v>31.301811492498572</v>
          </cell>
          <cell r="H11">
            <v>29.60270708979413</v>
          </cell>
          <cell r="I11">
            <v>29.118470674560555</v>
          </cell>
          <cell r="J11">
            <v>29.485756473534522</v>
          </cell>
          <cell r="K11">
            <v>28.889856845554981</v>
          </cell>
        </row>
        <row r="12">
          <cell r="G12">
            <v>29.413997793464731</v>
          </cell>
          <cell r="H12">
            <v>28.764418080874226</v>
          </cell>
          <cell r="I12">
            <v>28.571814814699621</v>
          </cell>
          <cell r="J12">
            <v>29.196739195933343</v>
          </cell>
          <cell r="K12">
            <v>28.597247710394566</v>
          </cell>
        </row>
        <row r="13">
          <cell r="G13">
            <v>27.996736069255562</v>
          </cell>
          <cell r="H13">
            <v>27.985897438587845</v>
          </cell>
          <cell r="I13">
            <v>28.228973622787837</v>
          </cell>
          <cell r="J13">
            <v>28.939195739136373</v>
          </cell>
          <cell r="K13">
            <v>28.331482284067256</v>
          </cell>
        </row>
        <row r="14">
          <cell r="G14">
            <v>26.635596810944808</v>
          </cell>
          <cell r="H14">
            <v>27.203550502931247</v>
          </cell>
          <cell r="I14">
            <v>27.933938774043916</v>
          </cell>
          <cell r="J14">
            <v>28.672787999953492</v>
          </cell>
          <cell r="K14">
            <v>28.04969431592966</v>
          </cell>
        </row>
        <row r="15">
          <cell r="G15">
            <v>26.874572340089362</v>
          </cell>
          <cell r="H15">
            <v>27.481577303239774</v>
          </cell>
          <cell r="I15">
            <v>28.170670801059863</v>
          </cell>
          <cell r="J15">
            <v>28.675434601276471</v>
          </cell>
          <cell r="K15">
            <v>28.076166436419879</v>
          </cell>
        </row>
        <row r="16">
          <cell r="G16">
            <v>27.236441037446227</v>
          </cell>
          <cell r="H16">
            <v>27.707702313122663</v>
          </cell>
          <cell r="I16">
            <v>28.488201412765182</v>
          </cell>
          <cell r="J16">
            <v>28.65706716700328</v>
          </cell>
          <cell r="K16">
            <v>28.105036992679771</v>
          </cell>
        </row>
        <row r="17">
          <cell r="G17">
            <v>27.744555610656295</v>
          </cell>
          <cell r="H17">
            <v>27.974732631359878</v>
          </cell>
          <cell r="I17">
            <v>28.845145017845162</v>
          </cell>
          <cell r="J17">
            <v>28.654588074502708</v>
          </cell>
          <cell r="K17">
            <v>28.137710414591453</v>
          </cell>
        </row>
        <row r="18">
          <cell r="G18">
            <v>28.037455857348348</v>
          </cell>
          <cell r="H18">
            <v>28.127117835024798</v>
          </cell>
          <cell r="I18">
            <v>29.118910947524224</v>
          </cell>
          <cell r="J18">
            <v>28.601843402214982</v>
          </cell>
          <cell r="K18">
            <v>28.141642962099439</v>
          </cell>
        </row>
        <row r="19">
          <cell r="G19">
            <v>27.973773492818896</v>
          </cell>
          <cell r="H19">
            <v>28.351404301033401</v>
          </cell>
          <cell r="I19">
            <v>29.276635402201546</v>
          </cell>
          <cell r="J19">
            <v>28.578345509365917</v>
          </cell>
          <cell r="K19">
            <v>28.153079698904129</v>
          </cell>
        </row>
        <row r="20">
          <cell r="G20">
            <v>27.816767078116989</v>
          </cell>
          <cell r="H20">
            <v>28.606493945741743</v>
          </cell>
          <cell r="I20">
            <v>29.384157616152407</v>
          </cell>
          <cell r="J20">
            <v>28.560701226148176</v>
          </cell>
          <cell r="K20">
            <v>28.168276816556503</v>
          </cell>
        </row>
      </sheetData>
      <sheetData sheetId="38">
        <row r="8">
          <cell r="G8">
            <v>27.753058460083931</v>
          </cell>
          <cell r="H8">
            <v>24.948662916091312</v>
          </cell>
          <cell r="I8">
            <v>23.803542853390361</v>
          </cell>
          <cell r="J8">
            <v>23.841789210137492</v>
          </cell>
          <cell r="K8">
            <v>23.522312416900675</v>
          </cell>
        </row>
        <row r="9">
          <cell r="G9">
            <v>27.167861966872877</v>
          </cell>
          <cell r="H9">
            <v>24.42256767013783</v>
          </cell>
          <cell r="I9">
            <v>23.687138323780314</v>
          </cell>
          <cell r="J9">
            <v>23.665482309343879</v>
          </cell>
          <cell r="K9">
            <v>23.352466517960075</v>
          </cell>
        </row>
        <row r="10">
          <cell r="G10">
            <v>26.63064713245608</v>
          </cell>
          <cell r="H10">
            <v>23.88490938970978</v>
          </cell>
          <cell r="I10">
            <v>23.584287692481961</v>
          </cell>
          <cell r="J10">
            <v>23.498461785879794</v>
          </cell>
          <cell r="K10">
            <v>23.186378983901363</v>
          </cell>
        </row>
        <row r="11">
          <cell r="G11">
            <v>25.69606040748922</v>
          </cell>
          <cell r="H11">
            <v>23.389158889006911</v>
          </cell>
          <cell r="I11">
            <v>23.410735253893566</v>
          </cell>
          <cell r="J11">
            <v>23.343964862761013</v>
          </cell>
          <cell r="K11">
            <v>23.032971939303366</v>
          </cell>
        </row>
        <row r="12">
          <cell r="G12">
            <v>24.529600585849607</v>
          </cell>
          <cell r="H12">
            <v>22.85816037947442</v>
          </cell>
          <cell r="I12">
            <v>23.147109000252431</v>
          </cell>
          <cell r="J12">
            <v>23.176835256960569</v>
          </cell>
          <cell r="K12">
            <v>22.862971782552414</v>
          </cell>
        </row>
        <row r="13">
          <cell r="G13">
            <v>23.211743878240203</v>
          </cell>
          <cell r="H13">
            <v>22.33602956104879</v>
          </cell>
          <cell r="I13">
            <v>22.809271739711971</v>
          </cell>
          <cell r="J13">
            <v>23.012830309347667</v>
          </cell>
          <cell r="K13">
            <v>22.694137956932611</v>
          </cell>
        </row>
        <row r="14">
          <cell r="G14">
            <v>22.057827354612833</v>
          </cell>
          <cell r="H14">
            <v>21.809018081360644</v>
          </cell>
          <cell r="I14">
            <v>22.519031549736571</v>
          </cell>
          <cell r="J14">
            <v>22.84281349245812</v>
          </cell>
          <cell r="K14">
            <v>22.52101816133117</v>
          </cell>
        </row>
        <row r="15">
          <cell r="G15">
            <v>21.755407797029736</v>
          </cell>
          <cell r="H15">
            <v>21.977050671227566</v>
          </cell>
          <cell r="I15">
            <v>22.525530577577982</v>
          </cell>
          <cell r="J15">
            <v>22.843666264548133</v>
          </cell>
          <cell r="K15">
            <v>22.544453638474476</v>
          </cell>
        </row>
        <row r="16">
          <cell r="G16">
            <v>21.380792851088007</v>
          </cell>
          <cell r="H16">
            <v>22.135137590234709</v>
          </cell>
          <cell r="I16">
            <v>22.520905241671368</v>
          </cell>
          <cell r="J16">
            <v>22.838407696852574</v>
          </cell>
          <cell r="K16">
            <v>22.568366490244895</v>
          </cell>
        </row>
        <row r="17">
          <cell r="G17">
            <v>21.254863691110295</v>
          </cell>
          <cell r="H17">
            <v>22.313264743113677</v>
          </cell>
          <cell r="I17">
            <v>22.603046113589329</v>
          </cell>
          <cell r="J17">
            <v>22.849770054051664</v>
          </cell>
          <cell r="K17">
            <v>22.602141974422327</v>
          </cell>
        </row>
        <row r="18">
          <cell r="G18">
            <v>21.310860445866307</v>
          </cell>
          <cell r="H18">
            <v>22.481981778433752</v>
          </cell>
          <cell r="I18">
            <v>22.750379580811249</v>
          </cell>
          <cell r="J18">
            <v>22.851123065903476</v>
          </cell>
          <cell r="K18">
            <v>22.627506088608911</v>
          </cell>
        </row>
        <row r="19">
          <cell r="G19">
            <v>21.491621463705137</v>
          </cell>
          <cell r="H19">
            <v>22.611925028239419</v>
          </cell>
          <cell r="I19">
            <v>22.948296527615884</v>
          </cell>
          <cell r="J19">
            <v>22.834218509805297</v>
          </cell>
          <cell r="K19">
            <v>22.641607188970273</v>
          </cell>
        </row>
        <row r="20">
          <cell r="G20">
            <v>21.570057316284526</v>
          </cell>
          <cell r="H20">
            <v>22.744223828279075</v>
          </cell>
          <cell r="I20">
            <v>23.096727518600513</v>
          </cell>
          <cell r="J20">
            <v>22.816077484901403</v>
          </cell>
          <cell r="K20">
            <v>22.686601806270055</v>
          </cell>
        </row>
      </sheetData>
      <sheetData sheetId="39">
        <row r="8">
          <cell r="G8">
            <v>14.923775855497974</v>
          </cell>
        </row>
      </sheetData>
      <sheetData sheetId="40">
        <row r="8">
          <cell r="G8">
            <v>32.304839879438639</v>
          </cell>
        </row>
        <row r="9">
          <cell r="G9">
            <v>31.67256509234738</v>
          </cell>
        </row>
        <row r="10">
          <cell r="G10">
            <v>30.868785598816942</v>
          </cell>
        </row>
        <row r="11">
          <cell r="G11">
            <v>30.045515666240753</v>
          </cell>
        </row>
        <row r="12">
          <cell r="G12">
            <v>28.844750521674211</v>
          </cell>
        </row>
        <row r="13">
          <cell r="G13">
            <v>27.568625626840568</v>
          </cell>
        </row>
        <row r="14">
          <cell r="G14">
            <v>26.1000963548241</v>
          </cell>
        </row>
        <row r="15">
          <cell r="G15">
            <v>25.773786955630289</v>
          </cell>
        </row>
        <row r="16">
          <cell r="G16">
            <v>25.476226567418664</v>
          </cell>
        </row>
        <row r="17">
          <cell r="G17">
            <v>25.22592514494988</v>
          </cell>
        </row>
        <row r="18">
          <cell r="G18">
            <v>25.218588701101101</v>
          </cell>
        </row>
        <row r="19">
          <cell r="G19">
            <v>25.304236401485657</v>
          </cell>
        </row>
        <row r="20">
          <cell r="G20">
            <v>25.586380218613456</v>
          </cell>
        </row>
      </sheetData>
      <sheetData sheetId="41">
        <row r="8">
          <cell r="G8">
            <v>36.952230275725519</v>
          </cell>
          <cell r="H8">
            <v>32.703686798704787</v>
          </cell>
          <cell r="I8">
            <v>31.44433044196527</v>
          </cell>
          <cell r="J8">
            <v>31.410660634642635</v>
          </cell>
          <cell r="K8">
            <v>30.843181884454314</v>
          </cell>
        </row>
        <row r="9">
          <cell r="G9">
            <v>35.613238573258037</v>
          </cell>
          <cell r="H9">
            <v>32.040278472900241</v>
          </cell>
          <cell r="I9">
            <v>31.174111660007409</v>
          </cell>
          <cell r="J9">
            <v>31.194815047405861</v>
          </cell>
          <cell r="K9">
            <v>30.597035910495887</v>
          </cell>
        </row>
        <row r="10">
          <cell r="G10">
            <v>34.057968890127597</v>
          </cell>
          <cell r="H10">
            <v>31.347088764854195</v>
          </cell>
          <cell r="I10">
            <v>30.825969453616928</v>
          </cell>
          <cell r="J10">
            <v>30.977530150128906</v>
          </cell>
          <cell r="K10">
            <v>30.344895711928785</v>
          </cell>
        </row>
        <row r="11">
          <cell r="G11">
            <v>32.613243480209292</v>
          </cell>
          <cell r="H11">
            <v>30.723846142636763</v>
          </cell>
          <cell r="I11">
            <v>30.521884486942344</v>
          </cell>
          <cell r="J11">
            <v>30.777390747729083</v>
          </cell>
          <cell r="K11">
            <v>30.12040321257016</v>
          </cell>
        </row>
        <row r="12">
          <cell r="G12">
            <v>31.08539210411551</v>
          </cell>
          <cell r="H12">
            <v>30.009727272716063</v>
          </cell>
          <cell r="I12">
            <v>30.12370405753656</v>
          </cell>
          <cell r="J12">
            <v>30.545144362613968</v>
          </cell>
          <cell r="K12">
            <v>29.85989029181686</v>
          </cell>
        </row>
        <row r="13">
          <cell r="G13">
            <v>29.776030630550746</v>
          </cell>
          <cell r="H13">
            <v>29.35560376488835</v>
          </cell>
          <cell r="I13">
            <v>29.844721914742987</v>
          </cell>
          <cell r="J13">
            <v>30.339805654302811</v>
          </cell>
          <cell r="K13">
            <v>29.623234567891366</v>
          </cell>
        </row>
        <row r="14">
          <cell r="G14">
            <v>28.535705667913241</v>
          </cell>
          <cell r="H14">
            <v>28.719023903736208</v>
          </cell>
          <cell r="I14">
            <v>29.59067736192468</v>
          </cell>
          <cell r="J14">
            <v>30.133029347966168</v>
          </cell>
          <cell r="K14">
            <v>29.372051502903034</v>
          </cell>
        </row>
        <row r="15">
          <cell r="G15">
            <v>28.562482994180783</v>
          </cell>
          <cell r="H15">
            <v>28.984280277206214</v>
          </cell>
          <cell r="I15">
            <v>29.752382546598614</v>
          </cell>
          <cell r="J15">
            <v>30.108996782763818</v>
          </cell>
          <cell r="K15">
            <v>29.38147457749589</v>
          </cell>
        </row>
        <row r="16">
          <cell r="G16">
            <v>28.66002617723591</v>
          </cell>
          <cell r="H16">
            <v>29.217625051882727</v>
          </cell>
          <cell r="I16">
            <v>29.958780933404338</v>
          </cell>
          <cell r="J16">
            <v>30.075955271876921</v>
          </cell>
          <cell r="K16">
            <v>29.394671344436354</v>
          </cell>
        </row>
        <row r="17">
          <cell r="G17">
            <v>28.77073226971206</v>
          </cell>
          <cell r="H17">
            <v>29.459047642845416</v>
          </cell>
          <cell r="I17">
            <v>30.154072670455655</v>
          </cell>
          <cell r="J17">
            <v>30.03449064143037</v>
          </cell>
          <cell r="K17">
            <v>29.394051686477383</v>
          </cell>
        </row>
        <row r="18">
          <cell r="G18">
            <v>28.899617959853579</v>
          </cell>
          <cell r="H18">
            <v>29.635714115180019</v>
          </cell>
          <cell r="I18">
            <v>30.361624665494141</v>
          </cell>
          <cell r="J18">
            <v>29.980445460097677</v>
          </cell>
          <cell r="K18">
            <v>29.387363604882562</v>
          </cell>
        </row>
        <row r="19">
          <cell r="G19">
            <v>28.919120787085163</v>
          </cell>
          <cell r="H19">
            <v>29.879686232192896</v>
          </cell>
          <cell r="I19">
            <v>30.532133470821947</v>
          </cell>
          <cell r="J19">
            <v>29.955300824070449</v>
          </cell>
          <cell r="K19">
            <v>29.389410436006333</v>
          </cell>
        </row>
        <row r="20">
          <cell r="G20">
            <v>28.90556994289118</v>
          </cell>
          <cell r="H20">
            <v>30.121585164504914</v>
          </cell>
          <cell r="I20">
            <v>30.66974980363986</v>
          </cell>
          <cell r="J20">
            <v>29.917034155051223</v>
          </cell>
          <cell r="K20">
            <v>29.370272484618784</v>
          </cell>
        </row>
      </sheetData>
      <sheetData sheetId="42">
        <row r="8">
          <cell r="G8">
            <v>60.613866316245122</v>
          </cell>
          <cell r="H8">
            <v>55.681595825224065</v>
          </cell>
          <cell r="I8">
            <v>55.40255468667084</v>
          </cell>
          <cell r="J8">
            <v>54.104342388197168</v>
          </cell>
          <cell r="K8">
            <v>53.890749324362488</v>
          </cell>
        </row>
        <row r="9">
          <cell r="G9">
            <v>58.583401769052365</v>
          </cell>
          <cell r="H9">
            <v>55.177550540081995</v>
          </cell>
          <cell r="I9">
            <v>54.762140719721351</v>
          </cell>
          <cell r="J9">
            <v>53.793583361262669</v>
          </cell>
          <cell r="K9">
            <v>53.776132389530915</v>
          </cell>
        </row>
        <row r="10">
          <cell r="G10">
            <v>56.473781927638058</v>
          </cell>
          <cell r="H10">
            <v>54.724314011368634</v>
          </cell>
          <cell r="I10">
            <v>54.024611941831907</v>
          </cell>
          <cell r="J10">
            <v>53.533595940486961</v>
          </cell>
          <cell r="K10">
            <v>53.676173246412148</v>
          </cell>
        </row>
        <row r="11">
          <cell r="G11">
            <v>54.692274537744744</v>
          </cell>
          <cell r="H11">
            <v>54.30841653112001</v>
          </cell>
          <cell r="I11">
            <v>53.446508154509971</v>
          </cell>
          <cell r="J11">
            <v>53.286061133334925</v>
          </cell>
          <cell r="K11">
            <v>53.585835264961347</v>
          </cell>
        </row>
        <row r="12">
          <cell r="G12">
            <v>52.955769480244143</v>
          </cell>
          <cell r="H12">
            <v>53.766249549070317</v>
          </cell>
          <cell r="I12">
            <v>52.800693218532068</v>
          </cell>
          <cell r="J12">
            <v>52.964399228103375</v>
          </cell>
          <cell r="K12">
            <v>53.447840306257973</v>
          </cell>
        </row>
        <row r="13">
          <cell r="G13">
            <v>51.842335356272827</v>
          </cell>
          <cell r="H13">
            <v>53.277714609181906</v>
          </cell>
          <cell r="I13">
            <v>52.363321329072605</v>
          </cell>
          <cell r="J13">
            <v>52.678847686457395</v>
          </cell>
          <cell r="K13">
            <v>53.339242537639549</v>
          </cell>
        </row>
        <row r="14">
          <cell r="G14">
            <v>51.277257141310677</v>
          </cell>
          <cell r="H14">
            <v>52.940132453135057</v>
          </cell>
          <cell r="I14">
            <v>52.089302992875233</v>
          </cell>
          <cell r="J14">
            <v>52.426227919615393</v>
          </cell>
          <cell r="K14">
            <v>53.232686232240617</v>
          </cell>
        </row>
        <row r="15">
          <cell r="G15">
            <v>52.018336421906014</v>
          </cell>
          <cell r="H15">
            <v>52.915763701946702</v>
          </cell>
          <cell r="I15">
            <v>52.271386040086497</v>
          </cell>
          <cell r="J15">
            <v>52.530939340146482</v>
          </cell>
          <cell r="K15">
            <v>53.366943568874674</v>
          </cell>
        </row>
        <row r="16">
          <cell r="G16">
            <v>52.98233748499252</v>
          </cell>
          <cell r="H16">
            <v>52.800498107071114</v>
          </cell>
          <cell r="I16">
            <v>52.55310322460987</v>
          </cell>
          <cell r="J16">
            <v>52.623084883804559</v>
          </cell>
          <cell r="K16">
            <v>53.516101641910332</v>
          </cell>
        </row>
        <row r="17">
          <cell r="G17">
            <v>53.889793700169442</v>
          </cell>
          <cell r="H17">
            <v>52.794449679484593</v>
          </cell>
          <cell r="I17">
            <v>52.789185189130059</v>
          </cell>
          <cell r="J17">
            <v>52.753163643097466</v>
          </cell>
          <cell r="K17">
            <v>53.653228266286241</v>
          </cell>
        </row>
        <row r="18">
          <cell r="G18">
            <v>54.681425882508329</v>
          </cell>
          <cell r="H18">
            <v>52.717976670727509</v>
          </cell>
          <cell r="I18">
            <v>52.967521017275487</v>
          </cell>
          <cell r="J18">
            <v>52.84326327529098</v>
          </cell>
          <cell r="K18">
            <v>53.773735275052942</v>
          </cell>
        </row>
        <row r="19">
          <cell r="G19">
            <v>54.937519126859293</v>
          </cell>
          <cell r="H19">
            <v>52.644772144830455</v>
          </cell>
          <cell r="I19">
            <v>52.986322244859288</v>
          </cell>
          <cell r="J19">
            <v>52.951569295815872</v>
          </cell>
          <cell r="K19">
            <v>53.904236741008582</v>
          </cell>
        </row>
        <row r="20">
          <cell r="G20">
            <v>54.808928811344913</v>
          </cell>
          <cell r="H20">
            <v>52.520166860467839</v>
          </cell>
          <cell r="I20">
            <v>52.839256311538726</v>
          </cell>
          <cell r="J20">
            <v>52.992512308121604</v>
          </cell>
          <cell r="K20">
            <v>53.991890233382172</v>
          </cell>
        </row>
      </sheetData>
      <sheetData sheetId="43">
        <row r="8">
          <cell r="G8">
            <v>52.283820008031284</v>
          </cell>
          <cell r="H8">
            <v>48.511892604120995</v>
          </cell>
          <cell r="I8">
            <v>48.226869564875756</v>
          </cell>
          <cell r="J8">
            <v>47.268590226712021</v>
          </cell>
          <cell r="K8">
            <v>47.168561473876025</v>
          </cell>
        </row>
        <row r="9">
          <cell r="G9">
            <v>50.579692476429841</v>
          </cell>
          <cell r="H9">
            <v>48.08952205567789</v>
          </cell>
          <cell r="I9">
            <v>47.677381689232071</v>
          </cell>
          <cell r="J9">
            <v>47.016356195362249</v>
          </cell>
          <cell r="K9">
            <v>47.089364977959782</v>
          </cell>
        </row>
        <row r="10">
          <cell r="G10">
            <v>48.855553388363916</v>
          </cell>
          <cell r="H10">
            <v>47.737617153209342</v>
          </cell>
          <cell r="I10">
            <v>47.091142997561668</v>
          </cell>
          <cell r="J10">
            <v>46.81887162491217</v>
          </cell>
          <cell r="K10">
            <v>47.019313841696025</v>
          </cell>
        </row>
        <row r="11">
          <cell r="G11">
            <v>47.593033789182485</v>
          </cell>
          <cell r="H11">
            <v>47.397979279936216</v>
          </cell>
          <cell r="I11">
            <v>46.6897055818608</v>
          </cell>
          <cell r="J11">
            <v>46.622344679163795</v>
          </cell>
          <cell r="K11">
            <v>46.956556010967603</v>
          </cell>
        </row>
        <row r="12">
          <cell r="G12">
            <v>46.238972548340698</v>
          </cell>
          <cell r="H12">
            <v>46.963818194632132</v>
          </cell>
          <cell r="I12">
            <v>46.191783236576178</v>
          </cell>
          <cell r="J12">
            <v>46.364291594228355</v>
          </cell>
          <cell r="K12">
            <v>46.852491762722472</v>
          </cell>
        </row>
        <row r="13">
          <cell r="G13">
            <v>45.453480630959163</v>
          </cell>
          <cell r="H13">
            <v>46.57404782201175</v>
          </cell>
          <cell r="I13">
            <v>45.888736645747954</v>
          </cell>
          <cell r="J13">
            <v>46.14770735956639</v>
          </cell>
          <cell r="K13">
            <v>46.780124161823451</v>
          </cell>
        </row>
        <row r="14">
          <cell r="G14">
            <v>45.085348709772255</v>
          </cell>
          <cell r="H14">
            <v>46.293393902904818</v>
          </cell>
          <cell r="I14">
            <v>45.698007571306164</v>
          </cell>
          <cell r="J14">
            <v>45.944032684160398</v>
          </cell>
          <cell r="K14">
            <v>46.698806890003155</v>
          </cell>
        </row>
        <row r="15">
          <cell r="G15">
            <v>45.738216115944169</v>
          </cell>
          <cell r="H15">
            <v>46.26328676084966</v>
          </cell>
          <cell r="I15">
            <v>45.869964031401913</v>
          </cell>
          <cell r="J15">
            <v>46.034767834666496</v>
          </cell>
          <cell r="K15">
            <v>46.82135160559497</v>
          </cell>
        </row>
        <row r="16">
          <cell r="G16">
            <v>46.605467798917424</v>
          </cell>
          <cell r="H16">
            <v>46.202232070558004</v>
          </cell>
          <cell r="I16">
            <v>46.132029375050948</v>
          </cell>
          <cell r="J16">
            <v>46.13913422284174</v>
          </cell>
          <cell r="K16">
            <v>46.967143312012276</v>
          </cell>
        </row>
        <row r="17">
          <cell r="G17">
            <v>47.184744210013257</v>
          </cell>
          <cell r="H17">
            <v>46.216381014169258</v>
          </cell>
          <cell r="I17">
            <v>46.278812228958792</v>
          </cell>
          <cell r="J17">
            <v>46.263465631469515</v>
          </cell>
          <cell r="K17">
            <v>47.061171285290968</v>
          </cell>
        </row>
        <row r="18">
          <cell r="G18">
            <v>47.779875589795367</v>
          </cell>
          <cell r="H18">
            <v>46.16665135666954</v>
          </cell>
          <cell r="I18">
            <v>46.409524069851834</v>
          </cell>
          <cell r="J18">
            <v>46.356376019748893</v>
          </cell>
          <cell r="K18">
            <v>47.181097951685956</v>
          </cell>
        </row>
        <row r="19">
          <cell r="G19">
            <v>47.854472041241117</v>
          </cell>
          <cell r="H19">
            <v>46.122567062223212</v>
          </cell>
          <cell r="I19">
            <v>46.40093070773468</v>
          </cell>
          <cell r="J19">
            <v>46.461413191232879</v>
          </cell>
          <cell r="K19">
            <v>47.301600152214966</v>
          </cell>
        </row>
        <row r="20">
          <cell r="G20">
            <v>47.626576455370937</v>
          </cell>
          <cell r="H20">
            <v>46.020317972665126</v>
          </cell>
          <cell r="I20">
            <v>46.249164765558646</v>
          </cell>
          <cell r="J20">
            <v>46.495024246980151</v>
          </cell>
          <cell r="K20">
            <v>47.378518790974418</v>
          </cell>
        </row>
      </sheetData>
      <sheetData sheetId="44">
        <row r="8">
          <cell r="G8">
            <v>13.575321695221293</v>
          </cell>
          <cell r="H8">
            <v>17.813986303367251</v>
          </cell>
          <cell r="I8">
            <v>19.369507336474388</v>
          </cell>
          <cell r="J8">
            <v>20.298991153984694</v>
          </cell>
          <cell r="K8">
            <v>20.231244980032702</v>
          </cell>
        </row>
        <row r="9">
          <cell r="G9">
            <v>15.125482619615012</v>
          </cell>
          <cell r="H9">
            <v>18.565304917205886</v>
          </cell>
          <cell r="I9">
            <v>19.932146360001745</v>
          </cell>
          <cell r="J9">
            <v>20.707914556920326</v>
          </cell>
          <cell r="K9">
            <v>20.328508506436815</v>
          </cell>
        </row>
        <row r="10">
          <cell r="G10">
            <v>17.19337736460653</v>
          </cell>
          <cell r="H10">
            <v>19.341338345353751</v>
          </cell>
          <cell r="I10">
            <v>20.637393454528425</v>
          </cell>
          <cell r="J10">
            <v>21.139984411073108</v>
          </cell>
          <cell r="K10">
            <v>20.430641666178502</v>
          </cell>
        </row>
        <row r="11">
          <cell r="G11">
            <v>18.823598352527902</v>
          </cell>
          <cell r="H11">
            <v>20.008415858532381</v>
          </cell>
          <cell r="I11">
            <v>21.21047210012981</v>
          </cell>
          <cell r="J11">
            <v>21.505381007173778</v>
          </cell>
          <cell r="K11">
            <v>20.514429254798277</v>
          </cell>
        </row>
        <row r="12">
          <cell r="G12">
            <v>19.648930845611179</v>
          </cell>
          <cell r="H12">
            <v>20.712131598082767</v>
          </cell>
          <cell r="I12">
            <v>21.586125718384697</v>
          </cell>
          <cell r="J12">
            <v>21.905438780024589</v>
          </cell>
          <cell r="K12">
            <v>20.610105566072018</v>
          </cell>
        </row>
        <row r="13">
          <cell r="G13">
            <v>20.847363763109048</v>
          </cell>
          <cell r="H13">
            <v>21.475033314809163</v>
          </cell>
          <cell r="I13">
            <v>22.077963454213151</v>
          </cell>
          <cell r="J13">
            <v>22.313047148380615</v>
          </cell>
          <cell r="K13">
            <v>20.710065032648281</v>
          </cell>
        </row>
        <row r="14">
          <cell r="G14">
            <v>21.931714132980822</v>
          </cell>
          <cell r="H14">
            <v>22.222370509827623</v>
          </cell>
          <cell r="I14">
            <v>22.49511424885501</v>
          </cell>
          <cell r="J14">
            <v>22.732644913522414</v>
          </cell>
          <cell r="K14">
            <v>20.81017830457245</v>
          </cell>
        </row>
        <row r="15">
          <cell r="G15">
            <v>21.936682691615736</v>
          </cell>
          <cell r="H15">
            <v>22.31667196775636</v>
          </cell>
          <cell r="I15">
            <v>22.542582840332983</v>
          </cell>
          <cell r="J15">
            <v>22.500219697817048</v>
          </cell>
          <cell r="K15">
            <v>20.674392968083129</v>
          </cell>
        </row>
        <row r="16">
          <cell r="G16">
            <v>21.499035747575757</v>
          </cell>
          <cell r="H16">
            <v>22.362294554062803</v>
          </cell>
          <cell r="I16">
            <v>22.459198976698353</v>
          </cell>
          <cell r="J16">
            <v>22.294157373125984</v>
          </cell>
          <cell r="K16">
            <v>20.555205809829879</v>
          </cell>
        </row>
        <row r="17">
          <cell r="G17">
            <v>21.243497648288297</v>
          </cell>
          <cell r="H17">
            <v>22.42759655625628</v>
          </cell>
          <cell r="I17">
            <v>22.422406664521656</v>
          </cell>
          <cell r="J17">
            <v>22.053563963262153</v>
          </cell>
          <cell r="K17">
            <v>20.411076902129604</v>
          </cell>
        </row>
        <row r="18">
          <cell r="G18">
            <v>21.807283288803614</v>
          </cell>
          <cell r="H18">
            <v>22.567938459111794</v>
          </cell>
          <cell r="I18">
            <v>22.671662971305338</v>
          </cell>
          <cell r="J18">
            <v>21.854687626549577</v>
          </cell>
          <cell r="K18">
            <v>20.291449796081054</v>
          </cell>
        </row>
        <row r="19">
          <cell r="G19">
            <v>22.130203905603093</v>
          </cell>
          <cell r="H19">
            <v>22.706172305261479</v>
          </cell>
          <cell r="I19">
            <v>22.815038042711034</v>
          </cell>
          <cell r="J19">
            <v>21.668545703457813</v>
          </cell>
          <cell r="K19">
            <v>20.096029418284179</v>
          </cell>
        </row>
        <row r="20">
          <cell r="G20">
            <v>22.521074300010284</v>
          </cell>
          <cell r="H20">
            <v>22.780487718608367</v>
          </cell>
          <cell r="I20">
            <v>23.003778693093878</v>
          </cell>
          <cell r="J20">
            <v>21.43657739214575</v>
          </cell>
          <cell r="K20">
            <v>19.952967084830341</v>
          </cell>
        </row>
      </sheetData>
      <sheetData sheetId="45"/>
      <sheetData sheetId="46" refreshError="1"/>
      <sheetData sheetId="47" refreshError="1"/>
      <sheetData sheetId="4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st Penn Power LP_GSCMMS"/>
      <sheetName val="PSEG LP_LPLMS"/>
      <sheetName val="PSEG LP_GLP_MMS"/>
      <sheetName val="PPL_RCGS3MS"/>
      <sheetName val="PPL_RCGS1MS"/>
      <sheetName val="Potomac Edison LP_GSCM_MMS"/>
      <sheetName val="PEPCO MD RC_3T7MS"/>
      <sheetName val="PEPCO MD LP_MMGTL2AMS"/>
      <sheetName val="PEPCO MD LP_MDNDMS"/>
      <sheetName val="Penn Power RC_GMDMS"/>
      <sheetName val="Penelec RC_GSSFMS"/>
      <sheetName val="Penelec RC_GSMFMS"/>
      <sheetName val="Penelec RC_GSLFMS"/>
      <sheetName val="PECO LP_GSMS"/>
      <sheetName val="MetEd RC_GSSFMS"/>
      <sheetName val="MetEd RC_GSLFMS"/>
      <sheetName val="MetEd RC_GSDFMS"/>
      <sheetName val="JCPL LP_GSCSMS"/>
      <sheetName val="JCPL LP_GSCMMS"/>
      <sheetName val="JCPL LP_GSCLMS"/>
      <sheetName val="FE_OE - test RC_GSFMS"/>
      <sheetName val="Duke_OH_RC_DS01MS"/>
      <sheetName val="DQE LP_GSGM_MMS"/>
      <sheetName val="Delmarva MD LP_MDGS_MMS"/>
      <sheetName val="DAY_RC_843MS"/>
      <sheetName val="ComEd - test LP_29MS"/>
      <sheetName val="ComEd - test LP_28MS"/>
      <sheetName val="BGE LP_GSMS"/>
      <sheetName val="BGE LP_GLMS"/>
      <sheetName val="BGE LP_GMS"/>
      <sheetName val="Ameren RateZnIII LP DS2HHMS"/>
      <sheetName val="AEP_OH_CS - test CSGS3UMS"/>
      <sheetName val="AEP_OH_CS - test CSGS2UMS"/>
      <sheetName val="AEP_OH_CS - test CSGS1MS"/>
      <sheetName val="AECO LP_14V1_MMS"/>
      <sheetName val="AECO LP_10V1_SMS"/>
      <sheetName val="Log"/>
      <sheetName val="Folder"/>
      <sheetName val="Matrix"/>
      <sheetName val="Main"/>
      <sheetName val="LMPMain"/>
      <sheetName val="Adders"/>
      <sheetName val="6 Mths"/>
      <sheetName val="12 Mths"/>
      <sheetName val="18 Mths"/>
      <sheetName val="24 Mths"/>
      <sheetName val="36 Mths"/>
      <sheetName val="Do Not Remove &gt;&gt;&gt;"/>
      <sheetName val="Import"/>
      <sheetName val="Parameters"/>
      <sheetName val="Hours"/>
      <sheetName val="Holidays"/>
    </sheetNames>
    <sheetDataSet>
      <sheetData sheetId="0">
        <row r="8">
          <cell r="G8">
            <v>32.496862500316425</v>
          </cell>
          <cell r="H8">
            <v>32.950457422441708</v>
          </cell>
          <cell r="I8">
            <v>30.313731967178175</v>
          </cell>
          <cell r="J8">
            <v>29.218612961811171</v>
          </cell>
          <cell r="K8">
            <v>30.365090356698882</v>
          </cell>
        </row>
        <row r="9">
          <cell r="G9">
            <v>32.639963434059261</v>
          </cell>
          <cell r="H9">
            <v>32.326572404655444</v>
          </cell>
          <cell r="I9">
            <v>29.944898867084515</v>
          </cell>
          <cell r="J9">
            <v>29.197850460093687</v>
          </cell>
          <cell r="K9">
            <v>30.415608042377073</v>
          </cell>
        </row>
        <row r="10">
          <cell r="G10">
            <v>33.203923503984782</v>
          </cell>
          <cell r="H10">
            <v>31.730745644037519</v>
          </cell>
          <cell r="I10">
            <v>29.683932595459662</v>
          </cell>
          <cell r="J10">
            <v>29.224193022990079</v>
          </cell>
          <cell r="K10">
            <v>30.499248813503542</v>
          </cell>
        </row>
        <row r="11">
          <cell r="G11">
            <v>33.391708203924992</v>
          </cell>
          <cell r="H11">
            <v>31.070465553578686</v>
          </cell>
          <cell r="I11">
            <v>29.335363359927467</v>
          </cell>
          <cell r="J11">
            <v>29.199506151631152</v>
          </cell>
          <cell r="K11">
            <v>30.548647257359946</v>
          </cell>
        </row>
        <row r="12">
          <cell r="G12">
            <v>33.475571326376283</v>
          </cell>
          <cell r="H12">
            <v>30.468981517262019</v>
          </cell>
          <cell r="I12">
            <v>28.956202034042313</v>
          </cell>
          <cell r="J12">
            <v>29.19552872624643</v>
          </cell>
          <cell r="K12">
            <v>30.616884358880679</v>
          </cell>
        </row>
        <row r="13">
          <cell r="G13">
            <v>33.495208578581959</v>
          </cell>
          <cell r="H13">
            <v>29.843147527067671</v>
          </cell>
          <cell r="I13">
            <v>28.555012530825341</v>
          </cell>
          <cell r="J13">
            <v>29.180801149594753</v>
          </cell>
          <cell r="K13">
            <v>30.665207307562742</v>
          </cell>
        </row>
        <row r="14">
          <cell r="G14">
            <v>33.41398121693716</v>
          </cell>
          <cell r="H14">
            <v>29.209523722240679</v>
          </cell>
          <cell r="I14">
            <v>28.107365244047006</v>
          </cell>
          <cell r="J14">
            <v>29.145059812552564</v>
          </cell>
          <cell r="K14">
            <v>30.704029830770097</v>
          </cell>
        </row>
        <row r="15">
          <cell r="G15">
            <v>32.005628903369939</v>
          </cell>
          <cell r="H15">
            <v>28.578982258206146</v>
          </cell>
          <cell r="I15">
            <v>28.030005077088827</v>
          </cell>
          <cell r="J15">
            <v>29.138251843369691</v>
          </cell>
          <cell r="K15">
            <v>30.76535609521591</v>
          </cell>
        </row>
        <row r="16">
          <cell r="G16">
            <v>30.272221980197294</v>
          </cell>
          <cell r="H16">
            <v>27.93484310936493</v>
          </cell>
          <cell r="I16">
            <v>27.905114598929316</v>
          </cell>
          <cell r="J16">
            <v>29.121020369196383</v>
          </cell>
          <cell r="K16">
            <v>30.819515247134994</v>
          </cell>
        </row>
        <row r="17">
          <cell r="G17">
            <v>28.840205661834002</v>
          </cell>
          <cell r="H17">
            <v>27.341491271710922</v>
          </cell>
          <cell r="I17">
            <v>27.836275443394815</v>
          </cell>
          <cell r="J17">
            <v>29.104586642685575</v>
          </cell>
          <cell r="K17">
            <v>30.867786085120997</v>
          </cell>
        </row>
        <row r="18">
          <cell r="G18">
            <v>27.550117047536428</v>
          </cell>
          <cell r="H18">
            <v>26.724076282477512</v>
          </cell>
          <cell r="I18">
            <v>27.793874339449221</v>
          </cell>
          <cell r="J18">
            <v>29.098450185337438</v>
          </cell>
          <cell r="K18">
            <v>30.932998401486888</v>
          </cell>
        </row>
        <row r="19">
          <cell r="G19">
            <v>26.331692576984256</v>
          </cell>
          <cell r="H19">
            <v>26.12631635451492</v>
          </cell>
          <cell r="I19">
            <v>27.778161488620125</v>
          </cell>
          <cell r="J19">
            <v>29.088605518653722</v>
          </cell>
          <cell r="K19">
            <v>30.982743534265591</v>
          </cell>
        </row>
        <row r="20">
          <cell r="G20">
            <v>25.08903237836639</v>
          </cell>
          <cell r="H20">
            <v>25.473333963514381</v>
          </cell>
          <cell r="I20">
            <v>27.739512039047103</v>
          </cell>
          <cell r="J20">
            <v>29.067909238998411</v>
          </cell>
          <cell r="K20">
            <v>31.031633459023855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">
        <row r="8">
          <cell r="G8">
            <v>57.584209720131952</v>
          </cell>
          <cell r="H8">
            <v>60.021649626939372</v>
          </cell>
          <cell r="I8">
            <v>60.335802999797671</v>
          </cell>
          <cell r="J8">
            <v>61.59199518487268</v>
          </cell>
          <cell r="K8">
            <v>62.472286924182782</v>
          </cell>
        </row>
        <row r="9">
          <cell r="G9">
            <v>58.622398454754148</v>
          </cell>
          <cell r="H9">
            <v>60.304962937555267</v>
          </cell>
          <cell r="I9">
            <v>60.915746219736036</v>
          </cell>
          <cell r="J9">
            <v>61.793790000363423</v>
          </cell>
          <cell r="K9">
            <v>62.834436757699315</v>
          </cell>
        </row>
        <row r="10">
          <cell r="G10">
            <v>60.796357841078198</v>
          </cell>
          <cell r="H10">
            <v>60.640341259000557</v>
          </cell>
          <cell r="I10">
            <v>61.762948099935485</v>
          </cell>
          <cell r="J10">
            <v>62.043924244928363</v>
          </cell>
          <cell r="K10">
            <v>63.230749195889246</v>
          </cell>
        </row>
        <row r="11">
          <cell r="G11">
            <v>62.100837302867127</v>
          </cell>
          <cell r="H11">
            <v>60.904814171303684</v>
          </cell>
          <cell r="I11">
            <v>62.332763588181244</v>
          </cell>
          <cell r="J11">
            <v>62.112730735197637</v>
          </cell>
          <cell r="K11">
            <v>63.51050707715298</v>
          </cell>
        </row>
        <row r="12">
          <cell r="G12">
            <v>63.063455768617679</v>
          </cell>
          <cell r="H12">
            <v>61.205091169599847</v>
          </cell>
          <cell r="I12">
            <v>62.824350151705076</v>
          </cell>
          <cell r="J12">
            <v>62.310907013519383</v>
          </cell>
          <cell r="K12">
            <v>63.887696089256309</v>
          </cell>
        </row>
        <row r="13">
          <cell r="G13">
            <v>63.065274327680825</v>
          </cell>
          <cell r="H13">
            <v>61.549027125510669</v>
          </cell>
          <cell r="I13">
            <v>63.014647361767103</v>
          </cell>
          <cell r="J13">
            <v>62.525281456940185</v>
          </cell>
          <cell r="K13">
            <v>64.249634206824965</v>
          </cell>
        </row>
        <row r="14">
          <cell r="G14">
            <v>62.676317380348713</v>
          </cell>
          <cell r="H14">
            <v>61.77223108912721</v>
          </cell>
          <cell r="I14">
            <v>63.009547986466252</v>
          </cell>
          <cell r="J14">
            <v>62.687981508654843</v>
          </cell>
          <cell r="K14">
            <v>64.582196315469858</v>
          </cell>
        </row>
        <row r="15">
          <cell r="G15">
            <v>62.079754361499027</v>
          </cell>
          <cell r="H15">
            <v>62.096910735466523</v>
          </cell>
          <cell r="I15">
            <v>62.892361483208852</v>
          </cell>
          <cell r="J15">
            <v>62.904663367381026</v>
          </cell>
          <cell r="K15">
            <v>64.953182291240324</v>
          </cell>
        </row>
        <row r="16">
          <cell r="G16">
            <v>60.487765907488601</v>
          </cell>
          <cell r="H16">
            <v>62.241018089979534</v>
          </cell>
          <cell r="I16">
            <v>62.454570573301787</v>
          </cell>
          <cell r="J16">
            <v>63.025345645820963</v>
          </cell>
          <cell r="K16">
            <v>65.266508120797937</v>
          </cell>
        </row>
        <row r="17">
          <cell r="G17">
            <v>59.802204054533703</v>
          </cell>
          <cell r="H17">
            <v>62.444513165270848</v>
          </cell>
          <cell r="I17">
            <v>62.116478373246927</v>
          </cell>
          <cell r="J17">
            <v>63.187042221846134</v>
          </cell>
          <cell r="K17">
            <v>65.585017667714354</v>
          </cell>
        </row>
        <row r="18">
          <cell r="G18">
            <v>59.526950424549412</v>
          </cell>
          <cell r="H18">
            <v>62.710391842564782</v>
          </cell>
          <cell r="I18">
            <v>62.077171469754447</v>
          </cell>
          <cell r="J18">
            <v>63.378393636527704</v>
          </cell>
          <cell r="K18">
            <v>65.955066050114269</v>
          </cell>
        </row>
        <row r="19">
          <cell r="G19">
            <v>60.193991374660207</v>
          </cell>
          <cell r="H19">
            <v>62.990665278527757</v>
          </cell>
          <cell r="I19">
            <v>62.358999875869621</v>
          </cell>
          <cell r="J19">
            <v>63.558884625736475</v>
          </cell>
          <cell r="K19">
            <v>66.287731709946954</v>
          </cell>
        </row>
        <row r="20">
          <cell r="G20">
            <v>60.939968462766927</v>
          </cell>
          <cell r="H20">
            <v>63.16981469377501</v>
          </cell>
          <cell r="I20">
            <v>62.691649991473504</v>
          </cell>
          <cell r="J20">
            <v>63.698927276602866</v>
          </cell>
          <cell r="K20">
            <v>66.605644958047321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">
        <row r="8">
          <cell r="G8">
            <v>58.188528878672855</v>
          </cell>
          <cell r="H8">
            <v>60.842957160874796</v>
          </cell>
          <cell r="I8">
            <v>61.065694748204876</v>
          </cell>
          <cell r="J8">
            <v>62.381127133453028</v>
          </cell>
          <cell r="K8">
            <v>63.300026760585311</v>
          </cell>
        </row>
        <row r="9">
          <cell r="G9">
            <v>59.115381453271198</v>
          </cell>
          <cell r="H9">
            <v>61.119748698807562</v>
          </cell>
          <cell r="I9">
            <v>61.585816244761475</v>
          </cell>
          <cell r="J9">
            <v>62.573110059106</v>
          </cell>
          <cell r="K9">
            <v>63.648780964647713</v>
          </cell>
        </row>
        <row r="10">
          <cell r="G10">
            <v>61.225680743145212</v>
          </cell>
          <cell r="H10">
            <v>61.442361590327053</v>
          </cell>
          <cell r="I10">
            <v>62.426492354550703</v>
          </cell>
          <cell r="J10">
            <v>62.820428707213225</v>
          </cell>
          <cell r="K10">
            <v>64.044301631522728</v>
          </cell>
        </row>
        <row r="11">
          <cell r="G11">
            <v>62.769066706140194</v>
          </cell>
          <cell r="H11">
            <v>61.716128682451327</v>
          </cell>
          <cell r="I11">
            <v>63.069229920457914</v>
          </cell>
          <cell r="J11">
            <v>62.973957374774081</v>
          </cell>
          <cell r="K11">
            <v>64.37901632156948</v>
          </cell>
        </row>
        <row r="12">
          <cell r="G12">
            <v>63.854455805146181</v>
          </cell>
          <cell r="H12">
            <v>62.001182777062262</v>
          </cell>
          <cell r="I12">
            <v>63.596679358462751</v>
          </cell>
          <cell r="J12">
            <v>63.157527572909927</v>
          </cell>
          <cell r="K12">
            <v>64.743455063925722</v>
          </cell>
        </row>
        <row r="13">
          <cell r="G13">
            <v>64.028387456003998</v>
          </cell>
          <cell r="H13">
            <v>62.340531902892749</v>
          </cell>
          <cell r="I13">
            <v>63.837330262280837</v>
          </cell>
          <cell r="J13">
            <v>63.374667444828511</v>
          </cell>
          <cell r="K13">
            <v>65.106148167891277</v>
          </cell>
        </row>
        <row r="14">
          <cell r="G14">
            <v>63.786619388288436</v>
          </cell>
          <cell r="H14">
            <v>62.580713411377843</v>
          </cell>
          <cell r="I14">
            <v>63.880833651158284</v>
          </cell>
          <cell r="J14">
            <v>63.546525154598982</v>
          </cell>
          <cell r="K14">
            <v>65.442400580360555</v>
          </cell>
        </row>
        <row r="15">
          <cell r="G15">
            <v>63.279785087424692</v>
          </cell>
          <cell r="H15">
            <v>62.870627632825304</v>
          </cell>
          <cell r="I15">
            <v>63.787050702938004</v>
          </cell>
          <cell r="J15">
            <v>63.743963295370456</v>
          </cell>
          <cell r="K15">
            <v>65.803989326526363</v>
          </cell>
        </row>
        <row r="16">
          <cell r="G16">
            <v>61.658137195127644</v>
          </cell>
          <cell r="H16">
            <v>63.025827805492689</v>
          </cell>
          <cell r="I16">
            <v>63.351637721888132</v>
          </cell>
          <cell r="J16">
            <v>63.872754659353632</v>
          </cell>
          <cell r="K16">
            <v>66.120451300389234</v>
          </cell>
        </row>
        <row r="17">
          <cell r="G17">
            <v>60.742915122103099</v>
          </cell>
          <cell r="H17">
            <v>63.21399178006439</v>
          </cell>
          <cell r="I17">
            <v>63.03877675533878</v>
          </cell>
          <cell r="J17">
            <v>64.025826419690759</v>
          </cell>
          <cell r="K17">
            <v>66.430787919792934</v>
          </cell>
        </row>
        <row r="18">
          <cell r="G18">
            <v>60.336023821507652</v>
          </cell>
          <cell r="H18">
            <v>63.474168841253352</v>
          </cell>
          <cell r="I18">
            <v>62.941354426605578</v>
          </cell>
          <cell r="J18">
            <v>64.209649991888796</v>
          </cell>
          <cell r="K18">
            <v>66.790970657606948</v>
          </cell>
        </row>
        <row r="19">
          <cell r="G19">
            <v>60.851432316992323</v>
          </cell>
          <cell r="H19">
            <v>63.747460295718071</v>
          </cell>
          <cell r="I19">
            <v>63.17469404216105</v>
          </cell>
          <cell r="J19">
            <v>64.394445701329218</v>
          </cell>
          <cell r="K19">
            <v>67.127552127912097</v>
          </cell>
        </row>
        <row r="20">
          <cell r="G20">
            <v>61.49040894229983</v>
          </cell>
          <cell r="H20">
            <v>63.925692667402735</v>
          </cell>
          <cell r="I20">
            <v>63.471790782606597</v>
          </cell>
          <cell r="J20">
            <v>64.531476779295076</v>
          </cell>
          <cell r="K20">
            <v>67.439845476607815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">
        <row r="8">
          <cell r="G8">
            <v>38.397526285339111</v>
          </cell>
          <cell r="H8">
            <v>38.980375279099924</v>
          </cell>
          <cell r="I8">
            <v>37.329893580905853</v>
          </cell>
          <cell r="J8">
            <v>36.78718048964798</v>
          </cell>
          <cell r="K8">
            <v>36.170494979375441</v>
          </cell>
        </row>
        <row r="9">
          <cell r="G9">
            <v>38.388793347284043</v>
          </cell>
          <cell r="H9">
            <v>38.609731983234951</v>
          </cell>
          <cell r="I9">
            <v>37.082468011681506</v>
          </cell>
          <cell r="J9">
            <v>36.618182830706481</v>
          </cell>
          <cell r="K9">
            <v>36.411126278956161</v>
          </cell>
        </row>
        <row r="10">
          <cell r="G10">
            <v>38.904901923171288</v>
          </cell>
          <cell r="H10">
            <v>38.248426444437584</v>
          </cell>
          <cell r="I10">
            <v>36.993151204604068</v>
          </cell>
          <cell r="J10">
            <v>36.471746861364586</v>
          </cell>
          <cell r="K10">
            <v>36.671149013056635</v>
          </cell>
        </row>
        <row r="11">
          <cell r="G11">
            <v>39.317674991685088</v>
          </cell>
          <cell r="H11">
            <v>37.848958086131589</v>
          </cell>
          <cell r="I11">
            <v>36.891960999740562</v>
          </cell>
          <cell r="J11">
            <v>36.293230343644012</v>
          </cell>
          <cell r="K11">
            <v>36.914632633615909</v>
          </cell>
        </row>
        <row r="12">
          <cell r="G12">
            <v>39.698714826933255</v>
          </cell>
          <cell r="H12">
            <v>37.51600663173555</v>
          </cell>
          <cell r="I12">
            <v>36.77439221063787</v>
          </cell>
          <cell r="J12">
            <v>36.148612160776949</v>
          </cell>
          <cell r="K12">
            <v>37.178840363224573</v>
          </cell>
        </row>
        <row r="13">
          <cell r="G13">
            <v>39.711675714953095</v>
          </cell>
          <cell r="H13">
            <v>37.171522979726383</v>
          </cell>
          <cell r="I13">
            <v>36.546210544229957</v>
          </cell>
          <cell r="J13">
            <v>35.98096116306133</v>
          </cell>
          <cell r="K13">
            <v>37.422691635609475</v>
          </cell>
        </row>
        <row r="14">
          <cell r="G14">
            <v>39.572323705430072</v>
          </cell>
          <cell r="H14">
            <v>36.791710926657146</v>
          </cell>
          <cell r="I14">
            <v>36.243813491046815</v>
          </cell>
          <cell r="J14">
            <v>35.775184697666383</v>
          </cell>
          <cell r="K14">
            <v>37.629603902705931</v>
          </cell>
        </row>
        <row r="15">
          <cell r="G15">
            <v>38.837152970113785</v>
          </cell>
          <cell r="H15">
            <v>36.41925827616592</v>
          </cell>
          <cell r="I15">
            <v>36.015333844542234</v>
          </cell>
          <cell r="J15">
            <v>35.610023303264228</v>
          </cell>
          <cell r="K15">
            <v>37.882881465659089</v>
          </cell>
        </row>
        <row r="16">
          <cell r="G16">
            <v>37.586752076059355</v>
          </cell>
          <cell r="H16">
            <v>36.034013330868007</v>
          </cell>
          <cell r="I16">
            <v>35.65468792425645</v>
          </cell>
          <cell r="J16">
            <v>35.434194422434508</v>
          </cell>
          <cell r="K16">
            <v>38.127447861982333</v>
          </cell>
        </row>
        <row r="17">
          <cell r="G17">
            <v>36.415985239368318</v>
          </cell>
          <cell r="H17">
            <v>35.689534347263383</v>
          </cell>
          <cell r="I17">
            <v>35.298659258641749</v>
          </cell>
          <cell r="J17">
            <v>35.27876508688734</v>
          </cell>
          <cell r="K17">
            <v>38.351891547939772</v>
          </cell>
        </row>
        <row r="18">
          <cell r="G18">
            <v>35.397389843488298</v>
          </cell>
          <cell r="H18">
            <v>35.32945481094734</v>
          </cell>
          <cell r="I18">
            <v>34.985058839327017</v>
          </cell>
          <cell r="J18">
            <v>35.11567918696359</v>
          </cell>
          <cell r="K18">
            <v>38.609021713638185</v>
          </cell>
        </row>
        <row r="19">
          <cell r="G19">
            <v>34.718521489974464</v>
          </cell>
          <cell r="H19">
            <v>34.986882723303502</v>
          </cell>
          <cell r="I19">
            <v>34.763673135880722</v>
          </cell>
          <cell r="J19">
            <v>34.950136139923835</v>
          </cell>
          <cell r="K19">
            <v>38.843137172972824</v>
          </cell>
        </row>
        <row r="20">
          <cell r="G20">
            <v>34.051501334836978</v>
          </cell>
          <cell r="H20">
            <v>34.587765223275568</v>
          </cell>
          <cell r="I20">
            <v>34.520644250298439</v>
          </cell>
          <cell r="J20">
            <v>34.761970095400343</v>
          </cell>
          <cell r="K20">
            <v>39.07431805421708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4">
        <row r="8">
          <cell r="G8">
            <v>39.16693187975806</v>
          </cell>
          <cell r="H8">
            <v>38.9426579271924</v>
          </cell>
          <cell r="I8">
            <v>37.532731636826647</v>
          </cell>
          <cell r="J8">
            <v>36.745916017613119</v>
          </cell>
          <cell r="K8">
            <v>36.1181647682861</v>
          </cell>
        </row>
        <row r="9">
          <cell r="G9">
            <v>38.569397000273362</v>
          </cell>
          <cell r="H9">
            <v>38.572827636208352</v>
          </cell>
          <cell r="I9">
            <v>37.099082651930196</v>
          </cell>
          <cell r="J9">
            <v>36.577351360393145</v>
          </cell>
          <cell r="K9">
            <v>36.35768615617328</v>
          </cell>
        </row>
        <row r="10">
          <cell r="G10">
            <v>38.415857729426733</v>
          </cell>
          <cell r="H10">
            <v>38.201429481602624</v>
          </cell>
          <cell r="I10">
            <v>36.80067253671919</v>
          </cell>
          <cell r="J10">
            <v>36.420206702992594</v>
          </cell>
          <cell r="K10">
            <v>36.612329762580131</v>
          </cell>
        </row>
        <row r="11">
          <cell r="G11">
            <v>38.221436163684849</v>
          </cell>
          <cell r="H11">
            <v>37.812644416982657</v>
          </cell>
          <cell r="I11">
            <v>36.514662637998093</v>
          </cell>
          <cell r="J11">
            <v>36.244131749866405</v>
          </cell>
          <cell r="K11">
            <v>36.85716231841468</v>
          </cell>
        </row>
        <row r="12">
          <cell r="G12">
            <v>38.293772002817313</v>
          </cell>
          <cell r="H12">
            <v>37.472823800550856</v>
          </cell>
          <cell r="I12">
            <v>36.307640842122574</v>
          </cell>
          <cell r="J12">
            <v>36.088969751000647</v>
          </cell>
          <cell r="K12">
            <v>37.107745276602373</v>
          </cell>
        </row>
        <row r="13">
          <cell r="G13">
            <v>38.345620263256912</v>
          </cell>
          <cell r="H13">
            <v>37.104598155923391</v>
          </cell>
          <cell r="I13">
            <v>36.094093649092706</v>
          </cell>
          <cell r="J13">
            <v>35.911564060860734</v>
          </cell>
          <cell r="K13">
            <v>37.346630925599101</v>
          </cell>
        </row>
        <row r="14">
          <cell r="G14">
            <v>38.727834500791346</v>
          </cell>
          <cell r="H14">
            <v>36.733388406894925</v>
          </cell>
          <cell r="I14">
            <v>35.960576499317533</v>
          </cell>
          <cell r="J14">
            <v>35.704983619558782</v>
          </cell>
          <cell r="K14">
            <v>37.555233781308829</v>
          </cell>
        </row>
        <row r="15">
          <cell r="G15">
            <v>38.576298316847897</v>
          </cell>
          <cell r="H15">
            <v>36.359685302547618</v>
          </cell>
          <cell r="I15">
            <v>35.906975976259957</v>
          </cell>
          <cell r="J15">
            <v>35.534929371892716</v>
          </cell>
          <cell r="K15">
            <v>37.805935640369434</v>
          </cell>
        </row>
        <row r="16">
          <cell r="G16">
            <v>37.978200075607958</v>
          </cell>
          <cell r="H16">
            <v>35.97766746796286</v>
          </cell>
          <cell r="I16">
            <v>35.735685175977814</v>
          </cell>
          <cell r="J16">
            <v>35.362420397924893</v>
          </cell>
          <cell r="K16">
            <v>38.053190340874153</v>
          </cell>
        </row>
        <row r="17">
          <cell r="G17">
            <v>37.381722997117606</v>
          </cell>
          <cell r="H17">
            <v>35.636132739224649</v>
          </cell>
          <cell r="I17">
            <v>35.559928071488308</v>
          </cell>
          <cell r="J17">
            <v>35.209828686925604</v>
          </cell>
          <cell r="K17">
            <v>38.280025498589644</v>
          </cell>
        </row>
        <row r="18">
          <cell r="G18">
            <v>36.593468092353433</v>
          </cell>
          <cell r="H18">
            <v>35.277795961922962</v>
          </cell>
          <cell r="I18">
            <v>35.318110928817532</v>
          </cell>
          <cell r="J18">
            <v>35.04555364143674</v>
          </cell>
          <cell r="K18">
            <v>38.534121905102069</v>
          </cell>
        </row>
        <row r="19">
          <cell r="G19">
            <v>35.788119152643034</v>
          </cell>
          <cell r="H19">
            <v>34.931764822859463</v>
          </cell>
          <cell r="I19">
            <v>35.066248629808115</v>
          </cell>
          <cell r="J19">
            <v>34.883410883573767</v>
          </cell>
          <cell r="K19">
            <v>38.774004850756619</v>
          </cell>
        </row>
        <row r="20">
          <cell r="G20">
            <v>34.652111275258605</v>
          </cell>
          <cell r="H20">
            <v>34.543548774277738</v>
          </cell>
          <cell r="I20">
            <v>34.668105343063935</v>
          </cell>
          <cell r="J20">
            <v>34.703384603067867</v>
          </cell>
          <cell r="K20">
            <v>39.01216857517263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5">
        <row r="8">
          <cell r="G8">
            <v>35.457631946495951</v>
          </cell>
          <cell r="H8">
            <v>32.944511582029904</v>
          </cell>
          <cell r="I8">
            <v>31.262344968906447</v>
          </cell>
          <cell r="J8">
            <v>29.385100986247657</v>
          </cell>
          <cell r="K8">
            <v>30.726710614664686</v>
          </cell>
        </row>
        <row r="9">
          <cell r="G9">
            <v>35.03839582109908</v>
          </cell>
          <cell r="H9">
            <v>32.400921699126705</v>
          </cell>
          <cell r="I9">
            <v>30.742930016755842</v>
          </cell>
          <cell r="J9">
            <v>29.417877365954428</v>
          </cell>
          <cell r="K9">
            <v>30.841497561003962</v>
          </cell>
        </row>
        <row r="10">
          <cell r="G10">
            <v>34.881094333246011</v>
          </cell>
          <cell r="H10">
            <v>31.828080685969219</v>
          </cell>
          <cell r="I10">
            <v>30.287378746419272</v>
          </cell>
          <cell r="J10">
            <v>29.443495790178634</v>
          </cell>
          <cell r="K10">
            <v>30.947552350968643</v>
          </cell>
        </row>
        <row r="11">
          <cell r="G11">
            <v>34.60317659779021</v>
          </cell>
          <cell r="H11">
            <v>31.218964694694488</v>
          </cell>
          <cell r="I11">
            <v>29.829499901337186</v>
          </cell>
          <cell r="J11">
            <v>29.441278331696115</v>
          </cell>
          <cell r="K11">
            <v>31.032366664743325</v>
          </cell>
        </row>
        <row r="12">
          <cell r="G12">
            <v>33.556551279323983</v>
          </cell>
          <cell r="H12">
            <v>30.650532124169949</v>
          </cell>
          <cell r="I12">
            <v>29.181653399371548</v>
          </cell>
          <cell r="J12">
            <v>29.449073961220225</v>
          </cell>
          <cell r="K12">
            <v>31.125686064381235</v>
          </cell>
        </row>
        <row r="13">
          <cell r="G13">
            <v>32.318988423875112</v>
          </cell>
          <cell r="H13">
            <v>30.063973082019366</v>
          </cell>
          <cell r="I13">
            <v>28.480713538885439</v>
          </cell>
          <cell r="J13">
            <v>29.451680451876836</v>
          </cell>
          <cell r="K13">
            <v>31.20380212727795</v>
          </cell>
        </row>
        <row r="14">
          <cell r="G14">
            <v>31.065111639610986</v>
          </cell>
          <cell r="H14">
            <v>29.462124448374489</v>
          </cell>
          <cell r="I14">
            <v>27.728960518157479</v>
          </cell>
          <cell r="J14">
            <v>29.437027134539246</v>
          </cell>
          <cell r="K14">
            <v>31.271014103014721</v>
          </cell>
        </row>
        <row r="15">
          <cell r="G15">
            <v>30.333926690949223</v>
          </cell>
          <cell r="H15">
            <v>28.855333285123464</v>
          </cell>
          <cell r="I15">
            <v>27.832652998900151</v>
          </cell>
          <cell r="J15">
            <v>29.454044269656553</v>
          </cell>
          <cell r="K15">
            <v>31.368669564606918</v>
          </cell>
        </row>
        <row r="16">
          <cell r="G16">
            <v>29.332994330501144</v>
          </cell>
          <cell r="H16">
            <v>28.225230128017287</v>
          </cell>
          <cell r="I16">
            <v>27.864351239797948</v>
          </cell>
          <cell r="J16">
            <v>29.480477827818827</v>
          </cell>
          <cell r="K16">
            <v>31.461843544543417</v>
          </cell>
        </row>
        <row r="17">
          <cell r="G17">
            <v>28.368354165088125</v>
          </cell>
          <cell r="H17">
            <v>27.64177197804436</v>
          </cell>
          <cell r="I17">
            <v>27.908776416617446</v>
          </cell>
          <cell r="J17">
            <v>29.501800605005009</v>
          </cell>
          <cell r="K17">
            <v>31.539495487703093</v>
          </cell>
        </row>
        <row r="18">
          <cell r="G18">
            <v>27.848490167448897</v>
          </cell>
          <cell r="H18">
            <v>27.031596678942453</v>
          </cell>
          <cell r="I18">
            <v>28.110337517787102</v>
          </cell>
          <cell r="J18">
            <v>29.539498523470954</v>
          </cell>
          <cell r="K18">
            <v>31.648441926652488</v>
          </cell>
        </row>
        <row r="19">
          <cell r="G19">
            <v>27.556763833094863</v>
          </cell>
          <cell r="H19">
            <v>26.456814004637636</v>
          </cell>
          <cell r="I19">
            <v>28.426199729897679</v>
          </cell>
          <cell r="J19">
            <v>29.583208250976806</v>
          </cell>
          <cell r="K19">
            <v>31.743019483990896</v>
          </cell>
        </row>
        <row r="20">
          <cell r="G20">
            <v>27.304025021343008</v>
          </cell>
          <cell r="H20">
            <v>25.813910195300085</v>
          </cell>
          <cell r="I20">
            <v>28.781048911335699</v>
          </cell>
          <cell r="J20">
            <v>29.612609555462843</v>
          </cell>
          <cell r="K20">
            <v>31.844703574641407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6">
        <row r="8">
          <cell r="G8">
            <v>35.290720160875019</v>
          </cell>
          <cell r="H8">
            <v>35.316875134553371</v>
          </cell>
          <cell r="I8">
            <v>34.106817430189381</v>
          </cell>
          <cell r="J8">
            <v>33.475594597490598</v>
          </cell>
          <cell r="K8">
            <v>33.279716613989606</v>
          </cell>
        </row>
        <row r="9">
          <cell r="G9">
            <v>34.708581428596709</v>
          </cell>
          <cell r="H9">
            <v>35.016462393928755</v>
          </cell>
          <cell r="I9">
            <v>33.734600635770796</v>
          </cell>
          <cell r="J9">
            <v>33.352305983307566</v>
          </cell>
          <cell r="K9">
            <v>33.599074522161416</v>
          </cell>
        </row>
        <row r="10">
          <cell r="G10">
            <v>34.294933795760258</v>
          </cell>
          <cell r="H10">
            <v>34.721271066372694</v>
          </cell>
          <cell r="I10">
            <v>33.386767603497475</v>
          </cell>
          <cell r="J10">
            <v>33.238465840131269</v>
          </cell>
          <cell r="K10">
            <v>33.938582922456618</v>
          </cell>
        </row>
        <row r="11">
          <cell r="G11">
            <v>34.261409022795206</v>
          </cell>
          <cell r="H11">
            <v>34.424811570575685</v>
          </cell>
          <cell r="I11">
            <v>33.175404844359562</v>
          </cell>
          <cell r="J11">
            <v>33.123551770903049</v>
          </cell>
          <cell r="K11">
            <v>34.276686625803514</v>
          </cell>
        </row>
        <row r="12">
          <cell r="G12">
            <v>34.472313603693429</v>
          </cell>
          <cell r="H12">
            <v>34.11921068391792</v>
          </cell>
          <cell r="I12">
            <v>33.040604172781791</v>
          </cell>
          <cell r="J12">
            <v>32.996894163913353</v>
          </cell>
          <cell r="K12">
            <v>34.592967941334656</v>
          </cell>
        </row>
        <row r="13">
          <cell r="G13">
            <v>35.048487366664055</v>
          </cell>
          <cell r="H13">
            <v>33.827562595883023</v>
          </cell>
          <cell r="I13">
            <v>33.008512448144927</v>
          </cell>
          <cell r="J13">
            <v>32.87899226744743</v>
          </cell>
          <cell r="K13">
            <v>34.94271984625636</v>
          </cell>
        </row>
        <row r="14">
          <cell r="G14">
            <v>35.342111122138746</v>
          </cell>
          <cell r="H14">
            <v>33.526353298916902</v>
          </cell>
          <cell r="I14">
            <v>32.884162865992288</v>
          </cell>
          <cell r="J14">
            <v>32.846037159435774</v>
          </cell>
          <cell r="K14">
            <v>35.316924379789768</v>
          </cell>
        </row>
        <row r="15">
          <cell r="G15">
            <v>35.332396992259632</v>
          </cell>
          <cell r="H15">
            <v>33.241770275478352</v>
          </cell>
          <cell r="I15">
            <v>32.891729866752499</v>
          </cell>
          <cell r="J15">
            <v>32.736967117006373</v>
          </cell>
          <cell r="K15">
            <v>35.670288347396969</v>
          </cell>
        </row>
        <row r="16">
          <cell r="G16">
            <v>35.186560128693685</v>
          </cell>
          <cell r="H16">
            <v>32.91344735321055</v>
          </cell>
          <cell r="I16">
            <v>32.86498325138664</v>
          </cell>
          <cell r="J16">
            <v>32.646836597318405</v>
          </cell>
          <cell r="K16">
            <v>36.012804392383408</v>
          </cell>
        </row>
        <row r="17">
          <cell r="G17">
            <v>34.603208389013666</v>
          </cell>
          <cell r="H17">
            <v>32.607363968322446</v>
          </cell>
          <cell r="I17">
            <v>32.721149611119117</v>
          </cell>
          <cell r="J17">
            <v>32.563991600614692</v>
          </cell>
          <cell r="K17">
            <v>36.326495892608705</v>
          </cell>
        </row>
        <row r="18">
          <cell r="G18">
            <v>33.732877240839407</v>
          </cell>
          <cell r="H18">
            <v>32.290107755820955</v>
          </cell>
          <cell r="I18">
            <v>32.474165835939189</v>
          </cell>
          <cell r="J18">
            <v>32.465728649289666</v>
          </cell>
          <cell r="K18">
            <v>36.657966646269578</v>
          </cell>
        </row>
        <row r="19">
          <cell r="G19">
            <v>32.560301446586848</v>
          </cell>
          <cell r="H19">
            <v>31.96641985837508</v>
          </cell>
          <cell r="I19">
            <v>32.136706259811646</v>
          </cell>
          <cell r="J19">
            <v>32.361929948788138</v>
          </cell>
          <cell r="K19">
            <v>36.976238636433912</v>
          </cell>
        </row>
        <row r="20">
          <cell r="G20">
            <v>31.650408467988139</v>
          </cell>
          <cell r="H20">
            <v>31.630876384700905</v>
          </cell>
          <cell r="I20">
            <v>31.989388259407626</v>
          </cell>
          <cell r="J20">
            <v>32.254775999244728</v>
          </cell>
          <cell r="K20">
            <v>37.302662272164341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7">
        <row r="8">
          <cell r="G8">
            <v>33.15488024218849</v>
          </cell>
          <cell r="H8">
            <v>34.405441026068921</v>
          </cell>
          <cell r="I8">
            <v>32.861427851076449</v>
          </cell>
          <cell r="J8">
            <v>32.603747326429321</v>
          </cell>
          <cell r="K8">
            <v>32.340821146755381</v>
          </cell>
        </row>
        <row r="9">
          <cell r="G9">
            <v>33.410493882314107</v>
          </cell>
          <cell r="H9">
            <v>34.119620102207143</v>
          </cell>
          <cell r="I9">
            <v>32.770820222197898</v>
          </cell>
          <cell r="J9">
            <v>32.480602854830153</v>
          </cell>
          <cell r="K9">
            <v>32.668657795555482</v>
          </cell>
        </row>
        <row r="10">
          <cell r="G10">
            <v>34.319202911035958</v>
          </cell>
          <cell r="H10">
            <v>33.859923092244863</v>
          </cell>
          <cell r="I10">
            <v>32.844293156273189</v>
          </cell>
          <cell r="J10">
            <v>32.393900436388833</v>
          </cell>
          <cell r="K10">
            <v>33.033437027074449</v>
          </cell>
        </row>
        <row r="11">
          <cell r="G11">
            <v>35.236431487194885</v>
          </cell>
          <cell r="H11">
            <v>33.564401096389005</v>
          </cell>
          <cell r="I11">
            <v>32.911452134193439</v>
          </cell>
          <cell r="J11">
            <v>32.280109881039202</v>
          </cell>
          <cell r="K11">
            <v>33.378314840885331</v>
          </cell>
        </row>
        <row r="12">
          <cell r="G12">
            <v>35.986954149330131</v>
          </cell>
          <cell r="H12">
            <v>33.300277229351735</v>
          </cell>
          <cell r="I12">
            <v>32.917357595687534</v>
          </cell>
          <cell r="J12">
            <v>32.187532239559566</v>
          </cell>
          <cell r="K12">
            <v>33.732269804518282</v>
          </cell>
        </row>
        <row r="13">
          <cell r="G13">
            <v>36.02510126608481</v>
          </cell>
          <cell r="H13">
            <v>33.017448897099563</v>
          </cell>
          <cell r="I13">
            <v>32.713254158891857</v>
          </cell>
          <cell r="J13">
            <v>32.069351185845129</v>
          </cell>
          <cell r="K13">
            <v>34.065842808672976</v>
          </cell>
        </row>
        <row r="14">
          <cell r="G14">
            <v>35.751105863612231</v>
          </cell>
          <cell r="H14">
            <v>32.709068010930125</v>
          </cell>
          <cell r="I14">
            <v>32.41020197115818</v>
          </cell>
          <cell r="J14">
            <v>31.938155014901213</v>
          </cell>
          <cell r="K14">
            <v>34.373606616472031</v>
          </cell>
        </row>
        <row r="15">
          <cell r="G15">
            <v>34.875472590594633</v>
          </cell>
          <cell r="H15">
            <v>32.439668461687582</v>
          </cell>
          <cell r="I15">
            <v>32.156228705856201</v>
          </cell>
          <cell r="J15">
            <v>31.832094200877631</v>
          </cell>
          <cell r="K15">
            <v>34.707822819440722</v>
          </cell>
        </row>
        <row r="16">
          <cell r="G16">
            <v>33.39758900189517</v>
          </cell>
          <cell r="H16">
            <v>32.102681199474645</v>
          </cell>
          <cell r="I16">
            <v>31.747281688567366</v>
          </cell>
          <cell r="J16">
            <v>31.729155994244735</v>
          </cell>
          <cell r="K16">
            <v>35.046164253756217</v>
          </cell>
        </row>
        <row r="17">
          <cell r="G17">
            <v>32.010279858700201</v>
          </cell>
          <cell r="H17">
            <v>31.784980236738505</v>
          </cell>
          <cell r="I17">
            <v>31.339084625815477</v>
          </cell>
          <cell r="J17">
            <v>31.625536857944347</v>
          </cell>
          <cell r="K17">
            <v>35.339592809794866</v>
          </cell>
        </row>
        <row r="18">
          <cell r="G18">
            <v>30.88822144338052</v>
          </cell>
          <cell r="H18">
            <v>31.45783761263397</v>
          </cell>
          <cell r="I18">
            <v>31.006378007605196</v>
          </cell>
          <cell r="J18">
            <v>31.521977423431146</v>
          </cell>
          <cell r="K18">
            <v>35.673545613237231</v>
          </cell>
        </row>
        <row r="19">
          <cell r="G19">
            <v>30.32504701425966</v>
          </cell>
          <cell r="H19">
            <v>31.141918827307482</v>
          </cell>
          <cell r="I19">
            <v>30.843417964544432</v>
          </cell>
          <cell r="J19">
            <v>31.417114540555293</v>
          </cell>
          <cell r="K19">
            <v>35.983370281601317</v>
          </cell>
        </row>
        <row r="20">
          <cell r="G20">
            <v>29.872728444649677</v>
          </cell>
          <cell r="H20">
            <v>30.79164067320885</v>
          </cell>
          <cell r="I20">
            <v>30.723026496785817</v>
          </cell>
          <cell r="J20">
            <v>31.30342701670364</v>
          </cell>
          <cell r="K20">
            <v>36.304530651971326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8">
        <row r="8">
          <cell r="G8">
            <v>35.288503549250954</v>
          </cell>
          <cell r="H8">
            <v>35.560547793388018</v>
          </cell>
          <cell r="I8">
            <v>34.304916366545577</v>
          </cell>
          <cell r="J8">
            <v>33.736348473472866</v>
          </cell>
          <cell r="K8">
            <v>33.476148638039263</v>
          </cell>
        </row>
        <row r="9">
          <cell r="G9">
            <v>34.89931340625828</v>
          </cell>
          <cell r="H9">
            <v>35.26376266640559</v>
          </cell>
          <cell r="I9">
            <v>34.003739618679845</v>
          </cell>
          <cell r="J9">
            <v>33.605658066046182</v>
          </cell>
          <cell r="K9">
            <v>33.797733944517574</v>
          </cell>
        </row>
        <row r="10">
          <cell r="G10">
            <v>35.26507966738437</v>
          </cell>
          <cell r="H10">
            <v>35.025691354915374</v>
          </cell>
          <cell r="I10">
            <v>33.886198499402582</v>
          </cell>
          <cell r="J10">
            <v>33.527678511398662</v>
          </cell>
          <cell r="K10">
            <v>34.159896921988008</v>
          </cell>
        </row>
        <row r="11">
          <cell r="G11">
            <v>35.325224789730193</v>
          </cell>
          <cell r="H11">
            <v>34.693191968156256</v>
          </cell>
          <cell r="I11">
            <v>33.702646350901631</v>
          </cell>
          <cell r="J11">
            <v>33.384388893461214</v>
          </cell>
          <cell r="K11">
            <v>34.483354316211923</v>
          </cell>
        </row>
        <row r="12">
          <cell r="G12">
            <v>35.465472639290653</v>
          </cell>
          <cell r="H12">
            <v>34.436641978623783</v>
          </cell>
          <cell r="I12">
            <v>33.540524219932031</v>
          </cell>
          <cell r="J12">
            <v>33.298837659999599</v>
          </cell>
          <cell r="K12">
            <v>34.839895011793971</v>
          </cell>
        </row>
        <row r="13">
          <cell r="G13">
            <v>35.299079785095948</v>
          </cell>
          <cell r="H13">
            <v>34.128523150282192</v>
          </cell>
          <cell r="I13">
            <v>33.287047207105537</v>
          </cell>
          <cell r="J13">
            <v>33.158209721726529</v>
          </cell>
          <cell r="K13">
            <v>35.156175057537254</v>
          </cell>
        </row>
        <row r="14">
          <cell r="G14">
            <v>35.829709505857437</v>
          </cell>
          <cell r="H14">
            <v>33.815291301176423</v>
          </cell>
          <cell r="I14">
            <v>33.221038211831832</v>
          </cell>
          <cell r="J14">
            <v>33.033572896583166</v>
          </cell>
          <cell r="K14">
            <v>35.478246299124315</v>
          </cell>
        </row>
        <row r="15">
          <cell r="G15">
            <v>35.640930699531957</v>
          </cell>
          <cell r="H15">
            <v>33.547198064919336</v>
          </cell>
          <cell r="I15">
            <v>33.163401392266081</v>
          </cell>
          <cell r="J15">
            <v>32.94247487208991</v>
          </cell>
          <cell r="K15">
            <v>35.844006172659917</v>
          </cell>
        </row>
        <row r="16">
          <cell r="G16">
            <v>34.779915268545317</v>
          </cell>
          <cell r="H16">
            <v>33.188631554712593</v>
          </cell>
          <cell r="I16">
            <v>32.937484998356616</v>
          </cell>
          <cell r="J16">
            <v>32.826831494486697</v>
          </cell>
          <cell r="K16">
            <v>36.168851111860249</v>
          </cell>
        </row>
        <row r="17">
          <cell r="G17">
            <v>34.053544599477576</v>
          </cell>
          <cell r="H17">
            <v>32.883408930469834</v>
          </cell>
          <cell r="I17">
            <v>32.731059956480628</v>
          </cell>
          <cell r="J17">
            <v>32.736554914008927</v>
          </cell>
          <cell r="K17">
            <v>36.477663598547998</v>
          </cell>
        </row>
        <row r="18">
          <cell r="G18">
            <v>33.382411710583753</v>
          </cell>
          <cell r="H18">
            <v>32.563737903789495</v>
          </cell>
          <cell r="I18">
            <v>32.563412222332857</v>
          </cell>
          <cell r="J18">
            <v>32.643146286917329</v>
          </cell>
          <cell r="K18">
            <v>36.822333674818651</v>
          </cell>
        </row>
        <row r="19">
          <cell r="G19">
            <v>32.914404045585165</v>
          </cell>
          <cell r="H19">
            <v>32.258967041852721</v>
          </cell>
          <cell r="I19">
            <v>32.426503499140168</v>
          </cell>
          <cell r="J19">
            <v>32.543004259605148</v>
          </cell>
          <cell r="K19">
            <v>37.136852708297546</v>
          </cell>
        </row>
        <row r="20">
          <cell r="G20">
            <v>31.775523698638672</v>
          </cell>
          <cell r="H20">
            <v>31.90363609822348</v>
          </cell>
          <cell r="I20">
            <v>32.092279964528679</v>
          </cell>
          <cell r="J20">
            <v>32.429511224178462</v>
          </cell>
          <cell r="K20">
            <v>37.459633348570385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9">
        <row r="8">
          <cell r="G8">
            <v>53.380661491028768</v>
          </cell>
          <cell r="H8">
            <v>52.335435933725364</v>
          </cell>
          <cell r="I8">
            <v>45.576923810820254</v>
          </cell>
          <cell r="J8">
            <v>41.825427313198311</v>
          </cell>
          <cell r="K8">
            <v>39.476185267006365</v>
          </cell>
        </row>
        <row r="9">
          <cell r="G9">
            <v>52.565244912812261</v>
          </cell>
          <cell r="H9">
            <v>50.574881164160203</v>
          </cell>
          <cell r="I9">
            <v>44.183518563517531</v>
          </cell>
          <cell r="J9">
            <v>41.0797521960938</v>
          </cell>
          <cell r="K9">
            <v>39.494690270303465</v>
          </cell>
        </row>
        <row r="10">
          <cell r="G10">
            <v>52.075697559429265</v>
          </cell>
          <cell r="H10">
            <v>48.874942386648051</v>
          </cell>
          <cell r="I10">
            <v>42.866195815453125</v>
          </cell>
          <cell r="J10">
            <v>40.365710965107866</v>
          </cell>
          <cell r="K10">
            <v>39.545910043257798</v>
          </cell>
        </row>
        <row r="11">
          <cell r="G11">
            <v>51.300461883614311</v>
          </cell>
          <cell r="H11">
            <v>47.041102272836234</v>
          </cell>
          <cell r="I11">
            <v>41.56096618890453</v>
          </cell>
          <cell r="J11">
            <v>39.60087012958104</v>
          </cell>
          <cell r="K11">
            <v>39.567398864899502</v>
          </cell>
        </row>
        <row r="12">
          <cell r="G12">
            <v>51.139781833516061</v>
          </cell>
          <cell r="H12">
            <v>45.322190920260802</v>
          </cell>
          <cell r="I12">
            <v>40.375695918703435</v>
          </cell>
          <cell r="J12">
            <v>38.88472147950381</v>
          </cell>
          <cell r="K12">
            <v>39.611519812751055</v>
          </cell>
        </row>
        <row r="13">
          <cell r="G13">
            <v>51.116680921303235</v>
          </cell>
          <cell r="H13">
            <v>43.541632655909766</v>
          </cell>
          <cell r="I13">
            <v>39.228432638332926</v>
          </cell>
          <cell r="J13">
            <v>38.132076060187934</v>
          </cell>
          <cell r="K13">
            <v>39.632556767676292</v>
          </cell>
        </row>
        <row r="14">
          <cell r="G14">
            <v>51.34867650895734</v>
          </cell>
          <cell r="H14">
            <v>41.785968573515888</v>
          </cell>
          <cell r="I14">
            <v>38.112063145122121</v>
          </cell>
          <cell r="J14">
            <v>37.382677877001875</v>
          </cell>
          <cell r="K14">
            <v>39.64554111777904</v>
          </cell>
        </row>
        <row r="15">
          <cell r="G15">
            <v>48.593215922874016</v>
          </cell>
          <cell r="H15">
            <v>39.997495595963535</v>
          </cell>
          <cell r="I15">
            <v>37.253447282398234</v>
          </cell>
          <cell r="J15">
            <v>36.654861951450606</v>
          </cell>
          <cell r="K15">
            <v>39.692092463443629</v>
          </cell>
        </row>
        <row r="16">
          <cell r="G16">
            <v>45.586980353707595</v>
          </cell>
          <cell r="H16">
            <v>38.208702525855379</v>
          </cell>
          <cell r="I16">
            <v>36.38895207648666</v>
          </cell>
          <cell r="J16">
            <v>35.914791750046817</v>
          </cell>
          <cell r="K16">
            <v>39.730967908361677</v>
          </cell>
        </row>
        <row r="17">
          <cell r="G17">
            <v>42.577149284268174</v>
          </cell>
          <cell r="H17">
            <v>36.564277661494359</v>
          </cell>
          <cell r="I17">
            <v>35.570628722591465</v>
          </cell>
          <cell r="J17">
            <v>35.232011421777443</v>
          </cell>
          <cell r="K17">
            <v>39.762989193578754</v>
          </cell>
        </row>
        <row r="18">
          <cell r="G18">
            <v>39.095520860225925</v>
          </cell>
          <cell r="H18">
            <v>34.796515976513454</v>
          </cell>
          <cell r="I18">
            <v>34.603800264088086</v>
          </cell>
          <cell r="J18">
            <v>34.495673999851299</v>
          </cell>
          <cell r="K18">
            <v>39.808316899775569</v>
          </cell>
        </row>
        <row r="19">
          <cell r="G19">
            <v>35.488511030040371</v>
          </cell>
          <cell r="H19">
            <v>33.084933523237787</v>
          </cell>
          <cell r="I19">
            <v>33.619028605893007</v>
          </cell>
          <cell r="J19">
            <v>33.776475090489576</v>
          </cell>
          <cell r="K19">
            <v>39.836299572716378</v>
          </cell>
        </row>
        <row r="20">
          <cell r="G20">
            <v>31.64920551851959</v>
          </cell>
          <cell r="H20">
            <v>31.281087754823695</v>
          </cell>
          <cell r="I20">
            <v>32.539330588699819</v>
          </cell>
          <cell r="J20">
            <v>33.023828447939984</v>
          </cell>
          <cell r="K20">
            <v>39.863108132852439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0">
        <row r="8">
          <cell r="G8">
            <v>36.302937701923526</v>
          </cell>
          <cell r="H8">
            <v>33.050704560944261</v>
          </cell>
          <cell r="I8">
            <v>32.532707255644581</v>
          </cell>
          <cell r="J8">
            <v>31.010722138304104</v>
          </cell>
          <cell r="K8">
            <v>30.588566277561604</v>
          </cell>
        </row>
        <row r="9">
          <cell r="G9">
            <v>33.712230047392303</v>
          </cell>
          <cell r="H9">
            <v>32.698284379268735</v>
          </cell>
          <cell r="I9">
            <v>31.589336537099712</v>
          </cell>
          <cell r="J9">
            <v>30.867364403214939</v>
          </cell>
          <cell r="K9">
            <v>30.853645932339134</v>
          </cell>
        </row>
        <row r="10">
          <cell r="G10">
            <v>31.639793035858414</v>
          </cell>
          <cell r="H10">
            <v>32.360290624790835</v>
          </cell>
          <cell r="I10">
            <v>30.725814476443297</v>
          </cell>
          <cell r="J10">
            <v>30.73165380190224</v>
          </cell>
          <cell r="K10">
            <v>31.134294791669181</v>
          </cell>
        </row>
        <row r="11">
          <cell r="G11">
            <v>30.125524909149743</v>
          </cell>
          <cell r="H11">
            <v>31.997599779443007</v>
          </cell>
          <cell r="I11">
            <v>30.012910335519805</v>
          </cell>
          <cell r="J11">
            <v>30.580385672487893</v>
          </cell>
          <cell r="K11">
            <v>31.405019825688349</v>
          </cell>
        </row>
        <row r="12">
          <cell r="G12">
            <v>29.740944447627346</v>
          </cell>
          <cell r="H12">
            <v>31.652143953431619</v>
          </cell>
          <cell r="I12">
            <v>29.67167819597525</v>
          </cell>
          <cell r="J12">
            <v>30.432266540204758</v>
          </cell>
          <cell r="K12">
            <v>31.66613519824206</v>
          </cell>
        </row>
        <row r="13">
          <cell r="G13">
            <v>29.608358655423949</v>
          </cell>
          <cell r="H13">
            <v>31.283852537342558</v>
          </cell>
          <cell r="I13">
            <v>29.423494576565801</v>
          </cell>
          <cell r="J13">
            <v>30.272561747598104</v>
          </cell>
          <cell r="K13">
            <v>31.926349761600964</v>
          </cell>
        </row>
        <row r="14">
          <cell r="G14">
            <v>30.660734873480454</v>
          </cell>
          <cell r="H14">
            <v>30.937652175012097</v>
          </cell>
          <cell r="I14">
            <v>29.586407827209616</v>
          </cell>
          <cell r="J14">
            <v>30.082637183604508</v>
          </cell>
          <cell r="K14">
            <v>32.158397591151271</v>
          </cell>
        </row>
        <row r="15">
          <cell r="G15">
            <v>31.770861981283836</v>
          </cell>
          <cell r="H15">
            <v>30.577396163686092</v>
          </cell>
          <cell r="I15">
            <v>29.973091849012459</v>
          </cell>
          <cell r="J15">
            <v>29.96538837711303</v>
          </cell>
          <cell r="K15">
            <v>32.4608684442182</v>
          </cell>
        </row>
        <row r="16">
          <cell r="G16">
            <v>33.184018927836163</v>
          </cell>
          <cell r="H16">
            <v>30.240147871841998</v>
          </cell>
          <cell r="I16">
            <v>30.400968505152413</v>
          </cell>
          <cell r="J16">
            <v>29.846365074023915</v>
          </cell>
          <cell r="K16">
            <v>32.766833423092997</v>
          </cell>
        </row>
        <row r="17">
          <cell r="G17">
            <v>34.594076992452649</v>
          </cell>
          <cell r="H17">
            <v>29.947446840065322</v>
          </cell>
          <cell r="I17">
            <v>30.766962113197145</v>
          </cell>
          <cell r="J17">
            <v>29.741724757660524</v>
          </cell>
          <cell r="K17">
            <v>33.047191282723972</v>
          </cell>
        </row>
        <row r="18">
          <cell r="G18">
            <v>34.513206128234287</v>
          </cell>
          <cell r="H18">
            <v>29.630090178982005</v>
          </cell>
          <cell r="I18">
            <v>30.728738748058667</v>
          </cell>
          <cell r="J18">
            <v>29.619993857893913</v>
          </cell>
          <cell r="K18">
            <v>33.345153260564061</v>
          </cell>
        </row>
        <row r="19">
          <cell r="G19">
            <v>33.831602307548707</v>
          </cell>
          <cell r="H19">
            <v>29.311651684945453</v>
          </cell>
          <cell r="I19">
            <v>30.559957283228904</v>
          </cell>
          <cell r="J19">
            <v>29.495251046877105</v>
          </cell>
          <cell r="K19">
            <v>33.628554246602285</v>
          </cell>
        </row>
        <row r="20">
          <cell r="G20">
            <v>31.313381647034785</v>
          </cell>
          <cell r="H20">
            <v>28.965589477308971</v>
          </cell>
          <cell r="I20">
            <v>29.84940257373875</v>
          </cell>
          <cell r="J20">
            <v>29.355480829735164</v>
          </cell>
          <cell r="K20">
            <v>33.906462882385988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1">
        <row r="8">
          <cell r="G8">
            <v>32.524026075491797</v>
          </cell>
          <cell r="H8">
            <v>32.963838223779327</v>
          </cell>
          <cell r="I8">
            <v>31.464584491216879</v>
          </cell>
          <cell r="J8">
            <v>30.945863042109213</v>
          </cell>
          <cell r="K8">
            <v>30.538920246774769</v>
          </cell>
        </row>
        <row r="9">
          <cell r="G9">
            <v>32.515359792358666</v>
          </cell>
          <cell r="H9">
            <v>32.624083181876252</v>
          </cell>
          <cell r="I9">
            <v>31.236985212124992</v>
          </cell>
          <cell r="J9">
            <v>30.814777375748175</v>
          </cell>
          <cell r="K9">
            <v>30.814628010951118</v>
          </cell>
        </row>
        <row r="10">
          <cell r="G10">
            <v>32.764025928588218</v>
          </cell>
          <cell r="H10">
            <v>32.315391376900891</v>
          </cell>
          <cell r="I10">
            <v>31.082032338341524</v>
          </cell>
          <cell r="J10">
            <v>30.704053486292537</v>
          </cell>
          <cell r="K10">
            <v>31.114060999660655</v>
          </cell>
        </row>
        <row r="11">
          <cell r="G11">
            <v>33.007716330184977</v>
          </cell>
          <cell r="H11">
            <v>31.947970402019301</v>
          </cell>
          <cell r="I11">
            <v>30.945538034480109</v>
          </cell>
          <cell r="J11">
            <v>30.556592466975523</v>
          </cell>
          <cell r="K11">
            <v>31.389763265839537</v>
          </cell>
        </row>
        <row r="12">
          <cell r="G12">
            <v>33.09889094841536</v>
          </cell>
          <cell r="H12">
            <v>31.623034005116409</v>
          </cell>
          <cell r="I12">
            <v>30.7613189149316</v>
          </cell>
          <cell r="J12">
            <v>30.427850384303554</v>
          </cell>
          <cell r="K12">
            <v>31.672605525668782</v>
          </cell>
        </row>
        <row r="13">
          <cell r="G13">
            <v>33.150152793870717</v>
          </cell>
          <cell r="H13">
            <v>31.29050011966055</v>
          </cell>
          <cell r="I13">
            <v>30.569232371613445</v>
          </cell>
          <cell r="J13">
            <v>30.287496370217472</v>
          </cell>
          <cell r="K13">
            <v>31.945305184590801</v>
          </cell>
        </row>
        <row r="14">
          <cell r="G14">
            <v>33.406940303919505</v>
          </cell>
          <cell r="H14">
            <v>30.932492706813644</v>
          </cell>
          <cell r="I14">
            <v>30.415916611909434</v>
          </cell>
          <cell r="J14">
            <v>30.125405680417511</v>
          </cell>
          <cell r="K14">
            <v>32.196358501501585</v>
          </cell>
        </row>
        <row r="15">
          <cell r="G15">
            <v>32.735032049770837</v>
          </cell>
          <cell r="H15">
            <v>30.590446302488822</v>
          </cell>
          <cell r="I15">
            <v>30.238984712502123</v>
          </cell>
          <cell r="J15">
            <v>29.992914592113561</v>
          </cell>
          <cell r="K15">
            <v>32.484070320011064</v>
          </cell>
        </row>
        <row r="16">
          <cell r="G16">
            <v>31.864859920130304</v>
          </cell>
          <cell r="H16">
            <v>30.240357270164424</v>
          </cell>
          <cell r="I16">
            <v>30.014655671702055</v>
          </cell>
          <cell r="J16">
            <v>29.851592780082839</v>
          </cell>
          <cell r="K16">
            <v>32.764263651718871</v>
          </cell>
        </row>
        <row r="17">
          <cell r="G17">
            <v>30.907067681596633</v>
          </cell>
          <cell r="H17">
            <v>29.920626117676459</v>
          </cell>
          <cell r="I17">
            <v>29.747553630266061</v>
          </cell>
          <cell r="J17">
            <v>29.725752892479697</v>
          </cell>
          <cell r="K17">
            <v>33.020370841149187</v>
          </cell>
        </row>
        <row r="18">
          <cell r="G18">
            <v>30.152317615011505</v>
          </cell>
          <cell r="H18">
            <v>29.591547708279144</v>
          </cell>
          <cell r="I18">
            <v>29.537567825913321</v>
          </cell>
          <cell r="J18">
            <v>29.59345092578975</v>
          </cell>
          <cell r="K18">
            <v>33.310856142158698</v>
          </cell>
        </row>
        <row r="19">
          <cell r="G19">
            <v>29.441714033622198</v>
          </cell>
          <cell r="H19">
            <v>29.27906018715673</v>
          </cell>
          <cell r="I19">
            <v>29.335712421940656</v>
          </cell>
          <cell r="J19">
            <v>29.465025217164197</v>
          </cell>
          <cell r="K19">
            <v>33.582509514767658</v>
          </cell>
        </row>
        <row r="20">
          <cell r="G20">
            <v>28.472759214366622</v>
          </cell>
          <cell r="H20">
            <v>28.920586613317457</v>
          </cell>
          <cell r="I20">
            <v>29.03482998793444</v>
          </cell>
          <cell r="J20">
            <v>29.322458494932132</v>
          </cell>
          <cell r="K20">
            <v>33.856897710706122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2">
        <row r="8">
          <cell r="G8">
            <v>31.254300512408587</v>
          </cell>
          <cell r="H8">
            <v>31.832739585865784</v>
          </cell>
          <cell r="I8">
            <v>30.294173193926301</v>
          </cell>
          <cell r="J8">
            <v>29.820024757831494</v>
          </cell>
          <cell r="K8">
            <v>29.418435364538894</v>
          </cell>
        </row>
        <row r="9">
          <cell r="G9">
            <v>31.368622263872066</v>
          </cell>
          <cell r="H9">
            <v>31.4979742681492</v>
          </cell>
          <cell r="I9">
            <v>30.110668640063604</v>
          </cell>
          <cell r="J9">
            <v>29.696361075532945</v>
          </cell>
          <cell r="K9">
            <v>29.701110606877215</v>
          </cell>
        </row>
        <row r="10">
          <cell r="G10">
            <v>31.683419407754634</v>
          </cell>
          <cell r="H10">
            <v>31.186832774137788</v>
          </cell>
          <cell r="I10">
            <v>29.974582422841998</v>
          </cell>
          <cell r="J10">
            <v>29.580641696450833</v>
          </cell>
          <cell r="K10">
            <v>29.996165437103642</v>
          </cell>
        </row>
        <row r="11">
          <cell r="G11">
            <v>32.035904867095681</v>
          </cell>
          <cell r="H11">
            <v>30.821885316503362</v>
          </cell>
          <cell r="I11">
            <v>29.871118025669926</v>
          </cell>
          <cell r="J11">
            <v>29.433186562294917</v>
          </cell>
          <cell r="K11">
            <v>30.271427239518975</v>
          </cell>
        </row>
        <row r="12">
          <cell r="G12">
            <v>32.209168312873821</v>
          </cell>
          <cell r="H12">
            <v>30.491923336290899</v>
          </cell>
          <cell r="I12">
            <v>29.710928107396967</v>
          </cell>
          <cell r="J12">
            <v>29.303826069439996</v>
          </cell>
          <cell r="K12">
            <v>30.552655728815083</v>
          </cell>
        </row>
        <row r="13">
          <cell r="G13">
            <v>32.396566685223689</v>
          </cell>
          <cell r="H13">
            <v>30.166982968318038</v>
          </cell>
          <cell r="I13">
            <v>29.556493047720888</v>
          </cell>
          <cell r="J13">
            <v>29.165508606947764</v>
          </cell>
          <cell r="K13">
            <v>30.828169596330071</v>
          </cell>
        </row>
        <row r="14">
          <cell r="G14">
            <v>32.422112763020387</v>
          </cell>
          <cell r="H14">
            <v>29.809208802016027</v>
          </cell>
          <cell r="I14">
            <v>29.334786973419192</v>
          </cell>
          <cell r="J14">
            <v>29.013779178827491</v>
          </cell>
          <cell r="K14">
            <v>31.087415933343483</v>
          </cell>
        </row>
        <row r="15">
          <cell r="G15">
            <v>31.630017441925137</v>
          </cell>
          <cell r="H15">
            <v>29.47425494832876</v>
          </cell>
          <cell r="I15">
            <v>29.129932154104988</v>
          </cell>
          <cell r="J15">
            <v>28.88355791964144</v>
          </cell>
          <cell r="K15">
            <v>31.376287438435273</v>
          </cell>
        </row>
        <row r="16">
          <cell r="G16">
            <v>30.690025262123388</v>
          </cell>
          <cell r="H16">
            <v>29.120968572437999</v>
          </cell>
          <cell r="I16">
            <v>28.878690104569603</v>
          </cell>
          <cell r="J16">
            <v>28.738664304540997</v>
          </cell>
          <cell r="K16">
            <v>31.651808709494077</v>
          </cell>
        </row>
        <row r="17">
          <cell r="G17">
            <v>29.644194840263545</v>
          </cell>
          <cell r="H17">
            <v>28.801896692220968</v>
          </cell>
          <cell r="I17">
            <v>28.581340641466262</v>
          </cell>
          <cell r="J17">
            <v>28.612731093134165</v>
          </cell>
          <cell r="K17">
            <v>31.906984935172538</v>
          </cell>
        </row>
        <row r="18">
          <cell r="G18">
            <v>28.814548818438084</v>
          </cell>
          <cell r="H18">
            <v>28.472785290369142</v>
          </cell>
          <cell r="I18">
            <v>28.348126771349282</v>
          </cell>
          <cell r="J18">
            <v>28.480441084089119</v>
          </cell>
          <cell r="K18">
            <v>32.197369451405038</v>
          </cell>
        </row>
        <row r="19">
          <cell r="G19">
            <v>28.020504292314182</v>
          </cell>
          <cell r="H19">
            <v>28.159438749155946</v>
          </cell>
          <cell r="I19">
            <v>28.11416235330276</v>
          </cell>
          <cell r="J19">
            <v>28.350164204689861</v>
          </cell>
          <cell r="K19">
            <v>32.465717651096746</v>
          </cell>
        </row>
        <row r="20">
          <cell r="G20">
            <v>27.240519235427698</v>
          </cell>
          <cell r="H20">
            <v>27.800097129703687</v>
          </cell>
          <cell r="I20">
            <v>27.888629506209231</v>
          </cell>
          <cell r="J20">
            <v>28.206832341854067</v>
          </cell>
          <cell r="K20">
            <v>32.741108009881536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3">
        <row r="8">
          <cell r="G8">
            <v>31.901201855357002</v>
          </cell>
          <cell r="H8">
            <v>33.44161347807362</v>
          </cell>
          <cell r="I8">
            <v>31.463538122098139</v>
          </cell>
          <cell r="J8">
            <v>31.242919774576169</v>
          </cell>
          <cell r="K8">
            <v>30.659665622515789</v>
          </cell>
        </row>
        <row r="9">
          <cell r="G9">
            <v>32.472750177590619</v>
          </cell>
          <cell r="H9">
            <v>33.075260304460514</v>
          </cell>
          <cell r="I9">
            <v>31.42112197632369</v>
          </cell>
          <cell r="J9">
            <v>31.081243483051356</v>
          </cell>
          <cell r="K9">
            <v>30.941770758039866</v>
          </cell>
        </row>
        <row r="10">
          <cell r="G10">
            <v>33.856034231396691</v>
          </cell>
          <cell r="H10">
            <v>32.698540502151914</v>
          </cell>
          <cell r="I10">
            <v>31.609343724690131</v>
          </cell>
          <cell r="J10">
            <v>30.920708360190979</v>
          </cell>
          <cell r="K10">
            <v>31.240272124408321</v>
          </cell>
        </row>
        <row r="11">
          <cell r="G11">
            <v>34.752827042701462</v>
          </cell>
          <cell r="H11">
            <v>32.30674329234229</v>
          </cell>
          <cell r="I11">
            <v>31.632901000430419</v>
          </cell>
          <cell r="J11">
            <v>30.74848204918592</v>
          </cell>
          <cell r="K11">
            <v>31.532968289496917</v>
          </cell>
        </row>
        <row r="12">
          <cell r="G12">
            <v>35.375625628880222</v>
          </cell>
          <cell r="H12">
            <v>31.957152168016624</v>
          </cell>
          <cell r="I12">
            <v>31.576482459226206</v>
          </cell>
          <cell r="J12">
            <v>30.608743455862705</v>
          </cell>
          <cell r="K12">
            <v>31.838778149194461</v>
          </cell>
        </row>
        <row r="13">
          <cell r="G13">
            <v>35.488938315950605</v>
          </cell>
          <cell r="H13">
            <v>31.618594289792263</v>
          </cell>
          <cell r="I13">
            <v>31.357201851526401</v>
          </cell>
          <cell r="J13">
            <v>30.447835926095845</v>
          </cell>
          <cell r="K13">
            <v>32.131900412803851</v>
          </cell>
        </row>
        <row r="14">
          <cell r="G14">
            <v>35.170338616724266</v>
          </cell>
          <cell r="H14">
            <v>31.231783072066943</v>
          </cell>
          <cell r="I14">
            <v>31.005601956157292</v>
          </cell>
          <cell r="J14">
            <v>30.258253691165336</v>
          </cell>
          <cell r="K14">
            <v>32.398882562521941</v>
          </cell>
        </row>
        <row r="15">
          <cell r="G15">
            <v>33.729268436476275</v>
          </cell>
          <cell r="H15">
            <v>30.872206049645555</v>
          </cell>
          <cell r="I15">
            <v>30.590333512198491</v>
          </cell>
          <cell r="J15">
            <v>30.095933320950238</v>
          </cell>
          <cell r="K15">
            <v>32.696067080803523</v>
          </cell>
        </row>
        <row r="16">
          <cell r="G16">
            <v>31.551386087627804</v>
          </cell>
          <cell r="H16">
            <v>30.489750578917004</v>
          </cell>
          <cell r="I16">
            <v>29.945843034967009</v>
          </cell>
          <cell r="J16">
            <v>29.924266544017627</v>
          </cell>
          <cell r="K16">
            <v>32.986006731236714</v>
          </cell>
        </row>
        <row r="17">
          <cell r="G17">
            <v>30.097696291722137</v>
          </cell>
          <cell r="H17">
            <v>30.144966815898652</v>
          </cell>
          <cell r="I17">
            <v>29.498968325870916</v>
          </cell>
          <cell r="J17">
            <v>29.76837325788998</v>
          </cell>
          <cell r="K17">
            <v>33.243940762384533</v>
          </cell>
        </row>
        <row r="18">
          <cell r="G18">
            <v>28.96021985735031</v>
          </cell>
          <cell r="H18">
            <v>29.79413418463902</v>
          </cell>
          <cell r="I18">
            <v>29.151362925993716</v>
          </cell>
          <cell r="J18">
            <v>29.608929293897035</v>
          </cell>
          <cell r="K18">
            <v>33.54675786509214</v>
          </cell>
        </row>
        <row r="19">
          <cell r="G19">
            <v>28.274203639616957</v>
          </cell>
          <cell r="H19">
            <v>29.435093518127424</v>
          </cell>
          <cell r="I19">
            <v>28.923820985591007</v>
          </cell>
          <cell r="J19">
            <v>29.441853139422175</v>
          </cell>
          <cell r="K19">
            <v>33.820374098675003</v>
          </cell>
        </row>
        <row r="20">
          <cell r="G20">
            <v>27.713140293229301</v>
          </cell>
          <cell r="H20">
            <v>29.034540166838667</v>
          </cell>
          <cell r="I20">
            <v>28.738880563397508</v>
          </cell>
          <cell r="J20">
            <v>29.263157469015887</v>
          </cell>
          <cell r="K20">
            <v>34.102031156924738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4">
        <row r="8">
          <cell r="G8">
            <v>29.490229401230128</v>
          </cell>
          <cell r="H8">
            <v>30.702126386700758</v>
          </cell>
          <cell r="I8">
            <v>28.882707468225025</v>
          </cell>
          <cell r="J8">
            <v>28.561599315827518</v>
          </cell>
          <cell r="K8">
            <v>28.014626627039764</v>
          </cell>
        </row>
        <row r="9">
          <cell r="G9">
            <v>29.385035940696042</v>
          </cell>
          <cell r="H9">
            <v>30.342042538792668</v>
          </cell>
          <cell r="I9">
            <v>28.6182139012686</v>
          </cell>
          <cell r="J9">
            <v>28.400005720410597</v>
          </cell>
          <cell r="K9">
            <v>28.254142915712382</v>
          </cell>
        </row>
        <row r="10">
          <cell r="G10">
            <v>29.552879561223527</v>
          </cell>
          <cell r="H10">
            <v>30.005982904665682</v>
          </cell>
          <cell r="I10">
            <v>28.425645372347851</v>
          </cell>
          <cell r="J10">
            <v>28.256979336994416</v>
          </cell>
          <cell r="K10">
            <v>28.518839168087062</v>
          </cell>
        </row>
        <row r="11">
          <cell r="G11">
            <v>29.627879029730547</v>
          </cell>
          <cell r="H11">
            <v>29.617216123980906</v>
          </cell>
          <cell r="I11">
            <v>28.220431768599592</v>
          </cell>
          <cell r="J11">
            <v>28.087960983768603</v>
          </cell>
          <cell r="K11">
            <v>28.767900317152236</v>
          </cell>
        </row>
        <row r="12">
          <cell r="G12">
            <v>30.472834453797336</v>
          </cell>
          <cell r="H12">
            <v>29.269290422472906</v>
          </cell>
          <cell r="I12">
            <v>28.257035801350373</v>
          </cell>
          <cell r="J12">
            <v>27.933596967457685</v>
          </cell>
          <cell r="K12">
            <v>29.015693275839123</v>
          </cell>
        </row>
        <row r="13">
          <cell r="G13">
            <v>31.244458891253153</v>
          </cell>
          <cell r="H13">
            <v>28.919649523897494</v>
          </cell>
          <cell r="I13">
            <v>28.256622363000229</v>
          </cell>
          <cell r="J13">
            <v>27.778746600779776</v>
          </cell>
          <cell r="K13">
            <v>29.270545023437755</v>
          </cell>
        </row>
        <row r="14">
          <cell r="G14">
            <v>32.037169394842273</v>
          </cell>
          <cell r="H14">
            <v>28.564228238661943</v>
          </cell>
          <cell r="I14">
            <v>28.230934011797334</v>
          </cell>
          <cell r="J14">
            <v>27.623401789766515</v>
          </cell>
          <cell r="K14">
            <v>29.515881379397221</v>
          </cell>
        </row>
        <row r="15">
          <cell r="G15">
            <v>31.42171498128107</v>
          </cell>
          <cell r="H15">
            <v>28.211193414132701</v>
          </cell>
          <cell r="I15">
            <v>28.04387568428713</v>
          </cell>
          <cell r="J15">
            <v>27.467129013566321</v>
          </cell>
          <cell r="K15">
            <v>29.77356481344555</v>
          </cell>
        </row>
        <row r="16">
          <cell r="G16">
            <v>30.519865518786666</v>
          </cell>
          <cell r="H16">
            <v>27.8272779910521</v>
          </cell>
          <cell r="I16">
            <v>27.787444053914193</v>
          </cell>
          <cell r="J16">
            <v>27.297761622415585</v>
          </cell>
          <cell r="K16">
            <v>30.020167233454401</v>
          </cell>
        </row>
        <row r="17">
          <cell r="G17">
            <v>29.605294388486868</v>
          </cell>
          <cell r="H17">
            <v>27.47506192425497</v>
          </cell>
          <cell r="I17">
            <v>27.534543324484076</v>
          </cell>
          <cell r="J17">
            <v>27.140824261410355</v>
          </cell>
          <cell r="K17">
            <v>30.242051846179582</v>
          </cell>
        </row>
        <row r="18">
          <cell r="G18">
            <v>28.013162303459119</v>
          </cell>
          <cell r="H18">
            <v>27.121213070128867</v>
          </cell>
          <cell r="I18">
            <v>27.060755243868019</v>
          </cell>
          <cell r="J18">
            <v>26.983277876851268</v>
          </cell>
          <cell r="K18">
            <v>30.499593188366134</v>
          </cell>
        </row>
        <row r="19">
          <cell r="G19">
            <v>26.676229187701125</v>
          </cell>
          <cell r="H19">
            <v>26.783716423359778</v>
          </cell>
          <cell r="I19">
            <v>26.648578836596812</v>
          </cell>
          <cell r="J19">
            <v>26.831863047805399</v>
          </cell>
          <cell r="K19">
            <v>30.74433340566268</v>
          </cell>
        </row>
        <row r="20">
          <cell r="G20">
            <v>25.411045327245166</v>
          </cell>
          <cell r="H20">
            <v>26.413021002083404</v>
          </cell>
          <cell r="I20">
            <v>26.242161767236141</v>
          </cell>
          <cell r="J20">
            <v>26.665637516173259</v>
          </cell>
          <cell r="K20">
            <v>30.987360533516302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5">
        <row r="8">
          <cell r="G8">
            <v>28.484522440363222</v>
          </cell>
          <cell r="H8">
            <v>29.681740984675553</v>
          </cell>
          <cell r="I8">
            <v>27.877797696286759</v>
          </cell>
          <cell r="J8">
            <v>27.540507887882864</v>
          </cell>
          <cell r="K8">
            <v>26.99213949063622</v>
          </cell>
        </row>
        <row r="9">
          <cell r="G9">
            <v>28.823824658618449</v>
          </cell>
          <cell r="H9">
            <v>29.322534677918959</v>
          </cell>
          <cell r="I9">
            <v>27.757294727032928</v>
          </cell>
          <cell r="J9">
            <v>27.382406383420555</v>
          </cell>
          <cell r="K9">
            <v>27.23542716422746</v>
          </cell>
        </row>
        <row r="10">
          <cell r="G10">
            <v>29.65766342535613</v>
          </cell>
          <cell r="H10">
            <v>28.990411338885085</v>
          </cell>
          <cell r="I10">
            <v>27.76619471513601</v>
          </cell>
          <cell r="J10">
            <v>27.244771614010897</v>
          </cell>
          <cell r="K10">
            <v>27.504190336451703</v>
          </cell>
        </row>
        <row r="11">
          <cell r="G11">
            <v>30.323778172249376</v>
          </cell>
          <cell r="H11">
            <v>28.601255654673377</v>
          </cell>
          <cell r="I11">
            <v>27.726558896462929</v>
          </cell>
          <cell r="J11">
            <v>27.077604421131323</v>
          </cell>
          <cell r="K11">
            <v>27.755931589884959</v>
          </cell>
        </row>
        <row r="12">
          <cell r="G12">
            <v>30.783129749999571</v>
          </cell>
          <cell r="H12">
            <v>28.265365239887181</v>
          </cell>
          <cell r="I12">
            <v>27.625328054399752</v>
          </cell>
          <cell r="J12">
            <v>26.933308949684349</v>
          </cell>
          <cell r="K12">
            <v>28.015906610174657</v>
          </cell>
        </row>
        <row r="13">
          <cell r="G13">
            <v>31.067748444899131</v>
          </cell>
          <cell r="H13">
            <v>27.925941629767465</v>
          </cell>
          <cell r="I13">
            <v>27.47362473246092</v>
          </cell>
          <cell r="J13">
            <v>26.779551111431449</v>
          </cell>
          <cell r="K13">
            <v>28.269417228192495</v>
          </cell>
        </row>
        <row r="14">
          <cell r="G14">
            <v>31.002976526120406</v>
          </cell>
          <cell r="H14">
            <v>27.559160350463934</v>
          </cell>
          <cell r="I14">
            <v>27.203987092644933</v>
          </cell>
          <cell r="J14">
            <v>26.612279239225117</v>
          </cell>
          <cell r="K14">
            <v>28.505214156941733</v>
          </cell>
        </row>
        <row r="15">
          <cell r="G15">
            <v>29.859777853765728</v>
          </cell>
          <cell r="H15">
            <v>27.202994688032209</v>
          </cell>
          <cell r="I15">
            <v>26.87652451348951</v>
          </cell>
          <cell r="J15">
            <v>26.458110749774818</v>
          </cell>
          <cell r="K15">
            <v>28.764531208248602</v>
          </cell>
        </row>
        <row r="16">
          <cell r="G16">
            <v>28.316757584957521</v>
          </cell>
          <cell r="H16">
            <v>26.816431045631838</v>
          </cell>
          <cell r="I16">
            <v>26.434237798281117</v>
          </cell>
          <cell r="J16">
            <v>26.28398855973191</v>
          </cell>
          <cell r="K16">
            <v>29.00630487573136</v>
          </cell>
        </row>
        <row r="17">
          <cell r="G17">
            <v>26.980051747814166</v>
          </cell>
          <cell r="H17">
            <v>26.462457888595889</v>
          </cell>
          <cell r="I17">
            <v>26.03628035879715</v>
          </cell>
          <cell r="J17">
            <v>26.127787381145438</v>
          </cell>
          <cell r="K17">
            <v>29.227962456757584</v>
          </cell>
        </row>
        <row r="18">
          <cell r="G18">
            <v>25.950532819925325</v>
          </cell>
          <cell r="H18">
            <v>26.107513016637242</v>
          </cell>
          <cell r="I18">
            <v>25.717663834667217</v>
          </cell>
          <cell r="J18">
            <v>25.968347298634281</v>
          </cell>
          <cell r="K18">
            <v>29.485328633986139</v>
          </cell>
        </row>
        <row r="19">
          <cell r="G19">
            <v>25.117742151039277</v>
          </cell>
          <cell r="H19">
            <v>25.772234492446376</v>
          </cell>
          <cell r="I19">
            <v>25.452942398416347</v>
          </cell>
          <cell r="J19">
            <v>25.81409904292407</v>
          </cell>
          <cell r="K19">
            <v>29.725217671514105</v>
          </cell>
        </row>
        <row r="20">
          <cell r="G20">
            <v>24.432303323764067</v>
          </cell>
          <cell r="H20">
            <v>25.391323481041955</v>
          </cell>
          <cell r="I20">
            <v>25.23889379588973</v>
          </cell>
          <cell r="J20">
            <v>25.642292916292455</v>
          </cell>
          <cell r="K20">
            <v>29.966260222082109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6">
        <row r="8">
          <cell r="G8">
            <v>29.72136619163954</v>
          </cell>
          <cell r="H8">
            <v>30.785489425703055</v>
          </cell>
          <cell r="I8">
            <v>29.023431337929424</v>
          </cell>
          <cell r="J8">
            <v>28.63737206771339</v>
          </cell>
          <cell r="K8">
            <v>28.085784447052692</v>
          </cell>
        </row>
        <row r="9">
          <cell r="G9">
            <v>29.961637794882979</v>
          </cell>
          <cell r="H9">
            <v>30.42473719220035</v>
          </cell>
          <cell r="I9">
            <v>28.863552478683083</v>
          </cell>
          <cell r="J9">
            <v>28.475587238688668</v>
          </cell>
          <cell r="K9">
            <v>28.324370336637646</v>
          </cell>
        </row>
        <row r="10">
          <cell r="G10">
            <v>30.800354742240536</v>
          </cell>
          <cell r="H10">
            <v>30.076813367335859</v>
          </cell>
          <cell r="I10">
            <v>28.873976525659856</v>
          </cell>
          <cell r="J10">
            <v>28.335450143911167</v>
          </cell>
          <cell r="K10">
            <v>28.593165007273598</v>
          </cell>
        </row>
        <row r="11">
          <cell r="G11">
            <v>31.421493921913129</v>
          </cell>
          <cell r="H11">
            <v>29.697592327657837</v>
          </cell>
          <cell r="I11">
            <v>28.819860175611453</v>
          </cell>
          <cell r="J11">
            <v>28.174649098996138</v>
          </cell>
          <cell r="K11">
            <v>28.848980019637303</v>
          </cell>
        </row>
        <row r="12">
          <cell r="G12">
            <v>31.804738898746294</v>
          </cell>
          <cell r="H12">
            <v>29.368581377409058</v>
          </cell>
          <cell r="I12">
            <v>28.696693974117633</v>
          </cell>
          <cell r="J12">
            <v>28.032634631740049</v>
          </cell>
          <cell r="K12">
            <v>29.109818760896353</v>
          </cell>
        </row>
        <row r="13">
          <cell r="G13">
            <v>31.980930521946132</v>
          </cell>
          <cell r="H13">
            <v>29.021554556748342</v>
          </cell>
          <cell r="I13">
            <v>28.514190992382954</v>
          </cell>
          <cell r="J13">
            <v>27.876294428005021</v>
          </cell>
          <cell r="K13">
            <v>29.362350020891075</v>
          </cell>
        </row>
        <row r="14">
          <cell r="G14">
            <v>31.945463854414495</v>
          </cell>
          <cell r="H14">
            <v>28.659052341726557</v>
          </cell>
          <cell r="I14">
            <v>28.254088265330516</v>
          </cell>
          <cell r="J14">
            <v>27.70507289371292</v>
          </cell>
          <cell r="K14">
            <v>29.594752721702491</v>
          </cell>
        </row>
        <row r="15">
          <cell r="G15">
            <v>30.921975314694105</v>
          </cell>
          <cell r="H15">
            <v>28.293994931896883</v>
          </cell>
          <cell r="I15">
            <v>27.955293594168516</v>
          </cell>
          <cell r="J15">
            <v>27.544196133202583</v>
          </cell>
          <cell r="K15">
            <v>29.848029207598529</v>
          </cell>
        </row>
        <row r="16">
          <cell r="G16">
            <v>29.350569242758418</v>
          </cell>
          <cell r="H16">
            <v>27.909086631890862</v>
          </cell>
          <cell r="I16">
            <v>27.51027765651267</v>
          </cell>
          <cell r="J16">
            <v>27.373530109686396</v>
          </cell>
          <cell r="K16">
            <v>30.093835115984735</v>
          </cell>
        </row>
        <row r="17">
          <cell r="G17">
            <v>28.07708520486667</v>
          </cell>
          <cell r="H17">
            <v>27.554465633789572</v>
          </cell>
          <cell r="I17">
            <v>27.133828840018442</v>
          </cell>
          <cell r="J17">
            <v>27.216170646794946</v>
          </cell>
          <cell r="K17">
            <v>30.315114145821319</v>
          </cell>
        </row>
        <row r="18">
          <cell r="G18">
            <v>27.116961055596022</v>
          </cell>
          <cell r="H18">
            <v>27.19921747065511</v>
          </cell>
          <cell r="I18">
            <v>26.837469727848838</v>
          </cell>
          <cell r="J18">
            <v>27.05690783336383</v>
          </cell>
          <cell r="K18">
            <v>30.57208174965081</v>
          </cell>
        </row>
        <row r="19">
          <cell r="G19">
            <v>26.339986362380369</v>
          </cell>
          <cell r="H19">
            <v>26.861461521470627</v>
          </cell>
          <cell r="I19">
            <v>26.594270607660185</v>
          </cell>
          <cell r="J19">
            <v>26.902994694327994</v>
          </cell>
          <cell r="K19">
            <v>30.81311932966295</v>
          </cell>
        </row>
        <row r="20">
          <cell r="G20">
            <v>25.638287299606862</v>
          </cell>
          <cell r="H20">
            <v>26.481880581067383</v>
          </cell>
          <cell r="I20">
            <v>26.368099847411987</v>
          </cell>
          <cell r="J20">
            <v>26.731547163230005</v>
          </cell>
          <cell r="K20">
            <v>31.05416853571656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7">
        <row r="8">
          <cell r="G8">
            <v>49.787254887987224</v>
          </cell>
          <cell r="H8">
            <v>49.394439997014729</v>
          </cell>
          <cell r="I8">
            <v>48.189494262918195</v>
          </cell>
          <cell r="J8">
            <v>47.537794199694495</v>
          </cell>
          <cell r="K8">
            <v>47.461561570563539</v>
          </cell>
        </row>
        <row r="9">
          <cell r="G9">
            <v>49.267907761504681</v>
          </cell>
          <cell r="H9">
            <v>49.158725577342622</v>
          </cell>
          <cell r="I9">
            <v>47.820686333095395</v>
          </cell>
          <cell r="J9">
            <v>47.416978234132294</v>
          </cell>
          <cell r="K9">
            <v>47.808359679746275</v>
          </cell>
        </row>
        <row r="10">
          <cell r="G10">
            <v>48.970289193135784</v>
          </cell>
          <cell r="H10">
            <v>48.711840787108066</v>
          </cell>
          <cell r="I10">
            <v>47.521594407774153</v>
          </cell>
          <cell r="J10">
            <v>47.311953324880292</v>
          </cell>
          <cell r="K10">
            <v>48.185114742570747</v>
          </cell>
        </row>
        <row r="11">
          <cell r="G11">
            <v>49.377790446640695</v>
          </cell>
          <cell r="H11">
            <v>48.414187849634224</v>
          </cell>
          <cell r="I11">
            <v>47.47772266106557</v>
          </cell>
          <cell r="J11">
            <v>47.214736524677839</v>
          </cell>
          <cell r="K11">
            <v>48.554717101446542</v>
          </cell>
        </row>
        <row r="12">
          <cell r="G12">
            <v>49.110026940044079</v>
          </cell>
          <cell r="H12">
            <v>48.050703078839099</v>
          </cell>
          <cell r="I12">
            <v>47.220904571325001</v>
          </cell>
          <cell r="J12">
            <v>47.11198311811544</v>
          </cell>
          <cell r="K12">
            <v>48.920851126092458</v>
          </cell>
        </row>
        <row r="13">
          <cell r="G13">
            <v>49.318098960253657</v>
          </cell>
          <cell r="H13">
            <v>47.758727728211667</v>
          </cell>
          <cell r="I13">
            <v>47.124330266521802</v>
          </cell>
          <cell r="J13">
            <v>47.143254370235113</v>
          </cell>
          <cell r="K13">
            <v>49.374850251258515</v>
          </cell>
        </row>
        <row r="14">
          <cell r="G14">
            <v>49.035571939522363</v>
          </cell>
          <cell r="H14">
            <v>47.426345511922385</v>
          </cell>
          <cell r="I14">
            <v>46.830912260322172</v>
          </cell>
          <cell r="J14">
            <v>47.008564149148626</v>
          </cell>
          <cell r="K14">
            <v>49.704758605107152</v>
          </cell>
        </row>
        <row r="15">
          <cell r="G15">
            <v>49.053240986471614</v>
          </cell>
          <cell r="H15">
            <v>47.109392924254941</v>
          </cell>
          <cell r="I15">
            <v>46.812838087448903</v>
          </cell>
          <cell r="J15">
            <v>46.900030713738737</v>
          </cell>
          <cell r="K15">
            <v>50.079661975513829</v>
          </cell>
        </row>
        <row r="16">
          <cell r="G16">
            <v>48.452911371241129</v>
          </cell>
          <cell r="H16">
            <v>46.797619014175694</v>
          </cell>
          <cell r="I16">
            <v>46.75765935646762</v>
          </cell>
          <cell r="J16">
            <v>46.824132090434205</v>
          </cell>
          <cell r="K16">
            <v>50.468048924550459</v>
          </cell>
        </row>
        <row r="17">
          <cell r="G17">
            <v>47.427423694694347</v>
          </cell>
          <cell r="H17">
            <v>46.513675216403868</v>
          </cell>
          <cell r="I17">
            <v>46.480635766641583</v>
          </cell>
          <cell r="J17">
            <v>46.753032799327691</v>
          </cell>
          <cell r="K17">
            <v>50.810955489403234</v>
          </cell>
        </row>
        <row r="18">
          <cell r="G18">
            <v>46.91532344160985</v>
          </cell>
          <cell r="H18">
            <v>46.241098783973634</v>
          </cell>
          <cell r="I18">
            <v>46.413204274474538</v>
          </cell>
          <cell r="J18">
            <v>46.672118502371568</v>
          </cell>
          <cell r="K18">
            <v>51.195987404588266</v>
          </cell>
        </row>
        <row r="19">
          <cell r="G19">
            <v>46.059169385857146</v>
          </cell>
          <cell r="H19">
            <v>45.977200456983702</v>
          </cell>
          <cell r="I19">
            <v>46.374831245882476</v>
          </cell>
          <cell r="J19">
            <v>46.586296269188949</v>
          </cell>
          <cell r="K19">
            <v>51.555023879980673</v>
          </cell>
        </row>
        <row r="20">
          <cell r="G20">
            <v>45.663217581992775</v>
          </cell>
          <cell r="H20">
            <v>45.674959658015375</v>
          </cell>
          <cell r="I20">
            <v>46.290794350925331</v>
          </cell>
          <cell r="J20">
            <v>46.492671255335139</v>
          </cell>
          <cell r="K20">
            <v>51.922764794683438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8">
        <row r="8">
          <cell r="G8">
            <v>53.120267580604214</v>
          </cell>
          <cell r="H8">
            <v>49.147273667749545</v>
          </cell>
          <cell r="I8">
            <v>48.970143447854035</v>
          </cell>
          <cell r="J8">
            <v>47.323564941779118</v>
          </cell>
          <cell r="K8">
            <v>47.272625819262352</v>
          </cell>
        </row>
        <row r="9">
          <cell r="G9">
            <v>52.343921558096092</v>
          </cell>
          <cell r="H9">
            <v>48.955662726479751</v>
          </cell>
          <cell r="I9">
            <v>48.537171328683257</v>
          </cell>
          <cell r="J9">
            <v>47.232895831252442</v>
          </cell>
          <cell r="K9">
            <v>47.649572948462612</v>
          </cell>
        </row>
        <row r="10">
          <cell r="G10">
            <v>51.627172590202072</v>
          </cell>
          <cell r="H10">
            <v>48.510865889172223</v>
          </cell>
          <cell r="I10">
            <v>48.124139405771857</v>
          </cell>
          <cell r="J10">
            <v>47.124446918191147</v>
          </cell>
          <cell r="K10">
            <v>48.023861060801352</v>
          </cell>
        </row>
        <row r="11">
          <cell r="G11">
            <v>51.7380312911651</v>
          </cell>
          <cell r="H11">
            <v>48.210555926297822</v>
          </cell>
          <cell r="I11">
            <v>47.999109912922862</v>
          </cell>
          <cell r="J11">
            <v>47.024184479355071</v>
          </cell>
          <cell r="K11">
            <v>48.390804534101505</v>
          </cell>
        </row>
        <row r="12">
          <cell r="G12">
            <v>49.934039769141314</v>
          </cell>
          <cell r="H12">
            <v>47.843453339779749</v>
          </cell>
          <cell r="I12">
            <v>47.312438518667953</v>
          </cell>
          <cell r="J12">
            <v>46.917595802827677</v>
          </cell>
          <cell r="K12">
            <v>48.758635785569638</v>
          </cell>
        </row>
        <row r="13">
          <cell r="G13">
            <v>48.349374400883896</v>
          </cell>
          <cell r="H13">
            <v>47.557479342907563</v>
          </cell>
          <cell r="I13">
            <v>46.68138096343344</v>
          </cell>
          <cell r="J13">
            <v>46.925955852348388</v>
          </cell>
          <cell r="K13">
            <v>49.194371297823388</v>
          </cell>
        </row>
        <row r="14">
          <cell r="G14">
            <v>46.214563179158596</v>
          </cell>
          <cell r="H14">
            <v>47.202729810183826</v>
          </cell>
          <cell r="I14">
            <v>45.757355694666344</v>
          </cell>
          <cell r="J14">
            <v>46.789088898278123</v>
          </cell>
          <cell r="K14">
            <v>49.521646861699473</v>
          </cell>
        </row>
        <row r="15">
          <cell r="G15">
            <v>46.307664392410352</v>
          </cell>
          <cell r="H15">
            <v>46.867213542131104</v>
          </cell>
          <cell r="I15">
            <v>45.794002690665636</v>
          </cell>
          <cell r="J15">
            <v>46.693660874489574</v>
          </cell>
          <cell r="K15">
            <v>49.896975858747659</v>
          </cell>
        </row>
        <row r="16">
          <cell r="G16">
            <v>45.94918357758165</v>
          </cell>
          <cell r="H16">
            <v>46.546335490149566</v>
          </cell>
          <cell r="I16">
            <v>45.810940150677318</v>
          </cell>
          <cell r="J16">
            <v>46.608213863880792</v>
          </cell>
          <cell r="K16">
            <v>50.277299943807812</v>
          </cell>
        </row>
        <row r="17">
          <cell r="G17">
            <v>45.203985315621381</v>
          </cell>
          <cell r="H17">
            <v>46.273873755706603</v>
          </cell>
          <cell r="I17">
            <v>45.612382829359156</v>
          </cell>
          <cell r="J17">
            <v>46.543294935888156</v>
          </cell>
          <cell r="K17">
            <v>50.618099018778679</v>
          </cell>
        </row>
        <row r="18">
          <cell r="G18">
            <v>45.794539227493694</v>
          </cell>
          <cell r="H18">
            <v>46.012716162072032</v>
          </cell>
          <cell r="I18">
            <v>45.923193481482464</v>
          </cell>
          <cell r="J18">
            <v>46.475409700374627</v>
          </cell>
          <cell r="K18">
            <v>51.022258077158121</v>
          </cell>
        </row>
        <row r="19">
          <cell r="G19">
            <v>46.660205671878956</v>
          </cell>
          <cell r="H19">
            <v>45.793572944652198</v>
          </cell>
          <cell r="I19">
            <v>46.410441389086266</v>
          </cell>
          <cell r="J19">
            <v>46.410119566718869</v>
          </cell>
          <cell r="K19">
            <v>51.385260023151019</v>
          </cell>
        </row>
        <row r="20">
          <cell r="G20">
            <v>48.550287780843135</v>
          </cell>
          <cell r="H20">
            <v>45.493380847587702</v>
          </cell>
          <cell r="I20">
            <v>47.022425787119936</v>
          </cell>
          <cell r="J20">
            <v>46.330703338678518</v>
          </cell>
          <cell r="K20">
            <v>51.77290911027788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19">
        <row r="8">
          <cell r="G8">
            <v>46.235709970212561</v>
          </cell>
          <cell r="H8">
            <v>48.191459388078378</v>
          </cell>
          <cell r="I8">
            <v>46.270856945137979</v>
          </cell>
          <cell r="J8">
            <v>46.333805784793178</v>
          </cell>
          <cell r="K8">
            <v>46.277712976968154</v>
          </cell>
        </row>
        <row r="9">
          <cell r="G9">
            <v>46.812661134914279</v>
          </cell>
          <cell r="H9">
            <v>47.979846272298978</v>
          </cell>
          <cell r="I9">
            <v>46.269756980844548</v>
          </cell>
          <cell r="J9">
            <v>46.215438451104298</v>
          </cell>
          <cell r="K9">
            <v>46.625966720176912</v>
          </cell>
        </row>
        <row r="10">
          <cell r="G10">
            <v>47.554733489967369</v>
          </cell>
          <cell r="H10">
            <v>47.523286802365035</v>
          </cell>
          <cell r="I10">
            <v>46.287196164161351</v>
          </cell>
          <cell r="J10">
            <v>46.128959234575241</v>
          </cell>
          <cell r="K10">
            <v>47.018530424054852</v>
          </cell>
        </row>
        <row r="11">
          <cell r="G11">
            <v>49.40067578924608</v>
          </cell>
          <cell r="H11">
            <v>47.24781496516831</v>
          </cell>
          <cell r="I11">
            <v>46.660905017191823</v>
          </cell>
          <cell r="J11">
            <v>46.052778781353041</v>
          </cell>
          <cell r="K11">
            <v>47.404370496626903</v>
          </cell>
        </row>
        <row r="12">
          <cell r="G12">
            <v>50.068258067474083</v>
          </cell>
          <cell r="H12">
            <v>46.894302264381224</v>
          </cell>
          <cell r="I12">
            <v>46.665415707349318</v>
          </cell>
          <cell r="J12">
            <v>45.966005403413611</v>
          </cell>
          <cell r="K12">
            <v>47.787904583259206</v>
          </cell>
        </row>
        <row r="13">
          <cell r="G13">
            <v>50.902715592067558</v>
          </cell>
          <cell r="H13">
            <v>46.629658643390478</v>
          </cell>
          <cell r="I13">
            <v>46.730816781738156</v>
          </cell>
          <cell r="J13">
            <v>46.022645359001466</v>
          </cell>
          <cell r="K13">
            <v>48.26000434605227</v>
          </cell>
        </row>
        <row r="14">
          <cell r="G14">
            <v>50.405272382166849</v>
          </cell>
          <cell r="H14">
            <v>46.289539041178827</v>
          </cell>
          <cell r="I14">
            <v>46.369352493331874</v>
          </cell>
          <cell r="J14">
            <v>45.905498182064171</v>
          </cell>
          <cell r="K14">
            <v>48.602725186721656</v>
          </cell>
        </row>
        <row r="15">
          <cell r="G15">
            <v>49.249542930354856</v>
          </cell>
          <cell r="H15">
            <v>45.986251391679502</v>
          </cell>
          <cell r="I15">
            <v>46.004516965242757</v>
          </cell>
          <cell r="J15">
            <v>45.797342218642378</v>
          </cell>
          <cell r="K15">
            <v>48.977626071678166</v>
          </cell>
        </row>
        <row r="16">
          <cell r="G16">
            <v>47.491927739361152</v>
          </cell>
          <cell r="H16">
            <v>45.654187877555145</v>
          </cell>
          <cell r="I16">
            <v>45.653777295406066</v>
          </cell>
          <cell r="J16">
            <v>45.699622657562742</v>
          </cell>
          <cell r="K16">
            <v>49.34749482146691</v>
          </cell>
        </row>
        <row r="17">
          <cell r="G17">
            <v>45.292692268123986</v>
          </cell>
          <cell r="H17">
            <v>45.351401541097943</v>
          </cell>
          <cell r="I17">
            <v>45.004569083168889</v>
          </cell>
          <cell r="J17">
            <v>45.611291549376347</v>
          </cell>
          <cell r="K17">
            <v>49.677249351855899</v>
          </cell>
        </row>
        <row r="18">
          <cell r="G18">
            <v>44.084050427976088</v>
          </cell>
          <cell r="H18">
            <v>45.06179795252568</v>
          </cell>
          <cell r="I18">
            <v>44.703896437741335</v>
          </cell>
          <cell r="J18">
            <v>45.517488707912577</v>
          </cell>
          <cell r="K18">
            <v>50.053542321343734</v>
          </cell>
        </row>
        <row r="19">
          <cell r="G19">
            <v>42.924377534713798</v>
          </cell>
          <cell r="H19">
            <v>44.78767450495981</v>
          </cell>
          <cell r="I19">
            <v>44.544356954623936</v>
          </cell>
          <cell r="J19">
            <v>45.42162413516057</v>
          </cell>
          <cell r="K19">
            <v>50.400957329896556</v>
          </cell>
        </row>
        <row r="20">
          <cell r="G20">
            <v>42.645881428895017</v>
          </cell>
          <cell r="H20">
            <v>44.468994543215103</v>
          </cell>
          <cell r="I20">
            <v>44.521944641270565</v>
          </cell>
          <cell r="J20">
            <v>45.316964485431583</v>
          </cell>
          <cell r="K20">
            <v>50.755379812872619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0">
        <row r="8">
          <cell r="G8">
            <v>42.05904353785678</v>
          </cell>
          <cell r="H8">
            <v>41.376962799527412</v>
          </cell>
          <cell r="I8">
            <v>34.396678974855433</v>
          </cell>
          <cell r="J8">
            <v>30.740334037014044</v>
          </cell>
          <cell r="K8">
            <v>28.321800051847475</v>
          </cell>
        </row>
        <row r="9">
          <cell r="G9">
            <v>41.600946454610785</v>
          </cell>
          <cell r="H9">
            <v>39.594370679463111</v>
          </cell>
          <cell r="I9">
            <v>33.10060416476788</v>
          </cell>
          <cell r="J9">
            <v>29.985968741114441</v>
          </cell>
          <cell r="K9">
            <v>28.336578279559966</v>
          </cell>
        </row>
        <row r="10">
          <cell r="G10">
            <v>41.145318892340335</v>
          </cell>
          <cell r="H10">
            <v>37.853353860981308</v>
          </cell>
          <cell r="I10">
            <v>31.788753837777602</v>
          </cell>
          <cell r="J10">
            <v>29.234855605316259</v>
          </cell>
          <cell r="K10">
            <v>28.36752472429637</v>
          </cell>
        </row>
        <row r="11">
          <cell r="G11">
            <v>40.613167003162943</v>
          </cell>
          <cell r="H11">
            <v>36.02318709839134</v>
          </cell>
          <cell r="I11">
            <v>30.559320622439255</v>
          </cell>
          <cell r="J11">
            <v>28.465378525376785</v>
          </cell>
          <cell r="K11">
            <v>28.383674869231665</v>
          </cell>
        </row>
        <row r="12">
          <cell r="G12">
            <v>40.263841032505745</v>
          </cell>
          <cell r="H12">
            <v>34.256649688570469</v>
          </cell>
          <cell r="I12">
            <v>29.296225708601504</v>
          </cell>
          <cell r="J12">
            <v>27.71512976630034</v>
          </cell>
          <cell r="K12">
            <v>28.400611585474362</v>
          </cell>
        </row>
        <row r="13">
          <cell r="G13">
            <v>40.499312391708912</v>
          </cell>
          <cell r="H13">
            <v>32.465076202692806</v>
          </cell>
          <cell r="I13">
            <v>28.230252137942784</v>
          </cell>
          <cell r="J13">
            <v>26.951102615471395</v>
          </cell>
          <cell r="K13">
            <v>28.413900242874028</v>
          </cell>
        </row>
        <row r="14">
          <cell r="G14">
            <v>40.734791855639273</v>
          </cell>
          <cell r="H14">
            <v>30.679927872419114</v>
          </cell>
          <cell r="I14">
            <v>27.109790441146846</v>
          </cell>
          <cell r="J14">
            <v>26.231786045341124</v>
          </cell>
          <cell r="K14">
            <v>28.446196224944089</v>
          </cell>
        </row>
        <row r="15">
          <cell r="G15">
            <v>37.600675670523309</v>
          </cell>
          <cell r="H15">
            <v>28.860303249411587</v>
          </cell>
          <cell r="I15">
            <v>26.121793303950952</v>
          </cell>
          <cell r="J15">
            <v>25.469244258144915</v>
          </cell>
          <cell r="K15">
            <v>28.471736666847804</v>
          </cell>
        </row>
        <row r="16">
          <cell r="G16">
            <v>34.484163970327629</v>
          </cell>
          <cell r="H16">
            <v>27.065203659619545</v>
          </cell>
          <cell r="I16">
            <v>25.19962932805203</v>
          </cell>
          <cell r="J16">
            <v>24.715471208977302</v>
          </cell>
          <cell r="K16">
            <v>28.495784782702806</v>
          </cell>
        </row>
        <row r="17">
          <cell r="G17">
            <v>31.221677099156437</v>
          </cell>
          <cell r="H17">
            <v>25.406759986215377</v>
          </cell>
          <cell r="I17">
            <v>24.286226713112573</v>
          </cell>
          <cell r="J17">
            <v>24.029119677436665</v>
          </cell>
          <cell r="K17">
            <v>28.523029025355264</v>
          </cell>
        </row>
        <row r="18">
          <cell r="G18">
            <v>27.826614177060055</v>
          </cell>
          <cell r="H18">
            <v>23.611274965874298</v>
          </cell>
          <cell r="I18">
            <v>23.331430883931588</v>
          </cell>
          <cell r="J18">
            <v>23.271129276398206</v>
          </cell>
          <cell r="K18">
            <v>28.548991451782548</v>
          </cell>
        </row>
        <row r="19">
          <cell r="G19">
            <v>23.910950904857369</v>
          </cell>
          <cell r="H19">
            <v>21.88528903172843</v>
          </cell>
          <cell r="I19">
            <v>22.237356254303855</v>
          </cell>
          <cell r="J19">
            <v>22.538642369738429</v>
          </cell>
          <cell r="K19">
            <v>28.565003729194423</v>
          </cell>
        </row>
        <row r="20">
          <cell r="G20">
            <v>19.994056004940237</v>
          </cell>
          <cell r="H20">
            <v>20.069233372989512</v>
          </cell>
          <cell r="I20">
            <v>21.195255181111598</v>
          </cell>
          <cell r="J20">
            <v>21.773366588579901</v>
          </cell>
          <cell r="K20">
            <v>28.579040612458716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1">
        <row r="8">
          <cell r="G8">
            <v>21.413541822839775</v>
          </cell>
          <cell r="H8">
            <v>22.23106098691343</v>
          </cell>
          <cell r="I8">
            <v>19.342368235779588</v>
          </cell>
          <cell r="J8">
            <v>18.26655261547473</v>
          </cell>
          <cell r="K8">
            <v>19.123460980616244</v>
          </cell>
        </row>
        <row r="9">
          <cell r="G9">
            <v>21.784745653187205</v>
          </cell>
          <cell r="H9">
            <v>21.570492534192304</v>
          </cell>
          <cell r="I9">
            <v>19.01091107192287</v>
          </cell>
          <cell r="J9">
            <v>18.201330095664865</v>
          </cell>
          <cell r="K9">
            <v>19.129592923431556</v>
          </cell>
        </row>
        <row r="10">
          <cell r="G10">
            <v>22.526783265339276</v>
          </cell>
          <cell r="H10">
            <v>20.908472971751735</v>
          </cell>
          <cell r="I10">
            <v>18.751003021744154</v>
          </cell>
          <cell r="J10">
            <v>18.148342207070915</v>
          </cell>
          <cell r="K10">
            <v>19.145160684067694</v>
          </cell>
        </row>
        <row r="11">
          <cell r="G11">
            <v>23.087640535005391</v>
          </cell>
          <cell r="H11">
            <v>20.216938919642839</v>
          </cell>
          <cell r="I11">
            <v>18.450165556633074</v>
          </cell>
          <cell r="J11">
            <v>18.081808365882591</v>
          </cell>
          <cell r="K11">
            <v>19.152682206007011</v>
          </cell>
        </row>
        <row r="12">
          <cell r="G12">
            <v>23.446438752341123</v>
          </cell>
          <cell r="H12">
            <v>19.582340812520087</v>
          </cell>
          <cell r="I12">
            <v>18.088265732886782</v>
          </cell>
          <cell r="J12">
            <v>18.032638181786474</v>
          </cell>
          <cell r="K12">
            <v>19.176974999725623</v>
          </cell>
        </row>
        <row r="13">
          <cell r="G13">
            <v>23.520624599492866</v>
          </cell>
          <cell r="H13">
            <v>18.913981479996092</v>
          </cell>
          <cell r="I13">
            <v>17.656793399080268</v>
          </cell>
          <cell r="J13">
            <v>17.974933102469951</v>
          </cell>
          <cell r="K13">
            <v>19.18752423714248</v>
          </cell>
        </row>
        <row r="14">
          <cell r="G14">
            <v>23.146980876354903</v>
          </cell>
          <cell r="H14">
            <v>18.247113817140626</v>
          </cell>
          <cell r="I14">
            <v>17.13431260479463</v>
          </cell>
          <cell r="J14">
            <v>17.907877765478389</v>
          </cell>
          <cell r="K14">
            <v>19.191874838447955</v>
          </cell>
        </row>
        <row r="15">
          <cell r="G15">
            <v>21.342810728834301</v>
          </cell>
          <cell r="H15">
            <v>17.578871742967078</v>
          </cell>
          <cell r="I15">
            <v>16.955264365579858</v>
          </cell>
          <cell r="J15">
            <v>17.851347460021476</v>
          </cell>
          <cell r="K15">
            <v>19.206877370876281</v>
          </cell>
        </row>
        <row r="16">
          <cell r="G16">
            <v>19.359673269154055</v>
          </cell>
          <cell r="H16">
            <v>16.904747343159571</v>
          </cell>
          <cell r="I16">
            <v>16.729142743955084</v>
          </cell>
          <cell r="J16">
            <v>17.794898484678182</v>
          </cell>
          <cell r="K16">
            <v>19.220522553829287</v>
          </cell>
        </row>
        <row r="17">
          <cell r="G17">
            <v>17.712299349001498</v>
          </cell>
          <cell r="H17">
            <v>16.280335792579002</v>
          </cell>
          <cell r="I17">
            <v>16.557406055510569</v>
          </cell>
          <cell r="J17">
            <v>17.740906768190872</v>
          </cell>
          <cell r="K17">
            <v>19.231093439702487</v>
          </cell>
        </row>
        <row r="18">
          <cell r="G18">
            <v>16.291739201996069</v>
          </cell>
          <cell r="H18">
            <v>15.61695423390063</v>
          </cell>
          <cell r="I18">
            <v>16.411981775327867</v>
          </cell>
          <cell r="J18">
            <v>17.684699424576554</v>
          </cell>
          <cell r="K18">
            <v>19.245498164775487</v>
          </cell>
        </row>
        <row r="19">
          <cell r="G19">
            <v>15.035894290970651</v>
          </cell>
          <cell r="H19">
            <v>14.969833104752057</v>
          </cell>
          <cell r="I19">
            <v>16.329515986377089</v>
          </cell>
          <cell r="J19">
            <v>17.626702985060561</v>
          </cell>
          <cell r="K19">
            <v>19.252180304757253</v>
          </cell>
        </row>
        <row r="20">
          <cell r="G20">
            <v>13.866987536514339</v>
          </cell>
          <cell r="H20">
            <v>14.290076430877411</v>
          </cell>
          <cell r="I20">
            <v>16.286282837507891</v>
          </cell>
          <cell r="J20">
            <v>17.564127960685585</v>
          </cell>
          <cell r="K20">
            <v>19.260180341721629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2">
        <row r="8">
          <cell r="G8">
            <v>34.225984167215167</v>
          </cell>
          <cell r="H8">
            <v>34.808441410508522</v>
          </cell>
          <cell r="I8">
            <v>32.098780143784481</v>
          </cell>
          <cell r="J8">
            <v>31.011396998857641</v>
          </cell>
          <cell r="K8">
            <v>32.078133253906969</v>
          </cell>
        </row>
        <row r="9">
          <cell r="G9">
            <v>34.165482428755773</v>
          </cell>
          <cell r="H9">
            <v>34.195984176264197</v>
          </cell>
          <cell r="I9">
            <v>31.660874813429935</v>
          </cell>
          <cell r="J9">
            <v>30.994381601517293</v>
          </cell>
          <cell r="K9">
            <v>32.12835304675999</v>
          </cell>
        </row>
        <row r="10">
          <cell r="G10">
            <v>34.589466508199834</v>
          </cell>
          <cell r="H10">
            <v>33.567749445065708</v>
          </cell>
          <cell r="I10">
            <v>31.359868381259169</v>
          </cell>
          <cell r="J10">
            <v>30.977133564636592</v>
          </cell>
          <cell r="K10">
            <v>32.176542810759152</v>
          </cell>
        </row>
        <row r="11">
          <cell r="G11">
            <v>35.088220130107899</v>
          </cell>
          <cell r="H11">
            <v>32.909596013374184</v>
          </cell>
          <cell r="I11">
            <v>31.101217093934075</v>
          </cell>
          <cell r="J11">
            <v>30.947191317133871</v>
          </cell>
          <cell r="K11">
            <v>32.219397973848366</v>
          </cell>
        </row>
        <row r="12">
          <cell r="G12">
            <v>35.296832877959936</v>
          </cell>
          <cell r="H12">
            <v>32.2922386358876</v>
          </cell>
          <cell r="I12">
            <v>30.736059868132198</v>
          </cell>
          <cell r="J12">
            <v>30.93281551569001</v>
          </cell>
          <cell r="K12">
            <v>32.279121137537118</v>
          </cell>
        </row>
        <row r="13">
          <cell r="G13">
            <v>35.380466162477568</v>
          </cell>
          <cell r="H13">
            <v>31.650979515320369</v>
          </cell>
          <cell r="I13">
            <v>30.337739394664332</v>
          </cell>
          <cell r="J13">
            <v>30.901199012317139</v>
          </cell>
          <cell r="K13">
            <v>32.314625091700144</v>
          </cell>
        </row>
        <row r="14">
          <cell r="G14">
            <v>35.418406497659618</v>
          </cell>
          <cell r="H14">
            <v>31.008995505815548</v>
          </cell>
          <cell r="I14">
            <v>29.90350297759872</v>
          </cell>
          <cell r="J14">
            <v>30.863506812712764</v>
          </cell>
          <cell r="K14">
            <v>32.346159732494584</v>
          </cell>
        </row>
        <row r="15">
          <cell r="G15">
            <v>34.228541413171072</v>
          </cell>
          <cell r="H15">
            <v>30.36609688549725</v>
          </cell>
          <cell r="I15">
            <v>29.888004405098659</v>
          </cell>
          <cell r="J15">
            <v>30.841393168487514</v>
          </cell>
          <cell r="K15">
            <v>32.396584745498146</v>
          </cell>
        </row>
        <row r="16">
          <cell r="G16">
            <v>32.511227564705415</v>
          </cell>
          <cell r="H16">
            <v>29.717930587807331</v>
          </cell>
          <cell r="I16">
            <v>29.74359711993516</v>
          </cell>
          <cell r="J16">
            <v>30.816561063246958</v>
          </cell>
          <cell r="K16">
            <v>32.448089123350798</v>
          </cell>
        </row>
        <row r="17">
          <cell r="G17">
            <v>30.78436680376295</v>
          </cell>
          <cell r="H17">
            <v>29.125397284679973</v>
          </cell>
          <cell r="I17">
            <v>29.58640310263506</v>
          </cell>
          <cell r="J17">
            <v>30.796336502815929</v>
          </cell>
          <cell r="K17">
            <v>32.484968937631365</v>
          </cell>
        </row>
        <row r="18">
          <cell r="G18">
            <v>29.376083910269941</v>
          </cell>
          <cell r="H18">
            <v>28.482711784948059</v>
          </cell>
          <cell r="I18">
            <v>29.503132670626769</v>
          </cell>
          <cell r="J18">
            <v>30.775216338040575</v>
          </cell>
          <cell r="K18">
            <v>32.539069553631776</v>
          </cell>
        </row>
        <row r="19">
          <cell r="G19">
            <v>28.097178725895535</v>
          </cell>
          <cell r="H19">
            <v>27.869251031214702</v>
          </cell>
          <cell r="I19">
            <v>29.452935064643597</v>
          </cell>
          <cell r="J19">
            <v>30.746746653723598</v>
          </cell>
          <cell r="K19">
            <v>32.575675009844808</v>
          </cell>
        </row>
        <row r="20">
          <cell r="G20">
            <v>26.785964359697697</v>
          </cell>
          <cell r="H20">
            <v>27.198210199813765</v>
          </cell>
          <cell r="I20">
            <v>29.385435979050001</v>
          </cell>
          <cell r="J20">
            <v>30.706434260989539</v>
          </cell>
          <cell r="K20">
            <v>32.605784397478146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3">
        <row r="8">
          <cell r="G8">
            <v>37.567201985435268</v>
          </cell>
          <cell r="H8">
            <v>39.412831393240509</v>
          </cell>
          <cell r="I8">
            <v>37.646820318014278</v>
          </cell>
          <cell r="J8">
            <v>37.55151677920005</v>
          </cell>
          <cell r="K8">
            <v>37.335824792319258</v>
          </cell>
        </row>
        <row r="9">
          <cell r="G9">
            <v>38.271168468405783</v>
          </cell>
          <cell r="H9">
            <v>39.125634928916064</v>
          </cell>
          <cell r="I9">
            <v>37.685708960805506</v>
          </cell>
          <cell r="J9">
            <v>37.443407083782311</v>
          </cell>
          <cell r="K9">
            <v>37.695597385143898</v>
          </cell>
        </row>
        <row r="10">
          <cell r="G10">
            <v>39.536917805727242</v>
          </cell>
          <cell r="H10">
            <v>38.852183062452617</v>
          </cell>
          <cell r="I10">
            <v>37.867118428100412</v>
          </cell>
          <cell r="J10">
            <v>37.367974213460954</v>
          </cell>
          <cell r="K10">
            <v>38.089507469767483</v>
          </cell>
        </row>
        <row r="11">
          <cell r="G11">
            <v>40.663301999826864</v>
          </cell>
          <cell r="H11">
            <v>38.548826839994732</v>
          </cell>
          <cell r="I11">
            <v>37.983377354901712</v>
          </cell>
          <cell r="J11">
            <v>37.265449985798384</v>
          </cell>
          <cell r="K11">
            <v>38.46478789548852</v>
          </cell>
        </row>
        <row r="12">
          <cell r="G12">
            <v>41.646155681865949</v>
          </cell>
          <cell r="H12">
            <v>38.294593461615563</v>
          </cell>
          <cell r="I12">
            <v>38.040223897736375</v>
          </cell>
          <cell r="J12">
            <v>37.186510886600821</v>
          </cell>
          <cell r="K12">
            <v>38.849211841362198</v>
          </cell>
        </row>
        <row r="13">
          <cell r="G13">
            <v>41.991849686556883</v>
          </cell>
          <cell r="H13">
            <v>38.009377588429366</v>
          </cell>
          <cell r="I13">
            <v>37.913888132655913</v>
          </cell>
          <cell r="J13">
            <v>37.076837344662231</v>
          </cell>
          <cell r="K13">
            <v>39.215258565961264</v>
          </cell>
        </row>
        <row r="14">
          <cell r="G14">
            <v>41.505751247958955</v>
          </cell>
          <cell r="H14">
            <v>37.689201363111785</v>
          </cell>
          <cell r="I14">
            <v>37.545822481327413</v>
          </cell>
          <cell r="J14">
            <v>36.920670628527482</v>
          </cell>
          <cell r="K14">
            <v>39.522135996320159</v>
          </cell>
        </row>
        <row r="15">
          <cell r="G15">
            <v>40.044569243886514</v>
          </cell>
          <cell r="H15">
            <v>37.381548931543769</v>
          </cell>
          <cell r="I15">
            <v>37.153108680521214</v>
          </cell>
          <cell r="J15">
            <v>36.803899604870118</v>
          </cell>
          <cell r="K15">
            <v>39.878726212976225</v>
          </cell>
        </row>
        <row r="16">
          <cell r="G16">
            <v>38.178405522114979</v>
          </cell>
          <cell r="H16">
            <v>37.037334708485531</v>
          </cell>
          <cell r="I16">
            <v>36.650625351189269</v>
          </cell>
          <cell r="J16">
            <v>36.709728347378608</v>
          </cell>
          <cell r="K16">
            <v>40.242894385493237</v>
          </cell>
        </row>
        <row r="17">
          <cell r="G17">
            <v>36.649277619236244</v>
          </cell>
          <cell r="H17">
            <v>36.707865326813163</v>
          </cell>
          <cell r="I17">
            <v>36.208360183332445</v>
          </cell>
          <cell r="J17">
            <v>36.614122584852502</v>
          </cell>
          <cell r="K17">
            <v>40.562790821007518</v>
          </cell>
        </row>
        <row r="18">
          <cell r="G18">
            <v>35.416966424579073</v>
          </cell>
          <cell r="H18">
            <v>36.367036404916625</v>
          </cell>
          <cell r="I18">
            <v>35.842246757675589</v>
          </cell>
          <cell r="J18">
            <v>36.507681369962036</v>
          </cell>
          <cell r="K18">
            <v>40.911464808046809</v>
          </cell>
        </row>
        <row r="19">
          <cell r="G19">
            <v>34.667853694773555</v>
          </cell>
          <cell r="H19">
            <v>36.046425706476207</v>
          </cell>
          <cell r="I19">
            <v>35.620701967092664</v>
          </cell>
          <cell r="J19">
            <v>36.410666728436247</v>
          </cell>
          <cell r="K19">
            <v>41.247190605516941</v>
          </cell>
        </row>
        <row r="20">
          <cell r="G20">
            <v>34.312748169541329</v>
          </cell>
          <cell r="H20">
            <v>35.681115333633755</v>
          </cell>
          <cell r="I20">
            <v>35.513425825232019</v>
          </cell>
          <cell r="J20">
            <v>36.293559424626388</v>
          </cell>
          <cell r="K20">
            <v>41.587727670075303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4">
        <row r="8">
          <cell r="G8">
            <v>23.110152850568042</v>
          </cell>
          <cell r="H8">
            <v>22.436587054602192</v>
          </cell>
          <cell r="I8">
            <v>19.915704857405689</v>
          </cell>
          <cell r="J8">
            <v>18.434128999340381</v>
          </cell>
          <cell r="K8">
            <v>19.366566613245471</v>
          </cell>
        </row>
        <row r="9">
          <cell r="G9">
            <v>23.116523175261296</v>
          </cell>
          <cell r="H9">
            <v>21.76770424902206</v>
          </cell>
          <cell r="I9">
            <v>19.492476118476407</v>
          </cell>
          <cell r="J9">
            <v>18.384445348013866</v>
          </cell>
          <cell r="K9">
            <v>19.386699779386948</v>
          </cell>
        </row>
        <row r="10">
          <cell r="G10">
            <v>22.1402621230081</v>
          </cell>
          <cell r="H10">
            <v>21.103430847990623</v>
          </cell>
          <cell r="I10">
            <v>18.761791764291747</v>
          </cell>
          <cell r="J10">
            <v>18.325794027481404</v>
          </cell>
          <cell r="K10">
            <v>19.423692922393034</v>
          </cell>
        </row>
        <row r="11">
          <cell r="G11">
            <v>21.635927274687369</v>
          </cell>
          <cell r="H11">
            <v>20.382848465060395</v>
          </cell>
          <cell r="I11">
            <v>18.217008098887575</v>
          </cell>
          <cell r="J11">
            <v>18.247294926854853</v>
          </cell>
          <cell r="K11">
            <v>19.422100181261722</v>
          </cell>
        </row>
        <row r="12">
          <cell r="G12">
            <v>20.50672397193518</v>
          </cell>
          <cell r="H12">
            <v>19.709279158648229</v>
          </cell>
          <cell r="I12">
            <v>17.478473330150347</v>
          </cell>
          <cell r="J12">
            <v>18.197268804340919</v>
          </cell>
          <cell r="K12">
            <v>19.444018928872421</v>
          </cell>
        </row>
        <row r="13">
          <cell r="G13">
            <v>21.137489726226839</v>
          </cell>
          <cell r="H13">
            <v>19.034526131322295</v>
          </cell>
          <cell r="I13">
            <v>17.224484060014621</v>
          </cell>
          <cell r="J13">
            <v>18.136940599881811</v>
          </cell>
          <cell r="K13">
            <v>19.453205410449865</v>
          </cell>
        </row>
        <row r="14">
          <cell r="G14">
            <v>21.815477573990719</v>
          </cell>
          <cell r="H14">
            <v>18.384184774913127</v>
          </cell>
          <cell r="I14">
            <v>16.95537447480957</v>
          </cell>
          <cell r="J14">
            <v>18.093863133250935</v>
          </cell>
          <cell r="K14">
            <v>19.482034083222697</v>
          </cell>
        </row>
        <row r="15">
          <cell r="G15">
            <v>20.429534886909622</v>
          </cell>
          <cell r="H15">
            <v>17.686996420792678</v>
          </cell>
          <cell r="I15">
            <v>16.812008943811279</v>
          </cell>
          <cell r="J15">
            <v>18.039798447656391</v>
          </cell>
          <cell r="K15">
            <v>19.508231559206635</v>
          </cell>
        </row>
        <row r="16">
          <cell r="G16">
            <v>19.997875552514564</v>
          </cell>
          <cell r="H16">
            <v>17.023179510376213</v>
          </cell>
          <cell r="I16">
            <v>16.998475272403617</v>
          </cell>
          <cell r="J16">
            <v>17.985189586664067</v>
          </cell>
          <cell r="K16">
            <v>19.51232885704399</v>
          </cell>
        </row>
        <row r="17">
          <cell r="G17">
            <v>18.956832121426995</v>
          </cell>
          <cell r="H17">
            <v>16.393517438617831</v>
          </cell>
          <cell r="I17">
            <v>17.01618417378219</v>
          </cell>
          <cell r="J17">
            <v>17.942838077434935</v>
          </cell>
          <cell r="K17">
            <v>19.540366322982564</v>
          </cell>
        </row>
        <row r="18">
          <cell r="G18">
            <v>18.605183903782901</v>
          </cell>
          <cell r="H18">
            <v>15.718291639758318</v>
          </cell>
          <cell r="I18">
            <v>17.25037701338929</v>
          </cell>
          <cell r="J18">
            <v>17.892759322867878</v>
          </cell>
          <cell r="K18">
            <v>19.574092295125812</v>
          </cell>
        </row>
        <row r="19">
          <cell r="G19">
            <v>16.555625439199769</v>
          </cell>
          <cell r="H19">
            <v>15.096133595579067</v>
          </cell>
          <cell r="I19">
            <v>17.022022548566369</v>
          </cell>
          <cell r="J19">
            <v>17.87443659220812</v>
          </cell>
          <cell r="K19">
            <v>19.60904302240699</v>
          </cell>
        </row>
        <row r="20">
          <cell r="G20">
            <v>14.66810261835872</v>
          </cell>
          <cell r="H20">
            <v>14.418619492984202</v>
          </cell>
          <cell r="I20">
            <v>16.783777863255263</v>
          </cell>
          <cell r="J20">
            <v>17.826495988240694</v>
          </cell>
          <cell r="K20">
            <v>19.622231754971693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5">
        <row r="8">
          <cell r="G8">
            <v>29.167117992539367</v>
          </cell>
          <cell r="H8">
            <v>30.221316035071407</v>
          </cell>
          <cell r="I8">
            <v>27.365148480270335</v>
          </cell>
          <cell r="J8">
            <v>26.442025166888442</v>
          </cell>
          <cell r="K8">
            <v>27.509619404091868</v>
          </cell>
        </row>
        <row r="9">
          <cell r="G9">
            <v>29.411596463149433</v>
          </cell>
          <cell r="H9">
            <v>29.579826121016879</v>
          </cell>
          <cell r="I9">
            <v>27.028749412909228</v>
          </cell>
          <cell r="J9">
            <v>26.40253981818271</v>
          </cell>
          <cell r="K9">
            <v>27.542629602957135</v>
          </cell>
        </row>
        <row r="10">
          <cell r="G10">
            <v>30.063180351833829</v>
          </cell>
          <cell r="H10">
            <v>28.981134493901397</v>
          </cell>
          <cell r="I10">
            <v>26.794511894037093</v>
          </cell>
          <cell r="J10">
            <v>26.396295482313473</v>
          </cell>
          <cell r="K10">
            <v>27.596906931993786</v>
          </cell>
        </row>
        <row r="11">
          <cell r="G11">
            <v>30.420002822543481</v>
          </cell>
          <cell r="H11">
            <v>28.302013673146948</v>
          </cell>
          <cell r="I11">
            <v>26.487581986736014</v>
          </cell>
          <cell r="J11">
            <v>26.354387633025983</v>
          </cell>
          <cell r="K11">
            <v>27.631546963867482</v>
          </cell>
        </row>
        <row r="12">
          <cell r="G12">
            <v>30.787855084325031</v>
          </cell>
          <cell r="H12">
            <v>27.684994588447889</v>
          </cell>
          <cell r="I12">
            <v>26.172549392242029</v>
          </cell>
          <cell r="J12">
            <v>26.337392898593745</v>
          </cell>
          <cell r="K12">
            <v>27.687712432932297</v>
          </cell>
        </row>
        <row r="13">
          <cell r="G13">
            <v>31.181713987393177</v>
          </cell>
          <cell r="H13">
            <v>27.053176720550965</v>
          </cell>
          <cell r="I13">
            <v>25.857184645622617</v>
          </cell>
          <cell r="J13">
            <v>26.328118017756342</v>
          </cell>
          <cell r="K13">
            <v>27.737207386661339</v>
          </cell>
        </row>
        <row r="14">
          <cell r="G14">
            <v>31.387868296314473</v>
          </cell>
          <cell r="H14">
            <v>26.417733124380582</v>
          </cell>
          <cell r="I14">
            <v>25.468836662830576</v>
          </cell>
          <cell r="J14">
            <v>26.291958583724302</v>
          </cell>
          <cell r="K14">
            <v>27.771032516893943</v>
          </cell>
        </row>
        <row r="15">
          <cell r="G15">
            <v>29.764238313202696</v>
          </cell>
          <cell r="H15">
            <v>25.779498862202935</v>
          </cell>
          <cell r="I15">
            <v>25.334122471412599</v>
          </cell>
          <cell r="J15">
            <v>26.268458802931693</v>
          </cell>
          <cell r="K15">
            <v>27.822011424932441</v>
          </cell>
        </row>
        <row r="16">
          <cell r="G16">
            <v>27.863786737820927</v>
          </cell>
          <cell r="H16">
            <v>25.135459102044475</v>
          </cell>
          <cell r="I16">
            <v>25.146436623121339</v>
          </cell>
          <cell r="J16">
            <v>26.245053040468612</v>
          </cell>
          <cell r="K16">
            <v>27.867684868010436</v>
          </cell>
        </row>
        <row r="17">
          <cell r="G17">
            <v>26.240912667271274</v>
          </cell>
          <cell r="H17">
            <v>24.540963070796113</v>
          </cell>
          <cell r="I17">
            <v>25.020698046465551</v>
          </cell>
          <cell r="J17">
            <v>26.226058978577804</v>
          </cell>
          <cell r="K17">
            <v>27.910227071971505</v>
          </cell>
        </row>
        <row r="18">
          <cell r="G18">
            <v>24.73018389351925</v>
          </cell>
          <cell r="H18">
            <v>23.913858900242246</v>
          </cell>
          <cell r="I18">
            <v>24.89814349112255</v>
          </cell>
          <cell r="J18">
            <v>26.206690732023667</v>
          </cell>
          <cell r="K18">
            <v>27.961731435368172</v>
          </cell>
        </row>
        <row r="19">
          <cell r="G19">
            <v>23.279036817832292</v>
          </cell>
          <cell r="H19">
            <v>23.306459677760078</v>
          </cell>
          <cell r="I19">
            <v>24.803453621145024</v>
          </cell>
          <cell r="J19">
            <v>26.182002674932907</v>
          </cell>
          <cell r="K19">
            <v>27.997358988630207</v>
          </cell>
        </row>
        <row r="20">
          <cell r="G20">
            <v>21.918628333570002</v>
          </cell>
          <cell r="H20">
            <v>22.648377608223587</v>
          </cell>
          <cell r="I20">
            <v>24.7015160764375</v>
          </cell>
          <cell r="J20">
            <v>26.14835693880563</v>
          </cell>
          <cell r="K20">
            <v>28.033929392070437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6">
        <row r="8">
          <cell r="G8">
            <v>30.160077057405086</v>
          </cell>
          <cell r="H8">
            <v>31.137622561262997</v>
          </cell>
          <cell r="I8">
            <v>28.299289322880995</v>
          </cell>
          <cell r="J8">
            <v>27.352075366059974</v>
          </cell>
          <cell r="K8">
            <v>28.418927771983668</v>
          </cell>
        </row>
        <row r="9">
          <cell r="G9">
            <v>30.380662415209983</v>
          </cell>
          <cell r="H9">
            <v>30.494617709528047</v>
          </cell>
          <cell r="I9">
            <v>27.950879171704205</v>
          </cell>
          <cell r="J9">
            <v>27.312410469200291</v>
          </cell>
          <cell r="K9">
            <v>28.449052629316181</v>
          </cell>
        </row>
        <row r="10">
          <cell r="G10">
            <v>31.019532642551646</v>
          </cell>
          <cell r="H10">
            <v>29.877164438937651</v>
          </cell>
          <cell r="I10">
            <v>27.714950999774665</v>
          </cell>
          <cell r="J10">
            <v>27.297432609736415</v>
          </cell>
          <cell r="K10">
            <v>28.499185291661551</v>
          </cell>
        </row>
        <row r="11">
          <cell r="G11">
            <v>31.383135360929018</v>
          </cell>
          <cell r="H11">
            <v>29.208827787010726</v>
          </cell>
          <cell r="I11">
            <v>27.409049758605324</v>
          </cell>
          <cell r="J11">
            <v>27.261645394192197</v>
          </cell>
          <cell r="K11">
            <v>28.537162444996579</v>
          </cell>
        </row>
        <row r="12">
          <cell r="G12">
            <v>31.73634100804103</v>
          </cell>
          <cell r="H12">
            <v>28.591347133149025</v>
          </cell>
          <cell r="I12">
            <v>27.08856190729081</v>
          </cell>
          <cell r="J12">
            <v>27.242561792624063</v>
          </cell>
          <cell r="K12">
            <v>28.589640701081208</v>
          </cell>
        </row>
        <row r="13">
          <cell r="G13">
            <v>32.073312779313468</v>
          </cell>
          <cell r="H13">
            <v>27.953493469558566</v>
          </cell>
          <cell r="I13">
            <v>26.753303126133318</v>
          </cell>
          <cell r="J13">
            <v>27.233217332309671</v>
          </cell>
          <cell r="K13">
            <v>28.641553225558596</v>
          </cell>
        </row>
        <row r="14">
          <cell r="G14">
            <v>32.212648614799441</v>
          </cell>
          <cell r="H14">
            <v>27.324104586052378</v>
          </cell>
          <cell r="I14">
            <v>26.353580543203318</v>
          </cell>
          <cell r="J14">
            <v>27.197747380369147</v>
          </cell>
          <cell r="K14">
            <v>28.675401923738129</v>
          </cell>
        </row>
        <row r="15">
          <cell r="G15">
            <v>30.619033507781975</v>
          </cell>
          <cell r="H15">
            <v>26.680300169045207</v>
          </cell>
          <cell r="I15">
            <v>26.226111932619649</v>
          </cell>
          <cell r="J15">
            <v>27.170657020719052</v>
          </cell>
          <cell r="K15">
            <v>28.722624620966325</v>
          </cell>
        </row>
        <row r="16">
          <cell r="G16">
            <v>28.703903774788117</v>
          </cell>
          <cell r="H16">
            <v>26.041247066787186</v>
          </cell>
          <cell r="I16">
            <v>26.03289080195049</v>
          </cell>
          <cell r="J16">
            <v>27.150845806723826</v>
          </cell>
          <cell r="K16">
            <v>28.770062718391319</v>
          </cell>
        </row>
        <row r="17">
          <cell r="G17">
            <v>27.105416877338321</v>
          </cell>
          <cell r="H17">
            <v>25.447932815944391</v>
          </cell>
          <cell r="I17">
            <v>25.915127816870051</v>
          </cell>
          <cell r="J17">
            <v>27.131161807304498</v>
          </cell>
          <cell r="K17">
            <v>28.812571460496891</v>
          </cell>
        </row>
        <row r="18">
          <cell r="G18">
            <v>25.610800040377164</v>
          </cell>
          <cell r="H18">
            <v>24.819889122711125</v>
          </cell>
          <cell r="I18">
            <v>25.794489268545576</v>
          </cell>
          <cell r="J18">
            <v>27.109367916042689</v>
          </cell>
          <cell r="K18">
            <v>28.860196342923025</v>
          </cell>
        </row>
        <row r="19">
          <cell r="G19">
            <v>24.190440606563012</v>
          </cell>
          <cell r="H19">
            <v>24.206244312057667</v>
          </cell>
          <cell r="I19">
            <v>25.713477639329575</v>
          </cell>
          <cell r="J19">
            <v>27.085209720127949</v>
          </cell>
          <cell r="K19">
            <v>28.897804727300819</v>
          </cell>
        </row>
        <row r="20">
          <cell r="G20">
            <v>22.873571872705782</v>
          </cell>
          <cell r="H20">
            <v>23.553775219328386</v>
          </cell>
          <cell r="I20">
            <v>25.626862762206514</v>
          </cell>
          <cell r="J20">
            <v>27.054984847741096</v>
          </cell>
          <cell r="K20">
            <v>28.936440964432954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7">
        <row r="8">
          <cell r="G8">
            <v>35.053930557330133</v>
          </cell>
          <cell r="H8">
            <v>36.895372637458877</v>
          </cell>
          <cell r="I8">
            <v>35.010848845551656</v>
          </cell>
          <cell r="J8">
            <v>34.868346280142255</v>
          </cell>
          <cell r="K8">
            <v>34.440101680757216</v>
          </cell>
        </row>
        <row r="9">
          <cell r="G9">
            <v>35.206465563514655</v>
          </cell>
          <cell r="H9">
            <v>36.564632392897416</v>
          </cell>
          <cell r="I9">
            <v>34.841617631448706</v>
          </cell>
          <cell r="J9">
            <v>34.724065204667404</v>
          </cell>
          <cell r="K9">
            <v>34.709774416212348</v>
          </cell>
        </row>
        <row r="10">
          <cell r="G10">
            <v>36.107866442312556</v>
          </cell>
          <cell r="H10">
            <v>36.246019134254382</v>
          </cell>
          <cell r="I10">
            <v>34.898462248083895</v>
          </cell>
          <cell r="J10">
            <v>34.59930486691519</v>
          </cell>
          <cell r="K10">
            <v>35.002283072173917</v>
          </cell>
        </row>
        <row r="11">
          <cell r="G11">
            <v>37.036167808551554</v>
          </cell>
          <cell r="H11">
            <v>35.933052996926669</v>
          </cell>
          <cell r="I11">
            <v>34.963018611932149</v>
          </cell>
          <cell r="J11">
            <v>34.47254883938043</v>
          </cell>
          <cell r="K11">
            <v>35.298446799676348</v>
          </cell>
        </row>
        <row r="12">
          <cell r="G12">
            <v>37.869853250130397</v>
          </cell>
          <cell r="H12">
            <v>35.628520579502187</v>
          </cell>
          <cell r="I12">
            <v>34.981045459328854</v>
          </cell>
          <cell r="J12">
            <v>34.344672252956464</v>
          </cell>
          <cell r="K12">
            <v>35.583134352995678</v>
          </cell>
        </row>
        <row r="13">
          <cell r="G13">
            <v>38.475142110880611</v>
          </cell>
          <cell r="H13">
            <v>35.308383516055898</v>
          </cell>
          <cell r="I13">
            <v>34.916334316973256</v>
          </cell>
          <cell r="J13">
            <v>34.207388997019955</v>
          </cell>
          <cell r="K13">
            <v>35.8656154641344</v>
          </cell>
        </row>
        <row r="14">
          <cell r="G14">
            <v>38.951914766295992</v>
          </cell>
          <cell r="H14">
            <v>34.98808647665048</v>
          </cell>
          <cell r="I14">
            <v>34.801669235193515</v>
          </cell>
          <cell r="J14">
            <v>34.021987595176562</v>
          </cell>
          <cell r="K14">
            <v>36.102157362429971</v>
          </cell>
        </row>
        <row r="15">
          <cell r="G15">
            <v>38.089996795051206</v>
          </cell>
          <cell r="H15">
            <v>34.648301002723521</v>
          </cell>
          <cell r="I15">
            <v>34.550146198032486</v>
          </cell>
          <cell r="J15">
            <v>33.840026669450637</v>
          </cell>
          <cell r="K15">
            <v>36.358274490916529</v>
          </cell>
        </row>
        <row r="16">
          <cell r="G16">
            <v>36.392802987894868</v>
          </cell>
          <cell r="H16">
            <v>34.274608735164961</v>
          </cell>
          <cell r="I16">
            <v>34.074505905609506</v>
          </cell>
          <cell r="J16">
            <v>33.717835252793954</v>
          </cell>
          <cell r="K16">
            <v>36.633659971979021</v>
          </cell>
        </row>
        <row r="17">
          <cell r="G17">
            <v>34.840831154271193</v>
          </cell>
          <cell r="H17">
            <v>33.927430111121929</v>
          </cell>
          <cell r="I17">
            <v>33.621423535652625</v>
          </cell>
          <cell r="J17">
            <v>33.600897250188382</v>
          </cell>
          <cell r="K17">
            <v>36.879216041788347</v>
          </cell>
        </row>
        <row r="18">
          <cell r="G18">
            <v>33.499490109985956</v>
          </cell>
          <cell r="H18">
            <v>33.568547993583344</v>
          </cell>
          <cell r="I18">
            <v>33.206578259820155</v>
          </cell>
          <cell r="J18">
            <v>33.474406372384067</v>
          </cell>
          <cell r="K18">
            <v>37.150063480276614</v>
          </cell>
        </row>
        <row r="19">
          <cell r="G19">
            <v>32.427172717967615</v>
          </cell>
          <cell r="H19">
            <v>33.215492130635411</v>
          </cell>
          <cell r="I19">
            <v>32.87033441909368</v>
          </cell>
          <cell r="J19">
            <v>33.349892176480246</v>
          </cell>
          <cell r="K19">
            <v>37.410222746088209</v>
          </cell>
        </row>
        <row r="20">
          <cell r="G20">
            <v>31.429115710065371</v>
          </cell>
          <cell r="H20">
            <v>32.833285573519873</v>
          </cell>
          <cell r="I20">
            <v>32.496408725113398</v>
          </cell>
          <cell r="J20">
            <v>33.212339038294246</v>
          </cell>
          <cell r="K20">
            <v>37.671100568406622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8">
        <row r="8">
          <cell r="G8">
            <v>33.699760374040579</v>
          </cell>
          <cell r="H8">
            <v>35.84120527907649</v>
          </cell>
          <cell r="I8">
            <v>33.875580402646584</v>
          </cell>
          <cell r="J8">
            <v>33.836724669263759</v>
          </cell>
          <cell r="K8">
            <v>33.45010244858404</v>
          </cell>
        </row>
        <row r="9">
          <cell r="G9">
            <v>34.124011345909828</v>
          </cell>
          <cell r="H9">
            <v>35.526178879640931</v>
          </cell>
          <cell r="I9">
            <v>33.815351140625701</v>
          </cell>
          <cell r="J9">
            <v>33.702617446074093</v>
          </cell>
          <cell r="K9">
            <v>33.731356853589766</v>
          </cell>
        </row>
        <row r="10">
          <cell r="G10">
            <v>35.210298060966672</v>
          </cell>
          <cell r="H10">
            <v>35.239228954067976</v>
          </cell>
          <cell r="I10">
            <v>33.928507327900547</v>
          </cell>
          <cell r="J10">
            <v>33.59091877312769</v>
          </cell>
          <cell r="K10">
            <v>34.028912375339424</v>
          </cell>
        </row>
        <row r="11">
          <cell r="G11">
            <v>36.412218628429812</v>
          </cell>
          <cell r="H11">
            <v>34.905586083036056</v>
          </cell>
          <cell r="I11">
            <v>34.073118892426976</v>
          </cell>
          <cell r="J11">
            <v>33.455141146156436</v>
          </cell>
          <cell r="K11">
            <v>34.320126157934965</v>
          </cell>
        </row>
        <row r="12">
          <cell r="G12">
            <v>37.544245686225437</v>
          </cell>
          <cell r="H12">
            <v>34.6066119300339</v>
          </cell>
          <cell r="I12">
            <v>34.168916828356792</v>
          </cell>
          <cell r="J12">
            <v>33.33380014432602</v>
          </cell>
          <cell r="K12">
            <v>34.614319549314949</v>
          </cell>
        </row>
        <row r="13">
          <cell r="G13">
            <v>38.298639518025041</v>
          </cell>
          <cell r="H13">
            <v>34.307177495154654</v>
          </cell>
          <cell r="I13">
            <v>34.140427957084079</v>
          </cell>
          <cell r="J13">
            <v>33.204746580237256</v>
          </cell>
          <cell r="K13">
            <v>34.900061670714365</v>
          </cell>
        </row>
        <row r="14">
          <cell r="G14">
            <v>38.310556116614222</v>
          </cell>
          <cell r="H14">
            <v>33.969970052385321</v>
          </cell>
          <cell r="I14">
            <v>33.88699634625236</v>
          </cell>
          <cell r="J14">
            <v>33.038907393585554</v>
          </cell>
          <cell r="K14">
            <v>35.148955783268931</v>
          </cell>
        </row>
        <row r="15">
          <cell r="G15">
            <v>37.110841508740748</v>
          </cell>
          <cell r="H15">
            <v>33.651076631813702</v>
          </cell>
          <cell r="I15">
            <v>33.549960716295736</v>
          </cell>
          <cell r="J15">
            <v>32.895357428368627</v>
          </cell>
          <cell r="K15">
            <v>35.427619389932076</v>
          </cell>
        </row>
        <row r="16">
          <cell r="G16">
            <v>35.269613607319179</v>
          </cell>
          <cell r="H16">
            <v>33.271088041125495</v>
          </cell>
          <cell r="I16">
            <v>33.031841367584825</v>
          </cell>
          <cell r="J16">
            <v>32.763437404154558</v>
          </cell>
          <cell r="K16">
            <v>35.69595859947276</v>
          </cell>
        </row>
        <row r="17">
          <cell r="G17">
            <v>33.467606417383934</v>
          </cell>
          <cell r="H17">
            <v>32.924960921880725</v>
          </cell>
          <cell r="I17">
            <v>32.496684266723484</v>
          </cell>
          <cell r="J17">
            <v>32.645516478623357</v>
          </cell>
          <cell r="K17">
            <v>35.94110641712156</v>
          </cell>
        </row>
        <row r="18">
          <cell r="G18">
            <v>31.971334711314071</v>
          </cell>
          <cell r="H18">
            <v>32.565239328306269</v>
          </cell>
          <cell r="I18">
            <v>32.025484512388857</v>
          </cell>
          <cell r="J18">
            <v>32.519153788292193</v>
          </cell>
          <cell r="K18">
            <v>36.215801957168672</v>
          </cell>
        </row>
        <row r="19">
          <cell r="G19">
            <v>30.899619865899556</v>
          </cell>
          <cell r="H19">
            <v>32.218224745519365</v>
          </cell>
          <cell r="I19">
            <v>31.677451381894496</v>
          </cell>
          <cell r="J19">
            <v>32.393094396536043</v>
          </cell>
          <cell r="K19">
            <v>36.46997155527977</v>
          </cell>
        </row>
        <row r="20">
          <cell r="G20">
            <v>30.188736943067941</v>
          </cell>
          <cell r="H20">
            <v>31.821519447385281</v>
          </cell>
          <cell r="I20">
            <v>31.43751739111028</v>
          </cell>
          <cell r="J20">
            <v>32.249566117032288</v>
          </cell>
          <cell r="K20">
            <v>36.724221614112736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29">
        <row r="8">
          <cell r="G8">
            <v>34.825246135914675</v>
          </cell>
          <cell r="H8">
            <v>35.932987367527559</v>
          </cell>
          <cell r="I8">
            <v>34.299759056620225</v>
          </cell>
          <cell r="J8">
            <v>33.917980576266267</v>
          </cell>
          <cell r="K8">
            <v>33.572445716659303</v>
          </cell>
        </row>
        <row r="9">
          <cell r="G9">
            <v>34.922172423184215</v>
          </cell>
          <cell r="H9">
            <v>35.60726930733815</v>
          </cell>
          <cell r="I9">
            <v>34.117975299537839</v>
          </cell>
          <cell r="J9">
            <v>33.773397062852638</v>
          </cell>
          <cell r="K9">
            <v>33.843641134160933</v>
          </cell>
        </row>
        <row r="10">
          <cell r="G10">
            <v>35.544555585466661</v>
          </cell>
          <cell r="H10">
            <v>35.314120485066894</v>
          </cell>
          <cell r="I10">
            <v>34.073051878830519</v>
          </cell>
          <cell r="J10">
            <v>33.662259140128931</v>
          </cell>
          <cell r="K10">
            <v>34.145202757506489</v>
          </cell>
        </row>
        <row r="11">
          <cell r="G11">
            <v>36.179404183761605</v>
          </cell>
          <cell r="H11">
            <v>34.982562206949218</v>
          </cell>
          <cell r="I11">
            <v>34.048401738197079</v>
          </cell>
          <cell r="J11">
            <v>33.52632039589443</v>
          </cell>
          <cell r="K11">
            <v>34.435456258767935</v>
          </cell>
        </row>
        <row r="12">
          <cell r="G12">
            <v>36.853754398237101</v>
          </cell>
          <cell r="H12">
            <v>34.681969497681202</v>
          </cell>
          <cell r="I12">
            <v>34.019759844445879</v>
          </cell>
          <cell r="J12">
            <v>33.404623911519764</v>
          </cell>
          <cell r="K12">
            <v>34.728617486581783</v>
          </cell>
        </row>
        <row r="13">
          <cell r="G13">
            <v>36.996023832793114</v>
          </cell>
          <cell r="H13">
            <v>34.380549602017396</v>
          </cell>
          <cell r="I13">
            <v>33.830413421645879</v>
          </cell>
          <cell r="J13">
            <v>33.273318475781487</v>
          </cell>
          <cell r="K13">
            <v>35.009610217673952</v>
          </cell>
        </row>
        <row r="14">
          <cell r="G14">
            <v>37.094511868272917</v>
          </cell>
          <cell r="H14">
            <v>34.030286803263024</v>
          </cell>
          <cell r="I14">
            <v>33.604904569311799</v>
          </cell>
          <cell r="J14">
            <v>33.091938100075758</v>
          </cell>
          <cell r="K14">
            <v>35.245576238658359</v>
          </cell>
        </row>
        <row r="15">
          <cell r="G15">
            <v>36.331799841778114</v>
          </cell>
          <cell r="H15">
            <v>33.703649838293458</v>
          </cell>
          <cell r="I15">
            <v>33.374885337615581</v>
          </cell>
          <cell r="J15">
            <v>33.010562070062605</v>
          </cell>
          <cell r="K15">
            <v>35.570110479422979</v>
          </cell>
        </row>
        <row r="16">
          <cell r="G16">
            <v>35.077095987059302</v>
          </cell>
          <cell r="H16">
            <v>33.326394008562652</v>
          </cell>
          <cell r="I16">
            <v>33.021305121959131</v>
          </cell>
          <cell r="J16">
            <v>32.886889511186382</v>
          </cell>
          <cell r="K16">
            <v>35.849127132244867</v>
          </cell>
        </row>
        <row r="17">
          <cell r="G17">
            <v>33.809501756088387</v>
          </cell>
          <cell r="H17">
            <v>32.988621961113424</v>
          </cell>
          <cell r="I17">
            <v>32.651037864692739</v>
          </cell>
          <cell r="J17">
            <v>32.773981454887029</v>
          </cell>
          <cell r="K17">
            <v>36.101364605017714</v>
          </cell>
        </row>
        <row r="18">
          <cell r="G18">
            <v>32.615266960265579</v>
          </cell>
          <cell r="H18">
            <v>32.631962667934928</v>
          </cell>
          <cell r="I18">
            <v>32.288997514305663</v>
          </cell>
          <cell r="J18">
            <v>32.652307762549007</v>
          </cell>
          <cell r="K18">
            <v>36.380972511250519</v>
          </cell>
        </row>
        <row r="19">
          <cell r="G19">
            <v>31.91004140950572</v>
          </cell>
          <cell r="H19">
            <v>32.2878173571128</v>
          </cell>
          <cell r="I19">
            <v>32.076870889719693</v>
          </cell>
          <cell r="J19">
            <v>32.530362597960689</v>
          </cell>
          <cell r="K19">
            <v>36.641937662227939</v>
          </cell>
        </row>
        <row r="20">
          <cell r="G20">
            <v>31.097283599656222</v>
          </cell>
          <cell r="H20">
            <v>31.893144826598192</v>
          </cell>
          <cell r="I20">
            <v>31.795511516693271</v>
          </cell>
          <cell r="J20">
            <v>32.384394448299894</v>
          </cell>
          <cell r="K20">
            <v>36.895124301993576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0">
        <row r="8">
          <cell r="G8">
            <v>30.229435122231202</v>
          </cell>
          <cell r="H8">
            <v>31.668172173744654</v>
          </cell>
          <cell r="I8">
            <v>32.364083010452632</v>
          </cell>
          <cell r="J8">
            <v>33.478108279941246</v>
          </cell>
          <cell r="K8">
            <v>34.608548799924939</v>
          </cell>
        </row>
        <row r="9">
          <cell r="G9">
            <v>30.711000930878384</v>
          </cell>
          <cell r="H9">
            <v>31.955938196756748</v>
          </cell>
          <cell r="I9">
            <v>32.74995081677821</v>
          </cell>
          <cell r="J9">
            <v>33.668779684283962</v>
          </cell>
          <cell r="K9">
            <v>34.795602952419081</v>
          </cell>
        </row>
        <row r="10">
          <cell r="G10">
            <v>31.973519950088892</v>
          </cell>
          <cell r="H10">
            <v>32.306578370817761</v>
          </cell>
          <cell r="I10">
            <v>33.417891680079585</v>
          </cell>
          <cell r="J10">
            <v>33.920017861166876</v>
          </cell>
          <cell r="K10">
            <v>35.121691875889695</v>
          </cell>
        </row>
        <row r="11">
          <cell r="G11">
            <v>32.854301960766009</v>
          </cell>
          <cell r="H11">
            <v>32.600267809670896</v>
          </cell>
          <cell r="I11">
            <v>33.914347411240342</v>
          </cell>
          <cell r="J11">
            <v>34.131144476440795</v>
          </cell>
          <cell r="K11">
            <v>35.328687604122948</v>
          </cell>
        </row>
        <row r="12">
          <cell r="G12">
            <v>33.505298125245815</v>
          </cell>
          <cell r="H12">
            <v>32.917397999245168</v>
          </cell>
          <cell r="I12">
            <v>34.339274171924224</v>
          </cell>
          <cell r="J12">
            <v>34.3547329961374</v>
          </cell>
          <cell r="K12">
            <v>35.514222192095524</v>
          </cell>
        </row>
        <row r="13">
          <cell r="G13">
            <v>33.743070768985262</v>
          </cell>
          <cell r="H13">
            <v>33.23149368494262</v>
          </cell>
          <cell r="I13">
            <v>34.624838940140947</v>
          </cell>
          <cell r="J13">
            <v>34.571266055116126</v>
          </cell>
          <cell r="K13">
            <v>35.723945545767485</v>
          </cell>
        </row>
        <row r="14">
          <cell r="G14">
            <v>33.283379144775012</v>
          </cell>
          <cell r="H14">
            <v>33.493703832401287</v>
          </cell>
          <cell r="I14">
            <v>34.64904475734604</v>
          </cell>
          <cell r="J14">
            <v>34.755389484791863</v>
          </cell>
          <cell r="K14">
            <v>35.890164200087042</v>
          </cell>
        </row>
        <row r="15">
          <cell r="G15">
            <v>33.302886499429754</v>
          </cell>
          <cell r="H15">
            <v>33.811975374663348</v>
          </cell>
          <cell r="I15">
            <v>34.709728037188029</v>
          </cell>
          <cell r="J15">
            <v>34.973522521284373</v>
          </cell>
          <cell r="K15">
            <v>36.069251485465472</v>
          </cell>
        </row>
        <row r="16">
          <cell r="G16">
            <v>32.631717523129126</v>
          </cell>
          <cell r="H16">
            <v>34.131945601416966</v>
          </cell>
          <cell r="I16">
            <v>34.559610352504784</v>
          </cell>
          <cell r="J16">
            <v>35.179241790943969</v>
          </cell>
          <cell r="K16">
            <v>36.240485334917778</v>
          </cell>
        </row>
        <row r="17">
          <cell r="G17">
            <v>32.373907044014011</v>
          </cell>
          <cell r="H17">
            <v>34.416104820856134</v>
          </cell>
          <cell r="I17">
            <v>34.525655329437164</v>
          </cell>
          <cell r="J17">
            <v>35.363226597565756</v>
          </cell>
          <cell r="K17">
            <v>36.402308867883001</v>
          </cell>
        </row>
        <row r="18">
          <cell r="G18">
            <v>32.41079016897784</v>
          </cell>
          <cell r="H18">
            <v>34.726618689101812</v>
          </cell>
          <cell r="I18">
            <v>34.611130522904723</v>
          </cell>
          <cell r="J18">
            <v>35.563536947723769</v>
          </cell>
          <cell r="K18">
            <v>36.581393855654611</v>
          </cell>
        </row>
        <row r="19">
          <cell r="G19">
            <v>32.798520257566231</v>
          </cell>
          <cell r="H19">
            <v>35.030335838947586</v>
          </cell>
          <cell r="I19">
            <v>34.817976174316705</v>
          </cell>
          <cell r="J19">
            <v>35.786005008968885</v>
          </cell>
          <cell r="K19">
            <v>36.768519204797563</v>
          </cell>
        </row>
        <row r="20">
          <cell r="G20">
            <v>33.681244789922445</v>
          </cell>
          <cell r="H20">
            <v>35.294834101949313</v>
          </cell>
          <cell r="I20">
            <v>35.210369450968344</v>
          </cell>
          <cell r="J20">
            <v>36.087653150061549</v>
          </cell>
          <cell r="K20">
            <v>37.013175452209857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1">
        <row r="8">
          <cell r="G8">
            <v>21.954800083865774</v>
          </cell>
          <cell r="H8">
            <v>23.334580772466605</v>
          </cell>
          <cell r="I8">
            <v>20.292877514075428</v>
          </cell>
          <cell r="J8">
            <v>19.404486716273944</v>
          </cell>
          <cell r="K8">
            <v>20.30040551389633</v>
          </cell>
        </row>
        <row r="9">
          <cell r="G9">
            <v>22.453184186953361</v>
          </cell>
          <cell r="H9">
            <v>22.690037524984088</v>
          </cell>
          <cell r="I9">
            <v>20.016060658469225</v>
          </cell>
          <cell r="J9">
            <v>19.353036097537494</v>
          </cell>
          <cell r="K9">
            <v>20.352992728426898</v>
          </cell>
        </row>
        <row r="10">
          <cell r="G10">
            <v>23.537124164528564</v>
          </cell>
          <cell r="H10">
            <v>22.033726735282833</v>
          </cell>
          <cell r="I10">
            <v>19.889697054518638</v>
          </cell>
          <cell r="J10">
            <v>19.316354808304048</v>
          </cell>
          <cell r="K10">
            <v>20.415741353734994</v>
          </cell>
        </row>
        <row r="11">
          <cell r="G11">
            <v>24.374683334655167</v>
          </cell>
          <cell r="H11">
            <v>21.345818074273168</v>
          </cell>
          <cell r="I11">
            <v>19.662746813925477</v>
          </cell>
          <cell r="J11">
            <v>19.259990658199193</v>
          </cell>
          <cell r="K11">
            <v>20.466922479069549</v>
          </cell>
        </row>
        <row r="12">
          <cell r="G12">
            <v>25.116657769673925</v>
          </cell>
          <cell r="H12">
            <v>20.722852810155995</v>
          </cell>
          <cell r="I12">
            <v>19.400536190980631</v>
          </cell>
          <cell r="J12">
            <v>19.21429670801351</v>
          </cell>
          <cell r="K12">
            <v>20.525005530986821</v>
          </cell>
        </row>
        <row r="13">
          <cell r="G13">
            <v>25.364799101729606</v>
          </cell>
          <cell r="H13">
            <v>20.050715008549904</v>
          </cell>
          <cell r="I13">
            <v>18.989863334940122</v>
          </cell>
          <cell r="J13">
            <v>19.156727104020064</v>
          </cell>
          <cell r="K13">
            <v>20.57517465709768</v>
          </cell>
        </row>
        <row r="14">
          <cell r="G14">
            <v>24.981202429006427</v>
          </cell>
          <cell r="H14">
            <v>19.386584295257343</v>
          </cell>
          <cell r="I14">
            <v>18.448876090789089</v>
          </cell>
          <cell r="J14">
            <v>19.089263377093758</v>
          </cell>
          <cell r="K14">
            <v>20.613504821231793</v>
          </cell>
        </row>
        <row r="15">
          <cell r="G15">
            <v>22.958108622223023</v>
          </cell>
          <cell r="H15">
            <v>18.718735883226312</v>
          </cell>
          <cell r="I15">
            <v>18.230332063837416</v>
          </cell>
          <cell r="J15">
            <v>19.033992736294248</v>
          </cell>
          <cell r="K15">
            <v>20.667537741102905</v>
          </cell>
        </row>
        <row r="16">
          <cell r="G16">
            <v>20.554898959031839</v>
          </cell>
          <cell r="H16">
            <v>18.081309788822256</v>
          </cell>
          <cell r="I16">
            <v>17.922974714592204</v>
          </cell>
          <cell r="J16">
            <v>19.004062199066482</v>
          </cell>
          <cell r="K16">
            <v>20.731855355655654</v>
          </cell>
        </row>
        <row r="17">
          <cell r="G17">
            <v>18.712643530435084</v>
          </cell>
          <cell r="H17">
            <v>17.463830178498508</v>
          </cell>
          <cell r="I17">
            <v>17.707011596444044</v>
          </cell>
          <cell r="J17">
            <v>18.954414731413763</v>
          </cell>
          <cell r="K17">
            <v>20.776020861271139</v>
          </cell>
        </row>
        <row r="18">
          <cell r="G18">
            <v>17.118028070083749</v>
          </cell>
          <cell r="H18">
            <v>16.819616385963975</v>
          </cell>
          <cell r="I18">
            <v>17.494629461827124</v>
          </cell>
          <cell r="J18">
            <v>18.907341469483459</v>
          </cell>
          <cell r="K18">
            <v>20.827281583968016</v>
          </cell>
        </row>
        <row r="19">
          <cell r="G19">
            <v>15.853101325530179</v>
          </cell>
          <cell r="H19">
            <v>16.171234821795313</v>
          </cell>
          <cell r="I19">
            <v>17.39689982462329</v>
          </cell>
          <cell r="J19">
            <v>18.851997893222642</v>
          </cell>
          <cell r="K19">
            <v>20.869008034971277</v>
          </cell>
        </row>
        <row r="20">
          <cell r="G20">
            <v>14.678877086310552</v>
          </cell>
          <cell r="H20">
            <v>15.459121611580976</v>
          </cell>
          <cell r="I20">
            <v>17.342614748730885</v>
          </cell>
          <cell r="J20">
            <v>18.777015521902342</v>
          </cell>
          <cell r="K20">
            <v>20.902562550792098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2">
        <row r="8">
          <cell r="G8">
            <v>22.588050322615175</v>
          </cell>
          <cell r="H8">
            <v>23.403552289195172</v>
          </cell>
          <cell r="I8">
            <v>20.530979723039071</v>
          </cell>
          <cell r="J8">
            <v>19.474667448303812</v>
          </cell>
          <cell r="K8">
            <v>20.373341837849594</v>
          </cell>
        </row>
        <row r="9">
          <cell r="G9">
            <v>22.992368720994875</v>
          </cell>
          <cell r="H9">
            <v>22.758468214541907</v>
          </cell>
          <cell r="I9">
            <v>20.206490940254707</v>
          </cell>
          <cell r="J9">
            <v>19.422604554293564</v>
          </cell>
          <cell r="K9">
            <v>20.424901535413177</v>
          </cell>
        </row>
        <row r="10">
          <cell r="G10">
            <v>23.773571774002047</v>
          </cell>
          <cell r="H10">
            <v>22.095096566879555</v>
          </cell>
          <cell r="I10">
            <v>19.995902943870686</v>
          </cell>
          <cell r="J10">
            <v>19.382576083460407</v>
          </cell>
          <cell r="K10">
            <v>20.485769654228164</v>
          </cell>
        </row>
        <row r="11">
          <cell r="G11">
            <v>24.279472215822729</v>
          </cell>
          <cell r="H11">
            <v>21.410581105856654</v>
          </cell>
          <cell r="I11">
            <v>19.689331440262176</v>
          </cell>
          <cell r="J11">
            <v>19.327479705203245</v>
          </cell>
          <cell r="K11">
            <v>20.537957867012242</v>
          </cell>
        </row>
        <row r="12">
          <cell r="G12">
            <v>24.669115436924535</v>
          </cell>
          <cell r="H12">
            <v>20.790518838635801</v>
          </cell>
          <cell r="I12">
            <v>19.359203267096394</v>
          </cell>
          <cell r="J12">
            <v>19.283612121429115</v>
          </cell>
          <cell r="K12">
            <v>20.596996947449721</v>
          </cell>
        </row>
        <row r="13">
          <cell r="G13">
            <v>24.629040576142533</v>
          </cell>
          <cell r="H13">
            <v>20.120715963797029</v>
          </cell>
          <cell r="I13">
            <v>18.903311699762895</v>
          </cell>
          <cell r="J13">
            <v>19.226741698120044</v>
          </cell>
          <cell r="K13">
            <v>20.647587579674404</v>
          </cell>
        </row>
        <row r="14">
          <cell r="G14">
            <v>24.288218623625134</v>
          </cell>
          <cell r="H14">
            <v>19.458019191238542</v>
          </cell>
          <cell r="I14">
            <v>18.377057083513137</v>
          </cell>
          <cell r="J14">
            <v>19.158832730390095</v>
          </cell>
          <cell r="K14">
            <v>20.684131253698119</v>
          </cell>
        </row>
        <row r="15">
          <cell r="G15">
            <v>22.513691246337721</v>
          </cell>
          <cell r="H15">
            <v>18.779376443944503</v>
          </cell>
          <cell r="I15">
            <v>18.193903807805363</v>
          </cell>
          <cell r="J15">
            <v>19.097125007187696</v>
          </cell>
          <cell r="K15">
            <v>20.736708113740626</v>
          </cell>
        </row>
        <row r="16">
          <cell r="G16">
            <v>20.486683924014365</v>
          </cell>
          <cell r="H16">
            <v>18.147602810295208</v>
          </cell>
          <cell r="I16">
            <v>17.958125507667368</v>
          </cell>
          <cell r="J16">
            <v>19.072630793465976</v>
          </cell>
          <cell r="K16">
            <v>20.804750390839388</v>
          </cell>
        </row>
        <row r="17">
          <cell r="G17">
            <v>18.873233850928887</v>
          </cell>
          <cell r="H17">
            <v>17.528583968425618</v>
          </cell>
          <cell r="I17">
            <v>17.806043012212648</v>
          </cell>
          <cell r="J17">
            <v>19.024360512169775</v>
          </cell>
          <cell r="K17">
            <v>20.849637718177625</v>
          </cell>
        </row>
        <row r="18">
          <cell r="G18">
            <v>17.420262230767786</v>
          </cell>
          <cell r="H18">
            <v>16.887191657144243</v>
          </cell>
          <cell r="I18">
            <v>17.65006842463896</v>
          </cell>
          <cell r="J18">
            <v>18.978978121844669</v>
          </cell>
          <cell r="K18">
            <v>20.905065670208277</v>
          </cell>
        </row>
        <row r="19">
          <cell r="G19">
            <v>16.216375942703589</v>
          </cell>
          <cell r="H19">
            <v>16.242035363442341</v>
          </cell>
          <cell r="I19">
            <v>17.592648108434492</v>
          </cell>
          <cell r="J19">
            <v>18.926712631731306</v>
          </cell>
          <cell r="K19">
            <v>20.949634521423004</v>
          </cell>
        </row>
        <row r="20">
          <cell r="G20">
            <v>14.984751481783288</v>
          </cell>
          <cell r="H20">
            <v>15.531157614570452</v>
          </cell>
          <cell r="I20">
            <v>17.534376697965239</v>
          </cell>
          <cell r="J20">
            <v>18.852396707819207</v>
          </cell>
          <cell r="K20">
            <v>20.984459263468068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3">
        <row r="8">
          <cell r="G8">
            <v>22.342611705588894</v>
          </cell>
          <cell r="H8">
            <v>23.32071622623338</v>
          </cell>
          <cell r="I8">
            <v>20.382770115157058</v>
          </cell>
          <cell r="J8">
            <v>19.396603642387877</v>
          </cell>
          <cell r="K8">
            <v>20.296968460217158</v>
          </cell>
        </row>
        <row r="9">
          <cell r="G9">
            <v>22.300605529175083</v>
          </cell>
          <cell r="H9">
            <v>22.678458543892759</v>
          </cell>
          <cell r="I9">
            <v>19.949311722841685</v>
          </cell>
          <cell r="J9">
            <v>19.342213161137916</v>
          </cell>
          <cell r="K9">
            <v>20.343856274957329</v>
          </cell>
        </row>
        <row r="10">
          <cell r="G10">
            <v>22.782610079327036</v>
          </cell>
          <cell r="H10">
            <v>22.00524097998083</v>
          </cell>
          <cell r="I10">
            <v>19.687493972609552</v>
          </cell>
          <cell r="J10">
            <v>19.29738036102469</v>
          </cell>
          <cell r="K10">
            <v>20.40243060811796</v>
          </cell>
        </row>
        <row r="11">
          <cell r="G11">
            <v>23.189785189793728</v>
          </cell>
          <cell r="H11">
            <v>21.325553299453862</v>
          </cell>
          <cell r="I11">
            <v>19.391959582569957</v>
          </cell>
          <cell r="J11">
            <v>19.24360143352553</v>
          </cell>
          <cell r="K11">
            <v>20.454774224750306</v>
          </cell>
        </row>
        <row r="12">
          <cell r="G12">
            <v>23.739305695449133</v>
          </cell>
          <cell r="H12">
            <v>20.696419772316702</v>
          </cell>
          <cell r="I12">
            <v>19.116802085781249</v>
          </cell>
          <cell r="J12">
            <v>19.193614345297259</v>
          </cell>
          <cell r="K12">
            <v>20.507936493537958</v>
          </cell>
        </row>
        <row r="13">
          <cell r="G13">
            <v>24.061650581422718</v>
          </cell>
          <cell r="H13">
            <v>20.018393648189608</v>
          </cell>
          <cell r="I13">
            <v>18.743576343297363</v>
          </cell>
          <cell r="J13">
            <v>19.131486270938652</v>
          </cell>
          <cell r="K13">
            <v>20.552582608078133</v>
          </cell>
        </row>
        <row r="14">
          <cell r="G14">
            <v>24.399289225163734</v>
          </cell>
          <cell r="H14">
            <v>19.3541846831036</v>
          </cell>
          <cell r="I14">
            <v>18.346572782233121</v>
          </cell>
          <cell r="J14">
            <v>19.066107399633388</v>
          </cell>
          <cell r="K14">
            <v>20.592338111718401</v>
          </cell>
        </row>
        <row r="15">
          <cell r="G15">
            <v>23.115474609263181</v>
          </cell>
          <cell r="H15">
            <v>18.687276300257714</v>
          </cell>
          <cell r="I15">
            <v>18.256129738640563</v>
          </cell>
          <cell r="J15">
            <v>19.011528871328697</v>
          </cell>
          <cell r="K15">
            <v>20.649055307474086</v>
          </cell>
        </row>
        <row r="16">
          <cell r="G16">
            <v>21.140017690524136</v>
          </cell>
          <cell r="H16">
            <v>18.058574794053879</v>
          </cell>
          <cell r="I16">
            <v>18.048986537602531</v>
          </cell>
          <cell r="J16">
            <v>18.991612031518812</v>
          </cell>
          <cell r="K16">
            <v>20.722439514811835</v>
          </cell>
        </row>
        <row r="17">
          <cell r="G17">
            <v>19.390081379112953</v>
          </cell>
          <cell r="H17">
            <v>17.450921029331962</v>
          </cell>
          <cell r="I17">
            <v>17.892190778864212</v>
          </cell>
          <cell r="J17">
            <v>18.949660636349698</v>
          </cell>
          <cell r="K17">
            <v>20.772536657329148</v>
          </cell>
        </row>
        <row r="18">
          <cell r="G18">
            <v>17.6791474639559</v>
          </cell>
          <cell r="H18">
            <v>16.809612668077108</v>
          </cell>
          <cell r="I18">
            <v>17.684026285680979</v>
          </cell>
          <cell r="J18">
            <v>18.904244883886165</v>
          </cell>
          <cell r="K18">
            <v>20.826252926195394</v>
          </cell>
        </row>
        <row r="19">
          <cell r="G19">
            <v>16.226113496785775</v>
          </cell>
          <cell r="H19">
            <v>16.161507352661051</v>
          </cell>
          <cell r="I19">
            <v>17.554966792538039</v>
          </cell>
          <cell r="J19">
            <v>18.850846357899741</v>
          </cell>
          <cell r="K19">
            <v>20.871968913727301</v>
          </cell>
        </row>
        <row r="20">
          <cell r="G20">
            <v>14.772270755796271</v>
          </cell>
          <cell r="H20">
            <v>15.455830634582469</v>
          </cell>
          <cell r="I20">
            <v>17.398048868069676</v>
          </cell>
          <cell r="J20">
            <v>18.778286792158184</v>
          </cell>
          <cell r="K20">
            <v>20.906077293575358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4">
        <row r="8">
          <cell r="G8">
            <v>48.622962301315255</v>
          </cell>
          <cell r="H8">
            <v>50.866457693385534</v>
          </cell>
          <cell r="I8">
            <v>48.898647232478133</v>
          </cell>
          <cell r="J8">
            <v>49.012508467221977</v>
          </cell>
          <cell r="K8">
            <v>48.087875905406833</v>
          </cell>
        </row>
        <row r="9">
          <cell r="G9">
            <v>49.341732237414007</v>
          </cell>
          <cell r="H9">
            <v>50.582158817537533</v>
          </cell>
          <cell r="I9">
            <v>48.950503746111679</v>
          </cell>
          <cell r="J9">
            <v>48.900990446501979</v>
          </cell>
          <cell r="K9">
            <v>48.234860022077967</v>
          </cell>
        </row>
        <row r="10">
          <cell r="G10">
            <v>50.860542648427106</v>
          </cell>
          <cell r="H10">
            <v>50.275950520244137</v>
          </cell>
          <cell r="I10">
            <v>49.223151743396755</v>
          </cell>
          <cell r="J10">
            <v>48.791515139575125</v>
          </cell>
          <cell r="K10">
            <v>48.463889103566686</v>
          </cell>
        </row>
        <row r="11">
          <cell r="G11">
            <v>52.511604009382687</v>
          </cell>
          <cell r="H11">
            <v>49.958317565923714</v>
          </cell>
          <cell r="I11">
            <v>49.514713952300689</v>
          </cell>
          <cell r="J11">
            <v>48.673061548162799</v>
          </cell>
          <cell r="K11">
            <v>48.670886193659122</v>
          </cell>
        </row>
        <row r="12">
          <cell r="G12">
            <v>53.594352908102444</v>
          </cell>
          <cell r="H12">
            <v>49.670495313623434</v>
          </cell>
          <cell r="I12">
            <v>49.633504254479895</v>
          </cell>
          <cell r="J12">
            <v>48.565726082979168</v>
          </cell>
          <cell r="K12">
            <v>48.810642018788606</v>
          </cell>
        </row>
        <row r="13">
          <cell r="G13">
            <v>53.926295426317175</v>
          </cell>
          <cell r="H13">
            <v>49.380712960154739</v>
          </cell>
          <cell r="I13">
            <v>49.521740983851387</v>
          </cell>
          <cell r="J13">
            <v>48.44958136627902</v>
          </cell>
          <cell r="K13">
            <v>48.964298072202233</v>
          </cell>
        </row>
        <row r="14">
          <cell r="G14">
            <v>53.419823379144276</v>
          </cell>
          <cell r="H14">
            <v>49.045662445141026</v>
          </cell>
          <cell r="I14">
            <v>49.154231655905079</v>
          </cell>
          <cell r="J14">
            <v>48.289193278927385</v>
          </cell>
          <cell r="K14">
            <v>49.11568662950372</v>
          </cell>
        </row>
        <row r="15">
          <cell r="G15">
            <v>51.942584743326144</v>
          </cell>
          <cell r="H15">
            <v>48.745309975359113</v>
          </cell>
          <cell r="I15">
            <v>48.744449839259445</v>
          </cell>
          <cell r="J15">
            <v>48.099617651170256</v>
          </cell>
          <cell r="K15">
            <v>49.304515656995065</v>
          </cell>
        </row>
        <row r="16">
          <cell r="G16">
            <v>49.686959473079895</v>
          </cell>
          <cell r="H16">
            <v>48.400376663122344</v>
          </cell>
          <cell r="I16">
            <v>48.096603120806705</v>
          </cell>
          <cell r="J16">
            <v>47.843419308849654</v>
          </cell>
          <cell r="K16">
            <v>49.528883293082735</v>
          </cell>
        </row>
        <row r="17">
          <cell r="G17">
            <v>47.63557847538565</v>
          </cell>
          <cell r="H17">
            <v>48.080482791940028</v>
          </cell>
          <cell r="I17">
            <v>47.469367996866943</v>
          </cell>
          <cell r="J17">
            <v>47.509812131642704</v>
          </cell>
          <cell r="K17">
            <v>49.653713056288638</v>
          </cell>
        </row>
        <row r="18">
          <cell r="G18">
            <v>46.25602043691319</v>
          </cell>
          <cell r="H18">
            <v>47.782896477187705</v>
          </cell>
          <cell r="I18">
            <v>47.036342414191317</v>
          </cell>
          <cell r="J18">
            <v>47.245297544958831</v>
          </cell>
          <cell r="K18">
            <v>49.876911775373379</v>
          </cell>
        </row>
        <row r="19">
          <cell r="G19">
            <v>45.522829386752683</v>
          </cell>
          <cell r="H19">
            <v>47.493183811179684</v>
          </cell>
          <cell r="I19">
            <v>46.81456616360817</v>
          </cell>
          <cell r="J19">
            <v>46.966853137389741</v>
          </cell>
          <cell r="K19">
            <v>50.059225671056922</v>
          </cell>
        </row>
        <row r="20">
          <cell r="G20">
            <v>45.189115865546206</v>
          </cell>
          <cell r="H20">
            <v>47.149989589377149</v>
          </cell>
          <cell r="I20">
            <v>46.71751549997439</v>
          </cell>
          <cell r="J20">
            <v>46.742964455578836</v>
          </cell>
          <cell r="K20">
            <v>50.292139029993635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5">
        <row r="8">
          <cell r="G8">
            <v>47.345491062291742</v>
          </cell>
          <cell r="H8">
            <v>50.952292986781011</v>
          </cell>
          <cell r="I8">
            <v>48.503591728121137</v>
          </cell>
          <cell r="J8">
            <v>49.09731872964992</v>
          </cell>
          <cell r="K8">
            <v>48.680078384624984</v>
          </cell>
        </row>
        <row r="9">
          <cell r="G9">
            <v>48.409000404647095</v>
          </cell>
          <cell r="H9">
            <v>50.649535481403241</v>
          </cell>
          <cell r="I9">
            <v>48.698823677537945</v>
          </cell>
          <cell r="J9">
            <v>48.970367322246915</v>
          </cell>
          <cell r="K9">
            <v>48.959080346149783</v>
          </cell>
        </row>
        <row r="10">
          <cell r="G10">
            <v>50.979589175024294</v>
          </cell>
          <cell r="H10">
            <v>50.311085319521432</v>
          </cell>
          <cell r="I10">
            <v>49.336675571238899</v>
          </cell>
          <cell r="J10">
            <v>48.850945720230513</v>
          </cell>
          <cell r="K10">
            <v>49.334255021721184</v>
          </cell>
        </row>
        <row r="11">
          <cell r="G11">
            <v>53.867939891923903</v>
          </cell>
          <cell r="H11">
            <v>50.039842416839839</v>
          </cell>
          <cell r="I11">
            <v>49.973124394617763</v>
          </cell>
          <cell r="J11">
            <v>48.761115748170461</v>
          </cell>
          <cell r="K11">
            <v>49.684372626907738</v>
          </cell>
        </row>
        <row r="12">
          <cell r="G12">
            <v>55.747531339394193</v>
          </cell>
          <cell r="H12">
            <v>49.779698249163729</v>
          </cell>
          <cell r="I12">
            <v>50.273825663419984</v>
          </cell>
          <cell r="J12">
            <v>48.675930321868407</v>
          </cell>
          <cell r="K12">
            <v>49.890951773721078</v>
          </cell>
        </row>
        <row r="13">
          <cell r="G13">
            <v>56.335879912149124</v>
          </cell>
          <cell r="H13">
            <v>49.487118120156062</v>
          </cell>
          <cell r="I13">
            <v>50.203393854878627</v>
          </cell>
          <cell r="J13">
            <v>48.55706967440981</v>
          </cell>
          <cell r="K13">
            <v>50.134611135413202</v>
          </cell>
        </row>
        <row r="14">
          <cell r="G14">
            <v>55.604416899780155</v>
          </cell>
          <cell r="H14">
            <v>49.157308838981045</v>
          </cell>
          <cell r="I14">
            <v>49.78643616865552</v>
          </cell>
          <cell r="J14">
            <v>48.386153542668502</v>
          </cell>
          <cell r="K14">
            <v>50.432119114187884</v>
          </cell>
        </row>
        <row r="15">
          <cell r="G15">
            <v>53.329512768306436</v>
          </cell>
          <cell r="H15">
            <v>48.857307925291877</v>
          </cell>
          <cell r="I15">
            <v>49.181113858138715</v>
          </cell>
          <cell r="J15">
            <v>48.257985065092534</v>
          </cell>
          <cell r="K15">
            <v>50.762643977483044</v>
          </cell>
        </row>
        <row r="16">
          <cell r="G16">
            <v>49.643649362522808</v>
          </cell>
          <cell r="H16">
            <v>48.512621212488213</v>
          </cell>
          <cell r="I16">
            <v>48.139511113005952</v>
          </cell>
          <cell r="J16">
            <v>48.08034132643418</v>
          </cell>
          <cell r="K16">
            <v>51.052930488638189</v>
          </cell>
        </row>
        <row r="17">
          <cell r="G17">
            <v>46.840500799664248</v>
          </cell>
          <cell r="H17">
            <v>48.188915634989883</v>
          </cell>
          <cell r="I17">
            <v>47.250844078792632</v>
          </cell>
          <cell r="J17">
            <v>47.893630426653978</v>
          </cell>
          <cell r="K17">
            <v>51.294942003471711</v>
          </cell>
        </row>
        <row r="18">
          <cell r="G18">
            <v>45.182602808194446</v>
          </cell>
          <cell r="H18">
            <v>47.881035034524977</v>
          </cell>
          <cell r="I18">
            <v>46.702950994905997</v>
          </cell>
          <cell r="J18">
            <v>47.718676411621701</v>
          </cell>
          <cell r="K18">
            <v>51.59892038499801</v>
          </cell>
        </row>
        <row r="19">
          <cell r="G19">
            <v>44.396642737754256</v>
          </cell>
          <cell r="H19">
            <v>47.579709871571986</v>
          </cell>
          <cell r="I19">
            <v>46.444661013398751</v>
          </cell>
          <cell r="J19">
            <v>47.552090171963428</v>
          </cell>
          <cell r="K19">
            <v>51.884023102337387</v>
          </cell>
        </row>
        <row r="20">
          <cell r="G20">
            <v>44.140088417466217</v>
          </cell>
          <cell r="H20">
            <v>47.233449654479628</v>
          </cell>
          <cell r="I20">
            <v>46.362721984283446</v>
          </cell>
          <cell r="J20">
            <v>47.544361805199671</v>
          </cell>
          <cell r="K20">
            <v>52.306239744162134</v>
          </cell>
        </row>
        <row r="21">
          <cell r="G21">
            <v>42309</v>
          </cell>
          <cell r="H21">
            <v>42339</v>
          </cell>
          <cell r="I21">
            <v>42370</v>
          </cell>
          <cell r="J21">
            <v>42401</v>
          </cell>
          <cell r="K21">
            <v>42430</v>
          </cell>
        </row>
      </sheetData>
      <sheetData sheetId="36"/>
      <sheetData sheetId="37"/>
      <sheetData sheetId="38"/>
      <sheetData sheetId="39">
        <row r="9">
          <cell r="O9">
            <v>42156</v>
          </cell>
        </row>
      </sheetData>
      <sheetData sheetId="40"/>
      <sheetData sheetId="41">
        <row r="15">
          <cell r="F15">
            <v>1.75</v>
          </cell>
          <cell r="G15">
            <v>1.75</v>
          </cell>
          <cell r="H15">
            <v>1.75</v>
          </cell>
          <cell r="I15">
            <v>1.75</v>
          </cell>
          <cell r="J15">
            <v>1.75</v>
          </cell>
        </row>
        <row r="16">
          <cell r="F16">
            <v>1.75</v>
          </cell>
          <cell r="G16">
            <v>1.75</v>
          </cell>
          <cell r="H16">
            <v>1.75</v>
          </cell>
          <cell r="I16">
            <v>1.75</v>
          </cell>
          <cell r="J16">
            <v>1.75</v>
          </cell>
        </row>
      </sheetData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ECO LP_10V1_SMS"/>
      <sheetName val="AECO LP_14V1_MMS"/>
      <sheetName val="AEP_OH_CS - test CSGS1MS"/>
      <sheetName val="AEP_OH_CS - test CSGS2UMS"/>
      <sheetName val="AEP_OH_CS - test CSGS3UMS"/>
      <sheetName val="Ameren RateZnIII LP DS2HHMS"/>
      <sheetName val="BGE LP_GLMS"/>
      <sheetName val="BGE LP_GMS"/>
      <sheetName val="BGE LP_GSMS"/>
      <sheetName val="ComEd - test LP_28MS"/>
      <sheetName val="ComEd - test LP_29MS"/>
      <sheetName val="DAY_RC_843MS"/>
      <sheetName val="Delmarva MD LP_MDGS_MMS"/>
      <sheetName val="DQE LP_GSGM_MMS (2)"/>
      <sheetName val="Duke_OH_RC_DS01MS"/>
      <sheetName val="FE_OE - test RC_GSFMS"/>
      <sheetName val="Adders"/>
      <sheetName val="Matrix"/>
      <sheetName val="PA"/>
      <sheetName val="OH"/>
      <sheetName val="IL"/>
      <sheetName val="NJ"/>
      <sheetName val="MD"/>
      <sheetName val="Main"/>
      <sheetName val="LMPMain"/>
      <sheetName val="JCPL LP_GSCLMS"/>
      <sheetName val="JCPL LP_GSCMMS"/>
      <sheetName val="JCPL LP_GSCSMS"/>
      <sheetName val="MetEd RC_GSDFMS (2)"/>
      <sheetName val="MetEd RC_GSLFMS (2)"/>
      <sheetName val="MetEd RC_GSSFMS (2)"/>
      <sheetName val="PECO LP_GSMS (2)"/>
      <sheetName val="Penelec RC_GSLFMS (2)"/>
      <sheetName val="Penelec RC_GSMFMS (2)"/>
      <sheetName val="Penelec RC_GSSFMS (2)"/>
      <sheetName val="Penn Power RC_GMDMS (2)"/>
      <sheetName val="PEPCO MD LP_MDNDMS"/>
      <sheetName val="PEPCO MD LP_MMGTL2AMS"/>
      <sheetName val="PEPCO MD RC_3T7MS"/>
      <sheetName val="Potomac Edison LP_GSCM_MMS"/>
      <sheetName val="PPL_RCGS1MS (2)"/>
      <sheetName val="PPL_RCGS3MS (2)"/>
      <sheetName val="PSEG LP_GLP_MMS"/>
      <sheetName val="PSEG LP_LPLMS"/>
      <sheetName val="West Penn Power LP_GSCMMS (2)"/>
      <sheetName val="AllSheetNam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32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119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92.26</v>
      </c>
      <c r="H7" s="157">
        <v>97.57</v>
      </c>
      <c r="I7" s="157">
        <v>95.03</v>
      </c>
      <c r="J7" s="157">
        <v>94.05</v>
      </c>
      <c r="K7" s="157">
        <v>93.86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'[2]AECO LP_10V1_SMS'!G8</f>
        <v>59.76914712321431</v>
      </c>
      <c r="H8" s="163">
        <f>'[2]AECO LP_10V1_SMS'!H8</f>
        <v>48.701630365277083</v>
      </c>
      <c r="I8" s="163">
        <f>'[2]AECO LP_10V1_SMS'!I8</f>
        <v>47.891478987935798</v>
      </c>
      <c r="J8" s="163">
        <f>'[2]AECO LP_10V1_SMS'!J8</f>
        <v>46.863649176444639</v>
      </c>
      <c r="K8" s="163">
        <f>'[2]AECO LP_10V1_SMS'!K8</f>
        <v>46.289026811827313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'[2]AECO LP_10V1_SMS'!G9</f>
        <v>55.136967204717635</v>
      </c>
      <c r="H9" s="163">
        <f>'[2]AECO LP_10V1_SMS'!H9</f>
        <v>47.597723602241054</v>
      </c>
      <c r="I9" s="163">
        <f>'[2]AECO LP_10V1_SMS'!I9</f>
        <v>46.968122493216725</v>
      </c>
      <c r="J9" s="163">
        <f>'[2]AECO LP_10V1_SMS'!J9</f>
        <v>46.50658834997197</v>
      </c>
      <c r="K9" s="163">
        <f>'[2]AECO LP_10V1_SMS'!K9</f>
        <v>45.93152369902554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'[2]AECO LP_10V1_SMS'!G10</f>
        <v>50.080232447284772</v>
      </c>
      <c r="H10" s="163">
        <f>'[2]AECO LP_10V1_SMS'!H10</f>
        <v>46.575879890259245</v>
      </c>
      <c r="I10" s="163">
        <f>'[2]AECO LP_10V1_SMS'!I10</f>
        <v>45.815488736428577</v>
      </c>
      <c r="J10" s="163">
        <f>'[2]AECO LP_10V1_SMS'!J10</f>
        <v>46.203525222322284</v>
      </c>
      <c r="K10" s="163">
        <f>'[2]AECO LP_10V1_SMS'!K10</f>
        <v>45.589657402181381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'[2]AECO LP_10V1_SMS'!G11</f>
        <v>46.136330807687081</v>
      </c>
      <c r="H11" s="163">
        <f>'[2]AECO LP_10V1_SMS'!H11</f>
        <v>45.63806757034741</v>
      </c>
      <c r="I11" s="163">
        <f>'[2]AECO LP_10V1_SMS'!I11</f>
        <v>44.813262999907536</v>
      </c>
      <c r="J11" s="163">
        <f>'[2]AECO LP_10V1_SMS'!J11</f>
        <v>45.929315756260742</v>
      </c>
      <c r="K11" s="163">
        <f>'[2]AECO LP_10V1_SMS'!K11</f>
        <v>45.280861538724373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'[2]AECO LP_10V1_SMS'!G12</f>
        <v>43.417588877062059</v>
      </c>
      <c r="H12" s="163">
        <f>'[2]AECO LP_10V1_SMS'!H12</f>
        <v>44.599715205726476</v>
      </c>
      <c r="I12" s="163">
        <f>'[2]AECO LP_10V1_SMS'!I12</f>
        <v>43.962903864593265</v>
      </c>
      <c r="J12" s="163">
        <f>'[2]AECO LP_10V1_SMS'!J12</f>
        <v>45.605494481009195</v>
      </c>
      <c r="K12" s="163">
        <f>'[2]AECO LP_10V1_SMS'!K12</f>
        <v>44.923948869289497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'[2]AECO LP_10V1_SMS'!G13</f>
        <v>41.466959511894451</v>
      </c>
      <c r="H13" s="163">
        <f>'[2]AECO LP_10V1_SMS'!H13</f>
        <v>43.599321556019319</v>
      </c>
      <c r="I13" s="163">
        <f>'[2]AECO LP_10V1_SMS'!I13</f>
        <v>43.469773800910637</v>
      </c>
      <c r="J13" s="163">
        <f>'[2]AECO LP_10V1_SMS'!J13</f>
        <v>45.302725424402915</v>
      </c>
      <c r="K13" s="163">
        <f>'[2]AECO LP_10V1_SMS'!K13</f>
        <v>44.588124849866382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'[2]AECO LP_10V1_SMS'!G14</f>
        <v>40.093798782036458</v>
      </c>
      <c r="H14" s="163">
        <f>'[2]AECO LP_10V1_SMS'!H14</f>
        <v>42.688408713214855</v>
      </c>
      <c r="I14" s="163">
        <f>'[2]AECO LP_10V1_SMS'!I14</f>
        <v>43.259583147129653</v>
      </c>
      <c r="J14" s="163">
        <f>'[2]AECO LP_10V1_SMS'!J14</f>
        <v>45.031645651388175</v>
      </c>
      <c r="K14" s="163">
        <f>'[2]AECO LP_10V1_SMS'!K14</f>
        <v>44.259982529456373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'[2]AECO LP_10V1_SMS'!G15</f>
        <v>41.153343688415738</v>
      </c>
      <c r="H15" s="163">
        <f>'[2]AECO LP_10V1_SMS'!H15</f>
        <v>43.177555867752439</v>
      </c>
      <c r="I15" s="163">
        <f>'[2]AECO LP_10V1_SMS'!I15</f>
        <v>43.926275923121857</v>
      </c>
      <c r="J15" s="163">
        <f>'[2]AECO LP_10V1_SMS'!J15</f>
        <v>45.087282149278316</v>
      </c>
      <c r="K15" s="163">
        <f>'[2]AECO LP_10V1_SMS'!K15</f>
        <v>44.344549951762893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'[2]AECO LP_10V1_SMS'!G16</f>
        <v>42.988806683308155</v>
      </c>
      <c r="H16" s="163">
        <f>'[2]AECO LP_10V1_SMS'!H16</f>
        <v>43.643247964638867</v>
      </c>
      <c r="I16" s="163">
        <f>'[2]AECO LP_10V1_SMS'!I16</f>
        <v>44.892886292508003</v>
      </c>
      <c r="J16" s="163">
        <f>'[2]AECO LP_10V1_SMS'!J16</f>
        <v>45.110880104052072</v>
      </c>
      <c r="K16" s="163">
        <f>'[2]AECO LP_10V1_SMS'!K16</f>
        <v>44.429433058275343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'[2]AECO LP_10V1_SMS'!G17</f>
        <v>45.023097880215644</v>
      </c>
      <c r="H17" s="163">
        <f>'[2]AECO LP_10V1_SMS'!H17</f>
        <v>44.077508278527489</v>
      </c>
      <c r="I17" s="163">
        <f>'[2]AECO LP_10V1_SMS'!I17</f>
        <v>45.850522471168837</v>
      </c>
      <c r="J17" s="163">
        <f>'[2]AECO LP_10V1_SMS'!J17</f>
        <v>45.16047876366305</v>
      </c>
      <c r="K17" s="163">
        <f>'[2]AECO LP_10V1_SMS'!K17</f>
        <v>44.525384458089277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'[2]AECO LP_10V1_SMS'!G18</f>
        <v>46.144995906068843</v>
      </c>
      <c r="H18" s="163">
        <f>'[2]AECO LP_10V1_SMS'!H18</f>
        <v>44.271768410307125</v>
      </c>
      <c r="I18" s="163">
        <f>'[2]AECO LP_10V1_SMS'!I18</f>
        <v>46.468037910454719</v>
      </c>
      <c r="J18" s="163">
        <f>'[2]AECO LP_10V1_SMS'!J18</f>
        <v>45.094009513021412</v>
      </c>
      <c r="K18" s="163">
        <f>'[2]AECO LP_10V1_SMS'!K18</f>
        <v>44.542959461064733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'[2]AECO LP_10V1_SMS'!G19</f>
        <v>46.466328413323737</v>
      </c>
      <c r="H19" s="163">
        <f>'[2]AECO LP_10V1_SMS'!H19</f>
        <v>44.615728602400857</v>
      </c>
      <c r="I19" s="163">
        <f>'[2]AECO LP_10V1_SMS'!I19</f>
        <v>46.841373608706498</v>
      </c>
      <c r="J19" s="163">
        <f>'[2]AECO LP_10V1_SMS'!J19</f>
        <v>45.079981638811986</v>
      </c>
      <c r="K19" s="163">
        <f>'[2]AECO LP_10V1_SMS'!K19</f>
        <v>44.576505382917361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'[2]AECO LP_10V1_SMS'!G20</f>
        <v>46.034232887589589</v>
      </c>
      <c r="H20" s="163">
        <f>'[2]AECO LP_10V1_SMS'!H20</f>
        <v>45.03312925913913</v>
      </c>
      <c r="I20" s="163">
        <f>'[2]AECO LP_10V1_SMS'!I20</f>
        <v>46.954715429700435</v>
      </c>
      <c r="J20" s="163">
        <f>'[2]AECO LP_10V1_SMS'!J20</f>
        <v>45.088776823210438</v>
      </c>
      <c r="K20" s="163">
        <f>'[2]AECO LP_10V1_SMS'!K20</f>
        <v>44.602345394875677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iLT1lqin7vnZHnv7TkMrX0N8wBCLkhHWxMAM73d7UZA/hOAQmuOOH3JAJYTmyROkiODG1DriVxrKEvUv8awjkg==" saltValue="AnyD6hTyK/8jrheMW8XGdA==" spinCount="100000" sheet="1" scenarios="1" autoFilter="0"/>
  <dataConsolidate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32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124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84.85</v>
      </c>
      <c r="H7" s="157">
        <v>87.79</v>
      </c>
      <c r="I7" s="157">
        <v>86.36</v>
      </c>
      <c r="J7" s="157">
        <v>85.34</v>
      </c>
      <c r="K7" s="157">
        <v>85.42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'[2]AECO LP_14V1_MMS'!G8</f>
        <v>46.804733909247666</v>
      </c>
      <c r="H8" s="163">
        <f>'[2]AECO LP_14V1_MMS'!H8</f>
        <v>40.691316545987149</v>
      </c>
      <c r="I8" s="163">
        <f>'[2]AECO LP_14V1_MMS'!I8</f>
        <v>39.669036549092802</v>
      </c>
      <c r="J8" s="163">
        <f>'[2]AECO LP_14V1_MMS'!J8</f>
        <v>39.429303158679375</v>
      </c>
      <c r="K8" s="163">
        <f>'[2]AECO LP_14V1_MMS'!K8</f>
        <v>39.11330269897001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'[2]AECO LP_14V1_MMS'!G9</f>
        <v>44.454835431343298</v>
      </c>
      <c r="H9" s="163">
        <f>'[2]AECO LP_14V1_MMS'!H9</f>
        <v>39.903811815184618</v>
      </c>
      <c r="I9" s="163">
        <f>'[2]AECO LP_14V1_MMS'!I9</f>
        <v>39.161627660876093</v>
      </c>
      <c r="J9" s="163">
        <f>'[2]AECO LP_14V1_MMS'!J9</f>
        <v>39.191115457811733</v>
      </c>
      <c r="K9" s="163">
        <f>'[2]AECO LP_14V1_MMS'!K9</f>
        <v>38.873108634255871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'[2]AECO LP_14V1_MMS'!G10</f>
        <v>42.011568097514704</v>
      </c>
      <c r="H10" s="163">
        <f>'[2]AECO LP_14V1_MMS'!H10</f>
        <v>39.156372579971539</v>
      </c>
      <c r="I10" s="163">
        <f>'[2]AECO LP_14V1_MMS'!I10</f>
        <v>38.654570094273666</v>
      </c>
      <c r="J10" s="163">
        <f>'[2]AECO LP_14V1_MMS'!J10</f>
        <v>38.985519003824933</v>
      </c>
      <c r="K10" s="163">
        <f>'[2]AECO LP_14V1_MMS'!K10</f>
        <v>38.638159618710155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'[2]AECO LP_14V1_MMS'!G11</f>
        <v>39.768056178613065</v>
      </c>
      <c r="H11" s="163">
        <f>'[2]AECO LP_14V1_MMS'!H11</f>
        <v>38.478082849782282</v>
      </c>
      <c r="I11" s="163">
        <f>'[2]AECO LP_14V1_MMS'!I11</f>
        <v>38.168411754648957</v>
      </c>
      <c r="J11" s="163">
        <f>'[2]AECO LP_14V1_MMS'!J11</f>
        <v>38.79943557108809</v>
      </c>
      <c r="K11" s="163">
        <f>'[2]AECO LP_14V1_MMS'!K11</f>
        <v>38.425372138943786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'[2]AECO LP_14V1_MMS'!G12</f>
        <v>37.810290316999087</v>
      </c>
      <c r="H12" s="163">
        <f>'[2]AECO LP_14V1_MMS'!H12</f>
        <v>37.7184891521823</v>
      </c>
      <c r="I12" s="163">
        <f>'[2]AECO LP_14V1_MMS'!I12</f>
        <v>37.660163753236951</v>
      </c>
      <c r="J12" s="163">
        <f>'[2]AECO LP_14V1_MMS'!J12</f>
        <v>38.578894079730176</v>
      </c>
      <c r="K12" s="163">
        <f>'[2]AECO LP_14V1_MMS'!K12</f>
        <v>38.180381976807588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'[2]AECO LP_14V1_MMS'!G13</f>
        <v>36.369241401404182</v>
      </c>
      <c r="H13" s="163">
        <f>'[2]AECO LP_14V1_MMS'!H13</f>
        <v>36.994876976084036</v>
      </c>
      <c r="I13" s="163">
        <f>'[2]AECO LP_14V1_MMS'!I13</f>
        <v>37.337946822283506</v>
      </c>
      <c r="J13" s="163">
        <f>'[2]AECO LP_14V1_MMS'!J13</f>
        <v>38.373842294602099</v>
      </c>
      <c r="K13" s="163">
        <f>'[2]AECO LP_14V1_MMS'!K13</f>
        <v>37.950506872115724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'[2]AECO LP_14V1_MMS'!G14</f>
        <v>35.295594730815694</v>
      </c>
      <c r="H14" s="163">
        <f>'[2]AECO LP_14V1_MMS'!H14</f>
        <v>36.318320976941067</v>
      </c>
      <c r="I14" s="163">
        <f>'[2]AECO LP_14V1_MMS'!I14</f>
        <v>37.176054457170693</v>
      </c>
      <c r="J14" s="163">
        <f>'[2]AECO LP_14V1_MMS'!J14</f>
        <v>38.183173336745625</v>
      </c>
      <c r="K14" s="163">
        <f>'[2]AECO LP_14V1_MMS'!K14</f>
        <v>37.721091367740364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'[2]AECO LP_14V1_MMS'!G15</f>
        <v>35.727484346829918</v>
      </c>
      <c r="H15" s="163">
        <f>'[2]AECO LP_14V1_MMS'!H15</f>
        <v>36.622758076608605</v>
      </c>
      <c r="I15" s="163">
        <f>'[2]AECO LP_14V1_MMS'!I15</f>
        <v>37.538046533235601</v>
      </c>
      <c r="J15" s="163">
        <f>'[2]AECO LP_14V1_MMS'!J15</f>
        <v>38.208130628394173</v>
      </c>
      <c r="K15" s="163">
        <f>'[2]AECO LP_14V1_MMS'!K15</f>
        <v>37.783908815751303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'[2]AECO LP_14V1_MMS'!G16</f>
        <v>36.305437689555184</v>
      </c>
      <c r="H16" s="163">
        <f>'[2]AECO LP_14V1_MMS'!H16</f>
        <v>36.973707397611783</v>
      </c>
      <c r="I16" s="163">
        <f>'[2]AECO LP_14V1_MMS'!I16</f>
        <v>37.978951707818638</v>
      </c>
      <c r="J16" s="163">
        <f>'[2]AECO LP_14V1_MMS'!J16</f>
        <v>38.245514237250816</v>
      </c>
      <c r="K16" s="163">
        <f>'[2]AECO LP_14V1_MMS'!K16</f>
        <v>37.862797621188811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'[2]AECO LP_14V1_MMS'!G17</f>
        <v>37.037651148493026</v>
      </c>
      <c r="H17" s="163">
        <f>'[2]AECO LP_14V1_MMS'!H17</f>
        <v>37.322625758791787</v>
      </c>
      <c r="I17" s="163">
        <f>'[2]AECO LP_14V1_MMS'!I17</f>
        <v>38.453347564862455</v>
      </c>
      <c r="J17" s="163">
        <f>'[2]AECO LP_14V1_MMS'!J17</f>
        <v>38.291971383516696</v>
      </c>
      <c r="K17" s="163">
        <f>'[2]AECO LP_14V1_MMS'!K17</f>
        <v>37.944133773082797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'[2]AECO LP_14V1_MMS'!G18</f>
        <v>37.61210222480792</v>
      </c>
      <c r="H18" s="163">
        <f>'[2]AECO LP_14V1_MMS'!H18</f>
        <v>37.579552738452158</v>
      </c>
      <c r="I18" s="163">
        <f>'[2]AECO LP_14V1_MMS'!I18</f>
        <v>38.860196805568549</v>
      </c>
      <c r="J18" s="163">
        <f>'[2]AECO LP_14V1_MMS'!J18</f>
        <v>38.301488323150586</v>
      </c>
      <c r="K18" s="163">
        <f>'[2]AECO LP_14V1_MMS'!K18</f>
        <v>37.998204263319664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'[2]AECO LP_14V1_MMS'!G19</f>
        <v>37.733681335366853</v>
      </c>
      <c r="H19" s="163">
        <f>'[2]AECO LP_14V1_MMS'!H19</f>
        <v>37.861586885585787</v>
      </c>
      <c r="I19" s="163">
        <f>'[2]AECO LP_14V1_MMS'!I19</f>
        <v>39.116322133476494</v>
      </c>
      <c r="J19" s="163">
        <f>'[2]AECO LP_14V1_MMS'!J19</f>
        <v>38.314309284401077</v>
      </c>
      <c r="K19" s="163">
        <f>'[2]AECO LP_14V1_MMS'!K19</f>
        <v>38.045731166750002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'[2]AECO LP_14V1_MMS'!G20</f>
        <v>37.48104454063872</v>
      </c>
      <c r="H20" s="163">
        <f>'[2]AECO LP_14V1_MMS'!H20</f>
        <v>38.171546642150695</v>
      </c>
      <c r="I20" s="163">
        <f>'[2]AECO LP_14V1_MMS'!I20</f>
        <v>39.223420370085194</v>
      </c>
      <c r="J20" s="163">
        <f>'[2]AECO LP_14V1_MMS'!J20</f>
        <v>38.327752982241435</v>
      </c>
      <c r="K20" s="163">
        <f>'[2]AECO LP_14V1_MMS'!K20</f>
        <v>38.083415810820185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YGJnrSiDtWkm61A3dvLGTgY+yCLhenXZYCHv6qcxPUGKZA89fYpGJqbecbhKpfGBcIUcp+u/YkpqGKYDhkEE2A==" saltValue="+jgRD7/pRH4rbjDCkc+yr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678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127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9">
        <v>54.4</v>
      </c>
      <c r="H7" s="157">
        <v>53.81</v>
      </c>
      <c r="I7" s="157">
        <v>56.47</v>
      </c>
      <c r="J7" s="157">
        <v>58.08</v>
      </c>
      <c r="K7" s="157">
        <v>60.85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'[2]AEP_OH_CS - test CSGS1MS'!G8</f>
        <v>18.115502537206968</v>
      </c>
      <c r="H8" s="163">
        <f>'[2]AEP_OH_CS - test CSGS1MS'!H8</f>
        <v>21.73964354340244</v>
      </c>
      <c r="I8" s="163">
        <f>'[2]AEP_OH_CS - test CSGS1MS'!I8</f>
        <v>23.403313328623298</v>
      </c>
      <c r="J8" s="163">
        <f>'[2]AEP_OH_CS - test CSGS1MS'!J8</f>
        <v>24.149890789165248</v>
      </c>
      <c r="K8" s="163">
        <f>'[2]AEP_OH_CS - test CSGS1MS'!K8</f>
        <v>24.134866054806121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'[2]AEP_OH_CS - test CSGS1MS'!G9</f>
        <v>19.637004803918753</v>
      </c>
      <c r="H9" s="163">
        <f>'[2]AEP_OH_CS - test CSGS1MS'!H9</f>
        <v>22.420801259702113</v>
      </c>
      <c r="I9" s="163">
        <f>'[2]AEP_OH_CS - test CSGS1MS'!I9</f>
        <v>24.009179846015204</v>
      </c>
      <c r="J9" s="163">
        <f>'[2]AEP_OH_CS - test CSGS1MS'!J9</f>
        <v>24.542710434521915</v>
      </c>
      <c r="K9" s="163">
        <f>'[2]AEP_OH_CS - test CSGS1MS'!K9</f>
        <v>24.22217599955377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'[2]AEP_OH_CS - test CSGS1MS'!G10</f>
        <v>20.959530289374577</v>
      </c>
      <c r="H10" s="163">
        <f>'[2]AEP_OH_CS - test CSGS1MS'!H10</f>
        <v>23.118600072677044</v>
      </c>
      <c r="I10" s="163">
        <f>'[2]AEP_OH_CS - test CSGS1MS'!I10</f>
        <v>24.468173020145148</v>
      </c>
      <c r="J10" s="163">
        <f>'[2]AEP_OH_CS - test CSGS1MS'!J10</f>
        <v>24.948252554708418</v>
      </c>
      <c r="K10" s="163">
        <f>'[2]AEP_OH_CS - test CSGS1MS'!K10</f>
        <v>24.316803089840135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'[2]AEP_OH_CS - test CSGS1MS'!G11</f>
        <v>22.022436395861828</v>
      </c>
      <c r="H11" s="163">
        <f>'[2]AEP_OH_CS - test CSGS1MS'!H11</f>
        <v>23.752555874785752</v>
      </c>
      <c r="I11" s="163">
        <f>'[2]AEP_OH_CS - test CSGS1MS'!I11</f>
        <v>24.851032675375173</v>
      </c>
      <c r="J11" s="163">
        <f>'[2]AEP_OH_CS - test CSGS1MS'!J11</f>
        <v>25.322890263792974</v>
      </c>
      <c r="K11" s="163">
        <f>'[2]AEP_OH_CS - test CSGS1MS'!K11</f>
        <v>24.411836446901884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'[2]AEP_OH_CS - test CSGS1MS'!G12</f>
        <v>23.025743156160118</v>
      </c>
      <c r="H12" s="163">
        <f>'[2]AEP_OH_CS - test CSGS1MS'!H12</f>
        <v>24.441071364221735</v>
      </c>
      <c r="I12" s="163">
        <f>'[2]AEP_OH_CS - test CSGS1MS'!I12</f>
        <v>25.200490229138175</v>
      </c>
      <c r="J12" s="163">
        <f>'[2]AEP_OH_CS - test CSGS1MS'!J12</f>
        <v>25.727662058056907</v>
      </c>
      <c r="K12" s="163">
        <f>'[2]AEP_OH_CS - test CSGS1MS'!K12</f>
        <v>24.507248022201004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'[2]AEP_OH_CS - test CSGS1MS'!G13</f>
        <v>24.00379925538633</v>
      </c>
      <c r="H13" s="163">
        <f>'[2]AEP_OH_CS - test CSGS1MS'!H13</f>
        <v>25.137228586984769</v>
      </c>
      <c r="I13" s="163">
        <f>'[2]AEP_OH_CS - test CSGS1MS'!I13</f>
        <v>25.598759601422053</v>
      </c>
      <c r="J13" s="163">
        <f>'[2]AEP_OH_CS - test CSGS1MS'!J13</f>
        <v>26.127924102143606</v>
      </c>
      <c r="K13" s="163">
        <f>'[2]AEP_OH_CS - test CSGS1MS'!K13</f>
        <v>24.605201271669564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'[2]AEP_OH_CS - test CSGS1MS'!G14</f>
        <v>24.969888625575294</v>
      </c>
      <c r="H14" s="163">
        <f>'[2]AEP_OH_CS - test CSGS1MS'!H14</f>
        <v>25.883214069835965</v>
      </c>
      <c r="I14" s="163">
        <f>'[2]AEP_OH_CS - test CSGS1MS'!I14</f>
        <v>26.004673393878242</v>
      </c>
      <c r="J14" s="163">
        <f>'[2]AEP_OH_CS - test CSGS1MS'!J14</f>
        <v>26.541571030873335</v>
      </c>
      <c r="K14" s="163">
        <f>'[2]AEP_OH_CS - test CSGS1MS'!K14</f>
        <v>24.703470882426348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'[2]AEP_OH_CS - test CSGS1MS'!G15</f>
        <v>24.826889782377826</v>
      </c>
      <c r="H15" s="163">
        <f>'[2]AEP_OH_CS - test CSGS1MS'!H15</f>
        <v>26.037563986463944</v>
      </c>
      <c r="I15" s="163">
        <f>'[2]AEP_OH_CS - test CSGS1MS'!I15</f>
        <v>26.02133329700056</v>
      </c>
      <c r="J15" s="163">
        <f>'[2]AEP_OH_CS - test CSGS1MS'!J15</f>
        <v>26.365338809191073</v>
      </c>
      <c r="K15" s="163">
        <f>'[2]AEP_OH_CS - test CSGS1MS'!K15</f>
        <v>24.597765985294224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'[2]AEP_OH_CS - test CSGS1MS'!G16</f>
        <v>25.055269546010678</v>
      </c>
      <c r="H16" s="163">
        <f>'[2]AEP_OH_CS - test CSGS1MS'!H16</f>
        <v>26.127916090118518</v>
      </c>
      <c r="I16" s="163">
        <f>'[2]AEP_OH_CS - test CSGS1MS'!I16</f>
        <v>26.183020778321392</v>
      </c>
      <c r="J16" s="163">
        <f>'[2]AEP_OH_CS - test CSGS1MS'!J16</f>
        <v>26.155499799456738</v>
      </c>
      <c r="K16" s="163">
        <f>'[2]AEP_OH_CS - test CSGS1MS'!K16</f>
        <v>24.485929444714227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'[2]AEP_OH_CS - test CSGS1MS'!G17</f>
        <v>25.435999340159196</v>
      </c>
      <c r="H17" s="163">
        <f>'[2]AEP_OH_CS - test CSGS1MS'!H17</f>
        <v>26.248376509418165</v>
      </c>
      <c r="I17" s="163">
        <f>'[2]AEP_OH_CS - test CSGS1MS'!I17</f>
        <v>26.401994580437425</v>
      </c>
      <c r="J17" s="163">
        <f>'[2]AEP_OH_CS - test CSGS1MS'!J17</f>
        <v>25.954117010378848</v>
      </c>
      <c r="K17" s="163">
        <f>'[2]AEP_OH_CS - test CSGS1MS'!K17</f>
        <v>24.371582658204023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'[2]AEP_OH_CS - test CSGS1MS'!G18</f>
        <v>25.866685638362672</v>
      </c>
      <c r="H18" s="163">
        <f>'[2]AEP_OH_CS - test CSGS1MS'!H18</f>
        <v>26.29188563613878</v>
      </c>
      <c r="I18" s="163">
        <f>'[2]AEP_OH_CS - test CSGS1MS'!I18</f>
        <v>26.633353067719394</v>
      </c>
      <c r="J18" s="163">
        <f>'[2]AEP_OH_CS - test CSGS1MS'!J18</f>
        <v>25.730941749830357</v>
      </c>
      <c r="K18" s="163">
        <f>'[2]AEP_OH_CS - test CSGS1MS'!K18</f>
        <v>24.244268656319306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'[2]AEP_OH_CS - test CSGS1MS'!G19</f>
        <v>26.348918886032234</v>
      </c>
      <c r="H19" s="163">
        <f>'[2]AEP_OH_CS - test CSGS1MS'!H19</f>
        <v>26.423850240463146</v>
      </c>
      <c r="I19" s="163">
        <f>'[2]AEP_OH_CS - test CSGS1MS'!I19</f>
        <v>26.86830792089852</v>
      </c>
      <c r="J19" s="163">
        <f>'[2]AEP_OH_CS - test CSGS1MS'!J19</f>
        <v>25.527077426773541</v>
      </c>
      <c r="K19" s="163">
        <f>'[2]AEP_OH_CS - test CSGS1MS'!K19</f>
        <v>24.120115408055568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'[2]AEP_OH_CS - test CSGS1MS'!G20</f>
        <v>26.897436335627983</v>
      </c>
      <c r="H20" s="163">
        <f>'[2]AEP_OH_CS - test CSGS1MS'!H20</f>
        <v>26.549349358047984</v>
      </c>
      <c r="I20" s="163">
        <f>'[2]AEP_OH_CS - test CSGS1MS'!I20</f>
        <v>27.101679500070169</v>
      </c>
      <c r="J20" s="163">
        <f>'[2]AEP_OH_CS - test CSGS1MS'!J20</f>
        <v>25.325792959093455</v>
      </c>
      <c r="K20" s="163">
        <f>'[2]AEP_OH_CS - test CSGS1MS'!K20</f>
        <v>23.998897006940773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G0DV2/Omn3jZULjtN2qnyez+odBN80H/Sd24ddmdL5R1IQUXN2Sb+0eBaB8aN7XfQQQl6QlC6m2650QB7BDSEw==" saltValue="Z2qEuQeQXV6kPBpMXlLMkw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678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131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57.74</v>
      </c>
      <c r="H7" s="157">
        <v>57.08</v>
      </c>
      <c r="I7" s="157">
        <v>60.08</v>
      </c>
      <c r="J7" s="157">
        <v>61.95</v>
      </c>
      <c r="K7" s="157">
        <v>65.03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'[2]AEP_OH_CS - test CSGS2UMS'!G8</f>
        <v>19.843760648261402</v>
      </c>
      <c r="H8" s="163">
        <f>'[2]AEP_OH_CS - test CSGS2UMS'!H8</f>
        <v>24.220282628294878</v>
      </c>
      <c r="I8" s="163">
        <f>'[2]AEP_OH_CS - test CSGS2UMS'!I8</f>
        <v>26.065487639519802</v>
      </c>
      <c r="J8" s="163">
        <f>'[2]AEP_OH_CS - test CSGS2UMS'!J8</f>
        <v>26.970343931434421</v>
      </c>
      <c r="K8" s="163">
        <f>'[2]AEP_OH_CS - test CSGS2UMS'!K8</f>
        <v>26.95013069602108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'[2]AEP_OH_CS - test CSGS2UMS'!G9</f>
        <v>21.113482839601414</v>
      </c>
      <c r="H9" s="163">
        <f>'[2]AEP_OH_CS - test CSGS2UMS'!H9</f>
        <v>25.014448286254115</v>
      </c>
      <c r="I9" s="163">
        <f>'[2]AEP_OH_CS - test CSGS2UMS'!I9</f>
        <v>26.538297640192553</v>
      </c>
      <c r="J9" s="163">
        <f>'[2]AEP_OH_CS - test CSGS2UMS'!J9</f>
        <v>27.428212979780294</v>
      </c>
      <c r="K9" s="163">
        <f>'[2]AEP_OH_CS - test CSGS2UMS'!K9</f>
        <v>27.047376351388447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'[2]AEP_OH_CS - test CSGS2UMS'!G10</f>
        <v>22.269620707665919</v>
      </c>
      <c r="H10" s="163">
        <f>'[2]AEP_OH_CS - test CSGS2UMS'!H10</f>
        <v>25.829786615049652</v>
      </c>
      <c r="I10" s="163">
        <f>'[2]AEP_OH_CS - test CSGS2UMS'!I10</f>
        <v>26.927005124938045</v>
      </c>
      <c r="J10" s="163">
        <f>'[2]AEP_OH_CS - test CSGS2UMS'!J10</f>
        <v>27.900082219040986</v>
      </c>
      <c r="K10" s="163">
        <f>'[2]AEP_OH_CS - test CSGS2UMS'!K10</f>
        <v>27.160305883194063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'[2]AEP_OH_CS - test CSGS2UMS'!G11</f>
        <v>23.4642934039598</v>
      </c>
      <c r="H11" s="163">
        <f>'[2]AEP_OH_CS - test CSGS2UMS'!H11</f>
        <v>26.57379005139186</v>
      </c>
      <c r="I11" s="163">
        <f>'[2]AEP_OH_CS - test CSGS2UMS'!I11</f>
        <v>27.351399730805994</v>
      </c>
      <c r="J11" s="163">
        <f>'[2]AEP_OH_CS - test CSGS2UMS'!J11</f>
        <v>28.340184341080317</v>
      </c>
      <c r="K11" s="163">
        <f>'[2]AEP_OH_CS - test CSGS2UMS'!K11</f>
        <v>27.266801164338919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'[2]AEP_OH_CS - test CSGS2UMS'!G12</f>
        <v>24.762904614902233</v>
      </c>
      <c r="H12" s="163">
        <f>'[2]AEP_OH_CS - test CSGS2UMS'!H12</f>
        <v>27.377717480926762</v>
      </c>
      <c r="I12" s="163">
        <f>'[2]AEP_OH_CS - test CSGS2UMS'!I12</f>
        <v>27.825705266102652</v>
      </c>
      <c r="J12" s="163">
        <f>'[2]AEP_OH_CS - test CSGS2UMS'!J12</f>
        <v>28.801135153412478</v>
      </c>
      <c r="K12" s="163">
        <f>'[2]AEP_OH_CS - test CSGS2UMS'!K12</f>
        <v>27.372880699372722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'[2]AEP_OH_CS - test CSGS2UMS'!G13</f>
        <v>26.359653826986698</v>
      </c>
      <c r="H13" s="163">
        <f>'[2]AEP_OH_CS - test CSGS2UMS'!H13</f>
        <v>28.195139476171576</v>
      </c>
      <c r="I13" s="163">
        <f>'[2]AEP_OH_CS - test CSGS2UMS'!I13</f>
        <v>28.447626829384497</v>
      </c>
      <c r="J13" s="163">
        <f>'[2]AEP_OH_CS - test CSGS2UMS'!J13</f>
        <v>29.273959907273053</v>
      </c>
      <c r="K13" s="163">
        <f>'[2]AEP_OH_CS - test CSGS2UMS'!K13</f>
        <v>27.494876976824695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'[2]AEP_OH_CS - test CSGS2UMS'!G14</f>
        <v>28.250310084045495</v>
      </c>
      <c r="H14" s="163">
        <f>'[2]AEP_OH_CS - test CSGS2UMS'!H14</f>
        <v>29.04652746069625</v>
      </c>
      <c r="I14" s="163">
        <f>'[2]AEP_OH_CS - test CSGS2UMS'!I14</f>
        <v>29.210533325250537</v>
      </c>
      <c r="J14" s="163">
        <f>'[2]AEP_OH_CS - test CSGS2UMS'!J14</f>
        <v>29.741162855735471</v>
      </c>
      <c r="K14" s="163">
        <f>'[2]AEP_OH_CS - test CSGS2UMS'!K14</f>
        <v>27.600611101450955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'[2]AEP_OH_CS - test CSGS2UMS'!G15</f>
        <v>28.778008231290251</v>
      </c>
      <c r="H15" s="163">
        <f>'[2]AEP_OH_CS - test CSGS2UMS'!H15</f>
        <v>29.210486539098657</v>
      </c>
      <c r="I15" s="163">
        <f>'[2]AEP_OH_CS - test CSGS2UMS'!I15</f>
        <v>29.479556814452479</v>
      </c>
      <c r="J15" s="163">
        <f>'[2]AEP_OH_CS - test CSGS2UMS'!J15</f>
        <v>29.529453828899932</v>
      </c>
      <c r="K15" s="163">
        <f>'[2]AEP_OH_CS - test CSGS2UMS'!K15</f>
        <v>27.475056121988686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'[2]AEP_OH_CS - test CSGS2UMS'!G16</f>
        <v>29.579486063903531</v>
      </c>
      <c r="H16" s="163">
        <f>'[2]AEP_OH_CS - test CSGS2UMS'!H16</f>
        <v>29.321834307252974</v>
      </c>
      <c r="I16" s="163">
        <f>'[2]AEP_OH_CS - test CSGS2UMS'!I16</f>
        <v>29.839686661141069</v>
      </c>
      <c r="J16" s="163">
        <f>'[2]AEP_OH_CS - test CSGS2UMS'!J16</f>
        <v>29.29765715298231</v>
      </c>
      <c r="K16" s="163">
        <f>'[2]AEP_OH_CS - test CSGS2UMS'!K16</f>
        <v>27.352408241793402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'[2]AEP_OH_CS - test CSGS2UMS'!G17</f>
        <v>30.13312019551374</v>
      </c>
      <c r="H17" s="163">
        <f>'[2]AEP_OH_CS - test CSGS2UMS'!H17</f>
        <v>29.428735839586654</v>
      </c>
      <c r="I17" s="163">
        <f>'[2]AEP_OH_CS - test CSGS2UMS'!I17</f>
        <v>30.110099754436682</v>
      </c>
      <c r="J17" s="163">
        <f>'[2]AEP_OH_CS - test CSGS2UMS'!J17</f>
        <v>29.048040581734348</v>
      </c>
      <c r="K17" s="163">
        <f>'[2]AEP_OH_CS - test CSGS2UMS'!K17</f>
        <v>27.209385016413158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'[2]AEP_OH_CS - test CSGS2UMS'!G18</f>
        <v>30.39367516460818</v>
      </c>
      <c r="H18" s="163">
        <f>'[2]AEP_OH_CS - test CSGS2UMS'!H18</f>
        <v>29.463242661236762</v>
      </c>
      <c r="I18" s="163">
        <f>'[2]AEP_OH_CS - test CSGS2UMS'!I18</f>
        <v>30.274781051125291</v>
      </c>
      <c r="J18" s="163">
        <f>'[2]AEP_OH_CS - test CSGS2UMS'!J18</f>
        <v>28.790795254054711</v>
      </c>
      <c r="K18" s="163">
        <f>'[2]AEP_OH_CS - test CSGS2UMS'!K18</f>
        <v>27.063479946310167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'[2]AEP_OH_CS - test CSGS2UMS'!G19</f>
        <v>30.302768657546391</v>
      </c>
      <c r="H19" s="163">
        <f>'[2]AEP_OH_CS - test CSGS2UMS'!H19</f>
        <v>29.559152665759548</v>
      </c>
      <c r="I19" s="163">
        <f>'[2]AEP_OH_CS - test CSGS2UMS'!I19</f>
        <v>30.333984655454646</v>
      </c>
      <c r="J19" s="163">
        <f>'[2]AEP_OH_CS - test CSGS2UMS'!J19</f>
        <v>28.537178697188345</v>
      </c>
      <c r="K19" s="163">
        <f>'[2]AEP_OH_CS - test CSGS2UMS'!K19</f>
        <v>26.910361211708018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'[2]AEP_OH_CS - test CSGS2UMS'!G20</f>
        <v>29.910233629240398</v>
      </c>
      <c r="H20" s="163">
        <f>'[2]AEP_OH_CS - test CSGS2UMS'!H20</f>
        <v>29.70821853475319</v>
      </c>
      <c r="I20" s="163">
        <f>'[2]AEP_OH_CS - test CSGS2UMS'!I20</f>
        <v>30.262781657972759</v>
      </c>
      <c r="J20" s="163">
        <f>'[2]AEP_OH_CS - test CSGS2UMS'!J20</f>
        <v>28.308223180277732</v>
      </c>
      <c r="K20" s="163">
        <f>'[2]AEP_OH_CS - test CSGS2UMS'!K20</f>
        <v>26.767147205292723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V+jrU21Z9/KWHwGVKoyQZeVuE9+6YUFf8Wr+ue23/EoPeClEY3l+q7JPUldYMRpe3a/V6RhgtWM2cyDpXvkvGA==" saltValue="fMRDjjylXtx5Nq1mrrULcw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678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134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9">
        <v>54.8</v>
      </c>
      <c r="H7" s="159">
        <v>54.7</v>
      </c>
      <c r="I7" s="157">
        <v>57.23</v>
      </c>
      <c r="J7" s="157">
        <v>59.13</v>
      </c>
      <c r="K7" s="157">
        <v>61.94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'[2]AEP_OH_CS - test CSGS3UMS'!G8</f>
        <v>18.593684958310792</v>
      </c>
      <c r="H8" s="163">
        <f>'[2]AEP_OH_CS - test CSGS3UMS'!H8</f>
        <v>22.027772748806633</v>
      </c>
      <c r="I8" s="163">
        <f>'[2]AEP_OH_CS - test CSGS3UMS'!I8</f>
        <v>23.991458220069038</v>
      </c>
      <c r="J8" s="163">
        <f>'[2]AEP_OH_CS - test CSGS3UMS'!J8</f>
        <v>24.546794783058257</v>
      </c>
      <c r="K8" s="163">
        <f>'[2]AEP_OH_CS - test CSGS3UMS'!K8</f>
        <v>24.536581078545492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'[2]AEP_OH_CS - test CSGS3UMS'!G9</f>
        <v>19.640736292640337</v>
      </c>
      <c r="H9" s="163">
        <f>'[2]AEP_OH_CS - test CSGS3UMS'!H9</f>
        <v>22.739332923375287</v>
      </c>
      <c r="I9" s="163">
        <f>'[2]AEP_OH_CS - test CSGS3UMS'!I9</f>
        <v>24.36142365821334</v>
      </c>
      <c r="J9" s="163">
        <f>'[2]AEP_OH_CS - test CSGS3UMS'!J9</f>
        <v>24.956336827398914</v>
      </c>
      <c r="K9" s="163">
        <f>'[2]AEP_OH_CS - test CSGS3UMS'!K9</f>
        <v>24.626816314640234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'[2]AEP_OH_CS - test CSGS3UMS'!G10</f>
        <v>20.384768130957596</v>
      </c>
      <c r="H10" s="163">
        <f>'[2]AEP_OH_CS - test CSGS3UMS'!H10</f>
        <v>23.487649210083955</v>
      </c>
      <c r="I10" s="163">
        <f>'[2]AEP_OH_CS - test CSGS3UMS'!I10</f>
        <v>24.567447924293326</v>
      </c>
      <c r="J10" s="163">
        <f>'[2]AEP_OH_CS - test CSGS3UMS'!J10</f>
        <v>25.390910171377772</v>
      </c>
      <c r="K10" s="163">
        <f>'[2]AEP_OH_CS - test CSGS3UMS'!K10</f>
        <v>24.730776555151529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'[2]AEP_OH_CS - test CSGS3UMS'!G11</f>
        <v>21.17717091121763</v>
      </c>
      <c r="H11" s="163">
        <f>'[2]AEP_OH_CS - test CSGS3UMS'!H11</f>
        <v>24.161942419798709</v>
      </c>
      <c r="I11" s="163">
        <f>'[2]AEP_OH_CS - test CSGS3UMS'!I11</f>
        <v>24.826998244865752</v>
      </c>
      <c r="J11" s="163">
        <f>'[2]AEP_OH_CS - test CSGS3UMS'!J11</f>
        <v>25.789377387627631</v>
      </c>
      <c r="K11" s="163">
        <f>'[2]AEP_OH_CS - test CSGS3UMS'!K11</f>
        <v>24.827116471749463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'[2]AEP_OH_CS - test CSGS3UMS'!G12</f>
        <v>22.084515465225394</v>
      </c>
      <c r="H12" s="163">
        <f>'[2]AEP_OH_CS - test CSGS3UMS'!H12</f>
        <v>24.904041187900607</v>
      </c>
      <c r="I12" s="163">
        <f>'[2]AEP_OH_CS - test CSGS3UMS'!I12</f>
        <v>25.151271580384151</v>
      </c>
      <c r="J12" s="163">
        <f>'[2]AEP_OH_CS - test CSGS3UMS'!J12</f>
        <v>26.216738551145294</v>
      </c>
      <c r="K12" s="163">
        <f>'[2]AEP_OH_CS - test CSGS3UMS'!K12</f>
        <v>24.928763379499042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'[2]AEP_OH_CS - test CSGS3UMS'!G13</f>
        <v>23.279509868002098</v>
      </c>
      <c r="H13" s="163">
        <f>'[2]AEP_OH_CS - test CSGS3UMS'!H13</f>
        <v>25.669773138612523</v>
      </c>
      <c r="I13" s="163">
        <f>'[2]AEP_OH_CS - test CSGS3UMS'!I13</f>
        <v>25.628546672119924</v>
      </c>
      <c r="J13" s="163">
        <f>'[2]AEP_OH_CS - test CSGS3UMS'!J13</f>
        <v>26.657163864547631</v>
      </c>
      <c r="K13" s="163">
        <f>'[2]AEP_OH_CS - test CSGS3UMS'!K13</f>
        <v>25.044586492540216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'[2]AEP_OH_CS - test CSGS3UMS'!G14</f>
        <v>24.916096349946713</v>
      </c>
      <c r="H14" s="163">
        <f>'[2]AEP_OH_CS - test CSGS3UMS'!H14</f>
        <v>26.463031871269497</v>
      </c>
      <c r="I14" s="163">
        <f>'[2]AEP_OH_CS - test CSGS3UMS'!I14</f>
        <v>26.306302943841018</v>
      </c>
      <c r="J14" s="163">
        <f>'[2]AEP_OH_CS - test CSGS3UMS'!J14</f>
        <v>27.085986078676267</v>
      </c>
      <c r="K14" s="163">
        <f>'[2]AEP_OH_CS - test CSGS3UMS'!K14</f>
        <v>25.143182433934822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'[2]AEP_OH_CS - test CSGS3UMS'!G15</f>
        <v>25.520193097622851</v>
      </c>
      <c r="H15" s="163">
        <f>'[2]AEP_OH_CS - test CSGS3UMS'!H15</f>
        <v>26.608311404621688</v>
      </c>
      <c r="I15" s="163">
        <f>'[2]AEP_OH_CS - test CSGS3UMS'!I15</f>
        <v>26.602512822490556</v>
      </c>
      <c r="J15" s="163">
        <f>'[2]AEP_OH_CS - test CSGS3UMS'!J15</f>
        <v>26.892900753734132</v>
      </c>
      <c r="K15" s="163">
        <f>'[2]AEP_OH_CS - test CSGS3UMS'!K15</f>
        <v>25.03093655103676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'[2]AEP_OH_CS - test CSGS3UMS'!G16</f>
        <v>26.680451191610629</v>
      </c>
      <c r="H16" s="163">
        <f>'[2]AEP_OH_CS - test CSGS3UMS'!H16</f>
        <v>26.69736572752354</v>
      </c>
      <c r="I16" s="163">
        <f>'[2]AEP_OH_CS - test CSGS3UMS'!I16</f>
        <v>27.091077426689367</v>
      </c>
      <c r="J16" s="163">
        <f>'[2]AEP_OH_CS - test CSGS3UMS'!J16</f>
        <v>26.683174198288572</v>
      </c>
      <c r="K16" s="163">
        <f>'[2]AEP_OH_CS - test CSGS3UMS'!K16</f>
        <v>24.921693756143128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'[2]AEP_OH_CS - test CSGS3UMS'!G17</f>
        <v>27.649092692696982</v>
      </c>
      <c r="H17" s="163">
        <f>'[2]AEP_OH_CS - test CSGS3UMS'!H17</f>
        <v>26.799836999854104</v>
      </c>
      <c r="I17" s="163">
        <f>'[2]AEP_OH_CS - test CSGS3UMS'!I17</f>
        <v>27.487270317470465</v>
      </c>
      <c r="J17" s="163">
        <f>'[2]AEP_OH_CS - test CSGS3UMS'!J17</f>
        <v>26.456557461183809</v>
      </c>
      <c r="K17" s="163">
        <f>'[2]AEP_OH_CS - test CSGS3UMS'!K17</f>
        <v>24.793721322653507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'[2]AEP_OH_CS - test CSGS3UMS'!G18</f>
        <v>28.359936350427169</v>
      </c>
      <c r="H18" s="163">
        <f>'[2]AEP_OH_CS - test CSGS3UMS'!H18</f>
        <v>26.840025919420704</v>
      </c>
      <c r="I18" s="163">
        <f>'[2]AEP_OH_CS - test CSGS3UMS'!I18</f>
        <v>27.784441715914134</v>
      </c>
      <c r="J18" s="163">
        <f>'[2]AEP_OH_CS - test CSGS3UMS'!J18</f>
        <v>26.228379578859567</v>
      </c>
      <c r="K18" s="163">
        <f>'[2]AEP_OH_CS - test CSGS3UMS'!K18</f>
        <v>24.664626155889927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'[2]AEP_OH_CS - test CSGS3UMS'!G19</f>
        <v>28.687220464673253</v>
      </c>
      <c r="H19" s="163">
        <f>'[2]AEP_OH_CS - test CSGS3UMS'!H19</f>
        <v>26.93502339512267</v>
      </c>
      <c r="I19" s="163">
        <f>'[2]AEP_OH_CS - test CSGS3UMS'!I19</f>
        <v>27.96026159756477</v>
      </c>
      <c r="J19" s="163">
        <f>'[2]AEP_OH_CS - test CSGS3UMS'!J19</f>
        <v>25.999369107980293</v>
      </c>
      <c r="K19" s="163">
        <f>'[2]AEP_OH_CS - test CSGS3UMS'!K19</f>
        <v>24.52805712389998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'[2]AEP_OH_CS - test CSGS3UMS'!G20</f>
        <v>28.311536507611436</v>
      </c>
      <c r="H20" s="163">
        <f>'[2]AEP_OH_CS - test CSGS3UMS'!H20</f>
        <v>27.059522160203819</v>
      </c>
      <c r="I20" s="163">
        <f>'[2]AEP_OH_CS - test CSGS3UMS'!I20</f>
        <v>27.892327484467593</v>
      </c>
      <c r="J20" s="163">
        <f>'[2]AEP_OH_CS - test CSGS3UMS'!J20</f>
        <v>25.786407847431001</v>
      </c>
      <c r="K20" s="163">
        <f>'[2]AEP_OH_CS - test CSGS3UMS'!K20</f>
        <v>24.39747560454698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7dhNeJPA8+VN8xPfPRAf07iyVuCLVPw1Cp8Gr19yUi4llPXLNoueG6BY3XhON7rLt3mMNVbiBq1RY8TlLnXs3A==" saltValue="eXx5z3dy9pH3KCx6AAhIzA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689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137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688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687</v>
      </c>
      <c r="D7" s="211"/>
      <c r="E7" s="211"/>
      <c r="F7" s="205"/>
      <c r="G7" s="157">
        <v>45.84</v>
      </c>
      <c r="H7" s="157">
        <v>44.63</v>
      </c>
      <c r="I7" s="157">
        <v>45.65</v>
      </c>
      <c r="J7" s="157">
        <v>45.53</v>
      </c>
      <c r="K7" s="159">
        <v>46.8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'[2]Ameren RateZnIII LP DS2HHMS'!G8</f>
        <v>12.742235863811061</v>
      </c>
      <c r="H8" s="163">
        <f>'[2]Ameren RateZnIII LP DS2HHMS'!H8</f>
        <v>13.086301570399939</v>
      </c>
      <c r="I8" s="163">
        <f>'[2]Ameren RateZnIII LP DS2HHMS'!I8</f>
        <v>12.998083192327588</v>
      </c>
      <c r="J8" s="163">
        <f>'[2]Ameren RateZnIII LP DS2HHMS'!J8</f>
        <v>13.229600341620563</v>
      </c>
      <c r="K8" s="163">
        <f>'[2]Ameren RateZnIII LP DS2HHMS'!K8</f>
        <v>13.45986420865675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'[2]Ameren RateZnIII LP DS2HHMS'!G9</f>
        <v>12.957134965079618</v>
      </c>
      <c r="H9" s="163">
        <f>'[2]Ameren RateZnIII LP DS2HHMS'!H9</f>
        <v>13.094047163115709</v>
      </c>
      <c r="I9" s="163">
        <f>'[2]Ameren RateZnIII LP DS2HHMS'!I9</f>
        <v>13.090301792158485</v>
      </c>
      <c r="J9" s="163">
        <f>'[2]Ameren RateZnIII LP DS2HHMS'!J9</f>
        <v>13.256377436638484</v>
      </c>
      <c r="K9" s="163">
        <f>'[2]Ameren RateZnIII LP DS2HHMS'!K9</f>
        <v>13.488383709660933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'[2]Ameren RateZnIII LP DS2HHMS'!G10</f>
        <v>13.220150765648398</v>
      </c>
      <c r="H10" s="163">
        <f>'[2]Ameren RateZnIII LP DS2HHMS'!H10</f>
        <v>13.11065840901907</v>
      </c>
      <c r="I10" s="163">
        <f>'[2]Ameren RateZnIII LP DS2HHMS'!I10</f>
        <v>13.206925030979898</v>
      </c>
      <c r="J10" s="163">
        <f>'[2]Ameren RateZnIII LP DS2HHMS'!J10</f>
        <v>13.294415109619882</v>
      </c>
      <c r="K10" s="163">
        <f>'[2]Ameren RateZnIII LP DS2HHMS'!K10</f>
        <v>13.527467303076328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'[2]Ameren RateZnIII LP DS2HHMS'!G11</f>
        <v>13.377798809736133</v>
      </c>
      <c r="H11" s="163">
        <f>'[2]Ameren RateZnIII LP DS2HHMS'!H11</f>
        <v>13.123339672515977</v>
      </c>
      <c r="I11" s="163">
        <f>'[2]Ameren RateZnIII LP DS2HHMS'!I11</f>
        <v>13.3082490013088</v>
      </c>
      <c r="J11" s="163">
        <f>'[2]Ameren RateZnIII LP DS2HHMS'!J11</f>
        <v>13.328537746311467</v>
      </c>
      <c r="K11" s="163">
        <f>'[2]Ameren RateZnIII LP DS2HHMS'!K11</f>
        <v>13.560591375159024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'[2]Ameren RateZnIII LP DS2HHMS'!G12</f>
        <v>13.438349840086445</v>
      </c>
      <c r="H12" s="163">
        <f>'[2]Ameren RateZnIII LP DS2HHMS'!H12</f>
        <v>13.108098917144469</v>
      </c>
      <c r="I12" s="163">
        <f>'[2]Ameren RateZnIII LP DS2HHMS'!I12</f>
        <v>13.350293834935657</v>
      </c>
      <c r="J12" s="163">
        <f>'[2]Ameren RateZnIII LP DS2HHMS'!J12</f>
        <v>13.342596925537048</v>
      </c>
      <c r="K12" s="163">
        <f>'[2]Ameren RateZnIII LP DS2HHMS'!K12</f>
        <v>13.58242279924402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'[2]Ameren RateZnIII LP DS2HHMS'!G13</f>
        <v>13.436619743095635</v>
      </c>
      <c r="H13" s="163">
        <f>'[2]Ameren RateZnIII LP DS2HHMS'!H13</f>
        <v>13.101411214755746</v>
      </c>
      <c r="I13" s="163">
        <f>'[2]Ameren RateZnIII LP DS2HHMS'!I13</f>
        <v>13.370865914317003</v>
      </c>
      <c r="J13" s="163">
        <f>'[2]Ameren RateZnIII LP DS2HHMS'!J13</f>
        <v>13.365827225317268</v>
      </c>
      <c r="K13" s="163">
        <f>'[2]Ameren RateZnIII LP DS2HHMS'!K13</f>
        <v>13.611317477444837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'[2]Ameren RateZnIII LP DS2HHMS'!G14</f>
        <v>13.392154445591206</v>
      </c>
      <c r="H14" s="163">
        <f>'[2]Ameren RateZnIII LP DS2HHMS'!H14</f>
        <v>13.118503460342442</v>
      </c>
      <c r="I14" s="163">
        <f>'[2]Ameren RateZnIII LP DS2HHMS'!I14</f>
        <v>13.379409683995954</v>
      </c>
      <c r="J14" s="163">
        <f>'[2]Ameren RateZnIII LP DS2HHMS'!J14</f>
        <v>13.401317616994501</v>
      </c>
      <c r="K14" s="163">
        <f>'[2]Ameren RateZnIII LP DS2HHMS'!K14</f>
        <v>13.649175570101757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'[2]Ameren RateZnIII LP DS2HHMS'!G15</f>
        <v>13.222486053071576</v>
      </c>
      <c r="H15" s="163">
        <f>'[2]Ameren RateZnIII LP DS2HHMS'!H15</f>
        <v>13.155086691979866</v>
      </c>
      <c r="I15" s="163">
        <f>'[2]Ameren RateZnIII LP DS2HHMS'!I15</f>
        <v>13.351857555977265</v>
      </c>
      <c r="J15" s="163">
        <f>'[2]Ameren RateZnIII LP DS2HHMS'!J15</f>
        <v>13.437062500071168</v>
      </c>
      <c r="K15" s="163">
        <f>'[2]Ameren RateZnIII LP DS2HHMS'!K15</f>
        <v>13.696863858069346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'[2]Ameren RateZnIII LP DS2HHMS'!G16</f>
        <v>12.997511351025548</v>
      </c>
      <c r="H16" s="163">
        <f>'[2]Ameren RateZnIII LP DS2HHMS'!H16</f>
        <v>13.200182068500505</v>
      </c>
      <c r="I16" s="163">
        <f>'[2]Ameren RateZnIII LP DS2HHMS'!I16</f>
        <v>13.319705044485307</v>
      </c>
      <c r="J16" s="163">
        <f>'[2]Ameren RateZnIII LP DS2HHMS'!J16</f>
        <v>13.492937297040122</v>
      </c>
      <c r="K16" s="163">
        <f>'[2]Ameren RateZnIII LP DS2HHMS'!K16</f>
        <v>13.756653838483874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'[2]Ameren RateZnIII LP DS2HHMS'!G17</f>
        <v>12.832968109798616</v>
      </c>
      <c r="H17" s="163">
        <f>'[2]Ameren RateZnIII LP DS2HHMS'!H17</f>
        <v>13.271054631362217</v>
      </c>
      <c r="I17" s="163">
        <f>'[2]Ameren RateZnIII LP DS2HHMS'!I17</f>
        <v>13.310672848917726</v>
      </c>
      <c r="J17" s="163">
        <f>'[2]Ameren RateZnIII LP DS2HHMS'!J17</f>
        <v>13.556976413322783</v>
      </c>
      <c r="K17" s="163">
        <f>'[2]Ameren RateZnIII LP DS2HHMS'!K17</f>
        <v>13.820070950290836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'[2]Ameren RateZnIII LP DS2HHMS'!G18</f>
        <v>12.723172905105699</v>
      </c>
      <c r="H18" s="163">
        <f>'[2]Ameren RateZnIII LP DS2HHMS'!H18</f>
        <v>13.302921449807952</v>
      </c>
      <c r="I18" s="163">
        <f>'[2]Ameren RateZnIII LP DS2HHMS'!I18</f>
        <v>13.307407619018987</v>
      </c>
      <c r="J18" s="163">
        <f>'[2]Ameren RateZnIII LP DS2HHMS'!J18</f>
        <v>13.588640258189805</v>
      </c>
      <c r="K18" s="163">
        <f>'[2]Ameren RateZnIII LP DS2HHMS'!K18</f>
        <v>13.856650117967916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'[2]Ameren RateZnIII LP DS2HHMS'!G19</f>
        <v>12.706796679689409</v>
      </c>
      <c r="H19" s="163">
        <f>'[2]Ameren RateZnIII LP DS2HHMS'!H19</f>
        <v>13.335387531464203</v>
      </c>
      <c r="I19" s="163">
        <f>'[2]Ameren RateZnIII LP DS2HHMS'!I19</f>
        <v>13.339632777846569</v>
      </c>
      <c r="J19" s="163">
        <f>'[2]Ameren RateZnIII LP DS2HHMS'!J19</f>
        <v>13.616284502146637</v>
      </c>
      <c r="K19" s="163">
        <f>'[2]Ameren RateZnIII LP DS2HHMS'!K19</f>
        <v>13.887944754456242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'[2]Ameren RateZnIII LP DS2HHMS'!G20</f>
        <v>12.810564840053503</v>
      </c>
      <c r="H20" s="163">
        <f>'[2]Ameren RateZnIII LP DS2HHMS'!H20</f>
        <v>13.372673264363831</v>
      </c>
      <c r="I20" s="163">
        <f>'[2]Ameren RateZnIII LP DS2HHMS'!I20</f>
        <v>13.404607235123704</v>
      </c>
      <c r="J20" s="163">
        <f>'[2]Ameren RateZnIII LP DS2HHMS'!J20</f>
        <v>13.646164533141768</v>
      </c>
      <c r="K20" s="163">
        <f>'[2]Ameren RateZnIII LP DS2HHMS'!K20</f>
        <v>13.921342921037875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thkY5zivTla/UDOjNwFD+g7BTafpoJzteUkQbZBB+ACT9pBgqs5mv/EArJHSfOc9zThWaWvEu70sxRvCo2Oyeg==" saltValue="f7KJvHQp0NDtHFMnpjjvoA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680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144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80.739999999999995</v>
      </c>
      <c r="H7" s="157">
        <v>81.349999999999994</v>
      </c>
      <c r="I7" s="157">
        <v>80.89</v>
      </c>
      <c r="J7" s="157">
        <v>79.47</v>
      </c>
      <c r="K7" s="157">
        <v>79.92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'[2]BGE LP_GMS'!G8</f>
        <v>37.911967480482559</v>
      </c>
      <c r="H8" s="163">
        <f>'[2]BGE LP_GMS'!H8</f>
        <v>32.907204426654843</v>
      </c>
      <c r="I8" s="163">
        <f>'[2]BGE LP_GMS'!I8</f>
        <v>31.592556917975319</v>
      </c>
      <c r="J8" s="163">
        <f>'[2]BGE LP_GMS'!J8</f>
        <v>31.428582019858112</v>
      </c>
      <c r="K8" s="163">
        <f>'[2]BGE LP_GMS'!K8</f>
        <v>30.920331589020513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'[2]BGE LP_GMS'!G9</f>
        <v>36.037057753338644</v>
      </c>
      <c r="H9" s="163">
        <f>'[2]BGE LP_GMS'!H9</f>
        <v>32.094414794654419</v>
      </c>
      <c r="I9" s="163">
        <f>'[2]BGE LP_GMS'!I9</f>
        <v>31.185068887747306</v>
      </c>
      <c r="J9" s="163">
        <f>'[2]BGE LP_GMS'!J9</f>
        <v>31.137701883545656</v>
      </c>
      <c r="K9" s="163">
        <f>'[2]BGE LP_GMS'!K9</f>
        <v>30.635432765311901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'[2]BGE LP_GMS'!G10</f>
        <v>34.368336613454709</v>
      </c>
      <c r="H10" s="163">
        <f>'[2]BGE LP_GMS'!H10</f>
        <v>31.350552459882582</v>
      </c>
      <c r="I10" s="163">
        <f>'[2]BGE LP_GMS'!I10</f>
        <v>30.810099217935019</v>
      </c>
      <c r="J10" s="163">
        <f>'[2]BGE LP_GMS'!J10</f>
        <v>30.912668914755148</v>
      </c>
      <c r="K10" s="163">
        <f>'[2]BGE LP_GMS'!K10</f>
        <v>30.38736045487806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'[2]BGE LP_GMS'!G11</f>
        <v>32.719911099794643</v>
      </c>
      <c r="H11" s="163">
        <f>'[2]BGE LP_GMS'!H11</f>
        <v>30.692770571670355</v>
      </c>
      <c r="I11" s="163">
        <f>'[2]BGE LP_GMS'!I11</f>
        <v>30.45687744182904</v>
      </c>
      <c r="J11" s="163">
        <f>'[2]BGE LP_GMS'!J11</f>
        <v>30.714170658541533</v>
      </c>
      <c r="K11" s="163">
        <f>'[2]BGE LP_GMS'!K11</f>
        <v>30.169580786368069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'[2]BGE LP_GMS'!G12</f>
        <v>31.009983851349418</v>
      </c>
      <c r="H12" s="163">
        <f>'[2]BGE LP_GMS'!H12</f>
        <v>29.922387880966316</v>
      </c>
      <c r="I12" s="163">
        <f>'[2]BGE LP_GMS'!I12</f>
        <v>29.988243004315478</v>
      </c>
      <c r="J12" s="163">
        <f>'[2]BGE LP_GMS'!J12</f>
        <v>30.471516903784206</v>
      </c>
      <c r="K12" s="163">
        <f>'[2]BGE LP_GMS'!K12</f>
        <v>29.909010248216703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'[2]BGE LP_GMS'!G13</f>
        <v>29.622771690008335</v>
      </c>
      <c r="H13" s="163">
        <f>'[2]BGE LP_GMS'!H13</f>
        <v>29.210067088383937</v>
      </c>
      <c r="I13" s="163">
        <f>'[2]BGE LP_GMS'!I13</f>
        <v>29.670825169473364</v>
      </c>
      <c r="J13" s="163">
        <f>'[2]BGE LP_GMS'!J13</f>
        <v>30.248726262482496</v>
      </c>
      <c r="K13" s="163">
        <f>'[2]BGE LP_GMS'!K13</f>
        <v>29.664992353780022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'[2]BGE LP_GMS'!G14</f>
        <v>28.206257128458695</v>
      </c>
      <c r="H14" s="163">
        <f>'[2]BGE LP_GMS'!H14</f>
        <v>28.550450219661069</v>
      </c>
      <c r="I14" s="163">
        <f>'[2]BGE LP_GMS'!I14</f>
        <v>29.368690777375743</v>
      </c>
      <c r="J14" s="163">
        <f>'[2]BGE LP_GMS'!J14</f>
        <v>30.039349177243732</v>
      </c>
      <c r="K14" s="163">
        <f>'[2]BGE LP_GMS'!K14</f>
        <v>29.418806381185703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'[2]BGE LP_GMS'!G15</f>
        <v>28.346883244856333</v>
      </c>
      <c r="H15" s="163">
        <f>'[2]BGE LP_GMS'!H15</f>
        <v>28.819817676079602</v>
      </c>
      <c r="I15" s="163">
        <f>'[2]BGE LP_GMS'!I15</f>
        <v>29.564757380286331</v>
      </c>
      <c r="J15" s="163">
        <f>'[2]BGE LP_GMS'!J15</f>
        <v>30.036718838692366</v>
      </c>
      <c r="K15" s="163">
        <f>'[2]BGE LP_GMS'!K15</f>
        <v>29.446218688854504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'[2]BGE LP_GMS'!G16</f>
        <v>28.404984025791407</v>
      </c>
      <c r="H16" s="163">
        <f>'[2]BGE LP_GMS'!H16</f>
        <v>29.051580819876364</v>
      </c>
      <c r="I16" s="163">
        <f>'[2]BGE LP_GMS'!I16</f>
        <v>29.781731271296533</v>
      </c>
      <c r="J16" s="163">
        <f>'[2]BGE LP_GMS'!J16</f>
        <v>30.027509048505706</v>
      </c>
      <c r="K16" s="163">
        <f>'[2]BGE LP_GMS'!K16</f>
        <v>29.480849303393338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'[2]BGE LP_GMS'!G17</f>
        <v>28.596121868776269</v>
      </c>
      <c r="H17" s="163">
        <f>'[2]BGE LP_GMS'!H17</f>
        <v>29.305603354469572</v>
      </c>
      <c r="I17" s="163">
        <f>'[2]BGE LP_GMS'!I17</f>
        <v>30.033038662022335</v>
      </c>
      <c r="J17" s="163">
        <f>'[2]BGE LP_GMS'!J17</f>
        <v>30.019632928759691</v>
      </c>
      <c r="K17" s="163">
        <f>'[2]BGE LP_GMS'!K17</f>
        <v>29.513191489908355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'[2]BGE LP_GMS'!G18</f>
        <v>28.778460673607682</v>
      </c>
      <c r="H18" s="163">
        <f>'[2]BGE LP_GMS'!H18</f>
        <v>29.464946516989965</v>
      </c>
      <c r="I18" s="163">
        <f>'[2]BGE LP_GMS'!I18</f>
        <v>30.286208973283134</v>
      </c>
      <c r="J18" s="163">
        <f>'[2]BGE LP_GMS'!J18</f>
        <v>29.970024838171931</v>
      </c>
      <c r="K18" s="163">
        <f>'[2]BGE LP_GMS'!K18</f>
        <v>29.516417078228308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'[2]BGE LP_GMS'!G19</f>
        <v>28.772391254593447</v>
      </c>
      <c r="H19" s="163">
        <f>'[2]BGE LP_GMS'!H19</f>
        <v>29.695535844505262</v>
      </c>
      <c r="I19" s="163">
        <f>'[2]BGE LP_GMS'!I19</f>
        <v>30.46543774091667</v>
      </c>
      <c r="J19" s="163">
        <f>'[2]BGE LP_GMS'!J19</f>
        <v>29.953077810808832</v>
      </c>
      <c r="K19" s="163">
        <f>'[2]BGE LP_GMS'!K19</f>
        <v>29.532457196770249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'[2]BGE LP_GMS'!G20</f>
        <v>28.912297895238108</v>
      </c>
      <c r="H20" s="163">
        <f>'[2]BGE LP_GMS'!H20</f>
        <v>29.96286831826129</v>
      </c>
      <c r="I20" s="163">
        <f>'[2]BGE LP_GMS'!I20</f>
        <v>30.668198200172775</v>
      </c>
      <c r="J20" s="163">
        <f>'[2]BGE LP_GMS'!J20</f>
        <v>29.936512654693054</v>
      </c>
      <c r="K20" s="163">
        <f>'[2]BGE LP_GMS'!K20</f>
        <v>29.535007986890548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zCP9wHVi1BSzNaOt4tCAjIpqLrak/EjMLuKNZwJwTFAa8uLdFqvjMaemV5YhjCG3AvPbSRTABhfkRs1Tt+lvug==" saltValue="XtsdU2TtfN/PRLKO8AQYbw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680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142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77.12</v>
      </c>
      <c r="H7" s="159">
        <v>78.5</v>
      </c>
      <c r="I7" s="157">
        <v>77.790000000000006</v>
      </c>
      <c r="J7" s="157">
        <v>76.77</v>
      </c>
      <c r="K7" s="157">
        <v>77.23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'[2]BGE LP_GLMS'!G8</f>
        <v>36.390348396275655</v>
      </c>
      <c r="H8" s="163">
        <f>'[2]BGE LP_GLMS'!H8</f>
        <v>30.552348134911391</v>
      </c>
      <c r="I8" s="163">
        <f>'[2]BGE LP_GLMS'!I8</f>
        <v>29.667965381749269</v>
      </c>
      <c r="J8" s="163">
        <f>'[2]BGE LP_GLMS'!J8</f>
        <v>29.227584904742159</v>
      </c>
      <c r="K8" s="163">
        <f>'[2]BGE LP_GLMS'!K8</f>
        <v>28.792195642388233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'[2]BGE LP_GLMS'!G9</f>
        <v>34.493738161879193</v>
      </c>
      <c r="H9" s="163">
        <f>'[2]BGE LP_GLMS'!H9</f>
        <v>29.857658317624267</v>
      </c>
      <c r="I9" s="163">
        <f>'[2]BGE LP_GLMS'!I9</f>
        <v>29.247992859713094</v>
      </c>
      <c r="J9" s="163">
        <f>'[2]BGE LP_GLMS'!J9</f>
        <v>29.003797168474918</v>
      </c>
      <c r="K9" s="163">
        <f>'[2]BGE LP_GLMS'!K9</f>
        <v>28.558882355833358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'[2]BGE LP_GLMS'!G10</f>
        <v>32.290225632322169</v>
      </c>
      <c r="H10" s="163">
        <f>'[2]BGE LP_GLMS'!H10</f>
        <v>29.162463075238531</v>
      </c>
      <c r="I10" s="163">
        <f>'[2]BGE LP_GLMS'!I10</f>
        <v>28.749056922823897</v>
      </c>
      <c r="J10" s="163">
        <f>'[2]BGE LP_GLMS'!J10</f>
        <v>28.793645708536832</v>
      </c>
      <c r="K10" s="163">
        <f>'[2]BGE LP_GLMS'!K10</f>
        <v>28.324408879624297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'[2]BGE LP_GLMS'!G11</f>
        <v>30.213858571003275</v>
      </c>
      <c r="H11" s="163">
        <f>'[2]BGE LP_GLMS'!H11</f>
        <v>28.534181275880396</v>
      </c>
      <c r="I11" s="163">
        <f>'[2]BGE LP_GLMS'!I11</f>
        <v>28.265821706374865</v>
      </c>
      <c r="J11" s="163">
        <f>'[2]BGE LP_GLMS'!J11</f>
        <v>28.602965636183107</v>
      </c>
      <c r="K11" s="163">
        <f>'[2]BGE LP_GLMS'!K11</f>
        <v>28.113023678926805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'[2]BGE LP_GLMS'!G12</f>
        <v>28.301858128048497</v>
      </c>
      <c r="H12" s="163">
        <f>'[2]BGE LP_GLMS'!H12</f>
        <v>27.823965995126088</v>
      </c>
      <c r="I12" s="163">
        <f>'[2]BGE LP_GLMS'!I12</f>
        <v>27.734226910299093</v>
      </c>
      <c r="J12" s="163">
        <f>'[2]BGE LP_GLMS'!J12</f>
        <v>28.377168803273452</v>
      </c>
      <c r="K12" s="163">
        <f>'[2]BGE LP_GLMS'!K12</f>
        <v>27.867664643615349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'[2]BGE LP_GLMS'!G13</f>
        <v>26.735028178738549</v>
      </c>
      <c r="H13" s="163">
        <f>'[2]BGE LP_GLMS'!H13</f>
        <v>27.161553321924242</v>
      </c>
      <c r="I13" s="163">
        <f>'[2]BGE LP_GLMS'!I13</f>
        <v>27.330378000976197</v>
      </c>
      <c r="J13" s="163">
        <f>'[2]BGE LP_GLMS'!J13</f>
        <v>28.174536084862492</v>
      </c>
      <c r="K13" s="163">
        <f>'[2]BGE LP_GLMS'!K13</f>
        <v>27.642437671308457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'[2]BGE LP_GLMS'!G14</f>
        <v>25.493367947664193</v>
      </c>
      <c r="H14" s="163">
        <f>'[2]BGE LP_GLMS'!H14</f>
        <v>26.54653871797678</v>
      </c>
      <c r="I14" s="163">
        <f>'[2]BGE LP_GLMS'!I14</f>
        <v>27.065495497813263</v>
      </c>
      <c r="J14" s="163">
        <f>'[2]BGE LP_GLMS'!J14</f>
        <v>27.980206397529361</v>
      </c>
      <c r="K14" s="163">
        <f>'[2]BGE LP_GLMS'!K14</f>
        <v>27.412676748260676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'[2]BGE LP_GLMS'!G15</f>
        <v>25.753344655412597</v>
      </c>
      <c r="H15" s="163">
        <f>'[2]BGE LP_GLMS'!H15</f>
        <v>26.780723148815699</v>
      </c>
      <c r="I15" s="163">
        <f>'[2]BGE LP_GLMS'!I15</f>
        <v>27.319924735370183</v>
      </c>
      <c r="J15" s="163">
        <f>'[2]BGE LP_GLMS'!J15</f>
        <v>27.970780369832845</v>
      </c>
      <c r="K15" s="163">
        <f>'[2]BGE LP_GLMS'!K15</f>
        <v>27.438025499990019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'[2]BGE LP_GLMS'!G16</f>
        <v>26.179833773213844</v>
      </c>
      <c r="H16" s="163">
        <f>'[2]BGE LP_GLMS'!H16</f>
        <v>27.01710672475674</v>
      </c>
      <c r="I16" s="163">
        <f>'[2]BGE LP_GLMS'!I16</f>
        <v>27.664150372565512</v>
      </c>
      <c r="J16" s="163">
        <f>'[2]BGE LP_GLMS'!J16</f>
        <v>27.973160422326732</v>
      </c>
      <c r="K16" s="163">
        <f>'[2]BGE LP_GLMS'!K16</f>
        <v>27.478727783683802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'[2]BGE LP_GLMS'!G17</f>
        <v>26.756110734672415</v>
      </c>
      <c r="H17" s="163">
        <f>'[2]BGE LP_GLMS'!H17</f>
        <v>27.261793825789876</v>
      </c>
      <c r="I17" s="163">
        <f>'[2]BGE LP_GLMS'!I17</f>
        <v>28.045847353943262</v>
      </c>
      <c r="J17" s="163">
        <f>'[2]BGE LP_GLMS'!J17</f>
        <v>27.970192354101659</v>
      </c>
      <c r="K17" s="163">
        <f>'[2]BGE LP_GLMS'!K17</f>
        <v>27.51350928975042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'[2]BGE LP_GLMS'!G18</f>
        <v>27.290164367677445</v>
      </c>
      <c r="H18" s="163">
        <f>'[2]BGE LP_GLMS'!H18</f>
        <v>27.434476493907237</v>
      </c>
      <c r="I18" s="163">
        <f>'[2]BGE LP_GLMS'!I18</f>
        <v>28.404167880553423</v>
      </c>
      <c r="J18" s="163">
        <f>'[2]BGE LP_GLMS'!J18</f>
        <v>27.936141062385456</v>
      </c>
      <c r="K18" s="163">
        <f>'[2]BGE LP_GLMS'!K18</f>
        <v>27.527443547162953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'[2]BGE LP_GLMS'!G19</f>
        <v>27.660700485378833</v>
      </c>
      <c r="H19" s="163">
        <f>'[2]BGE LP_GLMS'!H19</f>
        <v>27.65135409644386</v>
      </c>
      <c r="I19" s="163">
        <f>'[2]BGE LP_GLMS'!I19</f>
        <v>28.706246967114293</v>
      </c>
      <c r="J19" s="163">
        <f>'[2]BGE LP_GLMS'!J19</f>
        <v>27.922484009817413</v>
      </c>
      <c r="K19" s="163">
        <f>'[2]BGE LP_GLMS'!K19</f>
        <v>27.546184690768374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'[2]BGE LP_GLMS'!G20</f>
        <v>27.76232530663103</v>
      </c>
      <c r="H20" s="163">
        <f>'[2]BGE LP_GLMS'!H20</f>
        <v>27.905837318558316</v>
      </c>
      <c r="I20" s="163">
        <f>'[2]BGE LP_GLMS'!I20</f>
        <v>28.887151557938257</v>
      </c>
      <c r="J20" s="163">
        <f>'[2]BGE LP_GLMS'!J20</f>
        <v>27.914217340154785</v>
      </c>
      <c r="K20" s="163">
        <f>'[2]BGE LP_GLMS'!K20</f>
        <v>27.55928531683864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xEkYkqSdAKATSNo9VsE1f++9yS7WpDoDOFiJ0+NkRb/ydUrkbVxonwnBYjF4z+Zq1wHIzZ2iKNaaz1X71CIEsA==" saltValue="9Kfsa/Pqowc3VH6Ec7FDc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680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146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9">
        <v>72.8</v>
      </c>
      <c r="H7" s="157">
        <v>73.78</v>
      </c>
      <c r="I7" s="157">
        <v>73.28</v>
      </c>
      <c r="J7" s="159">
        <v>72.5</v>
      </c>
      <c r="K7" s="157">
        <v>73.040000000000006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'[2]BGE LP_GSMS'!G8</f>
        <v>32.531504822742875</v>
      </c>
      <c r="H8" s="163">
        <f>'[2]BGE LP_GSMS'!H8</f>
        <v>28.022377691610934</v>
      </c>
      <c r="I8" s="163">
        <f>'[2]BGE LP_GSMS'!I8</f>
        <v>27.244206333865169</v>
      </c>
      <c r="J8" s="163">
        <f>'[2]BGE LP_GSMS'!J8</f>
        <v>26.979142857398685</v>
      </c>
      <c r="K8" s="163">
        <f>'[2]BGE LP_GSMS'!K8</f>
        <v>26.667168417733826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'[2]BGE LP_GSMS'!G9</f>
        <v>31.316043328101546</v>
      </c>
      <c r="H9" s="163">
        <f>'[2]BGE LP_GSMS'!H9</f>
        <v>27.516274839801387</v>
      </c>
      <c r="I9" s="163">
        <f>'[2]BGE LP_GSMS'!I9</f>
        <v>27.000287951641649</v>
      </c>
      <c r="J9" s="163">
        <f>'[2]BGE LP_GSMS'!J9</f>
        <v>26.820977142855874</v>
      </c>
      <c r="K9" s="163">
        <f>'[2]BGE LP_GSMS'!K9</f>
        <v>26.490554275292148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'[2]BGE LP_GSMS'!G10</f>
        <v>29.656526447882623</v>
      </c>
      <c r="H10" s="163">
        <f>'[2]BGE LP_GSMS'!H10</f>
        <v>26.93829818705386</v>
      </c>
      <c r="I10" s="163">
        <f>'[2]BGE LP_GSMS'!I10</f>
        <v>26.628940024965807</v>
      </c>
      <c r="J10" s="163">
        <f>'[2]BGE LP_GSMS'!J10</f>
        <v>26.648906457971492</v>
      </c>
      <c r="K10" s="163">
        <f>'[2]BGE LP_GSMS'!K10</f>
        <v>26.302392569731456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'[2]BGE LP_GSMS'!G11</f>
        <v>28.093478252232845</v>
      </c>
      <c r="H11" s="163">
        <f>'[2]BGE LP_GSMS'!H11</f>
        <v>26.419739515102904</v>
      </c>
      <c r="I11" s="163">
        <f>'[2]BGE LP_GSMS'!I11</f>
        <v>26.282942904061702</v>
      </c>
      <c r="J11" s="163">
        <f>'[2]BGE LP_GSMS'!J11</f>
        <v>26.498880292355043</v>
      </c>
      <c r="K11" s="163">
        <f>'[2]BGE LP_GSMS'!K11</f>
        <v>26.134675683112366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'[2]BGE LP_GSMS'!G12</f>
        <v>26.627702961211774</v>
      </c>
      <c r="H12" s="163">
        <f>'[2]BGE LP_GSMS'!H12</f>
        <v>25.835924342551579</v>
      </c>
      <c r="I12" s="163">
        <f>'[2]BGE LP_GSMS'!I12</f>
        <v>25.895933528243173</v>
      </c>
      <c r="J12" s="163">
        <f>'[2]BGE LP_GSMS'!J12</f>
        <v>26.322525981526958</v>
      </c>
      <c r="K12" s="163">
        <f>'[2]BGE LP_GSMS'!K12</f>
        <v>25.940673431967319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'[2]BGE LP_GSMS'!G13</f>
        <v>25.285349660205672</v>
      </c>
      <c r="H13" s="163">
        <f>'[2]BGE LP_GSMS'!H13</f>
        <v>25.283637377088535</v>
      </c>
      <c r="I13" s="163">
        <f>'[2]BGE LP_GSMS'!I13</f>
        <v>25.569658667941184</v>
      </c>
      <c r="J13" s="163">
        <f>'[2]BGE LP_GSMS'!J13</f>
        <v>26.154630556101239</v>
      </c>
      <c r="K13" s="163">
        <f>'[2]BGE LP_GSMS'!K13</f>
        <v>25.753901698258581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'[2]BGE LP_GSMS'!G14</f>
        <v>23.992278990936821</v>
      </c>
      <c r="H14" s="163">
        <f>'[2]BGE LP_GSMS'!H14</f>
        <v>24.743759180248642</v>
      </c>
      <c r="I14" s="163">
        <f>'[2]BGE LP_GSMS'!I14</f>
        <v>25.261644352571793</v>
      </c>
      <c r="J14" s="163">
        <f>'[2]BGE LP_GSMS'!J14</f>
        <v>25.98987760931886</v>
      </c>
      <c r="K14" s="163">
        <f>'[2]BGE LP_GSMS'!K14</f>
        <v>25.565120752144374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'[2]BGE LP_GSMS'!G15</f>
        <v>24.132496059728645</v>
      </c>
      <c r="H15" s="163">
        <f>'[2]BGE LP_GSMS'!H15</f>
        <v>24.96488665791184</v>
      </c>
      <c r="I15" s="163">
        <f>'[2]BGE LP_GSMS'!I15</f>
        <v>25.436797955054818</v>
      </c>
      <c r="J15" s="163">
        <f>'[2]BGE LP_GSMS'!J15</f>
        <v>25.996238749681609</v>
      </c>
      <c r="K15" s="163">
        <f>'[2]BGE LP_GSMS'!K15</f>
        <v>25.596249174746358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'[2]BGE LP_GSMS'!G16</f>
        <v>24.380771672199945</v>
      </c>
      <c r="H16" s="163">
        <f>'[2]BGE LP_GSMS'!H16</f>
        <v>25.15911894498884</v>
      </c>
      <c r="I16" s="163">
        <f>'[2]BGE LP_GSMS'!I16</f>
        <v>25.6864996239166</v>
      </c>
      <c r="J16" s="163">
        <f>'[2]BGE LP_GSMS'!J16</f>
        <v>25.995144241670953</v>
      </c>
      <c r="K16" s="163">
        <f>'[2]BGE LP_GSMS'!K16</f>
        <v>25.630627986065846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'[2]BGE LP_GSMS'!G17</f>
        <v>24.712158132854139</v>
      </c>
      <c r="H17" s="163">
        <f>'[2]BGE LP_GSMS'!H17</f>
        <v>25.367064810598805</v>
      </c>
      <c r="I17" s="163">
        <f>'[2]BGE LP_GSMS'!I17</f>
        <v>25.960828272944703</v>
      </c>
      <c r="J17" s="163">
        <f>'[2]BGE LP_GSMS'!J17</f>
        <v>26.007558975461365</v>
      </c>
      <c r="K17" s="163">
        <f>'[2]BGE LP_GSMS'!K17</f>
        <v>25.671875035051773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'[2]BGE LP_GSMS'!G18</f>
        <v>25.001603434895415</v>
      </c>
      <c r="H18" s="163">
        <f>'[2]BGE LP_GSMS'!H18</f>
        <v>25.52032113326436</v>
      </c>
      <c r="I18" s="163">
        <f>'[2]BGE LP_GSMS'!I18</f>
        <v>26.217198894513405</v>
      </c>
      <c r="J18" s="163">
        <f>'[2]BGE LP_GSMS'!J18</f>
        <v>25.988168728034413</v>
      </c>
      <c r="K18" s="163">
        <f>'[2]BGE LP_GSMS'!K18</f>
        <v>25.688741878067098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'[2]BGE LP_GSMS'!G19</f>
        <v>25.281751062002449</v>
      </c>
      <c r="H19" s="163">
        <f>'[2]BGE LP_GSMS'!H19</f>
        <v>25.718763221194717</v>
      </c>
      <c r="I19" s="163">
        <f>'[2]BGE LP_GSMS'!I19</f>
        <v>26.463452065938355</v>
      </c>
      <c r="J19" s="163">
        <f>'[2]BGE LP_GSMS'!J19</f>
        <v>25.983282965485731</v>
      </c>
      <c r="K19" s="163">
        <f>'[2]BGE LP_GSMS'!K19</f>
        <v>25.7124599849835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'[2]BGE LP_GSMS'!G20</f>
        <v>25.588211654319579</v>
      </c>
      <c r="H20" s="163">
        <f>'[2]BGE LP_GSMS'!H20</f>
        <v>25.933486764441309</v>
      </c>
      <c r="I20" s="163">
        <f>'[2]BGE LP_GSMS'!I20</f>
        <v>26.707323756214439</v>
      </c>
      <c r="J20" s="163">
        <f>'[2]BGE LP_GSMS'!J20</f>
        <v>25.988404928976212</v>
      </c>
      <c r="K20" s="163">
        <f>'[2]BGE LP_GSMS'!K20</f>
        <v>25.722358652651163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zECV2XH8vCE3zbgGfUPn8Isk0iTOM6C3kIB0doLBHXfWvWMuiHpVHQESqXM3eVEo0E1patGPNXDEyEISZej24Q==" saltValue="5l1nooG1ZETlj6EZpuTPMQ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148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685</v>
      </c>
      <c r="D7" s="211"/>
      <c r="E7" s="211"/>
      <c r="F7" s="205"/>
      <c r="G7" s="157">
        <v>51.54</v>
      </c>
      <c r="H7" s="157">
        <v>49.98</v>
      </c>
      <c r="I7" s="157">
        <v>53.17</v>
      </c>
      <c r="J7" s="157">
        <v>54.53</v>
      </c>
      <c r="K7" s="157">
        <v>57.51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'[2]ComEd - test LP_28MS'!G8</f>
        <v>16.613969715122025</v>
      </c>
      <c r="H8" s="163">
        <f>'[2]ComEd - test LP_28MS'!H8</f>
        <v>21.048591229397449</v>
      </c>
      <c r="I8" s="163">
        <f>'[2]ComEd - test LP_28MS'!I8</f>
        <v>22.69181130446017</v>
      </c>
      <c r="J8" s="163">
        <f>'[2]ComEd - test LP_28MS'!J8</f>
        <v>23.715474011578458</v>
      </c>
      <c r="K8" s="163">
        <f>'[2]ComEd - test LP_28MS'!K8</f>
        <v>23.74504697448117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'[2]ComEd - test LP_28MS'!G9</f>
        <v>18.105803632969895</v>
      </c>
      <c r="H9" s="163">
        <f>'[2]ComEd - test LP_28MS'!H9</f>
        <v>21.800918390458687</v>
      </c>
      <c r="I9" s="163">
        <f>'[2]ComEd - test LP_28MS'!I9</f>
        <v>23.269995163436857</v>
      </c>
      <c r="J9" s="163">
        <f>'[2]ComEd - test LP_28MS'!J9</f>
        <v>24.155865485419294</v>
      </c>
      <c r="K9" s="163">
        <f>'[2]ComEd - test LP_28MS'!K9</f>
        <v>23.845033163516977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'[2]ComEd - test LP_28MS'!G10</f>
        <v>19.610206266953313</v>
      </c>
      <c r="H10" s="163">
        <f>'[2]ComEd - test LP_28MS'!H10</f>
        <v>22.575641362640898</v>
      </c>
      <c r="I10" s="163">
        <f>'[2]ComEd - test LP_28MS'!I10</f>
        <v>23.80762821712095</v>
      </c>
      <c r="J10" s="163">
        <f>'[2]ComEd - test LP_28MS'!J10</f>
        <v>24.614865994702395</v>
      </c>
      <c r="K10" s="163">
        <f>'[2]ComEd - test LP_28MS'!K10</f>
        <v>23.961268628307039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'[2]ComEd - test LP_28MS'!G11</f>
        <v>21.029120577385598</v>
      </c>
      <c r="H11" s="163">
        <f>'[2]ComEd - test LP_28MS'!H11</f>
        <v>23.275208750057637</v>
      </c>
      <c r="I11" s="163">
        <f>'[2]ComEd - test LP_28MS'!I11</f>
        <v>24.332962737131073</v>
      </c>
      <c r="J11" s="163">
        <f>'[2]ComEd - test LP_28MS'!J11</f>
        <v>25.030594574773112</v>
      </c>
      <c r="K11" s="163">
        <f>'[2]ComEd - test LP_28MS'!K11</f>
        <v>24.066149142973995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'[2]ComEd - test LP_28MS'!G12</f>
        <v>22.386283577262894</v>
      </c>
      <c r="H12" s="163">
        <f>'[2]ComEd - test LP_28MS'!H12</f>
        <v>24.037375721699515</v>
      </c>
      <c r="I12" s="163">
        <f>'[2]ComEd - test LP_28MS'!I12</f>
        <v>24.853341158933869</v>
      </c>
      <c r="J12" s="163">
        <f>'[2]ComEd - test LP_28MS'!J12</f>
        <v>25.476342225872266</v>
      </c>
      <c r="K12" s="163">
        <f>'[2]ComEd - test LP_28MS'!K12</f>
        <v>24.175006153198204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'[2]ComEd - test LP_28MS'!G13</f>
        <v>23.689224030719469</v>
      </c>
      <c r="H13" s="163">
        <f>'[2]ComEd - test LP_28MS'!H13</f>
        <v>24.788559391451685</v>
      </c>
      <c r="I13" s="163">
        <f>'[2]ComEd - test LP_28MS'!I13</f>
        <v>25.372175510761899</v>
      </c>
      <c r="J13" s="163">
        <f>'[2]ComEd - test LP_28MS'!J13</f>
        <v>25.918061877434578</v>
      </c>
      <c r="K13" s="163">
        <f>'[2]ComEd - test LP_28MS'!K13</f>
        <v>24.289159734572902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'[2]ComEd - test LP_28MS'!G14</f>
        <v>25.048901671554692</v>
      </c>
      <c r="H14" s="163">
        <f>'[2]ComEd - test LP_28MS'!H14</f>
        <v>25.568499427372476</v>
      </c>
      <c r="I14" s="163">
        <f>'[2]ComEd - test LP_28MS'!I14</f>
        <v>25.918850116734571</v>
      </c>
      <c r="J14" s="163">
        <f>'[2]ComEd - test LP_28MS'!J14</f>
        <v>26.368766707757434</v>
      </c>
      <c r="K14" s="163">
        <f>'[2]ComEd - test LP_28MS'!K14</f>
        <v>24.398950865162409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'[2]ComEd - test LP_28MS'!G15</f>
        <v>25.205504884681062</v>
      </c>
      <c r="H15" s="163">
        <f>'[2]ComEd - test LP_28MS'!H15</f>
        <v>25.753279351168995</v>
      </c>
      <c r="I15" s="163">
        <f>'[2]ComEd - test LP_28MS'!I15</f>
        <v>26.062351808491275</v>
      </c>
      <c r="J15" s="163">
        <f>'[2]ComEd - test LP_28MS'!J15</f>
        <v>26.177868474823232</v>
      </c>
      <c r="K15" s="163">
        <f>'[2]ComEd - test LP_28MS'!K15</f>
        <v>24.285106678708871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'[2]ComEd - test LP_28MS'!G16</f>
        <v>25.471145801073352</v>
      </c>
      <c r="H16" s="163">
        <f>'[2]ComEd - test LP_28MS'!H16</f>
        <v>25.884165869302308</v>
      </c>
      <c r="I16" s="163">
        <f>'[2]ComEd - test LP_28MS'!I16</f>
        <v>26.25568446943544</v>
      </c>
      <c r="J16" s="163">
        <f>'[2]ComEd - test LP_28MS'!J16</f>
        <v>25.96837720742413</v>
      </c>
      <c r="K16" s="163">
        <f>'[2]ComEd - test LP_28MS'!K16</f>
        <v>24.168924349519425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'[2]ComEd - test LP_28MS'!G17</f>
        <v>25.620420710004499</v>
      </c>
      <c r="H17" s="163">
        <f>'[2]ComEd - test LP_28MS'!H17</f>
        <v>26.02215502187671</v>
      </c>
      <c r="I17" s="163">
        <f>'[2]ComEd - test LP_28MS'!I17</f>
        <v>26.399775826772743</v>
      </c>
      <c r="J17" s="163">
        <f>'[2]ComEd - test LP_28MS'!J17</f>
        <v>25.749041970362192</v>
      </c>
      <c r="K17" s="163">
        <f>'[2]ComEd - test LP_28MS'!K17</f>
        <v>24.045413851176285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'[2]ComEd - test LP_28MS'!G18</f>
        <v>25.793049810413272</v>
      </c>
      <c r="H18" s="163">
        <f>'[2]ComEd - test LP_28MS'!H18</f>
        <v>26.125329089439013</v>
      </c>
      <c r="I18" s="163">
        <f>'[2]ComEd - test LP_28MS'!I18</f>
        <v>26.5470295378611</v>
      </c>
      <c r="J18" s="163">
        <f>'[2]ComEd - test LP_28MS'!J18</f>
        <v>25.529805244292483</v>
      </c>
      <c r="K18" s="163">
        <f>'[2]ComEd - test LP_28MS'!K18</f>
        <v>23.922091779211918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'[2]ComEd - test LP_28MS'!G19</f>
        <v>26.000033683395905</v>
      </c>
      <c r="H19" s="163">
        <f>'[2]ComEd - test LP_28MS'!H19</f>
        <v>26.254607522319205</v>
      </c>
      <c r="I19" s="163">
        <f>'[2]ComEd - test LP_28MS'!I19</f>
        <v>26.708621202957495</v>
      </c>
      <c r="J19" s="163">
        <f>'[2]ComEd - test LP_28MS'!J19</f>
        <v>25.311256450686649</v>
      </c>
      <c r="K19" s="163">
        <f>'[2]ComEd - test LP_28MS'!K19</f>
        <v>23.793379245195677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'[2]ComEd - test LP_28MS'!G20</f>
        <v>26.14208791292695</v>
      </c>
      <c r="H20" s="163">
        <f>'[2]ComEd - test LP_28MS'!H20</f>
        <v>26.374950858547574</v>
      </c>
      <c r="I20" s="163">
        <f>'[2]ComEd - test LP_28MS'!I20</f>
        <v>26.837130108421032</v>
      </c>
      <c r="J20" s="163">
        <f>'[2]ComEd - test LP_28MS'!J20</f>
        <v>25.088256786469543</v>
      </c>
      <c r="K20" s="163">
        <f>'[2]ComEd - test LP_28MS'!K20</f>
        <v>23.660606962677129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GVDCjuFqsXbTk3mpudyyznnDDA0vzJS/EDCj9p3CWe3W9CZHL6VVOYTYZnW5gm9dKhGCdpL2yGVg7tpVzvM4MQ==" saltValue="SqS8wVCbPj1A5zBccdp0jQ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152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50.36</v>
      </c>
      <c r="H7" s="159">
        <v>48.8</v>
      </c>
      <c r="I7" s="157">
        <v>51.92</v>
      </c>
      <c r="J7" s="157">
        <v>53.23</v>
      </c>
      <c r="K7" s="157">
        <v>56.15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'[2]ComEd - test LP_29MS'!G8</f>
        <v>15.03007440489942</v>
      </c>
      <c r="H8" s="163">
        <f>'[2]ComEd - test LP_29MS'!H8</f>
        <v>19.313821589472912</v>
      </c>
      <c r="I8" s="163">
        <f>'[2]ComEd - test LP_29MS'!I8</f>
        <v>20.930194933777326</v>
      </c>
      <c r="J8" s="163">
        <f>'[2]ComEd - test LP_29MS'!J8</f>
        <v>21.909575446121796</v>
      </c>
      <c r="K8" s="163">
        <f>'[2]ComEd - test LP_29MS'!K8</f>
        <v>21.938792435542975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'[2]ComEd - test LP_29MS'!G9</f>
        <v>16.468923068763232</v>
      </c>
      <c r="H9" s="163">
        <f>'[2]ComEd - test LP_29MS'!H9</f>
        <v>20.043019968314045</v>
      </c>
      <c r="I9" s="163">
        <f>'[2]ComEd - test LP_29MS'!I9</f>
        <v>21.483254652342829</v>
      </c>
      <c r="J9" s="163">
        <f>'[2]ComEd - test LP_29MS'!J9</f>
        <v>22.334038642481513</v>
      </c>
      <c r="K9" s="163">
        <f>'[2]ComEd - test LP_29MS'!K9</f>
        <v>22.035358649197871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'[2]ComEd - test LP_29MS'!G10</f>
        <v>17.935813424721175</v>
      </c>
      <c r="H10" s="163">
        <f>'[2]ComEd - test LP_29MS'!H10</f>
        <v>20.79803419881226</v>
      </c>
      <c r="I10" s="163">
        <f>'[2]ComEd - test LP_29MS'!I10</f>
        <v>22.006090191285509</v>
      </c>
      <c r="J10" s="163">
        <f>'[2]ComEd - test LP_29MS'!J10</f>
        <v>22.783329790436429</v>
      </c>
      <c r="K10" s="163">
        <f>'[2]ComEd - test LP_29MS'!K10</f>
        <v>22.149009198176177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'[2]ComEd - test LP_29MS'!G11</f>
        <v>19.325178091821137</v>
      </c>
      <c r="H11" s="163">
        <f>'[2]ComEd - test LP_29MS'!H11</f>
        <v>21.480588407721221</v>
      </c>
      <c r="I11" s="163">
        <f>'[2]ComEd - test LP_29MS'!I11</f>
        <v>22.51975005676675</v>
      </c>
      <c r="J11" s="163">
        <f>'[2]ComEd - test LP_29MS'!J11</f>
        <v>23.188098386394508</v>
      </c>
      <c r="K11" s="163">
        <f>'[2]ComEd - test LP_29MS'!K11</f>
        <v>22.251461244099197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'[2]ComEd - test LP_29MS'!G12</f>
        <v>20.627910785920268</v>
      </c>
      <c r="H12" s="163">
        <f>'[2]ComEd - test LP_29MS'!H12</f>
        <v>22.216321824269404</v>
      </c>
      <c r="I12" s="163">
        <f>'[2]ComEd - test LP_29MS'!I12</f>
        <v>23.017970010069657</v>
      </c>
      <c r="J12" s="163">
        <f>'[2]ComEd - test LP_29MS'!J12</f>
        <v>23.615911285822467</v>
      </c>
      <c r="K12" s="163">
        <f>'[2]ComEd - test LP_29MS'!K12</f>
        <v>22.354665421744709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'[2]ComEd - test LP_29MS'!G13</f>
        <v>21.865113050886656</v>
      </c>
      <c r="H13" s="163">
        <f>'[2]ComEd - test LP_29MS'!H13</f>
        <v>22.948017141296063</v>
      </c>
      <c r="I13" s="163">
        <f>'[2]ComEd - test LP_29MS'!I13</f>
        <v>23.515346620994315</v>
      </c>
      <c r="J13" s="163">
        <f>'[2]ComEd - test LP_29MS'!J13</f>
        <v>24.04893434764546</v>
      </c>
      <c r="K13" s="163">
        <f>'[2]ComEd - test LP_29MS'!K13</f>
        <v>22.469332381274906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'[2]ComEd - test LP_29MS'!G14</f>
        <v>23.152408290428653</v>
      </c>
      <c r="H14" s="163">
        <f>'[2]ComEd - test LP_29MS'!H14</f>
        <v>23.712766171827326</v>
      </c>
      <c r="I14" s="163">
        <f>'[2]ComEd - test LP_29MS'!I14</f>
        <v>24.033832449968539</v>
      </c>
      <c r="J14" s="163">
        <f>'[2]ComEd - test LP_29MS'!J14</f>
        <v>24.489392161707229</v>
      </c>
      <c r="K14" s="163">
        <f>'[2]ComEd - test LP_29MS'!K14</f>
        <v>22.575453176316937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'[2]ComEd - test LP_29MS'!G15</f>
        <v>23.322015206957428</v>
      </c>
      <c r="H15" s="163">
        <f>'[2]ComEd - test LP_29MS'!H15</f>
        <v>23.888625925052065</v>
      </c>
      <c r="I15" s="163">
        <f>'[2]ComEd - test LP_29MS'!I15</f>
        <v>24.176402475482472</v>
      </c>
      <c r="J15" s="163">
        <f>'[2]ComEd - test LP_29MS'!J15</f>
        <v>24.300759952908283</v>
      </c>
      <c r="K15" s="163">
        <f>'[2]ComEd - test LP_29MS'!K15</f>
        <v>22.463449576437167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'[2]ComEd - test LP_29MS'!G16</f>
        <v>23.576037861632425</v>
      </c>
      <c r="H16" s="163">
        <f>'[2]ComEd - test LP_29MS'!H16</f>
        <v>24.012441775146343</v>
      </c>
      <c r="I16" s="163">
        <f>'[2]ComEd - test LP_29MS'!I16</f>
        <v>24.366007735426525</v>
      </c>
      <c r="J16" s="163">
        <f>'[2]ComEd - test LP_29MS'!J16</f>
        <v>24.102798997411789</v>
      </c>
      <c r="K16" s="163">
        <f>'[2]ComEd - test LP_29MS'!K16</f>
        <v>22.354179728555131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'[2]ComEd - test LP_29MS'!G17</f>
        <v>23.713415236615624</v>
      </c>
      <c r="H17" s="163">
        <f>'[2]ComEd - test LP_29MS'!H17</f>
        <v>24.145545822095706</v>
      </c>
      <c r="I17" s="163">
        <f>'[2]ComEd - test LP_29MS'!I17</f>
        <v>24.502670463900387</v>
      </c>
      <c r="J17" s="163">
        <f>'[2]ComEd - test LP_29MS'!J17</f>
        <v>23.883715944029166</v>
      </c>
      <c r="K17" s="163">
        <f>'[2]ComEd - test LP_29MS'!K17</f>
        <v>22.23095902483497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'[2]ComEd - test LP_29MS'!G18</f>
        <v>23.8973338837142</v>
      </c>
      <c r="H18" s="163">
        <f>'[2]ComEd - test LP_29MS'!H18</f>
        <v>24.247119670098662</v>
      </c>
      <c r="I18" s="163">
        <f>'[2]ComEd - test LP_29MS'!I18</f>
        <v>24.64788729612253</v>
      </c>
      <c r="J18" s="163">
        <f>'[2]ComEd - test LP_29MS'!J18</f>
        <v>23.670688211938312</v>
      </c>
      <c r="K18" s="163">
        <f>'[2]ComEd - test LP_29MS'!K18</f>
        <v>22.112827707110963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'[2]ComEd - test LP_29MS'!G19</f>
        <v>24.141527313015683</v>
      </c>
      <c r="H19" s="163">
        <f>'[2]ComEd - test LP_29MS'!H19</f>
        <v>24.38081293813412</v>
      </c>
      <c r="I19" s="163">
        <f>'[2]ComEd - test LP_29MS'!I19</f>
        <v>24.823646380323279</v>
      </c>
      <c r="J19" s="163">
        <f>'[2]ComEd - test LP_29MS'!J19</f>
        <v>23.464994604829688</v>
      </c>
      <c r="K19" s="163">
        <f>'[2]ComEd - test LP_29MS'!K19</f>
        <v>21.990034646938287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'[2]ComEd - test LP_29MS'!G20</f>
        <v>24.335360275086899</v>
      </c>
      <c r="H20" s="163">
        <f>'[2]ComEd - test LP_29MS'!H20</f>
        <v>24.497252098541495</v>
      </c>
      <c r="I20" s="163">
        <f>'[2]ComEd - test LP_29MS'!I20</f>
        <v>24.965617498023569</v>
      </c>
      <c r="J20" s="163">
        <f>'[2]ComEd - test LP_29MS'!J20</f>
        <v>23.245916292648154</v>
      </c>
      <c r="K20" s="163">
        <f>'[2]ComEd - test LP_29MS'!K20</f>
        <v>21.860719606549022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6S/Jrnro/vVQgVDolUbu4fiRQJK9xooe9TKqg8yDbiwHhrU0glNy7DAQqt0PRcgiFzC3UggjzmBDypJ0pgOEJA==" saltValue="KzZoJU2/eA1gcuESxZFbLw==" spinCount="100000" sheet="1" scenarios="1" autoFilter="0"/>
  <dataConsolidate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105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155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686</v>
      </c>
      <c r="D7" s="211"/>
      <c r="E7" s="211"/>
      <c r="F7" s="205"/>
      <c r="G7" s="157">
        <v>53.93</v>
      </c>
      <c r="H7" s="157">
        <v>51.46</v>
      </c>
      <c r="I7" s="157">
        <v>54.35</v>
      </c>
      <c r="J7" s="157">
        <v>55.15</v>
      </c>
      <c r="K7" s="157">
        <v>57.64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[2]DAY_RC_843MS!G8</f>
        <v>11.627263791155027</v>
      </c>
      <c r="H8" s="163">
        <f>[2]DAY_RC_843MS!H8</f>
        <v>15.335286769688913</v>
      </c>
      <c r="I8" s="163">
        <f>[2]DAY_RC_843MS!I8</f>
        <v>16.361470947879049</v>
      </c>
      <c r="J8" s="163">
        <f>[2]DAY_RC_843MS!J8</f>
        <v>17.341574012824875</v>
      </c>
      <c r="K8" s="163">
        <f>[2]DAY_RC_843MS!K8</f>
        <v>17.334417620456573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[2]DAY_RC_843MS!G9</f>
        <v>12.486545302098683</v>
      </c>
      <c r="H9" s="163">
        <f>[2]DAY_RC_843MS!H9</f>
        <v>15.920473162351081</v>
      </c>
      <c r="I9" s="163">
        <f>[2]DAY_RC_843MS!I9</f>
        <v>16.707351856554968</v>
      </c>
      <c r="J9" s="163">
        <f>[2]DAY_RC_843MS!J9</f>
        <v>17.667850999587216</v>
      </c>
      <c r="K9" s="163">
        <f>[2]DAY_RC_843MS!K9</f>
        <v>17.404010100197638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[2]DAY_RC_843MS!G10</f>
        <v>14.61742878591382</v>
      </c>
      <c r="H10" s="163">
        <f>[2]DAY_RC_843MS!H10</f>
        <v>16.577647385125836</v>
      </c>
      <c r="I10" s="163">
        <f>[2]DAY_RC_843MS!I10</f>
        <v>17.53156249733189</v>
      </c>
      <c r="J10" s="163">
        <f>[2]DAY_RC_843MS!J10</f>
        <v>18.049504830521599</v>
      </c>
      <c r="K10" s="163">
        <f>[2]DAY_RC_843MS!K10</f>
        <v>17.517697965218552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[2]DAY_RC_843MS!G11</f>
        <v>15.984464045510942</v>
      </c>
      <c r="H11" s="163">
        <f>[2]DAY_RC_843MS!H11</f>
        <v>17.109947892913183</v>
      </c>
      <c r="I11" s="163">
        <f>[2]DAY_RC_843MS!I11</f>
        <v>18.041019708325262</v>
      </c>
      <c r="J11" s="163">
        <f>[2]DAY_RC_843MS!J11</f>
        <v>18.34691850850102</v>
      </c>
      <c r="K11" s="163">
        <f>[2]DAY_RC_843MS!K11</f>
        <v>17.584673598713518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[2]DAY_RC_843MS!G12</f>
        <v>18.047103801577787</v>
      </c>
      <c r="H12" s="163">
        <f>[2]DAY_RC_843MS!H12</f>
        <v>17.739411569288912</v>
      </c>
      <c r="I12" s="163">
        <f>[2]DAY_RC_843MS!I12</f>
        <v>18.829304711453759</v>
      </c>
      <c r="J12" s="163">
        <f>[2]DAY_RC_843MS!J12</f>
        <v>18.677512210402224</v>
      </c>
      <c r="K12" s="163">
        <f>[2]DAY_RC_843MS!K12</f>
        <v>17.661938232561489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[2]DAY_RC_843MS!G13</f>
        <v>18.539044062115909</v>
      </c>
      <c r="H13" s="163">
        <f>[2]DAY_RC_843MS!H13</f>
        <v>18.214908094462633</v>
      </c>
      <c r="I13" s="163">
        <f>[2]DAY_RC_843MS!I13</f>
        <v>19.071751804321568</v>
      </c>
      <c r="J13" s="163">
        <f>[2]DAY_RC_843MS!J13</f>
        <v>18.982197524130541</v>
      </c>
      <c r="K13" s="163">
        <f>[2]DAY_RC_843MS!K13</f>
        <v>17.740723058491458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[2]DAY_RC_843MS!G14</f>
        <v>19.298516555707636</v>
      </c>
      <c r="H14" s="163">
        <f>[2]DAY_RC_843MS!H14</f>
        <v>18.798021867527208</v>
      </c>
      <c r="I14" s="163">
        <f>[2]DAY_RC_843MS!I14</f>
        <v>19.329129550795169</v>
      </c>
      <c r="J14" s="163">
        <f>[2]DAY_RC_843MS!J14</f>
        <v>19.330497451423316</v>
      </c>
      <c r="K14" s="163">
        <f>[2]DAY_RC_843MS!K14</f>
        <v>17.832947346700404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[2]DAY_RC_843MS!G15</f>
        <v>19.327374055422833</v>
      </c>
      <c r="H15" s="163">
        <f>[2]DAY_RC_843MS!H15</f>
        <v>18.802111137540592</v>
      </c>
      <c r="I15" s="163">
        <f>[2]DAY_RC_843MS!I15</f>
        <v>19.384818826158842</v>
      </c>
      <c r="J15" s="163">
        <f>[2]DAY_RC_843MS!J15</f>
        <v>19.118872469464428</v>
      </c>
      <c r="K15" s="163">
        <f>[2]DAY_RC_843MS!K15</f>
        <v>17.707323015572317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[2]DAY_RC_843MS!G16</f>
        <v>18.378462440484352</v>
      </c>
      <c r="H16" s="163">
        <f>[2]DAY_RC_843MS!H16</f>
        <v>18.919298164202058</v>
      </c>
      <c r="I16" s="163">
        <f>[2]DAY_RC_843MS!I16</f>
        <v>19.128838820493808</v>
      </c>
      <c r="J16" s="163">
        <f>[2]DAY_RC_843MS!J16</f>
        <v>18.975217997384775</v>
      </c>
      <c r="K16" s="163">
        <f>[2]DAY_RC_843MS!K16</f>
        <v>17.618535558156132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[2]DAY_RC_843MS!G17</f>
        <v>18.085687307075482</v>
      </c>
      <c r="H17" s="163">
        <f>[2]DAY_RC_843MS!H17</f>
        <v>18.989067235944752</v>
      </c>
      <c r="I17" s="163">
        <f>[2]DAY_RC_843MS!I17</f>
        <v>19.05797796445276</v>
      </c>
      <c r="J17" s="163">
        <f>[2]DAY_RC_843MS!J17</f>
        <v>18.775044464585605</v>
      </c>
      <c r="K17" s="163">
        <f>[2]DAY_RC_843MS!K17</f>
        <v>17.48907786660553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[2]DAY_RC_843MS!G18</f>
        <v>17.515316311222534</v>
      </c>
      <c r="H18" s="163">
        <f>[2]DAY_RC_843MS!H18</f>
        <v>19.157647819215221</v>
      </c>
      <c r="I18" s="163">
        <f>[2]DAY_RC_843MS!I18</f>
        <v>18.844867873413982</v>
      </c>
      <c r="J18" s="163">
        <f>[2]DAY_RC_843MS!J18</f>
        <v>18.641499031849069</v>
      </c>
      <c r="K18" s="163">
        <f>[2]DAY_RC_843MS!K18</f>
        <v>17.417306436848641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[2]DAY_RC_843MS!G19</f>
        <v>17.933743934695418</v>
      </c>
      <c r="H19" s="163">
        <f>[2]DAY_RC_843MS!H19</f>
        <v>19.320929787558271</v>
      </c>
      <c r="I19" s="163">
        <f>[2]DAY_RC_843MS!I19</f>
        <v>19.116353599023917</v>
      </c>
      <c r="J19" s="163">
        <f>[2]DAY_RC_843MS!J19</f>
        <v>18.517401819898584</v>
      </c>
      <c r="K19" s="163">
        <f>[2]DAY_RC_843MS!K19</f>
        <v>17.337924214249139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[2]DAY_RC_843MS!G20</f>
        <v>18.333190501688225</v>
      </c>
      <c r="H20" s="163">
        <f>[2]DAY_RC_843MS!H20</f>
        <v>19.343897598859911</v>
      </c>
      <c r="I20" s="163">
        <f>[2]DAY_RC_843MS!I20</f>
        <v>19.340639641909632</v>
      </c>
      <c r="J20" s="163">
        <f>[2]DAY_RC_843MS!J20</f>
        <v>18.33081847886665</v>
      </c>
      <c r="K20" s="163">
        <f>[2]DAY_RC_843MS!K20</f>
        <v>17.229284663819293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DQi7yDiLX3yNiJH3A58vZHloLT3txJlIZL/dPVSISvI3nTO8NV4SRf0vc8ZYGsAC7FAvIiMdVNJaMo/+KGSMpg==" saltValue="jHegrw4DKPnoGRg9yt1xxQ==" spinCount="100000" sheet="1" scenarios="1" autoFilter="0"/>
  <dataConsolidate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683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159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82.35</v>
      </c>
      <c r="H7" s="157">
        <v>83.98</v>
      </c>
      <c r="I7" s="157">
        <v>82.58</v>
      </c>
      <c r="J7" s="157">
        <v>81.16</v>
      </c>
      <c r="K7" s="157">
        <v>81.27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'[2]Delmarva MD LP_MDGS_MMS'!G8</f>
        <v>41.770935761937316</v>
      </c>
      <c r="H8" s="163">
        <f>'[2]Delmarva MD LP_MDGS_MMS'!H8</f>
        <v>35.06665308603602</v>
      </c>
      <c r="I8" s="163">
        <f>'[2]Delmarva MD LP_MDGS_MMS'!I8</f>
        <v>33.966923247331643</v>
      </c>
      <c r="J8" s="163">
        <f>'[2]Delmarva MD LP_MDGS_MMS'!J8</f>
        <v>33.290139237439213</v>
      </c>
      <c r="K8" s="163">
        <f>'[2]Delmarva MD LP_MDGS_MMS'!K8</f>
        <v>32.562777451861152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'[2]Delmarva MD LP_MDGS_MMS'!G9</f>
        <v>39.029428134009351</v>
      </c>
      <c r="H9" s="163">
        <f>'[2]Delmarva MD LP_MDGS_MMS'!H9</f>
        <v>34.277451002085577</v>
      </c>
      <c r="I9" s="163">
        <f>'[2]Delmarva MD LP_MDGS_MMS'!I9</f>
        <v>33.335571607550094</v>
      </c>
      <c r="J9" s="163">
        <f>'[2]Delmarva MD LP_MDGS_MMS'!J9</f>
        <v>32.994985363970784</v>
      </c>
      <c r="K9" s="163">
        <f>'[2]Delmarva MD LP_MDGS_MMS'!K9</f>
        <v>32.265711377476684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'[2]Delmarva MD LP_MDGS_MMS'!G10</f>
        <v>36.166852662401041</v>
      </c>
      <c r="H10" s="163">
        <f>'[2]Delmarva MD LP_MDGS_MMS'!H10</f>
        <v>33.421234239515947</v>
      </c>
      <c r="I10" s="163">
        <f>'[2]Delmarva MD LP_MDGS_MMS'!I10</f>
        <v>32.587127195699438</v>
      </c>
      <c r="J10" s="163">
        <f>'[2]Delmarva MD LP_MDGS_MMS'!J10</f>
        <v>32.689961933556312</v>
      </c>
      <c r="K10" s="163">
        <f>'[2]Delmarva MD LP_MDGS_MMS'!K10</f>
        <v>31.95725164042161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'[2]Delmarva MD LP_MDGS_MMS'!G11</f>
        <v>33.845002650857538</v>
      </c>
      <c r="H11" s="163">
        <f>'[2]Delmarva MD LP_MDGS_MMS'!H11</f>
        <v>32.688928020451144</v>
      </c>
      <c r="I11" s="163">
        <f>'[2]Delmarva MD LP_MDGS_MMS'!I11</f>
        <v>31.990133601255977</v>
      </c>
      <c r="J11" s="163">
        <f>'[2]Delmarva MD LP_MDGS_MMS'!J11</f>
        <v>32.436948189152389</v>
      </c>
      <c r="K11" s="163">
        <f>'[2]Delmarva MD LP_MDGS_MMS'!K11</f>
        <v>31.689372571225544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'[2]Delmarva MD LP_MDGS_MMS'!G12</f>
        <v>31.871062439638155</v>
      </c>
      <c r="H12" s="163">
        <f>'[2]Delmarva MD LP_MDGS_MMS'!H12</f>
        <v>31.84545026855351</v>
      </c>
      <c r="I12" s="163">
        <f>'[2]Delmarva MD LP_MDGS_MMS'!I12</f>
        <v>31.376646182402059</v>
      </c>
      <c r="J12" s="163">
        <f>'[2]Delmarva MD LP_MDGS_MMS'!J12</f>
        <v>32.142031275389982</v>
      </c>
      <c r="K12" s="163">
        <f>'[2]Delmarva MD LP_MDGS_MMS'!K12</f>
        <v>31.382589244617701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'[2]Delmarva MD LP_MDGS_MMS'!G13</f>
        <v>30.305402903883557</v>
      </c>
      <c r="H13" s="163">
        <f>'[2]Delmarva MD LP_MDGS_MMS'!H13</f>
        <v>31.042698394806152</v>
      </c>
      <c r="I13" s="163">
        <f>'[2]Delmarva MD LP_MDGS_MMS'!I13</f>
        <v>30.936907643183766</v>
      </c>
      <c r="J13" s="163">
        <f>'[2]Delmarva MD LP_MDGS_MMS'!J13</f>
        <v>31.858458199728048</v>
      </c>
      <c r="K13" s="163">
        <f>'[2]Delmarva MD LP_MDGS_MMS'!K13</f>
        <v>31.091047971831262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'[2]Delmarva MD LP_MDGS_MMS'!G14</f>
        <v>29.154953252742644</v>
      </c>
      <c r="H14" s="163">
        <f>'[2]Delmarva MD LP_MDGS_MMS'!H14</f>
        <v>30.306469123966686</v>
      </c>
      <c r="I14" s="163">
        <f>'[2]Delmarva MD LP_MDGS_MMS'!I14</f>
        <v>30.699342325003059</v>
      </c>
      <c r="J14" s="163">
        <f>'[2]Delmarva MD LP_MDGS_MMS'!J14</f>
        <v>31.594759103537353</v>
      </c>
      <c r="K14" s="163">
        <f>'[2]Delmarva MD LP_MDGS_MMS'!K14</f>
        <v>30.799690533718621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'[2]Delmarva MD LP_MDGS_MMS'!G15</f>
        <v>29.811810631770172</v>
      </c>
      <c r="H15" s="163">
        <f>'[2]Delmarva MD LP_MDGS_MMS'!H15</f>
        <v>30.568763028974505</v>
      </c>
      <c r="I15" s="163">
        <f>'[2]Delmarva MD LP_MDGS_MMS'!I15</f>
        <v>31.070484562893874</v>
      </c>
      <c r="J15" s="163">
        <f>'[2]Delmarva MD LP_MDGS_MMS'!J15</f>
        <v>31.576137280855971</v>
      </c>
      <c r="K15" s="163">
        <f>'[2]Delmarva MD LP_MDGS_MMS'!K15</f>
        <v>30.81821012631589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'[2]Delmarva MD LP_MDGS_MMS'!G16</f>
        <v>30.601550576413963</v>
      </c>
      <c r="H16" s="163">
        <f>'[2]Delmarva MD LP_MDGS_MMS'!H16</f>
        <v>30.767567616136038</v>
      </c>
      <c r="I16" s="163">
        <f>'[2]Delmarva MD LP_MDGS_MMS'!I16</f>
        <v>31.511762049659421</v>
      </c>
      <c r="J16" s="163">
        <f>'[2]Delmarva MD LP_MDGS_MMS'!J16</f>
        <v>31.529301638424894</v>
      </c>
      <c r="K16" s="163">
        <f>'[2]Delmarva MD LP_MDGS_MMS'!K16</f>
        <v>30.831519514964672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'[2]Delmarva MD LP_MDGS_MMS'!G17</f>
        <v>31.374064561774325</v>
      </c>
      <c r="H17" s="163">
        <f>'[2]Delmarva MD LP_MDGS_MMS'!H17</f>
        <v>30.999398938865944</v>
      </c>
      <c r="I17" s="163">
        <f>'[2]Delmarva MD LP_MDGS_MMS'!I17</f>
        <v>31.928012946006735</v>
      </c>
      <c r="J17" s="163">
        <f>'[2]Delmarva MD LP_MDGS_MMS'!J17</f>
        <v>31.489548894433437</v>
      </c>
      <c r="K17" s="163">
        <f>'[2]Delmarva MD LP_MDGS_MMS'!K17</f>
        <v>30.841783533260028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'[2]Delmarva MD LP_MDGS_MMS'!G18</f>
        <v>31.815442744798474</v>
      </c>
      <c r="H18" s="163">
        <f>'[2]Delmarva MD LP_MDGS_MMS'!H18</f>
        <v>31.109808467293689</v>
      </c>
      <c r="I18" s="163">
        <f>'[2]Delmarva MD LP_MDGS_MMS'!I18</f>
        <v>32.241948606803824</v>
      </c>
      <c r="J18" s="163">
        <f>'[2]Delmarva MD LP_MDGS_MMS'!J18</f>
        <v>31.4103205140587</v>
      </c>
      <c r="K18" s="163">
        <f>'[2]Delmarva MD LP_MDGS_MMS'!K18</f>
        <v>30.829699698760582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'[2]Delmarva MD LP_MDGS_MMS'!G19</f>
        <v>31.921578896109157</v>
      </c>
      <c r="H19" s="163">
        <f>'[2]Delmarva MD LP_MDGS_MMS'!H19</f>
        <v>31.279925796563077</v>
      </c>
      <c r="I19" s="163">
        <f>'[2]Delmarva MD LP_MDGS_MMS'!I19</f>
        <v>32.437684291685571</v>
      </c>
      <c r="J19" s="163">
        <f>'[2]Delmarva MD LP_MDGS_MMS'!J19</f>
        <v>31.353210802254786</v>
      </c>
      <c r="K19" s="163">
        <f>'[2]Delmarva MD LP_MDGS_MMS'!K19</f>
        <v>30.820414786987111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'[2]Delmarva MD LP_MDGS_MMS'!G20</f>
        <v>31.615105177988767</v>
      </c>
      <c r="H20" s="163">
        <f>'[2]Delmarva MD LP_MDGS_MMS'!H20</f>
        <v>31.518019167619666</v>
      </c>
      <c r="I20" s="163">
        <f>'[2]Delmarva MD LP_MDGS_MMS'!I20</f>
        <v>32.474275911186801</v>
      </c>
      <c r="J20" s="163">
        <f>'[2]Delmarva MD LP_MDGS_MMS'!J20</f>
        <v>31.315395382323402</v>
      </c>
      <c r="K20" s="163">
        <f>'[2]Delmarva MD LP_MDGS_MMS'!K20</f>
        <v>30.805524968620215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KWeVPAKIhDefowGJcHMxX3b5mn22Jt0mGUnjQ8x6zK1jdtE6mV995r77EViCZxADQJQeQEM3K1wRmkkZXa1yPg==" saltValue="1gZijU3e+dAGS/iqAasxN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rgb="FF00B0F0"/>
  </sheetPr>
  <dimension ref="A1:BJ43"/>
  <sheetViews>
    <sheetView zoomScale="85" zoomScaleNormal="85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660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161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54.89</v>
      </c>
      <c r="H7" s="157">
        <v>54.28</v>
      </c>
      <c r="I7" s="157">
        <v>56.61</v>
      </c>
      <c r="J7" s="157">
        <v>57.99</v>
      </c>
      <c r="K7" s="157">
        <v>60.47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'[2]DQE LP_GSGM_MMS (2)'!G8</f>
        <v>16.43553641734912</v>
      </c>
      <c r="H8" s="163">
        <f>'[2]DQE LP_GSGM_MMS (2)'!H8</f>
        <v>19.97317759976789</v>
      </c>
      <c r="I8" s="163">
        <f>'[2]DQE LP_GSGM_MMS (2)'!I8</f>
        <v>21.242169377139714</v>
      </c>
      <c r="J8" s="163">
        <f>'[2]DQE LP_GSGM_MMS (2)'!J8</f>
        <v>21.928752205626733</v>
      </c>
      <c r="K8" s="163">
        <f>'[2]DQE LP_GSGM_MMS (2)'!K8</f>
        <v>21.839630276429535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'[2]DQE LP_GSGM_MMS (2)'!G9</f>
        <v>17.721493944418768</v>
      </c>
      <c r="H9" s="163">
        <f>'[2]DQE LP_GSGM_MMS (2)'!H9</f>
        <v>20.577661409816969</v>
      </c>
      <c r="I9" s="163">
        <f>'[2]DQE LP_GSGM_MMS (2)'!I9</f>
        <v>21.697116477886919</v>
      </c>
      <c r="J9" s="163">
        <f>'[2]DQE LP_GSGM_MMS (2)'!J9</f>
        <v>22.255134667566978</v>
      </c>
      <c r="K9" s="163">
        <f>'[2]DQE LP_GSGM_MMS (2)'!K9</f>
        <v>21.914800333895574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'[2]DQE LP_GSGM_MMS (2)'!G10</f>
        <v>18.92333599942954</v>
      </c>
      <c r="H10" s="163">
        <f>'[2]DQE LP_GSGM_MMS (2)'!H10</f>
        <v>21.203553568480057</v>
      </c>
      <c r="I10" s="163">
        <f>'[2]DQE LP_GSGM_MMS (2)'!I10</f>
        <v>22.108999188809094</v>
      </c>
      <c r="J10" s="163">
        <f>'[2]DQE LP_GSGM_MMS (2)'!J10</f>
        <v>22.599445564829516</v>
      </c>
      <c r="K10" s="163">
        <f>'[2]DQE LP_GSGM_MMS (2)'!K10</f>
        <v>21.99927873650304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'[2]DQE LP_GSGM_MMS (2)'!G11</f>
        <v>19.939382295934291</v>
      </c>
      <c r="H11" s="163">
        <f>'[2]DQE LP_GSGM_MMS (2)'!H11</f>
        <v>21.760077368438424</v>
      </c>
      <c r="I11" s="163">
        <f>'[2]DQE LP_GSGM_MMS (2)'!I11</f>
        <v>22.456128542548953</v>
      </c>
      <c r="J11" s="163">
        <f>'[2]DQE LP_GSGM_MMS (2)'!J11</f>
        <v>22.906832898099349</v>
      </c>
      <c r="K11" s="163">
        <f>'[2]DQE LP_GSGM_MMS (2)'!K11</f>
        <v>22.074237373286852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'[2]DQE LP_GSGM_MMS (2)'!G12</f>
        <v>21.031454794473404</v>
      </c>
      <c r="H12" s="163">
        <f>'[2]DQE LP_GSGM_MMS (2)'!H12</f>
        <v>22.370425646802282</v>
      </c>
      <c r="I12" s="163">
        <f>'[2]DQE LP_GSGM_MMS (2)'!I12</f>
        <v>22.854416453872695</v>
      </c>
      <c r="J12" s="163">
        <f>'[2]DQE LP_GSGM_MMS (2)'!J12</f>
        <v>23.232828470682374</v>
      </c>
      <c r="K12" s="163">
        <f>'[2]DQE LP_GSGM_MMS (2)'!K12</f>
        <v>22.147460975343151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'[2]DQE LP_GSGM_MMS (2)'!G13</f>
        <v>22.169879831114311</v>
      </c>
      <c r="H13" s="163">
        <f>'[2]DQE LP_GSGM_MMS (2)'!H13</f>
        <v>22.962299357127641</v>
      </c>
      <c r="I13" s="163">
        <f>'[2]DQE LP_GSGM_MMS (2)'!I13</f>
        <v>23.277072638964359</v>
      </c>
      <c r="J13" s="163">
        <f>'[2]DQE LP_GSGM_MMS (2)'!J13</f>
        <v>23.561417231441762</v>
      </c>
      <c r="K13" s="163">
        <f>'[2]DQE LP_GSGM_MMS (2)'!K13</f>
        <v>22.228964086430413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'[2]DQE LP_GSGM_MMS (2)'!G14</f>
        <v>23.336374739111218</v>
      </c>
      <c r="H14" s="163">
        <f>'[2]DQE LP_GSGM_MMS (2)'!H14</f>
        <v>23.586037547404189</v>
      </c>
      <c r="I14" s="163">
        <f>'[2]DQE LP_GSGM_MMS (2)'!I14</f>
        <v>23.69807948525246</v>
      </c>
      <c r="J14" s="163">
        <f>'[2]DQE LP_GSGM_MMS (2)'!J14</f>
        <v>23.884493379415641</v>
      </c>
      <c r="K14" s="163">
        <f>'[2]DQE LP_GSGM_MMS (2)'!K14</f>
        <v>22.29594968705679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'[2]DQE LP_GSGM_MMS (2)'!G15</f>
        <v>23.240371736799514</v>
      </c>
      <c r="H15" s="163">
        <f>'[2]DQE LP_GSGM_MMS (2)'!H15</f>
        <v>23.615410472124307</v>
      </c>
      <c r="I15" s="163">
        <f>'[2]DQE LP_GSGM_MMS (2)'!I15</f>
        <v>23.696220211657305</v>
      </c>
      <c r="J15" s="163">
        <f>'[2]DQE LP_GSGM_MMS (2)'!J15</f>
        <v>23.694021406741953</v>
      </c>
      <c r="K15" s="163">
        <f>'[2]DQE LP_GSGM_MMS (2)'!K15</f>
        <v>22.184360057410373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'[2]DQE LP_GSGM_MMS (2)'!G16</f>
        <v>23.3901472337398</v>
      </c>
      <c r="H16" s="163">
        <f>'[2]DQE LP_GSGM_MMS (2)'!H16</f>
        <v>23.666299120489793</v>
      </c>
      <c r="I16" s="163">
        <f>'[2]DQE LP_GSGM_MMS (2)'!I16</f>
        <v>23.790171144526823</v>
      </c>
      <c r="J16" s="163">
        <f>'[2]DQE LP_GSGM_MMS (2)'!J16</f>
        <v>23.510685781597982</v>
      </c>
      <c r="K16" s="163">
        <f>'[2]DQE LP_GSGM_MMS (2)'!K16</f>
        <v>22.076346333974637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'[2]DQE LP_GSGM_MMS (2)'!G17</f>
        <v>23.629390238369503</v>
      </c>
      <c r="H17" s="163">
        <f>'[2]DQE LP_GSGM_MMS (2)'!H17</f>
        <v>23.72969899362046</v>
      </c>
      <c r="I17" s="163">
        <f>'[2]DQE LP_GSGM_MMS (2)'!I17</f>
        <v>23.911288559880976</v>
      </c>
      <c r="J17" s="163">
        <f>'[2]DQE LP_GSGM_MMS (2)'!J17</f>
        <v>23.32758410002225</v>
      </c>
      <c r="K17" s="163">
        <f>'[2]DQE LP_GSGM_MMS (2)'!K17</f>
        <v>21.968525664787812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'[2]DQE LP_GSGM_MMS (2)'!G18</f>
        <v>23.759185863736594</v>
      </c>
      <c r="H18" s="163">
        <f>'[2]DQE LP_GSGM_MMS (2)'!H18</f>
        <v>23.782085900148154</v>
      </c>
      <c r="I18" s="163">
        <f>'[2]DQE LP_GSGM_MMS (2)'!I18</f>
        <v>23.9828773523042</v>
      </c>
      <c r="J18" s="163">
        <f>'[2]DQE LP_GSGM_MMS (2)'!J18</f>
        <v>23.149315305840862</v>
      </c>
      <c r="K18" s="163">
        <f>'[2]DQE LP_GSGM_MMS (2)'!K18</f>
        <v>21.865754170364585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'[2]DQE LP_GSGM_MMS (2)'!G19</f>
        <v>23.799783692305095</v>
      </c>
      <c r="H19" s="163">
        <f>'[2]DQE LP_GSGM_MMS (2)'!H19</f>
        <v>23.846111199459866</v>
      </c>
      <c r="I19" s="163">
        <f>'[2]DQE LP_GSGM_MMS (2)'!I19</f>
        <v>24.041701721355015</v>
      </c>
      <c r="J19" s="163">
        <f>'[2]DQE LP_GSGM_MMS (2)'!J19</f>
        <v>22.96682838584158</v>
      </c>
      <c r="K19" s="163">
        <f>'[2]DQE LP_GSGM_MMS (2)'!K19</f>
        <v>21.752446496783509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'[2]DQE LP_GSGM_MMS (2)'!G20</f>
        <v>23.848950201478743</v>
      </c>
      <c r="H20" s="163">
        <f>'[2]DQE LP_GSGM_MMS (2)'!H20</f>
        <v>23.88341733123729</v>
      </c>
      <c r="I20" s="163">
        <f>'[2]DQE LP_GSGM_MMS (2)'!I20</f>
        <v>24.07295374811422</v>
      </c>
      <c r="J20" s="163">
        <f>'[2]DQE LP_GSGM_MMS (2)'!J20</f>
        <v>22.77140975496825</v>
      </c>
      <c r="K20" s="163">
        <f>'[2]DQE LP_GSGM_MMS (2)'!K20</f>
        <v>21.634015611553231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dataConsolidate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rgb="FF00B0F0"/>
  </sheetPr>
  <dimension ref="A1:BJ42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684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163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46.56</v>
      </c>
      <c r="H7" s="159">
        <v>45.8</v>
      </c>
      <c r="I7" s="157">
        <v>48.64</v>
      </c>
      <c r="J7" s="157">
        <v>50.35</v>
      </c>
      <c r="K7" s="157">
        <v>53.27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[2]Duke_OH_RC_DS01MS!G8</f>
        <v>9.0236455570837215</v>
      </c>
      <c r="H8" s="163">
        <f>[2]Duke_OH_RC_DS01MS!H8</f>
        <v>13.25702149753544</v>
      </c>
      <c r="I8" s="163">
        <f>[2]Duke_OH_RC_DS01MS!I8</f>
        <v>14.858267086969088</v>
      </c>
      <c r="J8" s="163">
        <f>[2]Duke_OH_RC_DS01MS!J8</f>
        <v>15.647126772704809</v>
      </c>
      <c r="K8" s="163">
        <f>[2]Duke_OH_RC_DS01MS!K8</f>
        <v>15.47191404180311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[2]Duke_OH_RC_DS01MS!G9</f>
        <v>10.419060488805373</v>
      </c>
      <c r="H9" s="163">
        <f>[2]Duke_OH_RC_DS01MS!H9</f>
        <v>13.991286761162739</v>
      </c>
      <c r="I9" s="163">
        <f>[2]Duke_OH_RC_DS01MS!I9</f>
        <v>15.319101428833335</v>
      </c>
      <c r="J9" s="163">
        <f>[2]Duke_OH_RC_DS01MS!J9</f>
        <v>16.050550644068771</v>
      </c>
      <c r="K9" s="163">
        <f>[2]Duke_OH_RC_DS01MS!K9</f>
        <v>15.551164167393237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[2]Duke_OH_RC_DS01MS!G10</f>
        <v>11.713853217060986</v>
      </c>
      <c r="H10" s="163">
        <f>[2]Duke_OH_RC_DS01MS!H10</f>
        <v>14.73257628913173</v>
      </c>
      <c r="I10" s="163">
        <f>[2]Duke_OH_RC_DS01MS!I10</f>
        <v>15.720046825908591</v>
      </c>
      <c r="J10" s="163">
        <f>[2]Duke_OH_RC_DS01MS!J10</f>
        <v>16.459512437900312</v>
      </c>
      <c r="K10" s="163">
        <f>[2]Duke_OH_RC_DS01MS!K10</f>
        <v>15.630427868893392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[2]Duke_OH_RC_DS01MS!G11</f>
        <v>12.915762433483797</v>
      </c>
      <c r="H11" s="163">
        <f>[2]Duke_OH_RC_DS01MS!H11</f>
        <v>15.399098510901577</v>
      </c>
      <c r="I11" s="163">
        <f>[2]Duke_OH_RC_DS01MS!I11</f>
        <v>16.124826357455401</v>
      </c>
      <c r="J11" s="163">
        <f>[2]Duke_OH_RC_DS01MS!J11</f>
        <v>16.829694125095504</v>
      </c>
      <c r="K11" s="163">
        <f>[2]Duke_OH_RC_DS01MS!K11</f>
        <v>15.703125685234712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[2]Duke_OH_RC_DS01MS!G12</f>
        <v>14.148748295886254</v>
      </c>
      <c r="H12" s="163">
        <f>[2]Duke_OH_RC_DS01MS!H12</f>
        <v>16.126915935469231</v>
      </c>
      <c r="I12" s="163">
        <f>[2]Duke_OH_RC_DS01MS!I12</f>
        <v>16.571006083089554</v>
      </c>
      <c r="J12" s="163">
        <f>[2]Duke_OH_RC_DS01MS!J12</f>
        <v>17.229762869897311</v>
      </c>
      <c r="K12" s="163">
        <f>[2]Duke_OH_RC_DS01MS!K12</f>
        <v>15.780159289958462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[2]Duke_OH_RC_DS01MS!G13</f>
        <v>15.460192033337993</v>
      </c>
      <c r="H13" s="163">
        <f>[2]Duke_OH_RC_DS01MS!H13</f>
        <v>16.853890087019629</v>
      </c>
      <c r="I13" s="163">
        <f>[2]Duke_OH_RC_DS01MS!I13</f>
        <v>17.079198320896111</v>
      </c>
      <c r="J13" s="163">
        <f>[2]Duke_OH_RC_DS01MS!J13</f>
        <v>17.633926885428917</v>
      </c>
      <c r="K13" s="163">
        <f>[2]Duke_OH_RC_DS01MS!K13</f>
        <v>15.866118112924179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[2]Duke_OH_RC_DS01MS!G14</f>
        <v>17.034790123230529</v>
      </c>
      <c r="H14" s="163">
        <f>[2]Duke_OH_RC_DS01MS!H14</f>
        <v>17.611636499730167</v>
      </c>
      <c r="I14" s="163">
        <f>[2]Duke_OH_RC_DS01MS!I14</f>
        <v>17.687657512058948</v>
      </c>
      <c r="J14" s="163">
        <f>[2]Duke_OH_RC_DS01MS!J14</f>
        <v>18.042661917607276</v>
      </c>
      <c r="K14" s="163">
        <f>[2]Duke_OH_RC_DS01MS!K14</f>
        <v>15.944913639532512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[2]Duke_OH_RC_DS01MS!G15</f>
        <v>17.398467826168819</v>
      </c>
      <c r="H15" s="163">
        <f>[2]Duke_OH_RC_DS01MS!H15</f>
        <v>17.722941279668365</v>
      </c>
      <c r="I15" s="163">
        <f>[2]Duke_OH_RC_DS01MS!I15</f>
        <v>17.867241568786504</v>
      </c>
      <c r="J15" s="163">
        <f>[2]Duke_OH_RC_DS01MS!J15</f>
        <v>17.817971356980369</v>
      </c>
      <c r="K15" s="163">
        <f>[2]Duke_OH_RC_DS01MS!K15</f>
        <v>15.799651899173227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[2]Duke_OH_RC_DS01MS!G16</f>
        <v>17.919579512583166</v>
      </c>
      <c r="H16" s="163">
        <f>[2]Duke_OH_RC_DS01MS!H16</f>
        <v>17.784655905411217</v>
      </c>
      <c r="I16" s="163">
        <f>[2]Duke_OH_RC_DS01MS!I16</f>
        <v>18.097752976454249</v>
      </c>
      <c r="J16" s="163">
        <f>[2]Duke_OH_RC_DS01MS!J16</f>
        <v>17.574992994652685</v>
      </c>
      <c r="K16" s="163">
        <f>[2]Duke_OH_RC_DS01MS!K16</f>
        <v>15.649508986851544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[2]Duke_OH_RC_DS01MS!G17</f>
        <v>18.291894962582361</v>
      </c>
      <c r="H17" s="163">
        <f>[2]Duke_OH_RC_DS01MS!H17</f>
        <v>17.856763496329545</v>
      </c>
      <c r="I17" s="163">
        <f>[2]Duke_OH_RC_DS01MS!I17</f>
        <v>18.266706386906819</v>
      </c>
      <c r="J17" s="163">
        <f>[2]Duke_OH_RC_DS01MS!J17</f>
        <v>17.318882105290246</v>
      </c>
      <c r="K17" s="163">
        <f>[2]Duke_OH_RC_DS01MS!K17</f>
        <v>15.490580918144742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[2]Duke_OH_RC_DS01MS!G18</f>
        <v>18.460300104670171</v>
      </c>
      <c r="H18" s="163">
        <f>[2]Duke_OH_RC_DS01MS!H18</f>
        <v>17.881792236158624</v>
      </c>
      <c r="I18" s="163">
        <f>[2]Duke_OH_RC_DS01MS!I18</f>
        <v>18.370803299741318</v>
      </c>
      <c r="J18" s="163">
        <f>[2]Duke_OH_RC_DS01MS!J18</f>
        <v>17.064621847076317</v>
      </c>
      <c r="K18" s="163">
        <f>[2]Duke_OH_RC_DS01MS!K18</f>
        <v>15.335244553871501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[2]Duke_OH_RC_DS01MS!G19</f>
        <v>18.511191047445575</v>
      </c>
      <c r="H19" s="163">
        <f>[2]Duke_OH_RC_DS01MS!H19</f>
        <v>17.957501274793394</v>
      </c>
      <c r="I19" s="163">
        <f>[2]Duke_OH_RC_DS01MS!I19</f>
        <v>18.442804877306521</v>
      </c>
      <c r="J19" s="163">
        <f>[2]Duke_OH_RC_DS01MS!J19</f>
        <v>16.82012840588294</v>
      </c>
      <c r="K19" s="163">
        <f>[2]Duke_OH_RC_DS01MS!K19</f>
        <v>15.179322555936087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[2]Duke_OH_RC_DS01MS!G20</f>
        <v>18.259034624492582</v>
      </c>
      <c r="H20" s="163">
        <f>[2]Duke_OH_RC_DS01MS!H20</f>
        <v>18.031884094038752</v>
      </c>
      <c r="I20" s="163">
        <f>[2]Duke_OH_RC_DS01MS!I20</f>
        <v>18.403365325320241</v>
      </c>
      <c r="J20" s="163">
        <f>[2]Duke_OH_RC_DS01MS!J20</f>
        <v>16.575425112347308</v>
      </c>
      <c r="K20" s="163">
        <f>[2]Duke_OH_RC_DS01MS!K20</f>
        <v>15.024775039568725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53"/>
      <c r="B41" s="154"/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  <c r="AH41" s="154"/>
      <c r="AI41" s="154"/>
      <c r="AJ41" s="154"/>
      <c r="AK41" s="154"/>
      <c r="AL41" s="154"/>
      <c r="AM41" s="154"/>
      <c r="AN41" s="154"/>
      <c r="AO41" s="154"/>
      <c r="AP41" s="154"/>
      <c r="AQ41" s="154"/>
      <c r="AR41" s="154"/>
      <c r="AS41" s="154"/>
      <c r="AT41" s="154"/>
      <c r="AU41" s="154"/>
      <c r="AV41" s="154"/>
      <c r="AW41" s="154"/>
      <c r="AX41" s="154"/>
      <c r="AY41" s="154"/>
      <c r="AZ41" s="154"/>
      <c r="BA41" s="154"/>
      <c r="BB41" s="154"/>
      <c r="BC41" s="154"/>
      <c r="BD41" s="154"/>
      <c r="BE41" s="154"/>
      <c r="BF41" s="154"/>
      <c r="BG41" s="154"/>
      <c r="BH41" s="154"/>
      <c r="BI41" s="154"/>
      <c r="BJ41" s="154"/>
    </row>
    <row r="42" spans="1:62" ht="16.5" customHeight="1" x14ac:dyDescent="0.15">
      <c r="A42" s="153"/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5"/>
      <c r="AI42" s="155"/>
      <c r="AJ42" s="155"/>
      <c r="AK42" s="155"/>
      <c r="AL42" s="155"/>
      <c r="AM42" s="155"/>
      <c r="AN42" s="155"/>
      <c r="AO42" s="155"/>
      <c r="AP42" s="155"/>
      <c r="AQ42" s="155"/>
      <c r="AR42" s="155"/>
      <c r="AS42" s="155"/>
      <c r="AT42" s="155"/>
      <c r="AU42" s="155"/>
      <c r="AV42" s="155"/>
      <c r="AW42" s="155"/>
      <c r="AX42" s="155"/>
      <c r="AY42" s="155"/>
      <c r="AZ42" s="155"/>
      <c r="BA42" s="155"/>
      <c r="BB42" s="155"/>
      <c r="BC42" s="155"/>
      <c r="BD42" s="155"/>
      <c r="BE42" s="155"/>
      <c r="BF42" s="155"/>
      <c r="BG42" s="155"/>
      <c r="BH42" s="155"/>
      <c r="BI42" s="155"/>
      <c r="BJ42" s="155"/>
    </row>
  </sheetData>
  <sheetProtection algorithmName="SHA-512" hashValue="Smf+fFz7zRkeA4vNTf1Y8y1w1diZWtSEpr8wPSYwbUkiXYzFY3wDSug0AQshlmSzOafuMMnQV6cKImrAmq7cuw==" saltValue="wXaR5wRaMBFT8PtwinEa1w==" spinCount="100000" sheet="1" scenarios="1" autoFilter="0"/>
  <dataConsolidate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677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166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52.09</v>
      </c>
      <c r="H7" s="157">
        <v>51.11</v>
      </c>
      <c r="I7" s="157">
        <v>53.74</v>
      </c>
      <c r="J7" s="157">
        <v>55.08</v>
      </c>
      <c r="K7" s="157">
        <v>61.15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'[2]FE_OE - test RC_GSFMS'!G8</f>
        <v>10.315037188374401</v>
      </c>
      <c r="H8" s="163">
        <f>'[2]FE_OE - test RC_GSFMS'!H8</f>
        <v>14.285102148311585</v>
      </c>
      <c r="I8" s="163">
        <f>'[2]FE_OE - test RC_GSFMS'!I8</f>
        <v>15.53649821794829</v>
      </c>
      <c r="J8" s="163">
        <f>'[2]FE_OE - test RC_GSFMS'!J8</f>
        <v>19.572589598422766</v>
      </c>
      <c r="K8" s="163">
        <f>'[2]FE_OE - test RC_GSFMS'!K8</f>
        <v>20.94580424734697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'[2]FE_OE - test RC_GSFMS'!G9</f>
        <v>11.495827468511713</v>
      </c>
      <c r="H9" s="163">
        <f>'[2]FE_OE - test RC_GSFMS'!H9</f>
        <v>14.93371111644448</v>
      </c>
      <c r="I9" s="163">
        <f>'[2]FE_OE - test RC_GSFMS'!I9</f>
        <v>16.675749335141962</v>
      </c>
      <c r="J9" s="163">
        <f>'[2]FE_OE - test RC_GSFMS'!J9</f>
        <v>20.461786543085367</v>
      </c>
      <c r="K9" s="163">
        <f>'[2]FE_OE - test RC_GSFMS'!K9</f>
        <v>21.092879291013279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'[2]FE_OE - test RC_GSFMS'!G10</f>
        <v>13.197547225805987</v>
      </c>
      <c r="H10" s="163">
        <f>'[2]FE_OE - test RC_GSFMS'!H10</f>
        <v>15.627825189041317</v>
      </c>
      <c r="I10" s="163">
        <f>'[2]FE_OE - test RC_GSFMS'!I10</f>
        <v>18.041579917928615</v>
      </c>
      <c r="J10" s="163">
        <f>'[2]FE_OE - test RC_GSFMS'!J10</f>
        <v>21.384644019638124</v>
      </c>
      <c r="K10" s="163">
        <f>'[2]FE_OE - test RC_GSFMS'!K10</f>
        <v>21.26722038990529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'[2]FE_OE - test RC_GSFMS'!G11</f>
        <v>14.635133303781762</v>
      </c>
      <c r="H11" s="163">
        <f>'[2]FE_OE - test RC_GSFMS'!H11</f>
        <v>16.210900173930636</v>
      </c>
      <c r="I11" s="163">
        <f>'[2]FE_OE - test RC_GSFMS'!I11</f>
        <v>19.249793026888124</v>
      </c>
      <c r="J11" s="163">
        <f>'[2]FE_OE - test RC_GSFMS'!J11</f>
        <v>22.199315461272235</v>
      </c>
      <c r="K11" s="163">
        <f>'[2]FE_OE - test RC_GSFMS'!K11</f>
        <v>21.40512200024866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'[2]FE_OE - test RC_GSFMS'!G12</f>
        <v>16.105940438616905</v>
      </c>
      <c r="H12" s="163">
        <f>'[2]FE_OE - test RC_GSFMS'!H12</f>
        <v>16.895040568251446</v>
      </c>
      <c r="I12" s="163">
        <f>'[2]FE_OE - test RC_GSFMS'!I12</f>
        <v>20.53345043698252</v>
      </c>
      <c r="J12" s="163">
        <f>'[2]FE_OE - test RC_GSFMS'!J12</f>
        <v>23.090823883277753</v>
      </c>
      <c r="K12" s="163">
        <f>'[2]FE_OE - test RC_GSFMS'!K12</f>
        <v>21.557859454280173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'[2]FE_OE - test RC_GSFMS'!G13</f>
        <v>17.231252933518867</v>
      </c>
      <c r="H13" s="163">
        <f>'[2]FE_OE - test RC_GSFMS'!H13</f>
        <v>17.540080401117844</v>
      </c>
      <c r="I13" s="163">
        <f>'[2]FE_OE - test RC_GSFMS'!I13</f>
        <v>21.621311978614006</v>
      </c>
      <c r="J13" s="163">
        <f>'[2]FE_OE - test RC_GSFMS'!J13</f>
        <v>23.96210236193744</v>
      </c>
      <c r="K13" s="163">
        <f>'[2]FE_OE - test RC_GSFMS'!K13</f>
        <v>21.71596308888768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'[2]FE_OE - test RC_GSFMS'!G14</f>
        <v>18.439615647255664</v>
      </c>
      <c r="H14" s="163">
        <f>'[2]FE_OE - test RC_GSFMS'!H14</f>
        <v>18.197125898406995</v>
      </c>
      <c r="I14" s="163">
        <f>'[2]FE_OE - test RC_GSFMS'!I14</f>
        <v>22.748830277057525</v>
      </c>
      <c r="J14" s="163">
        <f>'[2]FE_OE - test RC_GSFMS'!J14</f>
        <v>24.855883489620062</v>
      </c>
      <c r="K14" s="163">
        <f>'[2]FE_OE - test RC_GSFMS'!K14</f>
        <v>21.868294998074859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'[2]FE_OE - test RC_GSFMS'!G15</f>
        <v>18.363018454468747</v>
      </c>
      <c r="H15" s="163">
        <f>'[2]FE_OE - test RC_GSFMS'!H15</f>
        <v>19.25990018893307</v>
      </c>
      <c r="I15" s="163">
        <f>'[2]FE_OE - test RC_GSFMS'!I15</f>
        <v>23.444039313481852</v>
      </c>
      <c r="J15" s="163">
        <f>'[2]FE_OE - test RC_GSFMS'!J15</f>
        <v>24.738565668982581</v>
      </c>
      <c r="K15" s="163">
        <f>'[2]FE_OE - test RC_GSFMS'!K15</f>
        <v>21.808322024201907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'[2]FE_OE - test RC_GSFMS'!G16</f>
        <v>17.97386659049932</v>
      </c>
      <c r="H16" s="163">
        <f>'[2]FE_OE - test RC_GSFMS'!H16</f>
        <v>20.414530357834622</v>
      </c>
      <c r="I16" s="163">
        <f>'[2]FE_OE - test RC_GSFMS'!I16</f>
        <v>24.048999419366552</v>
      </c>
      <c r="J16" s="163">
        <f>'[2]FE_OE - test RC_GSFMS'!J16</f>
        <v>24.674389782922155</v>
      </c>
      <c r="K16" s="163">
        <f>'[2]FE_OE - test RC_GSFMS'!K16</f>
        <v>21.78024532595235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'[2]FE_OE - test RC_GSFMS'!G17</f>
        <v>17.712877470355725</v>
      </c>
      <c r="H17" s="163">
        <f>'[2]FE_OE - test RC_GSFMS'!H17</f>
        <v>21.496096479131189</v>
      </c>
      <c r="I17" s="163">
        <f>'[2]FE_OE - test RC_GSFMS'!I17</f>
        <v>24.635997312256691</v>
      </c>
      <c r="J17" s="163">
        <f>'[2]FE_OE - test RC_GSFMS'!J17</f>
        <v>24.550841553830626</v>
      </c>
      <c r="K17" s="163">
        <f>'[2]FE_OE - test RC_GSFMS'!K17</f>
        <v>21.720411557832566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'[2]FE_OE - test RC_GSFMS'!G18</f>
        <v>17.63024153590337</v>
      </c>
      <c r="H18" s="163">
        <f>'[2]FE_OE - test RC_GSFMS'!H18</f>
        <v>22.666445088740421</v>
      </c>
      <c r="I18" s="163">
        <f>'[2]FE_OE - test RC_GSFMS'!I18</f>
        <v>25.310046973901468</v>
      </c>
      <c r="J18" s="163">
        <f>'[2]FE_OE - test RC_GSFMS'!J18</f>
        <v>24.488237177033493</v>
      </c>
      <c r="K18" s="163">
        <f>'[2]FE_OE - test RC_GSFMS'!K18</f>
        <v>21.699917284970386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'[2]FE_OE - test RC_GSFMS'!G19</f>
        <v>17.830578957680249</v>
      </c>
      <c r="H19" s="163">
        <f>'[2]FE_OE - test RC_GSFMS'!H19</f>
        <v>23.749441596706312</v>
      </c>
      <c r="I19" s="163">
        <f>'[2]FE_OE - test RC_GSFMS'!I19</f>
        <v>26.115196795669661</v>
      </c>
      <c r="J19" s="163">
        <f>'[2]FE_OE - test RC_GSFMS'!J19</f>
        <v>24.373547504248688</v>
      </c>
      <c r="K19" s="163">
        <f>'[2]FE_OE - test RC_GSFMS'!K19</f>
        <v>21.636698272980144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'[2]FE_OE - test RC_GSFMS'!G20</f>
        <v>17.966987501505695</v>
      </c>
      <c r="H20" s="163">
        <f>'[2]FE_OE - test RC_GSFMS'!H20</f>
        <v>24.850846602046722</v>
      </c>
      <c r="I20" s="163">
        <f>'[2]FE_OE - test RC_GSFMS'!I20</f>
        <v>26.920100165341537</v>
      </c>
      <c r="J20" s="163">
        <f>'[2]FE_OE - test RC_GSFMS'!J20</f>
        <v>24.267058739491521</v>
      </c>
      <c r="K20" s="163">
        <f>'[2]FE_OE - test RC_GSFMS'!K20</f>
        <v>21.615029017808524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C43Wnny97ZA+HdSV6wrHk5fKuYUjLEludzNcdKAsFWoLjJgRfsdwyz1/VXyjBt+ZP/cNFDr0lKImAfThPGL67w==" saltValue="139euc1yEMRWptabR7TkuA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59999389629810485"/>
    <pageSetUpPr autoPageBreaks="0"/>
  </sheetPr>
  <dimension ref="B1:AO48"/>
  <sheetViews>
    <sheetView showGridLines="0" workbookViewId="0">
      <pane ySplit="12" topLeftCell="A13" activePane="bottomLeft" state="frozen"/>
      <selection activeCell="A2" sqref="A2:F2"/>
      <selection pane="bottomLeft" activeCell="R14" sqref="R14"/>
    </sheetView>
  </sheetViews>
  <sheetFormatPr defaultRowHeight="11.25" outlineLevelCol="1" x14ac:dyDescent="0.2"/>
  <cols>
    <col min="1" max="1" width="3.83203125" style="45" customWidth="1"/>
    <col min="2" max="2" width="24" style="45" bestFit="1" customWidth="1"/>
    <col min="3" max="10" width="9.33203125" style="45"/>
    <col min="11" max="11" width="3.83203125" style="45" customWidth="1" outlineLevel="1"/>
    <col min="12" max="16" width="10.33203125" style="45" customWidth="1" outlineLevel="1"/>
    <col min="17" max="17" width="9.33203125" style="45"/>
    <col min="18" max="20" width="10.33203125" style="45" customWidth="1"/>
    <col min="21" max="16384" width="9.33203125" style="45"/>
  </cols>
  <sheetData>
    <row r="1" spans="2:38" ht="15.75" x14ac:dyDescent="0.25">
      <c r="B1" s="12" t="s">
        <v>93</v>
      </c>
    </row>
    <row r="3" spans="2:38" ht="17.25" x14ac:dyDescent="0.3">
      <c r="B3" s="46" t="s">
        <v>91</v>
      </c>
      <c r="C3" s="46"/>
      <c r="D3" s="46"/>
      <c r="E3" s="46"/>
      <c r="F3" s="57" t="s">
        <v>94</v>
      </c>
      <c r="G3" s="58">
        <f>COUNT(G5:G8)</f>
        <v>4</v>
      </c>
      <c r="R3" s="101"/>
      <c r="W3" s="101"/>
    </row>
    <row r="4" spans="2:38" x14ac:dyDescent="0.2">
      <c r="B4" s="96" t="s">
        <v>57</v>
      </c>
      <c r="C4" s="97">
        <v>6</v>
      </c>
      <c r="D4" s="98">
        <v>12</v>
      </c>
      <c r="E4" s="98">
        <v>18</v>
      </c>
      <c r="F4" s="98">
        <v>24</v>
      </c>
      <c r="G4" s="99">
        <v>36</v>
      </c>
    </row>
    <row r="5" spans="2:38" x14ac:dyDescent="0.2">
      <c r="B5" s="74" t="s">
        <v>61</v>
      </c>
      <c r="C5" s="71">
        <v>2.15</v>
      </c>
      <c r="D5" s="69">
        <v>2.15</v>
      </c>
      <c r="E5" s="69">
        <v>2.15</v>
      </c>
      <c r="F5" s="69">
        <v>2.15</v>
      </c>
      <c r="G5" s="70">
        <v>2.15</v>
      </c>
      <c r="I5" s="59"/>
    </row>
    <row r="6" spans="2:38" x14ac:dyDescent="0.2">
      <c r="B6" s="47" t="s">
        <v>62</v>
      </c>
      <c r="C6" s="72">
        <v>0.55000000000000004</v>
      </c>
      <c r="D6" s="53">
        <v>0.55000000000000004</v>
      </c>
      <c r="E6" s="53">
        <v>0.55000000000000004</v>
      </c>
      <c r="F6" s="53">
        <v>0.55000000000000004</v>
      </c>
      <c r="G6" s="54">
        <v>0.55000000000000004</v>
      </c>
    </row>
    <row r="7" spans="2:38" x14ac:dyDescent="0.2">
      <c r="B7" s="47" t="s">
        <v>99</v>
      </c>
      <c r="C7" s="72">
        <v>-0.5</v>
      </c>
      <c r="D7" s="53">
        <v>-0.5</v>
      </c>
      <c r="E7" s="53">
        <v>-0.5</v>
      </c>
      <c r="F7" s="53">
        <v>-0.5</v>
      </c>
      <c r="G7" s="54">
        <v>-0.5</v>
      </c>
    </row>
    <row r="8" spans="2:38" x14ac:dyDescent="0.2">
      <c r="B8" s="48" t="s">
        <v>690</v>
      </c>
      <c r="C8" s="73">
        <v>-0.5</v>
      </c>
      <c r="D8" s="55">
        <v>-0.5</v>
      </c>
      <c r="E8" s="55">
        <v>-0.5</v>
      </c>
      <c r="F8" s="55">
        <v>-0.5</v>
      </c>
      <c r="G8" s="56">
        <v>-0.5</v>
      </c>
    </row>
    <row r="10" spans="2:38" x14ac:dyDescent="0.2">
      <c r="B10" s="81" t="s">
        <v>92</v>
      </c>
      <c r="C10" s="82"/>
      <c r="F10" s="86">
        <v>6</v>
      </c>
      <c r="G10" s="87">
        <v>12</v>
      </c>
      <c r="H10" s="87">
        <f>H12</f>
        <v>18</v>
      </c>
      <c r="I10" s="87">
        <f>I12</f>
        <v>24</v>
      </c>
      <c r="J10" s="88">
        <f>J12</f>
        <v>36</v>
      </c>
    </row>
    <row r="11" spans="2:38" s="46" customFormat="1" ht="18.75" customHeight="1" x14ac:dyDescent="0.2">
      <c r="B11" s="83" t="str">
        <f>LMPMain!C4</f>
        <v># of Unique Segements</v>
      </c>
      <c r="C11" s="83">
        <f>LMPMain!B4</f>
        <v>36</v>
      </c>
      <c r="E11" s="84" t="s">
        <v>103</v>
      </c>
      <c r="F11" s="85">
        <f>0.25</f>
        <v>0.25</v>
      </c>
      <c r="G11" s="85">
        <f>F11</f>
        <v>0.25</v>
      </c>
      <c r="H11" s="85">
        <f>G11</f>
        <v>0.25</v>
      </c>
      <c r="I11" s="85">
        <f>H11</f>
        <v>0.25</v>
      </c>
      <c r="J11" s="85">
        <f>I11</f>
        <v>0.25</v>
      </c>
      <c r="L11" s="46" t="s">
        <v>104</v>
      </c>
    </row>
    <row r="12" spans="2:38" ht="33.75" x14ac:dyDescent="0.2">
      <c r="B12" s="90" t="s">
        <v>5</v>
      </c>
      <c r="C12" s="91" t="str">
        <f>LMPMain!F8</f>
        <v>State</v>
      </c>
      <c r="D12" s="91" t="str">
        <f>LMPMain!H8</f>
        <v>EDC Matrix Name</v>
      </c>
      <c r="E12" s="92" t="str">
        <f>LMPMain!J8</f>
        <v>Rate Class</v>
      </c>
      <c r="F12" s="93">
        <v>6</v>
      </c>
      <c r="G12" s="94">
        <v>12</v>
      </c>
      <c r="H12" s="94">
        <v>18</v>
      </c>
      <c r="I12" s="94">
        <v>24</v>
      </c>
      <c r="J12" s="95">
        <v>36</v>
      </c>
      <c r="L12" s="93">
        <v>6</v>
      </c>
      <c r="M12" s="94">
        <v>12</v>
      </c>
      <c r="N12" s="94">
        <v>18</v>
      </c>
      <c r="O12" s="94">
        <v>24</v>
      </c>
      <c r="P12" s="95">
        <v>36</v>
      </c>
      <c r="T12" s="75" t="s">
        <v>97</v>
      </c>
    </row>
    <row r="13" spans="2:38" x14ac:dyDescent="0.2">
      <c r="B13" s="66" t="str">
        <f>LMPMain!E9</f>
        <v>AECO LP_10V1_S</v>
      </c>
      <c r="C13" s="67" t="str">
        <f>LMPMain!F9</f>
        <v>NJ</v>
      </c>
      <c r="D13" s="67" t="str">
        <f>LMPMain!H9</f>
        <v>AECO</v>
      </c>
      <c r="E13" s="68" t="str">
        <f>LMPMain!J9</f>
        <v>MGS</v>
      </c>
      <c r="F13" s="49">
        <f>L13+F$11</f>
        <v>2</v>
      </c>
      <c r="G13" s="50">
        <f t="shared" ref="G13:G31" si="0">M13+G$11</f>
        <v>2</v>
      </c>
      <c r="H13" s="50">
        <f t="shared" ref="H13:H31" si="1">N13+H$11</f>
        <v>2</v>
      </c>
      <c r="I13" s="50">
        <f t="shared" ref="I13:I31" si="2">O13+I$11</f>
        <v>2</v>
      </c>
      <c r="J13" s="51">
        <f t="shared" ref="J13:J31" si="3">P13+J$11</f>
        <v>2</v>
      </c>
      <c r="L13" s="49">
        <f>[3]Adders!F15</f>
        <v>1.75</v>
      </c>
      <c r="M13" s="49">
        <f>[3]Adders!G15</f>
        <v>1.75</v>
      </c>
      <c r="N13" s="49">
        <f>[3]Adders!H15</f>
        <v>1.75</v>
      </c>
      <c r="O13" s="49">
        <f>[3]Adders!I15</f>
        <v>1.75</v>
      </c>
      <c r="P13" s="49">
        <f>[3]Adders!J15</f>
        <v>1.75</v>
      </c>
      <c r="T13" s="76">
        <f>Main!K5</f>
        <v>42156</v>
      </c>
    </row>
    <row r="14" spans="2:38" x14ac:dyDescent="0.2">
      <c r="B14" s="60" t="str">
        <f>LMPMain!E10</f>
        <v>AECO LP_14V1_M</v>
      </c>
      <c r="C14" s="61" t="str">
        <f>LMPMain!F10</f>
        <v>NJ</v>
      </c>
      <c r="D14" s="61" t="str">
        <f>LMPMain!H10</f>
        <v>AECO</v>
      </c>
      <c r="E14" s="62" t="str">
        <f>LMPMain!J10</f>
        <v>AGS</v>
      </c>
      <c r="F14" s="52">
        <f t="shared" ref="F14:F31" si="4">L14+F$11</f>
        <v>2</v>
      </c>
      <c r="G14" s="53">
        <f t="shared" si="0"/>
        <v>2</v>
      </c>
      <c r="H14" s="53">
        <f t="shared" si="1"/>
        <v>2</v>
      </c>
      <c r="I14" s="53">
        <f t="shared" si="2"/>
        <v>2</v>
      </c>
      <c r="J14" s="54">
        <f t="shared" si="3"/>
        <v>2</v>
      </c>
      <c r="L14" s="49">
        <f>[3]Adders!F16</f>
        <v>1.75</v>
      </c>
      <c r="M14" s="49">
        <f>[3]Adders!G16</f>
        <v>1.75</v>
      </c>
      <c r="N14" s="49">
        <f>[3]Adders!H16</f>
        <v>1.75</v>
      </c>
      <c r="O14" s="49">
        <f>[3]Adders!I16</f>
        <v>1.75</v>
      </c>
      <c r="P14" s="49">
        <f>[3]Adders!J16</f>
        <v>1.75</v>
      </c>
      <c r="T14" s="76">
        <f>IF(T13="","",IF(EOMONTH(T13,0)+1&gt;Main!$K$6,"",EOMONTH(T13,0)+1))</f>
        <v>42186</v>
      </c>
    </row>
    <row r="15" spans="2:38" ht="17.25" x14ac:dyDescent="0.3">
      <c r="B15" s="60" t="str">
        <f>LMPMain!E11</f>
        <v>AEP_OH_CS - test CSGS1</v>
      </c>
      <c r="C15" s="61" t="str">
        <f>LMPMain!F11</f>
        <v>OH</v>
      </c>
      <c r="D15" s="61" t="str">
        <f>LMPMain!H11</f>
        <v>AEP OH</v>
      </c>
      <c r="E15" s="62" t="str">
        <f>LMPMain!J11</f>
        <v>GS1</v>
      </c>
      <c r="F15" s="52">
        <f t="shared" si="4"/>
        <v>2</v>
      </c>
      <c r="G15" s="53">
        <f t="shared" si="0"/>
        <v>2</v>
      </c>
      <c r="H15" s="53">
        <f t="shared" si="1"/>
        <v>2</v>
      </c>
      <c r="I15" s="53">
        <f t="shared" si="2"/>
        <v>2</v>
      </c>
      <c r="J15" s="54">
        <f t="shared" si="3"/>
        <v>2</v>
      </c>
      <c r="L15" s="49">
        <v>1.75</v>
      </c>
      <c r="M15" s="49">
        <v>1.75</v>
      </c>
      <c r="N15" s="49">
        <v>1.75</v>
      </c>
      <c r="O15" s="49">
        <v>1.75</v>
      </c>
      <c r="P15" s="49">
        <v>1.75</v>
      </c>
      <c r="T15" s="76">
        <f>IF(T14="","",IF(EOMONTH(T14,0)+1&gt;Main!$K$6,"",EOMONTH(T14,0)+1))</f>
        <v>42217</v>
      </c>
      <c r="AK15" s="101"/>
      <c r="AL15" s="101"/>
    </row>
    <row r="16" spans="2:38" ht="17.25" x14ac:dyDescent="0.3">
      <c r="B16" s="60" t="str">
        <f>LMPMain!E12</f>
        <v>AEP_OH_CS - test CSGS2U</v>
      </c>
      <c r="C16" s="61" t="str">
        <f>LMPMain!F12</f>
        <v>OH</v>
      </c>
      <c r="D16" s="61" t="str">
        <f>LMPMain!H12</f>
        <v>AEP OH</v>
      </c>
      <c r="E16" s="62" t="str">
        <f>LMPMain!J12</f>
        <v>GS2</v>
      </c>
      <c r="F16" s="52">
        <f t="shared" si="4"/>
        <v>2</v>
      </c>
      <c r="G16" s="53">
        <f t="shared" si="0"/>
        <v>2</v>
      </c>
      <c r="H16" s="53">
        <f t="shared" si="1"/>
        <v>2</v>
      </c>
      <c r="I16" s="53">
        <f t="shared" si="2"/>
        <v>2</v>
      </c>
      <c r="J16" s="54">
        <f t="shared" si="3"/>
        <v>2</v>
      </c>
      <c r="L16" s="49">
        <v>1.75</v>
      </c>
      <c r="M16" s="49">
        <v>1.75</v>
      </c>
      <c r="N16" s="49">
        <v>1.75</v>
      </c>
      <c r="O16" s="49">
        <v>1.75</v>
      </c>
      <c r="P16" s="49">
        <v>1.75</v>
      </c>
      <c r="T16" s="76">
        <f>IF(T15="","",IF(EOMONTH(T15,0)+1&gt;Main!$K$6,"",EOMONTH(T15,0)+1))</f>
        <v>42248</v>
      </c>
      <c r="AL16" s="101"/>
    </row>
    <row r="17" spans="2:41" ht="17.25" x14ac:dyDescent="0.3">
      <c r="B17" s="60" t="str">
        <f>LMPMain!E13</f>
        <v>AEP_OH_CS - test CSGS3U</v>
      </c>
      <c r="C17" s="61" t="str">
        <f>LMPMain!F13</f>
        <v>OH</v>
      </c>
      <c r="D17" s="61" t="str">
        <f>LMPMain!H13</f>
        <v>AEP OH</v>
      </c>
      <c r="E17" s="62" t="str">
        <f>LMPMain!J13</f>
        <v>GS3</v>
      </c>
      <c r="F17" s="52">
        <f t="shared" si="4"/>
        <v>2</v>
      </c>
      <c r="G17" s="53">
        <f t="shared" si="0"/>
        <v>2</v>
      </c>
      <c r="H17" s="53">
        <f t="shared" si="1"/>
        <v>2</v>
      </c>
      <c r="I17" s="53">
        <f t="shared" si="2"/>
        <v>2</v>
      </c>
      <c r="J17" s="54">
        <f t="shared" si="3"/>
        <v>2</v>
      </c>
      <c r="L17" s="49">
        <v>1.75</v>
      </c>
      <c r="M17" s="49">
        <v>1.75</v>
      </c>
      <c r="N17" s="49">
        <v>1.75</v>
      </c>
      <c r="O17" s="49">
        <v>1.75</v>
      </c>
      <c r="P17" s="49">
        <v>1.75</v>
      </c>
      <c r="T17" s="76">
        <f>IF(T16="","",IF(EOMONTH(T16,0)+1&gt;Main!$K$6,"",EOMONTH(T16,0)+1))</f>
        <v>42278</v>
      </c>
      <c r="AK17" s="101"/>
      <c r="AL17" s="101"/>
    </row>
    <row r="18" spans="2:41" ht="17.25" x14ac:dyDescent="0.3">
      <c r="B18" s="60" t="str">
        <f>LMPMain!E14</f>
        <v>Ameren RateZnIII LP DS2HH</v>
      </c>
      <c r="C18" s="61" t="str">
        <f>LMPMain!F14</f>
        <v>IL</v>
      </c>
      <c r="D18" s="61" t="str">
        <f>LMPMain!H14</f>
        <v>Ameren</v>
      </c>
      <c r="E18" s="62" t="str">
        <f>LMPMain!J14</f>
        <v>DS2</v>
      </c>
      <c r="F18" s="52">
        <f t="shared" si="4"/>
        <v>2</v>
      </c>
      <c r="G18" s="53">
        <f t="shared" si="0"/>
        <v>2</v>
      </c>
      <c r="H18" s="53">
        <f t="shared" si="1"/>
        <v>2</v>
      </c>
      <c r="I18" s="53">
        <f t="shared" si="2"/>
        <v>2</v>
      </c>
      <c r="J18" s="54">
        <f t="shared" si="3"/>
        <v>2</v>
      </c>
      <c r="L18" s="49">
        <v>1.75</v>
      </c>
      <c r="M18" s="49">
        <v>1.75</v>
      </c>
      <c r="N18" s="49">
        <v>1.75</v>
      </c>
      <c r="O18" s="49">
        <v>1.75</v>
      </c>
      <c r="P18" s="49">
        <v>1.75</v>
      </c>
      <c r="T18" s="76">
        <f>IF(T17="","",IF(EOMONTH(T17,0)+1&gt;Main!$K$6,"",EOMONTH(T17,0)+1))</f>
        <v>42309</v>
      </c>
      <c r="AK18" s="101"/>
      <c r="AL18" s="101"/>
      <c r="AM18" s="101"/>
      <c r="AN18" s="101"/>
      <c r="AO18" s="101"/>
    </row>
    <row r="19" spans="2:41" x14ac:dyDescent="0.2">
      <c r="B19" s="60" t="str">
        <f>LMPMain!E15</f>
        <v>BGE LP_GL</v>
      </c>
      <c r="C19" s="61" t="str">
        <f>LMPMain!F15</f>
        <v>MD</v>
      </c>
      <c r="D19" s="61" t="str">
        <f>LMPMain!H15</f>
        <v>BGE</v>
      </c>
      <c r="E19" s="62" t="str">
        <f>LMPMain!J15</f>
        <v>GL</v>
      </c>
      <c r="F19" s="52">
        <f t="shared" si="4"/>
        <v>2</v>
      </c>
      <c r="G19" s="53">
        <f t="shared" si="0"/>
        <v>2</v>
      </c>
      <c r="H19" s="53">
        <f t="shared" si="1"/>
        <v>2</v>
      </c>
      <c r="I19" s="53">
        <f t="shared" si="2"/>
        <v>2</v>
      </c>
      <c r="J19" s="54">
        <f t="shared" si="3"/>
        <v>2</v>
      </c>
      <c r="L19" s="49">
        <v>1.75</v>
      </c>
      <c r="M19" s="49">
        <v>1.75</v>
      </c>
      <c r="N19" s="49">
        <v>1.75</v>
      </c>
      <c r="O19" s="49">
        <v>1.75</v>
      </c>
      <c r="P19" s="49">
        <v>1.75</v>
      </c>
      <c r="T19" s="76">
        <f>IF(T18="","",IF(EOMONTH(T18,0)+1&gt;Main!$K$6,"",EOMONTH(T18,0)+1))</f>
        <v>42339</v>
      </c>
    </row>
    <row r="20" spans="2:41" x14ac:dyDescent="0.2">
      <c r="B20" s="60" t="str">
        <f>LMPMain!E16</f>
        <v>BGE LP_G</v>
      </c>
      <c r="C20" s="61" t="str">
        <f>LMPMain!F16</f>
        <v>MD</v>
      </c>
      <c r="D20" s="61" t="str">
        <f>LMPMain!H16</f>
        <v>BGE</v>
      </c>
      <c r="E20" s="62" t="str">
        <f>LMPMain!J16</f>
        <v>G</v>
      </c>
      <c r="F20" s="52">
        <f t="shared" si="4"/>
        <v>2</v>
      </c>
      <c r="G20" s="53">
        <f t="shared" si="0"/>
        <v>2</v>
      </c>
      <c r="H20" s="53">
        <f t="shared" si="1"/>
        <v>2</v>
      </c>
      <c r="I20" s="53">
        <f t="shared" si="2"/>
        <v>2</v>
      </c>
      <c r="J20" s="54">
        <f t="shared" si="3"/>
        <v>2</v>
      </c>
      <c r="L20" s="49">
        <v>1.75</v>
      </c>
      <c r="M20" s="49">
        <v>1.75</v>
      </c>
      <c r="N20" s="49">
        <v>1.75</v>
      </c>
      <c r="O20" s="49">
        <v>1.75</v>
      </c>
      <c r="P20" s="49">
        <v>1.75</v>
      </c>
      <c r="T20" s="76">
        <f>IF(T19="","",IF(EOMONTH(T19,0)+1&gt;Main!$K$6,"",EOMONTH(T19,0)+1))</f>
        <v>42370</v>
      </c>
    </row>
    <row r="21" spans="2:41" x14ac:dyDescent="0.2">
      <c r="B21" s="60" t="str">
        <f>LMPMain!E17</f>
        <v>BGE LP_GS</v>
      </c>
      <c r="C21" s="61" t="str">
        <f>LMPMain!F17</f>
        <v>MD</v>
      </c>
      <c r="D21" s="61" t="str">
        <f>LMPMain!H17</f>
        <v>BGE</v>
      </c>
      <c r="E21" s="62" t="str">
        <f>LMPMain!J17</f>
        <v>GS</v>
      </c>
      <c r="F21" s="52">
        <f t="shared" si="4"/>
        <v>2</v>
      </c>
      <c r="G21" s="53">
        <f t="shared" si="0"/>
        <v>2</v>
      </c>
      <c r="H21" s="53">
        <f t="shared" si="1"/>
        <v>2</v>
      </c>
      <c r="I21" s="53">
        <f t="shared" si="2"/>
        <v>2</v>
      </c>
      <c r="J21" s="54">
        <f t="shared" si="3"/>
        <v>2</v>
      </c>
      <c r="L21" s="49">
        <v>1.75</v>
      </c>
      <c r="M21" s="49">
        <v>1.75</v>
      </c>
      <c r="N21" s="49">
        <v>1.75</v>
      </c>
      <c r="O21" s="49">
        <v>1.75</v>
      </c>
      <c r="P21" s="49">
        <v>1.75</v>
      </c>
      <c r="T21" s="76">
        <f>IF(T20="","",IF(EOMONTH(T20,0)+1&gt;Main!$K$6,"",EOMONTH(T20,0)+1))</f>
        <v>42401</v>
      </c>
    </row>
    <row r="22" spans="2:41" x14ac:dyDescent="0.2">
      <c r="B22" s="60" t="str">
        <f>LMPMain!E18</f>
        <v>ComEd - test LP_28</v>
      </c>
      <c r="C22" s="61" t="str">
        <f>LMPMain!F18</f>
        <v>IL</v>
      </c>
      <c r="D22" s="61" t="str">
        <f>LMPMain!H18</f>
        <v>ComED</v>
      </c>
      <c r="E22" s="62" t="str">
        <f>LMPMain!J18</f>
        <v>LP28</v>
      </c>
      <c r="F22" s="52">
        <f t="shared" si="4"/>
        <v>2</v>
      </c>
      <c r="G22" s="53">
        <f t="shared" si="0"/>
        <v>2</v>
      </c>
      <c r="H22" s="53">
        <f t="shared" si="1"/>
        <v>2</v>
      </c>
      <c r="I22" s="53">
        <f t="shared" si="2"/>
        <v>2</v>
      </c>
      <c r="J22" s="54">
        <f t="shared" si="3"/>
        <v>2</v>
      </c>
      <c r="L22" s="49">
        <v>1.75</v>
      </c>
      <c r="M22" s="49">
        <v>1.75</v>
      </c>
      <c r="N22" s="49">
        <v>1.75</v>
      </c>
      <c r="O22" s="49">
        <v>1.75</v>
      </c>
      <c r="P22" s="49">
        <v>1.75</v>
      </c>
      <c r="T22" s="76">
        <f>IF(T21="","",IF(EOMONTH(T21,0)+1&gt;Main!$K$6,"",EOMONTH(T21,0)+1))</f>
        <v>42430</v>
      </c>
    </row>
    <row r="23" spans="2:41" x14ac:dyDescent="0.2">
      <c r="B23" s="60" t="str">
        <f>LMPMain!E19</f>
        <v>ComEd - test LP_29</v>
      </c>
      <c r="C23" s="61" t="str">
        <f>LMPMain!F19</f>
        <v>IL</v>
      </c>
      <c r="D23" s="61" t="str">
        <f>LMPMain!H19</f>
        <v>ComED</v>
      </c>
      <c r="E23" s="62" t="str">
        <f>LMPMain!J19</f>
        <v>LP29</v>
      </c>
      <c r="F23" s="52">
        <f t="shared" si="4"/>
        <v>2</v>
      </c>
      <c r="G23" s="53">
        <f t="shared" si="0"/>
        <v>2</v>
      </c>
      <c r="H23" s="53">
        <f t="shared" si="1"/>
        <v>2</v>
      </c>
      <c r="I23" s="53">
        <f t="shared" si="2"/>
        <v>2</v>
      </c>
      <c r="J23" s="54">
        <f t="shared" si="3"/>
        <v>2</v>
      </c>
      <c r="L23" s="49">
        <v>1.75</v>
      </c>
      <c r="M23" s="49">
        <v>1.75</v>
      </c>
      <c r="N23" s="49">
        <v>1.75</v>
      </c>
      <c r="O23" s="49">
        <v>1.75</v>
      </c>
      <c r="P23" s="49">
        <v>1.75</v>
      </c>
      <c r="T23" s="76">
        <f>IF(T22="","",IF(EOMONTH(T22,0)+1&gt;Main!$K$6,"",EOMONTH(T22,0)+1))</f>
        <v>42461</v>
      </c>
    </row>
    <row r="24" spans="2:41" x14ac:dyDescent="0.2">
      <c r="B24" s="60" t="str">
        <f>LMPMain!E20</f>
        <v>DAY_RC_843</v>
      </c>
      <c r="C24" s="61" t="str">
        <f>LMPMain!F20</f>
        <v>OH</v>
      </c>
      <c r="D24" s="61" t="str">
        <f>LMPMain!H20</f>
        <v>Dayton</v>
      </c>
      <c r="E24" s="62" t="str">
        <f>LMPMain!J20</f>
        <v>SS</v>
      </c>
      <c r="F24" s="52">
        <f t="shared" si="4"/>
        <v>2</v>
      </c>
      <c r="G24" s="53">
        <f t="shared" si="0"/>
        <v>2</v>
      </c>
      <c r="H24" s="53">
        <f t="shared" si="1"/>
        <v>2</v>
      </c>
      <c r="I24" s="53">
        <f t="shared" si="2"/>
        <v>2</v>
      </c>
      <c r="J24" s="54">
        <f t="shared" si="3"/>
        <v>2</v>
      </c>
      <c r="L24" s="49">
        <v>1.75</v>
      </c>
      <c r="M24" s="49">
        <v>1.75</v>
      </c>
      <c r="N24" s="49">
        <v>1.75</v>
      </c>
      <c r="O24" s="49">
        <v>1.75</v>
      </c>
      <c r="P24" s="49">
        <v>1.75</v>
      </c>
      <c r="T24" s="76">
        <f>IF(T23="","",IF(EOMONTH(T23,0)+1&gt;Main!$K$6,"",EOMONTH(T23,0)+1))</f>
        <v>42491</v>
      </c>
    </row>
    <row r="25" spans="2:41" x14ac:dyDescent="0.2">
      <c r="B25" s="60" t="str">
        <f>LMPMain!E21</f>
        <v>Delmarva MD LP_MDGS_M</v>
      </c>
      <c r="C25" s="61" t="str">
        <f>LMPMain!F21</f>
        <v>MD</v>
      </c>
      <c r="D25" s="61" t="str">
        <f>LMPMain!H21</f>
        <v>Delmarva</v>
      </c>
      <c r="E25" s="62" t="str">
        <f>LMPMain!J21</f>
        <v>GS</v>
      </c>
      <c r="F25" s="52">
        <f t="shared" si="4"/>
        <v>2</v>
      </c>
      <c r="G25" s="53">
        <f t="shared" si="0"/>
        <v>2</v>
      </c>
      <c r="H25" s="53">
        <f t="shared" si="1"/>
        <v>2</v>
      </c>
      <c r="I25" s="53">
        <f t="shared" si="2"/>
        <v>2</v>
      </c>
      <c r="J25" s="54">
        <f t="shared" si="3"/>
        <v>2</v>
      </c>
      <c r="L25" s="49">
        <v>1.75</v>
      </c>
      <c r="M25" s="49">
        <v>1.75</v>
      </c>
      <c r="N25" s="49">
        <v>1.75</v>
      </c>
      <c r="O25" s="49">
        <v>1.75</v>
      </c>
      <c r="P25" s="49">
        <v>1.75</v>
      </c>
      <c r="T25" s="76" t="str">
        <f>IF(T24="","",IF(EOMONTH(T24,0)+1&gt;Main!$K$6,"",EOMONTH(T24,0)+1))</f>
        <v/>
      </c>
    </row>
    <row r="26" spans="2:41" x14ac:dyDescent="0.2">
      <c r="B26" s="60" t="str">
        <f>LMPMain!E22</f>
        <v>DQE LP_GSGM_M</v>
      </c>
      <c r="C26" s="61" t="str">
        <f>LMPMain!F22</f>
        <v>PA</v>
      </c>
      <c r="D26" s="61" t="str">
        <f>LMPMain!H22</f>
        <v>DQE</v>
      </c>
      <c r="E26" s="62" t="str">
        <f>LMPMain!J22</f>
        <v>GS</v>
      </c>
      <c r="F26" s="52">
        <f>F11+L26</f>
        <v>2</v>
      </c>
      <c r="G26" s="52">
        <f t="shared" ref="G26:J26" si="5">G11+M26</f>
        <v>2</v>
      </c>
      <c r="H26" s="52">
        <f t="shared" si="5"/>
        <v>2</v>
      </c>
      <c r="I26" s="52">
        <f t="shared" si="5"/>
        <v>2</v>
      </c>
      <c r="J26" s="52">
        <f t="shared" si="5"/>
        <v>2</v>
      </c>
      <c r="L26" s="49">
        <v>1.75</v>
      </c>
      <c r="M26" s="49">
        <v>1.75</v>
      </c>
      <c r="N26" s="49">
        <v>1.75</v>
      </c>
      <c r="O26" s="49">
        <v>1.75</v>
      </c>
      <c r="P26" s="49">
        <v>1.75</v>
      </c>
      <c r="T26" s="76" t="str">
        <f>IF(T25="","",IF(EOMONTH(T25,0)+1&gt;Main!$K$6,"",EOMONTH(T25,0)+1))</f>
        <v/>
      </c>
    </row>
    <row r="27" spans="2:41" x14ac:dyDescent="0.2">
      <c r="B27" s="60" t="str">
        <f>LMPMain!E23</f>
        <v>Duke_OH_RC_DS01</v>
      </c>
      <c r="C27" s="61" t="str">
        <f>LMPMain!F23</f>
        <v>OH</v>
      </c>
      <c r="D27" s="61" t="str">
        <f>LMPMain!H23</f>
        <v>Duke</v>
      </c>
      <c r="E27" s="62" t="str">
        <f>LMPMain!J23</f>
        <v>DS</v>
      </c>
      <c r="F27" s="52">
        <f t="shared" si="4"/>
        <v>2</v>
      </c>
      <c r="G27" s="53">
        <f t="shared" si="0"/>
        <v>2</v>
      </c>
      <c r="H27" s="53">
        <f t="shared" si="1"/>
        <v>2</v>
      </c>
      <c r="I27" s="53">
        <f t="shared" si="2"/>
        <v>2</v>
      </c>
      <c r="J27" s="54">
        <f t="shared" si="3"/>
        <v>2</v>
      </c>
      <c r="L27" s="49">
        <v>1.75</v>
      </c>
      <c r="M27" s="49">
        <v>1.75</v>
      </c>
      <c r="N27" s="49">
        <v>1.75</v>
      </c>
      <c r="O27" s="49">
        <v>1.75</v>
      </c>
      <c r="P27" s="49">
        <v>1.75</v>
      </c>
      <c r="T27" s="76" t="str">
        <f>IF(T26="","",IF(EOMONTH(T26,0)+1&gt;Main!$K$6,"",EOMONTH(T26,0)+1))</f>
        <v/>
      </c>
    </row>
    <row r="28" spans="2:41" x14ac:dyDescent="0.2">
      <c r="B28" s="60" t="str">
        <f>LMPMain!E24</f>
        <v>FE_OE - test RC_GSF</v>
      </c>
      <c r="C28" s="61" t="str">
        <f>LMPMain!F24</f>
        <v>OH</v>
      </c>
      <c r="D28" s="61" t="str">
        <f>LMPMain!H24</f>
        <v>FE OH</v>
      </c>
      <c r="E28" s="62" t="str">
        <f>LMPMain!J24</f>
        <v>GS</v>
      </c>
      <c r="F28" s="52">
        <f t="shared" si="4"/>
        <v>2</v>
      </c>
      <c r="G28" s="53">
        <f t="shared" si="0"/>
        <v>2</v>
      </c>
      <c r="H28" s="53">
        <f t="shared" si="1"/>
        <v>2</v>
      </c>
      <c r="I28" s="53">
        <f t="shared" si="2"/>
        <v>2</v>
      </c>
      <c r="J28" s="54">
        <f t="shared" si="3"/>
        <v>2</v>
      </c>
      <c r="L28" s="49">
        <v>1.75</v>
      </c>
      <c r="M28" s="49">
        <v>1.75</v>
      </c>
      <c r="N28" s="49">
        <v>1.75</v>
      </c>
      <c r="O28" s="49">
        <v>1.75</v>
      </c>
      <c r="P28" s="49">
        <v>1.75</v>
      </c>
      <c r="T28" s="76" t="str">
        <f>IF(T27="","",IF(EOMONTH(T27,0)+1&gt;Main!$K$6,"",EOMONTH(T27,0)+1))</f>
        <v/>
      </c>
    </row>
    <row r="29" spans="2:41" x14ac:dyDescent="0.2">
      <c r="B29" s="60" t="str">
        <f>LMPMain!E25</f>
        <v>JCPL LP_GSCL</v>
      </c>
      <c r="C29" s="61" t="str">
        <f>LMPMain!F25</f>
        <v>NJ</v>
      </c>
      <c r="D29" s="61" t="str">
        <f>LMPMain!H25</f>
        <v>JCPL</v>
      </c>
      <c r="E29" s="62" t="str">
        <f>LMPMain!J25</f>
        <v>GSCL</v>
      </c>
      <c r="F29" s="52">
        <f t="shared" si="4"/>
        <v>2</v>
      </c>
      <c r="G29" s="53">
        <f t="shared" si="0"/>
        <v>2</v>
      </c>
      <c r="H29" s="53">
        <f t="shared" si="1"/>
        <v>2</v>
      </c>
      <c r="I29" s="53">
        <f t="shared" si="2"/>
        <v>2</v>
      </c>
      <c r="J29" s="54">
        <f t="shared" si="3"/>
        <v>2</v>
      </c>
      <c r="L29" s="49">
        <v>1.75</v>
      </c>
      <c r="M29" s="49">
        <v>1.75</v>
      </c>
      <c r="N29" s="49">
        <v>1.75</v>
      </c>
      <c r="O29" s="49">
        <v>1.75</v>
      </c>
      <c r="P29" s="49">
        <v>1.75</v>
      </c>
      <c r="T29" s="76" t="str">
        <f>IF(T28="","",IF(EOMONTH(T28,0)+1&gt;Main!$K$6,"",EOMONTH(T28,0)+1))</f>
        <v/>
      </c>
    </row>
    <row r="30" spans="2:41" x14ac:dyDescent="0.2">
      <c r="B30" s="60" t="str">
        <f>LMPMain!E26</f>
        <v>JCPL LP_GSCM</v>
      </c>
      <c r="C30" s="61" t="str">
        <f>LMPMain!F26</f>
        <v>NJ</v>
      </c>
      <c r="D30" s="61" t="str">
        <f>LMPMain!H26</f>
        <v>JCPL</v>
      </c>
      <c r="E30" s="62" t="str">
        <f>LMPMain!J26</f>
        <v>GSCM</v>
      </c>
      <c r="F30" s="52">
        <f t="shared" si="4"/>
        <v>2</v>
      </c>
      <c r="G30" s="53">
        <f t="shared" si="0"/>
        <v>2</v>
      </c>
      <c r="H30" s="53">
        <f t="shared" si="1"/>
        <v>2</v>
      </c>
      <c r="I30" s="53">
        <f t="shared" si="2"/>
        <v>2</v>
      </c>
      <c r="J30" s="54">
        <f t="shared" si="3"/>
        <v>2</v>
      </c>
      <c r="L30" s="49">
        <v>1.75</v>
      </c>
      <c r="M30" s="49">
        <v>1.75</v>
      </c>
      <c r="N30" s="49">
        <v>1.75</v>
      </c>
      <c r="O30" s="49">
        <v>1.75</v>
      </c>
      <c r="P30" s="49">
        <v>1.75</v>
      </c>
      <c r="T30" s="76" t="str">
        <f>IF(T29="","",IF(EOMONTH(T29,0)+1&gt;Main!$K$6,"",EOMONTH(T29,0)+1))</f>
        <v/>
      </c>
    </row>
    <row r="31" spans="2:41" x14ac:dyDescent="0.2">
      <c r="B31" s="60" t="str">
        <f>LMPMain!E27</f>
        <v>JCPL LP_GSCS</v>
      </c>
      <c r="C31" s="61" t="str">
        <f>LMPMain!F27</f>
        <v>NJ</v>
      </c>
      <c r="D31" s="61" t="str">
        <f>LMPMain!H27</f>
        <v>JCPL</v>
      </c>
      <c r="E31" s="62" t="str">
        <f>LMPMain!J27</f>
        <v>GSCS</v>
      </c>
      <c r="F31" s="52">
        <f t="shared" si="4"/>
        <v>2</v>
      </c>
      <c r="G31" s="53">
        <f t="shared" si="0"/>
        <v>2</v>
      </c>
      <c r="H31" s="53">
        <f t="shared" si="1"/>
        <v>2</v>
      </c>
      <c r="I31" s="53">
        <f t="shared" si="2"/>
        <v>2</v>
      </c>
      <c r="J31" s="54">
        <f t="shared" si="3"/>
        <v>2</v>
      </c>
      <c r="L31" s="49">
        <v>1.75</v>
      </c>
      <c r="M31" s="49">
        <v>1.75</v>
      </c>
      <c r="N31" s="49">
        <v>1.75</v>
      </c>
      <c r="O31" s="49">
        <v>1.75</v>
      </c>
      <c r="P31" s="49">
        <v>1.75</v>
      </c>
      <c r="T31" s="76" t="str">
        <f>IF(T30="","",IF(EOMONTH(T30,0)+1&gt;Main!$K$6,"",EOMONTH(T30,0)+1))</f>
        <v/>
      </c>
    </row>
    <row r="32" spans="2:41" x14ac:dyDescent="0.2">
      <c r="B32" s="60" t="str">
        <f>LMPMain!E28</f>
        <v>MetEd RC_GSLF</v>
      </c>
      <c r="C32" s="61" t="str">
        <f>LMPMain!F28</f>
        <v>PA</v>
      </c>
      <c r="D32" s="61" t="str">
        <f>LMPMain!H28</f>
        <v>MetED</v>
      </c>
      <c r="E32" s="62" t="str">
        <f>LMPMain!J28</f>
        <v>GSCL</v>
      </c>
      <c r="F32" s="52">
        <f t="shared" ref="F32:F48" si="6">L32+F$11</f>
        <v>2</v>
      </c>
      <c r="G32" s="53">
        <f t="shared" ref="G32:G48" si="7">M32+G$11</f>
        <v>2</v>
      </c>
      <c r="H32" s="53">
        <f t="shared" ref="H32:H48" si="8">N32+H$11</f>
        <v>2</v>
      </c>
      <c r="I32" s="53">
        <f t="shared" ref="I32:I48" si="9">O32+I$11</f>
        <v>2</v>
      </c>
      <c r="J32" s="54">
        <f t="shared" ref="J32:J48" si="10">P32+J$11</f>
        <v>2</v>
      </c>
      <c r="L32" s="49">
        <v>1.75</v>
      </c>
      <c r="M32" s="49">
        <v>1.75</v>
      </c>
      <c r="N32" s="49">
        <v>1.75</v>
      </c>
      <c r="O32" s="49">
        <v>1.75</v>
      </c>
      <c r="P32" s="49">
        <v>1.75</v>
      </c>
      <c r="T32" s="76" t="str">
        <f>IF(T31="","",IF(EOMONTH(T31,0)+1&gt;Main!$K$6,"",EOMONTH(T31,0)+1))</f>
        <v/>
      </c>
    </row>
    <row r="33" spans="2:20" x14ac:dyDescent="0.2">
      <c r="B33" s="60" t="str">
        <f>LMPMain!E29</f>
        <v>MetEd RC_GSDF</v>
      </c>
      <c r="C33" s="61" t="str">
        <f>LMPMain!F29</f>
        <v>PA</v>
      </c>
      <c r="D33" s="61" t="str">
        <f>LMPMain!H29</f>
        <v>MetED</v>
      </c>
      <c r="E33" s="62" t="str">
        <f>LMPMain!J29</f>
        <v>GSCM</v>
      </c>
      <c r="F33" s="52">
        <f t="shared" si="6"/>
        <v>2</v>
      </c>
      <c r="G33" s="53">
        <f t="shared" si="7"/>
        <v>2</v>
      </c>
      <c r="H33" s="53">
        <f t="shared" si="8"/>
        <v>2</v>
      </c>
      <c r="I33" s="53">
        <f t="shared" si="9"/>
        <v>2</v>
      </c>
      <c r="J33" s="54">
        <f t="shared" si="10"/>
        <v>2</v>
      </c>
      <c r="L33" s="49">
        <v>1.75</v>
      </c>
      <c r="M33" s="49">
        <v>1.75</v>
      </c>
      <c r="N33" s="49">
        <v>1.75</v>
      </c>
      <c r="O33" s="49">
        <v>1.75</v>
      </c>
      <c r="P33" s="49">
        <v>1.75</v>
      </c>
      <c r="T33" s="76" t="str">
        <f>IF(T32="","",IF(EOMONTH(T32,0)+1&gt;Main!$K$6,"",EOMONTH(T32,0)+1))</f>
        <v/>
      </c>
    </row>
    <row r="34" spans="2:20" x14ac:dyDescent="0.2">
      <c r="B34" s="60" t="str">
        <f>LMPMain!E30</f>
        <v>MetEd RC_GSSF</v>
      </c>
      <c r="C34" s="61" t="str">
        <f>LMPMain!F30</f>
        <v>PA</v>
      </c>
      <c r="D34" s="61" t="str">
        <f>LMPMain!H30</f>
        <v>MetED</v>
      </c>
      <c r="E34" s="62" t="str">
        <f>LMPMain!J30</f>
        <v>GSCS</v>
      </c>
      <c r="F34" s="52">
        <f t="shared" si="6"/>
        <v>2</v>
      </c>
      <c r="G34" s="53">
        <f t="shared" si="7"/>
        <v>2</v>
      </c>
      <c r="H34" s="53">
        <f t="shared" si="8"/>
        <v>2</v>
      </c>
      <c r="I34" s="53">
        <f t="shared" si="9"/>
        <v>2</v>
      </c>
      <c r="J34" s="54">
        <f t="shared" si="10"/>
        <v>2</v>
      </c>
      <c r="L34" s="49">
        <v>1.75</v>
      </c>
      <c r="M34" s="49">
        <v>1.75</v>
      </c>
      <c r="N34" s="49">
        <v>1.75</v>
      </c>
      <c r="O34" s="49">
        <v>1.75</v>
      </c>
      <c r="P34" s="49">
        <v>1.75</v>
      </c>
      <c r="T34" s="76" t="str">
        <f>IF(T33="","",IF(EOMONTH(T33,0)+1&gt;Main!$K$6,"",EOMONTH(T33,0)+1))</f>
        <v/>
      </c>
    </row>
    <row r="35" spans="2:20" x14ac:dyDescent="0.2">
      <c r="B35" s="60" t="str">
        <f>LMPMain!E31</f>
        <v>PECO LP_GS</v>
      </c>
      <c r="C35" s="61" t="str">
        <f>LMPMain!F31</f>
        <v>PA</v>
      </c>
      <c r="D35" s="61" t="str">
        <f>LMPMain!H31</f>
        <v>PECO</v>
      </c>
      <c r="E35" s="62" t="str">
        <f>LMPMain!J31</f>
        <v>GS</v>
      </c>
      <c r="F35" s="52">
        <f t="shared" si="6"/>
        <v>2</v>
      </c>
      <c r="G35" s="53">
        <f t="shared" si="7"/>
        <v>2</v>
      </c>
      <c r="H35" s="53">
        <f t="shared" si="8"/>
        <v>2</v>
      </c>
      <c r="I35" s="53">
        <f t="shared" si="9"/>
        <v>2</v>
      </c>
      <c r="J35" s="54">
        <f t="shared" si="10"/>
        <v>2</v>
      </c>
      <c r="L35" s="49">
        <v>1.75</v>
      </c>
      <c r="M35" s="49">
        <v>1.75</v>
      </c>
      <c r="N35" s="49">
        <v>1.75</v>
      </c>
      <c r="O35" s="49">
        <v>1.75</v>
      </c>
      <c r="P35" s="49">
        <v>1.75</v>
      </c>
      <c r="T35" s="76" t="str">
        <f>IF(T34="","",IF(EOMONTH(T34,0)+1&gt;Main!$K$6,"",EOMONTH(T34,0)+1))</f>
        <v/>
      </c>
    </row>
    <row r="36" spans="2:20" x14ac:dyDescent="0.2">
      <c r="B36" s="60" t="str">
        <f>LMPMain!E32</f>
        <v>Penelec RC_GSLF</v>
      </c>
      <c r="C36" s="61" t="str">
        <f>LMPMain!F32</f>
        <v>PA</v>
      </c>
      <c r="D36" s="61" t="str">
        <f>LMPMain!H32</f>
        <v>Penelec</v>
      </c>
      <c r="E36" s="62" t="str">
        <f>LMPMain!J32</f>
        <v>GSCL</v>
      </c>
      <c r="F36" s="52">
        <f t="shared" si="6"/>
        <v>2</v>
      </c>
      <c r="G36" s="53">
        <f t="shared" si="7"/>
        <v>2</v>
      </c>
      <c r="H36" s="53">
        <f t="shared" si="8"/>
        <v>2</v>
      </c>
      <c r="I36" s="53">
        <f t="shared" si="9"/>
        <v>2</v>
      </c>
      <c r="J36" s="54">
        <f t="shared" si="10"/>
        <v>2</v>
      </c>
      <c r="L36" s="49">
        <v>1.75</v>
      </c>
      <c r="M36" s="49">
        <v>1.75</v>
      </c>
      <c r="N36" s="49">
        <v>1.75</v>
      </c>
      <c r="O36" s="49">
        <v>1.75</v>
      </c>
      <c r="P36" s="49">
        <v>1.75</v>
      </c>
      <c r="T36" s="76" t="str">
        <f>IF(T35="","",IF(EOMONTH(T35,0)+1&gt;Main!$K$6,"",EOMONTH(T35,0)+1))</f>
        <v/>
      </c>
    </row>
    <row r="37" spans="2:20" x14ac:dyDescent="0.2">
      <c r="B37" s="60" t="str">
        <f>LMPMain!E33</f>
        <v>Penelec RC_GSMF</v>
      </c>
      <c r="C37" s="61" t="str">
        <f>LMPMain!F33</f>
        <v>PA</v>
      </c>
      <c r="D37" s="61" t="str">
        <f>LMPMain!H33</f>
        <v>Penelec</v>
      </c>
      <c r="E37" s="62" t="str">
        <f>LMPMain!J33</f>
        <v>GSCM</v>
      </c>
      <c r="F37" s="52">
        <f t="shared" si="6"/>
        <v>2</v>
      </c>
      <c r="G37" s="53">
        <f t="shared" si="7"/>
        <v>2</v>
      </c>
      <c r="H37" s="53">
        <f t="shared" si="8"/>
        <v>2</v>
      </c>
      <c r="I37" s="53">
        <f t="shared" si="9"/>
        <v>2</v>
      </c>
      <c r="J37" s="54">
        <f t="shared" si="10"/>
        <v>2</v>
      </c>
      <c r="L37" s="49">
        <v>1.75</v>
      </c>
      <c r="M37" s="49">
        <v>1.75</v>
      </c>
      <c r="N37" s="49">
        <v>1.75</v>
      </c>
      <c r="O37" s="49">
        <v>1.75</v>
      </c>
      <c r="P37" s="49">
        <v>1.75</v>
      </c>
    </row>
    <row r="38" spans="2:20" x14ac:dyDescent="0.2">
      <c r="B38" s="60" t="str">
        <f>LMPMain!E34</f>
        <v>Penelec RC_GSSF</v>
      </c>
      <c r="C38" s="61" t="str">
        <f>LMPMain!F34</f>
        <v>PA</v>
      </c>
      <c r="D38" s="61" t="str">
        <f>LMPMain!H34</f>
        <v>Penelec</v>
      </c>
      <c r="E38" s="62" t="str">
        <f>LMPMain!J34</f>
        <v>GSCS</v>
      </c>
      <c r="F38" s="52">
        <f t="shared" si="6"/>
        <v>2</v>
      </c>
      <c r="G38" s="53">
        <f t="shared" si="7"/>
        <v>2</v>
      </c>
      <c r="H38" s="53">
        <f t="shared" si="8"/>
        <v>2</v>
      </c>
      <c r="I38" s="53">
        <f t="shared" si="9"/>
        <v>2</v>
      </c>
      <c r="J38" s="54">
        <f t="shared" si="10"/>
        <v>2</v>
      </c>
      <c r="L38" s="49">
        <v>1.75</v>
      </c>
      <c r="M38" s="49">
        <v>1.75</v>
      </c>
      <c r="N38" s="49">
        <v>1.75</v>
      </c>
      <c r="O38" s="49">
        <v>1.75</v>
      </c>
      <c r="P38" s="49">
        <v>1.75</v>
      </c>
    </row>
    <row r="39" spans="2:20" x14ac:dyDescent="0.2">
      <c r="B39" s="60" t="str">
        <f>LMPMain!E35</f>
        <v>Penn Power RC_GMD</v>
      </c>
      <c r="C39" s="61" t="str">
        <f>LMPMain!F35</f>
        <v>PA</v>
      </c>
      <c r="D39" s="61" t="str">
        <f>LMPMain!H35</f>
        <v>Penn Pwr</v>
      </c>
      <c r="E39" s="62" t="str">
        <f>LMPMain!J35</f>
        <v>GS</v>
      </c>
      <c r="F39" s="52">
        <f t="shared" si="6"/>
        <v>2</v>
      </c>
      <c r="G39" s="53">
        <f t="shared" si="7"/>
        <v>2</v>
      </c>
      <c r="H39" s="53">
        <f t="shared" si="8"/>
        <v>2</v>
      </c>
      <c r="I39" s="53">
        <f t="shared" si="9"/>
        <v>2</v>
      </c>
      <c r="J39" s="54">
        <f t="shared" si="10"/>
        <v>2</v>
      </c>
      <c r="L39" s="49">
        <v>1.75</v>
      </c>
      <c r="M39" s="49">
        <v>1.75</v>
      </c>
      <c r="N39" s="49">
        <v>1.75</v>
      </c>
      <c r="O39" s="49">
        <v>1.75</v>
      </c>
      <c r="P39" s="49">
        <v>1.75</v>
      </c>
    </row>
    <row r="40" spans="2:20" x14ac:dyDescent="0.2">
      <c r="B40" s="60" t="str">
        <f>LMPMain!E36</f>
        <v>PEPCO MD LP_MDND</v>
      </c>
      <c r="C40" s="61" t="str">
        <f>LMPMain!F36</f>
        <v>MD</v>
      </c>
      <c r="D40" s="61" t="str">
        <f>LMPMain!H36</f>
        <v>PEPCO</v>
      </c>
      <c r="E40" s="62" t="str">
        <f>LMPMain!J36</f>
        <v>GS</v>
      </c>
      <c r="F40" s="52">
        <f t="shared" si="6"/>
        <v>2</v>
      </c>
      <c r="G40" s="53">
        <f t="shared" si="7"/>
        <v>2</v>
      </c>
      <c r="H40" s="53">
        <f t="shared" si="8"/>
        <v>2</v>
      </c>
      <c r="I40" s="53">
        <f t="shared" si="9"/>
        <v>2</v>
      </c>
      <c r="J40" s="54">
        <f t="shared" si="10"/>
        <v>2</v>
      </c>
      <c r="L40" s="49">
        <v>1.75</v>
      </c>
      <c r="M40" s="49">
        <v>1.75</v>
      </c>
      <c r="N40" s="49">
        <v>1.75</v>
      </c>
      <c r="O40" s="49">
        <v>1.75</v>
      </c>
      <c r="P40" s="49">
        <v>1.75</v>
      </c>
    </row>
    <row r="41" spans="2:20" x14ac:dyDescent="0.2">
      <c r="B41" s="60" t="str">
        <f>LMPMain!E37</f>
        <v>PEPCO MD LP_MMGTL2A</v>
      </c>
      <c r="C41" s="61" t="str">
        <f>LMPMain!F37</f>
        <v>MD</v>
      </c>
      <c r="D41" s="61" t="str">
        <f>LMPMain!H37</f>
        <v>PEPCO</v>
      </c>
      <c r="E41" s="62" t="str">
        <f>LMPMain!J37</f>
        <v>MGT LV II</v>
      </c>
      <c r="F41" s="52">
        <f t="shared" si="6"/>
        <v>2</v>
      </c>
      <c r="G41" s="53">
        <f t="shared" si="7"/>
        <v>2</v>
      </c>
      <c r="H41" s="53">
        <f t="shared" si="8"/>
        <v>2</v>
      </c>
      <c r="I41" s="53">
        <f t="shared" si="9"/>
        <v>2</v>
      </c>
      <c r="J41" s="54">
        <f t="shared" si="10"/>
        <v>2</v>
      </c>
      <c r="L41" s="49">
        <v>1.75</v>
      </c>
      <c r="M41" s="49">
        <v>1.75</v>
      </c>
      <c r="N41" s="49">
        <v>1.75</v>
      </c>
      <c r="O41" s="49">
        <v>1.75</v>
      </c>
      <c r="P41" s="49">
        <v>1.75</v>
      </c>
    </row>
    <row r="42" spans="2:20" x14ac:dyDescent="0.2">
      <c r="B42" s="60" t="str">
        <f>LMPMain!E38</f>
        <v>PEPCO MD RC_3T7</v>
      </c>
      <c r="C42" s="61" t="str">
        <f>LMPMain!F38</f>
        <v>MD</v>
      </c>
      <c r="D42" s="61" t="str">
        <f>LMPMain!H38</f>
        <v>PEPCO</v>
      </c>
      <c r="E42" s="62" t="str">
        <f>LMPMain!J38</f>
        <v>RC_3T7</v>
      </c>
      <c r="F42" s="52">
        <f t="shared" si="6"/>
        <v>2</v>
      </c>
      <c r="G42" s="53">
        <f t="shared" si="7"/>
        <v>2</v>
      </c>
      <c r="H42" s="53">
        <f t="shared" si="8"/>
        <v>2</v>
      </c>
      <c r="I42" s="53">
        <f t="shared" si="9"/>
        <v>2</v>
      </c>
      <c r="J42" s="54">
        <f t="shared" si="10"/>
        <v>2</v>
      </c>
      <c r="L42" s="49">
        <v>1.75</v>
      </c>
      <c r="M42" s="49">
        <v>1.75</v>
      </c>
      <c r="N42" s="49">
        <v>1.75</v>
      </c>
      <c r="O42" s="49">
        <v>1.75</v>
      </c>
      <c r="P42" s="49">
        <v>1.75</v>
      </c>
    </row>
    <row r="43" spans="2:20" x14ac:dyDescent="0.2">
      <c r="B43" s="60" t="str">
        <f>LMPMain!E39</f>
        <v>Potomac Edison LP_GSCM_M</v>
      </c>
      <c r="C43" s="61" t="str">
        <f>LMPMain!F39</f>
        <v>MD</v>
      </c>
      <c r="D43" s="61" t="str">
        <f>LMPMain!H39</f>
        <v>Potomac Edison</v>
      </c>
      <c r="E43" s="62" t="str">
        <f>LMPMain!J39</f>
        <v>GS</v>
      </c>
      <c r="F43" s="52">
        <f t="shared" si="6"/>
        <v>2</v>
      </c>
      <c r="G43" s="53">
        <f t="shared" si="7"/>
        <v>2</v>
      </c>
      <c r="H43" s="53">
        <f t="shared" si="8"/>
        <v>2</v>
      </c>
      <c r="I43" s="53">
        <f t="shared" si="9"/>
        <v>2</v>
      </c>
      <c r="J43" s="54">
        <f t="shared" si="10"/>
        <v>2</v>
      </c>
      <c r="L43" s="49">
        <v>1.75</v>
      </c>
      <c r="M43" s="49">
        <v>1.75</v>
      </c>
      <c r="N43" s="49">
        <v>1.75</v>
      </c>
      <c r="O43" s="49">
        <v>1.75</v>
      </c>
      <c r="P43" s="49">
        <v>1.75</v>
      </c>
    </row>
    <row r="44" spans="2:20" x14ac:dyDescent="0.2">
      <c r="B44" s="60" t="str">
        <f>LMPMain!E40</f>
        <v>PPL - TEST RCGS1</v>
      </c>
      <c r="C44" s="61" t="str">
        <f>LMPMain!F40</f>
        <v>PA</v>
      </c>
      <c r="D44" s="61" t="str">
        <f>LMPMain!H40</f>
        <v>PPL</v>
      </c>
      <c r="E44" s="62" t="str">
        <f>LMPMain!J40</f>
        <v>GS1</v>
      </c>
      <c r="F44" s="52">
        <f t="shared" si="6"/>
        <v>2</v>
      </c>
      <c r="G44" s="53">
        <f t="shared" si="7"/>
        <v>2</v>
      </c>
      <c r="H44" s="53">
        <f t="shared" si="8"/>
        <v>2</v>
      </c>
      <c r="I44" s="53">
        <f t="shared" si="9"/>
        <v>2</v>
      </c>
      <c r="J44" s="54">
        <f t="shared" si="10"/>
        <v>2</v>
      </c>
      <c r="L44" s="49">
        <v>1.75</v>
      </c>
      <c r="M44" s="49">
        <v>1.75</v>
      </c>
      <c r="N44" s="49">
        <v>1.75</v>
      </c>
      <c r="O44" s="49">
        <v>1.75</v>
      </c>
      <c r="P44" s="49">
        <v>1.75</v>
      </c>
    </row>
    <row r="45" spans="2:20" x14ac:dyDescent="0.2">
      <c r="B45" s="60" t="str">
        <f>LMPMain!E41</f>
        <v>PPL - TEST RCGS3</v>
      </c>
      <c r="C45" s="61" t="str">
        <f>LMPMain!F41</f>
        <v>PA</v>
      </c>
      <c r="D45" s="61" t="str">
        <f>LMPMain!H41</f>
        <v>PPL</v>
      </c>
      <c r="E45" s="62" t="str">
        <f>LMPMain!J41</f>
        <v>GS3</v>
      </c>
      <c r="F45" s="52">
        <f t="shared" si="6"/>
        <v>2</v>
      </c>
      <c r="G45" s="53">
        <f t="shared" si="7"/>
        <v>2</v>
      </c>
      <c r="H45" s="53">
        <f t="shared" si="8"/>
        <v>2</v>
      </c>
      <c r="I45" s="53">
        <f t="shared" si="9"/>
        <v>2</v>
      </c>
      <c r="J45" s="54">
        <f t="shared" si="10"/>
        <v>2</v>
      </c>
      <c r="L45" s="49">
        <v>1.75</v>
      </c>
      <c r="M45" s="49">
        <v>1.75</v>
      </c>
      <c r="N45" s="49">
        <v>1.75</v>
      </c>
      <c r="O45" s="49">
        <v>1.75</v>
      </c>
      <c r="P45" s="49">
        <v>1.75</v>
      </c>
    </row>
    <row r="46" spans="2:20" x14ac:dyDescent="0.2">
      <c r="B46" s="60" t="str">
        <f>LMPMain!E42</f>
        <v>PSEG LP_GLP_M</v>
      </c>
      <c r="C46" s="61" t="str">
        <f>LMPMain!F42</f>
        <v>NJ</v>
      </c>
      <c r="D46" s="61" t="str">
        <f>LMPMain!H42</f>
        <v>PSEG</v>
      </c>
      <c r="E46" s="62" t="str">
        <f>LMPMain!J42</f>
        <v>GLP</v>
      </c>
      <c r="F46" s="52">
        <f t="shared" si="6"/>
        <v>2</v>
      </c>
      <c r="G46" s="53">
        <f t="shared" si="7"/>
        <v>2</v>
      </c>
      <c r="H46" s="53">
        <f t="shared" si="8"/>
        <v>2</v>
      </c>
      <c r="I46" s="53">
        <f t="shared" si="9"/>
        <v>2</v>
      </c>
      <c r="J46" s="54">
        <f t="shared" si="10"/>
        <v>2</v>
      </c>
      <c r="L46" s="49">
        <v>1.75</v>
      </c>
      <c r="M46" s="49">
        <v>1.75</v>
      </c>
      <c r="N46" s="49">
        <v>1.75</v>
      </c>
      <c r="O46" s="49">
        <v>1.75</v>
      </c>
      <c r="P46" s="49">
        <v>1.75</v>
      </c>
    </row>
    <row r="47" spans="2:20" x14ac:dyDescent="0.2">
      <c r="B47" s="60" t="str">
        <f>LMPMain!E43</f>
        <v>PSEG LP_LPL</v>
      </c>
      <c r="C47" s="61" t="str">
        <f>LMPMain!F43</f>
        <v>NJ</v>
      </c>
      <c r="D47" s="61" t="str">
        <f>LMPMain!H43</f>
        <v>PSEG</v>
      </c>
      <c r="E47" s="62" t="str">
        <f>LMPMain!J43</f>
        <v>LPL</v>
      </c>
      <c r="F47" s="52">
        <f t="shared" si="6"/>
        <v>2</v>
      </c>
      <c r="G47" s="53">
        <f t="shared" si="7"/>
        <v>2</v>
      </c>
      <c r="H47" s="53">
        <f t="shared" si="8"/>
        <v>2</v>
      </c>
      <c r="I47" s="53">
        <f t="shared" si="9"/>
        <v>2</v>
      </c>
      <c r="J47" s="54">
        <f t="shared" si="10"/>
        <v>2</v>
      </c>
      <c r="L47" s="49">
        <v>1.75</v>
      </c>
      <c r="M47" s="49">
        <v>1.75</v>
      </c>
      <c r="N47" s="49">
        <v>1.75</v>
      </c>
      <c r="O47" s="49">
        <v>1.75</v>
      </c>
      <c r="P47" s="49">
        <v>1.75</v>
      </c>
    </row>
    <row r="48" spans="2:20" x14ac:dyDescent="0.2">
      <c r="B48" s="63" t="str">
        <f>LMPMain!E44</f>
        <v>West Penn Power LP_GSCM</v>
      </c>
      <c r="C48" s="64" t="str">
        <f>LMPMain!F44</f>
        <v>PA</v>
      </c>
      <c r="D48" s="64" t="str">
        <f>LMPMain!H44</f>
        <v>WPP</v>
      </c>
      <c r="E48" s="65" t="str">
        <f>LMPMain!J44</f>
        <v>GS20</v>
      </c>
      <c r="F48" s="52">
        <f t="shared" si="6"/>
        <v>2</v>
      </c>
      <c r="G48" s="53">
        <f t="shared" si="7"/>
        <v>2</v>
      </c>
      <c r="H48" s="53">
        <f t="shared" si="8"/>
        <v>2</v>
      </c>
      <c r="I48" s="53">
        <f t="shared" si="9"/>
        <v>2</v>
      </c>
      <c r="J48" s="54">
        <f t="shared" si="10"/>
        <v>2</v>
      </c>
      <c r="L48" s="49">
        <v>1.75</v>
      </c>
      <c r="M48" s="49">
        <v>1.75</v>
      </c>
      <c r="N48" s="49">
        <v>1.75</v>
      </c>
      <c r="O48" s="49">
        <v>1.75</v>
      </c>
      <c r="P48" s="49">
        <v>1.75</v>
      </c>
    </row>
  </sheetData>
  <sheetProtection algorithmName="SHA-512" hashValue="7Y6aXpf6rR+EOcQmc24+mOcdS+Li5zqTow5jzOLAvymf0gRQ0Z0atYAOAX+ynpuXoWTLXWfJ0xvS/UYarEB9rQ==" saltValue="JcinGmGx8BcOSUchmoWWBw==" spinCount="100000" sheet="1" scenarios="1" autoFilter="0"/>
  <sortState ref="B4:G114">
    <sortCondition ref="B4:B114"/>
  </sortState>
  <dataConsolidate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0.39997558519241921"/>
    <pageSetUpPr fitToPage="1"/>
  </sheetPr>
  <dimension ref="A1:Q60"/>
  <sheetViews>
    <sheetView showGridLines="0" tabSelected="1" zoomScale="85" zoomScaleNormal="85" workbookViewId="0">
      <pane ySplit="13" topLeftCell="A47" activePane="bottomLeft" state="frozen"/>
      <selection activeCell="A2" sqref="A2:F2"/>
      <selection pane="bottomLeft" activeCell="D11" sqref="D11"/>
    </sheetView>
  </sheetViews>
  <sheetFormatPr defaultRowHeight="15" x14ac:dyDescent="0.25"/>
  <cols>
    <col min="1" max="1" width="3.83203125" style="100" customWidth="1"/>
    <col min="2" max="2" width="2.5" style="100" customWidth="1"/>
    <col min="3" max="3" width="25.33203125" style="100" customWidth="1"/>
    <col min="4" max="5" width="14.5" style="100" customWidth="1"/>
    <col min="6" max="6" width="16.6640625" style="100" customWidth="1"/>
    <col min="7" max="7" width="26.5" style="100" customWidth="1"/>
    <col min="8" max="8" width="20.33203125" style="100" customWidth="1"/>
    <col min="9" max="9" width="11.5" style="100" customWidth="1"/>
    <col min="10" max="10" width="11.1640625" style="100" customWidth="1"/>
    <col min="11" max="11" width="12" style="100" customWidth="1"/>
    <col min="12" max="13" width="11.5" style="100" customWidth="1"/>
    <col min="14" max="14" width="13.1640625" style="100" customWidth="1"/>
    <col min="15" max="15" width="2.5" style="100" customWidth="1"/>
    <col min="16" max="16" width="3.83203125" style="100" customWidth="1"/>
    <col min="17" max="16384" width="9.33203125" style="100"/>
  </cols>
  <sheetData>
    <row r="1" spans="1:15" ht="5.25" customHeight="1" x14ac:dyDescent="0.25"/>
    <row r="2" spans="1:15" s="101" customFormat="1" ht="18.75" x14ac:dyDescent="0.3">
      <c r="C2" s="102" t="s">
        <v>56</v>
      </c>
      <c r="D2" s="11">
        <v>0</v>
      </c>
      <c r="E2" s="103" t="s">
        <v>98</v>
      </c>
      <c r="M2" s="11" t="s">
        <v>691</v>
      </c>
      <c r="N2" s="11"/>
      <c r="O2" s="103" t="s">
        <v>98</v>
      </c>
    </row>
    <row r="3" spans="1:15" ht="5.25" customHeight="1" thickBot="1" x14ac:dyDescent="0.3">
      <c r="B3" s="104"/>
      <c r="M3" s="200"/>
    </row>
    <row r="4" spans="1:15" ht="5.25" customHeight="1" x14ac:dyDescent="0.25"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7"/>
    </row>
    <row r="5" spans="1:15" ht="26.25" x14ac:dyDescent="0.4">
      <c r="B5" s="108"/>
      <c r="C5" s="109"/>
      <c r="D5" s="109"/>
      <c r="E5" s="109"/>
      <c r="F5" s="109"/>
      <c r="G5" s="110"/>
      <c r="H5" s="110"/>
      <c r="I5" s="110"/>
      <c r="J5" s="110"/>
      <c r="K5" s="110"/>
      <c r="L5" s="111"/>
      <c r="M5" s="111"/>
      <c r="N5" s="111"/>
      <c r="O5" s="112"/>
    </row>
    <row r="6" spans="1:15" ht="11.25" customHeight="1" x14ac:dyDescent="0.25">
      <c r="B6" s="108"/>
      <c r="C6" s="215" t="s">
        <v>747</v>
      </c>
      <c r="D6" s="215"/>
      <c r="E6" s="215"/>
      <c r="F6" s="215"/>
      <c r="G6" s="215"/>
      <c r="H6" s="110"/>
      <c r="I6" s="110"/>
      <c r="J6" s="110"/>
      <c r="K6" s="110"/>
      <c r="L6" s="111"/>
      <c r="M6" s="111"/>
      <c r="N6" s="111"/>
      <c r="O6" s="112"/>
    </row>
    <row r="7" spans="1:15" ht="11.25" customHeight="1" x14ac:dyDescent="0.25">
      <c r="B7" s="108"/>
      <c r="C7" s="215"/>
      <c r="D7" s="215"/>
      <c r="E7" s="215"/>
      <c r="F7" s="215"/>
      <c r="G7" s="215"/>
      <c r="H7" s="113"/>
      <c r="I7" s="113"/>
      <c r="J7" s="113"/>
      <c r="K7" s="113"/>
      <c r="L7" s="111"/>
      <c r="M7" s="111"/>
      <c r="N7" s="111"/>
      <c r="O7" s="112"/>
    </row>
    <row r="8" spans="1:15" x14ac:dyDescent="0.25">
      <c r="B8" s="108"/>
      <c r="C8" s="214">
        <f>Main!$K$2</f>
        <v>42129</v>
      </c>
      <c r="D8" s="111"/>
      <c r="G8" s="113"/>
      <c r="H8" s="113"/>
      <c r="I8" s="113"/>
      <c r="J8" s="113"/>
      <c r="K8" s="113"/>
      <c r="L8" s="111"/>
      <c r="M8" s="111"/>
      <c r="N8" s="111"/>
      <c r="O8" s="112"/>
    </row>
    <row r="9" spans="1:15" ht="10.5" customHeight="1" x14ac:dyDescent="0.25">
      <c r="B9" s="108"/>
      <c r="C9" s="214"/>
      <c r="D9" s="116"/>
      <c r="G9" s="113"/>
      <c r="H9" s="113"/>
      <c r="I9" s="113"/>
      <c r="J9" s="113"/>
      <c r="K9" s="113"/>
      <c r="L9" s="117" t="s">
        <v>101</v>
      </c>
      <c r="M9" s="118" t="s">
        <v>102</v>
      </c>
      <c r="N9" s="111"/>
      <c r="O9" s="112"/>
    </row>
    <row r="10" spans="1:15" ht="18" x14ac:dyDescent="0.25">
      <c r="B10" s="108"/>
      <c r="C10" s="114" t="s">
        <v>0</v>
      </c>
      <c r="G10" s="113"/>
      <c r="H10" s="120"/>
      <c r="I10" s="120"/>
      <c r="J10" s="120"/>
      <c r="K10" s="120"/>
      <c r="L10" s="120">
        <f>IF([4]Matrix!L2="Prices in $/kWh",1000,1)</f>
        <v>1</v>
      </c>
      <c r="M10" s="121">
        <f>IF([4]Matrix!L2="Prices in $/kWh",2,1)</f>
        <v>1</v>
      </c>
      <c r="N10" s="121"/>
      <c r="O10" s="112"/>
    </row>
    <row r="11" spans="1:15" ht="18" customHeight="1" thickBot="1" x14ac:dyDescent="0.3">
      <c r="B11" s="108"/>
      <c r="C11" s="114" t="s">
        <v>96</v>
      </c>
      <c r="D11" s="144" t="s">
        <v>39</v>
      </c>
      <c r="E11" s="119" t="s">
        <v>106</v>
      </c>
      <c r="F11" s="144">
        <f>Main!$K$5</f>
        <v>42156</v>
      </c>
      <c r="G11" s="113"/>
      <c r="H11" s="121"/>
      <c r="I11" s="121"/>
      <c r="J11" s="121"/>
      <c r="K11" s="121"/>
      <c r="L11" s="121">
        <v>3</v>
      </c>
      <c r="M11" s="121">
        <v>4</v>
      </c>
      <c r="N11" s="121">
        <v>5</v>
      </c>
      <c r="O11" s="112"/>
    </row>
    <row r="12" spans="1:15" ht="16.5" thickBot="1" x14ac:dyDescent="0.3">
      <c r="B12" s="108"/>
      <c r="C12" s="111"/>
      <c r="D12" s="111"/>
      <c r="E12" s="111"/>
      <c r="F12" s="111"/>
      <c r="G12" s="111"/>
      <c r="H12" s="111"/>
      <c r="I12" s="193" t="str">
        <f>IF(Matrix!M2="Prices in $/kWh","Fixed - Term (mths) - $/kWh","Fixed - Term (mths) - $/MWh")</f>
        <v>Fixed - Term (mths) - $/MWh</v>
      </c>
      <c r="J12" s="194"/>
      <c r="K12" s="194"/>
      <c r="L12" s="195" t="str">
        <f>IF(Matrix!M2="Prices in $/kWh","Real Time SPP - Term (mths) - $/kWh","Real Time SPP - Term (mths) - $/MWh")</f>
        <v>Real Time SPP - Term (mths) - $/MWh</v>
      </c>
      <c r="M12" s="196"/>
      <c r="N12" s="197"/>
      <c r="O12" s="112"/>
    </row>
    <row r="13" spans="1:15" ht="33.75" customHeight="1" x14ac:dyDescent="0.25">
      <c r="A13" s="122">
        <f>COUNTIF(A14:A25,"&gt;0")</f>
        <v>8</v>
      </c>
      <c r="B13" s="123">
        <v>0</v>
      </c>
      <c r="C13" s="124" t="s">
        <v>1</v>
      </c>
      <c r="D13" s="124" t="s">
        <v>2</v>
      </c>
      <c r="E13" s="124" t="s">
        <v>3</v>
      </c>
      <c r="F13" s="124" t="s">
        <v>4</v>
      </c>
      <c r="G13" s="124" t="s">
        <v>95</v>
      </c>
      <c r="H13" s="124" t="s">
        <v>57</v>
      </c>
      <c r="I13" s="125" t="s">
        <v>58</v>
      </c>
      <c r="J13" s="125" t="s">
        <v>59</v>
      </c>
      <c r="K13" s="126" t="s">
        <v>60</v>
      </c>
      <c r="L13" s="198" t="s">
        <v>58</v>
      </c>
      <c r="M13" s="125" t="s">
        <v>59</v>
      </c>
      <c r="N13" s="126" t="s">
        <v>60</v>
      </c>
      <c r="O13" s="112"/>
    </row>
    <row r="14" spans="1:15" x14ac:dyDescent="0.25">
      <c r="A14" s="122">
        <f>SUMPRODUCT( MAX( ((LMPMain!$F$9:$F$1000)=$D$11)*(LMPMain!$C$9:$C$1000)) )</f>
        <v>31</v>
      </c>
      <c r="B14" s="123">
        <f>IF($D$11="IL",IF(B13="","",IF(B13+2&lt;=$A$13,B13+2,"")),IF(B13="","",IF(B13+1&lt;=$A$13,B13+1,"")))</f>
        <v>1</v>
      </c>
      <c r="C14" s="127">
        <f>IF(B14="","",$F$11)</f>
        <v>42156</v>
      </c>
      <c r="D14" s="128" t="str">
        <f>IF($B14="","",$D$11)</f>
        <v>MD</v>
      </c>
      <c r="E14" s="129" t="str">
        <f ca="1">IF(ISERROR(VLOOKUP(SMALL(OFFSET($A$14,0,0,$A$13,1),$B14),LMPMain!$A$9:$H$1000,8,FALSE)),"",VLOOKUP(SMALL(OFFSET($A$14,0,0,$A$13,1),$B14),LMPMain!$A$9:$H$1000,8,FALSE))</f>
        <v>BGE</v>
      </c>
      <c r="F14" s="128" t="str">
        <f ca="1">IF( ISERROR(VLOOKUP(SMALL(OFFSET($A$14,0,0,$A$13,1),$B14),LMPMain!$A$9:$J$1000,10,FALSE)),"",VLOOKUP(SMALL(OFFSET($A$14,0,0,$A$13,1),$B14),LMPMain!$A$9:$J$1000,10,FALSE))</f>
        <v>GL</v>
      </c>
      <c r="G14" s="129" t="str">
        <f ca="1">IF(ISERROR(VLOOKUP(SUMPRODUCT( ((LMPMain!$H$9:$H$1000)=$E14)*((LMPMain!$J$9:$J$1000)=$F14)*((LMPMain!$O$9:$O$1000)=$C14)*(LMPMain!A$9:A$1000)),LMPMain!$A$9:$K$1000,11,FALSE)),"",VLOOKUP(SUMPRODUCT( ((LMPMain!$H$9:$H$1000)=$E14)*((LMPMain!$J$9:$J$1000)=$F14)*((LMPMain!$O$9:$O$1000)=$C14)*(LMPMain!A$9:A$1000)),LMPMain!$A$9:$K$1000,11,FALSE))</f>
        <v>General Service Large</v>
      </c>
      <c r="H14" s="130" t="s">
        <v>61</v>
      </c>
      <c r="I14" s="178" t="str">
        <f ca="1">TEXT(   (SUMPRODUCT( ((Main!$H$9:$H$1000)=$E14)*((Main!$J$9:$J$1000)=$F14)*((Main!$O$9:$O$1000)=$C14)*(Main!R$9:R$1000) ) +  ( SUMPRODUCT( ((Adders!$D$13:$D$101)=$E14)*((Adders!$E$13:$E$101)=$F14)*(Adders!G$13:G$101)) + VLOOKUP($H14,Adders!$B$5:$G$8,L$11,FALSE)  +  Matrix!$D$2 ) * IF($D14="NJ",1.07,1))/$L$10, CHOOSE($M$10,$L$9,$M$9) )</f>
        <v xml:space="preserve"> 87.20 </v>
      </c>
      <c r="J14" s="178" t="str">
        <f ca="1">TEXT(   (SUMPRODUCT( ((Main!$H$9:$H$1000)=$E14)*((Main!$J$9:$J$1000)=$F14)*((Main!$O$9:$O$1000)=$C14)*(Main!S$9:S$1000) ) +  ( SUMPRODUCT( ((Adders!$D$13:$D$101)=$E14)*((Adders!$E$13:$E$101)=$F14)*(Adders!H$13:H$101)) + VLOOKUP($H14,Adders!$B$5:$G$8,M$11,FALSE)  +  Matrix!$D$2 ) * IF($D14="NJ",1.07,1))/$L$10, CHOOSE($M$10,$L$9,$M$9) )</f>
        <v xml:space="preserve"> 84.37 </v>
      </c>
      <c r="K14" s="179" t="str">
        <f ca="1">TEXT(   (SUMPRODUCT( ((Main!$H$9:$H$1000)=$E14)*((Main!$J$9:$J$1000)=$F14)*((Main!$O$9:$O$1000)=$C14)*(Main!T$9:T$1000) ) +  ( SUMPRODUCT( ((Adders!$D$13:$D$101)=$E14)*((Adders!$E$13:$E$101)=$F14)*(Adders!I$13:I$101)) + VLOOKUP($H14,Adders!$B$5:$G$8,N$11,FALSE)  +  Matrix!$D$2 ) * IF($D14="NJ",1.07,1))/$L$10, CHOOSE($M$10,$L$9,$M$9) )</f>
        <v xml:space="preserve"> 85.02 </v>
      </c>
      <c r="L14" s="178" t="str">
        <f ca="1">IF(AND($D$11="IL",$E14="AMEREN"),"NA",TEXT((SUMPRODUCT(((LMPMain!$H$9:$H$1000)=$E14)*((LMPMain!$J$9:$J$1000)=$F14)*((LMPMain!$O$9:$O$1000)=$C14)*(LMPMain!R$9:R$1000))+(SUMPRODUCT(((Adders!$D$13:$D$101)=$E14)*((Adders!$E$13:$E$101)=$F14)*(Adders!G$13:G$101))+VLOOKUP($H14,Adders!$B$5:$G$8,L$11,FALSE)+Matrix!$D$2)*IF($D14="NJ",1.07,1))/$L$10,CHOOSE($M$10,$L$9,$M$9)))</f>
        <v xml:space="preserve"> 39.99 </v>
      </c>
      <c r="M14" s="178" t="str">
        <f ca="1">IF(AND($D$11="IL",$E14="AMEREN"),"NA",TEXT((SUMPRODUCT(((LMPMain!$H$9:$H$1000)=$E14)*((LMPMain!$J$9:$J$1000)=$F14)*((LMPMain!$O$9:$O$1000)=$C14)*(LMPMain!S$9:S$1000))+(SUMPRODUCT(((Adders!$D$13:$D$101)=$E14)*((Adders!$E$13:$E$101)=$F14)*(Adders!H$13:H$101))+VLOOKUP($H14,Adders!$B$5:$G$8,M$11,FALSE)+Matrix!$D$2)*IF($D14="NJ",1.07,1))/$L$10,CHOOSE($M$10,$L$9,$M$9)))</f>
        <v xml:space="preserve"> 38.03 </v>
      </c>
      <c r="N14" s="179" t="str">
        <f ca="1">IF(AND($D$11="IL",$E14="AMEREN"),"NA",TEXT((SUMPRODUCT(((LMPMain!$H$9:$H$1000)=$E14)*((LMPMain!$J$9:$J$1000)=$F14)*((LMPMain!$O$9:$O$1000)=$C14)*(LMPMain!T$9:T$1000))+(SUMPRODUCT(((Adders!$D$13:$D$101)=$E14)*((Adders!$E$13:$E$101)=$F14)*(Adders!G$13:G$101))+VLOOKUP($H14,Adders!$B$5:$G$8,N$11,FALSE)+Matrix!$D$2)*IF($D14="NJ",1.07,1))/$L$10,CHOOSE($M$10,$L$9,$M$9)))</f>
        <v xml:space="preserve"> 37.99 </v>
      </c>
      <c r="O14" s="112"/>
    </row>
    <row r="15" spans="1:15" x14ac:dyDescent="0.25">
      <c r="A15" s="122">
        <f>SUMPRODUCT( MAX( ((LMPMain!$F$9:$F$1000)=$D$11)*((LMPMain!$C$9:$C$1000)&lt;A14)*(LMPMain!$C$9:$C$1000) ) )</f>
        <v>30</v>
      </c>
      <c r="B15" s="123">
        <f t="shared" ref="B15:D16" si="0">B14</f>
        <v>1</v>
      </c>
      <c r="C15" s="131">
        <f t="shared" si="0"/>
        <v>42156</v>
      </c>
      <c r="D15" s="132" t="str">
        <f t="shared" si="0"/>
        <v>MD</v>
      </c>
      <c r="E15" s="133" t="str">
        <f t="shared" ref="E15:G16" ca="1" si="1">E14</f>
        <v>BGE</v>
      </c>
      <c r="F15" s="132" t="str">
        <f t="shared" ca="1" si="1"/>
        <v>GL</v>
      </c>
      <c r="G15" s="133" t="str">
        <f t="shared" ca="1" si="1"/>
        <v>General Service Large</v>
      </c>
      <c r="H15" s="134" t="s">
        <v>62</v>
      </c>
      <c r="I15" s="173" t="str">
        <f ca="1">TEXT(   (SUMPRODUCT( ((Main!$H$9:$H$1000)=$E15)*((Main!$J$9:$J$1000)=$F15)*((Main!$O$9:$O$1000)=$C15)*(Main!R$9:R$1000) ) +  ( SUMPRODUCT( ((Adders!$D$13:$D$101)=$E15)*((Adders!$E$13:$E$101)=$F15)*(Adders!G$13:G$101)) + VLOOKUP($H15,Adders!$B$5:$G$8,L$11,FALSE)  +  Matrix!$D$2 ) * IF($D15="NJ",1.07,1))/$L$10, CHOOSE($M$10,$L$9,$M$9) )</f>
        <v xml:space="preserve"> 85.60 </v>
      </c>
      <c r="J15" s="173" t="str">
        <f ca="1">TEXT(   (SUMPRODUCT( ((Main!$H$9:$H$1000)=$E15)*((Main!$J$9:$J$1000)=$F15)*((Main!$O$9:$O$1000)=$C15)*(Main!S$9:S$1000) ) +  ( SUMPRODUCT( ((Adders!$D$13:$D$101)=$E15)*((Adders!$E$13:$E$101)=$F15)*(Adders!H$13:H$101)) + VLOOKUP($H15,Adders!$B$5:$G$8,M$11,FALSE)  +  Matrix!$D$2 ) * IF($D15="NJ",1.07,1))/$L$10, CHOOSE($M$10,$L$9,$M$9) )</f>
        <v xml:space="preserve"> 82.77 </v>
      </c>
      <c r="K15" s="174" t="str">
        <f ca="1">TEXT(   (SUMPRODUCT( ((Main!$H$9:$H$1000)=$E15)*((Main!$J$9:$J$1000)=$F15)*((Main!$O$9:$O$1000)=$C15)*(Main!T$9:T$1000) ) +  ( SUMPRODUCT( ((Adders!$D$13:$D$101)=$E15)*((Adders!$E$13:$E$101)=$F15)*(Adders!I$13:I$101)) + VLOOKUP($H15,Adders!$B$5:$G$8,N$11,FALSE)  +  Matrix!$D$2 ) * IF($D15="NJ",1.07,1))/$L$10, CHOOSE($M$10,$L$9,$M$9) )</f>
        <v xml:space="preserve"> 83.42 </v>
      </c>
      <c r="L15" s="173" t="str">
        <f ca="1">IF(AND($D$11="IL",$E15="AMEREN"),"NA",TEXT((SUMPRODUCT(((LMPMain!$H$9:$H$1000)=$E15)*((LMPMain!$J$9:$J$1000)=$F15)*((LMPMain!$O$9:$O$1000)=$C15)*(LMPMain!R$9:R$1000))+(SUMPRODUCT(((Adders!$D$13:$D$101)=$E15)*((Adders!$E$13:$E$101)=$F15)*(Adders!G$13:G$101))+VLOOKUP($H15,Adders!$B$5:$G$8,L$11,FALSE)+Matrix!$D$2)*IF($D15="NJ",1.07,1))/$L$10,CHOOSE($M$10,$L$9,$M$9)))</f>
        <v xml:space="preserve"> 38.39 </v>
      </c>
      <c r="M15" s="173" t="str">
        <f ca="1">IF(AND($D$11="IL",$E15="AMEREN"),"NA",TEXT((SUMPRODUCT(((LMPMain!$H$9:$H$1000)=$E15)*((LMPMain!$J$9:$J$1000)=$F15)*((LMPMain!$O$9:$O$1000)=$C15)*(LMPMain!S$9:S$1000))+(SUMPRODUCT(((Adders!$D$13:$D$101)=$E15)*((Adders!$E$13:$E$101)=$F15)*(Adders!H$13:H$101))+VLOOKUP($H15,Adders!$B$5:$G$8,M$11,FALSE)+Matrix!$D$2)*IF($D15="NJ",1.07,1))/$L$10,CHOOSE($M$10,$L$9,$M$9)))</f>
        <v xml:space="preserve"> 36.43 </v>
      </c>
      <c r="N15" s="174" t="str">
        <f ca="1">IF(AND($D$11="IL",$E15="AMEREN"),"NA",TEXT((SUMPRODUCT(((LMPMain!$H$9:$H$1000)=$E15)*((LMPMain!$J$9:$J$1000)=$F15)*((LMPMain!$O$9:$O$1000)=$C15)*(LMPMain!T$9:T$1000))+(SUMPRODUCT(((Adders!$D$13:$D$101)=$E15)*((Adders!$E$13:$E$101)=$F15)*(Adders!G$13:G$101))+VLOOKUP($H15,Adders!$B$5:$G$8,N$11,FALSE)+Matrix!$D$2)*IF($D15="NJ",1.07,1))/$L$10,CHOOSE($M$10,$L$9,$M$9)))</f>
        <v xml:space="preserve"> 36.39 </v>
      </c>
      <c r="O15" s="164"/>
    </row>
    <row r="16" spans="1:15" x14ac:dyDescent="0.25">
      <c r="A16" s="122">
        <f>SUMPRODUCT( MAX( ((LMPMain!$F$9:$F$1000)=$D$11)*((LMPMain!$C$9:$C$1000)&lt;A15)*(LMPMain!$C$9:$C$1000) ) )</f>
        <v>29</v>
      </c>
      <c r="B16" s="123">
        <f t="shared" si="0"/>
        <v>1</v>
      </c>
      <c r="C16" s="135">
        <f t="shared" si="0"/>
        <v>42156</v>
      </c>
      <c r="D16" s="136" t="str">
        <f t="shared" si="0"/>
        <v>MD</v>
      </c>
      <c r="E16" s="137" t="str">
        <f t="shared" ca="1" si="1"/>
        <v>BGE</v>
      </c>
      <c r="F16" s="136" t="str">
        <f t="shared" ca="1" si="1"/>
        <v>GL</v>
      </c>
      <c r="G16" s="137" t="str">
        <f t="shared" ca="1" si="1"/>
        <v>General Service Large</v>
      </c>
      <c r="H16" s="138" t="str">
        <f>IF(D16="OH","500-2500 MWh","500-2500 MWh")</f>
        <v>500-2500 MWh</v>
      </c>
      <c r="I16" s="176" t="str">
        <f ca="1">TEXT(   (SUMPRODUCT( ((Main!$H$9:$H$1000)=$E16)*((Main!$J$9:$J$1000)=$F16)*((Main!$O$9:$O$1000)=$C16)*(Main!R$9:R$1000) ) +  ( SUMPRODUCT( ((Adders!$D$13:$D$101)=$E16)*((Adders!$E$13:$E$101)=$F16)*(Adders!G$13:G$101)) + VLOOKUP($H16,Adders!$B$5:$G$8,L$11,FALSE)  +  Matrix!$D$2 ) * IF($D16="NJ",1.07,1))/$L$10, CHOOSE($M$10,$L$9,$M$9) )</f>
        <v xml:space="preserve"> 84.55 </v>
      </c>
      <c r="J16" s="176" t="str">
        <f ca="1">TEXT(   (SUMPRODUCT( ((Main!$H$9:$H$1000)=$E16)*((Main!$J$9:$J$1000)=$F16)*((Main!$O$9:$O$1000)=$C16)*(Main!S$9:S$1000) ) +  ( SUMPRODUCT( ((Adders!$D$13:$D$101)=$E16)*((Adders!$E$13:$E$101)=$F16)*(Adders!H$13:H$101)) + VLOOKUP($H16,Adders!$B$5:$G$8,M$11,FALSE)  +  Matrix!$D$2 ) * IF($D16="NJ",1.07,1))/$L$10, CHOOSE($M$10,$L$9,$M$9) )</f>
        <v xml:space="preserve"> 81.72 </v>
      </c>
      <c r="K16" s="177" t="str">
        <f ca="1">TEXT(   (SUMPRODUCT( ((Main!$H$9:$H$1000)=$E16)*((Main!$J$9:$J$1000)=$F16)*((Main!$O$9:$O$1000)=$C16)*(Main!T$9:T$1000) ) +  ( SUMPRODUCT( ((Adders!$D$13:$D$101)=$E16)*((Adders!$E$13:$E$101)=$F16)*(Adders!I$13:I$101)) + VLOOKUP($H16,Adders!$B$5:$G$8,N$11,FALSE)  +  Matrix!$D$2 ) * IF($D16="NJ",1.07,1))/$L$10, CHOOSE($M$10,$L$9,$M$9) )</f>
        <v xml:space="preserve"> 82.37 </v>
      </c>
      <c r="L16" s="176" t="str">
        <f ca="1">IF(AND($D$11="IL",$E16="AMEREN"),"NA",TEXT((SUMPRODUCT(((LMPMain!$H$9:$H$1000)=$E16)*((LMPMain!$J$9:$J$1000)=$F16)*((LMPMain!$O$9:$O$1000)=$C16)*(LMPMain!R$9:R$1000))+(SUMPRODUCT(((Adders!$D$13:$D$101)=$E16)*((Adders!$E$13:$E$101)=$F16)*(Adders!G$13:G$101))+VLOOKUP($H16,Adders!$B$5:$G$8,L$11,FALSE)+Matrix!$D$2)*IF($D16="NJ",1.07,1))/$L$10,CHOOSE($M$10,$L$9,$M$9)))</f>
        <v xml:space="preserve"> 37.34 </v>
      </c>
      <c r="M16" s="176" t="str">
        <f ca="1">IF(AND($D$11="IL",$E16="AMEREN"),"NA",TEXT((SUMPRODUCT(((LMPMain!$H$9:$H$1000)=$E16)*((LMPMain!$J$9:$J$1000)=$F16)*((LMPMain!$O$9:$O$1000)=$C16)*(LMPMain!S$9:S$1000))+(SUMPRODUCT(((Adders!$D$13:$D$101)=$E16)*((Adders!$E$13:$E$101)=$F16)*(Adders!H$13:H$101))+VLOOKUP($H16,Adders!$B$5:$G$8,M$11,FALSE)+Matrix!$D$2)*IF($D16="NJ",1.07,1))/$L$10,CHOOSE($M$10,$L$9,$M$9)))</f>
        <v xml:space="preserve"> 35.38 </v>
      </c>
      <c r="N16" s="177" t="str">
        <f ca="1">IF(AND($D$11="IL",$E16="AMEREN"),"NA",TEXT((SUMPRODUCT(((LMPMain!$H$9:$H$1000)=$E16)*((LMPMain!$J$9:$J$1000)=$F16)*((LMPMain!$O$9:$O$1000)=$C16)*(LMPMain!T$9:T$1000))+(SUMPRODUCT(((Adders!$D$13:$D$101)=$E16)*((Adders!$E$13:$E$101)=$F16)*(Adders!G$13:G$101))+VLOOKUP($H16,Adders!$B$5:$G$8,N$11,FALSE)+Matrix!$D$2)*IF($D16="NJ",1.07,1))/$L$10,CHOOSE($M$10,$L$9,$M$9)))</f>
        <v xml:space="preserve"> 35.34 </v>
      </c>
      <c r="O16" s="164"/>
    </row>
    <row r="17" spans="1:16" x14ac:dyDescent="0.25">
      <c r="A17" s="122">
        <f>SUMPRODUCT( MAX( ((LMPMain!$F$9:$F$1000)=$D$11)*((LMPMain!$C$9:$C$1000)&lt;A16)*(LMPMain!$C$9:$C$1000) ) )</f>
        <v>28</v>
      </c>
      <c r="B17" s="123">
        <f>IF(B16="","",IF(B16+1&lt;=$A$13,B16+1,""))</f>
        <v>2</v>
      </c>
      <c r="C17" s="127">
        <f>IF(B17="","",$F$11)</f>
        <v>42156</v>
      </c>
      <c r="D17" s="128" t="str">
        <f>IF($B17="","",$D$11)</f>
        <v>MD</v>
      </c>
      <c r="E17" s="129" t="str">
        <f ca="1">IF(ISERROR(VLOOKUP(SMALL(OFFSET($A$14,0,0,$A$13,1),$B17),LMPMain!$A$9:$H$1000,8,FALSE)),"",VLOOKUP(SMALL(OFFSET($A$14,0,0,$A$13,1),$B17),LMPMain!$A$9:$H$1000,8,FALSE))</f>
        <v>BGE</v>
      </c>
      <c r="F17" s="128" t="str">
        <f ca="1">IF( ISERROR(VLOOKUP(SMALL(OFFSET($A$14,0,0,$A$13,1),$B17),LMPMain!$A$9:$J$1000,10,FALSE)),"",VLOOKUP(SMALL(OFFSET($A$14,0,0,$A$13,1),$B17),LMPMain!$A$9:$J$1000,10,FALSE))</f>
        <v>G</v>
      </c>
      <c r="G17" s="129" t="str">
        <f ca="1">IF(ISERROR(VLOOKUP(SUMPRODUCT( ((LMPMain!$H$9:$H$1000)=$E17)*((LMPMain!$J$9:$J$1000)=$F17)*((LMPMain!$O$9:$O$1000)=$C17)*(LMPMain!A$9:A$1000)),LMPMain!$A$9:$K$1000,11,FALSE)),"",VLOOKUP(SUMPRODUCT( ((LMPMain!$H$9:$H$1000)=$E17)*((LMPMain!$J$9:$J$1000)=$F17)*((LMPMain!$O$9:$O$1000)=$C17)*(LMPMain!A$9:A$1000)),LMPMain!$A$9:$K$1000,11,FALSE))</f>
        <v>General Service Medium</v>
      </c>
      <c r="H17" s="130" t="s">
        <v>61</v>
      </c>
      <c r="I17" s="178" t="str">
        <f ca="1">TEXT(   (SUMPRODUCT( ((Main!$H$9:$H$1000)=$E17)*((Main!$J$9:$J$1000)=$F17)*((Main!$O$9:$O$1000)=$C17)*(Main!R$9:R$1000) ) +  ( SUMPRODUCT( ((Adders!$D$13:$D$101)=$E17)*((Adders!$E$13:$E$101)=$F17)*(Adders!G$13:G$101)) + VLOOKUP($H17,Adders!$B$5:$G$8,L$11,FALSE)  +  Matrix!$D$2 ) * IF($D17="NJ",1.07,1))/$L$10, CHOOSE($M$10,$L$9,$M$9) )</f>
        <v xml:space="preserve"> 88.07 </v>
      </c>
      <c r="J17" s="178" t="str">
        <f ca="1">TEXT(   (SUMPRODUCT( ((Main!$H$9:$H$1000)=$E17)*((Main!$J$9:$J$1000)=$F17)*((Main!$O$9:$O$1000)=$C17)*(Main!S$9:S$1000) ) +  ( SUMPRODUCT( ((Adders!$D$13:$D$101)=$E17)*((Adders!$E$13:$E$101)=$F17)*(Adders!H$13:H$101)) + VLOOKUP($H17,Adders!$B$5:$G$8,M$11,FALSE)  +  Matrix!$D$2 ) * IF($D17="NJ",1.07,1))/$L$10, CHOOSE($M$10,$L$9,$M$9) )</f>
        <v xml:space="preserve"> 85.64 </v>
      </c>
      <c r="K17" s="179" t="str">
        <f ca="1">TEXT(   (SUMPRODUCT( ((Main!$H$9:$H$1000)=$E17)*((Main!$J$9:$J$1000)=$F17)*((Main!$O$9:$O$1000)=$C17)*(Main!T$9:T$1000) ) +  ( SUMPRODUCT( ((Adders!$D$13:$D$101)=$E17)*((Adders!$E$13:$E$101)=$F17)*(Adders!I$13:I$101)) + VLOOKUP($H17,Adders!$B$5:$G$8,N$11,FALSE)  +  Matrix!$D$2 ) * IF($D17="NJ",1.07,1))/$L$10, CHOOSE($M$10,$L$9,$M$9) )</f>
        <v xml:space="preserve"> 85.89 </v>
      </c>
      <c r="L17" s="178" t="str">
        <f ca="1">IF(AND($D$11="IL",$E17="AMEREN"),"NA",TEXT((SUMPRODUCT(((LMPMain!$H$9:$H$1000)=$E17)*((LMPMain!$J$9:$J$1000)=$F17)*((LMPMain!$O$9:$O$1000)=$C17)*(LMPMain!R$9:R$1000))+(SUMPRODUCT(((Adders!$D$13:$D$101)=$E17)*((Adders!$E$13:$E$101)=$F17)*(Adders!G$13:G$101))+VLOOKUP($H17,Adders!$B$5:$G$8,L$11,FALSE)+Matrix!$D$2)*IF($D17="NJ",1.07,1))/$L$10,CHOOSE($M$10,$L$9,$M$9)))</f>
        <v xml:space="preserve"> 40.08 </v>
      </c>
      <c r="M17" s="178" t="str">
        <f ca="1">IF(AND($D$11="IL",$E17="AMEREN"),"NA",TEXT((SUMPRODUCT(((LMPMain!$H$9:$H$1000)=$E17)*((LMPMain!$J$9:$J$1000)=$F17)*((LMPMain!$O$9:$O$1000)=$C17)*(LMPMain!S$9:S$1000))+(SUMPRODUCT(((Adders!$D$13:$D$101)=$E17)*((Adders!$E$13:$E$101)=$F17)*(Adders!H$13:H$101))+VLOOKUP($H17,Adders!$B$5:$G$8,M$11,FALSE)+Matrix!$D$2)*IF($D17="NJ",1.07,1))/$L$10,CHOOSE($M$10,$L$9,$M$9)))</f>
        <v xml:space="preserve"> 38.45 </v>
      </c>
      <c r="N17" s="179" t="str">
        <f ca="1">IF(AND($D$11="IL",$E17="AMEREN"),"NA",TEXT((SUMPRODUCT(((LMPMain!$H$9:$H$1000)=$E17)*((LMPMain!$J$9:$J$1000)=$F17)*((LMPMain!$O$9:$O$1000)=$C17)*(LMPMain!T$9:T$1000))+(SUMPRODUCT(((Adders!$D$13:$D$101)=$E17)*((Adders!$E$13:$E$101)=$F17)*(Adders!G$13:G$101))+VLOOKUP($H17,Adders!$B$5:$G$8,N$11,FALSE)+Matrix!$D$2)*IF($D17="NJ",1.07,1))/$L$10,CHOOSE($M$10,$L$9,$M$9)))</f>
        <v xml:space="preserve"> 38.07 </v>
      </c>
      <c r="O17" s="164"/>
    </row>
    <row r="18" spans="1:16" x14ac:dyDescent="0.25">
      <c r="A18" s="122">
        <f>SUMPRODUCT( MAX( ((LMPMain!$F$9:$F$1000)=$D$11)*((LMPMain!$C$9:$C$1000)&lt;A17)*(LMPMain!$C$9:$C$1000) ) )</f>
        <v>13</v>
      </c>
      <c r="B18" s="123">
        <f t="shared" ref="B18:D19" si="2">B17</f>
        <v>2</v>
      </c>
      <c r="C18" s="131">
        <f t="shared" si="2"/>
        <v>42156</v>
      </c>
      <c r="D18" s="132" t="str">
        <f t="shared" si="2"/>
        <v>MD</v>
      </c>
      <c r="E18" s="133" t="str">
        <f t="shared" ref="E18:G19" ca="1" si="3">E17</f>
        <v>BGE</v>
      </c>
      <c r="F18" s="132" t="str">
        <f t="shared" ca="1" si="3"/>
        <v>G</v>
      </c>
      <c r="G18" s="133" t="str">
        <f t="shared" ca="1" si="3"/>
        <v>General Service Medium</v>
      </c>
      <c r="H18" s="134" t="s">
        <v>62</v>
      </c>
      <c r="I18" s="173" t="str">
        <f ca="1">TEXT(   (SUMPRODUCT( ((Main!$H$9:$H$1000)=$E18)*((Main!$J$9:$J$1000)=$F18)*((Main!$O$9:$O$1000)=$C18)*(Main!R$9:R$1000) ) +  ( SUMPRODUCT( ((Adders!$D$13:$D$101)=$E18)*((Adders!$E$13:$E$101)=$F18)*(Adders!G$13:G$101)) + VLOOKUP($H18,Adders!$B$5:$G$8,L$11,FALSE)  +  Matrix!$D$2 ) * IF($D18="NJ",1.07,1))/$L$10, CHOOSE($M$10,$L$9,$M$9) )</f>
        <v xml:space="preserve"> 86.47 </v>
      </c>
      <c r="J18" s="173" t="str">
        <f ca="1">TEXT(   (SUMPRODUCT( ((Main!$H$9:$H$1000)=$E18)*((Main!$J$9:$J$1000)=$F18)*((Main!$O$9:$O$1000)=$C18)*(Main!S$9:S$1000) ) +  ( SUMPRODUCT( ((Adders!$D$13:$D$101)=$E18)*((Adders!$E$13:$E$101)=$F18)*(Adders!H$13:H$101)) + VLOOKUP($H18,Adders!$B$5:$G$8,M$11,FALSE)  +  Matrix!$D$2 ) * IF($D18="NJ",1.07,1))/$L$10, CHOOSE($M$10,$L$9,$M$9) )</f>
        <v xml:space="preserve"> 84.04 </v>
      </c>
      <c r="K18" s="174" t="str">
        <f ca="1">TEXT(   (SUMPRODUCT( ((Main!$H$9:$H$1000)=$E18)*((Main!$J$9:$J$1000)=$F18)*((Main!$O$9:$O$1000)=$C18)*(Main!T$9:T$1000) ) +  ( SUMPRODUCT( ((Adders!$D$13:$D$101)=$E18)*((Adders!$E$13:$E$101)=$F18)*(Adders!I$13:I$101)) + VLOOKUP($H18,Adders!$B$5:$G$8,N$11,FALSE)  +  Matrix!$D$2 ) * IF($D18="NJ",1.07,1))/$L$10, CHOOSE($M$10,$L$9,$M$9) )</f>
        <v xml:space="preserve"> 84.29 </v>
      </c>
      <c r="L18" s="173" t="str">
        <f ca="1">IF(AND($D$11="IL",$E18="AMEREN"),"NA",TEXT((SUMPRODUCT(((LMPMain!$H$9:$H$1000)=$E18)*((LMPMain!$J$9:$J$1000)=$F18)*((LMPMain!$O$9:$O$1000)=$C18)*(LMPMain!R$9:R$1000))+(SUMPRODUCT(((Adders!$D$13:$D$101)=$E18)*((Adders!$E$13:$E$101)=$F18)*(Adders!G$13:G$101))+VLOOKUP($H18,Adders!$B$5:$G$8,L$11,FALSE)+Matrix!$D$2)*IF($D18="NJ",1.07,1))/$L$10,CHOOSE($M$10,$L$9,$M$9)))</f>
        <v xml:space="preserve"> 38.48 </v>
      </c>
      <c r="M18" s="173" t="str">
        <f ca="1">IF(AND($D$11="IL",$E18="AMEREN"),"NA",TEXT((SUMPRODUCT(((LMPMain!$H$9:$H$1000)=$E18)*((LMPMain!$J$9:$J$1000)=$F18)*((LMPMain!$O$9:$O$1000)=$C18)*(LMPMain!S$9:S$1000))+(SUMPRODUCT(((Adders!$D$13:$D$101)=$E18)*((Adders!$E$13:$E$101)=$F18)*(Adders!H$13:H$101))+VLOOKUP($H18,Adders!$B$5:$G$8,M$11,FALSE)+Matrix!$D$2)*IF($D18="NJ",1.07,1))/$L$10,CHOOSE($M$10,$L$9,$M$9)))</f>
        <v xml:space="preserve"> 36.85 </v>
      </c>
      <c r="N18" s="174" t="str">
        <f ca="1">IF(AND($D$11="IL",$E18="AMEREN"),"NA",TEXT((SUMPRODUCT(((LMPMain!$H$9:$H$1000)=$E18)*((LMPMain!$J$9:$J$1000)=$F18)*((LMPMain!$O$9:$O$1000)=$C18)*(LMPMain!T$9:T$1000))+(SUMPRODUCT(((Adders!$D$13:$D$101)=$E18)*((Adders!$E$13:$E$101)=$F18)*(Adders!G$13:G$101))+VLOOKUP($H18,Adders!$B$5:$G$8,N$11,FALSE)+Matrix!$D$2)*IF($D18="NJ",1.07,1))/$L$10,CHOOSE($M$10,$L$9,$M$9)))</f>
        <v xml:space="preserve"> 36.47 </v>
      </c>
      <c r="O18" s="164"/>
    </row>
    <row r="19" spans="1:16" x14ac:dyDescent="0.25">
      <c r="A19" s="122">
        <f>SUMPRODUCT( MAX( ((LMPMain!$F$9:$F$1000)=$D$11)*((LMPMain!$C$9:$C$1000)&lt;A18)*(LMPMain!$C$9:$C$1000) ) )</f>
        <v>9</v>
      </c>
      <c r="B19" s="123">
        <f t="shared" si="2"/>
        <v>2</v>
      </c>
      <c r="C19" s="135">
        <f t="shared" si="2"/>
        <v>42156</v>
      </c>
      <c r="D19" s="136" t="str">
        <f t="shared" si="2"/>
        <v>MD</v>
      </c>
      <c r="E19" s="137" t="str">
        <f t="shared" ca="1" si="3"/>
        <v>BGE</v>
      </c>
      <c r="F19" s="136" t="str">
        <f t="shared" ca="1" si="3"/>
        <v>G</v>
      </c>
      <c r="G19" s="137" t="str">
        <f t="shared" ca="1" si="3"/>
        <v>General Service Medium</v>
      </c>
      <c r="H19" s="138" t="str">
        <f>IF(D19="OH","500-2500 MWh","500-2500 MWh")</f>
        <v>500-2500 MWh</v>
      </c>
      <c r="I19" s="176" t="str">
        <f ca="1">TEXT(   (SUMPRODUCT( ((Main!$H$9:$H$1000)=$E19)*((Main!$J$9:$J$1000)=$F19)*((Main!$O$9:$O$1000)=$C19)*(Main!R$9:R$1000) ) +  ( SUMPRODUCT( ((Adders!$D$13:$D$101)=$E19)*((Adders!$E$13:$E$101)=$F19)*(Adders!G$13:G$101)) + VLOOKUP($H19,Adders!$B$5:$G$8,L$11,FALSE)  +  Matrix!$D$2 ) * IF($D19="NJ",1.07,1))/$L$10, CHOOSE($M$10,$L$9,$M$9) )</f>
        <v xml:space="preserve"> 85.42 </v>
      </c>
      <c r="J19" s="176" t="str">
        <f ca="1">TEXT(   (SUMPRODUCT( ((Main!$H$9:$H$1000)=$E19)*((Main!$J$9:$J$1000)=$F19)*((Main!$O$9:$O$1000)=$C19)*(Main!S$9:S$1000) ) +  ( SUMPRODUCT( ((Adders!$D$13:$D$101)=$E19)*((Adders!$E$13:$E$101)=$F19)*(Adders!H$13:H$101)) + VLOOKUP($H19,Adders!$B$5:$G$8,M$11,FALSE)  +  Matrix!$D$2 ) * IF($D19="NJ",1.07,1))/$L$10, CHOOSE($M$10,$L$9,$M$9) )</f>
        <v xml:space="preserve"> 82.99 </v>
      </c>
      <c r="K19" s="177" t="str">
        <f ca="1">TEXT(   (SUMPRODUCT( ((Main!$H$9:$H$1000)=$E19)*((Main!$J$9:$J$1000)=$F19)*((Main!$O$9:$O$1000)=$C19)*(Main!T$9:T$1000) ) +  ( SUMPRODUCT( ((Adders!$D$13:$D$101)=$E19)*((Adders!$E$13:$E$101)=$F19)*(Adders!I$13:I$101)) + VLOOKUP($H19,Adders!$B$5:$G$8,N$11,FALSE)  +  Matrix!$D$2 ) * IF($D19="NJ",1.07,1))/$L$10, CHOOSE($M$10,$L$9,$M$9) )</f>
        <v xml:space="preserve"> 83.24 </v>
      </c>
      <c r="L19" s="176" t="str">
        <f ca="1">IF(AND($D$11="IL",$E19="AMEREN"),"NA",TEXT((SUMPRODUCT(((LMPMain!$H$9:$H$1000)=$E19)*((LMPMain!$J$9:$J$1000)=$F19)*((LMPMain!$O$9:$O$1000)=$C19)*(LMPMain!R$9:R$1000))+(SUMPRODUCT(((Adders!$D$13:$D$101)=$E19)*((Adders!$E$13:$E$101)=$F19)*(Adders!G$13:G$101))+VLOOKUP($H19,Adders!$B$5:$G$8,L$11,FALSE)+Matrix!$D$2)*IF($D19="NJ",1.07,1))/$L$10,CHOOSE($M$10,$L$9,$M$9)))</f>
        <v xml:space="preserve"> 37.43 </v>
      </c>
      <c r="M19" s="176" t="str">
        <f ca="1">IF(AND($D$11="IL",$E19="AMEREN"),"NA",TEXT((SUMPRODUCT(((LMPMain!$H$9:$H$1000)=$E19)*((LMPMain!$J$9:$J$1000)=$F19)*((LMPMain!$O$9:$O$1000)=$C19)*(LMPMain!S$9:S$1000))+(SUMPRODUCT(((Adders!$D$13:$D$101)=$E19)*((Adders!$E$13:$E$101)=$F19)*(Adders!H$13:H$101))+VLOOKUP($H19,Adders!$B$5:$G$8,M$11,FALSE)+Matrix!$D$2)*IF($D19="NJ",1.07,1))/$L$10,CHOOSE($M$10,$L$9,$M$9)))</f>
        <v xml:space="preserve"> 35.80 </v>
      </c>
      <c r="N19" s="177" t="str">
        <f ca="1">IF(AND($D$11="IL",$E19="AMEREN"),"NA",TEXT((SUMPRODUCT(((LMPMain!$H$9:$H$1000)=$E19)*((LMPMain!$J$9:$J$1000)=$F19)*((LMPMain!$O$9:$O$1000)=$C19)*(LMPMain!T$9:T$1000))+(SUMPRODUCT(((Adders!$D$13:$D$101)=$E19)*((Adders!$E$13:$E$101)=$F19)*(Adders!G$13:G$101))+VLOOKUP($H19,Adders!$B$5:$G$8,N$11,FALSE)+Matrix!$D$2)*IF($D19="NJ",1.07,1))/$L$10,CHOOSE($M$10,$L$9,$M$9)))</f>
        <v xml:space="preserve"> 35.42 </v>
      </c>
      <c r="O19" s="164"/>
    </row>
    <row r="20" spans="1:16" x14ac:dyDescent="0.25">
      <c r="A20" s="122">
        <f>SUMPRODUCT( MAX( ((LMPMain!$F$9:$F$1000)=$D$11)*((LMPMain!$C$9:$C$1000)&lt;A19)*(LMPMain!$C$9:$C$1000) ) )</f>
        <v>8</v>
      </c>
      <c r="B20" s="123">
        <f>IF(B19="","",IF(B19+1&lt;=$A$13,B19+1,""))</f>
        <v>3</v>
      </c>
      <c r="C20" s="127">
        <f>IF(B20="","",$F$11)</f>
        <v>42156</v>
      </c>
      <c r="D20" s="128" t="str">
        <f>IF($B20="","",$D$11)</f>
        <v>MD</v>
      </c>
      <c r="E20" s="129" t="str">
        <f ca="1">IF(ISERROR(VLOOKUP(SMALL(OFFSET($A$14,0,0,$A$13,1),$B20),LMPMain!$A$9:$H$1000,8,FALSE)),"",VLOOKUP(SMALL(OFFSET($A$14,0,0,$A$13,1),$B20),LMPMain!$A$9:$H$1000,8,FALSE))</f>
        <v>BGE</v>
      </c>
      <c r="F20" s="128" t="str">
        <f ca="1">IF( ISERROR(VLOOKUP(SMALL(OFFSET($A$14,0,0,$A$13,1),$B20),LMPMain!$A$9:$J$1000,10,FALSE)),"",VLOOKUP(SMALL(OFFSET($A$14,0,0,$A$13,1),$B20),LMPMain!$A$9:$J$1000,10,FALSE))</f>
        <v>GS</v>
      </c>
      <c r="G20" s="129" t="str">
        <f ca="1">IF(ISERROR(VLOOKUP(SUMPRODUCT( ((LMPMain!$H$9:$H$1000)=$E20)*((LMPMain!$J$9:$J$1000)=$F20)*((LMPMain!$O$9:$O$1000)=$C20)*(LMPMain!A$9:A$1000)),LMPMain!$A$9:$K$1000,11,FALSE)),"",VLOOKUP(SUMPRODUCT( ((LMPMain!$H$9:$H$1000)=$E20)*((LMPMain!$J$9:$J$1000)=$F20)*((LMPMain!$O$9:$O$1000)=$C20)*(LMPMain!A$9:A$1000)),LMPMain!$A$9:$K$1000,11,FALSE))</f>
        <v>General Service Small</v>
      </c>
      <c r="H20" s="130" t="s">
        <v>61</v>
      </c>
      <c r="I20" s="178" t="str">
        <f ca="1">TEXT(   (SUMPRODUCT( ((Main!$H$9:$H$1000)=$E20)*((Main!$J$9:$J$1000)=$F20)*((Main!$O$9:$O$1000)=$C20)*(Main!R$9:R$1000) ) +  ( SUMPRODUCT( ((Adders!$D$13:$D$101)=$E20)*((Adders!$E$13:$E$101)=$F20)*(Adders!G$13:G$101)) + VLOOKUP($H20,Adders!$B$5:$G$8,L$11,FALSE)  +  Matrix!$D$2 ) * IF($D20="NJ",1.07,1))/$L$10, CHOOSE($M$10,$L$9,$M$9) )</f>
        <v xml:space="preserve"> 86.29 </v>
      </c>
      <c r="J20" s="178" t="str">
        <f ca="1">TEXT(   (SUMPRODUCT( ((Main!$H$9:$H$1000)=$E20)*((Main!$J$9:$J$1000)=$F20)*((Main!$O$9:$O$1000)=$C20)*(Main!S$9:S$1000) ) +  ( SUMPRODUCT( ((Adders!$D$13:$D$101)=$E20)*((Adders!$E$13:$E$101)=$F20)*(Adders!H$13:H$101)) + VLOOKUP($H20,Adders!$B$5:$G$8,M$11,FALSE)  +  Matrix!$D$2 ) * IF($D20="NJ",1.07,1))/$L$10, CHOOSE($M$10,$L$9,$M$9) )</f>
        <v xml:space="preserve"> 83.38 </v>
      </c>
      <c r="K20" s="179" t="str">
        <f ca="1">TEXT(   (SUMPRODUCT( ((Main!$H$9:$H$1000)=$E20)*((Main!$J$9:$J$1000)=$F20)*((Main!$O$9:$O$1000)=$C20)*(Main!T$9:T$1000) ) +  ( SUMPRODUCT( ((Adders!$D$13:$D$101)=$E20)*((Adders!$E$13:$E$101)=$F20)*(Adders!I$13:I$101)) + VLOOKUP($H20,Adders!$B$5:$G$8,N$11,FALSE)  +  Matrix!$D$2 ) * IF($D20="NJ",1.07,1))/$L$10, CHOOSE($M$10,$L$9,$M$9) )</f>
        <v xml:space="preserve"> 84.12 </v>
      </c>
      <c r="L20" s="178" t="str">
        <f ca="1">IF(AND($D$11="IL",$E20="AMEREN"),"NA",TEXT((SUMPRODUCT(((LMPMain!$H$9:$H$1000)=$E20)*((LMPMain!$J$9:$J$1000)=$F20)*((LMPMain!$O$9:$O$1000)=$C20)*(LMPMain!R$9:R$1000))+(SUMPRODUCT(((Adders!$D$13:$D$101)=$E20)*((Adders!$E$13:$E$101)=$F20)*(Adders!G$13:G$101))+VLOOKUP($H20,Adders!$B$5:$G$8,L$11,FALSE)+Matrix!$D$2)*IF($D20="NJ",1.07,1))/$L$10,CHOOSE($M$10,$L$9,$M$9)))</f>
        <v xml:space="preserve"> 41.05 </v>
      </c>
      <c r="M20" s="178" t="str">
        <f ca="1">IF(AND($D$11="IL",$E20="AMEREN"),"NA",TEXT((SUMPRODUCT(((LMPMain!$H$9:$H$1000)=$E20)*((LMPMain!$J$9:$J$1000)=$F20)*((LMPMain!$O$9:$O$1000)=$C20)*(LMPMain!S$9:S$1000))+(SUMPRODUCT(((Adders!$D$13:$D$101)=$E20)*((Adders!$E$13:$E$101)=$F20)*(Adders!H$13:H$101))+VLOOKUP($H20,Adders!$B$5:$G$8,M$11,FALSE)+Matrix!$D$2)*IF($D20="NJ",1.07,1))/$L$10,CHOOSE($M$10,$L$9,$M$9)))</f>
        <v xml:space="preserve"> 39.16 </v>
      </c>
      <c r="N20" s="179" t="str">
        <f ca="1">IF(AND($D$11="IL",$E20="AMEREN"),"NA",TEXT((SUMPRODUCT(((LMPMain!$H$9:$H$1000)=$E20)*((LMPMain!$J$9:$J$1000)=$F20)*((LMPMain!$O$9:$O$1000)=$C20)*(LMPMain!T$9:T$1000))+(SUMPRODUCT(((Adders!$D$13:$D$101)=$E20)*((Adders!$E$13:$E$101)=$F20)*(Adders!G$13:G$101))+VLOOKUP($H20,Adders!$B$5:$G$8,N$11,FALSE)+Matrix!$D$2)*IF($D20="NJ",1.07,1))/$L$10,CHOOSE($M$10,$L$9,$M$9)))</f>
        <v xml:space="preserve"> 39.02 </v>
      </c>
      <c r="O20" s="164"/>
      <c r="P20" s="108"/>
    </row>
    <row r="21" spans="1:16" x14ac:dyDescent="0.25">
      <c r="A21" s="122">
        <f>SUMPRODUCT( MAX( ((LMPMain!$F$9:$F$1000)=$D$11)*((LMPMain!$C$9:$C$1000)&lt;A20)*(LMPMain!$C$9:$C$1000) ) )</f>
        <v>7</v>
      </c>
      <c r="B21" s="123">
        <f t="shared" ref="B21:D22" si="4">B20</f>
        <v>3</v>
      </c>
      <c r="C21" s="131">
        <f t="shared" si="4"/>
        <v>42156</v>
      </c>
      <c r="D21" s="132" t="str">
        <f t="shared" si="4"/>
        <v>MD</v>
      </c>
      <c r="E21" s="133" t="str">
        <f t="shared" ref="E21:G22" ca="1" si="5">E20</f>
        <v>BGE</v>
      </c>
      <c r="F21" s="132" t="str">
        <f t="shared" ca="1" si="5"/>
        <v>GS</v>
      </c>
      <c r="G21" s="133" t="str">
        <f t="shared" ca="1" si="5"/>
        <v>General Service Small</v>
      </c>
      <c r="H21" s="134" t="s">
        <v>62</v>
      </c>
      <c r="I21" s="173" t="str">
        <f ca="1">TEXT(   (SUMPRODUCT( ((Main!$H$9:$H$1000)=$E21)*((Main!$J$9:$J$1000)=$F21)*((Main!$O$9:$O$1000)=$C21)*(Main!R$9:R$1000) ) +  ( SUMPRODUCT( ((Adders!$D$13:$D$101)=$E21)*((Adders!$E$13:$E$101)=$F21)*(Adders!G$13:G$101)) + VLOOKUP($H21,Adders!$B$5:$G$8,L$11,FALSE)  +  Matrix!$D$2 ) * IF($D21="NJ",1.07,1))/$L$10, CHOOSE($M$10,$L$9,$M$9) )</f>
        <v xml:space="preserve"> 84.69 </v>
      </c>
      <c r="J21" s="173" t="str">
        <f ca="1">TEXT(   (SUMPRODUCT( ((Main!$H$9:$H$1000)=$E21)*((Main!$J$9:$J$1000)=$F21)*((Main!$O$9:$O$1000)=$C21)*(Main!S$9:S$1000) ) +  ( SUMPRODUCT( ((Adders!$D$13:$D$101)=$E21)*((Adders!$E$13:$E$101)=$F21)*(Adders!H$13:H$101)) + VLOOKUP($H21,Adders!$B$5:$G$8,M$11,FALSE)  +  Matrix!$D$2 ) * IF($D21="NJ",1.07,1))/$L$10, CHOOSE($M$10,$L$9,$M$9) )</f>
        <v xml:space="preserve"> 81.78 </v>
      </c>
      <c r="K21" s="174" t="str">
        <f ca="1">TEXT(   (SUMPRODUCT( ((Main!$H$9:$H$1000)=$E21)*((Main!$J$9:$J$1000)=$F21)*((Main!$O$9:$O$1000)=$C21)*(Main!T$9:T$1000) ) +  ( SUMPRODUCT( ((Adders!$D$13:$D$101)=$E21)*((Adders!$E$13:$E$101)=$F21)*(Adders!I$13:I$101)) + VLOOKUP($H21,Adders!$B$5:$G$8,N$11,FALSE)  +  Matrix!$D$2 ) * IF($D21="NJ",1.07,1))/$L$10, CHOOSE($M$10,$L$9,$M$9) )</f>
        <v xml:space="preserve"> 82.52 </v>
      </c>
      <c r="L21" s="173" t="str">
        <f ca="1">IF(AND($D$11="IL",$E21="AMEREN"),"NA",TEXT((SUMPRODUCT(((LMPMain!$H$9:$H$1000)=$E21)*((LMPMain!$J$9:$J$1000)=$F21)*((LMPMain!$O$9:$O$1000)=$C21)*(LMPMain!R$9:R$1000))+(SUMPRODUCT(((Adders!$D$13:$D$101)=$E21)*((Adders!$E$13:$E$101)=$F21)*(Adders!G$13:G$101))+VLOOKUP($H21,Adders!$B$5:$G$8,L$11,FALSE)+Matrix!$D$2)*IF($D21="NJ",1.07,1))/$L$10,CHOOSE($M$10,$L$9,$M$9)))</f>
        <v xml:space="preserve"> 39.45 </v>
      </c>
      <c r="M21" s="173" t="str">
        <f ca="1">IF(AND($D$11="IL",$E21="AMEREN"),"NA",TEXT((SUMPRODUCT(((LMPMain!$H$9:$H$1000)=$E21)*((LMPMain!$J$9:$J$1000)=$F21)*((LMPMain!$O$9:$O$1000)=$C21)*(LMPMain!S$9:S$1000))+(SUMPRODUCT(((Adders!$D$13:$D$101)=$E21)*((Adders!$E$13:$E$101)=$F21)*(Adders!H$13:H$101))+VLOOKUP($H21,Adders!$B$5:$G$8,M$11,FALSE)+Matrix!$D$2)*IF($D21="NJ",1.07,1))/$L$10,CHOOSE($M$10,$L$9,$M$9)))</f>
        <v xml:space="preserve"> 37.56 </v>
      </c>
      <c r="N21" s="174" t="str">
        <f ca="1">IF(AND($D$11="IL",$E21="AMEREN"),"NA",TEXT((SUMPRODUCT(((LMPMain!$H$9:$H$1000)=$E21)*((LMPMain!$J$9:$J$1000)=$F21)*((LMPMain!$O$9:$O$1000)=$C21)*(LMPMain!T$9:T$1000))+(SUMPRODUCT(((Adders!$D$13:$D$101)=$E21)*((Adders!$E$13:$E$101)=$F21)*(Adders!G$13:G$101))+VLOOKUP($H21,Adders!$B$5:$G$8,N$11,FALSE)+Matrix!$D$2)*IF($D21="NJ",1.07,1))/$L$10,CHOOSE($M$10,$L$9,$M$9)))</f>
        <v xml:space="preserve"> 37.42 </v>
      </c>
      <c r="O21" s="164"/>
      <c r="P21" s="108"/>
    </row>
    <row r="22" spans="1:16" x14ac:dyDescent="0.25">
      <c r="A22" s="122">
        <f>SUMPRODUCT( MAX( ((LMPMain!$F$9:$F$1000)=$D$11)*((LMPMain!$C$9:$C$1000)&lt;A21)*(LMPMain!$C$9:$C$1000) ) )</f>
        <v>0</v>
      </c>
      <c r="B22" s="123">
        <f t="shared" si="4"/>
        <v>3</v>
      </c>
      <c r="C22" s="135">
        <f t="shared" si="4"/>
        <v>42156</v>
      </c>
      <c r="D22" s="136" t="str">
        <f t="shared" si="4"/>
        <v>MD</v>
      </c>
      <c r="E22" s="137" t="str">
        <f t="shared" ca="1" si="5"/>
        <v>BGE</v>
      </c>
      <c r="F22" s="136" t="str">
        <f t="shared" ca="1" si="5"/>
        <v>GS</v>
      </c>
      <c r="G22" s="137" t="str">
        <f t="shared" ca="1" si="5"/>
        <v>General Service Small</v>
      </c>
      <c r="H22" s="138" t="str">
        <f>IF(D22="OH","500-2500 MWh","500-2500 MWh")</f>
        <v>500-2500 MWh</v>
      </c>
      <c r="I22" s="176" t="str">
        <f ca="1">TEXT(   (SUMPRODUCT( ((Main!$H$9:$H$1000)=$E22)*((Main!$J$9:$J$1000)=$F22)*((Main!$O$9:$O$1000)=$C22)*(Main!R$9:R$1000) ) +  ( SUMPRODUCT( ((Adders!$D$13:$D$101)=$E22)*((Adders!$E$13:$E$101)=$F22)*(Adders!G$13:G$101)) + VLOOKUP($H22,Adders!$B$5:$G$8,L$11,FALSE)  +  Matrix!$D$2 ) * IF($D22="NJ",1.07,1))/$L$10, CHOOSE($M$10,$L$9,$M$9) )</f>
        <v xml:space="preserve"> 83.64 </v>
      </c>
      <c r="J22" s="176" t="str">
        <f ca="1">TEXT(   (SUMPRODUCT( ((Main!$H$9:$H$1000)=$E22)*((Main!$J$9:$J$1000)=$F22)*((Main!$O$9:$O$1000)=$C22)*(Main!S$9:S$1000) ) +  ( SUMPRODUCT( ((Adders!$D$13:$D$101)=$E22)*((Adders!$E$13:$E$101)=$F22)*(Adders!H$13:H$101)) + VLOOKUP($H22,Adders!$B$5:$G$8,M$11,FALSE)  +  Matrix!$D$2 ) * IF($D22="NJ",1.07,1))/$L$10, CHOOSE($M$10,$L$9,$M$9) )</f>
        <v xml:space="preserve"> 80.73 </v>
      </c>
      <c r="K22" s="177" t="str">
        <f ca="1">TEXT(   (SUMPRODUCT( ((Main!$H$9:$H$1000)=$E22)*((Main!$J$9:$J$1000)=$F22)*((Main!$O$9:$O$1000)=$C22)*(Main!T$9:T$1000) ) +  ( SUMPRODUCT( ((Adders!$D$13:$D$101)=$E22)*((Adders!$E$13:$E$101)=$F22)*(Adders!I$13:I$101)) + VLOOKUP($H22,Adders!$B$5:$G$8,N$11,FALSE)  +  Matrix!$D$2 ) * IF($D22="NJ",1.07,1))/$L$10, CHOOSE($M$10,$L$9,$M$9) )</f>
        <v xml:space="preserve"> 81.47 </v>
      </c>
      <c r="L22" s="176" t="str">
        <f ca="1">IF(AND($D$11="IL",$E22="AMEREN"),"NA",TEXT((SUMPRODUCT(((LMPMain!$H$9:$H$1000)=$E22)*((LMPMain!$J$9:$J$1000)=$F22)*((LMPMain!$O$9:$O$1000)=$C22)*(LMPMain!R$9:R$1000))+(SUMPRODUCT(((Adders!$D$13:$D$101)=$E22)*((Adders!$E$13:$E$101)=$F22)*(Adders!G$13:G$101))+VLOOKUP($H22,Adders!$B$5:$G$8,L$11,FALSE)+Matrix!$D$2)*IF($D22="NJ",1.07,1))/$L$10,CHOOSE($M$10,$L$9,$M$9)))</f>
        <v xml:space="preserve"> 38.40 </v>
      </c>
      <c r="M22" s="176" t="str">
        <f ca="1">IF(AND($D$11="IL",$E22="AMEREN"),"NA",TEXT((SUMPRODUCT(((LMPMain!$H$9:$H$1000)=$E22)*((LMPMain!$J$9:$J$1000)=$F22)*((LMPMain!$O$9:$O$1000)=$C22)*(LMPMain!S$9:S$1000))+(SUMPRODUCT(((Adders!$D$13:$D$101)=$E22)*((Adders!$E$13:$E$101)=$F22)*(Adders!H$13:H$101))+VLOOKUP($H22,Adders!$B$5:$G$8,M$11,FALSE)+Matrix!$D$2)*IF($D22="NJ",1.07,1))/$L$10,CHOOSE($M$10,$L$9,$M$9)))</f>
        <v xml:space="preserve"> 36.51 </v>
      </c>
      <c r="N22" s="177" t="str">
        <f ca="1">IF(AND($D$11="IL",$E22="AMEREN"),"NA",TEXT((SUMPRODUCT(((LMPMain!$H$9:$H$1000)=$E22)*((LMPMain!$J$9:$J$1000)=$F22)*((LMPMain!$O$9:$O$1000)=$C22)*(LMPMain!T$9:T$1000))+(SUMPRODUCT(((Adders!$D$13:$D$101)=$E22)*((Adders!$E$13:$E$101)=$F22)*(Adders!G$13:G$101))+VLOOKUP($H22,Adders!$B$5:$G$8,N$11,FALSE)+Matrix!$D$2)*IF($D22="NJ",1.07,1))/$L$10,CHOOSE($M$10,$L$9,$M$9)))</f>
        <v xml:space="preserve"> 36.37 </v>
      </c>
      <c r="O22" s="164"/>
      <c r="P22" s="108"/>
    </row>
    <row r="23" spans="1:16" x14ac:dyDescent="0.25">
      <c r="A23" s="122">
        <f>SUMPRODUCT( MAX( ((LMPMain!$F$9:$F$1000)=$D$11)*((LMPMain!$C$9:$C$1000)&lt;A22)*(LMPMain!$C$9:$C$1000) ) )</f>
        <v>0</v>
      </c>
      <c r="B23" s="123">
        <f>IF(B22="","",IF(B22+1&lt;=$A$13,B22+1,""))</f>
        <v>4</v>
      </c>
      <c r="C23" s="127">
        <f>IF(B23="","",$F$11)</f>
        <v>42156</v>
      </c>
      <c r="D23" s="128" t="str">
        <f>IF($B23="","",$D$11)</f>
        <v>MD</v>
      </c>
      <c r="E23" s="129" t="str">
        <f ca="1">IF(ISERROR(VLOOKUP(SMALL(OFFSET($A$14,0,0,$A$13,1),$B23),LMPMain!$A$9:$H$1000,8,FALSE)),"",VLOOKUP(SMALL(OFFSET($A$14,0,0,$A$13,1),$B23),LMPMain!$A$9:$H$1000,8,FALSE))</f>
        <v>Delmarva</v>
      </c>
      <c r="F23" s="128" t="str">
        <f ca="1">IF( ISERROR(VLOOKUP(SMALL(OFFSET($A$14,0,0,$A$13,1),$B23),LMPMain!$A$9:$J$1000,10,FALSE)),"",VLOOKUP(SMALL(OFFSET($A$14,0,0,$A$13,1),$B23),LMPMain!$A$9:$J$1000,10,FALSE))</f>
        <v>GS</v>
      </c>
      <c r="G23" s="129" t="str">
        <f ca="1">IF(ISERROR(VLOOKUP(SUMPRODUCT( ((LMPMain!$H$9:$H$1000)=$E23)*((LMPMain!$J$9:$J$1000)=$F23)*((LMPMain!$O$9:$O$1000)=$C23)*(LMPMain!A$9:A$1000)),LMPMain!$A$9:$K$1000,11,FALSE)),"",VLOOKUP(SUMPRODUCT( ((LMPMain!$H$9:$H$1000)=$E23)*((LMPMain!$J$9:$J$1000)=$F23)*((LMPMain!$O$9:$O$1000)=$C23)*(LMPMain!A$9:A$1000)),LMPMain!$A$9:$K$1000,11,FALSE))</f>
        <v>General Service</v>
      </c>
      <c r="H23" s="130" t="s">
        <v>61</v>
      </c>
      <c r="I23" s="178" t="str">
        <f ca="1">TEXT(   (SUMPRODUCT( ((Main!$H$9:$H$1000)=$E23)*((Main!$J$9:$J$1000)=$F23)*((Main!$O$9:$O$1000)=$C23)*(Main!R$9:R$1000) ) +  ( SUMPRODUCT( ((Adders!$D$13:$D$101)=$E23)*((Adders!$E$13:$E$101)=$F23)*(Adders!G$13:G$101)) + VLOOKUP($H23,Adders!$B$5:$G$8,L$11,FALSE)  +  Matrix!$D$2 ) * IF($D23="NJ",1.07,1))/$L$10, CHOOSE($M$10,$L$9,$M$9) )</f>
        <v xml:space="preserve"> 89.89 </v>
      </c>
      <c r="J23" s="178" t="str">
        <f ca="1">TEXT(   (SUMPRODUCT( ((Main!$H$9:$H$1000)=$E23)*((Main!$J$9:$J$1000)=$F23)*((Main!$O$9:$O$1000)=$C23)*(Main!S$9:S$1000) ) +  ( SUMPRODUCT( ((Adders!$D$13:$D$101)=$E23)*((Adders!$E$13:$E$101)=$F23)*(Adders!H$13:H$101)) + VLOOKUP($H23,Adders!$B$5:$G$8,M$11,FALSE)  +  Matrix!$D$2 ) * IF($D23="NJ",1.07,1))/$L$10, CHOOSE($M$10,$L$9,$M$9) )</f>
        <v xml:space="preserve"> 87.68 </v>
      </c>
      <c r="K23" s="179" t="str">
        <f ca="1">TEXT(   (SUMPRODUCT( ((Main!$H$9:$H$1000)=$E23)*((Main!$J$9:$J$1000)=$F23)*((Main!$O$9:$O$1000)=$C23)*(Main!T$9:T$1000) ) +  ( SUMPRODUCT( ((Adders!$D$13:$D$101)=$E23)*((Adders!$E$13:$E$101)=$F23)*(Adders!I$13:I$101)) + VLOOKUP($H23,Adders!$B$5:$G$8,N$11,FALSE)  +  Matrix!$D$2 ) * IF($D23="NJ",1.07,1))/$L$10, CHOOSE($M$10,$L$9,$M$9) )</f>
        <v xml:space="preserve"> 88.07 </v>
      </c>
      <c r="L23" s="178" t="str">
        <f ca="1">IF(AND($D$11="IL",$E23="AMEREN"),"NA",TEXT((SUMPRODUCT(((LMPMain!$H$9:$H$1000)=$E23)*((LMPMain!$J$9:$J$1000)=$F23)*((LMPMain!$O$9:$O$1000)=$C23)*(LMPMain!R$9:R$1000))+(SUMPRODUCT(((Adders!$D$13:$D$101)=$E23)*((Adders!$E$13:$E$101)=$F23)*(Adders!G$13:G$101))+VLOOKUP($H23,Adders!$B$5:$G$8,L$11,FALSE)+Matrix!$D$2)*IF($D23="NJ",1.07,1))/$L$10,CHOOSE($M$10,$L$9,$M$9)))</f>
        <v xml:space="preserve"> 43.56 </v>
      </c>
      <c r="M23" s="178" t="str">
        <f ca="1">IF(AND($D$11="IL",$E23="AMEREN"),"NA",TEXT((SUMPRODUCT(((LMPMain!$H$9:$H$1000)=$E23)*((LMPMain!$J$9:$J$1000)=$F23)*((LMPMain!$O$9:$O$1000)=$C23)*(LMPMain!S$9:S$1000))+(SUMPRODUCT(((Adders!$D$13:$D$101)=$E23)*((Adders!$E$13:$E$101)=$F23)*(Adders!H$13:H$101))+VLOOKUP($H23,Adders!$B$5:$G$8,M$11,FALSE)+Matrix!$D$2)*IF($D23="NJ",1.07,1))/$L$10,CHOOSE($M$10,$L$9,$M$9)))</f>
        <v xml:space="preserve"> 41.80 </v>
      </c>
      <c r="N23" s="179" t="str">
        <f ca="1">IF(AND($D$11="IL",$E23="AMEREN"),"NA",TEXT((SUMPRODUCT(((LMPMain!$H$9:$H$1000)=$E23)*((LMPMain!$J$9:$J$1000)=$F23)*((LMPMain!$O$9:$O$1000)=$C23)*(LMPMain!T$9:T$1000))+(SUMPRODUCT(((Adders!$D$13:$D$101)=$E23)*((Adders!$E$13:$E$101)=$F23)*(Adders!G$13:G$101))+VLOOKUP($H23,Adders!$B$5:$G$8,N$11,FALSE)+Matrix!$D$2)*IF($D23="NJ",1.07,1))/$L$10,CHOOSE($M$10,$L$9,$M$9)))</f>
        <v xml:space="preserve"> 41.70 </v>
      </c>
      <c r="O23" s="164"/>
      <c r="P23" s="108"/>
    </row>
    <row r="24" spans="1:16" x14ac:dyDescent="0.25">
      <c r="A24" s="122">
        <f>SUMPRODUCT( MAX( ((LMPMain!$F$9:$F$1000)=$D$11)*((LMPMain!$C$9:$C$1000)&lt;A23)*(LMPMain!$C$9:$C$1000) ) )</f>
        <v>0</v>
      </c>
      <c r="B24" s="123">
        <f t="shared" ref="B24:D25" si="6">B23</f>
        <v>4</v>
      </c>
      <c r="C24" s="131">
        <f t="shared" si="6"/>
        <v>42156</v>
      </c>
      <c r="D24" s="132" t="str">
        <f t="shared" si="6"/>
        <v>MD</v>
      </c>
      <c r="E24" s="133" t="str">
        <f t="shared" ref="E24:G25" ca="1" si="7">E23</f>
        <v>Delmarva</v>
      </c>
      <c r="F24" s="132" t="str">
        <f t="shared" ca="1" si="7"/>
        <v>GS</v>
      </c>
      <c r="G24" s="133" t="str">
        <f t="shared" ca="1" si="7"/>
        <v>General Service</v>
      </c>
      <c r="H24" s="134" t="s">
        <v>62</v>
      </c>
      <c r="I24" s="173" t="str">
        <f ca="1">TEXT(   (SUMPRODUCT( ((Main!$H$9:$H$1000)=$E24)*((Main!$J$9:$J$1000)=$F24)*((Main!$O$9:$O$1000)=$C24)*(Main!R$9:R$1000) ) +  ( SUMPRODUCT( ((Adders!$D$13:$D$101)=$E24)*((Adders!$E$13:$E$101)=$F24)*(Adders!G$13:G$101)) + VLOOKUP($H24,Adders!$B$5:$G$8,L$11,FALSE)  +  Matrix!$D$2 ) * IF($D24="NJ",1.07,1))/$L$10, CHOOSE($M$10,$L$9,$M$9) )</f>
        <v xml:space="preserve"> 88.29 </v>
      </c>
      <c r="J24" s="173" t="str">
        <f ca="1">TEXT(   (SUMPRODUCT( ((Main!$H$9:$H$1000)=$E24)*((Main!$J$9:$J$1000)=$F24)*((Main!$O$9:$O$1000)=$C24)*(Main!S$9:S$1000) ) +  ( SUMPRODUCT( ((Adders!$D$13:$D$101)=$E24)*((Adders!$E$13:$E$101)=$F24)*(Adders!H$13:H$101)) + VLOOKUP($H24,Adders!$B$5:$G$8,M$11,FALSE)  +  Matrix!$D$2 ) * IF($D24="NJ",1.07,1))/$L$10, CHOOSE($M$10,$L$9,$M$9) )</f>
        <v xml:space="preserve"> 86.08 </v>
      </c>
      <c r="K24" s="174" t="str">
        <f ca="1">TEXT(   (SUMPRODUCT( ((Main!$H$9:$H$1000)=$E24)*((Main!$J$9:$J$1000)=$F24)*((Main!$O$9:$O$1000)=$C24)*(Main!T$9:T$1000) ) +  ( SUMPRODUCT( ((Adders!$D$13:$D$101)=$E24)*((Adders!$E$13:$E$101)=$F24)*(Adders!I$13:I$101)) + VLOOKUP($H24,Adders!$B$5:$G$8,N$11,FALSE)  +  Matrix!$D$2 ) * IF($D24="NJ",1.07,1))/$L$10, CHOOSE($M$10,$L$9,$M$9) )</f>
        <v xml:space="preserve"> 86.47 </v>
      </c>
      <c r="L24" s="173" t="str">
        <f ca="1">IF(AND($D$11="IL",$E24="AMEREN"),"NA",TEXT((SUMPRODUCT(((LMPMain!$H$9:$H$1000)=$E24)*((LMPMain!$J$9:$J$1000)=$F24)*((LMPMain!$O$9:$O$1000)=$C24)*(LMPMain!R$9:R$1000))+(SUMPRODUCT(((Adders!$D$13:$D$101)=$E24)*((Adders!$E$13:$E$101)=$F24)*(Adders!G$13:G$101))+VLOOKUP($H24,Adders!$B$5:$G$8,L$11,FALSE)+Matrix!$D$2)*IF($D24="NJ",1.07,1))/$L$10,CHOOSE($M$10,$L$9,$M$9)))</f>
        <v xml:space="preserve"> 41.96 </v>
      </c>
      <c r="M24" s="173" t="str">
        <f ca="1">IF(AND($D$11="IL",$E24="AMEREN"),"NA",TEXT((SUMPRODUCT(((LMPMain!$H$9:$H$1000)=$E24)*((LMPMain!$J$9:$J$1000)=$F24)*((LMPMain!$O$9:$O$1000)=$C24)*(LMPMain!S$9:S$1000))+(SUMPRODUCT(((Adders!$D$13:$D$101)=$E24)*((Adders!$E$13:$E$101)=$F24)*(Adders!H$13:H$101))+VLOOKUP($H24,Adders!$B$5:$G$8,M$11,FALSE)+Matrix!$D$2)*IF($D24="NJ",1.07,1))/$L$10,CHOOSE($M$10,$L$9,$M$9)))</f>
        <v xml:space="preserve"> 40.20 </v>
      </c>
      <c r="N24" s="174" t="str">
        <f ca="1">IF(AND($D$11="IL",$E24="AMEREN"),"NA",TEXT((SUMPRODUCT(((LMPMain!$H$9:$H$1000)=$E24)*((LMPMain!$J$9:$J$1000)=$F24)*((LMPMain!$O$9:$O$1000)=$C24)*(LMPMain!T$9:T$1000))+(SUMPRODUCT(((Adders!$D$13:$D$101)=$E24)*((Adders!$E$13:$E$101)=$F24)*(Adders!G$13:G$101))+VLOOKUP($H24,Adders!$B$5:$G$8,N$11,FALSE)+Matrix!$D$2)*IF($D24="NJ",1.07,1))/$L$10,CHOOSE($M$10,$L$9,$M$9)))</f>
        <v xml:space="preserve"> 40.10 </v>
      </c>
      <c r="O24" s="164"/>
      <c r="P24" s="108"/>
    </row>
    <row r="25" spans="1:16" x14ac:dyDescent="0.25">
      <c r="A25" s="122">
        <f>SUMPRODUCT( MAX( ((LMPMain!$F$9:$F$1000)=$D$11)*((LMPMain!$C$9:$C$1000)&lt;A24)*(LMPMain!$C$9:$C$1000) ) )</f>
        <v>0</v>
      </c>
      <c r="B25" s="123">
        <f t="shared" si="6"/>
        <v>4</v>
      </c>
      <c r="C25" s="135">
        <f t="shared" si="6"/>
        <v>42156</v>
      </c>
      <c r="D25" s="136" t="str">
        <f t="shared" si="6"/>
        <v>MD</v>
      </c>
      <c r="E25" s="137" t="str">
        <f t="shared" ca="1" si="7"/>
        <v>Delmarva</v>
      </c>
      <c r="F25" s="136" t="str">
        <f t="shared" ca="1" si="7"/>
        <v>GS</v>
      </c>
      <c r="G25" s="137" t="str">
        <f t="shared" ca="1" si="7"/>
        <v>General Service</v>
      </c>
      <c r="H25" s="138" t="str">
        <f>IF(D25="OH","500-2500 MWh","500-2500 MWh")</f>
        <v>500-2500 MWh</v>
      </c>
      <c r="I25" s="176" t="str">
        <f ca="1">TEXT(   (SUMPRODUCT( ((Main!$H$9:$H$1000)=$E25)*((Main!$J$9:$J$1000)=$F25)*((Main!$O$9:$O$1000)=$C25)*(Main!R$9:R$1000) ) +  ( SUMPRODUCT( ((Adders!$D$13:$D$101)=$E25)*((Adders!$E$13:$E$101)=$F25)*(Adders!G$13:G$101)) + VLOOKUP($H25,Adders!$B$5:$G$8,L$11,FALSE)  +  Matrix!$D$2 ) * IF($D25="NJ",1.07,1))/$L$10, CHOOSE($M$10,$L$9,$M$9) )</f>
        <v xml:space="preserve"> 87.24 </v>
      </c>
      <c r="J25" s="176" t="str">
        <f ca="1">TEXT(   (SUMPRODUCT( ((Main!$H$9:$H$1000)=$E25)*((Main!$J$9:$J$1000)=$F25)*((Main!$O$9:$O$1000)=$C25)*(Main!S$9:S$1000) ) +  ( SUMPRODUCT( ((Adders!$D$13:$D$101)=$E25)*((Adders!$E$13:$E$101)=$F25)*(Adders!H$13:H$101)) + VLOOKUP($H25,Adders!$B$5:$G$8,M$11,FALSE)  +  Matrix!$D$2 ) * IF($D25="NJ",1.07,1))/$L$10, CHOOSE($M$10,$L$9,$M$9) )</f>
        <v xml:space="preserve"> 85.03 </v>
      </c>
      <c r="K25" s="177" t="str">
        <f ca="1">TEXT(   (SUMPRODUCT( ((Main!$H$9:$H$1000)=$E25)*((Main!$J$9:$J$1000)=$F25)*((Main!$O$9:$O$1000)=$C25)*(Main!T$9:T$1000) ) +  ( SUMPRODUCT( ((Adders!$D$13:$D$101)=$E25)*((Adders!$E$13:$E$101)=$F25)*(Adders!I$13:I$101)) + VLOOKUP($H25,Adders!$B$5:$G$8,N$11,FALSE)  +  Matrix!$D$2 ) * IF($D25="NJ",1.07,1))/$L$10, CHOOSE($M$10,$L$9,$M$9) )</f>
        <v xml:space="preserve"> 85.42 </v>
      </c>
      <c r="L25" s="176" t="str">
        <f ca="1">IF(AND($D$11="IL",$E25="AMEREN"),"NA",TEXT((SUMPRODUCT(((LMPMain!$H$9:$H$1000)=$E25)*((LMPMain!$J$9:$J$1000)=$F25)*((LMPMain!$O$9:$O$1000)=$C25)*(LMPMain!R$9:R$1000))+(SUMPRODUCT(((Adders!$D$13:$D$101)=$E25)*((Adders!$E$13:$E$101)=$F25)*(Adders!G$13:G$101))+VLOOKUP($H25,Adders!$B$5:$G$8,L$11,FALSE)+Matrix!$D$2)*IF($D25="NJ",1.07,1))/$L$10,CHOOSE($M$10,$L$9,$M$9)))</f>
        <v xml:space="preserve"> 40.91 </v>
      </c>
      <c r="M25" s="176" t="str">
        <f ca="1">IF(AND($D$11="IL",$E25="AMEREN"),"NA",TEXT((SUMPRODUCT(((LMPMain!$H$9:$H$1000)=$E25)*((LMPMain!$J$9:$J$1000)=$F25)*((LMPMain!$O$9:$O$1000)=$C25)*(LMPMain!S$9:S$1000))+(SUMPRODUCT(((Adders!$D$13:$D$101)=$E25)*((Adders!$E$13:$E$101)=$F25)*(Adders!H$13:H$101))+VLOOKUP($H25,Adders!$B$5:$G$8,M$11,FALSE)+Matrix!$D$2)*IF($D25="NJ",1.07,1))/$L$10,CHOOSE($M$10,$L$9,$M$9)))</f>
        <v xml:space="preserve"> 39.15 </v>
      </c>
      <c r="N25" s="177" t="str">
        <f ca="1">IF(AND($D$11="IL",$E25="AMEREN"),"NA",TEXT((SUMPRODUCT(((LMPMain!$H$9:$H$1000)=$E25)*((LMPMain!$J$9:$J$1000)=$F25)*((LMPMain!$O$9:$O$1000)=$C25)*(LMPMain!T$9:T$1000))+(SUMPRODUCT(((Adders!$D$13:$D$101)=$E25)*((Adders!$E$13:$E$101)=$F25)*(Adders!G$13:G$101))+VLOOKUP($H25,Adders!$B$5:$G$8,N$11,FALSE)+Matrix!$D$2)*IF($D25="NJ",1.07,1))/$L$10,CHOOSE($M$10,$L$9,$M$9)))</f>
        <v xml:space="preserve"> 39.05 </v>
      </c>
      <c r="O25" s="164"/>
      <c r="P25" s="108"/>
    </row>
    <row r="26" spans="1:16" x14ac:dyDescent="0.25">
      <c r="A26" s="122"/>
      <c r="B26" s="123">
        <f>IF(B25="","",IF(B25+1&lt;=$A$13,B25+1,""))</f>
        <v>5</v>
      </c>
      <c r="C26" s="127">
        <f>IF(B26="","",$F$11)</f>
        <v>42156</v>
      </c>
      <c r="D26" s="128" t="str">
        <f>IF($B26="","",$D$11)</f>
        <v>MD</v>
      </c>
      <c r="E26" s="129" t="str">
        <f ca="1">IF(ISERROR(VLOOKUP(SMALL(OFFSET($A$14,0,0,$A$13,1),$B26),LMPMain!$A$9:$H$1000,8,FALSE)),"",VLOOKUP(SMALL(OFFSET($A$14,0,0,$A$13,1),$B26),LMPMain!$A$9:$H$1000,8,FALSE))</f>
        <v>PEPCO</v>
      </c>
      <c r="F26" s="128" t="str">
        <f ca="1">IF( ISERROR(VLOOKUP(SMALL(OFFSET($A$14,0,0,$A$13,1),$B26),LMPMain!$A$9:$J$1000,10,FALSE)),"",VLOOKUP(SMALL(OFFSET($A$14,0,0,$A$13,1),$B26),LMPMain!$A$9:$J$1000,10,FALSE))</f>
        <v>GS</v>
      </c>
      <c r="G26" s="129" t="str">
        <f ca="1">IF(ISERROR(VLOOKUP(SUMPRODUCT( ((LMPMain!$H$9:$H$1000)=$E26)*((LMPMain!$J$9:$J$1000)=$F26)*((LMPMain!$O$9:$O$1000)=$C26)*(LMPMain!A$9:A$1000)),LMPMain!$A$9:$K$1000,11,FALSE)),"",VLOOKUP(SUMPRODUCT( ((LMPMain!$H$9:$H$1000)=$E26)*((LMPMain!$J$9:$J$1000)=$F26)*((LMPMain!$O$9:$O$1000)=$C26)*(LMPMain!A$9:A$1000)),LMPMain!$A$9:$K$1000,11,FALSE))</f>
        <v>General Service</v>
      </c>
      <c r="H26" s="130" t="s">
        <v>61</v>
      </c>
      <c r="I26" s="178" t="str">
        <f ca="1">TEXT(   (SUMPRODUCT( ((Main!$H$9:$H$1000)=$E26)*((Main!$J$9:$J$1000)=$F26)*((Main!$O$9:$O$1000)=$C26)*(Main!R$9:R$1000) ) +  ( SUMPRODUCT( ((Adders!$D$13:$D$101)=$E26)*((Adders!$E$13:$E$101)=$F26)*(Adders!G$13:G$101)) + VLOOKUP($H26,Adders!$B$5:$G$8,L$11,FALSE)  +  Matrix!$D$2 ) * IF($D26="NJ",1.07,1))/$L$10, CHOOSE($M$10,$L$9,$M$9) )</f>
        <v xml:space="preserve"> 86.70 </v>
      </c>
      <c r="J26" s="178" t="str">
        <f ca="1">TEXT(   (SUMPRODUCT( ((Main!$H$9:$H$1000)=$E26)*((Main!$J$9:$J$1000)=$F26)*((Main!$O$9:$O$1000)=$C26)*(Main!S$9:S$1000) ) +  ( SUMPRODUCT( ((Adders!$D$13:$D$101)=$E26)*((Adders!$E$13:$E$101)=$F26)*(Adders!H$13:H$101)) + VLOOKUP($H26,Adders!$B$5:$G$8,M$11,FALSE)  +  Matrix!$D$2 ) * IF($D26="NJ",1.07,1))/$L$10, CHOOSE($M$10,$L$9,$M$9) )</f>
        <v xml:space="preserve"> 84.69 </v>
      </c>
      <c r="K26" s="179" t="str">
        <f ca="1">TEXT(   (SUMPRODUCT( ((Main!$H$9:$H$1000)=$E26)*((Main!$J$9:$J$1000)=$F26)*((Main!$O$9:$O$1000)=$C26)*(Main!T$9:T$1000) ) +  ( SUMPRODUCT( ((Adders!$D$13:$D$101)=$E26)*((Adders!$E$13:$E$101)=$F26)*(Adders!I$13:I$101)) + VLOOKUP($H26,Adders!$B$5:$G$8,N$11,FALSE)  +  Matrix!$D$2 ) * IF($D26="NJ",1.07,1))/$L$10, CHOOSE($M$10,$L$9,$M$9) )</f>
        <v xml:space="preserve"> 84.78 </v>
      </c>
      <c r="L26" s="178" t="str">
        <f ca="1">IF(AND($D$11="IL",$E26="AMEREN"),"NA",TEXT((SUMPRODUCT(((LMPMain!$H$9:$H$1000)=$E26)*((LMPMain!$J$9:$J$1000)=$F26)*((LMPMain!$O$9:$O$1000)=$C26)*(LMPMain!R$9:R$1000))+(SUMPRODUCT(((Adders!$D$13:$D$101)=$E26)*((Adders!$E$13:$E$101)=$F26)*(Adders!G$13:G$101))+VLOOKUP($H26,Adders!$B$5:$G$8,L$11,FALSE)+Matrix!$D$2)*IF($D26="NJ",1.07,1))/$L$10,CHOOSE($M$10,$L$9,$M$9)))</f>
        <v xml:space="preserve"> 39.71 </v>
      </c>
      <c r="M26" s="178" t="str">
        <f ca="1">IF(AND($D$11="IL",$E26="AMEREN"),"NA",TEXT((SUMPRODUCT(((LMPMain!$H$9:$H$1000)=$E26)*((LMPMain!$J$9:$J$1000)=$F26)*((LMPMain!$O$9:$O$1000)=$C26)*(LMPMain!S$9:S$1000))+(SUMPRODUCT(((Adders!$D$13:$D$101)=$E26)*((Adders!$E$13:$E$101)=$F26)*(Adders!H$13:H$101))+VLOOKUP($H26,Adders!$B$5:$G$8,M$11,FALSE)+Matrix!$D$2)*IF($D26="NJ",1.07,1))/$L$10,CHOOSE($M$10,$L$9,$M$9)))</f>
        <v xml:space="preserve"> 38.45 </v>
      </c>
      <c r="N26" s="179" t="str">
        <f ca="1">IF(AND($D$11="IL",$E26="AMEREN"),"NA",TEXT((SUMPRODUCT(((LMPMain!$H$9:$H$1000)=$E26)*((LMPMain!$J$9:$J$1000)=$F26)*((LMPMain!$O$9:$O$1000)=$C26)*(LMPMain!T$9:T$1000))+(SUMPRODUCT(((Adders!$D$13:$D$101)=$E26)*((Adders!$E$13:$E$101)=$F26)*(Adders!G$13:G$101))+VLOOKUP($H26,Adders!$B$5:$G$8,N$11,FALSE)+Matrix!$D$2)*IF($D26="NJ",1.07,1))/$L$10,CHOOSE($M$10,$L$9,$M$9)))</f>
        <v xml:space="preserve"> 37.89 </v>
      </c>
      <c r="O26" s="164"/>
      <c r="P26" s="108"/>
    </row>
    <row r="27" spans="1:16" x14ac:dyDescent="0.25">
      <c r="B27" s="123">
        <f t="shared" ref="B27:D28" si="8">B26</f>
        <v>5</v>
      </c>
      <c r="C27" s="131">
        <f t="shared" si="8"/>
        <v>42156</v>
      </c>
      <c r="D27" s="132" t="str">
        <f t="shared" si="8"/>
        <v>MD</v>
      </c>
      <c r="E27" s="133" t="str">
        <f t="shared" ref="E27:G28" ca="1" si="9">E26</f>
        <v>PEPCO</v>
      </c>
      <c r="F27" s="132" t="str">
        <f t="shared" ca="1" si="9"/>
        <v>GS</v>
      </c>
      <c r="G27" s="133" t="str">
        <f t="shared" ca="1" si="9"/>
        <v>General Service</v>
      </c>
      <c r="H27" s="134" t="s">
        <v>62</v>
      </c>
      <c r="I27" s="173" t="str">
        <f ca="1">TEXT(   (SUMPRODUCT( ((Main!$H$9:$H$1000)=$E27)*((Main!$J$9:$J$1000)=$F27)*((Main!$O$9:$O$1000)=$C27)*(Main!R$9:R$1000) ) +  ( SUMPRODUCT( ((Adders!$D$13:$D$101)=$E27)*((Adders!$E$13:$E$101)=$F27)*(Adders!G$13:G$101)) + VLOOKUP($H27,Adders!$B$5:$G$8,L$11,FALSE)  +  Matrix!$D$2 ) * IF($D27="NJ",1.07,1))/$L$10, CHOOSE($M$10,$L$9,$M$9) )</f>
        <v xml:space="preserve"> 85.10 </v>
      </c>
      <c r="J27" s="173" t="str">
        <f ca="1">TEXT(   (SUMPRODUCT( ((Main!$H$9:$H$1000)=$E27)*((Main!$J$9:$J$1000)=$F27)*((Main!$O$9:$O$1000)=$C27)*(Main!S$9:S$1000) ) +  ( SUMPRODUCT( ((Adders!$D$13:$D$101)=$E27)*((Adders!$E$13:$E$101)=$F27)*(Adders!H$13:H$101)) + VLOOKUP($H27,Adders!$B$5:$G$8,M$11,FALSE)  +  Matrix!$D$2 ) * IF($D27="NJ",1.07,1))/$L$10, CHOOSE($M$10,$L$9,$M$9) )</f>
        <v xml:space="preserve"> 83.09 </v>
      </c>
      <c r="K27" s="174" t="str">
        <f ca="1">TEXT(   (SUMPRODUCT( ((Main!$H$9:$H$1000)=$E27)*((Main!$J$9:$J$1000)=$F27)*((Main!$O$9:$O$1000)=$C27)*(Main!T$9:T$1000) ) +  ( SUMPRODUCT( ((Adders!$D$13:$D$101)=$E27)*((Adders!$E$13:$E$101)=$F27)*(Adders!I$13:I$101)) + VLOOKUP($H27,Adders!$B$5:$G$8,N$11,FALSE)  +  Matrix!$D$2 ) * IF($D27="NJ",1.07,1))/$L$10, CHOOSE($M$10,$L$9,$M$9) )</f>
        <v xml:space="preserve"> 83.18 </v>
      </c>
      <c r="L27" s="173" t="str">
        <f ca="1">IF(AND($D$11="IL",$E27="AMEREN"),"NA",TEXT((SUMPRODUCT(((LMPMain!$H$9:$H$1000)=$E27)*((LMPMain!$J$9:$J$1000)=$F27)*((LMPMain!$O$9:$O$1000)=$C27)*(LMPMain!R$9:R$1000))+(SUMPRODUCT(((Adders!$D$13:$D$101)=$E27)*((Adders!$E$13:$E$101)=$F27)*(Adders!G$13:G$101))+VLOOKUP($H27,Adders!$B$5:$G$8,L$11,FALSE)+Matrix!$D$2)*IF($D27="NJ",1.07,1))/$L$10,CHOOSE($M$10,$L$9,$M$9)))</f>
        <v xml:space="preserve"> 38.11 </v>
      </c>
      <c r="M27" s="173" t="str">
        <f ca="1">IF(AND($D$11="IL",$E27="AMEREN"),"NA",TEXT((SUMPRODUCT(((LMPMain!$H$9:$H$1000)=$E27)*((LMPMain!$J$9:$J$1000)=$F27)*((LMPMain!$O$9:$O$1000)=$C27)*(LMPMain!S$9:S$1000))+(SUMPRODUCT(((Adders!$D$13:$D$101)=$E27)*((Adders!$E$13:$E$101)=$F27)*(Adders!H$13:H$101))+VLOOKUP($H27,Adders!$B$5:$G$8,M$11,FALSE)+Matrix!$D$2)*IF($D27="NJ",1.07,1))/$L$10,CHOOSE($M$10,$L$9,$M$9)))</f>
        <v xml:space="preserve"> 36.85 </v>
      </c>
      <c r="N27" s="174" t="str">
        <f ca="1">IF(AND($D$11="IL",$E27="AMEREN"),"NA",TEXT((SUMPRODUCT(((LMPMain!$H$9:$H$1000)=$E27)*((LMPMain!$J$9:$J$1000)=$F27)*((LMPMain!$O$9:$O$1000)=$C27)*(LMPMain!T$9:T$1000))+(SUMPRODUCT(((Adders!$D$13:$D$101)=$E27)*((Adders!$E$13:$E$101)=$F27)*(Adders!G$13:G$101))+VLOOKUP($H27,Adders!$B$5:$G$8,N$11,FALSE)+Matrix!$D$2)*IF($D27="NJ",1.07,1))/$L$10,CHOOSE($M$10,$L$9,$M$9)))</f>
        <v xml:space="preserve"> 36.29 </v>
      </c>
      <c r="O27" s="164"/>
      <c r="P27" s="108"/>
    </row>
    <row r="28" spans="1:16" x14ac:dyDescent="0.25">
      <c r="B28" s="123">
        <f t="shared" si="8"/>
        <v>5</v>
      </c>
      <c r="C28" s="135">
        <f t="shared" si="8"/>
        <v>42156</v>
      </c>
      <c r="D28" s="136" t="str">
        <f t="shared" si="8"/>
        <v>MD</v>
      </c>
      <c r="E28" s="137" t="str">
        <f t="shared" ca="1" si="9"/>
        <v>PEPCO</v>
      </c>
      <c r="F28" s="136" t="str">
        <f t="shared" ca="1" si="9"/>
        <v>GS</v>
      </c>
      <c r="G28" s="137" t="str">
        <f t="shared" ca="1" si="9"/>
        <v>General Service</v>
      </c>
      <c r="H28" s="138" t="str">
        <f>IF(D28="OH","500-2500 MWh","500-2500 MWh")</f>
        <v>500-2500 MWh</v>
      </c>
      <c r="I28" s="176" t="str">
        <f ca="1">TEXT(   (SUMPRODUCT( ((Main!$H$9:$H$1000)=$E28)*((Main!$J$9:$J$1000)=$F28)*((Main!$O$9:$O$1000)=$C28)*(Main!R$9:R$1000) ) +  ( SUMPRODUCT( ((Adders!$D$13:$D$101)=$E28)*((Adders!$E$13:$E$101)=$F28)*(Adders!G$13:G$101)) + VLOOKUP($H28,Adders!$B$5:$G$8,L$11,FALSE)  +  Matrix!$D$2 ) * IF($D28="NJ",1.07,1))/$L$10, CHOOSE($M$10,$L$9,$M$9) )</f>
        <v xml:space="preserve"> 84.05 </v>
      </c>
      <c r="J28" s="176" t="str">
        <f ca="1">TEXT(   (SUMPRODUCT( ((Main!$H$9:$H$1000)=$E28)*((Main!$J$9:$J$1000)=$F28)*((Main!$O$9:$O$1000)=$C28)*(Main!S$9:S$1000) ) +  ( SUMPRODUCT( ((Adders!$D$13:$D$101)=$E28)*((Adders!$E$13:$E$101)=$F28)*(Adders!H$13:H$101)) + VLOOKUP($H28,Adders!$B$5:$G$8,M$11,FALSE)  +  Matrix!$D$2 ) * IF($D28="NJ",1.07,1))/$L$10, CHOOSE($M$10,$L$9,$M$9) )</f>
        <v xml:space="preserve"> 82.04 </v>
      </c>
      <c r="K28" s="177" t="str">
        <f ca="1">TEXT(   (SUMPRODUCT( ((Main!$H$9:$H$1000)=$E28)*((Main!$J$9:$J$1000)=$F28)*((Main!$O$9:$O$1000)=$C28)*(Main!T$9:T$1000) ) +  ( SUMPRODUCT( ((Adders!$D$13:$D$101)=$E28)*((Adders!$E$13:$E$101)=$F28)*(Adders!I$13:I$101)) + VLOOKUP($H28,Adders!$B$5:$G$8,N$11,FALSE)  +  Matrix!$D$2 ) * IF($D28="NJ",1.07,1))/$L$10, CHOOSE($M$10,$L$9,$M$9) )</f>
        <v xml:space="preserve"> 82.13 </v>
      </c>
      <c r="L28" s="176" t="str">
        <f ca="1">IF(AND($D$11="IL",$E28="AMEREN"),"NA",TEXT((SUMPRODUCT(((LMPMain!$H$9:$H$1000)=$E28)*((LMPMain!$J$9:$J$1000)=$F28)*((LMPMain!$O$9:$O$1000)=$C28)*(LMPMain!R$9:R$1000))+(SUMPRODUCT(((Adders!$D$13:$D$101)=$E28)*((Adders!$E$13:$E$101)=$F28)*(Adders!G$13:G$101))+VLOOKUP($H28,Adders!$B$5:$G$8,L$11,FALSE)+Matrix!$D$2)*IF($D28="NJ",1.07,1))/$L$10,CHOOSE($M$10,$L$9,$M$9)))</f>
        <v xml:space="preserve"> 37.06 </v>
      </c>
      <c r="M28" s="176" t="str">
        <f ca="1">IF(AND($D$11="IL",$E28="AMEREN"),"NA",TEXT((SUMPRODUCT(((LMPMain!$H$9:$H$1000)=$E28)*((LMPMain!$J$9:$J$1000)=$F28)*((LMPMain!$O$9:$O$1000)=$C28)*(LMPMain!S$9:S$1000))+(SUMPRODUCT(((Adders!$D$13:$D$101)=$E28)*((Adders!$E$13:$E$101)=$F28)*(Adders!H$13:H$101))+VLOOKUP($H28,Adders!$B$5:$G$8,M$11,FALSE)+Matrix!$D$2)*IF($D28="NJ",1.07,1))/$L$10,CHOOSE($M$10,$L$9,$M$9)))</f>
        <v xml:space="preserve"> 35.80 </v>
      </c>
      <c r="N28" s="177" t="str">
        <f ca="1">IF(AND($D$11="IL",$E28="AMEREN"),"NA",TEXT((SUMPRODUCT(((LMPMain!$H$9:$H$1000)=$E28)*((LMPMain!$J$9:$J$1000)=$F28)*((LMPMain!$O$9:$O$1000)=$C28)*(LMPMain!T$9:T$1000))+(SUMPRODUCT(((Adders!$D$13:$D$101)=$E28)*((Adders!$E$13:$E$101)=$F28)*(Adders!G$13:G$101))+VLOOKUP($H28,Adders!$B$5:$G$8,N$11,FALSE)+Matrix!$D$2)*IF($D28="NJ",1.07,1))/$L$10,CHOOSE($M$10,$L$9,$M$9)))</f>
        <v xml:space="preserve"> 35.24 </v>
      </c>
      <c r="O28" s="164"/>
      <c r="P28" s="108"/>
    </row>
    <row r="29" spans="1:16" x14ac:dyDescent="0.25">
      <c r="B29" s="123">
        <f>IF(B28="","",IF(B28+1&lt;=$A$13,B28+1,""))</f>
        <v>6</v>
      </c>
      <c r="C29" s="127">
        <f>IF(B29="","",$F$11)</f>
        <v>42156</v>
      </c>
      <c r="D29" s="128" t="str">
        <f>IF($B29="","",$D$11)</f>
        <v>MD</v>
      </c>
      <c r="E29" s="129" t="str">
        <f ca="1">IF(ISERROR(VLOOKUP(SMALL(OFFSET($A$14,0,0,$A$13,1),$B29),LMPMain!$A$9:$H$1000,8,FALSE)),"",VLOOKUP(SMALL(OFFSET($A$14,0,0,$A$13,1),$B29),LMPMain!$A$9:$H$1000,8,FALSE))</f>
        <v>PEPCO</v>
      </c>
      <c r="F29" s="128" t="str">
        <f ca="1">IF( ISERROR(VLOOKUP(SMALL(OFFSET($A$14,0,0,$A$13,1),$B29),LMPMain!$A$9:$J$1000,10,FALSE)),"",VLOOKUP(SMALL(OFFSET($A$14,0,0,$A$13,1),$B29),LMPMain!$A$9:$J$1000,10,FALSE))</f>
        <v>MGT LV II</v>
      </c>
      <c r="G29" s="129" t="str">
        <f ca="1">IF(ISERROR(VLOOKUP(SUMPRODUCT( ((LMPMain!$H$9:$H$1000)=$E29)*((LMPMain!$J$9:$J$1000)=$F29)*((LMPMain!$O$9:$O$1000)=$C29)*(LMPMain!A$9:A$1000)),LMPMain!$A$9:$K$1000,11,FALSE)),"",VLOOKUP(SUMPRODUCT( ((LMPMain!$H$9:$H$1000)=$E29)*((LMPMain!$J$9:$J$1000)=$F29)*((LMPMain!$O$9:$O$1000)=$C29)*(LMPMain!A$9:A$1000)),LMPMain!$A$9:$K$1000,11,FALSE))</f>
        <v>Time Metered Gen Service</v>
      </c>
      <c r="H29" s="130" t="s">
        <v>61</v>
      </c>
      <c r="I29" s="178" t="str">
        <f ca="1">TEXT(   (SUMPRODUCT( ((Main!$H$9:$H$1000)=$E29)*((Main!$J$9:$J$1000)=$F29)*((Main!$O$9:$O$1000)=$C29)*(Main!R$9:R$1000) ) +  ( SUMPRODUCT( ((Adders!$D$13:$D$101)=$E29)*((Adders!$E$13:$E$101)=$F29)*(Adders!G$13:G$101)) + VLOOKUP($H29,Adders!$B$5:$G$8,L$11,FALSE)  +  Matrix!$D$2 ) * IF($D29="NJ",1.07,1))/$L$10, CHOOSE($M$10,$L$9,$M$9) )</f>
        <v xml:space="preserve"> 84.60 </v>
      </c>
      <c r="J29" s="178" t="str">
        <f ca="1">TEXT(   (SUMPRODUCT( ((Main!$H$9:$H$1000)=$E29)*((Main!$J$9:$J$1000)=$F29)*((Main!$O$9:$O$1000)=$C29)*(Main!S$9:S$1000) ) +  ( SUMPRODUCT( ((Adders!$D$13:$D$101)=$E29)*((Adders!$E$13:$E$101)=$F29)*(Adders!H$13:H$101)) + VLOOKUP($H29,Adders!$B$5:$G$8,M$11,FALSE)  +  Matrix!$D$2 ) * IF($D29="NJ",1.07,1))/$L$10, CHOOSE($M$10,$L$9,$M$9) )</f>
        <v xml:space="preserve"> 82.26 </v>
      </c>
      <c r="K29" s="179" t="str">
        <f ca="1">TEXT(   (SUMPRODUCT( ((Main!$H$9:$H$1000)=$E29)*((Main!$J$9:$J$1000)=$F29)*((Main!$O$9:$O$1000)=$C29)*(Main!T$9:T$1000) ) +  ( SUMPRODUCT( ((Adders!$D$13:$D$101)=$E29)*((Adders!$E$13:$E$101)=$F29)*(Adders!I$13:I$101)) + VLOOKUP($H29,Adders!$B$5:$G$8,N$11,FALSE)  +  Matrix!$D$2 ) * IF($D29="NJ",1.07,1))/$L$10, CHOOSE($M$10,$L$9,$M$9) )</f>
        <v xml:space="preserve"> 82.68 </v>
      </c>
      <c r="L29" s="178" t="str">
        <f ca="1">IF(AND($D$11="IL",$E29="AMEREN"),"NA",TEXT((SUMPRODUCT(((LMPMain!$H$9:$H$1000)=$E29)*((LMPMain!$J$9:$J$1000)=$F29)*((LMPMain!$O$9:$O$1000)=$C29)*(LMPMain!R$9:R$1000))+(SUMPRODUCT(((Adders!$D$13:$D$101)=$E29)*((Adders!$E$13:$E$101)=$F29)*(Adders!G$13:G$101))+VLOOKUP($H29,Adders!$B$5:$G$8,L$11,FALSE)+Matrix!$D$2)*IF($D29="NJ",1.07,1))/$L$10,CHOOSE($M$10,$L$9,$M$9)))</f>
        <v xml:space="preserve"> 38.56 </v>
      </c>
      <c r="M29" s="178" t="str">
        <f ca="1">IF(AND($D$11="IL",$E29="AMEREN"),"NA",TEXT((SUMPRODUCT(((LMPMain!$H$9:$H$1000)=$E29)*((LMPMain!$J$9:$J$1000)=$F29)*((LMPMain!$O$9:$O$1000)=$C29)*(LMPMain!S$9:S$1000))+(SUMPRODUCT(((Adders!$D$13:$D$101)=$E29)*((Adders!$E$13:$E$101)=$F29)*(Adders!H$13:H$101))+VLOOKUP($H29,Adders!$B$5:$G$8,M$11,FALSE)+Matrix!$D$2)*IF($D29="NJ",1.07,1))/$L$10,CHOOSE($M$10,$L$9,$M$9)))</f>
        <v xml:space="preserve"> 37.01 </v>
      </c>
      <c r="N29" s="179" t="str">
        <f ca="1">IF(AND($D$11="IL",$E29="AMEREN"),"NA",TEXT((SUMPRODUCT(((LMPMain!$H$9:$H$1000)=$E29)*((LMPMain!$J$9:$J$1000)=$F29)*((LMPMain!$O$9:$O$1000)=$C29)*(LMPMain!T$9:T$1000))+(SUMPRODUCT(((Adders!$D$13:$D$101)=$E29)*((Adders!$E$13:$E$101)=$F29)*(Adders!G$13:G$101))+VLOOKUP($H29,Adders!$B$5:$G$8,N$11,FALSE)+Matrix!$D$2)*IF($D29="NJ",1.07,1))/$L$10,CHOOSE($M$10,$L$9,$M$9)))</f>
        <v xml:space="preserve"> 36.75 </v>
      </c>
      <c r="O29" s="164"/>
      <c r="P29" s="108"/>
    </row>
    <row r="30" spans="1:16" x14ac:dyDescent="0.25">
      <c r="B30" s="123">
        <f t="shared" ref="B30:D31" si="10">B29</f>
        <v>6</v>
      </c>
      <c r="C30" s="131">
        <f t="shared" si="10"/>
        <v>42156</v>
      </c>
      <c r="D30" s="132" t="str">
        <f t="shared" si="10"/>
        <v>MD</v>
      </c>
      <c r="E30" s="133" t="str">
        <f t="shared" ref="E30:G31" ca="1" si="11">E29</f>
        <v>PEPCO</v>
      </c>
      <c r="F30" s="132" t="str">
        <f t="shared" ca="1" si="11"/>
        <v>MGT LV II</v>
      </c>
      <c r="G30" s="133" t="str">
        <f t="shared" ca="1" si="11"/>
        <v>Time Metered Gen Service</v>
      </c>
      <c r="H30" s="134" t="s">
        <v>62</v>
      </c>
      <c r="I30" s="173" t="str">
        <f ca="1">TEXT(   (SUMPRODUCT( ((Main!$H$9:$H$1000)=$E30)*((Main!$J$9:$J$1000)=$F30)*((Main!$O$9:$O$1000)=$C30)*(Main!R$9:R$1000) ) +  ( SUMPRODUCT( ((Adders!$D$13:$D$101)=$E30)*((Adders!$E$13:$E$101)=$F30)*(Adders!G$13:G$101)) + VLOOKUP($H30,Adders!$B$5:$G$8,L$11,FALSE)  +  Matrix!$D$2 ) * IF($D30="NJ",1.07,1))/$L$10, CHOOSE($M$10,$L$9,$M$9) )</f>
        <v xml:space="preserve"> 83.00 </v>
      </c>
      <c r="J30" s="173" t="str">
        <f ca="1">TEXT(   (SUMPRODUCT( ((Main!$H$9:$H$1000)=$E30)*((Main!$J$9:$J$1000)=$F30)*((Main!$O$9:$O$1000)=$C30)*(Main!S$9:S$1000) ) +  ( SUMPRODUCT( ((Adders!$D$13:$D$101)=$E30)*((Adders!$E$13:$E$101)=$F30)*(Adders!H$13:H$101)) + VLOOKUP($H30,Adders!$B$5:$G$8,M$11,FALSE)  +  Matrix!$D$2 ) * IF($D30="NJ",1.07,1))/$L$10, CHOOSE($M$10,$L$9,$M$9) )</f>
        <v xml:space="preserve"> 80.66 </v>
      </c>
      <c r="K30" s="174" t="str">
        <f ca="1">TEXT(   (SUMPRODUCT( ((Main!$H$9:$H$1000)=$E30)*((Main!$J$9:$J$1000)=$F30)*((Main!$O$9:$O$1000)=$C30)*(Main!T$9:T$1000) ) +  ( SUMPRODUCT( ((Adders!$D$13:$D$101)=$E30)*((Adders!$E$13:$E$101)=$F30)*(Adders!I$13:I$101)) + VLOOKUP($H30,Adders!$B$5:$G$8,N$11,FALSE)  +  Matrix!$D$2 ) * IF($D30="NJ",1.07,1))/$L$10, CHOOSE($M$10,$L$9,$M$9) )</f>
        <v xml:space="preserve"> 81.08 </v>
      </c>
      <c r="L30" s="173" t="str">
        <f ca="1">IF(AND($D$11="IL",$E30="AMEREN"),"NA",TEXT((SUMPRODUCT(((LMPMain!$H$9:$H$1000)=$E30)*((LMPMain!$J$9:$J$1000)=$F30)*((LMPMain!$O$9:$O$1000)=$C30)*(LMPMain!R$9:R$1000))+(SUMPRODUCT(((Adders!$D$13:$D$101)=$E30)*((Adders!$E$13:$E$101)=$F30)*(Adders!G$13:G$101))+VLOOKUP($H30,Adders!$B$5:$G$8,L$11,FALSE)+Matrix!$D$2)*IF($D30="NJ",1.07,1))/$L$10,CHOOSE($M$10,$L$9,$M$9)))</f>
        <v xml:space="preserve"> 36.96 </v>
      </c>
      <c r="M30" s="173" t="str">
        <f ca="1">IF(AND($D$11="IL",$E30="AMEREN"),"NA",TEXT((SUMPRODUCT(((LMPMain!$H$9:$H$1000)=$E30)*((LMPMain!$J$9:$J$1000)=$F30)*((LMPMain!$O$9:$O$1000)=$C30)*(LMPMain!S$9:S$1000))+(SUMPRODUCT(((Adders!$D$13:$D$101)=$E30)*((Adders!$E$13:$E$101)=$F30)*(Adders!H$13:H$101))+VLOOKUP($H30,Adders!$B$5:$G$8,M$11,FALSE)+Matrix!$D$2)*IF($D30="NJ",1.07,1))/$L$10,CHOOSE($M$10,$L$9,$M$9)))</f>
        <v xml:space="preserve"> 35.41 </v>
      </c>
      <c r="N30" s="174" t="str">
        <f ca="1">IF(AND($D$11="IL",$E30="AMEREN"),"NA",TEXT((SUMPRODUCT(((LMPMain!$H$9:$H$1000)=$E30)*((LMPMain!$J$9:$J$1000)=$F30)*((LMPMain!$O$9:$O$1000)=$C30)*(LMPMain!T$9:T$1000))+(SUMPRODUCT(((Adders!$D$13:$D$101)=$E30)*((Adders!$E$13:$E$101)=$F30)*(Adders!G$13:G$101))+VLOOKUP($H30,Adders!$B$5:$G$8,N$11,FALSE)+Matrix!$D$2)*IF($D30="NJ",1.07,1))/$L$10,CHOOSE($M$10,$L$9,$M$9)))</f>
        <v xml:space="preserve"> 35.15 </v>
      </c>
      <c r="O30" s="164"/>
      <c r="P30" s="108"/>
    </row>
    <row r="31" spans="1:16" x14ac:dyDescent="0.25">
      <c r="B31" s="123">
        <f t="shared" si="10"/>
        <v>6</v>
      </c>
      <c r="C31" s="135">
        <f t="shared" si="10"/>
        <v>42156</v>
      </c>
      <c r="D31" s="136" t="str">
        <f t="shared" si="10"/>
        <v>MD</v>
      </c>
      <c r="E31" s="137" t="str">
        <f t="shared" ca="1" si="11"/>
        <v>PEPCO</v>
      </c>
      <c r="F31" s="136" t="str">
        <f t="shared" ca="1" si="11"/>
        <v>MGT LV II</v>
      </c>
      <c r="G31" s="137" t="str">
        <f t="shared" ca="1" si="11"/>
        <v>Time Metered Gen Service</v>
      </c>
      <c r="H31" s="138" t="str">
        <f>IF(D31="OH","500-2500 MWh","500-2500 MWh")</f>
        <v>500-2500 MWh</v>
      </c>
      <c r="I31" s="176" t="str">
        <f ca="1">TEXT(   (SUMPRODUCT( ((Main!$H$9:$H$1000)=$E31)*((Main!$J$9:$J$1000)=$F31)*((Main!$O$9:$O$1000)=$C31)*(Main!R$9:R$1000) ) +  ( SUMPRODUCT( ((Adders!$D$13:$D$101)=$E31)*((Adders!$E$13:$E$101)=$F31)*(Adders!G$13:G$101)) + VLOOKUP($H31,Adders!$B$5:$G$8,L$11,FALSE)  +  Matrix!$D$2 ) * IF($D31="NJ",1.07,1))/$L$10, CHOOSE($M$10,$L$9,$M$9) )</f>
        <v xml:space="preserve"> 81.95 </v>
      </c>
      <c r="J31" s="176" t="str">
        <f ca="1">TEXT(   (SUMPRODUCT( ((Main!$H$9:$H$1000)=$E31)*((Main!$J$9:$J$1000)=$F31)*((Main!$O$9:$O$1000)=$C31)*(Main!S$9:S$1000) ) +  ( SUMPRODUCT( ((Adders!$D$13:$D$101)=$E31)*((Adders!$E$13:$E$101)=$F31)*(Adders!H$13:H$101)) + VLOOKUP($H31,Adders!$B$5:$G$8,M$11,FALSE)  +  Matrix!$D$2 ) * IF($D31="NJ",1.07,1))/$L$10, CHOOSE($M$10,$L$9,$M$9) )</f>
        <v xml:space="preserve"> 79.61 </v>
      </c>
      <c r="K31" s="177" t="str">
        <f ca="1">TEXT(   (SUMPRODUCT( ((Main!$H$9:$H$1000)=$E31)*((Main!$J$9:$J$1000)=$F31)*((Main!$O$9:$O$1000)=$C31)*(Main!T$9:T$1000) ) +  ( SUMPRODUCT( ((Adders!$D$13:$D$101)=$E31)*((Adders!$E$13:$E$101)=$F31)*(Adders!I$13:I$101)) + VLOOKUP($H31,Adders!$B$5:$G$8,N$11,FALSE)  +  Matrix!$D$2 ) * IF($D31="NJ",1.07,1))/$L$10, CHOOSE($M$10,$L$9,$M$9) )</f>
        <v xml:space="preserve"> 80.03 </v>
      </c>
      <c r="L31" s="176" t="str">
        <f ca="1">IF(AND($D$11="IL",$E31="AMEREN"),"NA",TEXT((SUMPRODUCT(((LMPMain!$H$9:$H$1000)=$E31)*((LMPMain!$J$9:$J$1000)=$F31)*((LMPMain!$O$9:$O$1000)=$C31)*(LMPMain!R$9:R$1000))+(SUMPRODUCT(((Adders!$D$13:$D$101)=$E31)*((Adders!$E$13:$E$101)=$F31)*(Adders!G$13:G$101))+VLOOKUP($H31,Adders!$B$5:$G$8,L$11,FALSE)+Matrix!$D$2)*IF($D31="NJ",1.07,1))/$L$10,CHOOSE($M$10,$L$9,$M$9)))</f>
        <v xml:space="preserve"> 35.91 </v>
      </c>
      <c r="M31" s="176" t="str">
        <f ca="1">IF(AND($D$11="IL",$E31="AMEREN"),"NA",TEXT((SUMPRODUCT(((LMPMain!$H$9:$H$1000)=$E31)*((LMPMain!$J$9:$J$1000)=$F31)*((LMPMain!$O$9:$O$1000)=$C31)*(LMPMain!S$9:S$1000))+(SUMPRODUCT(((Adders!$D$13:$D$101)=$E31)*((Adders!$E$13:$E$101)=$F31)*(Adders!H$13:H$101))+VLOOKUP($H31,Adders!$B$5:$G$8,M$11,FALSE)+Matrix!$D$2)*IF($D31="NJ",1.07,1))/$L$10,CHOOSE($M$10,$L$9,$M$9)))</f>
        <v xml:space="preserve"> 34.36 </v>
      </c>
      <c r="N31" s="177" t="str">
        <f ca="1">IF(AND($D$11="IL",$E31="AMEREN"),"NA",TEXT((SUMPRODUCT(((LMPMain!$H$9:$H$1000)=$E31)*((LMPMain!$J$9:$J$1000)=$F31)*((LMPMain!$O$9:$O$1000)=$C31)*(LMPMain!T$9:T$1000))+(SUMPRODUCT(((Adders!$D$13:$D$101)=$E31)*((Adders!$E$13:$E$101)=$F31)*(Adders!G$13:G$101))+VLOOKUP($H31,Adders!$B$5:$G$8,N$11,FALSE)+Matrix!$D$2)*IF($D31="NJ",1.07,1))/$L$10,CHOOSE($M$10,$L$9,$M$9)))</f>
        <v xml:space="preserve"> 34.10 </v>
      </c>
      <c r="O31" s="164"/>
      <c r="P31" s="108"/>
    </row>
    <row r="32" spans="1:16" x14ac:dyDescent="0.25">
      <c r="B32" s="123">
        <f>IF(B31="","",IF(B31+1&lt;=$A$13,B31+1,""))</f>
        <v>7</v>
      </c>
      <c r="C32" s="127">
        <f>IF(B32="","",$F$11)</f>
        <v>42156</v>
      </c>
      <c r="D32" s="128" t="str">
        <f>IF($B32="","",$D$11)</f>
        <v>MD</v>
      </c>
      <c r="E32" s="129" t="str">
        <f ca="1">IF(ISERROR(VLOOKUP(SMALL(OFFSET($A$14,0,0,$A$13,1),$B32),LMPMain!$A$9:$H$1000,8,FALSE)),"",VLOOKUP(SMALL(OFFSET($A$14,0,0,$A$13,1),$B32),LMPMain!$A$9:$H$1000,8,FALSE))</f>
        <v>PEPCO</v>
      </c>
      <c r="F32" s="128" t="str">
        <f ca="1">IF( ISERROR(VLOOKUP(SMALL(OFFSET($A$14,0,0,$A$13,1),$B32),LMPMain!$A$9:$J$1000,10,FALSE)),"",VLOOKUP(SMALL(OFFSET($A$14,0,0,$A$13,1),$B32),LMPMain!$A$9:$J$1000,10,FALSE))</f>
        <v>RC_3T7</v>
      </c>
      <c r="G32" s="129" t="str">
        <f ca="1">IF(ISERROR(VLOOKUP(SUMPRODUCT( ((LMPMain!$H$9:$H$1000)=$E32)*((LMPMain!$J$9:$J$1000)=$F32)*((LMPMain!$O$9:$O$1000)=$C32)*(LMPMain!A$9:A$1000)),LMPMain!$A$9:$K$1000,11,FALSE)),"",VLOOKUP(SUMPRODUCT( ((LMPMain!$H$9:$H$1000)=$E32)*((LMPMain!$J$9:$J$1000)=$F32)*((LMPMain!$O$9:$O$1000)=$C32)*(LMPMain!A$9:A$1000)),LMPMain!$A$9:$K$1000,11,FALSE))</f>
        <v>RC_3T7</v>
      </c>
      <c r="H32" s="130" t="s">
        <v>61</v>
      </c>
      <c r="I32" s="178" t="str">
        <f ca="1">TEXT(   (SUMPRODUCT( ((Main!$H$9:$H$1000)=$E32)*((Main!$J$9:$J$1000)=$F32)*((Main!$O$9:$O$1000)=$C32)*(Main!R$9:R$1000) ) +  ( SUMPRODUCT( ((Adders!$D$13:$D$101)=$E32)*((Adders!$E$13:$E$101)=$F32)*(Adders!G$13:G$101)) + VLOOKUP($H32,Adders!$B$5:$G$8,L$11,FALSE)  +  Matrix!$D$2 ) * IF($D32="NJ",1.07,1))/$L$10, CHOOSE($M$10,$L$9,$M$9) )</f>
        <v xml:space="preserve"> 83.97 </v>
      </c>
      <c r="J32" s="178" t="str">
        <f ca="1">TEXT(   (SUMPRODUCT( ((Main!$H$9:$H$1000)=$E32)*((Main!$J$9:$J$1000)=$F32)*((Main!$O$9:$O$1000)=$C32)*(Main!S$9:S$1000) ) +  ( SUMPRODUCT( ((Adders!$D$13:$D$101)=$E32)*((Adders!$E$13:$E$101)=$F32)*(Adders!H$13:H$101)) + VLOOKUP($H32,Adders!$B$5:$G$8,M$11,FALSE)  +  Matrix!$D$2 ) * IF($D32="NJ",1.07,1))/$L$10, CHOOSE($M$10,$L$9,$M$9) )</f>
        <v xml:space="preserve"> 81.62 </v>
      </c>
      <c r="K32" s="179" t="str">
        <f ca="1">TEXT(   (SUMPRODUCT( ((Main!$H$9:$H$1000)=$E32)*((Main!$J$9:$J$1000)=$F32)*((Main!$O$9:$O$1000)=$C32)*(Main!T$9:T$1000) ) +  ( SUMPRODUCT( ((Adders!$D$13:$D$101)=$E32)*((Adders!$E$13:$E$101)=$F32)*(Adders!I$13:I$101)) + VLOOKUP($H32,Adders!$B$5:$G$8,N$11,FALSE)  +  Matrix!$D$2 ) * IF($D32="NJ",1.07,1))/$L$10, CHOOSE($M$10,$L$9,$M$9) )</f>
        <v xml:space="preserve"> 82.00 </v>
      </c>
      <c r="L32" s="178" t="str">
        <f ca="1">IF(AND($D$11="IL",$E32="AMEREN"),"NA",TEXT((SUMPRODUCT(((LMPMain!$H$9:$H$1000)=$E32)*((LMPMain!$J$9:$J$1000)=$F32)*((LMPMain!$O$9:$O$1000)=$C32)*(LMPMain!R$9:R$1000))+(SUMPRODUCT(((Adders!$D$13:$D$101)=$E32)*((Adders!$E$13:$E$101)=$F32)*(Adders!G$13:G$101))+VLOOKUP($H32,Adders!$B$5:$G$8,L$11,FALSE)+Matrix!$D$2)*IF($D32="NJ",1.07,1))/$L$10,CHOOSE($M$10,$L$9,$M$9)))</f>
        <v xml:space="preserve"> 39.47 </v>
      </c>
      <c r="M32" s="178" t="str">
        <f ca="1">IF(AND($D$11="IL",$E32="AMEREN"),"NA",TEXT((SUMPRODUCT(((LMPMain!$H$9:$H$1000)=$E32)*((LMPMain!$J$9:$J$1000)=$F32)*((LMPMain!$O$9:$O$1000)=$C32)*(LMPMain!S$9:S$1000))+(SUMPRODUCT(((Adders!$D$13:$D$101)=$E32)*((Adders!$E$13:$E$101)=$F32)*(Adders!H$13:H$101))+VLOOKUP($H32,Adders!$B$5:$G$8,M$11,FALSE)+Matrix!$D$2)*IF($D32="NJ",1.07,1))/$L$10,CHOOSE($M$10,$L$9,$M$9)))</f>
        <v xml:space="preserve"> 38.26 </v>
      </c>
      <c r="N32" s="179" t="str">
        <f ca="1">IF(AND($D$11="IL",$E32="AMEREN"),"NA",TEXT((SUMPRODUCT(((LMPMain!$H$9:$H$1000)=$E32)*((LMPMain!$J$9:$J$1000)=$F32)*((LMPMain!$O$9:$O$1000)=$C32)*(LMPMain!T$9:T$1000))+(SUMPRODUCT(((Adders!$D$13:$D$101)=$E32)*((Adders!$E$13:$E$101)=$F32)*(Adders!G$13:G$101))+VLOOKUP($H32,Adders!$B$5:$G$8,N$11,FALSE)+Matrix!$D$2)*IF($D32="NJ",1.07,1))/$L$10,CHOOSE($M$10,$L$9,$M$9)))</f>
        <v xml:space="preserve"> 37.63 </v>
      </c>
      <c r="O32" s="164"/>
      <c r="P32" s="108"/>
    </row>
    <row r="33" spans="1:16" x14ac:dyDescent="0.25">
      <c r="B33" s="123">
        <f t="shared" ref="B33:D34" si="12">B32</f>
        <v>7</v>
      </c>
      <c r="C33" s="131">
        <f t="shared" si="12"/>
        <v>42156</v>
      </c>
      <c r="D33" s="132" t="str">
        <f t="shared" si="12"/>
        <v>MD</v>
      </c>
      <c r="E33" s="133" t="str">
        <f t="shared" ref="E33:G34" ca="1" si="13">E32</f>
        <v>PEPCO</v>
      </c>
      <c r="F33" s="132" t="str">
        <f t="shared" ca="1" si="13"/>
        <v>RC_3T7</v>
      </c>
      <c r="G33" s="133" t="str">
        <f t="shared" ca="1" si="13"/>
        <v>RC_3T7</v>
      </c>
      <c r="H33" s="134" t="s">
        <v>62</v>
      </c>
      <c r="I33" s="173" t="str">
        <f ca="1">TEXT(   (SUMPRODUCT( ((Main!$H$9:$H$1000)=$E33)*((Main!$J$9:$J$1000)=$F33)*((Main!$O$9:$O$1000)=$C33)*(Main!R$9:R$1000) ) +  ( SUMPRODUCT( ((Adders!$D$13:$D$101)=$E33)*((Adders!$E$13:$E$101)=$F33)*(Adders!G$13:G$101)) + VLOOKUP($H33,Adders!$B$5:$G$8,L$11,FALSE)  +  Matrix!$D$2 ) * IF($D33="NJ",1.07,1))/$L$10, CHOOSE($M$10,$L$9,$M$9) )</f>
        <v xml:space="preserve"> 82.37 </v>
      </c>
      <c r="J33" s="173" t="str">
        <f ca="1">TEXT(   (SUMPRODUCT( ((Main!$H$9:$H$1000)=$E33)*((Main!$J$9:$J$1000)=$F33)*((Main!$O$9:$O$1000)=$C33)*(Main!S$9:S$1000) ) +  ( SUMPRODUCT( ((Adders!$D$13:$D$101)=$E33)*((Adders!$E$13:$E$101)=$F33)*(Adders!H$13:H$101)) + VLOOKUP($H33,Adders!$B$5:$G$8,M$11,FALSE)  +  Matrix!$D$2 ) * IF($D33="NJ",1.07,1))/$L$10, CHOOSE($M$10,$L$9,$M$9) )</f>
        <v xml:space="preserve"> 80.02 </v>
      </c>
      <c r="K33" s="174" t="str">
        <f ca="1">TEXT(   (SUMPRODUCT( ((Main!$H$9:$H$1000)=$E33)*((Main!$J$9:$J$1000)=$F33)*((Main!$O$9:$O$1000)=$C33)*(Main!T$9:T$1000) ) +  ( SUMPRODUCT( ((Adders!$D$13:$D$101)=$E33)*((Adders!$E$13:$E$101)=$F33)*(Adders!I$13:I$101)) + VLOOKUP($H33,Adders!$B$5:$G$8,N$11,FALSE)  +  Matrix!$D$2 ) * IF($D33="NJ",1.07,1))/$L$10, CHOOSE($M$10,$L$9,$M$9) )</f>
        <v xml:space="preserve"> 80.40 </v>
      </c>
      <c r="L33" s="173" t="str">
        <f ca="1">IF(AND($D$11="IL",$E33="AMEREN"),"NA",TEXT((SUMPRODUCT(((LMPMain!$H$9:$H$1000)=$E33)*((LMPMain!$J$9:$J$1000)=$F33)*((LMPMain!$O$9:$O$1000)=$C33)*(LMPMain!R$9:R$1000))+(SUMPRODUCT(((Adders!$D$13:$D$101)=$E33)*((Adders!$E$13:$E$101)=$F33)*(Adders!G$13:G$101))+VLOOKUP($H33,Adders!$B$5:$G$8,L$11,FALSE)+Matrix!$D$2)*IF($D33="NJ",1.07,1))/$L$10,CHOOSE($M$10,$L$9,$M$9)))</f>
        <v xml:space="preserve"> 37.87 </v>
      </c>
      <c r="M33" s="173" t="str">
        <f ca="1">IF(AND($D$11="IL",$E33="AMEREN"),"NA",TEXT((SUMPRODUCT(((LMPMain!$H$9:$H$1000)=$E33)*((LMPMain!$J$9:$J$1000)=$F33)*((LMPMain!$O$9:$O$1000)=$C33)*(LMPMain!S$9:S$1000))+(SUMPRODUCT(((Adders!$D$13:$D$101)=$E33)*((Adders!$E$13:$E$101)=$F33)*(Adders!H$13:H$101))+VLOOKUP($H33,Adders!$B$5:$G$8,M$11,FALSE)+Matrix!$D$2)*IF($D33="NJ",1.07,1))/$L$10,CHOOSE($M$10,$L$9,$M$9)))</f>
        <v xml:space="preserve"> 36.66 </v>
      </c>
      <c r="N33" s="174" t="str">
        <f ca="1">IF(AND($D$11="IL",$E33="AMEREN"),"NA",TEXT((SUMPRODUCT(((LMPMain!$H$9:$H$1000)=$E33)*((LMPMain!$J$9:$J$1000)=$F33)*((LMPMain!$O$9:$O$1000)=$C33)*(LMPMain!T$9:T$1000))+(SUMPRODUCT(((Adders!$D$13:$D$101)=$E33)*((Adders!$E$13:$E$101)=$F33)*(Adders!G$13:G$101))+VLOOKUP($H33,Adders!$B$5:$G$8,N$11,FALSE)+Matrix!$D$2)*IF($D33="NJ",1.07,1))/$L$10,CHOOSE($M$10,$L$9,$M$9)))</f>
        <v xml:space="preserve"> 36.03 </v>
      </c>
      <c r="O33" s="164"/>
      <c r="P33" s="108"/>
    </row>
    <row r="34" spans="1:16" x14ac:dyDescent="0.25">
      <c r="B34" s="123">
        <f t="shared" si="12"/>
        <v>7</v>
      </c>
      <c r="C34" s="135">
        <f t="shared" si="12"/>
        <v>42156</v>
      </c>
      <c r="D34" s="136" t="str">
        <f t="shared" si="12"/>
        <v>MD</v>
      </c>
      <c r="E34" s="137" t="str">
        <f t="shared" ca="1" si="13"/>
        <v>PEPCO</v>
      </c>
      <c r="F34" s="136" t="str">
        <f t="shared" ca="1" si="13"/>
        <v>RC_3T7</v>
      </c>
      <c r="G34" s="137" t="str">
        <f t="shared" ca="1" si="13"/>
        <v>RC_3T7</v>
      </c>
      <c r="H34" s="138" t="str">
        <f>IF(D34="OH","500-2500 MWh","500-2500 MWh")</f>
        <v>500-2500 MWh</v>
      </c>
      <c r="I34" s="176" t="str">
        <f ca="1">TEXT(   (SUMPRODUCT( ((Main!$H$9:$H$1000)=$E34)*((Main!$J$9:$J$1000)=$F34)*((Main!$O$9:$O$1000)=$C34)*(Main!R$9:R$1000) ) +  ( SUMPRODUCT( ((Adders!$D$13:$D$101)=$E34)*((Adders!$E$13:$E$101)=$F34)*(Adders!G$13:G$101)) + VLOOKUP($H34,Adders!$B$5:$G$8,L$11,FALSE)  +  Matrix!$D$2 ) * IF($D34="NJ",1.07,1))/$L$10, CHOOSE($M$10,$L$9,$M$9) )</f>
        <v xml:space="preserve"> 81.32 </v>
      </c>
      <c r="J34" s="176" t="str">
        <f ca="1">TEXT(   (SUMPRODUCT( ((Main!$H$9:$H$1000)=$E34)*((Main!$J$9:$J$1000)=$F34)*((Main!$O$9:$O$1000)=$C34)*(Main!S$9:S$1000) ) +  ( SUMPRODUCT( ((Adders!$D$13:$D$101)=$E34)*((Adders!$E$13:$E$101)=$F34)*(Adders!H$13:H$101)) + VLOOKUP($H34,Adders!$B$5:$G$8,M$11,FALSE)  +  Matrix!$D$2 ) * IF($D34="NJ",1.07,1))/$L$10, CHOOSE($M$10,$L$9,$M$9) )</f>
        <v xml:space="preserve"> 78.97 </v>
      </c>
      <c r="K34" s="177" t="str">
        <f ca="1">TEXT(   (SUMPRODUCT( ((Main!$H$9:$H$1000)=$E34)*((Main!$J$9:$J$1000)=$F34)*((Main!$O$9:$O$1000)=$C34)*(Main!T$9:T$1000) ) +  ( SUMPRODUCT( ((Adders!$D$13:$D$101)=$E34)*((Adders!$E$13:$E$101)=$F34)*(Adders!I$13:I$101)) + VLOOKUP($H34,Adders!$B$5:$G$8,N$11,FALSE)  +  Matrix!$D$2 ) * IF($D34="NJ",1.07,1))/$L$10, CHOOSE($M$10,$L$9,$M$9) )</f>
        <v xml:space="preserve"> 79.35 </v>
      </c>
      <c r="L34" s="176" t="str">
        <f ca="1">IF(AND($D$11="IL",$E34="AMEREN"),"NA",TEXT((SUMPRODUCT(((LMPMain!$H$9:$H$1000)=$E34)*((LMPMain!$J$9:$J$1000)=$F34)*((LMPMain!$O$9:$O$1000)=$C34)*(LMPMain!R$9:R$1000))+(SUMPRODUCT(((Adders!$D$13:$D$101)=$E34)*((Adders!$E$13:$E$101)=$F34)*(Adders!G$13:G$101))+VLOOKUP($H34,Adders!$B$5:$G$8,L$11,FALSE)+Matrix!$D$2)*IF($D34="NJ",1.07,1))/$L$10,CHOOSE($M$10,$L$9,$M$9)))</f>
        <v xml:space="preserve"> 36.82 </v>
      </c>
      <c r="M34" s="176" t="str">
        <f ca="1">IF(AND($D$11="IL",$E34="AMEREN"),"NA",TEXT((SUMPRODUCT(((LMPMain!$H$9:$H$1000)=$E34)*((LMPMain!$J$9:$J$1000)=$F34)*((LMPMain!$O$9:$O$1000)=$C34)*(LMPMain!S$9:S$1000))+(SUMPRODUCT(((Adders!$D$13:$D$101)=$E34)*((Adders!$E$13:$E$101)=$F34)*(Adders!H$13:H$101))+VLOOKUP($H34,Adders!$B$5:$G$8,M$11,FALSE)+Matrix!$D$2)*IF($D34="NJ",1.07,1))/$L$10,CHOOSE($M$10,$L$9,$M$9)))</f>
        <v xml:space="preserve"> 35.61 </v>
      </c>
      <c r="N34" s="177" t="str">
        <f ca="1">IF(AND($D$11="IL",$E34="AMEREN"),"NA",TEXT((SUMPRODUCT(((LMPMain!$H$9:$H$1000)=$E34)*((LMPMain!$J$9:$J$1000)=$F34)*((LMPMain!$O$9:$O$1000)=$C34)*(LMPMain!T$9:T$1000))+(SUMPRODUCT(((Adders!$D$13:$D$101)=$E34)*((Adders!$E$13:$E$101)=$F34)*(Adders!G$13:G$101))+VLOOKUP($H34,Adders!$B$5:$G$8,N$11,FALSE)+Matrix!$D$2)*IF($D34="NJ",1.07,1))/$L$10,CHOOSE($M$10,$L$9,$M$9)))</f>
        <v xml:space="preserve"> 34.98 </v>
      </c>
      <c r="O34" s="164"/>
      <c r="P34" s="108"/>
    </row>
    <row r="35" spans="1:16" x14ac:dyDescent="0.25">
      <c r="B35" s="123">
        <f>IF(B34="","",IF(B34+1&lt;=$A$13,B34+1,""))</f>
        <v>8</v>
      </c>
      <c r="C35" s="127">
        <f>IF(B35="","",$F$11)</f>
        <v>42156</v>
      </c>
      <c r="D35" s="128" t="str">
        <f>IF($B35="","",$D$11)</f>
        <v>MD</v>
      </c>
      <c r="E35" s="129" t="str">
        <f ca="1">IF(ISERROR(VLOOKUP(SMALL(OFFSET($A$14,0,0,$A$13,1),$B35),LMPMain!$A$9:$H$1000,8,FALSE)),"",VLOOKUP(SMALL(OFFSET($A$14,0,0,$A$13,1),$B35),LMPMain!$A$9:$H$1000,8,FALSE))</f>
        <v>Potomac Edison</v>
      </c>
      <c r="F35" s="128" t="str">
        <f ca="1">IF( ISERROR(VLOOKUP(SMALL(OFFSET($A$14,0,0,$A$13,1),$B35),LMPMain!$A$9:$J$1000,10,FALSE)),"",VLOOKUP(SMALL(OFFSET($A$14,0,0,$A$13,1),$B35),LMPMain!$A$9:$J$1000,10,FALSE))</f>
        <v>GS</v>
      </c>
      <c r="G35" s="129" t="str">
        <f ca="1">IF(ISERROR(VLOOKUP(SUMPRODUCT( ((LMPMain!$H$9:$H$1000)=$E35)*((LMPMain!$J$9:$J$1000)=$F35)*((LMPMain!$O$9:$O$1000)=$C35)*(LMPMain!A$9:A$1000)),LMPMain!$A$9:$K$1000,11,FALSE)),"",VLOOKUP(SUMPRODUCT( ((LMPMain!$H$9:$H$1000)=$E35)*((LMPMain!$J$9:$J$1000)=$F35)*((LMPMain!$O$9:$O$1000)=$C35)*(LMPMain!A$9:A$1000)),LMPMain!$A$9:$K$1000,11,FALSE))</f>
        <v>General Service</v>
      </c>
      <c r="H35" s="130" t="s">
        <v>61</v>
      </c>
      <c r="I35" s="178" t="str">
        <f ca="1">TEXT(   (SUMPRODUCT( ((Main!$H$9:$H$1000)=$E35)*((Main!$J$9:$J$1000)=$F35)*((Main!$O$9:$O$1000)=$C35)*(Main!R$9:R$1000) ) +  ( SUMPRODUCT( ((Adders!$D$13:$D$101)=$E35)*((Adders!$E$13:$E$101)=$F35)*(Adders!G$13:G$101)) + VLOOKUP($H35,Adders!$B$5:$G$8,L$11,FALSE)  +  Matrix!$D$2 ) * IF($D35="NJ",1.07,1))/$L$10, CHOOSE($M$10,$L$9,$M$9) )</f>
        <v xml:space="preserve"> 76.89 </v>
      </c>
      <c r="J35" s="178" t="str">
        <f ca="1">TEXT(   (SUMPRODUCT( ((Main!$H$9:$H$1000)=$E35)*((Main!$J$9:$J$1000)=$F35)*((Main!$O$9:$O$1000)=$C35)*(Main!S$9:S$1000) ) +  ( SUMPRODUCT( ((Adders!$D$13:$D$101)=$E35)*((Adders!$E$13:$E$101)=$F35)*(Adders!H$13:H$101)) + VLOOKUP($H35,Adders!$B$5:$G$8,M$11,FALSE)  +  Matrix!$D$2 ) * IF($D35="NJ",1.07,1))/$L$10, CHOOSE($M$10,$L$9,$M$9) )</f>
        <v xml:space="preserve"> 74.77 </v>
      </c>
      <c r="K35" s="179" t="str">
        <f ca="1">TEXT(   (SUMPRODUCT( ((Main!$H$9:$H$1000)=$E35)*((Main!$J$9:$J$1000)=$F35)*((Main!$O$9:$O$1000)=$C35)*(Main!T$9:T$1000) ) +  ( SUMPRODUCT( ((Adders!$D$13:$D$101)=$E35)*((Adders!$E$13:$E$101)=$F35)*(Adders!I$13:I$101)) + VLOOKUP($H35,Adders!$B$5:$G$8,N$11,FALSE)  +  Matrix!$D$2 ) * IF($D35="NJ",1.07,1))/$L$10, CHOOSE($M$10,$L$9,$M$9) )</f>
        <v xml:space="preserve"> 73.39 </v>
      </c>
      <c r="L35" s="178" t="str">
        <f ca="1">IF(AND($D$11="IL",$E35="AMEREN"),"NA",TEXT((SUMPRODUCT(((LMPMain!$H$9:$H$1000)=$E35)*((LMPMain!$J$9:$J$1000)=$F35)*((LMPMain!$O$9:$O$1000)=$C35)*(LMPMain!R$9:R$1000))+(SUMPRODUCT(((Adders!$D$13:$D$101)=$E35)*((Adders!$E$13:$E$101)=$F35)*(Adders!G$13:G$101))+VLOOKUP($H35,Adders!$B$5:$G$8,L$11,FALSE)+Matrix!$D$2)*IF($D35="NJ",1.07,1))/$L$10,CHOOSE($M$10,$L$9,$M$9)))</f>
        <v xml:space="preserve"> 37.09 </v>
      </c>
      <c r="M35" s="178" t="str">
        <f ca="1">IF(AND($D$11="IL",$E35="AMEREN"),"NA",TEXT((SUMPRODUCT(((LMPMain!$H$9:$H$1000)=$E35)*((LMPMain!$J$9:$J$1000)=$F35)*((LMPMain!$O$9:$O$1000)=$C35)*(LMPMain!S$9:S$1000))+(SUMPRODUCT(((Adders!$D$13:$D$101)=$E35)*((Adders!$E$13:$E$101)=$F35)*(Adders!H$13:H$101))+VLOOKUP($H35,Adders!$B$5:$G$8,M$11,FALSE)+Matrix!$D$2)*IF($D35="NJ",1.07,1))/$L$10,CHOOSE($M$10,$L$9,$M$9)))</f>
        <v xml:space="preserve"> 35.41 </v>
      </c>
      <c r="N35" s="179" t="str">
        <f ca="1">IF(AND($D$11="IL",$E35="AMEREN"),"NA",TEXT((SUMPRODUCT(((LMPMain!$H$9:$H$1000)=$E35)*((LMPMain!$J$9:$J$1000)=$F35)*((LMPMain!$O$9:$O$1000)=$C35)*(LMPMain!T$9:T$1000))+(SUMPRODUCT(((Adders!$D$13:$D$101)=$E35)*((Adders!$E$13:$E$101)=$F35)*(Adders!G$13:G$101))+VLOOKUP($H35,Adders!$B$5:$G$8,N$11,FALSE)+Matrix!$D$2)*IF($D35="NJ",1.07,1))/$L$10,CHOOSE($M$10,$L$9,$M$9)))</f>
        <v xml:space="preserve"> 33.54 </v>
      </c>
      <c r="O35" s="164"/>
      <c r="P35" s="108"/>
    </row>
    <row r="36" spans="1:16" x14ac:dyDescent="0.25">
      <c r="B36" s="123">
        <f t="shared" ref="B36:D37" si="14">B35</f>
        <v>8</v>
      </c>
      <c r="C36" s="131">
        <f t="shared" si="14"/>
        <v>42156</v>
      </c>
      <c r="D36" s="132" t="str">
        <f t="shared" si="14"/>
        <v>MD</v>
      </c>
      <c r="E36" s="133" t="str">
        <f t="shared" ref="E36:G37" ca="1" si="15">E35</f>
        <v>Potomac Edison</v>
      </c>
      <c r="F36" s="132" t="str">
        <f t="shared" ca="1" si="15"/>
        <v>GS</v>
      </c>
      <c r="G36" s="133" t="str">
        <f t="shared" ca="1" si="15"/>
        <v>General Service</v>
      </c>
      <c r="H36" s="134" t="s">
        <v>62</v>
      </c>
      <c r="I36" s="173" t="str">
        <f ca="1">TEXT(   (SUMPRODUCT( ((Main!$H$9:$H$1000)=$E36)*((Main!$J$9:$J$1000)=$F36)*((Main!$O$9:$O$1000)=$C36)*(Main!R$9:R$1000) ) +  ( SUMPRODUCT( ((Adders!$D$13:$D$101)=$E36)*((Adders!$E$13:$E$101)=$F36)*(Adders!G$13:G$101)) + VLOOKUP($H36,Adders!$B$5:$G$8,L$11,FALSE)  +  Matrix!$D$2 ) * IF($D36="NJ",1.07,1))/$L$10, CHOOSE($M$10,$L$9,$M$9) )</f>
        <v xml:space="preserve"> 75.29 </v>
      </c>
      <c r="J36" s="173" t="str">
        <f ca="1">TEXT(   (SUMPRODUCT( ((Main!$H$9:$H$1000)=$E36)*((Main!$J$9:$J$1000)=$F36)*((Main!$O$9:$O$1000)=$C36)*(Main!S$9:S$1000) ) +  ( SUMPRODUCT( ((Adders!$D$13:$D$101)=$E36)*((Adders!$E$13:$E$101)=$F36)*(Adders!H$13:H$101)) + VLOOKUP($H36,Adders!$B$5:$G$8,M$11,FALSE)  +  Matrix!$D$2 ) * IF($D36="NJ",1.07,1))/$L$10, CHOOSE($M$10,$L$9,$M$9) )</f>
        <v xml:space="preserve"> 73.17 </v>
      </c>
      <c r="K36" s="174" t="str">
        <f ca="1">TEXT(   (SUMPRODUCT( ((Main!$H$9:$H$1000)=$E36)*((Main!$J$9:$J$1000)=$F36)*((Main!$O$9:$O$1000)=$C36)*(Main!T$9:T$1000) ) +  ( SUMPRODUCT( ((Adders!$D$13:$D$101)=$E36)*((Adders!$E$13:$E$101)=$F36)*(Adders!I$13:I$101)) + VLOOKUP($H36,Adders!$B$5:$G$8,N$11,FALSE)  +  Matrix!$D$2 ) * IF($D36="NJ",1.07,1))/$L$10, CHOOSE($M$10,$L$9,$M$9) )</f>
        <v xml:space="preserve"> 71.79 </v>
      </c>
      <c r="L36" s="173" t="str">
        <f ca="1">IF(AND($D$11="IL",$E36="AMEREN"),"NA",TEXT((SUMPRODUCT(((LMPMain!$H$9:$H$1000)=$E36)*((LMPMain!$J$9:$J$1000)=$F36)*((LMPMain!$O$9:$O$1000)=$C36)*(LMPMain!R$9:R$1000))+(SUMPRODUCT(((Adders!$D$13:$D$101)=$E36)*((Adders!$E$13:$E$101)=$F36)*(Adders!G$13:G$101))+VLOOKUP($H36,Adders!$B$5:$G$8,L$11,FALSE)+Matrix!$D$2)*IF($D36="NJ",1.07,1))/$L$10,CHOOSE($M$10,$L$9,$M$9)))</f>
        <v xml:space="preserve"> 35.49 </v>
      </c>
      <c r="M36" s="173" t="str">
        <f ca="1">IF(AND($D$11="IL",$E36="AMEREN"),"NA",TEXT((SUMPRODUCT(((LMPMain!$H$9:$H$1000)=$E36)*((LMPMain!$J$9:$J$1000)=$F36)*((LMPMain!$O$9:$O$1000)=$C36)*(LMPMain!S$9:S$1000))+(SUMPRODUCT(((Adders!$D$13:$D$101)=$E36)*((Adders!$E$13:$E$101)=$F36)*(Adders!H$13:H$101))+VLOOKUP($H36,Adders!$B$5:$G$8,M$11,FALSE)+Matrix!$D$2)*IF($D36="NJ",1.07,1))/$L$10,CHOOSE($M$10,$L$9,$M$9)))</f>
        <v xml:space="preserve"> 33.81 </v>
      </c>
      <c r="N36" s="174" t="str">
        <f ca="1">IF(AND($D$11="IL",$E36="AMEREN"),"NA",TEXT((SUMPRODUCT(((LMPMain!$H$9:$H$1000)=$E36)*((LMPMain!$J$9:$J$1000)=$F36)*((LMPMain!$O$9:$O$1000)=$C36)*(LMPMain!T$9:T$1000))+(SUMPRODUCT(((Adders!$D$13:$D$101)=$E36)*((Adders!$E$13:$E$101)=$F36)*(Adders!G$13:G$101))+VLOOKUP($H36,Adders!$B$5:$G$8,N$11,FALSE)+Matrix!$D$2)*IF($D36="NJ",1.07,1))/$L$10,CHOOSE($M$10,$L$9,$M$9)))</f>
        <v xml:space="preserve"> 31.94 </v>
      </c>
      <c r="O36" s="164"/>
      <c r="P36" s="108"/>
    </row>
    <row r="37" spans="1:16" x14ac:dyDescent="0.25">
      <c r="B37" s="123">
        <f t="shared" si="14"/>
        <v>8</v>
      </c>
      <c r="C37" s="135">
        <f t="shared" si="14"/>
        <v>42156</v>
      </c>
      <c r="D37" s="136" t="str">
        <f t="shared" si="14"/>
        <v>MD</v>
      </c>
      <c r="E37" s="137" t="str">
        <f t="shared" ca="1" si="15"/>
        <v>Potomac Edison</v>
      </c>
      <c r="F37" s="136" t="str">
        <f t="shared" ca="1" si="15"/>
        <v>GS</v>
      </c>
      <c r="G37" s="137" t="str">
        <f t="shared" ca="1" si="15"/>
        <v>General Service</v>
      </c>
      <c r="H37" s="138" t="str">
        <f>IF(D37="OH","500-2500 MWh","500-2500 MWh")</f>
        <v>500-2500 MWh</v>
      </c>
      <c r="I37" s="176" t="str">
        <f ca="1">TEXT(   (SUMPRODUCT( ((Main!$H$9:$H$1000)=$E37)*((Main!$J$9:$J$1000)=$F37)*((Main!$O$9:$O$1000)=$C37)*(Main!R$9:R$1000) ) +  ( SUMPRODUCT( ((Adders!$D$13:$D$101)=$E37)*((Adders!$E$13:$E$101)=$F37)*(Adders!G$13:G$101)) + VLOOKUP($H37,Adders!$B$5:$G$8,L$11,FALSE)  +  Matrix!$D$2 ) * IF($D37="NJ",1.07,1))/$L$10, CHOOSE($M$10,$L$9,$M$9) )</f>
        <v xml:space="preserve"> 74.24 </v>
      </c>
      <c r="J37" s="176" t="str">
        <f ca="1">TEXT(   (SUMPRODUCT( ((Main!$H$9:$H$1000)=$E37)*((Main!$J$9:$J$1000)=$F37)*((Main!$O$9:$O$1000)=$C37)*(Main!S$9:S$1000) ) +  ( SUMPRODUCT( ((Adders!$D$13:$D$101)=$E37)*((Adders!$E$13:$E$101)=$F37)*(Adders!H$13:H$101)) + VLOOKUP($H37,Adders!$B$5:$G$8,M$11,FALSE)  +  Matrix!$D$2 ) * IF($D37="NJ",1.07,1))/$L$10, CHOOSE($M$10,$L$9,$M$9) )</f>
        <v xml:space="preserve"> 72.12 </v>
      </c>
      <c r="K37" s="177" t="str">
        <f ca="1">TEXT(   (SUMPRODUCT( ((Main!$H$9:$H$1000)=$E37)*((Main!$J$9:$J$1000)=$F37)*((Main!$O$9:$O$1000)=$C37)*(Main!T$9:T$1000) ) +  ( SUMPRODUCT( ((Adders!$D$13:$D$101)=$E37)*((Adders!$E$13:$E$101)=$F37)*(Adders!I$13:I$101)) + VLOOKUP($H37,Adders!$B$5:$G$8,N$11,FALSE)  +  Matrix!$D$2 ) * IF($D37="NJ",1.07,1))/$L$10, CHOOSE($M$10,$L$9,$M$9) )</f>
        <v xml:space="preserve"> 70.74 </v>
      </c>
      <c r="L37" s="176" t="str">
        <f ca="1">IF(AND($D$11="IL",$E37="AMEREN"),"NA",TEXT((SUMPRODUCT(((LMPMain!$H$9:$H$1000)=$E37)*((LMPMain!$J$9:$J$1000)=$F37)*((LMPMain!$O$9:$O$1000)=$C37)*(LMPMain!R$9:R$1000))+(SUMPRODUCT(((Adders!$D$13:$D$101)=$E37)*((Adders!$E$13:$E$101)=$F37)*(Adders!G$13:G$101))+VLOOKUP($H37,Adders!$B$5:$G$8,L$11,FALSE)+Matrix!$D$2)*IF($D37="NJ",1.07,1))/$L$10,CHOOSE($M$10,$L$9,$M$9)))</f>
        <v xml:space="preserve"> 34.44 </v>
      </c>
      <c r="M37" s="176" t="str">
        <f ca="1">IF(AND($D$11="IL",$E37="AMEREN"),"NA",TEXT((SUMPRODUCT(((LMPMain!$H$9:$H$1000)=$E37)*((LMPMain!$J$9:$J$1000)=$F37)*((LMPMain!$O$9:$O$1000)=$C37)*(LMPMain!S$9:S$1000))+(SUMPRODUCT(((Adders!$D$13:$D$101)=$E37)*((Adders!$E$13:$E$101)=$F37)*(Adders!H$13:H$101))+VLOOKUP($H37,Adders!$B$5:$G$8,M$11,FALSE)+Matrix!$D$2)*IF($D37="NJ",1.07,1))/$L$10,CHOOSE($M$10,$L$9,$M$9)))</f>
        <v xml:space="preserve"> 32.76 </v>
      </c>
      <c r="N37" s="177" t="str">
        <f ca="1">IF(AND($D$11="IL",$E37="AMEREN"),"NA",TEXT((SUMPRODUCT(((LMPMain!$H$9:$H$1000)=$E37)*((LMPMain!$J$9:$J$1000)=$F37)*((LMPMain!$O$9:$O$1000)=$C37)*(LMPMain!T$9:T$1000))+(SUMPRODUCT(((Adders!$D$13:$D$101)=$E37)*((Adders!$E$13:$E$101)=$F37)*(Adders!G$13:G$101))+VLOOKUP($H37,Adders!$B$5:$G$8,N$11,FALSE)+Matrix!$D$2)*IF($D37="NJ",1.07,1))/$L$10,CHOOSE($M$10,$L$9,$M$9)))</f>
        <v xml:space="preserve"> 30.89 </v>
      </c>
      <c r="O37" s="164"/>
      <c r="P37" s="108"/>
    </row>
    <row r="38" spans="1:16" x14ac:dyDescent="0.25">
      <c r="A38" s="122"/>
      <c r="B38" s="123" t="str">
        <f>IF(B37="","",IF(B37+1&lt;=$A$13,B37+1,""))</f>
        <v/>
      </c>
      <c r="C38" s="127" t="str">
        <f>IF(B38="","",$F$11)</f>
        <v/>
      </c>
      <c r="D38" s="128" t="str">
        <f>IF($B38="","",$D$11)</f>
        <v/>
      </c>
      <c r="E38" s="129" t="str">
        <f ca="1">IF(ISERROR(VLOOKUP(SMALL(OFFSET($A$14,0,0,$A$13,1),$B38),LMPMain!$A$9:$H$1000,8,FALSE)),"",VLOOKUP(SMALL(OFFSET($A$14,0,0,$A$13,1),$B38),LMPMain!$A$9:$H$1000,8,FALSE))</f>
        <v/>
      </c>
      <c r="F38" s="128" t="str">
        <f ca="1">IF( ISERROR(VLOOKUP(SMALL(OFFSET($A$14,0,0,$A$13,1),$B38),LMPMain!$A$9:$J$1000,10,FALSE)),"",VLOOKUP(SMALL(OFFSET($A$14,0,0,$A$13,1),$B38),LMPMain!$A$9:$J$1000,10,FALSE))</f>
        <v/>
      </c>
      <c r="G38" s="129" t="str">
        <f ca="1">IF(ISERROR(VLOOKUP(SUMPRODUCT( ((LMPMain!$H$9:$H$1000)=$E38)*((LMPMain!$J$9:$J$1000)=$F38)*((LMPMain!$O$9:$O$1000)=$C38)*(LMPMain!A$9:A$1000)),LMPMain!$A$9:$K$1000,11,FALSE)),"",VLOOKUP(SUMPRODUCT( ((LMPMain!$H$9:$H$1000)=$E38)*((LMPMain!$J$9:$J$1000)=$F38)*((LMPMain!$O$9:$O$1000)=$C38)*(LMPMain!A$9:A$1000)),LMPMain!$A$9:$K$1000,11,FALSE))</f>
        <v/>
      </c>
      <c r="H38" s="130" t="s">
        <v>61</v>
      </c>
      <c r="I38" s="178" t="str">
        <f ca="1">TEXT(   (SUMPRODUCT( ((Main!$H$9:$H$1000)=$E38)*((Main!$J$9:$J$1000)=$F38)*((Main!$O$9:$O$1000)=$C38)*(Main!R$9:R$1000) ) +  ( SUMPRODUCT( ((Adders!$D$13:$D$101)=$E38)*((Adders!$E$13:$E$101)=$F38)*(Adders!G$13:G$101)) + VLOOKUP($H38,Adders!$B$5:$G$8,L$11,FALSE)  +  Matrix!$D$2 ) * IF($D38="NJ",1.07,1))/$L$10, CHOOSE($M$10,$L$9,$M$9) )</f>
        <v xml:space="preserve"> 2.15 </v>
      </c>
      <c r="J38" s="178" t="str">
        <f ca="1">TEXT(   (SUMPRODUCT( ((Main!$H$9:$H$1000)=$E38)*((Main!$J$9:$J$1000)=$F38)*((Main!$O$9:$O$1000)=$C38)*(Main!S$9:S$1000) ) +  ( SUMPRODUCT( ((Adders!$D$13:$D$101)=$E38)*((Adders!$E$13:$E$101)=$F38)*(Adders!H$13:H$101)) + VLOOKUP($H38,Adders!$B$5:$G$8,M$11,FALSE)  +  Matrix!$D$2 ) * IF($D38="NJ",1.07,1))/$L$10, CHOOSE($M$10,$L$9,$M$9) )</f>
        <v xml:space="preserve"> 2.15 </v>
      </c>
      <c r="K38" s="179" t="str">
        <f ca="1">TEXT(   (SUMPRODUCT( ((Main!$H$9:$H$1000)=$E38)*((Main!$J$9:$J$1000)=$F38)*((Main!$O$9:$O$1000)=$C38)*(Main!T$9:T$1000) ) +  ( SUMPRODUCT( ((Adders!$D$13:$D$101)=$E38)*((Adders!$E$13:$E$101)=$F38)*(Adders!I$13:I$101)) + VLOOKUP($H38,Adders!$B$5:$G$8,N$11,FALSE)  +  Matrix!$D$2 ) * IF($D38="NJ",1.07,1))/$L$10, CHOOSE($M$10,$L$9,$M$9) )</f>
        <v xml:space="preserve"> 2.15 </v>
      </c>
      <c r="L38" s="178" t="str">
        <f ca="1">IF(AND($D$11="IL",$E38="AMEREN"),"NA",TEXT((SUMPRODUCT(((LMPMain!$H$9:$H$1000)=$E38)*((LMPMain!$J$9:$J$1000)=$F38)*((LMPMain!$O$9:$O$1000)=$C38)*(LMPMain!R$9:R$1000))+(SUMPRODUCT(((Adders!$D$13:$D$101)=$E38)*((Adders!$E$13:$E$101)=$F38)*(Adders!G$13:G$101))+VLOOKUP($H38,Adders!$B$5:$G$8,L$11,FALSE)+Matrix!$D$2)*IF($D38="NJ",1.07,1))/$L$10,CHOOSE($M$10,$L$9,$M$9)))</f>
        <v xml:space="preserve"> 2.15 </v>
      </c>
      <c r="M38" s="178" t="str">
        <f ca="1">IF(AND($D$11="IL",$E38="AMEREN"),"NA",TEXT((SUMPRODUCT(((LMPMain!$H$9:$H$1000)=$E38)*((LMPMain!$J$9:$J$1000)=$F38)*((LMPMain!$O$9:$O$1000)=$C38)*(LMPMain!S$9:S$1000))+(SUMPRODUCT(((Adders!$D$13:$D$101)=$E38)*((Adders!$E$13:$E$101)=$F38)*(Adders!H$13:H$101))+VLOOKUP($H38,Adders!$B$5:$G$8,M$11,FALSE)+Matrix!$D$2)*IF($D38="NJ",1.07,1))/$L$10,CHOOSE($M$10,$L$9,$M$9)))</f>
        <v xml:space="preserve"> 2.15 </v>
      </c>
      <c r="N38" s="179" t="str">
        <f ca="1">IF(AND($D$11="IL",$E38="AMEREN"),"NA",TEXT((SUMPRODUCT(((LMPMain!$H$9:$H$1000)=$E38)*((LMPMain!$J$9:$J$1000)=$F38)*((LMPMain!$O$9:$O$1000)=$C38)*(LMPMain!T$9:T$1000))+(SUMPRODUCT(((Adders!$D$13:$D$101)=$E38)*((Adders!$E$13:$E$101)=$F38)*(Adders!G$13:G$101))+VLOOKUP($H38,Adders!$B$5:$G$8,N$11,FALSE)+Matrix!$D$2)*IF($D38="NJ",1.07,1))/$L$10,CHOOSE($M$10,$L$9,$M$9)))</f>
        <v xml:space="preserve"> 2.15 </v>
      </c>
      <c r="O38" s="171"/>
      <c r="P38" s="108"/>
    </row>
    <row r="39" spans="1:16" x14ac:dyDescent="0.25">
      <c r="A39" s="122"/>
      <c r="B39" s="123" t="str">
        <f t="shared" ref="B39:D40" si="16">B38</f>
        <v/>
      </c>
      <c r="C39" s="131" t="str">
        <f t="shared" si="16"/>
        <v/>
      </c>
      <c r="D39" s="132" t="str">
        <f t="shared" si="16"/>
        <v/>
      </c>
      <c r="E39" s="133" t="str">
        <f t="shared" ref="E39:G40" ca="1" si="17">E38</f>
        <v/>
      </c>
      <c r="F39" s="132" t="str">
        <f t="shared" ca="1" si="17"/>
        <v/>
      </c>
      <c r="G39" s="133" t="str">
        <f t="shared" ca="1" si="17"/>
        <v/>
      </c>
      <c r="H39" s="134" t="s">
        <v>62</v>
      </c>
      <c r="I39" s="173" t="str">
        <f ca="1">TEXT(   (SUMPRODUCT( ((Main!$H$9:$H$1000)=$E39)*((Main!$J$9:$J$1000)=$F39)*((Main!$O$9:$O$1000)=$C39)*(Main!R$9:R$1000) ) +  ( SUMPRODUCT( ((Adders!$D$13:$D$101)=$E39)*((Adders!$E$13:$E$101)=$F39)*(Adders!G$13:G$101)) + VLOOKUP($H39,Adders!$B$5:$G$8,L$11,FALSE)  +  Matrix!$D$2 ) * IF($D39="NJ",1.07,1))/$L$10, CHOOSE($M$10,$L$9,$M$9) )</f>
        <v xml:space="preserve"> 0.55 </v>
      </c>
      <c r="J39" s="173" t="str">
        <f ca="1">TEXT(   (SUMPRODUCT( ((Main!$H$9:$H$1000)=$E39)*((Main!$J$9:$J$1000)=$F39)*((Main!$O$9:$O$1000)=$C39)*(Main!S$9:S$1000) ) +  ( SUMPRODUCT( ((Adders!$D$13:$D$101)=$E39)*((Adders!$E$13:$E$101)=$F39)*(Adders!H$13:H$101)) + VLOOKUP($H39,Adders!$B$5:$G$8,M$11,FALSE)  +  Matrix!$D$2 ) * IF($D39="NJ",1.07,1))/$L$10, CHOOSE($M$10,$L$9,$M$9) )</f>
        <v xml:space="preserve"> 0.55 </v>
      </c>
      <c r="K39" s="174" t="str">
        <f ca="1">TEXT(   (SUMPRODUCT( ((Main!$H$9:$H$1000)=$E39)*((Main!$J$9:$J$1000)=$F39)*((Main!$O$9:$O$1000)=$C39)*(Main!T$9:T$1000) ) +  ( SUMPRODUCT( ((Adders!$D$13:$D$101)=$E39)*((Adders!$E$13:$E$101)=$F39)*(Adders!I$13:I$101)) + VLOOKUP($H39,Adders!$B$5:$G$8,N$11,FALSE)  +  Matrix!$D$2 ) * IF($D39="NJ",1.07,1))/$L$10, CHOOSE($M$10,$L$9,$M$9) )</f>
        <v xml:space="preserve"> 0.55 </v>
      </c>
      <c r="L39" s="173" t="str">
        <f ca="1">IF(AND($D$11="IL",$E39="AMEREN"),"NA",TEXT((SUMPRODUCT(((LMPMain!$H$9:$H$1000)=$E39)*((LMPMain!$J$9:$J$1000)=$F39)*((LMPMain!$O$9:$O$1000)=$C39)*(LMPMain!R$9:R$1000))+(SUMPRODUCT(((Adders!$D$13:$D$101)=$E39)*((Adders!$E$13:$E$101)=$F39)*(Adders!G$13:G$101))+VLOOKUP($H39,Adders!$B$5:$G$8,L$11,FALSE)+Matrix!$D$2)*IF($D39="NJ",1.07,1))/$L$10,CHOOSE($M$10,$L$9,$M$9)))</f>
        <v xml:space="preserve"> 0.55 </v>
      </c>
      <c r="M39" s="173" t="str">
        <f ca="1">IF(AND($D$11="IL",$E39="AMEREN"),"NA",TEXT((SUMPRODUCT(((LMPMain!$H$9:$H$1000)=$E39)*((LMPMain!$J$9:$J$1000)=$F39)*((LMPMain!$O$9:$O$1000)=$C39)*(LMPMain!S$9:S$1000))+(SUMPRODUCT(((Adders!$D$13:$D$101)=$E39)*((Adders!$E$13:$E$101)=$F39)*(Adders!H$13:H$101))+VLOOKUP($H39,Adders!$B$5:$G$8,M$11,FALSE)+Matrix!$D$2)*IF($D39="NJ",1.07,1))/$L$10,CHOOSE($M$10,$L$9,$M$9)))</f>
        <v xml:space="preserve"> 0.55 </v>
      </c>
      <c r="N39" s="174" t="str">
        <f ca="1">IF(AND($D$11="IL",$E39="AMEREN"),"NA",TEXT((SUMPRODUCT(((LMPMain!$H$9:$H$1000)=$E39)*((LMPMain!$J$9:$J$1000)=$F39)*((LMPMain!$O$9:$O$1000)=$C39)*(LMPMain!T$9:T$1000))+(SUMPRODUCT(((Adders!$D$13:$D$101)=$E39)*((Adders!$E$13:$E$101)=$F39)*(Adders!G$13:G$101))+VLOOKUP($H39,Adders!$B$5:$G$8,N$11,FALSE)+Matrix!$D$2)*IF($D39="NJ",1.07,1))/$L$10,CHOOSE($M$10,$L$9,$M$9)))</f>
        <v xml:space="preserve"> 0.55 </v>
      </c>
      <c r="O39" s="171"/>
      <c r="P39" s="108"/>
    </row>
    <row r="40" spans="1:16" x14ac:dyDescent="0.25">
      <c r="A40" s="122"/>
      <c r="B40" s="123" t="str">
        <f t="shared" si="16"/>
        <v/>
      </c>
      <c r="C40" s="135" t="str">
        <f t="shared" si="16"/>
        <v/>
      </c>
      <c r="D40" s="136" t="str">
        <f t="shared" si="16"/>
        <v/>
      </c>
      <c r="E40" s="137" t="str">
        <f t="shared" ca="1" si="17"/>
        <v/>
      </c>
      <c r="F40" s="136" t="str">
        <f t="shared" ca="1" si="17"/>
        <v/>
      </c>
      <c r="G40" s="137" t="str">
        <f t="shared" ca="1" si="17"/>
        <v/>
      </c>
      <c r="H40" s="138" t="str">
        <f>IF(D40="OH","500-2500 MWh","500-2500 MWh")</f>
        <v>500-2500 MWh</v>
      </c>
      <c r="I40" s="176" t="str">
        <f ca="1">TEXT(   (SUMPRODUCT( ((Main!$H$9:$H$1000)=$E40)*((Main!$J$9:$J$1000)=$F40)*((Main!$O$9:$O$1000)=$C40)*(Main!R$9:R$1000) ) +  ( SUMPRODUCT( ((Adders!$D$13:$D$101)=$E40)*((Adders!$E$13:$E$101)=$F40)*(Adders!G$13:G$101)) + VLOOKUP($H40,Adders!$B$5:$G$8,L$11,FALSE)  +  Matrix!$D$2 ) * IF($D40="NJ",1.07,1))/$L$10, CHOOSE($M$10,$L$9,$M$9) )</f>
        <v xml:space="preserve"> (0.50)</v>
      </c>
      <c r="J40" s="176" t="str">
        <f ca="1">TEXT(   (SUMPRODUCT( ((Main!$H$9:$H$1000)=$E40)*((Main!$J$9:$J$1000)=$F40)*((Main!$O$9:$O$1000)=$C40)*(Main!S$9:S$1000) ) +  ( SUMPRODUCT( ((Adders!$D$13:$D$101)=$E40)*((Adders!$E$13:$E$101)=$F40)*(Adders!H$13:H$101)) + VLOOKUP($H40,Adders!$B$5:$G$8,M$11,FALSE)  +  Matrix!$D$2 ) * IF($D40="NJ",1.07,1))/$L$10, CHOOSE($M$10,$L$9,$M$9) )</f>
        <v xml:space="preserve"> (0.50)</v>
      </c>
      <c r="K40" s="177" t="str">
        <f ca="1">TEXT(   (SUMPRODUCT( ((Main!$H$9:$H$1000)=$E40)*((Main!$J$9:$J$1000)=$F40)*((Main!$O$9:$O$1000)=$C40)*(Main!T$9:T$1000) ) +  ( SUMPRODUCT( ((Adders!$D$13:$D$101)=$E40)*((Adders!$E$13:$E$101)=$F40)*(Adders!I$13:I$101)) + VLOOKUP($H40,Adders!$B$5:$G$8,N$11,FALSE)  +  Matrix!$D$2 ) * IF($D40="NJ",1.07,1))/$L$10, CHOOSE($M$10,$L$9,$M$9) )</f>
        <v xml:space="preserve"> (0.50)</v>
      </c>
      <c r="L40" s="176" t="str">
        <f ca="1">IF(AND($D$11="IL",$E40="AMEREN"),"NA",TEXT((SUMPRODUCT(((LMPMain!$H$9:$H$1000)=$E40)*((LMPMain!$J$9:$J$1000)=$F40)*((LMPMain!$O$9:$O$1000)=$C40)*(LMPMain!R$9:R$1000))+(SUMPRODUCT(((Adders!$D$13:$D$101)=$E40)*((Adders!$E$13:$E$101)=$F40)*(Adders!G$13:G$101))+VLOOKUP($H40,Adders!$B$5:$G$8,L$11,FALSE)+Matrix!$D$2)*IF($D40="NJ",1.07,1))/$L$10,CHOOSE($M$10,$L$9,$M$9)))</f>
        <v xml:space="preserve"> (0.50)</v>
      </c>
      <c r="M40" s="176" t="str">
        <f ca="1">IF(AND($D$11="IL",$E40="AMEREN"),"NA",TEXT((SUMPRODUCT(((LMPMain!$H$9:$H$1000)=$E40)*((LMPMain!$J$9:$J$1000)=$F40)*((LMPMain!$O$9:$O$1000)=$C40)*(LMPMain!S$9:S$1000))+(SUMPRODUCT(((Adders!$D$13:$D$101)=$E40)*((Adders!$E$13:$E$101)=$F40)*(Adders!H$13:H$101))+VLOOKUP($H40,Adders!$B$5:$G$8,M$11,FALSE)+Matrix!$D$2)*IF($D40="NJ",1.07,1))/$L$10,CHOOSE($M$10,$L$9,$M$9)))</f>
        <v xml:space="preserve"> (0.50)</v>
      </c>
      <c r="N40" s="177" t="str">
        <f ca="1">IF(AND($D$11="IL",$E40="AMEREN"),"NA",TEXT((SUMPRODUCT(((LMPMain!$H$9:$H$1000)=$E40)*((LMPMain!$J$9:$J$1000)=$F40)*((LMPMain!$O$9:$O$1000)=$C40)*(LMPMain!T$9:T$1000))+(SUMPRODUCT(((Adders!$D$13:$D$101)=$E40)*((Adders!$E$13:$E$101)=$F40)*(Adders!G$13:G$101))+VLOOKUP($H40,Adders!$B$5:$G$8,N$11,FALSE)+Matrix!$D$2)*IF($D40="NJ",1.07,1))/$L$10,CHOOSE($M$10,$L$9,$M$9)))</f>
        <v xml:space="preserve"> (0.50)</v>
      </c>
      <c r="O40" s="171"/>
      <c r="P40" s="108"/>
    </row>
    <row r="41" spans="1:16" x14ac:dyDescent="0.25">
      <c r="A41" s="122"/>
      <c r="B41" s="123" t="str">
        <f>IF(B40="","",IF(B40+1&lt;=$A$13,B40+1,""))</f>
        <v/>
      </c>
      <c r="C41" s="127" t="str">
        <f>IF(B41="","",$F$11)</f>
        <v/>
      </c>
      <c r="D41" s="128" t="str">
        <f>IF($B41="","",$D$11)</f>
        <v/>
      </c>
      <c r="E41" s="129" t="str">
        <f ca="1">IF(ISERROR(VLOOKUP(SMALL(OFFSET($A$14,0,0,$A$13,1),$B41),LMPMain!$A$9:$H$1000,8,FALSE)),"",VLOOKUP(SMALL(OFFSET($A$14,0,0,$A$13,1),$B41),LMPMain!$A$9:$H$1000,8,FALSE))</f>
        <v/>
      </c>
      <c r="F41" s="128" t="str">
        <f ca="1">IF( ISERROR(VLOOKUP(SMALL(OFFSET($A$14,0,0,$A$13,1),$B41),LMPMain!$A$9:$J$1000,10,FALSE)),"",VLOOKUP(SMALL(OFFSET($A$14,0,0,$A$13,1),$B41),LMPMain!$A$9:$J$1000,10,FALSE))</f>
        <v/>
      </c>
      <c r="G41" s="129" t="str">
        <f ca="1">IF(ISERROR(VLOOKUP(SUMPRODUCT( ((LMPMain!$H$9:$H$1000)=$E41)*((LMPMain!$J$9:$J$1000)=$F41)*((LMPMain!$O$9:$O$1000)=$C41)*(LMPMain!A$9:A$1000)),LMPMain!$A$9:$K$1000,11,FALSE)),"",VLOOKUP(SUMPRODUCT( ((LMPMain!$H$9:$H$1000)=$E41)*((LMPMain!$J$9:$J$1000)=$F41)*((LMPMain!$O$9:$O$1000)=$C41)*(LMPMain!A$9:A$1000)),LMPMain!$A$9:$K$1000,11,FALSE))</f>
        <v/>
      </c>
      <c r="H41" s="130" t="s">
        <v>61</v>
      </c>
      <c r="I41" s="178" t="str">
        <f ca="1">TEXT(   (SUMPRODUCT( ((Main!$H$9:$H$1000)=$E41)*((Main!$J$9:$J$1000)=$F41)*((Main!$O$9:$O$1000)=$C41)*(Main!R$9:R$1000) ) +  ( SUMPRODUCT( ((Adders!$D$13:$D$101)=$E41)*((Adders!$E$13:$E$101)=$F41)*(Adders!G$13:G$101)) + VLOOKUP($H41,Adders!$B$5:$G$8,L$11,FALSE)  +  Matrix!$D$2 ) * IF($D41="NJ",1.07,1))/$L$10, CHOOSE($M$10,$L$9,$M$9) )</f>
        <v xml:space="preserve"> 2.15 </v>
      </c>
      <c r="J41" s="178" t="str">
        <f ca="1">TEXT(   (SUMPRODUCT( ((Main!$H$9:$H$1000)=$E41)*((Main!$J$9:$J$1000)=$F41)*((Main!$O$9:$O$1000)=$C41)*(Main!S$9:S$1000) ) +  ( SUMPRODUCT( ((Adders!$D$13:$D$101)=$E41)*((Adders!$E$13:$E$101)=$F41)*(Adders!H$13:H$101)) + VLOOKUP($H41,Adders!$B$5:$G$8,M$11,FALSE)  +  Matrix!$D$2 ) * IF($D41="NJ",1.07,1))/$L$10, CHOOSE($M$10,$L$9,$M$9) )</f>
        <v xml:space="preserve"> 2.15 </v>
      </c>
      <c r="K41" s="179" t="str">
        <f ca="1">TEXT(   (SUMPRODUCT( ((Main!$H$9:$H$1000)=$E41)*((Main!$J$9:$J$1000)=$F41)*((Main!$O$9:$O$1000)=$C41)*(Main!T$9:T$1000) ) +  ( SUMPRODUCT( ((Adders!$D$13:$D$101)=$E41)*((Adders!$E$13:$E$101)=$F41)*(Adders!I$13:I$101)) + VLOOKUP($H41,Adders!$B$5:$G$8,N$11,FALSE)  +  Matrix!$D$2 ) * IF($D41="NJ",1.07,1))/$L$10, CHOOSE($M$10,$L$9,$M$9) )</f>
        <v xml:space="preserve"> 2.15 </v>
      </c>
      <c r="L41" s="178" t="str">
        <f ca="1">IF(AND($D$11="IL",$E41="AMEREN"),"NA",TEXT((SUMPRODUCT(((LMPMain!$H$9:$H$1000)=$E41)*((LMPMain!$J$9:$J$1000)=$F41)*((LMPMain!$O$9:$O$1000)=$C41)*(LMPMain!R$9:R$1000))+(SUMPRODUCT(((Adders!$D$13:$D$101)=$E41)*((Adders!$E$13:$E$101)=$F41)*(Adders!G$13:G$101))+VLOOKUP($H41,Adders!$B$5:$G$8,L$11,FALSE)+Matrix!$D$2)*IF($D41="NJ",1.07,1))/$L$10,CHOOSE($M$10,$L$9,$M$9)))</f>
        <v xml:space="preserve"> 2.15 </v>
      </c>
      <c r="M41" s="178" t="str">
        <f ca="1">IF(AND($D$11="IL",$E41="AMEREN"),"NA",TEXT((SUMPRODUCT(((LMPMain!$H$9:$H$1000)=$E41)*((LMPMain!$J$9:$J$1000)=$F41)*((LMPMain!$O$9:$O$1000)=$C41)*(LMPMain!S$9:S$1000))+(SUMPRODUCT(((Adders!$D$13:$D$101)=$E41)*((Adders!$E$13:$E$101)=$F41)*(Adders!H$13:H$101))+VLOOKUP($H41,Adders!$B$5:$G$8,M$11,FALSE)+Matrix!$D$2)*IF($D41="NJ",1.07,1))/$L$10,CHOOSE($M$10,$L$9,$M$9)))</f>
        <v xml:space="preserve"> 2.15 </v>
      </c>
      <c r="N41" s="179" t="str">
        <f ca="1">IF(AND($D$11="IL",$E41="AMEREN"),"NA",TEXT((SUMPRODUCT(((LMPMain!$H$9:$H$1000)=$E41)*((LMPMain!$J$9:$J$1000)=$F41)*((LMPMain!$O$9:$O$1000)=$C41)*(LMPMain!T$9:T$1000))+(SUMPRODUCT(((Adders!$D$13:$D$101)=$E41)*((Adders!$E$13:$E$101)=$F41)*(Adders!G$13:G$101))+VLOOKUP($H41,Adders!$B$5:$G$8,N$11,FALSE)+Matrix!$D$2)*IF($D41="NJ",1.07,1))/$L$10,CHOOSE($M$10,$L$9,$M$9)))</f>
        <v xml:space="preserve"> 2.15 </v>
      </c>
      <c r="O41" s="171"/>
      <c r="P41" s="108"/>
    </row>
    <row r="42" spans="1:16" x14ac:dyDescent="0.25">
      <c r="A42" s="122"/>
      <c r="B42" s="123" t="str">
        <f t="shared" ref="B42:D43" si="18">B41</f>
        <v/>
      </c>
      <c r="C42" s="131" t="str">
        <f t="shared" si="18"/>
        <v/>
      </c>
      <c r="D42" s="132" t="str">
        <f t="shared" si="18"/>
        <v/>
      </c>
      <c r="E42" s="133" t="str">
        <f t="shared" ref="E42:G43" ca="1" si="19">E41</f>
        <v/>
      </c>
      <c r="F42" s="132" t="str">
        <f t="shared" ca="1" si="19"/>
        <v/>
      </c>
      <c r="G42" s="133" t="str">
        <f t="shared" ca="1" si="19"/>
        <v/>
      </c>
      <c r="H42" s="134" t="s">
        <v>62</v>
      </c>
      <c r="I42" s="173" t="str">
        <f ca="1">TEXT(   (SUMPRODUCT( ((Main!$H$9:$H$1000)=$E42)*((Main!$J$9:$J$1000)=$F42)*((Main!$O$9:$O$1000)=$C42)*(Main!R$9:R$1000) ) +  ( SUMPRODUCT( ((Adders!$D$13:$D$101)=$E42)*((Adders!$E$13:$E$101)=$F42)*(Adders!G$13:G$101)) + VLOOKUP($H42,Adders!$B$5:$G$8,L$11,FALSE)  +  Matrix!$D$2 ) * IF($D42="NJ",1.07,1))/$L$10, CHOOSE($M$10,$L$9,$M$9) )</f>
        <v xml:space="preserve"> 0.55 </v>
      </c>
      <c r="J42" s="173" t="str">
        <f ca="1">TEXT(   (SUMPRODUCT( ((Main!$H$9:$H$1000)=$E42)*((Main!$J$9:$J$1000)=$F42)*((Main!$O$9:$O$1000)=$C42)*(Main!S$9:S$1000) ) +  ( SUMPRODUCT( ((Adders!$D$13:$D$101)=$E42)*((Adders!$E$13:$E$101)=$F42)*(Adders!H$13:H$101)) + VLOOKUP($H42,Adders!$B$5:$G$8,M$11,FALSE)  +  Matrix!$D$2 ) * IF($D42="NJ",1.07,1))/$L$10, CHOOSE($M$10,$L$9,$M$9) )</f>
        <v xml:space="preserve"> 0.55 </v>
      </c>
      <c r="K42" s="174" t="str">
        <f ca="1">TEXT(   (SUMPRODUCT( ((Main!$H$9:$H$1000)=$E42)*((Main!$J$9:$J$1000)=$F42)*((Main!$O$9:$O$1000)=$C42)*(Main!T$9:T$1000) ) +  ( SUMPRODUCT( ((Adders!$D$13:$D$101)=$E42)*((Adders!$E$13:$E$101)=$F42)*(Adders!I$13:I$101)) + VLOOKUP($H42,Adders!$B$5:$G$8,N$11,FALSE)  +  Matrix!$D$2 ) * IF($D42="NJ",1.07,1))/$L$10, CHOOSE($M$10,$L$9,$M$9) )</f>
        <v xml:space="preserve"> 0.55 </v>
      </c>
      <c r="L42" s="173" t="str">
        <f ca="1">IF(AND($D$11="IL",$E42="AMEREN"),"NA",TEXT((SUMPRODUCT(((LMPMain!$H$9:$H$1000)=$E42)*((LMPMain!$J$9:$J$1000)=$F42)*((LMPMain!$O$9:$O$1000)=$C42)*(LMPMain!R$9:R$1000))+(SUMPRODUCT(((Adders!$D$13:$D$101)=$E42)*((Adders!$E$13:$E$101)=$F42)*(Adders!G$13:G$101))+VLOOKUP($H42,Adders!$B$5:$G$8,L$11,FALSE)+Matrix!$D$2)*IF($D42="NJ",1.07,1))/$L$10,CHOOSE($M$10,$L$9,$M$9)))</f>
        <v xml:space="preserve"> 0.55 </v>
      </c>
      <c r="M42" s="173" t="str">
        <f ca="1">IF(AND($D$11="IL",$E42="AMEREN"),"NA",TEXT((SUMPRODUCT(((LMPMain!$H$9:$H$1000)=$E42)*((LMPMain!$J$9:$J$1000)=$F42)*((LMPMain!$O$9:$O$1000)=$C42)*(LMPMain!S$9:S$1000))+(SUMPRODUCT(((Adders!$D$13:$D$101)=$E42)*((Adders!$E$13:$E$101)=$F42)*(Adders!H$13:H$101))+VLOOKUP($H42,Adders!$B$5:$G$8,M$11,FALSE)+Matrix!$D$2)*IF($D42="NJ",1.07,1))/$L$10,CHOOSE($M$10,$L$9,$M$9)))</f>
        <v xml:space="preserve"> 0.55 </v>
      </c>
      <c r="N42" s="174" t="str">
        <f ca="1">IF(AND($D$11="IL",$E42="AMEREN"),"NA",TEXT((SUMPRODUCT(((LMPMain!$H$9:$H$1000)=$E42)*((LMPMain!$J$9:$J$1000)=$F42)*((LMPMain!$O$9:$O$1000)=$C42)*(LMPMain!T$9:T$1000))+(SUMPRODUCT(((Adders!$D$13:$D$101)=$E42)*((Adders!$E$13:$E$101)=$F42)*(Adders!G$13:G$101))+VLOOKUP($H42,Adders!$B$5:$G$8,N$11,FALSE)+Matrix!$D$2)*IF($D42="NJ",1.07,1))/$L$10,CHOOSE($M$10,$L$9,$M$9)))</f>
        <v xml:space="preserve"> 0.55 </v>
      </c>
      <c r="O42" s="171"/>
      <c r="P42" s="108"/>
    </row>
    <row r="43" spans="1:16" x14ac:dyDescent="0.25">
      <c r="A43" s="122"/>
      <c r="B43" s="123" t="str">
        <f t="shared" si="18"/>
        <v/>
      </c>
      <c r="C43" s="135" t="str">
        <f t="shared" si="18"/>
        <v/>
      </c>
      <c r="D43" s="136" t="str">
        <f t="shared" si="18"/>
        <v/>
      </c>
      <c r="E43" s="137" t="str">
        <f t="shared" ca="1" si="19"/>
        <v/>
      </c>
      <c r="F43" s="136" t="str">
        <f t="shared" ca="1" si="19"/>
        <v/>
      </c>
      <c r="G43" s="137" t="str">
        <f t="shared" ca="1" si="19"/>
        <v/>
      </c>
      <c r="H43" s="138" t="str">
        <f>IF(D43="OH","500-2500 MWh","500-2500 MWh")</f>
        <v>500-2500 MWh</v>
      </c>
      <c r="I43" s="176" t="str">
        <f ca="1">TEXT(   (SUMPRODUCT( ((Main!$H$9:$H$1000)=$E43)*((Main!$J$9:$J$1000)=$F43)*((Main!$O$9:$O$1000)=$C43)*(Main!R$9:R$1000) ) +  ( SUMPRODUCT( ((Adders!$D$13:$D$101)=$E43)*((Adders!$E$13:$E$101)=$F43)*(Adders!G$13:G$101)) + VLOOKUP($H43,Adders!$B$5:$G$8,L$11,FALSE)  +  Matrix!$D$2 ) * IF($D43="NJ",1.07,1))/$L$10, CHOOSE($M$10,$L$9,$M$9) )</f>
        <v xml:space="preserve"> (0.50)</v>
      </c>
      <c r="J43" s="176" t="str">
        <f ca="1">TEXT(   (SUMPRODUCT( ((Main!$H$9:$H$1000)=$E43)*((Main!$J$9:$J$1000)=$F43)*((Main!$O$9:$O$1000)=$C43)*(Main!S$9:S$1000) ) +  ( SUMPRODUCT( ((Adders!$D$13:$D$101)=$E43)*((Adders!$E$13:$E$101)=$F43)*(Adders!H$13:H$101)) + VLOOKUP($H43,Adders!$B$5:$G$8,M$11,FALSE)  +  Matrix!$D$2 ) * IF($D43="NJ",1.07,1))/$L$10, CHOOSE($M$10,$L$9,$M$9) )</f>
        <v xml:space="preserve"> (0.50)</v>
      </c>
      <c r="K43" s="177" t="str">
        <f ca="1">TEXT(   (SUMPRODUCT( ((Main!$H$9:$H$1000)=$E43)*((Main!$J$9:$J$1000)=$F43)*((Main!$O$9:$O$1000)=$C43)*(Main!T$9:T$1000) ) +  ( SUMPRODUCT( ((Adders!$D$13:$D$101)=$E43)*((Adders!$E$13:$E$101)=$F43)*(Adders!I$13:I$101)) + VLOOKUP($H43,Adders!$B$5:$G$8,N$11,FALSE)  +  Matrix!$D$2 ) * IF($D43="NJ",1.07,1))/$L$10, CHOOSE($M$10,$L$9,$M$9) )</f>
        <v xml:space="preserve"> (0.50)</v>
      </c>
      <c r="L43" s="176" t="str">
        <f ca="1">IF(AND($D$11="IL",$E43="AMEREN"),"NA",TEXT((SUMPRODUCT(((LMPMain!$H$9:$H$1000)=$E43)*((LMPMain!$J$9:$J$1000)=$F43)*((LMPMain!$O$9:$O$1000)=$C43)*(LMPMain!R$9:R$1000))+(SUMPRODUCT(((Adders!$D$13:$D$101)=$E43)*((Adders!$E$13:$E$101)=$F43)*(Adders!G$13:G$101))+VLOOKUP($H43,Adders!$B$5:$G$8,L$11,FALSE)+Matrix!$D$2)*IF($D43="NJ",1.07,1))/$L$10,CHOOSE($M$10,$L$9,$M$9)))</f>
        <v xml:space="preserve"> (0.50)</v>
      </c>
      <c r="M43" s="176" t="str">
        <f ca="1">IF(AND($D$11="IL",$E43="AMEREN"),"NA",TEXT((SUMPRODUCT(((LMPMain!$H$9:$H$1000)=$E43)*((LMPMain!$J$9:$J$1000)=$F43)*((LMPMain!$O$9:$O$1000)=$C43)*(LMPMain!S$9:S$1000))+(SUMPRODUCT(((Adders!$D$13:$D$101)=$E43)*((Adders!$E$13:$E$101)=$F43)*(Adders!H$13:H$101))+VLOOKUP($H43,Adders!$B$5:$G$8,M$11,FALSE)+Matrix!$D$2)*IF($D43="NJ",1.07,1))/$L$10,CHOOSE($M$10,$L$9,$M$9)))</f>
        <v xml:space="preserve"> (0.50)</v>
      </c>
      <c r="N43" s="177" t="str">
        <f ca="1">IF(AND($D$11="IL",$E43="AMEREN"),"NA",TEXT((SUMPRODUCT(((LMPMain!$H$9:$H$1000)=$E43)*((LMPMain!$J$9:$J$1000)=$F43)*((LMPMain!$O$9:$O$1000)=$C43)*(LMPMain!T$9:T$1000))+(SUMPRODUCT(((Adders!$D$13:$D$101)=$E43)*((Adders!$E$13:$E$101)=$F43)*(Adders!G$13:G$101))+VLOOKUP($H43,Adders!$B$5:$G$8,N$11,FALSE)+Matrix!$D$2)*IF($D43="NJ",1.07,1))/$L$10,CHOOSE($M$10,$L$9,$M$9)))</f>
        <v xml:space="preserve"> (0.50)</v>
      </c>
      <c r="O43" s="171"/>
      <c r="P43" s="108"/>
    </row>
    <row r="44" spans="1:16" x14ac:dyDescent="0.25">
      <c r="A44" s="122"/>
      <c r="B44" s="123" t="str">
        <f>IF(B43="","",IF(B43+1&lt;=$A$13,B43+1,""))</f>
        <v/>
      </c>
      <c r="C44" s="127" t="str">
        <f>IF(B44="","",$F$11)</f>
        <v/>
      </c>
      <c r="D44" s="128" t="str">
        <f>IF($B44="","",$D$11)</f>
        <v/>
      </c>
      <c r="E44" s="129" t="str">
        <f ca="1">IF(ISERROR(VLOOKUP(SMALL(OFFSET($A$14,0,0,$A$13,1),$B44),LMPMain!$A$9:$H$1000,8,FALSE)),"",VLOOKUP(SMALL(OFFSET($A$14,0,0,$A$13,1),$B44),LMPMain!$A$9:$H$1000,8,FALSE))</f>
        <v/>
      </c>
      <c r="F44" s="128" t="str">
        <f ca="1">IF( ISERROR(VLOOKUP(SMALL(OFFSET($A$14,0,0,$A$13,1),$B44),LMPMain!$A$9:$J$1000,10,FALSE)),"",VLOOKUP(SMALL(OFFSET($A$14,0,0,$A$13,1),$B44),LMPMain!$A$9:$J$1000,10,FALSE))</f>
        <v/>
      </c>
      <c r="G44" s="129" t="str">
        <f ca="1">IF(ISERROR(VLOOKUP(SUMPRODUCT( ((LMPMain!$H$9:$H$1000)=$E44)*((LMPMain!$J$9:$J$1000)=$F44)*((LMPMain!$O$9:$O$1000)=$C44)*(LMPMain!A$9:A$1000)),LMPMain!$A$9:$K$1000,11,FALSE)),"",VLOOKUP(SUMPRODUCT( ((LMPMain!$H$9:$H$1000)=$E44)*((LMPMain!$J$9:$J$1000)=$F44)*((LMPMain!$O$9:$O$1000)=$C44)*(LMPMain!A$9:A$1000)),LMPMain!$A$9:$K$1000,11,FALSE))</f>
        <v/>
      </c>
      <c r="H44" s="130" t="s">
        <v>61</v>
      </c>
      <c r="I44" s="178" t="str">
        <f ca="1">TEXT(   (SUMPRODUCT( ((Main!$H$9:$H$1000)=$E44)*((Main!$J$9:$J$1000)=$F44)*((Main!$O$9:$O$1000)=$C44)*(Main!R$9:R$1000) ) +  ( SUMPRODUCT( ((Adders!$D$13:$D$101)=$E44)*((Adders!$E$13:$E$101)=$F44)*(Adders!G$13:G$101)) + VLOOKUP($H44,Adders!$B$5:$G$8,L$11,FALSE)  +  Matrix!$D$2 ) * IF($D44="NJ",1.07,1))/$L$10, CHOOSE($M$10,$L$9,$M$9) )</f>
        <v xml:space="preserve"> 2.15 </v>
      </c>
      <c r="J44" s="178" t="str">
        <f ca="1">TEXT(   (SUMPRODUCT( ((Main!$H$9:$H$1000)=$E44)*((Main!$J$9:$J$1000)=$F44)*((Main!$O$9:$O$1000)=$C44)*(Main!S$9:S$1000) ) +  ( SUMPRODUCT( ((Adders!$D$13:$D$101)=$E44)*((Adders!$E$13:$E$101)=$F44)*(Adders!H$13:H$101)) + VLOOKUP($H44,Adders!$B$5:$G$8,M$11,FALSE)  +  Matrix!$D$2 ) * IF($D44="NJ",1.07,1))/$L$10, CHOOSE($M$10,$L$9,$M$9) )</f>
        <v xml:space="preserve"> 2.15 </v>
      </c>
      <c r="K44" s="179" t="str">
        <f ca="1">TEXT(   (SUMPRODUCT( ((Main!$H$9:$H$1000)=$E44)*((Main!$J$9:$J$1000)=$F44)*((Main!$O$9:$O$1000)=$C44)*(Main!T$9:T$1000) ) +  ( SUMPRODUCT( ((Adders!$D$13:$D$101)=$E44)*((Adders!$E$13:$E$101)=$F44)*(Adders!I$13:I$101)) + VLOOKUP($H44,Adders!$B$5:$G$8,N$11,FALSE)  +  Matrix!$D$2 ) * IF($D44="NJ",1.07,1))/$L$10, CHOOSE($M$10,$L$9,$M$9) )</f>
        <v xml:space="preserve"> 2.15 </v>
      </c>
      <c r="L44" s="178" t="str">
        <f ca="1">IF(AND($D$11="IL",$E44="AMEREN"),"NA",TEXT((SUMPRODUCT(((LMPMain!$H$9:$H$1000)=$E44)*((LMPMain!$J$9:$J$1000)=$F44)*((LMPMain!$O$9:$O$1000)=$C44)*(LMPMain!R$9:R$1000))+(SUMPRODUCT(((Adders!$D$13:$D$101)=$E44)*((Adders!$E$13:$E$101)=$F44)*(Adders!G$13:G$101))+VLOOKUP($H44,Adders!$B$5:$G$8,L$11,FALSE)+Matrix!$D$2)*IF($D44="NJ",1.07,1))/$L$10,CHOOSE($M$10,$L$9,$M$9)))</f>
        <v xml:space="preserve"> 2.15 </v>
      </c>
      <c r="M44" s="178" t="str">
        <f ca="1">IF(AND($D$11="IL",$E44="AMEREN"),"NA",TEXT((SUMPRODUCT(((LMPMain!$H$9:$H$1000)=$E44)*((LMPMain!$J$9:$J$1000)=$F44)*((LMPMain!$O$9:$O$1000)=$C44)*(LMPMain!S$9:S$1000))+(SUMPRODUCT(((Adders!$D$13:$D$101)=$E44)*((Adders!$E$13:$E$101)=$F44)*(Adders!H$13:H$101))+VLOOKUP($H44,Adders!$B$5:$G$8,M$11,FALSE)+Matrix!$D$2)*IF($D44="NJ",1.07,1))/$L$10,CHOOSE($M$10,$L$9,$M$9)))</f>
        <v xml:space="preserve"> 2.15 </v>
      </c>
      <c r="N44" s="179" t="str">
        <f ca="1">IF(AND($D$11="IL",$E44="AMEREN"),"NA",TEXT((SUMPRODUCT(((LMPMain!$H$9:$H$1000)=$E44)*((LMPMain!$J$9:$J$1000)=$F44)*((LMPMain!$O$9:$O$1000)=$C44)*(LMPMain!T$9:T$1000))+(SUMPRODUCT(((Adders!$D$13:$D$101)=$E44)*((Adders!$E$13:$E$101)=$F44)*(Adders!G$13:G$101))+VLOOKUP($H44,Adders!$B$5:$G$8,N$11,FALSE)+Matrix!$D$2)*IF($D44="NJ",1.07,1))/$L$10,CHOOSE($M$10,$L$9,$M$9)))</f>
        <v xml:space="preserve"> 2.15 </v>
      </c>
      <c r="O44" s="164"/>
      <c r="P44" s="108"/>
    </row>
    <row r="45" spans="1:16" x14ac:dyDescent="0.25">
      <c r="A45" s="122"/>
      <c r="B45" s="123" t="str">
        <f t="shared" ref="B45:D46" si="20">B44</f>
        <v/>
      </c>
      <c r="C45" s="131" t="str">
        <f t="shared" si="20"/>
        <v/>
      </c>
      <c r="D45" s="132" t="str">
        <f t="shared" si="20"/>
        <v/>
      </c>
      <c r="E45" s="133" t="str">
        <f t="shared" ref="E45:G46" ca="1" si="21">E44</f>
        <v/>
      </c>
      <c r="F45" s="132" t="str">
        <f t="shared" ca="1" si="21"/>
        <v/>
      </c>
      <c r="G45" s="133" t="str">
        <f t="shared" ca="1" si="21"/>
        <v/>
      </c>
      <c r="H45" s="134" t="s">
        <v>62</v>
      </c>
      <c r="I45" s="173" t="str">
        <f ca="1">TEXT(   (SUMPRODUCT( ((Main!$H$9:$H$1000)=$E45)*((Main!$J$9:$J$1000)=$F45)*((Main!$O$9:$O$1000)=$C45)*(Main!R$9:R$1000) ) +  ( SUMPRODUCT( ((Adders!$D$13:$D$101)=$E45)*((Adders!$E$13:$E$101)=$F45)*(Adders!G$13:G$101)) + VLOOKUP($H45,Adders!$B$5:$G$8,L$11,FALSE)  +  Matrix!$D$2 ) * IF($D45="NJ",1.07,1))/$L$10, CHOOSE($M$10,$L$9,$M$9) )</f>
        <v xml:space="preserve"> 0.55 </v>
      </c>
      <c r="J45" s="173" t="str">
        <f ca="1">TEXT(   (SUMPRODUCT( ((Main!$H$9:$H$1000)=$E45)*((Main!$J$9:$J$1000)=$F45)*((Main!$O$9:$O$1000)=$C45)*(Main!S$9:S$1000) ) +  ( SUMPRODUCT( ((Adders!$D$13:$D$101)=$E45)*((Adders!$E$13:$E$101)=$F45)*(Adders!H$13:H$101)) + VLOOKUP($H45,Adders!$B$5:$G$8,M$11,FALSE)  +  Matrix!$D$2 ) * IF($D45="NJ",1.07,1))/$L$10, CHOOSE($M$10,$L$9,$M$9) )</f>
        <v xml:space="preserve"> 0.55 </v>
      </c>
      <c r="K45" s="174" t="str">
        <f ca="1">TEXT(   (SUMPRODUCT( ((Main!$H$9:$H$1000)=$E45)*((Main!$J$9:$J$1000)=$F45)*((Main!$O$9:$O$1000)=$C45)*(Main!T$9:T$1000) ) +  ( SUMPRODUCT( ((Adders!$D$13:$D$101)=$E45)*((Adders!$E$13:$E$101)=$F45)*(Adders!I$13:I$101)) + VLOOKUP($H45,Adders!$B$5:$G$8,N$11,FALSE)  +  Matrix!$D$2 ) * IF($D45="NJ",1.07,1))/$L$10, CHOOSE($M$10,$L$9,$M$9) )</f>
        <v xml:space="preserve"> 0.55 </v>
      </c>
      <c r="L45" s="173" t="str">
        <f ca="1">IF(AND($D$11="IL",$E45="AMEREN"),"NA",TEXT((SUMPRODUCT(((LMPMain!$H$9:$H$1000)=$E45)*((LMPMain!$J$9:$J$1000)=$F45)*((LMPMain!$O$9:$O$1000)=$C45)*(LMPMain!R$9:R$1000))+(SUMPRODUCT(((Adders!$D$13:$D$101)=$E45)*((Adders!$E$13:$E$101)=$F45)*(Adders!G$13:G$101))+VLOOKUP($H45,Adders!$B$5:$G$8,L$11,FALSE)+Matrix!$D$2)*IF($D45="NJ",1.07,1))/$L$10,CHOOSE($M$10,$L$9,$M$9)))</f>
        <v xml:space="preserve"> 0.55 </v>
      </c>
      <c r="M45" s="173" t="str">
        <f ca="1">IF(AND($D$11="IL",$E45="AMEREN"),"NA",TEXT((SUMPRODUCT(((LMPMain!$H$9:$H$1000)=$E45)*((LMPMain!$J$9:$J$1000)=$F45)*((LMPMain!$O$9:$O$1000)=$C45)*(LMPMain!S$9:S$1000))+(SUMPRODUCT(((Adders!$D$13:$D$101)=$E45)*((Adders!$E$13:$E$101)=$F45)*(Adders!H$13:H$101))+VLOOKUP($H45,Adders!$B$5:$G$8,M$11,FALSE)+Matrix!$D$2)*IF($D45="NJ",1.07,1))/$L$10,CHOOSE($M$10,$L$9,$M$9)))</f>
        <v xml:space="preserve"> 0.55 </v>
      </c>
      <c r="N45" s="174" t="str">
        <f ca="1">IF(AND($D$11="IL",$E45="AMEREN"),"NA",TEXT((SUMPRODUCT(((LMPMain!$H$9:$H$1000)=$E45)*((LMPMain!$J$9:$J$1000)=$F45)*((LMPMain!$O$9:$O$1000)=$C45)*(LMPMain!T$9:T$1000))+(SUMPRODUCT(((Adders!$D$13:$D$101)=$E45)*((Adders!$E$13:$E$101)=$F45)*(Adders!G$13:G$101))+VLOOKUP($H45,Adders!$B$5:$G$8,N$11,FALSE)+Matrix!$D$2)*IF($D45="NJ",1.07,1))/$L$10,CHOOSE($M$10,$L$9,$M$9)))</f>
        <v xml:space="preserve"> 0.55 </v>
      </c>
      <c r="O45" s="171"/>
      <c r="P45" s="108"/>
    </row>
    <row r="46" spans="1:16" x14ac:dyDescent="0.25">
      <c r="A46" s="122"/>
      <c r="B46" s="123" t="str">
        <f t="shared" si="20"/>
        <v/>
      </c>
      <c r="C46" s="135" t="str">
        <f t="shared" si="20"/>
        <v/>
      </c>
      <c r="D46" s="136" t="str">
        <f t="shared" si="20"/>
        <v/>
      </c>
      <c r="E46" s="137" t="str">
        <f t="shared" ca="1" si="21"/>
        <v/>
      </c>
      <c r="F46" s="136" t="str">
        <f t="shared" ca="1" si="21"/>
        <v/>
      </c>
      <c r="G46" s="137" t="str">
        <f t="shared" ca="1" si="21"/>
        <v/>
      </c>
      <c r="H46" s="138" t="str">
        <f>IF(D46="OH","500-2500 MWh","500-2500 MWh")</f>
        <v>500-2500 MWh</v>
      </c>
      <c r="I46" s="176" t="str">
        <f ca="1">TEXT(   (SUMPRODUCT( ((Main!$H$9:$H$1000)=$E46)*((Main!$J$9:$J$1000)=$F46)*((Main!$O$9:$O$1000)=$C46)*(Main!R$9:R$1000) ) +  ( SUMPRODUCT( ((Adders!$D$13:$D$101)=$E46)*((Adders!$E$13:$E$101)=$F46)*(Adders!G$13:G$101)) + VLOOKUP($H46,Adders!$B$5:$G$8,L$11,FALSE)  +  Matrix!$D$2 ) * IF($D46="NJ",1.07,1))/$L$10, CHOOSE($M$10,$L$9,$M$9) )</f>
        <v xml:space="preserve"> (0.50)</v>
      </c>
      <c r="J46" s="176" t="str">
        <f ca="1">TEXT(   (SUMPRODUCT( ((Main!$H$9:$H$1000)=$E46)*((Main!$J$9:$J$1000)=$F46)*((Main!$O$9:$O$1000)=$C46)*(Main!S$9:S$1000) ) +  ( SUMPRODUCT( ((Adders!$D$13:$D$101)=$E46)*((Adders!$E$13:$E$101)=$F46)*(Adders!H$13:H$101)) + VLOOKUP($H46,Adders!$B$5:$G$8,M$11,FALSE)  +  Matrix!$D$2 ) * IF($D46="NJ",1.07,1))/$L$10, CHOOSE($M$10,$L$9,$M$9) )</f>
        <v xml:space="preserve"> (0.50)</v>
      </c>
      <c r="K46" s="177" t="str">
        <f ca="1">TEXT(   (SUMPRODUCT( ((Main!$H$9:$H$1000)=$E46)*((Main!$J$9:$J$1000)=$F46)*((Main!$O$9:$O$1000)=$C46)*(Main!T$9:T$1000) ) +  ( SUMPRODUCT( ((Adders!$D$13:$D$101)=$E46)*((Adders!$E$13:$E$101)=$F46)*(Adders!I$13:I$101)) + VLOOKUP($H46,Adders!$B$5:$G$8,N$11,FALSE)  +  Matrix!$D$2 ) * IF($D46="NJ",1.07,1))/$L$10, CHOOSE($M$10,$L$9,$M$9) )</f>
        <v xml:space="preserve"> (0.50)</v>
      </c>
      <c r="L46" s="176" t="str">
        <f ca="1">IF(AND($D$11="IL",$E46="AMEREN"),"NA",TEXT((SUMPRODUCT(((LMPMain!$H$9:$H$1000)=$E46)*((LMPMain!$J$9:$J$1000)=$F46)*((LMPMain!$O$9:$O$1000)=$C46)*(LMPMain!R$9:R$1000))+(SUMPRODUCT(((Adders!$D$13:$D$101)=$E46)*((Adders!$E$13:$E$101)=$F46)*(Adders!G$13:G$101))+VLOOKUP($H46,Adders!$B$5:$G$8,L$11,FALSE)+Matrix!$D$2)*IF($D46="NJ",1.07,1))/$L$10,CHOOSE($M$10,$L$9,$M$9)))</f>
        <v xml:space="preserve"> (0.50)</v>
      </c>
      <c r="M46" s="176" t="str">
        <f ca="1">IF(AND($D$11="IL",$E46="AMEREN"),"NA",TEXT((SUMPRODUCT(((LMPMain!$H$9:$H$1000)=$E46)*((LMPMain!$J$9:$J$1000)=$F46)*((LMPMain!$O$9:$O$1000)=$C46)*(LMPMain!S$9:S$1000))+(SUMPRODUCT(((Adders!$D$13:$D$101)=$E46)*((Adders!$E$13:$E$101)=$F46)*(Adders!H$13:H$101))+VLOOKUP($H46,Adders!$B$5:$G$8,M$11,FALSE)+Matrix!$D$2)*IF($D46="NJ",1.07,1))/$L$10,CHOOSE($M$10,$L$9,$M$9)))</f>
        <v xml:space="preserve"> (0.50)</v>
      </c>
      <c r="N46" s="177" t="str">
        <f ca="1">IF(AND($D$11="IL",$E46="AMEREN"),"NA",TEXT((SUMPRODUCT(((LMPMain!$H$9:$H$1000)=$E46)*((LMPMain!$J$9:$J$1000)=$F46)*((LMPMain!$O$9:$O$1000)=$C46)*(LMPMain!T$9:T$1000))+(SUMPRODUCT(((Adders!$D$13:$D$101)=$E46)*((Adders!$E$13:$E$101)=$F46)*(Adders!G$13:G$101))+VLOOKUP($H46,Adders!$B$5:$G$8,N$11,FALSE)+Matrix!$D$2)*IF($D46="NJ",1.07,1))/$L$10,CHOOSE($M$10,$L$9,$M$9)))</f>
        <v xml:space="preserve"> (0.50)</v>
      </c>
      <c r="O46" s="171"/>
      <c r="P46" s="108"/>
    </row>
    <row r="47" spans="1:16" x14ac:dyDescent="0.25">
      <c r="A47" s="122"/>
      <c r="B47" s="123" t="str">
        <f>IF(B46="","",IF(B46+1&lt;=$A$13,B46+1,""))</f>
        <v/>
      </c>
      <c r="C47" s="127" t="str">
        <f>IF(B47="","",$F$11)</f>
        <v/>
      </c>
      <c r="D47" s="128" t="str">
        <f>IF($B47="","",$D$11)</f>
        <v/>
      </c>
      <c r="E47" s="129" t="str">
        <f ca="1">IF(ISERROR(VLOOKUP(SMALL(OFFSET($A$14,0,0,$A$13,1),$B47),LMPMain!$A$9:$H$1000,8,FALSE)),"",VLOOKUP(SMALL(OFFSET($A$14,0,0,$A$13,1),$B47),LMPMain!$A$9:$H$1000,8,FALSE))</f>
        <v/>
      </c>
      <c r="F47" s="128" t="str">
        <f ca="1">IF( ISERROR(VLOOKUP(SMALL(OFFSET($A$14,0,0,$A$13,1),$B47),LMPMain!$A$9:$J$1000,10,FALSE)),"",VLOOKUP(SMALL(OFFSET($A$14,0,0,$A$13,1),$B47),LMPMain!$A$9:$J$1000,10,FALSE))</f>
        <v/>
      </c>
      <c r="G47" s="129" t="str">
        <f ca="1">IF(ISERROR(VLOOKUP(SUMPRODUCT( ((LMPMain!$H$9:$H$1000)=$E47)*((LMPMain!$J$9:$J$1000)=$F47)*((LMPMain!$O$9:$O$1000)=$C47)*(LMPMain!A$9:A$1000)),LMPMain!$A$9:$K$1000,11,FALSE)),"",VLOOKUP(SUMPRODUCT( ((LMPMain!$H$9:$H$1000)=$E47)*((LMPMain!$J$9:$J$1000)=$F47)*((LMPMain!$O$9:$O$1000)=$C47)*(LMPMain!A$9:A$1000)),LMPMain!$A$9:$K$1000,11,FALSE))</f>
        <v/>
      </c>
      <c r="H47" s="130" t="s">
        <v>61</v>
      </c>
      <c r="I47" s="178" t="str">
        <f ca="1">TEXT(   (SUMPRODUCT( ((Main!$H$9:$H$1000)=$E47)*((Main!$J$9:$J$1000)=$F47)*((Main!$O$9:$O$1000)=$C47)*(Main!R$9:R$1000) ) +  ( SUMPRODUCT( ((Adders!$D$13:$D$101)=$E47)*((Adders!$E$13:$E$101)=$F47)*(Adders!G$13:G$101)) + VLOOKUP($H47,Adders!$B$5:$G$8,L$11,FALSE)  +  Matrix!$D$2 ) * IF($D47="NJ",1.07,1))/$L$10, CHOOSE($M$10,$L$9,$M$9) )</f>
        <v xml:space="preserve"> 2.15 </v>
      </c>
      <c r="J47" s="178" t="str">
        <f ca="1">TEXT(   (SUMPRODUCT( ((Main!$H$9:$H$1000)=$E47)*((Main!$J$9:$J$1000)=$F47)*((Main!$O$9:$O$1000)=$C47)*(Main!S$9:S$1000) ) +  ( SUMPRODUCT( ((Adders!$D$13:$D$101)=$E47)*((Adders!$E$13:$E$101)=$F47)*(Adders!H$13:H$101)) + VLOOKUP($H47,Adders!$B$5:$G$8,M$11,FALSE)  +  Matrix!$D$2 ) * IF($D47="NJ",1.07,1))/$L$10, CHOOSE($M$10,$L$9,$M$9) )</f>
        <v xml:space="preserve"> 2.15 </v>
      </c>
      <c r="K47" s="179" t="str">
        <f ca="1">TEXT(   (SUMPRODUCT( ((Main!$H$9:$H$1000)=$E47)*((Main!$J$9:$J$1000)=$F47)*((Main!$O$9:$O$1000)=$C47)*(Main!T$9:T$1000) ) +  ( SUMPRODUCT( ((Adders!$D$13:$D$101)=$E47)*((Adders!$E$13:$E$101)=$F47)*(Adders!I$13:I$101)) + VLOOKUP($H47,Adders!$B$5:$G$8,N$11,FALSE)  +  Matrix!$D$2 ) * IF($D47="NJ",1.07,1))/$L$10, CHOOSE($M$10,$L$9,$M$9) )</f>
        <v xml:space="preserve"> 2.15 </v>
      </c>
      <c r="L47" s="178" t="str">
        <f ca="1">IF(AND($D$11="IL",$E47="AMEREN"),"NA",TEXT((SUMPRODUCT(((LMPMain!$H$9:$H$1000)=$E47)*((LMPMain!$J$9:$J$1000)=$F47)*((LMPMain!$O$9:$O$1000)=$C47)*(LMPMain!R$9:R$1000))+(SUMPRODUCT(((Adders!$D$13:$D$101)=$E47)*((Adders!$E$13:$E$101)=$F47)*(Adders!G$13:G$101))+VLOOKUP($H47,Adders!$B$5:$G$8,L$11,FALSE)+Matrix!$D$2)*IF($D47="NJ",1.07,1))/$L$10,CHOOSE($M$10,$L$9,$M$9)))</f>
        <v xml:space="preserve"> 2.15 </v>
      </c>
      <c r="M47" s="178" t="str">
        <f ca="1">IF(AND($D$11="IL",$E47="AMEREN"),"NA",TEXT((SUMPRODUCT(((LMPMain!$H$9:$H$1000)=$E47)*((LMPMain!$J$9:$J$1000)=$F47)*((LMPMain!$O$9:$O$1000)=$C47)*(LMPMain!S$9:S$1000))+(SUMPRODUCT(((Adders!$D$13:$D$101)=$E47)*((Adders!$E$13:$E$101)=$F47)*(Adders!H$13:H$101))+VLOOKUP($H47,Adders!$B$5:$G$8,M$11,FALSE)+Matrix!$D$2)*IF($D47="NJ",1.07,1))/$L$10,CHOOSE($M$10,$L$9,$M$9)))</f>
        <v xml:space="preserve"> 2.15 </v>
      </c>
      <c r="N47" s="179" t="str">
        <f ca="1">IF(AND($D$11="IL",$E47="AMEREN"),"NA",TEXT((SUMPRODUCT(((LMPMain!$H$9:$H$1000)=$E47)*((LMPMain!$J$9:$J$1000)=$F47)*((LMPMain!$O$9:$O$1000)=$C47)*(LMPMain!T$9:T$1000))+(SUMPRODUCT(((Adders!$D$13:$D$101)=$E47)*((Adders!$E$13:$E$101)=$F47)*(Adders!G$13:G$101))+VLOOKUP($H47,Adders!$B$5:$G$8,N$11,FALSE)+Matrix!$D$2)*IF($D47="NJ",1.07,1))/$L$10,CHOOSE($M$10,$L$9,$M$9)))</f>
        <v xml:space="preserve"> 2.15 </v>
      </c>
      <c r="O47" s="171"/>
      <c r="P47" s="108"/>
    </row>
    <row r="48" spans="1:16" x14ac:dyDescent="0.25">
      <c r="A48" s="122"/>
      <c r="B48" s="123" t="str">
        <f t="shared" ref="B48:D49" si="22">B47</f>
        <v/>
      </c>
      <c r="C48" s="131" t="str">
        <f t="shared" si="22"/>
        <v/>
      </c>
      <c r="D48" s="132" t="str">
        <f t="shared" si="22"/>
        <v/>
      </c>
      <c r="E48" s="133" t="str">
        <f t="shared" ref="E48:G49" ca="1" si="23">E47</f>
        <v/>
      </c>
      <c r="F48" s="132" t="str">
        <f t="shared" ca="1" si="23"/>
        <v/>
      </c>
      <c r="G48" s="133" t="str">
        <f t="shared" ca="1" si="23"/>
        <v/>
      </c>
      <c r="H48" s="134" t="s">
        <v>62</v>
      </c>
      <c r="I48" s="173" t="str">
        <f ca="1">TEXT(   (SUMPRODUCT( ((Main!$H$9:$H$1000)=$E48)*((Main!$J$9:$J$1000)=$F48)*((Main!$O$9:$O$1000)=$C48)*(Main!R$9:R$1000) ) +  ( SUMPRODUCT( ((Adders!$D$13:$D$101)=$E48)*((Adders!$E$13:$E$101)=$F48)*(Adders!G$13:G$101)) + VLOOKUP($H48,Adders!$B$5:$G$8,L$11,FALSE)  +  Matrix!$D$2 ) * IF($D48="NJ",1.07,1))/$L$10, CHOOSE($M$10,$L$9,$M$9) )</f>
        <v xml:space="preserve"> 0.55 </v>
      </c>
      <c r="J48" s="173" t="str">
        <f ca="1">TEXT(   (SUMPRODUCT( ((Main!$H$9:$H$1000)=$E48)*((Main!$J$9:$J$1000)=$F48)*((Main!$O$9:$O$1000)=$C48)*(Main!S$9:S$1000) ) +  ( SUMPRODUCT( ((Adders!$D$13:$D$101)=$E48)*((Adders!$E$13:$E$101)=$F48)*(Adders!H$13:H$101)) + VLOOKUP($H48,Adders!$B$5:$G$8,M$11,FALSE)  +  Matrix!$D$2 ) * IF($D48="NJ",1.07,1))/$L$10, CHOOSE($M$10,$L$9,$M$9) )</f>
        <v xml:space="preserve"> 0.55 </v>
      </c>
      <c r="K48" s="174" t="str">
        <f ca="1">TEXT(   (SUMPRODUCT( ((Main!$H$9:$H$1000)=$E48)*((Main!$J$9:$J$1000)=$F48)*((Main!$O$9:$O$1000)=$C48)*(Main!T$9:T$1000) ) +  ( SUMPRODUCT( ((Adders!$D$13:$D$101)=$E48)*((Adders!$E$13:$E$101)=$F48)*(Adders!I$13:I$101)) + VLOOKUP($H48,Adders!$B$5:$G$8,N$11,FALSE)  +  Matrix!$D$2 ) * IF($D48="NJ",1.07,1))/$L$10, CHOOSE($M$10,$L$9,$M$9) )</f>
        <v xml:space="preserve"> 0.55 </v>
      </c>
      <c r="L48" s="173" t="str">
        <f ca="1">IF(AND($D$11="IL",$E48="AMEREN"),"NA",TEXT((SUMPRODUCT(((LMPMain!$H$9:$H$1000)=$E48)*((LMPMain!$J$9:$J$1000)=$F48)*((LMPMain!$O$9:$O$1000)=$C48)*(LMPMain!R$9:R$1000))+(SUMPRODUCT(((Adders!$D$13:$D$101)=$E48)*((Adders!$E$13:$E$101)=$F48)*(Adders!G$13:G$101))+VLOOKUP($H48,Adders!$B$5:$G$8,L$11,FALSE)+Matrix!$D$2)*IF($D48="NJ",1.07,1))/$L$10,CHOOSE($M$10,$L$9,$M$9)))</f>
        <v xml:space="preserve"> 0.55 </v>
      </c>
      <c r="M48" s="173" t="str">
        <f ca="1">IF(AND($D$11="IL",$E48="AMEREN"),"NA",TEXT((SUMPRODUCT(((LMPMain!$H$9:$H$1000)=$E48)*((LMPMain!$J$9:$J$1000)=$F48)*((LMPMain!$O$9:$O$1000)=$C48)*(LMPMain!S$9:S$1000))+(SUMPRODUCT(((Adders!$D$13:$D$101)=$E48)*((Adders!$E$13:$E$101)=$F48)*(Adders!H$13:H$101))+VLOOKUP($H48,Adders!$B$5:$G$8,M$11,FALSE)+Matrix!$D$2)*IF($D48="NJ",1.07,1))/$L$10,CHOOSE($M$10,$L$9,$M$9)))</f>
        <v xml:space="preserve"> 0.55 </v>
      </c>
      <c r="N48" s="174" t="str">
        <f ca="1">IF(AND($D$11="IL",$E48="AMEREN"),"NA",TEXT((SUMPRODUCT(((LMPMain!$H$9:$H$1000)=$E48)*((LMPMain!$J$9:$J$1000)=$F48)*((LMPMain!$O$9:$O$1000)=$C48)*(LMPMain!T$9:T$1000))+(SUMPRODUCT(((Adders!$D$13:$D$101)=$E48)*((Adders!$E$13:$E$101)=$F48)*(Adders!G$13:G$101))+VLOOKUP($H48,Adders!$B$5:$G$8,N$11,FALSE)+Matrix!$D$2)*IF($D48="NJ",1.07,1))/$L$10,CHOOSE($M$10,$L$9,$M$9)))</f>
        <v xml:space="preserve"> 0.55 </v>
      </c>
      <c r="O48" s="171"/>
      <c r="P48" s="108"/>
    </row>
    <row r="49" spans="1:17" x14ac:dyDescent="0.25">
      <c r="A49" s="122"/>
      <c r="B49" s="123" t="str">
        <f t="shared" si="22"/>
        <v/>
      </c>
      <c r="C49" s="135" t="str">
        <f t="shared" si="22"/>
        <v/>
      </c>
      <c r="D49" s="136" t="str">
        <f t="shared" si="22"/>
        <v/>
      </c>
      <c r="E49" s="137" t="str">
        <f t="shared" ca="1" si="23"/>
        <v/>
      </c>
      <c r="F49" s="136" t="str">
        <f t="shared" ca="1" si="23"/>
        <v/>
      </c>
      <c r="G49" s="137" t="str">
        <f t="shared" ca="1" si="23"/>
        <v/>
      </c>
      <c r="H49" s="138" t="str">
        <f>IF(D49="OH","500-2500 MWh","500-2500 MWh")</f>
        <v>500-2500 MWh</v>
      </c>
      <c r="I49" s="176" t="str">
        <f ca="1">TEXT(   (SUMPRODUCT( ((Main!$H$9:$H$1000)=$E49)*((Main!$J$9:$J$1000)=$F49)*((Main!$O$9:$O$1000)=$C49)*(Main!R$9:R$1000) ) +  ( SUMPRODUCT( ((Adders!$D$13:$D$101)=$E49)*((Adders!$E$13:$E$101)=$F49)*(Adders!G$13:G$101)) + VLOOKUP($H49,Adders!$B$5:$G$8,L$11,FALSE)  +  Matrix!$D$2 ) * IF($D49="NJ",1.07,1))/$L$10, CHOOSE($M$10,$L$9,$M$9) )</f>
        <v xml:space="preserve"> (0.50)</v>
      </c>
      <c r="J49" s="176" t="str">
        <f ca="1">TEXT(   (SUMPRODUCT( ((Main!$H$9:$H$1000)=$E49)*((Main!$J$9:$J$1000)=$F49)*((Main!$O$9:$O$1000)=$C49)*(Main!S$9:S$1000) ) +  ( SUMPRODUCT( ((Adders!$D$13:$D$101)=$E49)*((Adders!$E$13:$E$101)=$F49)*(Adders!H$13:H$101)) + VLOOKUP($H49,Adders!$B$5:$G$8,M$11,FALSE)  +  Matrix!$D$2 ) * IF($D49="NJ",1.07,1))/$L$10, CHOOSE($M$10,$L$9,$M$9) )</f>
        <v xml:space="preserve"> (0.50)</v>
      </c>
      <c r="K49" s="177" t="str">
        <f ca="1">TEXT(   (SUMPRODUCT( ((Main!$H$9:$H$1000)=$E49)*((Main!$J$9:$J$1000)=$F49)*((Main!$O$9:$O$1000)=$C49)*(Main!T$9:T$1000) ) +  ( SUMPRODUCT( ((Adders!$D$13:$D$101)=$E49)*((Adders!$E$13:$E$101)=$F49)*(Adders!I$13:I$101)) + VLOOKUP($H49,Adders!$B$5:$G$8,N$11,FALSE)  +  Matrix!$D$2 ) * IF($D49="NJ",1.07,1))/$L$10, CHOOSE($M$10,$L$9,$M$9) )</f>
        <v xml:space="preserve"> (0.50)</v>
      </c>
      <c r="L49" s="176" t="str">
        <f ca="1">IF(AND($D$11="IL",$E49="AMEREN"),"NA",TEXT((SUMPRODUCT(((LMPMain!$H$9:$H$1000)=$E49)*((LMPMain!$J$9:$J$1000)=$F49)*((LMPMain!$O$9:$O$1000)=$C49)*(LMPMain!R$9:R$1000))+(SUMPRODUCT(((Adders!$D$13:$D$101)=$E49)*((Adders!$E$13:$E$101)=$F49)*(Adders!G$13:G$101))+VLOOKUP($H49,Adders!$B$5:$G$8,L$11,FALSE)+Matrix!$D$2)*IF($D49="NJ",1.07,1))/$L$10,CHOOSE($M$10,$L$9,$M$9)))</f>
        <v xml:space="preserve"> (0.50)</v>
      </c>
      <c r="M49" s="176" t="str">
        <f ca="1">IF(AND($D$11="IL",$E49="AMEREN"),"NA",TEXT((SUMPRODUCT(((LMPMain!$H$9:$H$1000)=$E49)*((LMPMain!$J$9:$J$1000)=$F49)*((LMPMain!$O$9:$O$1000)=$C49)*(LMPMain!S$9:S$1000))+(SUMPRODUCT(((Adders!$D$13:$D$101)=$E49)*((Adders!$E$13:$E$101)=$F49)*(Adders!H$13:H$101))+VLOOKUP($H49,Adders!$B$5:$G$8,M$11,FALSE)+Matrix!$D$2)*IF($D49="NJ",1.07,1))/$L$10,CHOOSE($M$10,$L$9,$M$9)))</f>
        <v xml:space="preserve"> (0.50)</v>
      </c>
      <c r="N49" s="177" t="str">
        <f ca="1">IF(AND($D$11="IL",$E49="AMEREN"),"NA",TEXT((SUMPRODUCT(((LMPMain!$H$9:$H$1000)=$E49)*((LMPMain!$J$9:$J$1000)=$F49)*((LMPMain!$O$9:$O$1000)=$C49)*(LMPMain!T$9:T$1000))+(SUMPRODUCT(((Adders!$D$13:$D$101)=$E49)*((Adders!$E$13:$E$101)=$F49)*(Adders!G$13:G$101))+VLOOKUP($H49,Adders!$B$5:$G$8,N$11,FALSE)+Matrix!$D$2)*IF($D49="NJ",1.07,1))/$L$10,CHOOSE($M$10,$L$9,$M$9)))</f>
        <v xml:space="preserve"> (0.50)</v>
      </c>
      <c r="O49" s="171"/>
      <c r="P49" s="108"/>
    </row>
    <row r="50" spans="1:17" s="2" customFormat="1" ht="7.5" customHeight="1" thickBot="1" x14ac:dyDescent="0.3">
      <c r="B50" s="5"/>
      <c r="C50" s="77"/>
      <c r="D50" s="77"/>
      <c r="E50" s="77"/>
      <c r="F50" s="77"/>
      <c r="G50" s="77"/>
      <c r="H50" s="77"/>
      <c r="I50" s="77"/>
      <c r="J50" s="77"/>
      <c r="K50" s="77"/>
      <c r="L50" s="176"/>
      <c r="M50" s="176"/>
      <c r="N50" s="177"/>
      <c r="O50" s="171"/>
      <c r="P50" s="108"/>
      <c r="Q50" s="100"/>
    </row>
    <row r="51" spans="1:17" x14ac:dyDescent="0.25">
      <c r="B51" s="108"/>
      <c r="C51" s="189" t="s">
        <v>739</v>
      </c>
      <c r="D51" s="3"/>
      <c r="E51" s="3"/>
      <c r="F51" s="3"/>
      <c r="G51" s="3"/>
      <c r="H51" s="3"/>
      <c r="I51" s="3"/>
      <c r="J51" s="3"/>
      <c r="K51" s="3"/>
      <c r="L51" s="3"/>
      <c r="M51" s="3"/>
      <c r="N51" s="4"/>
      <c r="O51" s="7"/>
    </row>
    <row r="52" spans="1:17" x14ac:dyDescent="0.25">
      <c r="B52" s="108"/>
      <c r="C52" s="190" t="s">
        <v>740</v>
      </c>
      <c r="D52" s="6"/>
      <c r="E52" s="6"/>
      <c r="F52" s="6"/>
      <c r="G52" s="6"/>
      <c r="H52" s="6"/>
      <c r="I52" s="6"/>
      <c r="J52" s="6"/>
      <c r="K52" s="6"/>
      <c r="L52" s="6"/>
      <c r="M52" s="6"/>
      <c r="N52" s="7"/>
      <c r="O52" s="7"/>
    </row>
    <row r="53" spans="1:17" x14ac:dyDescent="0.25">
      <c r="B53" s="108"/>
      <c r="C53" s="190" t="s">
        <v>741</v>
      </c>
      <c r="D53" s="6"/>
      <c r="E53" s="6"/>
      <c r="F53" s="6"/>
      <c r="G53" s="6"/>
      <c r="H53" s="6"/>
      <c r="I53" s="6"/>
      <c r="J53" s="6"/>
      <c r="K53" s="6"/>
      <c r="L53" s="6"/>
      <c r="M53" s="6"/>
      <c r="N53" s="7"/>
      <c r="O53" s="7"/>
    </row>
    <row r="54" spans="1:17" x14ac:dyDescent="0.25">
      <c r="B54" s="108"/>
      <c r="C54" s="190" t="s">
        <v>742</v>
      </c>
      <c r="D54" s="6"/>
      <c r="E54" s="6"/>
      <c r="F54" s="6"/>
      <c r="G54" s="6"/>
      <c r="H54" s="6"/>
      <c r="I54" s="6"/>
      <c r="J54" s="6"/>
      <c r="K54" s="6"/>
      <c r="L54" s="6"/>
      <c r="M54" s="6"/>
      <c r="N54" s="7"/>
      <c r="O54" s="7"/>
    </row>
    <row r="55" spans="1:17" x14ac:dyDescent="0.25">
      <c r="B55" s="108"/>
      <c r="C55" s="190" t="s">
        <v>743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7"/>
      <c r="O55" s="7"/>
    </row>
    <row r="56" spans="1:17" x14ac:dyDescent="0.25">
      <c r="B56" s="108"/>
      <c r="C56" s="5" t="s">
        <v>744</v>
      </c>
      <c r="D56" s="6"/>
      <c r="E56" s="6"/>
      <c r="F56" s="6"/>
      <c r="G56" s="6"/>
      <c r="H56" s="6"/>
      <c r="I56" s="6"/>
      <c r="J56" s="6"/>
      <c r="K56" s="6"/>
      <c r="L56" s="6"/>
      <c r="M56" s="6"/>
      <c r="N56" s="7"/>
      <c r="O56" s="7"/>
    </row>
    <row r="57" spans="1:17" x14ac:dyDescent="0.25">
      <c r="B57" s="108"/>
      <c r="C57" s="5" t="s">
        <v>745</v>
      </c>
      <c r="D57" s="6"/>
      <c r="E57" s="6"/>
      <c r="F57" s="6"/>
      <c r="G57" s="6"/>
      <c r="H57" s="6"/>
      <c r="I57" s="6"/>
      <c r="J57" s="6"/>
      <c r="K57" s="6"/>
      <c r="L57" s="6"/>
      <c r="M57" s="6"/>
      <c r="N57" s="7"/>
      <c r="O57" s="7"/>
    </row>
    <row r="58" spans="1:17" ht="14.25" customHeight="1" thickBot="1" x14ac:dyDescent="0.3">
      <c r="B58" s="108"/>
      <c r="C58" s="5" t="s">
        <v>746</v>
      </c>
      <c r="D58" s="6"/>
      <c r="E58" s="6"/>
      <c r="F58" s="6"/>
      <c r="G58" s="6"/>
      <c r="H58" s="6"/>
      <c r="I58" s="6"/>
      <c r="J58" s="6"/>
      <c r="K58" s="6"/>
      <c r="L58" s="6"/>
      <c r="M58" s="6"/>
      <c r="N58" s="199"/>
      <c r="O58" s="7"/>
    </row>
    <row r="59" spans="1:17" ht="15.75" thickBot="1" x14ac:dyDescent="0.3">
      <c r="B59" s="108"/>
      <c r="C59" s="8" t="s">
        <v>19</v>
      </c>
      <c r="D59" s="9"/>
      <c r="E59" s="9"/>
      <c r="F59" s="9"/>
      <c r="G59" s="9"/>
      <c r="H59" s="9"/>
      <c r="I59" s="9"/>
      <c r="J59" s="9"/>
      <c r="K59" s="9"/>
      <c r="L59" s="9"/>
      <c r="M59" s="9"/>
      <c r="N59" s="10"/>
      <c r="O59" s="112"/>
    </row>
    <row r="60" spans="1:17" ht="15.75" thickBot="1" x14ac:dyDescent="0.3">
      <c r="B60" s="139"/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1"/>
    </row>
  </sheetData>
  <sheetProtection algorithmName="SHA-512" hashValue="yvzPcu0wPxdbkKY7MU+uzgc9WXf4Qs6cKsSeM1iIqdQNjZtV6bnS4PQOM4IuWmfZ7ir/XTZAaiwI5XbEhNizvA==" saltValue="5GCLfwsJRAAbuaX1Tf9zRw==" spinCount="100000" sheet="1" scenarios="1" autoFilter="0"/>
  <autoFilter ref="C13:H13"/>
  <mergeCells count="2">
    <mergeCell ref="C8:C9"/>
    <mergeCell ref="C6:G7"/>
  </mergeCells>
  <conditionalFormatting sqref="O38:O50 L14:N50 C14:O49">
    <cfRule type="expression" dxfId="148" priority="1">
      <formula>$B14=""</formula>
    </cfRule>
  </conditionalFormatting>
  <dataValidations count="4">
    <dataValidation type="list" allowBlank="1" showInputMessage="1" showErrorMessage="1" sqref="M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  <dataValidation type="list" allowBlank="1" showInputMessage="1" showErrorMessage="1" sqref="D11">
      <formula1>"PA, OH, IL, NJ, MD"</formula1>
    </dataValidation>
    <dataValidation type="list" allowBlank="1" showInputMessage="1" showErrorMessage="1" sqref="F11">
      <formula1>list_Mth</formula1>
    </dataValidation>
  </dataValidations>
  <printOptions horizontalCentered="1"/>
  <pageMargins left="0.45" right="0.45" top="0.5" bottom="0.5" header="0.3" footer="0.3"/>
  <pageSetup scale="67" fitToHeight="10" orientation="portrait" r:id="rId1"/>
  <headerFooter>
    <oddFooter>&amp;CPage &amp;P of &amp;N&amp;R&amp;D  &amp;T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79998168889431442"/>
    <pageSetUpPr fitToPage="1"/>
  </sheetPr>
  <dimension ref="A1:P458"/>
  <sheetViews>
    <sheetView showGridLines="0" zoomScale="70" zoomScaleNormal="70" workbookViewId="0">
      <pane ySplit="13" topLeftCell="A14" activePane="bottomLeft" state="frozen"/>
      <selection activeCell="A2" sqref="A2:F2"/>
      <selection pane="bottomLeft" activeCell="X26" sqref="X26"/>
    </sheetView>
  </sheetViews>
  <sheetFormatPr defaultRowHeight="15" x14ac:dyDescent="0.25"/>
  <cols>
    <col min="1" max="1" width="3.83203125" style="100" customWidth="1"/>
    <col min="2" max="2" width="2.5" style="122" customWidth="1"/>
    <col min="3" max="3" width="25.33203125" style="100" customWidth="1"/>
    <col min="4" max="5" width="14.5" style="100" customWidth="1"/>
    <col min="6" max="6" width="35" style="100" customWidth="1"/>
    <col min="7" max="7" width="26.5" style="100" customWidth="1"/>
    <col min="8" max="8" width="20.33203125" style="100" customWidth="1"/>
    <col min="9" max="9" width="12" style="100" customWidth="1"/>
    <col min="10" max="10" width="14.33203125" style="100" customWidth="1"/>
    <col min="11" max="11" width="12" style="100" customWidth="1"/>
    <col min="12" max="13" width="11.5" style="100" customWidth="1"/>
    <col min="14" max="14" width="12.5" style="100" customWidth="1"/>
    <col min="15" max="15" width="2.5" style="100" customWidth="1"/>
    <col min="16" max="16" width="3.83203125" style="100" customWidth="1"/>
    <col min="17" max="16384" width="9.33203125" style="100"/>
  </cols>
  <sheetData>
    <row r="1" spans="2:15" ht="5.25" customHeight="1" x14ac:dyDescent="0.25">
      <c r="B1" s="100"/>
    </row>
    <row r="2" spans="2:15" s="101" customFormat="1" ht="18.75" x14ac:dyDescent="0.3">
      <c r="C2" s="102" t="s">
        <v>56</v>
      </c>
      <c r="D2" s="11">
        <v>0</v>
      </c>
      <c r="E2" s="103" t="s">
        <v>98</v>
      </c>
      <c r="M2" s="216" t="s">
        <v>691</v>
      </c>
      <c r="N2" s="217"/>
      <c r="O2" s="103" t="s">
        <v>98</v>
      </c>
    </row>
    <row r="3" spans="2:15" ht="5.25" customHeight="1" thickBot="1" x14ac:dyDescent="0.3">
      <c r="B3" s="104"/>
    </row>
    <row r="4" spans="2:15" ht="5.25" customHeight="1" x14ac:dyDescent="0.25"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7"/>
    </row>
    <row r="5" spans="2:15" ht="26.25" x14ac:dyDescent="0.4">
      <c r="B5" s="108"/>
      <c r="C5" s="109"/>
      <c r="D5" s="109"/>
      <c r="E5" s="109"/>
      <c r="F5" s="109"/>
      <c r="H5" s="110"/>
      <c r="I5" s="110"/>
      <c r="J5" s="110"/>
      <c r="K5" s="110"/>
      <c r="L5" s="110"/>
      <c r="M5" s="111"/>
      <c r="N5" s="111"/>
      <c r="O5" s="112"/>
    </row>
    <row r="6" spans="2:15" ht="11.25" customHeight="1" x14ac:dyDescent="0.25">
      <c r="B6" s="108"/>
      <c r="C6" s="215" t="s">
        <v>747</v>
      </c>
      <c r="D6" s="215"/>
      <c r="E6" s="215"/>
      <c r="F6" s="215"/>
      <c r="G6" s="110"/>
      <c r="H6" s="110"/>
      <c r="I6" s="110"/>
      <c r="J6" s="110"/>
      <c r="K6" s="110"/>
      <c r="L6" s="110"/>
      <c r="M6" s="111"/>
      <c r="N6" s="111"/>
      <c r="O6" s="112"/>
    </row>
    <row r="7" spans="2:15" ht="11.25" customHeight="1" x14ac:dyDescent="0.25">
      <c r="B7" s="108"/>
      <c r="C7" s="215"/>
      <c r="D7" s="215"/>
      <c r="E7" s="215"/>
      <c r="F7" s="215"/>
      <c r="G7" s="113"/>
      <c r="H7" s="113"/>
      <c r="I7" s="113"/>
      <c r="J7" s="113"/>
      <c r="K7" s="113"/>
      <c r="L7" s="113"/>
      <c r="M7" s="111"/>
      <c r="N7" s="111"/>
      <c r="O7" s="112"/>
    </row>
    <row r="8" spans="2:15" ht="15" customHeight="1" x14ac:dyDescent="0.25">
      <c r="B8" s="108"/>
      <c r="C8" s="214">
        <f>Main!$K$2</f>
        <v>42129</v>
      </c>
      <c r="D8" s="111"/>
      <c r="E8" s="110"/>
      <c r="F8" s="113"/>
      <c r="G8" s="113"/>
      <c r="H8" s="113"/>
      <c r="I8" s="113"/>
      <c r="J8" s="113"/>
      <c r="K8" s="113"/>
      <c r="L8" s="113"/>
      <c r="M8" s="111"/>
      <c r="N8" s="111"/>
      <c r="O8" s="112"/>
    </row>
    <row r="9" spans="2:15" ht="10.5" customHeight="1" x14ac:dyDescent="0.25">
      <c r="B9" s="108"/>
      <c r="C9" s="214"/>
      <c r="D9" s="116"/>
      <c r="E9" s="116"/>
      <c r="F9" s="113"/>
      <c r="G9" s="113"/>
      <c r="H9" s="113"/>
      <c r="I9" s="113"/>
      <c r="J9" s="113"/>
      <c r="K9" s="113"/>
      <c r="L9" s="117" t="s">
        <v>101</v>
      </c>
      <c r="M9" s="118" t="s">
        <v>102</v>
      </c>
      <c r="N9" s="111"/>
      <c r="O9" s="112"/>
    </row>
    <row r="10" spans="2:15" ht="18" x14ac:dyDescent="0.25">
      <c r="B10" s="108"/>
      <c r="C10" s="114" t="s">
        <v>0</v>
      </c>
      <c r="D10" s="116"/>
      <c r="E10" s="116"/>
      <c r="F10" s="113"/>
      <c r="G10" s="113"/>
      <c r="H10" s="120"/>
      <c r="I10" s="120"/>
      <c r="J10" s="120"/>
      <c r="K10" s="120"/>
      <c r="L10" s="120">
        <f>IF(PA!M2="Prices in $/kWh",1000,1)</f>
        <v>1</v>
      </c>
      <c r="M10" s="121">
        <f>IF(PA!M2="Prices in $/kWh",2,1)</f>
        <v>1</v>
      </c>
      <c r="N10" s="121"/>
      <c r="O10" s="112"/>
    </row>
    <row r="11" spans="2:15" ht="10.5" customHeight="1" thickBot="1" x14ac:dyDescent="0.3">
      <c r="B11" s="108"/>
      <c r="C11" s="115"/>
      <c r="D11" s="111"/>
      <c r="E11" s="111"/>
      <c r="F11" s="113"/>
      <c r="G11" s="113"/>
      <c r="H11" s="121"/>
      <c r="I11" s="121"/>
      <c r="J11" s="121"/>
      <c r="K11" s="121"/>
      <c r="L11" s="121">
        <v>3</v>
      </c>
      <c r="M11" s="121">
        <v>4</v>
      </c>
      <c r="N11" s="121">
        <v>5</v>
      </c>
      <c r="O11" s="112"/>
    </row>
    <row r="12" spans="2:15" ht="18.75" thickBot="1" x14ac:dyDescent="0.3">
      <c r="B12" s="108"/>
      <c r="C12" s="114" t="s">
        <v>50</v>
      </c>
      <c r="D12" s="111"/>
      <c r="E12" s="111"/>
      <c r="F12" s="111"/>
      <c r="G12" s="111"/>
      <c r="H12" s="111"/>
      <c r="I12" s="193" t="str">
        <f>IF(PA!M2="Prices in $/kWh","Fixed Term (months) - $/kWh","Fixed Term (months) - $/MWh")</f>
        <v>Fixed Term (months) - $/MWh</v>
      </c>
      <c r="J12" s="194"/>
      <c r="K12" s="194"/>
      <c r="L12" s="195" t="str">
        <f>IF(PA!M2="Prices in $/kWh","Real Time SPP Term (months) - $/kWh","Real Time SPP Term (months) - $/MWh")</f>
        <v>Real Time SPP Term (months) - $/MWh</v>
      </c>
      <c r="M12" s="196"/>
      <c r="N12" s="196"/>
      <c r="O12" s="202"/>
    </row>
    <row r="13" spans="2:15" ht="25.5" customHeight="1" x14ac:dyDescent="0.25">
      <c r="B13" s="108"/>
      <c r="C13" s="124" t="s">
        <v>1</v>
      </c>
      <c r="D13" s="124" t="s">
        <v>2</v>
      </c>
      <c r="E13" s="124" t="s">
        <v>3</v>
      </c>
      <c r="F13" s="124" t="s">
        <v>4</v>
      </c>
      <c r="G13" s="124" t="s">
        <v>95</v>
      </c>
      <c r="H13" s="124" t="s">
        <v>57</v>
      </c>
      <c r="I13" s="125" t="s">
        <v>58</v>
      </c>
      <c r="J13" s="125" t="s">
        <v>59</v>
      </c>
      <c r="K13" s="126" t="s">
        <v>60</v>
      </c>
      <c r="L13" s="198" t="s">
        <v>58</v>
      </c>
      <c r="M13" s="125" t="s">
        <v>59</v>
      </c>
      <c r="N13" s="201" t="s">
        <v>60</v>
      </c>
      <c r="O13" s="202"/>
    </row>
    <row r="14" spans="2:15" x14ac:dyDescent="0.25">
      <c r="B14" s="160" t="s">
        <v>664</v>
      </c>
      <c r="C14" s="127">
        <f>Main!K5</f>
        <v>42156</v>
      </c>
      <c r="D14" s="128" t="s">
        <v>6</v>
      </c>
      <c r="E14" s="129" t="s">
        <v>48</v>
      </c>
      <c r="F14" s="128" t="s">
        <v>7</v>
      </c>
      <c r="G14" s="129" t="str">
        <f>VLOOKUP(SUMPRODUCT( ((LMPMain!$H$9:$H$1000)=$E14)*((LMPMain!$J$9:$J$1000)=$F14)*((LMPMain!$O$9:$O$1000)=$C14)*(LMPMain!A$9:A$1000)),LMPMain!$A$9:$K$1000,11,FALSE)</f>
        <v>General Service</v>
      </c>
      <c r="H14" s="130" t="s">
        <v>61</v>
      </c>
      <c r="I14" s="178" t="str">
        <f>TEXT(   (SUMPRODUCT( ((Main!$H$9:$H$1000)=$E14)*((Main!$J$9:$J$1000)=$F14)*((Main!$O$9:$O$1000)=$C14)*(Main!R$9:R$1000) ) +  ( SUMPRODUCT( ((Adders!$D$13:$D$101)=$E14)*((Adders!$E$13:$E$101)=$F14)*(Adders!G$13:G$101)) + VLOOKUP($H14,Adders!$B$5:$G$8,L$11,FALSE)  +  PA!$D$2 ) * IF($D14="NJ",1.07,1))/$L$10, CHOOSE($M$10,$L$9,$M$9) )</f>
        <v xml:space="preserve"> 76.86 </v>
      </c>
      <c r="J14" s="178" t="str">
        <f>TEXT(   (SUMPRODUCT( ((Main!$H$9:$H$1000)=$E14)*((Main!$J$9:$J$1000)=$F14)*((Main!$O$9:$O$1000)=$C14)*(Main!S$9:S$1000) ) +  ( SUMPRODUCT( ((Adders!$D$13:$D$101)=$E14)*((Adders!$E$13:$E$101)=$F14)*(Adders!H$13:H$101)) + VLOOKUP($H14,Adders!$B$5:$G$8,M$11,FALSE)  +  PA!$D$2 ) * IF($D14="NJ",1.07,1))/$L$10, CHOOSE($M$10,$L$9,$M$9) )</f>
        <v xml:space="preserve"> 73.83 </v>
      </c>
      <c r="K14" s="179" t="str">
        <f>TEXT(   (SUMPRODUCT( ((Main!$H$9:$H$1000)=$E14)*((Main!$J$9:$J$1000)=$F14)*((Main!$O$9:$O$1000)=$C14)*(Main!T$9:T$1000) ) +  ( SUMPRODUCT( ((Adders!$D$13:$D$101)=$E14)*((Adders!$E$13:$E$101)=$F14)*(Adders!I$13:I$101)) + VLOOKUP($H14,Adders!$B$5:$G$8,N$11,FALSE)  +  PA!$D$2 ) * IF($D14="NJ",1.07,1))/$L$10, CHOOSE($M$10,$L$9,$M$9) )</f>
        <v xml:space="preserve"> 73.49 </v>
      </c>
      <c r="L14" s="178" t="str">
        <f>IF(AND($D$11="IL",$E14="AMEREN"),"NA",TEXT((SUMPRODUCT(((LMPMain!$H$9:$H$1000)=$E14)*((LMPMain!$J$9:$J$1000)=$F14)*((LMPMain!$O$9:$O$1000)=$C14)*(LMPMain!R$9:R$1000))+(SUMPRODUCT(((Adders!$D$13:$D$101)=$E14)*((Adders!$E$13:$E$101)=$F14)*(Adders!G$13:G$101))+VLOOKUP($H14,Adders!$B$5:$G$8,L$11,FALSE)+Matrix!$D$2)*IF($D14="NJ",1.07,1))/$L$10,CHOOSE($M$10,$L$9,$M$9)))</f>
        <v xml:space="preserve"> 38.96 </v>
      </c>
      <c r="M14" s="178" t="str">
        <f>IF(AND($D$11="IL",$E14="AMEREN"),"NA",TEXT((SUMPRODUCT(((LMPMain!$H$9:$H$1000)=$E14)*((LMPMain!$J$9:$J$1000)=$F14)*((LMPMain!$O$9:$O$1000)=$C14)*(LMPMain!S$9:S$1000))+(SUMPRODUCT(((Adders!$D$13:$D$101)=$E14)*((Adders!$E$13:$E$101)=$F14)*(Adders!H$13:H$101))+VLOOKUP($H14,Adders!$B$5:$G$8,M$11,FALSE)+Matrix!$D$2)*IF($D14="NJ",1.07,1))/$L$10,CHOOSE($M$10,$L$9,$M$9)))</f>
        <v xml:space="preserve"> 36.25 </v>
      </c>
      <c r="N14" s="179" t="str">
        <f>IF(AND($D$11="IL",$E14="AMEREN"),"NA",TEXT((SUMPRODUCT(((LMPMain!$H$9:$H$1000)=$E14)*((LMPMain!$J$9:$J$1000)=$F14)*((LMPMain!$O$9:$O$1000)=$C14)*(LMPMain!T$9:T$1000))+(SUMPRODUCT(((Adders!$D$13:$D$101)=$E14)*((Adders!$E$13:$E$101)=$F14)*(Adders!G$13:G$101))+VLOOKUP($H14,Adders!$B$5:$G$8,N$11,FALSE)+Matrix!$D$2)*IF($D14="NJ",1.07,1))/$L$10,CHOOSE($M$10,$L$9,$M$9)))</f>
        <v xml:space="preserve"> 35.16 </v>
      </c>
      <c r="O14" s="112"/>
    </row>
    <row r="15" spans="2:15" x14ac:dyDescent="0.25">
      <c r="B15" s="160" t="s">
        <v>664</v>
      </c>
      <c r="C15" s="131">
        <f>+C14</f>
        <v>42156</v>
      </c>
      <c r="D15" s="132" t="s">
        <v>6</v>
      </c>
      <c r="E15" s="133" t="s">
        <v>48</v>
      </c>
      <c r="F15" s="132" t="s">
        <v>7</v>
      </c>
      <c r="G15" s="133" t="str">
        <f>G14</f>
        <v>General Service</v>
      </c>
      <c r="H15" s="134" t="s">
        <v>62</v>
      </c>
      <c r="I15" s="173" t="str">
        <f>TEXT(   (SUMPRODUCT( ((Main!$H$9:$H$1000)=$E15)*((Main!$J$9:$J$1000)=$F15)*((Main!$O$9:$O$1000)=$C15)*(Main!R$9:R$1000) ) +  ( SUMPRODUCT( ((Adders!$D$13:$D$101)=$E15)*((Adders!$E$13:$E$101)=$F15)*(Adders!G$13:G$101)) + VLOOKUP($H15,Adders!$B$5:$G$8,L$11,FALSE)  +  PA!$D$2 ) * IF($D15="NJ",1.07,1))/$L$10, CHOOSE($M$10,$L$9,$M$9) )</f>
        <v xml:space="preserve"> 75.26 </v>
      </c>
      <c r="J15" s="173" t="str">
        <f>TEXT(   (SUMPRODUCT( ((Main!$H$9:$H$1000)=$E15)*((Main!$J$9:$J$1000)=$F15)*((Main!$O$9:$O$1000)=$C15)*(Main!S$9:S$1000) ) +  ( SUMPRODUCT( ((Adders!$D$13:$D$101)=$E15)*((Adders!$E$13:$E$101)=$F15)*(Adders!H$13:H$101)) + VLOOKUP($H15,Adders!$B$5:$G$8,M$11,FALSE)  +  PA!$D$2 ) * IF($D15="NJ",1.07,1))/$L$10, CHOOSE($M$10,$L$9,$M$9) )</f>
        <v xml:space="preserve"> 72.23 </v>
      </c>
      <c r="K15" s="174" t="str">
        <f>TEXT(   (SUMPRODUCT( ((Main!$H$9:$H$1000)=$E15)*((Main!$J$9:$J$1000)=$F15)*((Main!$O$9:$O$1000)=$C15)*(Main!T$9:T$1000) ) +  ( SUMPRODUCT( ((Adders!$D$13:$D$101)=$E15)*((Adders!$E$13:$E$101)=$F15)*(Adders!I$13:I$101)) + VLOOKUP($H15,Adders!$B$5:$G$8,N$11,FALSE)  +  PA!$D$2 ) * IF($D15="NJ",1.07,1))/$L$10, CHOOSE($M$10,$L$9,$M$9) )</f>
        <v xml:space="preserve"> 71.89 </v>
      </c>
      <c r="L15" s="173" t="str">
        <f>IF(AND($D$11="IL",$E15="AMEREN"),"NA",TEXT((SUMPRODUCT(((LMPMain!$H$9:$H$1000)=$E15)*((LMPMain!$J$9:$J$1000)=$F15)*((LMPMain!$O$9:$O$1000)=$C15)*(LMPMain!R$9:R$1000))+(SUMPRODUCT(((Adders!$D$13:$D$101)=$E15)*((Adders!$E$13:$E$101)=$F15)*(Adders!G$13:G$101))+VLOOKUP($H15,Adders!$B$5:$G$8,L$11,FALSE)+Matrix!$D$2)*IF($D15="NJ",1.07,1))/$L$10,CHOOSE($M$10,$L$9,$M$9)))</f>
        <v xml:space="preserve"> 37.36 </v>
      </c>
      <c r="M15" s="173" t="str">
        <f>IF(AND($D$11="IL",$E15="AMEREN"),"NA",TEXT((SUMPRODUCT(((LMPMain!$H$9:$H$1000)=$E15)*((LMPMain!$J$9:$J$1000)=$F15)*((LMPMain!$O$9:$O$1000)=$C15)*(LMPMain!S$9:S$1000))+(SUMPRODUCT(((Adders!$D$13:$D$101)=$E15)*((Adders!$E$13:$E$101)=$F15)*(Adders!H$13:H$101))+VLOOKUP($H15,Adders!$B$5:$G$8,M$11,FALSE)+Matrix!$D$2)*IF($D15="NJ",1.07,1))/$L$10,CHOOSE($M$10,$L$9,$M$9)))</f>
        <v xml:space="preserve"> 34.65 </v>
      </c>
      <c r="N15" s="174" t="str">
        <f>IF(AND($D$11="IL",$E15="AMEREN"),"NA",TEXT((SUMPRODUCT(((LMPMain!$H$9:$H$1000)=$E15)*((LMPMain!$J$9:$J$1000)=$F15)*((LMPMain!$O$9:$O$1000)=$C15)*(LMPMain!T$9:T$1000))+(SUMPRODUCT(((Adders!$D$13:$D$101)=$E15)*((Adders!$E$13:$E$101)=$F15)*(Adders!G$13:G$101))+VLOOKUP($H15,Adders!$B$5:$G$8,N$11,FALSE)+Matrix!$D$2)*IF($D15="NJ",1.07,1))/$L$10,CHOOSE($M$10,$L$9,$M$9)))</f>
        <v xml:space="preserve"> 33.56 </v>
      </c>
      <c r="O15" s="112"/>
    </row>
    <row r="16" spans="2:15" x14ac:dyDescent="0.25">
      <c r="B16" s="160" t="s">
        <v>664</v>
      </c>
      <c r="C16" s="135">
        <f>+C15</f>
        <v>42156</v>
      </c>
      <c r="D16" s="136" t="s">
        <v>6</v>
      </c>
      <c r="E16" s="137" t="s">
        <v>48</v>
      </c>
      <c r="F16" s="136" t="s">
        <v>7</v>
      </c>
      <c r="G16" s="137" t="str">
        <f>G15</f>
        <v>General Service</v>
      </c>
      <c r="H16" s="138" t="s">
        <v>690</v>
      </c>
      <c r="I16" s="176" t="str">
        <f>TEXT(   (SUMPRODUCT( ((Main!$H$9:$H$1000)=$E16)*((Main!$J$9:$J$1000)=$F16)*((Main!$O$9:$O$1000)=$C16)*(Main!R$9:R$1000) ) +  ( SUMPRODUCT( ((Adders!$D$13:$D$101)=$E16)*((Adders!$E$13:$E$101)=$F16)*(Adders!G$13:G$101)) + VLOOKUP($H16,Adders!$B$5:$G$8,L$11,FALSE)  +  PA!$D$2 ) * IF($D16="NJ",1.07,1))/$L$10, CHOOSE($M$10,$L$9,$M$9) )</f>
        <v xml:space="preserve"> 74.21 </v>
      </c>
      <c r="J16" s="176" t="str">
        <f>TEXT(   (SUMPRODUCT( ((Main!$H$9:$H$1000)=$E16)*((Main!$J$9:$J$1000)=$F16)*((Main!$O$9:$O$1000)=$C16)*(Main!S$9:S$1000) ) +  ( SUMPRODUCT( ((Adders!$D$13:$D$101)=$E16)*((Adders!$E$13:$E$101)=$F16)*(Adders!H$13:H$101)) + VLOOKUP($H16,Adders!$B$5:$G$8,M$11,FALSE)  +  PA!$D$2 ) * IF($D16="NJ",1.07,1))/$L$10, CHOOSE($M$10,$L$9,$M$9) )</f>
        <v xml:space="preserve"> 71.18 </v>
      </c>
      <c r="K16" s="177" t="str">
        <f>TEXT(   (SUMPRODUCT( ((Main!$H$9:$H$1000)=$E16)*((Main!$J$9:$J$1000)=$F16)*((Main!$O$9:$O$1000)=$C16)*(Main!T$9:T$1000) ) +  ( SUMPRODUCT( ((Adders!$D$13:$D$101)=$E16)*((Adders!$E$13:$E$101)=$F16)*(Adders!I$13:I$101)) + VLOOKUP($H16,Adders!$B$5:$G$8,N$11,FALSE)  +  PA!$D$2 ) * IF($D16="NJ",1.07,1))/$L$10, CHOOSE($M$10,$L$9,$M$9) )</f>
        <v xml:space="preserve"> 70.84 </v>
      </c>
      <c r="L16" s="176" t="str">
        <f>IF(AND($D$11="IL",$E16="AMEREN"),"NA",TEXT((SUMPRODUCT(((LMPMain!$H$9:$H$1000)=$E16)*((LMPMain!$J$9:$J$1000)=$F16)*((LMPMain!$O$9:$O$1000)=$C16)*(LMPMain!R$9:R$1000))+(SUMPRODUCT(((Adders!$D$13:$D$101)=$E16)*((Adders!$E$13:$E$101)=$F16)*(Adders!G$13:G$101))+VLOOKUP($H16,Adders!$B$5:$G$8,L$11,FALSE)+Matrix!$D$2)*IF($D16="NJ",1.07,1))/$L$10,CHOOSE($M$10,$L$9,$M$9)))</f>
        <v xml:space="preserve"> 36.31 </v>
      </c>
      <c r="M16" s="176" t="str">
        <f>IF(AND($D$11="IL",$E16="AMEREN"),"NA",TEXT((SUMPRODUCT(((LMPMain!$H$9:$H$1000)=$E16)*((LMPMain!$J$9:$J$1000)=$F16)*((LMPMain!$O$9:$O$1000)=$C16)*(LMPMain!S$9:S$1000))+(SUMPRODUCT(((Adders!$D$13:$D$101)=$E16)*((Adders!$E$13:$E$101)=$F16)*(Adders!H$13:H$101))+VLOOKUP($H16,Adders!$B$5:$G$8,M$11,FALSE)+Matrix!$D$2)*IF($D16="NJ",1.07,1))/$L$10,CHOOSE($M$10,$L$9,$M$9)))</f>
        <v xml:space="preserve"> 33.60 </v>
      </c>
      <c r="N16" s="177" t="str">
        <f>IF(AND($D$11="IL",$E16="AMEREN"),"NA",TEXT((SUMPRODUCT(((LMPMain!$H$9:$H$1000)=$E16)*((LMPMain!$J$9:$J$1000)=$F16)*((LMPMain!$O$9:$O$1000)=$C16)*(LMPMain!T$9:T$1000))+(SUMPRODUCT(((Adders!$D$13:$D$101)=$E16)*((Adders!$E$13:$E$101)=$F16)*(Adders!G$13:G$101))+VLOOKUP($H16,Adders!$B$5:$G$8,N$11,FALSE)+Matrix!$D$2)*IF($D16="NJ",1.07,1))/$L$10,CHOOSE($M$10,$L$9,$M$9)))</f>
        <v xml:space="preserve"> 32.51 </v>
      </c>
      <c r="O16" s="112"/>
    </row>
    <row r="17" spans="2:15" x14ac:dyDescent="0.25">
      <c r="B17" s="160" t="s">
        <v>664</v>
      </c>
      <c r="C17" s="127">
        <f>DATE(YEAR(C16),MONTH(C16)+1,0)+1</f>
        <v>42186</v>
      </c>
      <c r="D17" s="128" t="s">
        <v>6</v>
      </c>
      <c r="E17" s="129" t="s">
        <v>48</v>
      </c>
      <c r="F17" s="128" t="s">
        <v>7</v>
      </c>
      <c r="G17" s="129" t="str">
        <f t="shared" ref="G17:G49" si="0">G16</f>
        <v>General Service</v>
      </c>
      <c r="H17" s="130" t="s">
        <v>61</v>
      </c>
      <c r="I17" s="178" t="str">
        <f>TEXT(   (SUMPRODUCT( ((Main!$H$9:$H$1000)=$E17)*((Main!$J$9:$J$1000)=$F17)*((Main!$O$9:$O$1000)=$C17)*(Main!R$9:R$1000) ) +  ( SUMPRODUCT( ((Adders!$D$13:$D$101)=$E17)*((Adders!$E$13:$E$101)=$F17)*(Adders!G$13:G$101)) + VLOOKUP($H17,Adders!$B$5:$G$8,L$11,FALSE)  +  PA!$D$2 ) * IF($D17="NJ",1.07,1))/$L$10, CHOOSE($M$10,$L$9,$M$9) )</f>
        <v xml:space="preserve"> 76.39 </v>
      </c>
      <c r="J17" s="178" t="str">
        <f>TEXT(   (SUMPRODUCT( ((Main!$H$9:$H$1000)=$E17)*((Main!$J$9:$J$1000)=$F17)*((Main!$O$9:$O$1000)=$C17)*(Main!S$9:S$1000) ) +  ( SUMPRODUCT( ((Adders!$D$13:$D$101)=$E17)*((Adders!$E$13:$E$101)=$F17)*(Adders!H$13:H$101)) + VLOOKUP($H17,Adders!$B$5:$G$8,M$11,FALSE)  +  PA!$D$2 ) * IF($D17="NJ",1.07,1))/$L$10, CHOOSE($M$10,$L$9,$M$9) )</f>
        <v xml:space="preserve"> 73.35 </v>
      </c>
      <c r="K17" s="179" t="str">
        <f>TEXT(   (SUMPRODUCT( ((Main!$H$9:$H$1000)=$E17)*((Main!$J$9:$J$1000)=$F17)*((Main!$O$9:$O$1000)=$C17)*(Main!T$9:T$1000) ) +  ( SUMPRODUCT( ((Adders!$D$13:$D$101)=$E17)*((Adders!$E$13:$E$101)=$F17)*(Adders!I$13:I$101)) + VLOOKUP($H17,Adders!$B$5:$G$8,N$11,FALSE)  +  PA!$D$2 ) * IF($D17="NJ",1.07,1))/$L$10, CHOOSE($M$10,$L$9,$M$9) )</f>
        <v xml:space="preserve"> 73.55 </v>
      </c>
      <c r="L17" s="178" t="str">
        <f>IF(AND($D$11="IL",$E17="AMEREN"),"NA",TEXT((SUMPRODUCT(((LMPMain!$H$9:$H$1000)=$E17)*((LMPMain!$J$9:$J$1000)=$F17)*((LMPMain!$O$9:$O$1000)=$C17)*(LMPMain!R$9:R$1000))+(SUMPRODUCT(((Adders!$D$13:$D$101)=$E17)*((Adders!$E$13:$E$101)=$F17)*(Adders!G$13:G$101))+VLOOKUP($H17,Adders!$B$5:$G$8,L$11,FALSE)+Matrix!$D$2)*IF($D17="NJ",1.07,1))/$L$10,CHOOSE($M$10,$L$9,$M$9)))</f>
        <v xml:space="preserve"> 38.35 </v>
      </c>
      <c r="M17" s="178" t="str">
        <f>IF(AND($D$11="IL",$E17="AMEREN"),"NA",TEXT((SUMPRODUCT(((LMPMain!$H$9:$H$1000)=$E17)*((LMPMain!$J$9:$J$1000)=$F17)*((LMPMain!$O$9:$O$1000)=$C17)*(LMPMain!S$9:S$1000))+(SUMPRODUCT(((Adders!$D$13:$D$101)=$E17)*((Adders!$E$13:$E$101)=$F17)*(Adders!H$13:H$101))+VLOOKUP($H17,Adders!$B$5:$G$8,M$11,FALSE)+Matrix!$D$2)*IF($D17="NJ",1.07,1))/$L$10,CHOOSE($M$10,$L$9,$M$9)))</f>
        <v xml:space="preserve"> 35.81 </v>
      </c>
      <c r="N17" s="179" t="str">
        <f>IF(AND($D$11="IL",$E17="AMEREN"),"NA",TEXT((SUMPRODUCT(((LMPMain!$H$9:$H$1000)=$E17)*((LMPMain!$J$9:$J$1000)=$F17)*((LMPMain!$O$9:$O$1000)=$C17)*(LMPMain!T$9:T$1000))+(SUMPRODUCT(((Adders!$D$13:$D$101)=$E17)*((Adders!$E$13:$E$101)=$F17)*(Adders!G$13:G$101))+VLOOKUP($H17,Adders!$B$5:$G$8,N$11,FALSE)+Matrix!$D$2)*IF($D17="NJ",1.07,1))/$L$10,CHOOSE($M$10,$L$9,$M$9)))</f>
        <v xml:space="preserve"> 35.14 </v>
      </c>
      <c r="O17" s="112"/>
    </row>
    <row r="18" spans="2:15" x14ac:dyDescent="0.25">
      <c r="B18" s="160" t="s">
        <v>664</v>
      </c>
      <c r="C18" s="131">
        <f>+C17</f>
        <v>42186</v>
      </c>
      <c r="D18" s="132" t="s">
        <v>6</v>
      </c>
      <c r="E18" s="133" t="s">
        <v>48</v>
      </c>
      <c r="F18" s="132" t="s">
        <v>7</v>
      </c>
      <c r="G18" s="133" t="str">
        <f t="shared" si="0"/>
        <v>General Service</v>
      </c>
      <c r="H18" s="134" t="s">
        <v>62</v>
      </c>
      <c r="I18" s="173" t="str">
        <f>TEXT(   (SUMPRODUCT( ((Main!$H$9:$H$1000)=$E18)*((Main!$J$9:$J$1000)=$F18)*((Main!$O$9:$O$1000)=$C18)*(Main!R$9:R$1000) ) +  ( SUMPRODUCT( ((Adders!$D$13:$D$101)=$E18)*((Adders!$E$13:$E$101)=$F18)*(Adders!G$13:G$101)) + VLOOKUP($H18,Adders!$B$5:$G$8,L$11,FALSE)  +  PA!$D$2 ) * IF($D18="NJ",1.07,1))/$L$10, CHOOSE($M$10,$L$9,$M$9) )</f>
        <v xml:space="preserve"> 74.79 </v>
      </c>
      <c r="J18" s="173" t="str">
        <f>TEXT(   (SUMPRODUCT( ((Main!$H$9:$H$1000)=$E18)*((Main!$J$9:$J$1000)=$F18)*((Main!$O$9:$O$1000)=$C18)*(Main!S$9:S$1000) ) +  ( SUMPRODUCT( ((Adders!$D$13:$D$101)=$E18)*((Adders!$E$13:$E$101)=$F18)*(Adders!H$13:H$101)) + VLOOKUP($H18,Adders!$B$5:$G$8,M$11,FALSE)  +  PA!$D$2 ) * IF($D18="NJ",1.07,1))/$L$10, CHOOSE($M$10,$L$9,$M$9) )</f>
        <v xml:space="preserve"> 71.75 </v>
      </c>
      <c r="K18" s="174" t="str">
        <f>TEXT(   (SUMPRODUCT( ((Main!$H$9:$H$1000)=$E18)*((Main!$J$9:$J$1000)=$F18)*((Main!$O$9:$O$1000)=$C18)*(Main!T$9:T$1000) ) +  ( SUMPRODUCT( ((Adders!$D$13:$D$101)=$E18)*((Adders!$E$13:$E$101)=$F18)*(Adders!I$13:I$101)) + VLOOKUP($H18,Adders!$B$5:$G$8,N$11,FALSE)  +  PA!$D$2 ) * IF($D18="NJ",1.07,1))/$L$10, CHOOSE($M$10,$L$9,$M$9) )</f>
        <v xml:space="preserve"> 71.95 </v>
      </c>
      <c r="L18" s="173" t="str">
        <f>IF(AND($D$11="IL",$E18="AMEREN"),"NA",TEXT((SUMPRODUCT(((LMPMain!$H$9:$H$1000)=$E18)*((LMPMain!$J$9:$J$1000)=$F18)*((LMPMain!$O$9:$O$1000)=$C18)*(LMPMain!R$9:R$1000))+(SUMPRODUCT(((Adders!$D$13:$D$101)=$E18)*((Adders!$E$13:$E$101)=$F18)*(Adders!G$13:G$101))+VLOOKUP($H18,Adders!$B$5:$G$8,L$11,FALSE)+Matrix!$D$2)*IF($D18="NJ",1.07,1))/$L$10,CHOOSE($M$10,$L$9,$M$9)))</f>
        <v xml:space="preserve"> 36.75 </v>
      </c>
      <c r="M18" s="173" t="str">
        <f>IF(AND($D$11="IL",$E18="AMEREN"),"NA",TEXT((SUMPRODUCT(((LMPMain!$H$9:$H$1000)=$E18)*((LMPMain!$J$9:$J$1000)=$F18)*((LMPMain!$O$9:$O$1000)=$C18)*(LMPMain!S$9:S$1000))+(SUMPRODUCT(((Adders!$D$13:$D$101)=$E18)*((Adders!$E$13:$E$101)=$F18)*(Adders!H$13:H$101))+VLOOKUP($H18,Adders!$B$5:$G$8,M$11,FALSE)+Matrix!$D$2)*IF($D18="NJ",1.07,1))/$L$10,CHOOSE($M$10,$L$9,$M$9)))</f>
        <v xml:space="preserve"> 34.21 </v>
      </c>
      <c r="N18" s="174" t="str">
        <f>IF(AND($D$11="IL",$E18="AMEREN"),"NA",TEXT((SUMPRODUCT(((LMPMain!$H$9:$H$1000)=$E18)*((LMPMain!$J$9:$J$1000)=$F18)*((LMPMain!$O$9:$O$1000)=$C18)*(LMPMain!T$9:T$1000))+(SUMPRODUCT(((Adders!$D$13:$D$101)=$E18)*((Adders!$E$13:$E$101)=$F18)*(Adders!G$13:G$101))+VLOOKUP($H18,Adders!$B$5:$G$8,N$11,FALSE)+Matrix!$D$2)*IF($D18="NJ",1.07,1))/$L$10,CHOOSE($M$10,$L$9,$M$9)))</f>
        <v xml:space="preserve"> 33.54 </v>
      </c>
      <c r="O18" s="112"/>
    </row>
    <row r="19" spans="2:15" x14ac:dyDescent="0.25">
      <c r="B19" s="160" t="s">
        <v>664</v>
      </c>
      <c r="C19" s="135">
        <f>+C18</f>
        <v>42186</v>
      </c>
      <c r="D19" s="136" t="s">
        <v>6</v>
      </c>
      <c r="E19" s="137" t="s">
        <v>48</v>
      </c>
      <c r="F19" s="136" t="s">
        <v>7</v>
      </c>
      <c r="G19" s="137" t="str">
        <f t="shared" si="0"/>
        <v>General Service</v>
      </c>
      <c r="H19" s="138" t="s">
        <v>690</v>
      </c>
      <c r="I19" s="176" t="str">
        <f>TEXT(   (SUMPRODUCT( ((Main!$H$9:$H$1000)=$E19)*((Main!$J$9:$J$1000)=$F19)*((Main!$O$9:$O$1000)=$C19)*(Main!R$9:R$1000) ) +  ( SUMPRODUCT( ((Adders!$D$13:$D$101)=$E19)*((Adders!$E$13:$E$101)=$F19)*(Adders!G$13:G$101)) + VLOOKUP($H19,Adders!$B$5:$G$8,L$11,FALSE)  +  PA!$D$2 ) * IF($D19="NJ",1.07,1))/$L$10, CHOOSE($M$10,$L$9,$M$9) )</f>
        <v xml:space="preserve"> 73.74 </v>
      </c>
      <c r="J19" s="176" t="str">
        <f>TEXT(   (SUMPRODUCT( ((Main!$H$9:$H$1000)=$E19)*((Main!$J$9:$J$1000)=$F19)*((Main!$O$9:$O$1000)=$C19)*(Main!S$9:S$1000) ) +  ( SUMPRODUCT( ((Adders!$D$13:$D$101)=$E19)*((Adders!$E$13:$E$101)=$F19)*(Adders!H$13:H$101)) + VLOOKUP($H19,Adders!$B$5:$G$8,M$11,FALSE)  +  PA!$D$2 ) * IF($D19="NJ",1.07,1))/$L$10, CHOOSE($M$10,$L$9,$M$9) )</f>
        <v xml:space="preserve"> 70.70 </v>
      </c>
      <c r="K19" s="177" t="str">
        <f>TEXT(   (SUMPRODUCT( ((Main!$H$9:$H$1000)=$E19)*((Main!$J$9:$J$1000)=$F19)*((Main!$O$9:$O$1000)=$C19)*(Main!T$9:T$1000) ) +  ( SUMPRODUCT( ((Adders!$D$13:$D$101)=$E19)*((Adders!$E$13:$E$101)=$F19)*(Adders!I$13:I$101)) + VLOOKUP($H19,Adders!$B$5:$G$8,N$11,FALSE)  +  PA!$D$2 ) * IF($D19="NJ",1.07,1))/$L$10, CHOOSE($M$10,$L$9,$M$9) )</f>
        <v xml:space="preserve"> 70.90 </v>
      </c>
      <c r="L19" s="176" t="str">
        <f>IF(AND($D$11="IL",$E19="AMEREN"),"NA",TEXT((SUMPRODUCT(((LMPMain!$H$9:$H$1000)=$E19)*((LMPMain!$J$9:$J$1000)=$F19)*((LMPMain!$O$9:$O$1000)=$C19)*(LMPMain!R$9:R$1000))+(SUMPRODUCT(((Adders!$D$13:$D$101)=$E19)*((Adders!$E$13:$E$101)=$F19)*(Adders!G$13:G$101))+VLOOKUP($H19,Adders!$B$5:$G$8,L$11,FALSE)+Matrix!$D$2)*IF($D19="NJ",1.07,1))/$L$10,CHOOSE($M$10,$L$9,$M$9)))</f>
        <v xml:space="preserve"> 35.70 </v>
      </c>
      <c r="M19" s="176" t="str">
        <f>IF(AND($D$11="IL",$E19="AMEREN"),"NA",TEXT((SUMPRODUCT(((LMPMain!$H$9:$H$1000)=$E19)*((LMPMain!$J$9:$J$1000)=$F19)*((LMPMain!$O$9:$O$1000)=$C19)*(LMPMain!S$9:S$1000))+(SUMPRODUCT(((Adders!$D$13:$D$101)=$E19)*((Adders!$E$13:$E$101)=$F19)*(Adders!H$13:H$101))+VLOOKUP($H19,Adders!$B$5:$G$8,M$11,FALSE)+Matrix!$D$2)*IF($D19="NJ",1.07,1))/$L$10,CHOOSE($M$10,$L$9,$M$9)))</f>
        <v xml:space="preserve"> 33.16 </v>
      </c>
      <c r="N19" s="177" t="str">
        <f>IF(AND($D$11="IL",$E19="AMEREN"),"NA",TEXT((SUMPRODUCT(((LMPMain!$H$9:$H$1000)=$E19)*((LMPMain!$J$9:$J$1000)=$F19)*((LMPMain!$O$9:$O$1000)=$C19)*(LMPMain!T$9:T$1000))+(SUMPRODUCT(((Adders!$D$13:$D$101)=$E19)*((Adders!$E$13:$E$101)=$F19)*(Adders!G$13:G$101))+VLOOKUP($H19,Adders!$B$5:$G$8,N$11,FALSE)+Matrix!$D$2)*IF($D19="NJ",1.07,1))/$L$10,CHOOSE($M$10,$L$9,$M$9)))</f>
        <v xml:space="preserve"> 32.49 </v>
      </c>
      <c r="O19" s="112"/>
    </row>
    <row r="20" spans="2:15" x14ac:dyDescent="0.25">
      <c r="B20" s="160" t="s">
        <v>664</v>
      </c>
      <c r="C20" s="127">
        <f>DATE(YEAR(C19),MONTH(C19)+1,0)+1</f>
        <v>42217</v>
      </c>
      <c r="D20" s="128" t="s">
        <v>6</v>
      </c>
      <c r="E20" s="129" t="s">
        <v>48</v>
      </c>
      <c r="F20" s="128" t="s">
        <v>7</v>
      </c>
      <c r="G20" s="129" t="str">
        <f t="shared" si="0"/>
        <v>General Service</v>
      </c>
      <c r="H20" s="130" t="s">
        <v>61</v>
      </c>
      <c r="I20" s="178" t="str">
        <f>TEXT(   (SUMPRODUCT( ((Main!$H$9:$H$1000)=$E20)*((Main!$J$9:$J$1000)=$F20)*((Main!$O$9:$O$1000)=$C20)*(Main!R$9:R$1000) ) +  ( SUMPRODUCT( ((Adders!$D$13:$D$101)=$E20)*((Adders!$E$13:$E$101)=$F20)*(Adders!G$13:G$101)) + VLOOKUP($H20,Adders!$B$5:$G$8,L$11,FALSE)  +  PA!$D$2 ) * IF($D20="NJ",1.07,1))/$L$10, CHOOSE($M$10,$L$9,$M$9) )</f>
        <v xml:space="preserve"> 75.77 </v>
      </c>
      <c r="J20" s="178" t="str">
        <f>TEXT(   (SUMPRODUCT( ((Main!$H$9:$H$1000)=$E20)*((Main!$J$9:$J$1000)=$F20)*((Main!$O$9:$O$1000)=$C20)*(Main!S$9:S$1000) ) +  ( SUMPRODUCT( ((Adders!$D$13:$D$101)=$E20)*((Adders!$E$13:$E$101)=$F20)*(Adders!H$13:H$101)) + VLOOKUP($H20,Adders!$B$5:$G$8,M$11,FALSE)  +  PA!$D$2 ) * IF($D20="NJ",1.07,1))/$L$10, CHOOSE($M$10,$L$9,$M$9) )</f>
        <v xml:space="preserve"> 73.43 </v>
      </c>
      <c r="K20" s="179" t="str">
        <f>TEXT(   (SUMPRODUCT( ((Main!$H$9:$H$1000)=$E20)*((Main!$J$9:$J$1000)=$F20)*((Main!$O$9:$O$1000)=$C20)*(Main!T$9:T$1000) ) +  ( SUMPRODUCT( ((Adders!$D$13:$D$101)=$E20)*((Adders!$E$13:$E$101)=$F20)*(Adders!I$13:I$101)) + VLOOKUP($H20,Adders!$B$5:$G$8,N$11,FALSE)  +  PA!$D$2 ) * IF($D20="NJ",1.07,1))/$L$10, CHOOSE($M$10,$L$9,$M$9) )</f>
        <v xml:space="preserve"> 73.65 </v>
      </c>
      <c r="L20" s="178" t="str">
        <f>IF(AND($D$11="IL",$E20="AMEREN"),"NA",TEXT((SUMPRODUCT(((LMPMain!$H$9:$H$1000)=$E20)*((LMPMain!$J$9:$J$1000)=$F20)*((LMPMain!$O$9:$O$1000)=$C20)*(LMPMain!R$9:R$1000))+(SUMPRODUCT(((Adders!$D$13:$D$101)=$E20)*((Adders!$E$13:$E$101)=$F20)*(Adders!G$13:G$101))+VLOOKUP($H20,Adders!$B$5:$G$8,L$11,FALSE)+Matrix!$D$2)*IF($D20="NJ",1.07,1))/$L$10,CHOOSE($M$10,$L$9,$M$9)))</f>
        <v xml:space="preserve"> 37.72 </v>
      </c>
      <c r="M20" s="178" t="str">
        <f>IF(AND($D$11="IL",$E20="AMEREN"),"NA",TEXT((SUMPRODUCT(((LMPMain!$H$9:$H$1000)=$E20)*((LMPMain!$J$9:$J$1000)=$F20)*((LMPMain!$O$9:$O$1000)=$C20)*(LMPMain!S$9:S$1000))+(SUMPRODUCT(((Adders!$D$13:$D$101)=$E20)*((Adders!$E$13:$E$101)=$F20)*(Adders!H$13:H$101))+VLOOKUP($H20,Adders!$B$5:$G$8,M$11,FALSE)+Matrix!$D$2)*IF($D20="NJ",1.07,1))/$L$10,CHOOSE($M$10,$L$9,$M$9)))</f>
        <v xml:space="preserve"> 35.51 </v>
      </c>
      <c r="N20" s="179" t="str">
        <f>IF(AND($D$11="IL",$E20="AMEREN"),"NA",TEXT((SUMPRODUCT(((LMPMain!$H$9:$H$1000)=$E20)*((LMPMain!$J$9:$J$1000)=$F20)*((LMPMain!$O$9:$O$1000)=$C20)*(LMPMain!T$9:T$1000))+(SUMPRODUCT(((Adders!$D$13:$D$101)=$E20)*((Adders!$E$13:$E$101)=$F20)*(Adders!G$13:G$101))+VLOOKUP($H20,Adders!$B$5:$G$8,N$11,FALSE)+Matrix!$D$2)*IF($D20="NJ",1.07,1))/$L$10,CHOOSE($M$10,$L$9,$M$9)))</f>
        <v xml:space="preserve"> 35.13 </v>
      </c>
      <c r="O20" s="112"/>
    </row>
    <row r="21" spans="2:15" x14ac:dyDescent="0.25">
      <c r="B21" s="160" t="s">
        <v>664</v>
      </c>
      <c r="C21" s="131">
        <f>+C20</f>
        <v>42217</v>
      </c>
      <c r="D21" s="132" t="s">
        <v>6</v>
      </c>
      <c r="E21" s="133" t="s">
        <v>48</v>
      </c>
      <c r="F21" s="132" t="s">
        <v>7</v>
      </c>
      <c r="G21" s="133" t="str">
        <f t="shared" si="0"/>
        <v>General Service</v>
      </c>
      <c r="H21" s="134" t="s">
        <v>62</v>
      </c>
      <c r="I21" s="173" t="str">
        <f>TEXT(   (SUMPRODUCT( ((Main!$H$9:$H$1000)=$E21)*((Main!$J$9:$J$1000)=$F21)*((Main!$O$9:$O$1000)=$C21)*(Main!R$9:R$1000) ) +  ( SUMPRODUCT( ((Adders!$D$13:$D$101)=$E21)*((Adders!$E$13:$E$101)=$F21)*(Adders!G$13:G$101)) + VLOOKUP($H21,Adders!$B$5:$G$8,L$11,FALSE)  +  PA!$D$2 ) * IF($D21="NJ",1.07,1))/$L$10, CHOOSE($M$10,$L$9,$M$9) )</f>
        <v xml:space="preserve"> 74.17 </v>
      </c>
      <c r="J21" s="173" t="str">
        <f>TEXT(   (SUMPRODUCT( ((Main!$H$9:$H$1000)=$E21)*((Main!$J$9:$J$1000)=$F21)*((Main!$O$9:$O$1000)=$C21)*(Main!S$9:S$1000) ) +  ( SUMPRODUCT( ((Adders!$D$13:$D$101)=$E21)*((Adders!$E$13:$E$101)=$F21)*(Adders!H$13:H$101)) + VLOOKUP($H21,Adders!$B$5:$G$8,M$11,FALSE)  +  PA!$D$2 ) * IF($D21="NJ",1.07,1))/$L$10, CHOOSE($M$10,$L$9,$M$9) )</f>
        <v xml:space="preserve"> 71.83 </v>
      </c>
      <c r="K21" s="174" t="str">
        <f>TEXT(   (SUMPRODUCT( ((Main!$H$9:$H$1000)=$E21)*((Main!$J$9:$J$1000)=$F21)*((Main!$O$9:$O$1000)=$C21)*(Main!T$9:T$1000) ) +  ( SUMPRODUCT( ((Adders!$D$13:$D$101)=$E21)*((Adders!$E$13:$E$101)=$F21)*(Adders!I$13:I$101)) + VLOOKUP($H21,Adders!$B$5:$G$8,N$11,FALSE)  +  PA!$D$2 ) * IF($D21="NJ",1.07,1))/$L$10, CHOOSE($M$10,$L$9,$M$9) )</f>
        <v xml:space="preserve"> 72.05 </v>
      </c>
      <c r="L21" s="173" t="str">
        <f>IF(AND($D$11="IL",$E21="AMEREN"),"NA",TEXT((SUMPRODUCT(((LMPMain!$H$9:$H$1000)=$E21)*((LMPMain!$J$9:$J$1000)=$F21)*((LMPMain!$O$9:$O$1000)=$C21)*(LMPMain!R$9:R$1000))+(SUMPRODUCT(((Adders!$D$13:$D$101)=$E21)*((Adders!$E$13:$E$101)=$F21)*(Adders!G$13:G$101))+VLOOKUP($H21,Adders!$B$5:$G$8,L$11,FALSE)+Matrix!$D$2)*IF($D21="NJ",1.07,1))/$L$10,CHOOSE($M$10,$L$9,$M$9)))</f>
        <v xml:space="preserve"> 36.12 </v>
      </c>
      <c r="M21" s="173" t="str">
        <f>IF(AND($D$11="IL",$E21="AMEREN"),"NA",TEXT((SUMPRODUCT(((LMPMain!$H$9:$H$1000)=$E21)*((LMPMain!$J$9:$J$1000)=$F21)*((LMPMain!$O$9:$O$1000)=$C21)*(LMPMain!S$9:S$1000))+(SUMPRODUCT(((Adders!$D$13:$D$101)=$E21)*((Adders!$E$13:$E$101)=$F21)*(Adders!H$13:H$101))+VLOOKUP($H21,Adders!$B$5:$G$8,M$11,FALSE)+Matrix!$D$2)*IF($D21="NJ",1.07,1))/$L$10,CHOOSE($M$10,$L$9,$M$9)))</f>
        <v xml:space="preserve"> 33.91 </v>
      </c>
      <c r="N21" s="174" t="str">
        <f>IF(AND($D$11="IL",$E21="AMEREN"),"NA",TEXT((SUMPRODUCT(((LMPMain!$H$9:$H$1000)=$E21)*((LMPMain!$J$9:$J$1000)=$F21)*((LMPMain!$O$9:$O$1000)=$C21)*(LMPMain!T$9:T$1000))+(SUMPRODUCT(((Adders!$D$13:$D$101)=$E21)*((Adders!$E$13:$E$101)=$F21)*(Adders!G$13:G$101))+VLOOKUP($H21,Adders!$B$5:$G$8,N$11,FALSE)+Matrix!$D$2)*IF($D21="NJ",1.07,1))/$L$10,CHOOSE($M$10,$L$9,$M$9)))</f>
        <v xml:space="preserve"> 33.53 </v>
      </c>
      <c r="O21" s="112"/>
    </row>
    <row r="22" spans="2:15" x14ac:dyDescent="0.25">
      <c r="B22" s="160" t="s">
        <v>664</v>
      </c>
      <c r="C22" s="135">
        <f>+C21</f>
        <v>42217</v>
      </c>
      <c r="D22" s="136" t="s">
        <v>6</v>
      </c>
      <c r="E22" s="137" t="s">
        <v>48</v>
      </c>
      <c r="F22" s="136" t="s">
        <v>7</v>
      </c>
      <c r="G22" s="137" t="str">
        <f t="shared" si="0"/>
        <v>General Service</v>
      </c>
      <c r="H22" s="138" t="s">
        <v>690</v>
      </c>
      <c r="I22" s="176" t="str">
        <f>TEXT(   (SUMPRODUCT( ((Main!$H$9:$H$1000)=$E22)*((Main!$J$9:$J$1000)=$F22)*((Main!$O$9:$O$1000)=$C22)*(Main!R$9:R$1000) ) +  ( SUMPRODUCT( ((Adders!$D$13:$D$101)=$E22)*((Adders!$E$13:$E$101)=$F22)*(Adders!G$13:G$101)) + VLOOKUP($H22,Adders!$B$5:$G$8,L$11,FALSE)  +  PA!$D$2 ) * IF($D22="NJ",1.07,1))/$L$10, CHOOSE($M$10,$L$9,$M$9) )</f>
        <v xml:space="preserve"> 73.12 </v>
      </c>
      <c r="J22" s="176" t="str">
        <f>TEXT(   (SUMPRODUCT( ((Main!$H$9:$H$1000)=$E22)*((Main!$J$9:$J$1000)=$F22)*((Main!$O$9:$O$1000)=$C22)*(Main!S$9:S$1000) ) +  ( SUMPRODUCT( ((Adders!$D$13:$D$101)=$E22)*((Adders!$E$13:$E$101)=$F22)*(Adders!H$13:H$101)) + VLOOKUP($H22,Adders!$B$5:$G$8,M$11,FALSE)  +  PA!$D$2 ) * IF($D22="NJ",1.07,1))/$L$10, CHOOSE($M$10,$L$9,$M$9) )</f>
        <v xml:space="preserve"> 70.78 </v>
      </c>
      <c r="K22" s="177" t="str">
        <f>TEXT(   (SUMPRODUCT( ((Main!$H$9:$H$1000)=$E22)*((Main!$J$9:$J$1000)=$F22)*((Main!$O$9:$O$1000)=$C22)*(Main!T$9:T$1000) ) +  ( SUMPRODUCT( ((Adders!$D$13:$D$101)=$E22)*((Adders!$E$13:$E$101)=$F22)*(Adders!I$13:I$101)) + VLOOKUP($H22,Adders!$B$5:$G$8,N$11,FALSE)  +  PA!$D$2 ) * IF($D22="NJ",1.07,1))/$L$10, CHOOSE($M$10,$L$9,$M$9) )</f>
        <v xml:space="preserve"> 71.00 </v>
      </c>
      <c r="L22" s="176" t="str">
        <f>IF(AND($D$11="IL",$E22="AMEREN"),"NA",TEXT((SUMPRODUCT(((LMPMain!$H$9:$H$1000)=$E22)*((LMPMain!$J$9:$J$1000)=$F22)*((LMPMain!$O$9:$O$1000)=$C22)*(LMPMain!R$9:R$1000))+(SUMPRODUCT(((Adders!$D$13:$D$101)=$E22)*((Adders!$E$13:$E$101)=$F22)*(Adders!G$13:G$101))+VLOOKUP($H22,Adders!$B$5:$G$8,L$11,FALSE)+Matrix!$D$2)*IF($D22="NJ",1.07,1))/$L$10,CHOOSE($M$10,$L$9,$M$9)))</f>
        <v xml:space="preserve"> 35.07 </v>
      </c>
      <c r="M22" s="176" t="str">
        <f>IF(AND($D$11="IL",$E22="AMEREN"),"NA",TEXT((SUMPRODUCT(((LMPMain!$H$9:$H$1000)=$E22)*((LMPMain!$J$9:$J$1000)=$F22)*((LMPMain!$O$9:$O$1000)=$C22)*(LMPMain!S$9:S$1000))+(SUMPRODUCT(((Adders!$D$13:$D$101)=$E22)*((Adders!$E$13:$E$101)=$F22)*(Adders!H$13:H$101))+VLOOKUP($H22,Adders!$B$5:$G$8,M$11,FALSE)+Matrix!$D$2)*IF($D22="NJ",1.07,1))/$L$10,CHOOSE($M$10,$L$9,$M$9)))</f>
        <v xml:space="preserve"> 32.86 </v>
      </c>
      <c r="N22" s="177" t="str">
        <f>IF(AND($D$11="IL",$E22="AMEREN"),"NA",TEXT((SUMPRODUCT(((LMPMain!$H$9:$H$1000)=$E22)*((LMPMain!$J$9:$J$1000)=$F22)*((LMPMain!$O$9:$O$1000)=$C22)*(LMPMain!T$9:T$1000))+(SUMPRODUCT(((Adders!$D$13:$D$101)=$E22)*((Adders!$E$13:$E$101)=$F22)*(Adders!G$13:G$101))+VLOOKUP($H22,Adders!$B$5:$G$8,N$11,FALSE)+Matrix!$D$2)*IF($D22="NJ",1.07,1))/$L$10,CHOOSE($M$10,$L$9,$M$9)))</f>
        <v xml:space="preserve"> 32.48 </v>
      </c>
      <c r="O22" s="112"/>
    </row>
    <row r="23" spans="2:15" x14ac:dyDescent="0.25">
      <c r="B23" s="160" t="s">
        <v>664</v>
      </c>
      <c r="C23" s="127">
        <f>DATE(YEAR(C22),MONTH(C22)+1,0)+1</f>
        <v>42248</v>
      </c>
      <c r="D23" s="128" t="s">
        <v>6</v>
      </c>
      <c r="E23" s="129" t="s">
        <v>48</v>
      </c>
      <c r="F23" s="128" t="s">
        <v>7</v>
      </c>
      <c r="G23" s="129" t="str">
        <f t="shared" si="0"/>
        <v>General Service</v>
      </c>
      <c r="H23" s="130" t="s">
        <v>61</v>
      </c>
      <c r="I23" s="178" t="str">
        <f>TEXT(   (SUMPRODUCT( ((Main!$H$9:$H$1000)=$E23)*((Main!$J$9:$J$1000)=$F23)*((Main!$O$9:$O$1000)=$C23)*(Main!R$9:R$1000) ) +  ( SUMPRODUCT( ((Adders!$D$13:$D$101)=$E23)*((Adders!$E$13:$E$101)=$F23)*(Adders!G$13:G$101)) + VLOOKUP($H23,Adders!$B$5:$G$8,L$11,FALSE)  +  PA!$D$2 ) * IF($D23="NJ",1.07,1))/$L$10, CHOOSE($M$10,$L$9,$M$9) )</f>
        <v xml:space="preserve"> 75.29 </v>
      </c>
      <c r="J23" s="178" t="str">
        <f>TEXT(   (SUMPRODUCT( ((Main!$H$9:$H$1000)=$E23)*((Main!$J$9:$J$1000)=$F23)*((Main!$O$9:$O$1000)=$C23)*(Main!S$9:S$1000) ) +  ( SUMPRODUCT( ((Adders!$D$13:$D$101)=$E23)*((Adders!$E$13:$E$101)=$F23)*(Adders!H$13:H$101)) + VLOOKUP($H23,Adders!$B$5:$G$8,M$11,FALSE)  +  PA!$D$2 ) * IF($D23="NJ",1.07,1))/$L$10, CHOOSE($M$10,$L$9,$M$9) )</f>
        <v xml:space="preserve"> 73.63 </v>
      </c>
      <c r="K23" s="179" t="str">
        <f>TEXT(   (SUMPRODUCT( ((Main!$H$9:$H$1000)=$E23)*((Main!$J$9:$J$1000)=$F23)*((Main!$O$9:$O$1000)=$C23)*(Main!T$9:T$1000) ) +  ( SUMPRODUCT( ((Adders!$D$13:$D$101)=$E23)*((Adders!$E$13:$E$101)=$F23)*(Adders!I$13:I$101)) + VLOOKUP($H23,Adders!$B$5:$G$8,N$11,FALSE)  +  PA!$D$2 ) * IF($D23="NJ",1.07,1))/$L$10, CHOOSE($M$10,$L$9,$M$9) )</f>
        <v xml:space="preserve"> 73.82 </v>
      </c>
      <c r="L23" s="178" t="str">
        <f>IF(AND($D$11="IL",$E23="AMEREN"),"NA",TEXT((SUMPRODUCT(((LMPMain!$H$9:$H$1000)=$E23)*((LMPMain!$J$9:$J$1000)=$F23)*((LMPMain!$O$9:$O$1000)=$C23)*(LMPMain!R$9:R$1000))+(SUMPRODUCT(((Adders!$D$13:$D$101)=$E23)*((Adders!$E$13:$E$101)=$F23)*(Adders!G$13:G$101))+VLOOKUP($H23,Adders!$B$5:$G$8,L$11,FALSE)+Matrix!$D$2)*IF($D23="NJ",1.07,1))/$L$10,CHOOSE($M$10,$L$9,$M$9)))</f>
        <v xml:space="preserve"> 37.06 </v>
      </c>
      <c r="M23" s="178" t="str">
        <f>IF(AND($D$11="IL",$E23="AMEREN"),"NA",TEXT((SUMPRODUCT(((LMPMain!$H$9:$H$1000)=$E23)*((LMPMain!$J$9:$J$1000)=$F23)*((LMPMain!$O$9:$O$1000)=$C23)*(LMPMain!S$9:S$1000))+(SUMPRODUCT(((Adders!$D$13:$D$101)=$E23)*((Adders!$E$13:$E$101)=$F23)*(Adders!H$13:H$101))+VLOOKUP($H23,Adders!$B$5:$G$8,M$11,FALSE)+Matrix!$D$2)*IF($D23="NJ",1.07,1))/$L$10,CHOOSE($M$10,$L$9,$M$9)))</f>
        <v xml:space="preserve"> 35.25 </v>
      </c>
      <c r="N23" s="179" t="str">
        <f>IF(AND($D$11="IL",$E23="AMEREN"),"NA",TEXT((SUMPRODUCT(((LMPMain!$H$9:$H$1000)=$E23)*((LMPMain!$J$9:$J$1000)=$F23)*((LMPMain!$O$9:$O$1000)=$C23)*(LMPMain!T$9:T$1000))+(SUMPRODUCT(((Adders!$D$13:$D$101)=$E23)*((Adders!$E$13:$E$101)=$F23)*(Adders!G$13:G$101))+VLOOKUP($H23,Adders!$B$5:$G$8,N$11,FALSE)+Matrix!$D$2)*IF($D23="NJ",1.07,1))/$L$10,CHOOSE($M$10,$L$9,$M$9)))</f>
        <v xml:space="preserve"> 35.10 </v>
      </c>
      <c r="O23" s="112"/>
    </row>
    <row r="24" spans="2:15" x14ac:dyDescent="0.25">
      <c r="B24" s="160" t="s">
        <v>664</v>
      </c>
      <c r="C24" s="131">
        <f>+C23</f>
        <v>42248</v>
      </c>
      <c r="D24" s="132" t="s">
        <v>6</v>
      </c>
      <c r="E24" s="133" t="s">
        <v>48</v>
      </c>
      <c r="F24" s="132" t="s">
        <v>7</v>
      </c>
      <c r="G24" s="133" t="str">
        <f t="shared" si="0"/>
        <v>General Service</v>
      </c>
      <c r="H24" s="134" t="s">
        <v>62</v>
      </c>
      <c r="I24" s="173" t="str">
        <f>TEXT(   (SUMPRODUCT( ((Main!$H$9:$H$1000)=$E24)*((Main!$J$9:$J$1000)=$F24)*((Main!$O$9:$O$1000)=$C24)*(Main!R$9:R$1000) ) +  ( SUMPRODUCT( ((Adders!$D$13:$D$101)=$E24)*((Adders!$E$13:$E$101)=$F24)*(Adders!G$13:G$101)) + VLOOKUP($H24,Adders!$B$5:$G$8,L$11,FALSE)  +  PA!$D$2 ) * IF($D24="NJ",1.07,1))/$L$10, CHOOSE($M$10,$L$9,$M$9) )</f>
        <v xml:space="preserve"> 73.69 </v>
      </c>
      <c r="J24" s="173" t="str">
        <f>TEXT(   (SUMPRODUCT( ((Main!$H$9:$H$1000)=$E24)*((Main!$J$9:$J$1000)=$F24)*((Main!$O$9:$O$1000)=$C24)*(Main!S$9:S$1000) ) +  ( SUMPRODUCT( ((Adders!$D$13:$D$101)=$E24)*((Adders!$E$13:$E$101)=$F24)*(Adders!H$13:H$101)) + VLOOKUP($H24,Adders!$B$5:$G$8,M$11,FALSE)  +  PA!$D$2 ) * IF($D24="NJ",1.07,1))/$L$10, CHOOSE($M$10,$L$9,$M$9) )</f>
        <v xml:space="preserve"> 72.03 </v>
      </c>
      <c r="K24" s="174" t="str">
        <f>TEXT(   (SUMPRODUCT( ((Main!$H$9:$H$1000)=$E24)*((Main!$J$9:$J$1000)=$F24)*((Main!$O$9:$O$1000)=$C24)*(Main!T$9:T$1000) ) +  ( SUMPRODUCT( ((Adders!$D$13:$D$101)=$E24)*((Adders!$E$13:$E$101)=$F24)*(Adders!I$13:I$101)) + VLOOKUP($H24,Adders!$B$5:$G$8,N$11,FALSE)  +  PA!$D$2 ) * IF($D24="NJ",1.07,1))/$L$10, CHOOSE($M$10,$L$9,$M$9) )</f>
        <v xml:space="preserve"> 72.22 </v>
      </c>
      <c r="L24" s="173" t="str">
        <f>IF(AND($D$11="IL",$E24="AMEREN"),"NA",TEXT((SUMPRODUCT(((LMPMain!$H$9:$H$1000)=$E24)*((LMPMain!$J$9:$J$1000)=$F24)*((LMPMain!$O$9:$O$1000)=$C24)*(LMPMain!R$9:R$1000))+(SUMPRODUCT(((Adders!$D$13:$D$101)=$E24)*((Adders!$E$13:$E$101)=$F24)*(Adders!G$13:G$101))+VLOOKUP($H24,Adders!$B$5:$G$8,L$11,FALSE)+Matrix!$D$2)*IF($D24="NJ",1.07,1))/$L$10,CHOOSE($M$10,$L$9,$M$9)))</f>
        <v xml:space="preserve"> 35.46 </v>
      </c>
      <c r="M24" s="173" t="str">
        <f>IF(AND($D$11="IL",$E24="AMEREN"),"NA",TEXT((SUMPRODUCT(((LMPMain!$H$9:$H$1000)=$E24)*((LMPMain!$J$9:$J$1000)=$F24)*((LMPMain!$O$9:$O$1000)=$C24)*(LMPMain!S$9:S$1000))+(SUMPRODUCT(((Adders!$D$13:$D$101)=$E24)*((Adders!$E$13:$E$101)=$F24)*(Adders!H$13:H$101))+VLOOKUP($H24,Adders!$B$5:$G$8,M$11,FALSE)+Matrix!$D$2)*IF($D24="NJ",1.07,1))/$L$10,CHOOSE($M$10,$L$9,$M$9)))</f>
        <v xml:space="preserve"> 33.65 </v>
      </c>
      <c r="N24" s="174" t="str">
        <f>IF(AND($D$11="IL",$E24="AMEREN"),"NA",TEXT((SUMPRODUCT(((LMPMain!$H$9:$H$1000)=$E24)*((LMPMain!$J$9:$J$1000)=$F24)*((LMPMain!$O$9:$O$1000)=$C24)*(LMPMain!T$9:T$1000))+(SUMPRODUCT(((Adders!$D$13:$D$101)=$E24)*((Adders!$E$13:$E$101)=$F24)*(Adders!G$13:G$101))+VLOOKUP($H24,Adders!$B$5:$G$8,N$11,FALSE)+Matrix!$D$2)*IF($D24="NJ",1.07,1))/$L$10,CHOOSE($M$10,$L$9,$M$9)))</f>
        <v xml:space="preserve"> 33.50 </v>
      </c>
      <c r="O24" s="112"/>
    </row>
    <row r="25" spans="2:15" x14ac:dyDescent="0.25">
      <c r="B25" s="160" t="s">
        <v>664</v>
      </c>
      <c r="C25" s="135">
        <f>+C24</f>
        <v>42248</v>
      </c>
      <c r="D25" s="136" t="s">
        <v>6</v>
      </c>
      <c r="E25" s="137" t="s">
        <v>48</v>
      </c>
      <c r="F25" s="136" t="s">
        <v>7</v>
      </c>
      <c r="G25" s="137" t="str">
        <f t="shared" si="0"/>
        <v>General Service</v>
      </c>
      <c r="H25" s="138" t="s">
        <v>690</v>
      </c>
      <c r="I25" s="176" t="str">
        <f>TEXT(   (SUMPRODUCT( ((Main!$H$9:$H$1000)=$E25)*((Main!$J$9:$J$1000)=$F25)*((Main!$O$9:$O$1000)=$C25)*(Main!R$9:R$1000) ) +  ( SUMPRODUCT( ((Adders!$D$13:$D$101)=$E25)*((Adders!$E$13:$E$101)=$F25)*(Adders!G$13:G$101)) + VLOOKUP($H25,Adders!$B$5:$G$8,L$11,FALSE)  +  PA!$D$2 ) * IF($D25="NJ",1.07,1))/$L$10, CHOOSE($M$10,$L$9,$M$9) )</f>
        <v xml:space="preserve"> 72.64 </v>
      </c>
      <c r="J25" s="176" t="str">
        <f>TEXT(   (SUMPRODUCT( ((Main!$H$9:$H$1000)=$E25)*((Main!$J$9:$J$1000)=$F25)*((Main!$O$9:$O$1000)=$C25)*(Main!S$9:S$1000) ) +  ( SUMPRODUCT( ((Adders!$D$13:$D$101)=$E25)*((Adders!$E$13:$E$101)=$F25)*(Adders!H$13:H$101)) + VLOOKUP($H25,Adders!$B$5:$G$8,M$11,FALSE)  +  PA!$D$2 ) * IF($D25="NJ",1.07,1))/$L$10, CHOOSE($M$10,$L$9,$M$9) )</f>
        <v xml:space="preserve"> 70.98 </v>
      </c>
      <c r="K25" s="177" t="str">
        <f>TEXT(   (SUMPRODUCT( ((Main!$H$9:$H$1000)=$E25)*((Main!$J$9:$J$1000)=$F25)*((Main!$O$9:$O$1000)=$C25)*(Main!T$9:T$1000) ) +  ( SUMPRODUCT( ((Adders!$D$13:$D$101)=$E25)*((Adders!$E$13:$E$101)=$F25)*(Adders!I$13:I$101)) + VLOOKUP($H25,Adders!$B$5:$G$8,N$11,FALSE)  +  PA!$D$2 ) * IF($D25="NJ",1.07,1))/$L$10, CHOOSE($M$10,$L$9,$M$9) )</f>
        <v xml:space="preserve"> 71.17 </v>
      </c>
      <c r="L25" s="176" t="str">
        <f>IF(AND($D$11="IL",$E25="AMEREN"),"NA",TEXT((SUMPRODUCT(((LMPMain!$H$9:$H$1000)=$E25)*((LMPMain!$J$9:$J$1000)=$F25)*((LMPMain!$O$9:$O$1000)=$C25)*(LMPMain!R$9:R$1000))+(SUMPRODUCT(((Adders!$D$13:$D$101)=$E25)*((Adders!$E$13:$E$101)=$F25)*(Adders!G$13:G$101))+VLOOKUP($H25,Adders!$B$5:$G$8,L$11,FALSE)+Matrix!$D$2)*IF($D25="NJ",1.07,1))/$L$10,CHOOSE($M$10,$L$9,$M$9)))</f>
        <v xml:space="preserve"> 34.41 </v>
      </c>
      <c r="M25" s="176" t="str">
        <f>IF(AND($D$11="IL",$E25="AMEREN"),"NA",TEXT((SUMPRODUCT(((LMPMain!$H$9:$H$1000)=$E25)*((LMPMain!$J$9:$J$1000)=$F25)*((LMPMain!$O$9:$O$1000)=$C25)*(LMPMain!S$9:S$1000))+(SUMPRODUCT(((Adders!$D$13:$D$101)=$E25)*((Adders!$E$13:$E$101)=$F25)*(Adders!H$13:H$101))+VLOOKUP($H25,Adders!$B$5:$G$8,M$11,FALSE)+Matrix!$D$2)*IF($D25="NJ",1.07,1))/$L$10,CHOOSE($M$10,$L$9,$M$9)))</f>
        <v xml:space="preserve"> 32.60 </v>
      </c>
      <c r="N25" s="177" t="str">
        <f>IF(AND($D$11="IL",$E25="AMEREN"),"NA",TEXT((SUMPRODUCT(((LMPMain!$H$9:$H$1000)=$E25)*((LMPMain!$J$9:$J$1000)=$F25)*((LMPMain!$O$9:$O$1000)=$C25)*(LMPMain!T$9:T$1000))+(SUMPRODUCT(((Adders!$D$13:$D$101)=$E25)*((Adders!$E$13:$E$101)=$F25)*(Adders!G$13:G$101))+VLOOKUP($H25,Adders!$B$5:$G$8,N$11,FALSE)+Matrix!$D$2)*IF($D25="NJ",1.07,1))/$L$10,CHOOSE($M$10,$L$9,$M$9)))</f>
        <v xml:space="preserve"> 32.45 </v>
      </c>
      <c r="O25" s="112"/>
    </row>
    <row r="26" spans="2:15" x14ac:dyDescent="0.25">
      <c r="B26" s="160" t="s">
        <v>664</v>
      </c>
      <c r="C26" s="127">
        <f>DATE(YEAR(C25),MONTH(C25)+1,0)+1</f>
        <v>42278</v>
      </c>
      <c r="D26" s="128" t="s">
        <v>6</v>
      </c>
      <c r="E26" s="129" t="s">
        <v>48</v>
      </c>
      <c r="F26" s="128" t="s">
        <v>7</v>
      </c>
      <c r="G26" s="129" t="str">
        <f t="shared" si="0"/>
        <v>General Service</v>
      </c>
      <c r="H26" s="130" t="s">
        <v>61</v>
      </c>
      <c r="I26" s="178" t="str">
        <f>TEXT(   (SUMPRODUCT( ((Main!$H$9:$H$1000)=$E26)*((Main!$J$9:$J$1000)=$F26)*((Main!$O$9:$O$1000)=$C26)*(Main!R$9:R$1000) ) +  ( SUMPRODUCT( ((Adders!$D$13:$D$101)=$E26)*((Adders!$E$13:$E$101)=$F26)*(Adders!G$13:G$101)) + VLOOKUP($H26,Adders!$B$5:$G$8,L$11,FALSE)  +  PA!$D$2 ) * IF($D26="NJ",1.07,1))/$L$10, CHOOSE($M$10,$L$9,$M$9) )</f>
        <v xml:space="preserve"> 74.67 </v>
      </c>
      <c r="J26" s="178" t="str">
        <f>TEXT(   (SUMPRODUCT( ((Main!$H$9:$H$1000)=$E26)*((Main!$J$9:$J$1000)=$F26)*((Main!$O$9:$O$1000)=$C26)*(Main!S$9:S$1000) ) +  ( SUMPRODUCT( ((Adders!$D$13:$D$101)=$E26)*((Adders!$E$13:$E$101)=$F26)*(Adders!H$13:H$101)) + VLOOKUP($H26,Adders!$B$5:$G$8,M$11,FALSE)  +  PA!$D$2 ) * IF($D26="NJ",1.07,1))/$L$10, CHOOSE($M$10,$L$9,$M$9) )</f>
        <v xml:space="preserve"> 73.65 </v>
      </c>
      <c r="K26" s="179" t="str">
        <f>TEXT(   (SUMPRODUCT( ((Main!$H$9:$H$1000)=$E26)*((Main!$J$9:$J$1000)=$F26)*((Main!$O$9:$O$1000)=$C26)*(Main!T$9:T$1000) ) +  ( SUMPRODUCT( ((Adders!$D$13:$D$101)=$E26)*((Adders!$E$13:$E$101)=$F26)*(Adders!I$13:I$101)) + VLOOKUP($H26,Adders!$B$5:$G$8,N$11,FALSE)  +  PA!$D$2 ) * IF($D26="NJ",1.07,1))/$L$10, CHOOSE($M$10,$L$9,$M$9) )</f>
        <v xml:space="preserve"> 73.81 </v>
      </c>
      <c r="L26" s="178" t="str">
        <f>IF(AND($D$11="IL",$E26="AMEREN"),"NA",TEXT((SUMPRODUCT(((LMPMain!$H$9:$H$1000)=$E26)*((LMPMain!$J$9:$J$1000)=$F26)*((LMPMain!$O$9:$O$1000)=$C26)*(LMPMain!R$9:R$1000))+(SUMPRODUCT(((Adders!$D$13:$D$101)=$E26)*((Adders!$E$13:$E$101)=$F26)*(Adders!G$13:G$101))+VLOOKUP($H26,Adders!$B$5:$G$8,L$11,FALSE)+Matrix!$D$2)*IF($D26="NJ",1.07,1))/$L$10,CHOOSE($M$10,$L$9,$M$9)))</f>
        <v xml:space="preserve"> 36.44 </v>
      </c>
      <c r="M26" s="178" t="str">
        <f>IF(AND($D$11="IL",$E26="AMEREN"),"NA",TEXT((SUMPRODUCT(((LMPMain!$H$9:$H$1000)=$E26)*((LMPMain!$J$9:$J$1000)=$F26)*((LMPMain!$O$9:$O$1000)=$C26)*(LMPMain!S$9:S$1000))+(SUMPRODUCT(((Adders!$D$13:$D$101)=$E26)*((Adders!$E$13:$E$101)=$F26)*(Adders!H$13:H$101))+VLOOKUP($H26,Adders!$B$5:$G$8,M$11,FALSE)+Matrix!$D$2)*IF($D26="NJ",1.07,1))/$L$10,CHOOSE($M$10,$L$9,$M$9)))</f>
        <v xml:space="preserve"> 34.89 </v>
      </c>
      <c r="N26" s="179" t="str">
        <f>IF(AND($D$11="IL",$E26="AMEREN"),"NA",TEXT((SUMPRODUCT(((LMPMain!$H$9:$H$1000)=$E26)*((LMPMain!$J$9:$J$1000)=$F26)*((LMPMain!$O$9:$O$1000)=$C26)*(LMPMain!T$9:T$1000))+(SUMPRODUCT(((Adders!$D$13:$D$101)=$E26)*((Adders!$E$13:$E$101)=$F26)*(Adders!G$13:G$101))+VLOOKUP($H26,Adders!$B$5:$G$8,N$11,FALSE)+Matrix!$D$2)*IF($D26="NJ",1.07,1))/$L$10,CHOOSE($M$10,$L$9,$M$9)))</f>
        <v xml:space="preserve"> 35.08 </v>
      </c>
      <c r="O26" s="112"/>
    </row>
    <row r="27" spans="2:15" x14ac:dyDescent="0.25">
      <c r="B27" s="160" t="s">
        <v>664</v>
      </c>
      <c r="C27" s="131">
        <f>+C26</f>
        <v>42278</v>
      </c>
      <c r="D27" s="132" t="s">
        <v>6</v>
      </c>
      <c r="E27" s="133" t="s">
        <v>48</v>
      </c>
      <c r="F27" s="132" t="s">
        <v>7</v>
      </c>
      <c r="G27" s="133" t="str">
        <f t="shared" si="0"/>
        <v>General Service</v>
      </c>
      <c r="H27" s="134" t="s">
        <v>62</v>
      </c>
      <c r="I27" s="173" t="str">
        <f>TEXT(   (SUMPRODUCT( ((Main!$H$9:$H$1000)=$E27)*((Main!$J$9:$J$1000)=$F27)*((Main!$O$9:$O$1000)=$C27)*(Main!R$9:R$1000) ) +  ( SUMPRODUCT( ((Adders!$D$13:$D$101)=$E27)*((Adders!$E$13:$E$101)=$F27)*(Adders!G$13:G$101)) + VLOOKUP($H27,Adders!$B$5:$G$8,L$11,FALSE)  +  PA!$D$2 ) * IF($D27="NJ",1.07,1))/$L$10, CHOOSE($M$10,$L$9,$M$9) )</f>
        <v xml:space="preserve"> 73.07 </v>
      </c>
      <c r="J27" s="173" t="str">
        <f>TEXT(   (SUMPRODUCT( ((Main!$H$9:$H$1000)=$E27)*((Main!$J$9:$J$1000)=$F27)*((Main!$O$9:$O$1000)=$C27)*(Main!S$9:S$1000) ) +  ( SUMPRODUCT( ((Adders!$D$13:$D$101)=$E27)*((Adders!$E$13:$E$101)=$F27)*(Adders!H$13:H$101)) + VLOOKUP($H27,Adders!$B$5:$G$8,M$11,FALSE)  +  PA!$D$2 ) * IF($D27="NJ",1.07,1))/$L$10, CHOOSE($M$10,$L$9,$M$9) )</f>
        <v xml:space="preserve"> 72.05 </v>
      </c>
      <c r="K27" s="174" t="str">
        <f>TEXT(   (SUMPRODUCT( ((Main!$H$9:$H$1000)=$E27)*((Main!$J$9:$J$1000)=$F27)*((Main!$O$9:$O$1000)=$C27)*(Main!T$9:T$1000) ) +  ( SUMPRODUCT( ((Adders!$D$13:$D$101)=$E27)*((Adders!$E$13:$E$101)=$F27)*(Adders!I$13:I$101)) + VLOOKUP($H27,Adders!$B$5:$G$8,N$11,FALSE)  +  PA!$D$2 ) * IF($D27="NJ",1.07,1))/$L$10, CHOOSE($M$10,$L$9,$M$9) )</f>
        <v xml:space="preserve"> 72.21 </v>
      </c>
      <c r="L27" s="173" t="str">
        <f>IF(AND($D$11="IL",$E27="AMEREN"),"NA",TEXT((SUMPRODUCT(((LMPMain!$H$9:$H$1000)=$E27)*((LMPMain!$J$9:$J$1000)=$F27)*((LMPMain!$O$9:$O$1000)=$C27)*(LMPMain!R$9:R$1000))+(SUMPRODUCT(((Adders!$D$13:$D$101)=$E27)*((Adders!$E$13:$E$101)=$F27)*(Adders!G$13:G$101))+VLOOKUP($H27,Adders!$B$5:$G$8,L$11,FALSE)+Matrix!$D$2)*IF($D27="NJ",1.07,1))/$L$10,CHOOSE($M$10,$L$9,$M$9)))</f>
        <v xml:space="preserve"> 34.84 </v>
      </c>
      <c r="M27" s="173" t="str">
        <f>IF(AND($D$11="IL",$E27="AMEREN"),"NA",TEXT((SUMPRODUCT(((LMPMain!$H$9:$H$1000)=$E27)*((LMPMain!$J$9:$J$1000)=$F27)*((LMPMain!$O$9:$O$1000)=$C27)*(LMPMain!S$9:S$1000))+(SUMPRODUCT(((Adders!$D$13:$D$101)=$E27)*((Adders!$E$13:$E$101)=$F27)*(Adders!H$13:H$101))+VLOOKUP($H27,Adders!$B$5:$G$8,M$11,FALSE)+Matrix!$D$2)*IF($D27="NJ",1.07,1))/$L$10,CHOOSE($M$10,$L$9,$M$9)))</f>
        <v xml:space="preserve"> 33.29 </v>
      </c>
      <c r="N27" s="174" t="str">
        <f>IF(AND($D$11="IL",$E27="AMEREN"),"NA",TEXT((SUMPRODUCT(((LMPMain!$H$9:$H$1000)=$E27)*((LMPMain!$J$9:$J$1000)=$F27)*((LMPMain!$O$9:$O$1000)=$C27)*(LMPMain!T$9:T$1000))+(SUMPRODUCT(((Adders!$D$13:$D$101)=$E27)*((Adders!$E$13:$E$101)=$F27)*(Adders!G$13:G$101))+VLOOKUP($H27,Adders!$B$5:$G$8,N$11,FALSE)+Matrix!$D$2)*IF($D27="NJ",1.07,1))/$L$10,CHOOSE($M$10,$L$9,$M$9)))</f>
        <v xml:space="preserve"> 33.48 </v>
      </c>
      <c r="O27" s="112"/>
    </row>
    <row r="28" spans="2:15" x14ac:dyDescent="0.25">
      <c r="B28" s="160" t="s">
        <v>664</v>
      </c>
      <c r="C28" s="135">
        <f>+C27</f>
        <v>42278</v>
      </c>
      <c r="D28" s="136" t="s">
        <v>6</v>
      </c>
      <c r="E28" s="137" t="s">
        <v>48</v>
      </c>
      <c r="F28" s="136" t="s">
        <v>7</v>
      </c>
      <c r="G28" s="137" t="str">
        <f t="shared" si="0"/>
        <v>General Service</v>
      </c>
      <c r="H28" s="138" t="s">
        <v>690</v>
      </c>
      <c r="I28" s="176" t="str">
        <f>TEXT(   (SUMPRODUCT( ((Main!$H$9:$H$1000)=$E28)*((Main!$J$9:$J$1000)=$F28)*((Main!$O$9:$O$1000)=$C28)*(Main!R$9:R$1000) ) +  ( SUMPRODUCT( ((Adders!$D$13:$D$101)=$E28)*((Adders!$E$13:$E$101)=$F28)*(Adders!G$13:G$101)) + VLOOKUP($H28,Adders!$B$5:$G$8,L$11,FALSE)  +  PA!$D$2 ) * IF($D28="NJ",1.07,1))/$L$10, CHOOSE($M$10,$L$9,$M$9) )</f>
        <v xml:space="preserve"> 72.02 </v>
      </c>
      <c r="J28" s="176" t="str">
        <f>TEXT(   (SUMPRODUCT( ((Main!$H$9:$H$1000)=$E28)*((Main!$J$9:$J$1000)=$F28)*((Main!$O$9:$O$1000)=$C28)*(Main!S$9:S$1000) ) +  ( SUMPRODUCT( ((Adders!$D$13:$D$101)=$E28)*((Adders!$E$13:$E$101)=$F28)*(Adders!H$13:H$101)) + VLOOKUP($H28,Adders!$B$5:$G$8,M$11,FALSE)  +  PA!$D$2 ) * IF($D28="NJ",1.07,1))/$L$10, CHOOSE($M$10,$L$9,$M$9) )</f>
        <v xml:space="preserve"> 71.00 </v>
      </c>
      <c r="K28" s="177" t="str">
        <f>TEXT(   (SUMPRODUCT( ((Main!$H$9:$H$1000)=$E28)*((Main!$J$9:$J$1000)=$F28)*((Main!$O$9:$O$1000)=$C28)*(Main!T$9:T$1000) ) +  ( SUMPRODUCT( ((Adders!$D$13:$D$101)=$E28)*((Adders!$E$13:$E$101)=$F28)*(Adders!I$13:I$101)) + VLOOKUP($H28,Adders!$B$5:$G$8,N$11,FALSE)  +  PA!$D$2 ) * IF($D28="NJ",1.07,1))/$L$10, CHOOSE($M$10,$L$9,$M$9) )</f>
        <v xml:space="preserve"> 71.16 </v>
      </c>
      <c r="L28" s="176" t="str">
        <f>IF(AND($D$11="IL",$E28="AMEREN"),"NA",TEXT((SUMPRODUCT(((LMPMain!$H$9:$H$1000)=$E28)*((LMPMain!$J$9:$J$1000)=$F28)*((LMPMain!$O$9:$O$1000)=$C28)*(LMPMain!R$9:R$1000))+(SUMPRODUCT(((Adders!$D$13:$D$101)=$E28)*((Adders!$E$13:$E$101)=$F28)*(Adders!G$13:G$101))+VLOOKUP($H28,Adders!$B$5:$G$8,L$11,FALSE)+Matrix!$D$2)*IF($D28="NJ",1.07,1))/$L$10,CHOOSE($M$10,$L$9,$M$9)))</f>
        <v xml:space="preserve"> 33.79 </v>
      </c>
      <c r="M28" s="176" t="str">
        <f>IF(AND($D$11="IL",$E28="AMEREN"),"NA",TEXT((SUMPRODUCT(((LMPMain!$H$9:$H$1000)=$E28)*((LMPMain!$J$9:$J$1000)=$F28)*((LMPMain!$O$9:$O$1000)=$C28)*(LMPMain!S$9:S$1000))+(SUMPRODUCT(((Adders!$D$13:$D$101)=$E28)*((Adders!$E$13:$E$101)=$F28)*(Adders!H$13:H$101))+VLOOKUP($H28,Adders!$B$5:$G$8,M$11,FALSE)+Matrix!$D$2)*IF($D28="NJ",1.07,1))/$L$10,CHOOSE($M$10,$L$9,$M$9)))</f>
        <v xml:space="preserve"> 32.24 </v>
      </c>
      <c r="N28" s="177" t="str">
        <f>IF(AND($D$11="IL",$E28="AMEREN"),"NA",TEXT((SUMPRODUCT(((LMPMain!$H$9:$H$1000)=$E28)*((LMPMain!$J$9:$J$1000)=$F28)*((LMPMain!$O$9:$O$1000)=$C28)*(LMPMain!T$9:T$1000))+(SUMPRODUCT(((Adders!$D$13:$D$101)=$E28)*((Adders!$E$13:$E$101)=$F28)*(Adders!G$13:G$101))+VLOOKUP($H28,Adders!$B$5:$G$8,N$11,FALSE)+Matrix!$D$2)*IF($D28="NJ",1.07,1))/$L$10,CHOOSE($M$10,$L$9,$M$9)))</f>
        <v xml:space="preserve"> 32.43 </v>
      </c>
      <c r="O28" s="112"/>
    </row>
    <row r="29" spans="2:15" x14ac:dyDescent="0.25">
      <c r="B29" s="160" t="s">
        <v>664</v>
      </c>
      <c r="C29" s="127">
        <f>DATE(YEAR(C28),MONTH(C28)+1,0)+1</f>
        <v>42309</v>
      </c>
      <c r="D29" s="128" t="s">
        <v>6</v>
      </c>
      <c r="E29" s="129" t="s">
        <v>48</v>
      </c>
      <c r="F29" s="128" t="s">
        <v>7</v>
      </c>
      <c r="G29" s="129" t="str">
        <f t="shared" si="0"/>
        <v>General Service</v>
      </c>
      <c r="H29" s="130" t="s">
        <v>61</v>
      </c>
      <c r="I29" s="178" t="str">
        <f>TEXT(   (SUMPRODUCT( ((Main!$H$9:$H$1000)=$E29)*((Main!$J$9:$J$1000)=$F29)*((Main!$O$9:$O$1000)=$C29)*(Main!R$9:R$1000) ) +  ( SUMPRODUCT( ((Adders!$D$13:$D$101)=$E29)*((Adders!$E$13:$E$101)=$F29)*(Adders!G$13:G$101)) + VLOOKUP($H29,Adders!$B$5:$G$8,L$11,FALSE)  +  PA!$D$2 ) * IF($D29="NJ",1.07,1))/$L$10, CHOOSE($M$10,$L$9,$M$9) )</f>
        <v xml:space="preserve"> 74.01 </v>
      </c>
      <c r="J29" s="178" t="str">
        <f>TEXT(   (SUMPRODUCT( ((Main!$H$9:$H$1000)=$E29)*((Main!$J$9:$J$1000)=$F29)*((Main!$O$9:$O$1000)=$C29)*(Main!S$9:S$1000) ) +  ( SUMPRODUCT( ((Adders!$D$13:$D$101)=$E29)*((Adders!$E$13:$E$101)=$F29)*(Adders!H$13:H$101)) + VLOOKUP($H29,Adders!$B$5:$G$8,M$11,FALSE)  +  PA!$D$2 ) * IF($D29="NJ",1.07,1))/$L$10, CHOOSE($M$10,$L$9,$M$9) )</f>
        <v xml:space="preserve"> 73.39 </v>
      </c>
      <c r="K29" s="179" t="str">
        <f>TEXT(   (SUMPRODUCT( ((Main!$H$9:$H$1000)=$E29)*((Main!$J$9:$J$1000)=$F29)*((Main!$O$9:$O$1000)=$C29)*(Main!T$9:T$1000) ) +  ( SUMPRODUCT( ((Adders!$D$13:$D$101)=$E29)*((Adders!$E$13:$E$101)=$F29)*(Adders!I$13:I$101)) + VLOOKUP($H29,Adders!$B$5:$G$8,N$11,FALSE)  +  PA!$D$2 ) * IF($D29="NJ",1.07,1))/$L$10, CHOOSE($M$10,$L$9,$M$9) )</f>
        <v xml:space="preserve"> 73.80 </v>
      </c>
      <c r="L29" s="178" t="str">
        <f>IF(AND($D$11="IL",$E29="AMEREN"),"NA",TEXT((SUMPRODUCT(((LMPMain!$H$9:$H$1000)=$E29)*((LMPMain!$J$9:$J$1000)=$F29)*((LMPMain!$O$9:$O$1000)=$C29)*(LMPMain!R$9:R$1000))+(SUMPRODUCT(((Adders!$D$13:$D$101)=$E29)*((Adders!$E$13:$E$101)=$F29)*(Adders!G$13:G$101))+VLOOKUP($H29,Adders!$B$5:$G$8,L$11,FALSE)+Matrix!$D$2)*IF($D29="NJ",1.07,1))/$L$10,CHOOSE($M$10,$L$9,$M$9)))</f>
        <v xml:space="preserve"> 35.80 </v>
      </c>
      <c r="M29" s="178" t="str">
        <f>IF(AND($D$11="IL",$E29="AMEREN"),"NA",TEXT((SUMPRODUCT(((LMPMain!$H$9:$H$1000)=$E29)*((LMPMain!$J$9:$J$1000)=$F29)*((LMPMain!$O$9:$O$1000)=$C29)*(LMPMain!S$9:S$1000))+(SUMPRODUCT(((Adders!$D$13:$D$101)=$E29)*((Adders!$E$13:$E$101)=$F29)*(Adders!H$13:H$101))+VLOOKUP($H29,Adders!$B$5:$G$8,M$11,FALSE)+Matrix!$D$2)*IF($D29="NJ",1.07,1))/$L$10,CHOOSE($M$10,$L$9,$M$9)))</f>
        <v xml:space="preserve"> 34.49 </v>
      </c>
      <c r="N29" s="179" t="str">
        <f>IF(AND($D$11="IL",$E29="AMEREN"),"NA",TEXT((SUMPRODUCT(((LMPMain!$H$9:$H$1000)=$E29)*((LMPMain!$J$9:$J$1000)=$F29)*((LMPMain!$O$9:$O$1000)=$C29)*(LMPMain!T$9:T$1000))+(SUMPRODUCT(((Adders!$D$13:$D$101)=$E29)*((Adders!$E$13:$E$101)=$F29)*(Adders!G$13:G$101))+VLOOKUP($H29,Adders!$B$5:$G$8,N$11,FALSE)+Matrix!$D$2)*IF($D29="NJ",1.07,1))/$L$10,CHOOSE($M$10,$L$9,$M$9)))</f>
        <v xml:space="preserve"> 35.05 </v>
      </c>
      <c r="O29" s="112"/>
    </row>
    <row r="30" spans="2:15" x14ac:dyDescent="0.25">
      <c r="B30" s="160" t="s">
        <v>664</v>
      </c>
      <c r="C30" s="131">
        <f>+C29</f>
        <v>42309</v>
      </c>
      <c r="D30" s="132" t="s">
        <v>6</v>
      </c>
      <c r="E30" s="133" t="s">
        <v>48</v>
      </c>
      <c r="F30" s="132" t="s">
        <v>7</v>
      </c>
      <c r="G30" s="133" t="str">
        <f t="shared" si="0"/>
        <v>General Service</v>
      </c>
      <c r="H30" s="134" t="s">
        <v>62</v>
      </c>
      <c r="I30" s="173" t="str">
        <f>TEXT(   (SUMPRODUCT( ((Main!$H$9:$H$1000)=$E30)*((Main!$J$9:$J$1000)=$F30)*((Main!$O$9:$O$1000)=$C30)*(Main!R$9:R$1000) ) +  ( SUMPRODUCT( ((Adders!$D$13:$D$101)=$E30)*((Adders!$E$13:$E$101)=$F30)*(Adders!G$13:G$101)) + VLOOKUP($H30,Adders!$B$5:$G$8,L$11,FALSE)  +  PA!$D$2 ) * IF($D30="NJ",1.07,1))/$L$10, CHOOSE($M$10,$L$9,$M$9) )</f>
        <v xml:space="preserve"> 72.41 </v>
      </c>
      <c r="J30" s="173" t="str">
        <f>TEXT(   (SUMPRODUCT( ((Main!$H$9:$H$1000)=$E30)*((Main!$J$9:$J$1000)=$F30)*((Main!$O$9:$O$1000)=$C30)*(Main!S$9:S$1000) ) +  ( SUMPRODUCT( ((Adders!$D$13:$D$101)=$E30)*((Adders!$E$13:$E$101)=$F30)*(Adders!H$13:H$101)) + VLOOKUP($H30,Adders!$B$5:$G$8,M$11,FALSE)  +  PA!$D$2 ) * IF($D30="NJ",1.07,1))/$L$10, CHOOSE($M$10,$L$9,$M$9) )</f>
        <v xml:space="preserve"> 71.79 </v>
      </c>
      <c r="K30" s="174" t="str">
        <f>TEXT(   (SUMPRODUCT( ((Main!$H$9:$H$1000)=$E30)*((Main!$J$9:$J$1000)=$F30)*((Main!$O$9:$O$1000)=$C30)*(Main!T$9:T$1000) ) +  ( SUMPRODUCT( ((Adders!$D$13:$D$101)=$E30)*((Adders!$E$13:$E$101)=$F30)*(Adders!I$13:I$101)) + VLOOKUP($H30,Adders!$B$5:$G$8,N$11,FALSE)  +  PA!$D$2 ) * IF($D30="NJ",1.07,1))/$L$10, CHOOSE($M$10,$L$9,$M$9) )</f>
        <v xml:space="preserve"> 72.20 </v>
      </c>
      <c r="L30" s="173" t="str">
        <f>IF(AND($D$11="IL",$E30="AMEREN"),"NA",TEXT((SUMPRODUCT(((LMPMain!$H$9:$H$1000)=$E30)*((LMPMain!$J$9:$J$1000)=$F30)*((LMPMain!$O$9:$O$1000)=$C30)*(LMPMain!R$9:R$1000))+(SUMPRODUCT(((Adders!$D$13:$D$101)=$E30)*((Adders!$E$13:$E$101)=$F30)*(Adders!G$13:G$101))+VLOOKUP($H30,Adders!$B$5:$G$8,L$11,FALSE)+Matrix!$D$2)*IF($D30="NJ",1.07,1))/$L$10,CHOOSE($M$10,$L$9,$M$9)))</f>
        <v xml:space="preserve"> 34.20 </v>
      </c>
      <c r="M30" s="173" t="str">
        <f>IF(AND($D$11="IL",$E30="AMEREN"),"NA",TEXT((SUMPRODUCT(((LMPMain!$H$9:$H$1000)=$E30)*((LMPMain!$J$9:$J$1000)=$F30)*((LMPMain!$O$9:$O$1000)=$C30)*(LMPMain!S$9:S$1000))+(SUMPRODUCT(((Adders!$D$13:$D$101)=$E30)*((Adders!$E$13:$E$101)=$F30)*(Adders!H$13:H$101))+VLOOKUP($H30,Adders!$B$5:$G$8,M$11,FALSE)+Matrix!$D$2)*IF($D30="NJ",1.07,1))/$L$10,CHOOSE($M$10,$L$9,$M$9)))</f>
        <v xml:space="preserve"> 32.89 </v>
      </c>
      <c r="N30" s="174" t="str">
        <f>IF(AND($D$11="IL",$E30="AMEREN"),"NA",TEXT((SUMPRODUCT(((LMPMain!$H$9:$H$1000)=$E30)*((LMPMain!$J$9:$J$1000)=$F30)*((LMPMain!$O$9:$O$1000)=$C30)*(LMPMain!T$9:T$1000))+(SUMPRODUCT(((Adders!$D$13:$D$101)=$E30)*((Adders!$E$13:$E$101)=$F30)*(Adders!G$13:G$101))+VLOOKUP($H30,Adders!$B$5:$G$8,N$11,FALSE)+Matrix!$D$2)*IF($D30="NJ",1.07,1))/$L$10,CHOOSE($M$10,$L$9,$M$9)))</f>
        <v xml:space="preserve"> 33.45 </v>
      </c>
      <c r="O30" s="112"/>
    </row>
    <row r="31" spans="2:15" x14ac:dyDescent="0.25">
      <c r="B31" s="160" t="s">
        <v>664</v>
      </c>
      <c r="C31" s="135">
        <f>+C30</f>
        <v>42309</v>
      </c>
      <c r="D31" s="136" t="s">
        <v>6</v>
      </c>
      <c r="E31" s="137" t="s">
        <v>48</v>
      </c>
      <c r="F31" s="136" t="s">
        <v>7</v>
      </c>
      <c r="G31" s="137" t="str">
        <f t="shared" si="0"/>
        <v>General Service</v>
      </c>
      <c r="H31" s="138" t="s">
        <v>690</v>
      </c>
      <c r="I31" s="176" t="str">
        <f>TEXT(   (SUMPRODUCT( ((Main!$H$9:$H$1000)=$E31)*((Main!$J$9:$J$1000)=$F31)*((Main!$O$9:$O$1000)=$C31)*(Main!R$9:R$1000) ) +  ( SUMPRODUCT( ((Adders!$D$13:$D$101)=$E31)*((Adders!$E$13:$E$101)=$F31)*(Adders!G$13:G$101)) + VLOOKUP($H31,Adders!$B$5:$G$8,L$11,FALSE)  +  PA!$D$2 ) * IF($D31="NJ",1.07,1))/$L$10, CHOOSE($M$10,$L$9,$M$9) )</f>
        <v xml:space="preserve"> 71.36 </v>
      </c>
      <c r="J31" s="176" t="str">
        <f>TEXT(   (SUMPRODUCT( ((Main!$H$9:$H$1000)=$E31)*((Main!$J$9:$J$1000)=$F31)*((Main!$O$9:$O$1000)=$C31)*(Main!S$9:S$1000) ) +  ( SUMPRODUCT( ((Adders!$D$13:$D$101)=$E31)*((Adders!$E$13:$E$101)=$F31)*(Adders!H$13:H$101)) + VLOOKUP($H31,Adders!$B$5:$G$8,M$11,FALSE)  +  PA!$D$2 ) * IF($D31="NJ",1.07,1))/$L$10, CHOOSE($M$10,$L$9,$M$9) )</f>
        <v xml:space="preserve"> 70.74 </v>
      </c>
      <c r="K31" s="177" t="str">
        <f>TEXT(   (SUMPRODUCT( ((Main!$H$9:$H$1000)=$E31)*((Main!$J$9:$J$1000)=$F31)*((Main!$O$9:$O$1000)=$C31)*(Main!T$9:T$1000) ) +  ( SUMPRODUCT( ((Adders!$D$13:$D$101)=$E31)*((Adders!$E$13:$E$101)=$F31)*(Adders!I$13:I$101)) + VLOOKUP($H31,Adders!$B$5:$G$8,N$11,FALSE)  +  PA!$D$2 ) * IF($D31="NJ",1.07,1))/$L$10, CHOOSE($M$10,$L$9,$M$9) )</f>
        <v xml:space="preserve"> 71.15 </v>
      </c>
      <c r="L31" s="176" t="str">
        <f>IF(AND($D$11="IL",$E31="AMEREN"),"NA",TEXT((SUMPRODUCT(((LMPMain!$H$9:$H$1000)=$E31)*((LMPMain!$J$9:$J$1000)=$F31)*((LMPMain!$O$9:$O$1000)=$C31)*(LMPMain!R$9:R$1000))+(SUMPRODUCT(((Adders!$D$13:$D$101)=$E31)*((Adders!$E$13:$E$101)=$F31)*(Adders!G$13:G$101))+VLOOKUP($H31,Adders!$B$5:$G$8,L$11,FALSE)+Matrix!$D$2)*IF($D31="NJ",1.07,1))/$L$10,CHOOSE($M$10,$L$9,$M$9)))</f>
        <v xml:space="preserve"> 33.15 </v>
      </c>
      <c r="M31" s="176" t="str">
        <f>IF(AND($D$11="IL",$E31="AMEREN"),"NA",TEXT((SUMPRODUCT(((LMPMain!$H$9:$H$1000)=$E31)*((LMPMain!$J$9:$J$1000)=$F31)*((LMPMain!$O$9:$O$1000)=$C31)*(LMPMain!S$9:S$1000))+(SUMPRODUCT(((Adders!$D$13:$D$101)=$E31)*((Adders!$E$13:$E$101)=$F31)*(Adders!H$13:H$101))+VLOOKUP($H31,Adders!$B$5:$G$8,M$11,FALSE)+Matrix!$D$2)*IF($D31="NJ",1.07,1))/$L$10,CHOOSE($M$10,$L$9,$M$9)))</f>
        <v xml:space="preserve"> 31.84 </v>
      </c>
      <c r="N31" s="177" t="str">
        <f>IF(AND($D$11="IL",$E31="AMEREN"),"NA",TEXT((SUMPRODUCT(((LMPMain!$H$9:$H$1000)=$E31)*((LMPMain!$J$9:$J$1000)=$F31)*((LMPMain!$O$9:$O$1000)=$C31)*(LMPMain!T$9:T$1000))+(SUMPRODUCT(((Adders!$D$13:$D$101)=$E31)*((Adders!$E$13:$E$101)=$F31)*(Adders!G$13:G$101))+VLOOKUP($H31,Adders!$B$5:$G$8,N$11,FALSE)+Matrix!$D$2)*IF($D31="NJ",1.07,1))/$L$10,CHOOSE($M$10,$L$9,$M$9)))</f>
        <v xml:space="preserve"> 32.40 </v>
      </c>
      <c r="O31" s="112"/>
    </row>
    <row r="32" spans="2:15" x14ac:dyDescent="0.25">
      <c r="B32" s="160" t="s">
        <v>664</v>
      </c>
      <c r="C32" s="127">
        <f>DATE(YEAR(C31),MONTH(C31)+1,0)+1</f>
        <v>42339</v>
      </c>
      <c r="D32" s="128" t="s">
        <v>6</v>
      </c>
      <c r="E32" s="129" t="s">
        <v>48</v>
      </c>
      <c r="F32" s="128" t="s">
        <v>7</v>
      </c>
      <c r="G32" s="129" t="str">
        <f t="shared" si="0"/>
        <v>General Service</v>
      </c>
      <c r="H32" s="130" t="s">
        <v>61</v>
      </c>
      <c r="I32" s="178" t="str">
        <f>TEXT(   (SUMPRODUCT( ((Main!$H$9:$H$1000)=$E32)*((Main!$J$9:$J$1000)=$F32)*((Main!$O$9:$O$1000)=$C32)*(Main!R$9:R$1000) ) +  ( SUMPRODUCT( ((Adders!$D$13:$D$101)=$E32)*((Adders!$E$13:$E$101)=$F32)*(Adders!G$13:G$101)) + VLOOKUP($H32,Adders!$B$5:$G$8,L$11,FALSE)  +  PA!$D$2 ) * IF($D32="NJ",1.07,1))/$L$10, CHOOSE($M$10,$L$9,$M$9) )</f>
        <v xml:space="preserve"> 73.42 </v>
      </c>
      <c r="J32" s="178" t="str">
        <f>TEXT(   (SUMPRODUCT( ((Main!$H$9:$H$1000)=$E32)*((Main!$J$9:$J$1000)=$F32)*((Main!$O$9:$O$1000)=$C32)*(Main!S$9:S$1000) ) +  ( SUMPRODUCT( ((Adders!$D$13:$D$101)=$E32)*((Adders!$E$13:$E$101)=$F32)*(Adders!H$13:H$101)) + VLOOKUP($H32,Adders!$B$5:$G$8,M$11,FALSE)  +  PA!$D$2 ) * IF($D32="NJ",1.07,1))/$L$10, CHOOSE($M$10,$L$9,$M$9) )</f>
        <v xml:space="preserve"> 73.10 </v>
      </c>
      <c r="K32" s="179" t="str">
        <f>TEXT(   (SUMPRODUCT( ((Main!$H$9:$H$1000)=$E32)*((Main!$J$9:$J$1000)=$F32)*((Main!$O$9:$O$1000)=$C32)*(Main!T$9:T$1000) ) +  ( SUMPRODUCT( ((Adders!$D$13:$D$101)=$E32)*((Adders!$E$13:$E$101)=$F32)*(Adders!I$13:I$101)) + VLOOKUP($H32,Adders!$B$5:$G$8,N$11,FALSE)  +  PA!$D$2 ) * IF($D32="NJ",1.07,1))/$L$10, CHOOSE($M$10,$L$9,$M$9) )</f>
        <v xml:space="preserve"> 73.81 </v>
      </c>
      <c r="L32" s="178" t="str">
        <f>IF(AND($D$11="IL",$E32="AMEREN"),"NA",TEXT((SUMPRODUCT(((LMPMain!$H$9:$H$1000)=$E32)*((LMPMain!$J$9:$J$1000)=$F32)*((LMPMain!$O$9:$O$1000)=$C32)*(LMPMain!R$9:R$1000))+(SUMPRODUCT(((Adders!$D$13:$D$101)=$E32)*((Adders!$E$13:$E$101)=$F32)*(Adders!G$13:G$101))+VLOOKUP($H32,Adders!$B$5:$G$8,L$11,FALSE)+Matrix!$D$2)*IF($D32="NJ",1.07,1))/$L$10,CHOOSE($M$10,$L$9,$M$9)))</f>
        <v xml:space="preserve"> 35.16 </v>
      </c>
      <c r="M32" s="178" t="str">
        <f>IF(AND($D$11="IL",$E32="AMEREN"),"NA",TEXT((SUMPRODUCT(((LMPMain!$H$9:$H$1000)=$E32)*((LMPMain!$J$9:$J$1000)=$F32)*((LMPMain!$O$9:$O$1000)=$C32)*(LMPMain!S$9:S$1000))+(SUMPRODUCT(((Adders!$D$13:$D$101)=$E32)*((Adders!$E$13:$E$101)=$F32)*(Adders!H$13:H$101))+VLOOKUP($H32,Adders!$B$5:$G$8,M$11,FALSE)+Matrix!$D$2)*IF($D32="NJ",1.07,1))/$L$10,CHOOSE($M$10,$L$9,$M$9)))</f>
        <v xml:space="preserve"> 34.05 </v>
      </c>
      <c r="N32" s="179" t="str">
        <f>IF(AND($D$11="IL",$E32="AMEREN"),"NA",TEXT((SUMPRODUCT(((LMPMain!$H$9:$H$1000)=$E32)*((LMPMain!$J$9:$J$1000)=$F32)*((LMPMain!$O$9:$O$1000)=$C32)*(LMPMain!T$9:T$1000))+(SUMPRODUCT(((Adders!$D$13:$D$101)=$E32)*((Adders!$E$13:$E$101)=$F32)*(Adders!G$13:G$101))+VLOOKUP($H32,Adders!$B$5:$G$8,N$11,FALSE)+Matrix!$D$2)*IF($D32="NJ",1.07,1))/$L$10,CHOOSE($M$10,$L$9,$M$9)))</f>
        <v xml:space="preserve"> 35.01 </v>
      </c>
      <c r="O32" s="112"/>
    </row>
    <row r="33" spans="2:15" x14ac:dyDescent="0.25">
      <c r="B33" s="160" t="s">
        <v>664</v>
      </c>
      <c r="C33" s="131">
        <f>+C32</f>
        <v>42339</v>
      </c>
      <c r="D33" s="132" t="s">
        <v>6</v>
      </c>
      <c r="E33" s="133" t="s">
        <v>48</v>
      </c>
      <c r="F33" s="132" t="s">
        <v>7</v>
      </c>
      <c r="G33" s="133" t="str">
        <f t="shared" si="0"/>
        <v>General Service</v>
      </c>
      <c r="H33" s="134" t="s">
        <v>62</v>
      </c>
      <c r="I33" s="173" t="str">
        <f>TEXT(   (SUMPRODUCT( ((Main!$H$9:$H$1000)=$E33)*((Main!$J$9:$J$1000)=$F33)*((Main!$O$9:$O$1000)=$C33)*(Main!R$9:R$1000) ) +  ( SUMPRODUCT( ((Adders!$D$13:$D$101)=$E33)*((Adders!$E$13:$E$101)=$F33)*(Adders!G$13:G$101)) + VLOOKUP($H33,Adders!$B$5:$G$8,L$11,FALSE)  +  PA!$D$2 ) * IF($D33="NJ",1.07,1))/$L$10, CHOOSE($M$10,$L$9,$M$9) )</f>
        <v xml:space="preserve"> 71.82 </v>
      </c>
      <c r="J33" s="173" t="str">
        <f>TEXT(   (SUMPRODUCT( ((Main!$H$9:$H$1000)=$E33)*((Main!$J$9:$J$1000)=$F33)*((Main!$O$9:$O$1000)=$C33)*(Main!S$9:S$1000) ) +  ( SUMPRODUCT( ((Adders!$D$13:$D$101)=$E33)*((Adders!$E$13:$E$101)=$F33)*(Adders!H$13:H$101)) + VLOOKUP($H33,Adders!$B$5:$G$8,M$11,FALSE)  +  PA!$D$2 ) * IF($D33="NJ",1.07,1))/$L$10, CHOOSE($M$10,$L$9,$M$9) )</f>
        <v xml:space="preserve"> 71.50 </v>
      </c>
      <c r="K33" s="174" t="str">
        <f>TEXT(   (SUMPRODUCT( ((Main!$H$9:$H$1000)=$E33)*((Main!$J$9:$J$1000)=$F33)*((Main!$O$9:$O$1000)=$C33)*(Main!T$9:T$1000) ) +  ( SUMPRODUCT( ((Adders!$D$13:$D$101)=$E33)*((Adders!$E$13:$E$101)=$F33)*(Adders!I$13:I$101)) + VLOOKUP($H33,Adders!$B$5:$G$8,N$11,FALSE)  +  PA!$D$2 ) * IF($D33="NJ",1.07,1))/$L$10, CHOOSE($M$10,$L$9,$M$9) )</f>
        <v xml:space="preserve"> 72.21 </v>
      </c>
      <c r="L33" s="173" t="str">
        <f>IF(AND($D$11="IL",$E33="AMEREN"),"NA",TEXT((SUMPRODUCT(((LMPMain!$H$9:$H$1000)=$E33)*((LMPMain!$J$9:$J$1000)=$F33)*((LMPMain!$O$9:$O$1000)=$C33)*(LMPMain!R$9:R$1000))+(SUMPRODUCT(((Adders!$D$13:$D$101)=$E33)*((Adders!$E$13:$E$101)=$F33)*(Adders!G$13:G$101))+VLOOKUP($H33,Adders!$B$5:$G$8,L$11,FALSE)+Matrix!$D$2)*IF($D33="NJ",1.07,1))/$L$10,CHOOSE($M$10,$L$9,$M$9)))</f>
        <v xml:space="preserve"> 33.56 </v>
      </c>
      <c r="M33" s="173" t="str">
        <f>IF(AND($D$11="IL",$E33="AMEREN"),"NA",TEXT((SUMPRODUCT(((LMPMain!$H$9:$H$1000)=$E33)*((LMPMain!$J$9:$J$1000)=$F33)*((LMPMain!$O$9:$O$1000)=$C33)*(LMPMain!S$9:S$1000))+(SUMPRODUCT(((Adders!$D$13:$D$101)=$E33)*((Adders!$E$13:$E$101)=$F33)*(Adders!H$13:H$101))+VLOOKUP($H33,Adders!$B$5:$G$8,M$11,FALSE)+Matrix!$D$2)*IF($D33="NJ",1.07,1))/$L$10,CHOOSE($M$10,$L$9,$M$9)))</f>
        <v xml:space="preserve"> 32.45 </v>
      </c>
      <c r="N33" s="174" t="str">
        <f>IF(AND($D$11="IL",$E33="AMEREN"),"NA",TEXT((SUMPRODUCT(((LMPMain!$H$9:$H$1000)=$E33)*((LMPMain!$J$9:$J$1000)=$F33)*((LMPMain!$O$9:$O$1000)=$C33)*(LMPMain!T$9:T$1000))+(SUMPRODUCT(((Adders!$D$13:$D$101)=$E33)*((Adders!$E$13:$E$101)=$F33)*(Adders!G$13:G$101))+VLOOKUP($H33,Adders!$B$5:$G$8,N$11,FALSE)+Matrix!$D$2)*IF($D33="NJ",1.07,1))/$L$10,CHOOSE($M$10,$L$9,$M$9)))</f>
        <v xml:space="preserve"> 33.41 </v>
      </c>
      <c r="O33" s="112"/>
    </row>
    <row r="34" spans="2:15" x14ac:dyDescent="0.25">
      <c r="B34" s="160" t="s">
        <v>664</v>
      </c>
      <c r="C34" s="135">
        <f>+C33</f>
        <v>42339</v>
      </c>
      <c r="D34" s="136" t="s">
        <v>6</v>
      </c>
      <c r="E34" s="137" t="s">
        <v>48</v>
      </c>
      <c r="F34" s="136" t="s">
        <v>7</v>
      </c>
      <c r="G34" s="137" t="str">
        <f t="shared" si="0"/>
        <v>General Service</v>
      </c>
      <c r="H34" s="138" t="s">
        <v>690</v>
      </c>
      <c r="I34" s="176" t="str">
        <f>TEXT(   (SUMPRODUCT( ((Main!$H$9:$H$1000)=$E34)*((Main!$J$9:$J$1000)=$F34)*((Main!$O$9:$O$1000)=$C34)*(Main!R$9:R$1000) ) +  ( SUMPRODUCT( ((Adders!$D$13:$D$101)=$E34)*((Adders!$E$13:$E$101)=$F34)*(Adders!G$13:G$101)) + VLOOKUP($H34,Adders!$B$5:$G$8,L$11,FALSE)  +  PA!$D$2 ) * IF($D34="NJ",1.07,1))/$L$10, CHOOSE($M$10,$L$9,$M$9) )</f>
        <v xml:space="preserve"> 70.77 </v>
      </c>
      <c r="J34" s="176" t="str">
        <f>TEXT(   (SUMPRODUCT( ((Main!$H$9:$H$1000)=$E34)*((Main!$J$9:$J$1000)=$F34)*((Main!$O$9:$O$1000)=$C34)*(Main!S$9:S$1000) ) +  ( SUMPRODUCT( ((Adders!$D$13:$D$101)=$E34)*((Adders!$E$13:$E$101)=$F34)*(Adders!H$13:H$101)) + VLOOKUP($H34,Adders!$B$5:$G$8,M$11,FALSE)  +  PA!$D$2 ) * IF($D34="NJ",1.07,1))/$L$10, CHOOSE($M$10,$L$9,$M$9) )</f>
        <v xml:space="preserve"> 70.45 </v>
      </c>
      <c r="K34" s="177" t="str">
        <f>TEXT(   (SUMPRODUCT( ((Main!$H$9:$H$1000)=$E34)*((Main!$J$9:$J$1000)=$F34)*((Main!$O$9:$O$1000)=$C34)*(Main!T$9:T$1000) ) +  ( SUMPRODUCT( ((Adders!$D$13:$D$101)=$E34)*((Adders!$E$13:$E$101)=$F34)*(Adders!I$13:I$101)) + VLOOKUP($H34,Adders!$B$5:$G$8,N$11,FALSE)  +  PA!$D$2 ) * IF($D34="NJ",1.07,1))/$L$10, CHOOSE($M$10,$L$9,$M$9) )</f>
        <v xml:space="preserve"> 71.16 </v>
      </c>
      <c r="L34" s="176" t="str">
        <f>IF(AND($D$11="IL",$E34="AMEREN"),"NA",TEXT((SUMPRODUCT(((LMPMain!$H$9:$H$1000)=$E34)*((LMPMain!$J$9:$J$1000)=$F34)*((LMPMain!$O$9:$O$1000)=$C34)*(LMPMain!R$9:R$1000))+(SUMPRODUCT(((Adders!$D$13:$D$101)=$E34)*((Adders!$E$13:$E$101)=$F34)*(Adders!G$13:G$101))+VLOOKUP($H34,Adders!$B$5:$G$8,L$11,FALSE)+Matrix!$D$2)*IF($D34="NJ",1.07,1))/$L$10,CHOOSE($M$10,$L$9,$M$9)))</f>
        <v xml:space="preserve"> 32.51 </v>
      </c>
      <c r="M34" s="176" t="str">
        <f>IF(AND($D$11="IL",$E34="AMEREN"),"NA",TEXT((SUMPRODUCT(((LMPMain!$H$9:$H$1000)=$E34)*((LMPMain!$J$9:$J$1000)=$F34)*((LMPMain!$O$9:$O$1000)=$C34)*(LMPMain!S$9:S$1000))+(SUMPRODUCT(((Adders!$D$13:$D$101)=$E34)*((Adders!$E$13:$E$101)=$F34)*(Adders!H$13:H$101))+VLOOKUP($H34,Adders!$B$5:$G$8,M$11,FALSE)+Matrix!$D$2)*IF($D34="NJ",1.07,1))/$L$10,CHOOSE($M$10,$L$9,$M$9)))</f>
        <v xml:space="preserve"> 31.40 </v>
      </c>
      <c r="N34" s="177" t="str">
        <f>IF(AND($D$11="IL",$E34="AMEREN"),"NA",TEXT((SUMPRODUCT(((LMPMain!$H$9:$H$1000)=$E34)*((LMPMain!$J$9:$J$1000)=$F34)*((LMPMain!$O$9:$O$1000)=$C34)*(LMPMain!T$9:T$1000))+(SUMPRODUCT(((Adders!$D$13:$D$101)=$E34)*((Adders!$E$13:$E$101)=$F34)*(Adders!G$13:G$101))+VLOOKUP($H34,Adders!$B$5:$G$8,N$11,FALSE)+Matrix!$D$2)*IF($D34="NJ",1.07,1))/$L$10,CHOOSE($M$10,$L$9,$M$9)))</f>
        <v xml:space="preserve"> 32.36 </v>
      </c>
      <c r="O34" s="112"/>
    </row>
    <row r="35" spans="2:15" x14ac:dyDescent="0.25">
      <c r="B35" s="160" t="s">
        <v>664</v>
      </c>
      <c r="C35" s="127">
        <f>DATE(YEAR(C34),MONTH(C34)+1,0)+1</f>
        <v>42370</v>
      </c>
      <c r="D35" s="128" t="s">
        <v>6</v>
      </c>
      <c r="E35" s="129" t="s">
        <v>48</v>
      </c>
      <c r="F35" s="128" t="s">
        <v>7</v>
      </c>
      <c r="G35" s="129" t="str">
        <f t="shared" si="0"/>
        <v>General Service</v>
      </c>
      <c r="H35" s="130" t="s">
        <v>61</v>
      </c>
      <c r="I35" s="178" t="str">
        <f>TEXT(   (SUMPRODUCT( ((Main!$H$9:$H$1000)=$E35)*((Main!$J$9:$J$1000)=$F35)*((Main!$O$9:$O$1000)=$C35)*(Main!R$9:R$1000) ) +  ( SUMPRODUCT( ((Adders!$D$13:$D$101)=$E35)*((Adders!$E$13:$E$101)=$F35)*(Adders!G$13:G$101)) + VLOOKUP($H35,Adders!$B$5:$G$8,L$11,FALSE)  +  PA!$D$2 ) * IF($D35="NJ",1.07,1))/$L$10, CHOOSE($M$10,$L$9,$M$9) )</f>
        <v xml:space="preserve"> 72.70 </v>
      </c>
      <c r="J35" s="178" t="str">
        <f>TEXT(   (SUMPRODUCT( ((Main!$H$9:$H$1000)=$E35)*((Main!$J$9:$J$1000)=$F35)*((Main!$O$9:$O$1000)=$C35)*(Main!S$9:S$1000) ) +  ( SUMPRODUCT( ((Adders!$D$13:$D$101)=$E35)*((Adders!$E$13:$E$101)=$F35)*(Adders!H$13:H$101)) + VLOOKUP($H35,Adders!$B$5:$G$8,M$11,FALSE)  +  PA!$D$2 ) * IF($D35="NJ",1.07,1))/$L$10, CHOOSE($M$10,$L$9,$M$9) )</f>
        <v xml:space="preserve"> 73.18 </v>
      </c>
      <c r="K35" s="179" t="str">
        <f>TEXT(   (SUMPRODUCT( ((Main!$H$9:$H$1000)=$E35)*((Main!$J$9:$J$1000)=$F35)*((Main!$O$9:$O$1000)=$C35)*(Main!T$9:T$1000) ) +  ( SUMPRODUCT( ((Adders!$D$13:$D$101)=$E35)*((Adders!$E$13:$E$101)=$F35)*(Adders!I$13:I$101)) + VLOOKUP($H35,Adders!$B$5:$G$8,N$11,FALSE)  +  PA!$D$2 ) * IF($D35="NJ",1.07,1))/$L$10, CHOOSE($M$10,$L$9,$M$9) )</f>
        <v xml:space="preserve"> 73.76 </v>
      </c>
      <c r="L35" s="178" t="str">
        <f>IF(AND($D$11="IL",$E35="AMEREN"),"NA",TEXT((SUMPRODUCT(((LMPMain!$H$9:$H$1000)=$E35)*((LMPMain!$J$9:$J$1000)=$F35)*((LMPMain!$O$9:$O$1000)=$C35)*(LMPMain!R$9:R$1000))+(SUMPRODUCT(((Adders!$D$13:$D$101)=$E35)*((Adders!$E$13:$E$101)=$F35)*(Adders!G$13:G$101))+VLOOKUP($H35,Adders!$B$5:$G$8,L$11,FALSE)+Matrix!$D$2)*IF($D35="NJ",1.07,1))/$L$10,CHOOSE($M$10,$L$9,$M$9)))</f>
        <v xml:space="preserve"> 34.52 </v>
      </c>
      <c r="M35" s="178" t="str">
        <f>IF(AND($D$11="IL",$E35="AMEREN"),"NA",TEXT((SUMPRODUCT(((LMPMain!$H$9:$H$1000)=$E35)*((LMPMain!$J$9:$J$1000)=$F35)*((LMPMain!$O$9:$O$1000)=$C35)*(LMPMain!S$9:S$1000))+(SUMPRODUCT(((Adders!$D$13:$D$101)=$E35)*((Adders!$E$13:$E$101)=$F35)*(Adders!H$13:H$101))+VLOOKUP($H35,Adders!$B$5:$G$8,M$11,FALSE)+Matrix!$D$2)*IF($D35="NJ",1.07,1))/$L$10,CHOOSE($M$10,$L$9,$M$9)))</f>
        <v xml:space="preserve"> 34.04 </v>
      </c>
      <c r="N35" s="179" t="str">
        <f>IF(AND($D$11="IL",$E35="AMEREN"),"NA",TEXT((SUMPRODUCT(((LMPMain!$H$9:$H$1000)=$E35)*((LMPMain!$J$9:$J$1000)=$F35)*((LMPMain!$O$9:$O$1000)=$C35)*(LMPMain!T$9:T$1000))+(SUMPRODUCT(((Adders!$D$13:$D$101)=$E35)*((Adders!$E$13:$E$101)=$F35)*(Adders!G$13:G$101))+VLOOKUP($H35,Adders!$B$5:$G$8,N$11,FALSE)+Matrix!$D$2)*IF($D35="NJ",1.07,1))/$L$10,CHOOSE($M$10,$L$9,$M$9)))</f>
        <v xml:space="preserve"> 34.99 </v>
      </c>
      <c r="O35" s="112"/>
    </row>
    <row r="36" spans="2:15" x14ac:dyDescent="0.25">
      <c r="B36" s="160" t="s">
        <v>664</v>
      </c>
      <c r="C36" s="131">
        <f>+C35</f>
        <v>42370</v>
      </c>
      <c r="D36" s="132" t="s">
        <v>6</v>
      </c>
      <c r="E36" s="133" t="s">
        <v>48</v>
      </c>
      <c r="F36" s="132" t="s">
        <v>7</v>
      </c>
      <c r="G36" s="133" t="str">
        <f t="shared" si="0"/>
        <v>General Service</v>
      </c>
      <c r="H36" s="134" t="s">
        <v>62</v>
      </c>
      <c r="I36" s="173" t="str">
        <f>TEXT(   (SUMPRODUCT( ((Main!$H$9:$H$1000)=$E36)*((Main!$J$9:$J$1000)=$F36)*((Main!$O$9:$O$1000)=$C36)*(Main!R$9:R$1000) ) +  ( SUMPRODUCT( ((Adders!$D$13:$D$101)=$E36)*((Adders!$E$13:$E$101)=$F36)*(Adders!G$13:G$101)) + VLOOKUP($H36,Adders!$B$5:$G$8,L$11,FALSE)  +  PA!$D$2 ) * IF($D36="NJ",1.07,1))/$L$10, CHOOSE($M$10,$L$9,$M$9) )</f>
        <v xml:space="preserve"> 71.10 </v>
      </c>
      <c r="J36" s="173" t="str">
        <f>TEXT(   (SUMPRODUCT( ((Main!$H$9:$H$1000)=$E36)*((Main!$J$9:$J$1000)=$F36)*((Main!$O$9:$O$1000)=$C36)*(Main!S$9:S$1000) ) +  ( SUMPRODUCT( ((Adders!$D$13:$D$101)=$E36)*((Adders!$E$13:$E$101)=$F36)*(Adders!H$13:H$101)) + VLOOKUP($H36,Adders!$B$5:$G$8,M$11,FALSE)  +  PA!$D$2 ) * IF($D36="NJ",1.07,1))/$L$10, CHOOSE($M$10,$L$9,$M$9) )</f>
        <v xml:space="preserve"> 71.58 </v>
      </c>
      <c r="K36" s="174" t="str">
        <f>TEXT(   (SUMPRODUCT( ((Main!$H$9:$H$1000)=$E36)*((Main!$J$9:$J$1000)=$F36)*((Main!$O$9:$O$1000)=$C36)*(Main!T$9:T$1000) ) +  ( SUMPRODUCT( ((Adders!$D$13:$D$101)=$E36)*((Adders!$E$13:$E$101)=$F36)*(Adders!I$13:I$101)) + VLOOKUP($H36,Adders!$B$5:$G$8,N$11,FALSE)  +  PA!$D$2 ) * IF($D36="NJ",1.07,1))/$L$10, CHOOSE($M$10,$L$9,$M$9) )</f>
        <v xml:space="preserve"> 72.16 </v>
      </c>
      <c r="L36" s="173" t="str">
        <f>IF(AND($D$11="IL",$E36="AMEREN"),"NA",TEXT((SUMPRODUCT(((LMPMain!$H$9:$H$1000)=$E36)*((LMPMain!$J$9:$J$1000)=$F36)*((LMPMain!$O$9:$O$1000)=$C36)*(LMPMain!R$9:R$1000))+(SUMPRODUCT(((Adders!$D$13:$D$101)=$E36)*((Adders!$E$13:$E$101)=$F36)*(Adders!G$13:G$101))+VLOOKUP($H36,Adders!$B$5:$G$8,L$11,FALSE)+Matrix!$D$2)*IF($D36="NJ",1.07,1))/$L$10,CHOOSE($M$10,$L$9,$M$9)))</f>
        <v xml:space="preserve"> 32.92 </v>
      </c>
      <c r="M36" s="173" t="str">
        <f>IF(AND($D$11="IL",$E36="AMEREN"),"NA",TEXT((SUMPRODUCT(((LMPMain!$H$9:$H$1000)=$E36)*((LMPMain!$J$9:$J$1000)=$F36)*((LMPMain!$O$9:$O$1000)=$C36)*(LMPMain!S$9:S$1000))+(SUMPRODUCT(((Adders!$D$13:$D$101)=$E36)*((Adders!$E$13:$E$101)=$F36)*(Adders!H$13:H$101))+VLOOKUP($H36,Adders!$B$5:$G$8,M$11,FALSE)+Matrix!$D$2)*IF($D36="NJ",1.07,1))/$L$10,CHOOSE($M$10,$L$9,$M$9)))</f>
        <v xml:space="preserve"> 32.44 </v>
      </c>
      <c r="N36" s="174" t="str">
        <f>IF(AND($D$11="IL",$E36="AMEREN"),"NA",TEXT((SUMPRODUCT(((LMPMain!$H$9:$H$1000)=$E36)*((LMPMain!$J$9:$J$1000)=$F36)*((LMPMain!$O$9:$O$1000)=$C36)*(LMPMain!T$9:T$1000))+(SUMPRODUCT(((Adders!$D$13:$D$101)=$E36)*((Adders!$E$13:$E$101)=$F36)*(Adders!G$13:G$101))+VLOOKUP($H36,Adders!$B$5:$G$8,N$11,FALSE)+Matrix!$D$2)*IF($D36="NJ",1.07,1))/$L$10,CHOOSE($M$10,$L$9,$M$9)))</f>
        <v xml:space="preserve"> 33.39 </v>
      </c>
      <c r="O36" s="112"/>
    </row>
    <row r="37" spans="2:15" x14ac:dyDescent="0.25">
      <c r="B37" s="160" t="s">
        <v>664</v>
      </c>
      <c r="C37" s="135">
        <f>+C36</f>
        <v>42370</v>
      </c>
      <c r="D37" s="136" t="s">
        <v>6</v>
      </c>
      <c r="E37" s="137" t="s">
        <v>48</v>
      </c>
      <c r="F37" s="136" t="s">
        <v>7</v>
      </c>
      <c r="G37" s="137" t="str">
        <f t="shared" si="0"/>
        <v>General Service</v>
      </c>
      <c r="H37" s="138" t="s">
        <v>690</v>
      </c>
      <c r="I37" s="176" t="str">
        <f>TEXT(   (SUMPRODUCT( ((Main!$H$9:$H$1000)=$E37)*((Main!$J$9:$J$1000)=$F37)*((Main!$O$9:$O$1000)=$C37)*(Main!R$9:R$1000) ) +  ( SUMPRODUCT( ((Adders!$D$13:$D$101)=$E37)*((Adders!$E$13:$E$101)=$F37)*(Adders!G$13:G$101)) + VLOOKUP($H37,Adders!$B$5:$G$8,L$11,FALSE)  +  PA!$D$2 ) * IF($D37="NJ",1.07,1))/$L$10, CHOOSE($M$10,$L$9,$M$9) )</f>
        <v xml:space="preserve"> 70.05 </v>
      </c>
      <c r="J37" s="176" t="str">
        <f>TEXT(   (SUMPRODUCT( ((Main!$H$9:$H$1000)=$E37)*((Main!$J$9:$J$1000)=$F37)*((Main!$O$9:$O$1000)=$C37)*(Main!S$9:S$1000) ) +  ( SUMPRODUCT( ((Adders!$D$13:$D$101)=$E37)*((Adders!$E$13:$E$101)=$F37)*(Adders!H$13:H$101)) + VLOOKUP($H37,Adders!$B$5:$G$8,M$11,FALSE)  +  PA!$D$2 ) * IF($D37="NJ",1.07,1))/$L$10, CHOOSE($M$10,$L$9,$M$9) )</f>
        <v xml:space="preserve"> 70.53 </v>
      </c>
      <c r="K37" s="177" t="str">
        <f>TEXT(   (SUMPRODUCT( ((Main!$H$9:$H$1000)=$E37)*((Main!$J$9:$J$1000)=$F37)*((Main!$O$9:$O$1000)=$C37)*(Main!T$9:T$1000) ) +  ( SUMPRODUCT( ((Adders!$D$13:$D$101)=$E37)*((Adders!$E$13:$E$101)=$F37)*(Adders!I$13:I$101)) + VLOOKUP($H37,Adders!$B$5:$G$8,N$11,FALSE)  +  PA!$D$2 ) * IF($D37="NJ",1.07,1))/$L$10, CHOOSE($M$10,$L$9,$M$9) )</f>
        <v xml:space="preserve"> 71.11 </v>
      </c>
      <c r="L37" s="176" t="str">
        <f>IF(AND($D$11="IL",$E37="AMEREN"),"NA",TEXT((SUMPRODUCT(((LMPMain!$H$9:$H$1000)=$E37)*((LMPMain!$J$9:$J$1000)=$F37)*((LMPMain!$O$9:$O$1000)=$C37)*(LMPMain!R$9:R$1000))+(SUMPRODUCT(((Adders!$D$13:$D$101)=$E37)*((Adders!$E$13:$E$101)=$F37)*(Adders!G$13:G$101))+VLOOKUP($H37,Adders!$B$5:$G$8,L$11,FALSE)+Matrix!$D$2)*IF($D37="NJ",1.07,1))/$L$10,CHOOSE($M$10,$L$9,$M$9)))</f>
        <v xml:space="preserve"> 31.87 </v>
      </c>
      <c r="M37" s="176" t="str">
        <f>IF(AND($D$11="IL",$E37="AMEREN"),"NA",TEXT((SUMPRODUCT(((LMPMain!$H$9:$H$1000)=$E37)*((LMPMain!$J$9:$J$1000)=$F37)*((LMPMain!$O$9:$O$1000)=$C37)*(LMPMain!S$9:S$1000))+(SUMPRODUCT(((Adders!$D$13:$D$101)=$E37)*((Adders!$E$13:$E$101)=$F37)*(Adders!H$13:H$101))+VLOOKUP($H37,Adders!$B$5:$G$8,M$11,FALSE)+Matrix!$D$2)*IF($D37="NJ",1.07,1))/$L$10,CHOOSE($M$10,$L$9,$M$9)))</f>
        <v xml:space="preserve"> 31.39 </v>
      </c>
      <c r="N37" s="177" t="str">
        <f>IF(AND($D$11="IL",$E37="AMEREN"),"NA",TEXT((SUMPRODUCT(((LMPMain!$H$9:$H$1000)=$E37)*((LMPMain!$J$9:$J$1000)=$F37)*((LMPMain!$O$9:$O$1000)=$C37)*(LMPMain!T$9:T$1000))+(SUMPRODUCT(((Adders!$D$13:$D$101)=$E37)*((Adders!$E$13:$E$101)=$F37)*(Adders!G$13:G$101))+VLOOKUP($H37,Adders!$B$5:$G$8,N$11,FALSE)+Matrix!$D$2)*IF($D37="NJ",1.07,1))/$L$10,CHOOSE($M$10,$L$9,$M$9)))</f>
        <v xml:space="preserve"> 32.34 </v>
      </c>
      <c r="O37" s="112"/>
    </row>
    <row r="38" spans="2:15" x14ac:dyDescent="0.25">
      <c r="B38" s="160" t="s">
        <v>664</v>
      </c>
      <c r="C38" s="127">
        <f>DATE(YEAR(C37),MONTH(C37)+1,0)+1</f>
        <v>42401</v>
      </c>
      <c r="D38" s="128" t="s">
        <v>6</v>
      </c>
      <c r="E38" s="129" t="s">
        <v>48</v>
      </c>
      <c r="F38" s="128" t="s">
        <v>7</v>
      </c>
      <c r="G38" s="129" t="str">
        <f t="shared" si="0"/>
        <v>General Service</v>
      </c>
      <c r="H38" s="130" t="s">
        <v>61</v>
      </c>
      <c r="I38" s="178" t="str">
        <f>TEXT(   (SUMPRODUCT( ((Main!$H$9:$H$1000)=$E38)*((Main!$J$9:$J$1000)=$F38)*((Main!$O$9:$O$1000)=$C38)*(Main!R$9:R$1000) ) +  ( SUMPRODUCT( ((Adders!$D$13:$D$101)=$E38)*((Adders!$E$13:$E$101)=$F38)*(Adders!G$13:G$101)) + VLOOKUP($H38,Adders!$B$5:$G$8,L$11,FALSE)  +  PA!$D$2 ) * IF($D38="NJ",1.07,1))/$L$10, CHOOSE($M$10,$L$9,$M$9) )</f>
        <v xml:space="preserve"> 72.35 </v>
      </c>
      <c r="J38" s="178" t="str">
        <f>TEXT(   (SUMPRODUCT( ((Main!$H$9:$H$1000)=$E38)*((Main!$J$9:$J$1000)=$F38)*((Main!$O$9:$O$1000)=$C38)*(Main!S$9:S$1000) ) +  ( SUMPRODUCT( ((Adders!$D$13:$D$101)=$E38)*((Adders!$E$13:$E$101)=$F38)*(Adders!H$13:H$101)) + VLOOKUP($H38,Adders!$B$5:$G$8,M$11,FALSE)  +  PA!$D$2 ) * IF($D38="NJ",1.07,1))/$L$10, CHOOSE($M$10,$L$9,$M$9) )</f>
        <v xml:space="preserve"> 73.00 </v>
      </c>
      <c r="K38" s="179" t="str">
        <f>TEXT(   (SUMPRODUCT( ((Main!$H$9:$H$1000)=$E38)*((Main!$J$9:$J$1000)=$F38)*((Main!$O$9:$O$1000)=$C38)*(Main!T$9:T$1000) ) +  ( SUMPRODUCT( ((Adders!$D$13:$D$101)=$E38)*((Adders!$E$13:$E$101)=$F38)*(Adders!I$13:I$101)) + VLOOKUP($H38,Adders!$B$5:$G$8,N$11,FALSE)  +  PA!$D$2 ) * IF($D38="NJ",1.07,1))/$L$10, CHOOSE($M$10,$L$9,$M$9) )</f>
        <v xml:space="preserve"> 73.95 </v>
      </c>
      <c r="L38" s="178" t="str">
        <f>IF(AND($D$11="IL",$E38="AMEREN"),"NA",TEXT((SUMPRODUCT(((LMPMain!$H$9:$H$1000)=$E38)*((LMPMain!$J$9:$J$1000)=$F38)*((LMPMain!$O$9:$O$1000)=$C38)*(LMPMain!R$9:R$1000))+(SUMPRODUCT(((Adders!$D$13:$D$101)=$E38)*((Adders!$E$13:$E$101)=$F38)*(Adders!G$13:G$101))+VLOOKUP($H38,Adders!$B$5:$G$8,L$11,FALSE)+Matrix!$D$2)*IF($D38="NJ",1.07,1))/$L$10,CHOOSE($M$10,$L$9,$M$9)))</f>
        <v xml:space="preserve"> 33.87 </v>
      </c>
      <c r="M38" s="178" t="str">
        <f>IF(AND($D$11="IL",$E38="AMEREN"),"NA",TEXT((SUMPRODUCT(((LMPMain!$H$9:$H$1000)=$E38)*((LMPMain!$J$9:$J$1000)=$F38)*((LMPMain!$O$9:$O$1000)=$C38)*(LMPMain!S$9:S$1000))+(SUMPRODUCT(((Adders!$D$13:$D$101)=$E38)*((Adders!$E$13:$E$101)=$F38)*(Adders!H$13:H$101))+VLOOKUP($H38,Adders!$B$5:$G$8,M$11,FALSE)+Matrix!$D$2)*IF($D38="NJ",1.07,1))/$L$10,CHOOSE($M$10,$L$9,$M$9)))</f>
        <v xml:space="preserve"> 33.89 </v>
      </c>
      <c r="N38" s="179" t="str">
        <f>IF(AND($D$11="IL",$E38="AMEREN"),"NA",TEXT((SUMPRODUCT(((LMPMain!$H$9:$H$1000)=$E38)*((LMPMain!$J$9:$J$1000)=$F38)*((LMPMain!$O$9:$O$1000)=$C38)*(LMPMain!T$9:T$1000))+(SUMPRODUCT(((Adders!$D$13:$D$101)=$E38)*((Adders!$E$13:$E$101)=$F38)*(Adders!G$13:G$101))+VLOOKUP($H38,Adders!$B$5:$G$8,N$11,FALSE)+Matrix!$D$2)*IF($D38="NJ",1.07,1))/$L$10,CHOOSE($M$10,$L$9,$M$9)))</f>
        <v xml:space="preserve"> 34.97 </v>
      </c>
      <c r="O38" s="112"/>
    </row>
    <row r="39" spans="2:15" x14ac:dyDescent="0.25">
      <c r="B39" s="160" t="s">
        <v>664</v>
      </c>
      <c r="C39" s="131">
        <f>+C38</f>
        <v>42401</v>
      </c>
      <c r="D39" s="132" t="s">
        <v>6</v>
      </c>
      <c r="E39" s="133" t="s">
        <v>48</v>
      </c>
      <c r="F39" s="132" t="s">
        <v>7</v>
      </c>
      <c r="G39" s="133" t="str">
        <f t="shared" si="0"/>
        <v>General Service</v>
      </c>
      <c r="H39" s="134" t="s">
        <v>62</v>
      </c>
      <c r="I39" s="173" t="str">
        <f>TEXT(   (SUMPRODUCT( ((Main!$H$9:$H$1000)=$E39)*((Main!$J$9:$J$1000)=$F39)*((Main!$O$9:$O$1000)=$C39)*(Main!R$9:R$1000) ) +  ( SUMPRODUCT( ((Adders!$D$13:$D$101)=$E39)*((Adders!$E$13:$E$101)=$F39)*(Adders!G$13:G$101)) + VLOOKUP($H39,Adders!$B$5:$G$8,L$11,FALSE)  +  PA!$D$2 ) * IF($D39="NJ",1.07,1))/$L$10, CHOOSE($M$10,$L$9,$M$9) )</f>
        <v xml:space="preserve"> 70.75 </v>
      </c>
      <c r="J39" s="173" t="str">
        <f>TEXT(   (SUMPRODUCT( ((Main!$H$9:$H$1000)=$E39)*((Main!$J$9:$J$1000)=$F39)*((Main!$O$9:$O$1000)=$C39)*(Main!S$9:S$1000) ) +  ( SUMPRODUCT( ((Adders!$D$13:$D$101)=$E39)*((Adders!$E$13:$E$101)=$F39)*(Adders!H$13:H$101)) + VLOOKUP($H39,Adders!$B$5:$G$8,M$11,FALSE)  +  PA!$D$2 ) * IF($D39="NJ",1.07,1))/$L$10, CHOOSE($M$10,$L$9,$M$9) )</f>
        <v xml:space="preserve"> 71.40 </v>
      </c>
      <c r="K39" s="174" t="str">
        <f>TEXT(   (SUMPRODUCT( ((Main!$H$9:$H$1000)=$E39)*((Main!$J$9:$J$1000)=$F39)*((Main!$O$9:$O$1000)=$C39)*(Main!T$9:T$1000) ) +  ( SUMPRODUCT( ((Adders!$D$13:$D$101)=$E39)*((Adders!$E$13:$E$101)=$F39)*(Adders!I$13:I$101)) + VLOOKUP($H39,Adders!$B$5:$G$8,N$11,FALSE)  +  PA!$D$2 ) * IF($D39="NJ",1.07,1))/$L$10, CHOOSE($M$10,$L$9,$M$9) )</f>
        <v xml:space="preserve"> 72.35 </v>
      </c>
      <c r="L39" s="173" t="str">
        <f>IF(AND($D$11="IL",$E39="AMEREN"),"NA",TEXT((SUMPRODUCT(((LMPMain!$H$9:$H$1000)=$E39)*((LMPMain!$J$9:$J$1000)=$F39)*((LMPMain!$O$9:$O$1000)=$C39)*(LMPMain!R$9:R$1000))+(SUMPRODUCT(((Adders!$D$13:$D$101)=$E39)*((Adders!$E$13:$E$101)=$F39)*(Adders!G$13:G$101))+VLOOKUP($H39,Adders!$B$5:$G$8,L$11,FALSE)+Matrix!$D$2)*IF($D39="NJ",1.07,1))/$L$10,CHOOSE($M$10,$L$9,$M$9)))</f>
        <v xml:space="preserve"> 32.27 </v>
      </c>
      <c r="M39" s="173" t="str">
        <f>IF(AND($D$11="IL",$E39="AMEREN"),"NA",TEXT((SUMPRODUCT(((LMPMain!$H$9:$H$1000)=$E39)*((LMPMain!$J$9:$J$1000)=$F39)*((LMPMain!$O$9:$O$1000)=$C39)*(LMPMain!S$9:S$1000))+(SUMPRODUCT(((Adders!$D$13:$D$101)=$E39)*((Adders!$E$13:$E$101)=$F39)*(Adders!H$13:H$101))+VLOOKUP($H39,Adders!$B$5:$G$8,M$11,FALSE)+Matrix!$D$2)*IF($D39="NJ",1.07,1))/$L$10,CHOOSE($M$10,$L$9,$M$9)))</f>
        <v xml:space="preserve"> 32.29 </v>
      </c>
      <c r="N39" s="174" t="str">
        <f>IF(AND($D$11="IL",$E39="AMEREN"),"NA",TEXT((SUMPRODUCT(((LMPMain!$H$9:$H$1000)=$E39)*((LMPMain!$J$9:$J$1000)=$F39)*((LMPMain!$O$9:$O$1000)=$C39)*(LMPMain!T$9:T$1000))+(SUMPRODUCT(((Adders!$D$13:$D$101)=$E39)*((Adders!$E$13:$E$101)=$F39)*(Adders!G$13:G$101))+VLOOKUP($H39,Adders!$B$5:$G$8,N$11,FALSE)+Matrix!$D$2)*IF($D39="NJ",1.07,1))/$L$10,CHOOSE($M$10,$L$9,$M$9)))</f>
        <v xml:space="preserve"> 33.37 </v>
      </c>
      <c r="O39" s="112"/>
    </row>
    <row r="40" spans="2:15" x14ac:dyDescent="0.25">
      <c r="B40" s="160" t="s">
        <v>664</v>
      </c>
      <c r="C40" s="135">
        <f>+C39</f>
        <v>42401</v>
      </c>
      <c r="D40" s="136" t="s">
        <v>6</v>
      </c>
      <c r="E40" s="137" t="s">
        <v>48</v>
      </c>
      <c r="F40" s="136" t="s">
        <v>7</v>
      </c>
      <c r="G40" s="137" t="str">
        <f t="shared" si="0"/>
        <v>General Service</v>
      </c>
      <c r="H40" s="138" t="s">
        <v>690</v>
      </c>
      <c r="I40" s="176" t="str">
        <f>TEXT(   (SUMPRODUCT( ((Main!$H$9:$H$1000)=$E40)*((Main!$J$9:$J$1000)=$F40)*((Main!$O$9:$O$1000)=$C40)*(Main!R$9:R$1000) ) +  ( SUMPRODUCT( ((Adders!$D$13:$D$101)=$E40)*((Adders!$E$13:$E$101)=$F40)*(Adders!G$13:G$101)) + VLOOKUP($H40,Adders!$B$5:$G$8,L$11,FALSE)  +  PA!$D$2 ) * IF($D40="NJ",1.07,1))/$L$10, CHOOSE($M$10,$L$9,$M$9) )</f>
        <v xml:space="preserve"> 69.70 </v>
      </c>
      <c r="J40" s="176" t="str">
        <f>TEXT(   (SUMPRODUCT( ((Main!$H$9:$H$1000)=$E40)*((Main!$J$9:$J$1000)=$F40)*((Main!$O$9:$O$1000)=$C40)*(Main!S$9:S$1000) ) +  ( SUMPRODUCT( ((Adders!$D$13:$D$101)=$E40)*((Adders!$E$13:$E$101)=$F40)*(Adders!H$13:H$101)) + VLOOKUP($H40,Adders!$B$5:$G$8,M$11,FALSE)  +  PA!$D$2 ) * IF($D40="NJ",1.07,1))/$L$10, CHOOSE($M$10,$L$9,$M$9) )</f>
        <v xml:space="preserve"> 70.35 </v>
      </c>
      <c r="K40" s="177" t="str">
        <f>TEXT(   (SUMPRODUCT( ((Main!$H$9:$H$1000)=$E40)*((Main!$J$9:$J$1000)=$F40)*((Main!$O$9:$O$1000)=$C40)*(Main!T$9:T$1000) ) +  ( SUMPRODUCT( ((Adders!$D$13:$D$101)=$E40)*((Adders!$E$13:$E$101)=$F40)*(Adders!I$13:I$101)) + VLOOKUP($H40,Adders!$B$5:$G$8,N$11,FALSE)  +  PA!$D$2 ) * IF($D40="NJ",1.07,1))/$L$10, CHOOSE($M$10,$L$9,$M$9) )</f>
        <v xml:space="preserve"> 71.30 </v>
      </c>
      <c r="L40" s="176" t="str">
        <f>IF(AND($D$11="IL",$E40="AMEREN"),"NA",TEXT((SUMPRODUCT(((LMPMain!$H$9:$H$1000)=$E40)*((LMPMain!$J$9:$J$1000)=$F40)*((LMPMain!$O$9:$O$1000)=$C40)*(LMPMain!R$9:R$1000))+(SUMPRODUCT(((Adders!$D$13:$D$101)=$E40)*((Adders!$E$13:$E$101)=$F40)*(Adders!G$13:G$101))+VLOOKUP($H40,Adders!$B$5:$G$8,L$11,FALSE)+Matrix!$D$2)*IF($D40="NJ",1.07,1))/$L$10,CHOOSE($M$10,$L$9,$M$9)))</f>
        <v xml:space="preserve"> 31.22 </v>
      </c>
      <c r="M40" s="176" t="str">
        <f>IF(AND($D$11="IL",$E40="AMEREN"),"NA",TEXT((SUMPRODUCT(((LMPMain!$H$9:$H$1000)=$E40)*((LMPMain!$J$9:$J$1000)=$F40)*((LMPMain!$O$9:$O$1000)=$C40)*(LMPMain!S$9:S$1000))+(SUMPRODUCT(((Adders!$D$13:$D$101)=$E40)*((Adders!$E$13:$E$101)=$F40)*(Adders!H$13:H$101))+VLOOKUP($H40,Adders!$B$5:$G$8,M$11,FALSE)+Matrix!$D$2)*IF($D40="NJ",1.07,1))/$L$10,CHOOSE($M$10,$L$9,$M$9)))</f>
        <v xml:space="preserve"> 31.24 </v>
      </c>
      <c r="N40" s="177" t="str">
        <f>IF(AND($D$11="IL",$E40="AMEREN"),"NA",TEXT((SUMPRODUCT(((LMPMain!$H$9:$H$1000)=$E40)*((LMPMain!$J$9:$J$1000)=$F40)*((LMPMain!$O$9:$O$1000)=$C40)*(LMPMain!T$9:T$1000))+(SUMPRODUCT(((Adders!$D$13:$D$101)=$E40)*((Adders!$E$13:$E$101)=$F40)*(Adders!G$13:G$101))+VLOOKUP($H40,Adders!$B$5:$G$8,N$11,FALSE)+Matrix!$D$2)*IF($D40="NJ",1.07,1))/$L$10,CHOOSE($M$10,$L$9,$M$9)))</f>
        <v xml:space="preserve"> 32.32 </v>
      </c>
      <c r="O40" s="112"/>
    </row>
    <row r="41" spans="2:15" x14ac:dyDescent="0.25">
      <c r="B41" s="160" t="s">
        <v>664</v>
      </c>
      <c r="C41" s="127">
        <f>DATE(YEAR(C40),MONTH(C40)+1,0)+1</f>
        <v>42430</v>
      </c>
      <c r="D41" s="128" t="s">
        <v>6</v>
      </c>
      <c r="E41" s="129" t="s">
        <v>48</v>
      </c>
      <c r="F41" s="128" t="s">
        <v>7</v>
      </c>
      <c r="G41" s="129" t="str">
        <f t="shared" si="0"/>
        <v>General Service</v>
      </c>
      <c r="H41" s="130" t="s">
        <v>61</v>
      </c>
      <c r="I41" s="178" t="str">
        <f>TEXT(   (SUMPRODUCT( ((Main!$H$9:$H$1000)=$E41)*((Main!$J$9:$J$1000)=$F41)*((Main!$O$9:$O$1000)=$C41)*(Main!R$9:R$1000) ) +  ( SUMPRODUCT( ((Adders!$D$13:$D$101)=$E41)*((Adders!$E$13:$E$101)=$F41)*(Adders!G$13:G$101)) + VLOOKUP($H41,Adders!$B$5:$G$8,L$11,FALSE)  +  PA!$D$2 ) * IF($D41="NJ",1.07,1))/$L$10, CHOOSE($M$10,$L$9,$M$9) )</f>
        <v xml:space="preserve"> 71.94 </v>
      </c>
      <c r="J41" s="178" t="str">
        <f>TEXT(   (SUMPRODUCT( ((Main!$H$9:$H$1000)=$E41)*((Main!$J$9:$J$1000)=$F41)*((Main!$O$9:$O$1000)=$C41)*(Main!S$9:S$1000) ) +  ( SUMPRODUCT( ((Adders!$D$13:$D$101)=$E41)*((Adders!$E$13:$E$101)=$F41)*(Adders!H$13:H$101)) + VLOOKUP($H41,Adders!$B$5:$G$8,M$11,FALSE)  +  PA!$D$2 ) * IF($D41="NJ",1.07,1))/$L$10, CHOOSE($M$10,$L$9,$M$9) )</f>
        <v xml:space="preserve"> 72.76 </v>
      </c>
      <c r="K41" s="179" t="str">
        <f>TEXT(   (SUMPRODUCT( ((Main!$H$9:$H$1000)=$E41)*((Main!$J$9:$J$1000)=$F41)*((Main!$O$9:$O$1000)=$C41)*(Main!T$9:T$1000) ) +  ( SUMPRODUCT( ((Adders!$D$13:$D$101)=$E41)*((Adders!$E$13:$E$101)=$F41)*(Adders!I$13:I$101)) + VLOOKUP($H41,Adders!$B$5:$G$8,N$11,FALSE)  +  PA!$D$2 ) * IF($D41="NJ",1.07,1))/$L$10, CHOOSE($M$10,$L$9,$M$9) )</f>
        <v xml:space="preserve"> 74.07 </v>
      </c>
      <c r="L41" s="178" t="str">
        <f>IF(AND($D$11="IL",$E41="AMEREN"),"NA",TEXT((SUMPRODUCT(((LMPMain!$H$9:$H$1000)=$E41)*((LMPMain!$J$9:$J$1000)=$F41)*((LMPMain!$O$9:$O$1000)=$C41)*(LMPMain!R$9:R$1000))+(SUMPRODUCT(((Adders!$D$13:$D$101)=$E41)*((Adders!$E$13:$E$101)=$F41)*(Adders!G$13:G$101))+VLOOKUP($H41,Adders!$B$5:$G$8,L$11,FALSE)+Matrix!$D$2)*IF($D41="NJ",1.07,1))/$L$10,CHOOSE($M$10,$L$9,$M$9)))</f>
        <v xml:space="preserve"> 33.28 </v>
      </c>
      <c r="M41" s="178" t="str">
        <f>IF(AND($D$11="IL",$E41="AMEREN"),"NA",TEXT((SUMPRODUCT(((LMPMain!$H$9:$H$1000)=$E41)*((LMPMain!$J$9:$J$1000)=$F41)*((LMPMain!$O$9:$O$1000)=$C41)*(LMPMain!S$9:S$1000))+(SUMPRODUCT(((Adders!$D$13:$D$101)=$E41)*((Adders!$E$13:$E$101)=$F41)*(Adders!H$13:H$101))+VLOOKUP($H41,Adders!$B$5:$G$8,M$11,FALSE)+Matrix!$D$2)*IF($D41="NJ",1.07,1))/$L$10,CHOOSE($M$10,$L$9,$M$9)))</f>
        <v xml:space="preserve"> 33.74 </v>
      </c>
      <c r="N41" s="179" t="str">
        <f>IF(AND($D$11="IL",$E41="AMEREN"),"NA",TEXT((SUMPRODUCT(((LMPMain!$H$9:$H$1000)=$E41)*((LMPMain!$J$9:$J$1000)=$F41)*((LMPMain!$O$9:$O$1000)=$C41)*(LMPMain!T$9:T$1000))+(SUMPRODUCT(((Adders!$D$13:$D$101)=$E41)*((Adders!$E$13:$E$101)=$F41)*(Adders!G$13:G$101))+VLOOKUP($H41,Adders!$B$5:$G$8,N$11,FALSE)+Matrix!$D$2)*IF($D41="NJ",1.07,1))/$L$10,CHOOSE($M$10,$L$9,$M$9)))</f>
        <v xml:space="preserve"> 34.95 </v>
      </c>
      <c r="O41" s="112"/>
    </row>
    <row r="42" spans="2:15" x14ac:dyDescent="0.25">
      <c r="B42" s="160" t="s">
        <v>664</v>
      </c>
      <c r="C42" s="131">
        <f>+C41</f>
        <v>42430</v>
      </c>
      <c r="D42" s="132" t="s">
        <v>6</v>
      </c>
      <c r="E42" s="133" t="s">
        <v>48</v>
      </c>
      <c r="F42" s="132" t="s">
        <v>7</v>
      </c>
      <c r="G42" s="133" t="str">
        <f t="shared" si="0"/>
        <v>General Service</v>
      </c>
      <c r="H42" s="134" t="s">
        <v>62</v>
      </c>
      <c r="I42" s="173" t="str">
        <f>TEXT(   (SUMPRODUCT( ((Main!$H$9:$H$1000)=$E42)*((Main!$J$9:$J$1000)=$F42)*((Main!$O$9:$O$1000)=$C42)*(Main!R$9:R$1000) ) +  ( SUMPRODUCT( ((Adders!$D$13:$D$101)=$E42)*((Adders!$E$13:$E$101)=$F42)*(Adders!G$13:G$101)) + VLOOKUP($H42,Adders!$B$5:$G$8,L$11,FALSE)  +  PA!$D$2 ) * IF($D42="NJ",1.07,1))/$L$10, CHOOSE($M$10,$L$9,$M$9) )</f>
        <v xml:space="preserve"> 70.34 </v>
      </c>
      <c r="J42" s="173" t="str">
        <f>TEXT(   (SUMPRODUCT( ((Main!$H$9:$H$1000)=$E42)*((Main!$J$9:$J$1000)=$F42)*((Main!$O$9:$O$1000)=$C42)*(Main!S$9:S$1000) ) +  ( SUMPRODUCT( ((Adders!$D$13:$D$101)=$E42)*((Adders!$E$13:$E$101)=$F42)*(Adders!H$13:H$101)) + VLOOKUP($H42,Adders!$B$5:$G$8,M$11,FALSE)  +  PA!$D$2 ) * IF($D42="NJ",1.07,1))/$L$10, CHOOSE($M$10,$L$9,$M$9) )</f>
        <v xml:space="preserve"> 71.16 </v>
      </c>
      <c r="K42" s="174" t="str">
        <f>TEXT(   (SUMPRODUCT( ((Main!$H$9:$H$1000)=$E42)*((Main!$J$9:$J$1000)=$F42)*((Main!$O$9:$O$1000)=$C42)*(Main!T$9:T$1000) ) +  ( SUMPRODUCT( ((Adders!$D$13:$D$101)=$E42)*((Adders!$E$13:$E$101)=$F42)*(Adders!I$13:I$101)) + VLOOKUP($H42,Adders!$B$5:$G$8,N$11,FALSE)  +  PA!$D$2 ) * IF($D42="NJ",1.07,1))/$L$10, CHOOSE($M$10,$L$9,$M$9) )</f>
        <v xml:space="preserve"> 72.47 </v>
      </c>
      <c r="L42" s="173" t="str">
        <f>IF(AND($D$11="IL",$E42="AMEREN"),"NA",TEXT((SUMPRODUCT(((LMPMain!$H$9:$H$1000)=$E42)*((LMPMain!$J$9:$J$1000)=$F42)*((LMPMain!$O$9:$O$1000)=$C42)*(LMPMain!R$9:R$1000))+(SUMPRODUCT(((Adders!$D$13:$D$101)=$E42)*((Adders!$E$13:$E$101)=$F42)*(Adders!G$13:G$101))+VLOOKUP($H42,Adders!$B$5:$G$8,L$11,FALSE)+Matrix!$D$2)*IF($D42="NJ",1.07,1))/$L$10,CHOOSE($M$10,$L$9,$M$9)))</f>
        <v xml:space="preserve"> 31.68 </v>
      </c>
      <c r="M42" s="173" t="str">
        <f>IF(AND($D$11="IL",$E42="AMEREN"),"NA",TEXT((SUMPRODUCT(((LMPMain!$H$9:$H$1000)=$E42)*((LMPMain!$J$9:$J$1000)=$F42)*((LMPMain!$O$9:$O$1000)=$C42)*(LMPMain!S$9:S$1000))+(SUMPRODUCT(((Adders!$D$13:$D$101)=$E42)*((Adders!$E$13:$E$101)=$F42)*(Adders!H$13:H$101))+VLOOKUP($H42,Adders!$B$5:$G$8,M$11,FALSE)+Matrix!$D$2)*IF($D42="NJ",1.07,1))/$L$10,CHOOSE($M$10,$L$9,$M$9)))</f>
        <v xml:space="preserve"> 32.14 </v>
      </c>
      <c r="N42" s="174" t="str">
        <f>IF(AND($D$11="IL",$E42="AMEREN"),"NA",TEXT((SUMPRODUCT(((LMPMain!$H$9:$H$1000)=$E42)*((LMPMain!$J$9:$J$1000)=$F42)*((LMPMain!$O$9:$O$1000)=$C42)*(LMPMain!T$9:T$1000))+(SUMPRODUCT(((Adders!$D$13:$D$101)=$E42)*((Adders!$E$13:$E$101)=$F42)*(Adders!G$13:G$101))+VLOOKUP($H42,Adders!$B$5:$G$8,N$11,FALSE)+Matrix!$D$2)*IF($D42="NJ",1.07,1))/$L$10,CHOOSE($M$10,$L$9,$M$9)))</f>
        <v xml:space="preserve"> 33.35 </v>
      </c>
      <c r="O42" s="112"/>
    </row>
    <row r="43" spans="2:15" x14ac:dyDescent="0.25">
      <c r="B43" s="160" t="s">
        <v>664</v>
      </c>
      <c r="C43" s="135">
        <f>+C42</f>
        <v>42430</v>
      </c>
      <c r="D43" s="136" t="s">
        <v>6</v>
      </c>
      <c r="E43" s="137" t="s">
        <v>48</v>
      </c>
      <c r="F43" s="136" t="s">
        <v>7</v>
      </c>
      <c r="G43" s="137" t="str">
        <f t="shared" si="0"/>
        <v>General Service</v>
      </c>
      <c r="H43" s="138" t="s">
        <v>690</v>
      </c>
      <c r="I43" s="176" t="str">
        <f>TEXT(   (SUMPRODUCT( ((Main!$H$9:$H$1000)=$E43)*((Main!$J$9:$J$1000)=$F43)*((Main!$O$9:$O$1000)=$C43)*(Main!R$9:R$1000) ) +  ( SUMPRODUCT( ((Adders!$D$13:$D$101)=$E43)*((Adders!$E$13:$E$101)=$F43)*(Adders!G$13:G$101)) + VLOOKUP($H43,Adders!$B$5:$G$8,L$11,FALSE)  +  PA!$D$2 ) * IF($D43="NJ",1.07,1))/$L$10, CHOOSE($M$10,$L$9,$M$9) )</f>
        <v xml:space="preserve"> 69.29 </v>
      </c>
      <c r="J43" s="176" t="str">
        <f>TEXT(   (SUMPRODUCT( ((Main!$H$9:$H$1000)=$E43)*((Main!$J$9:$J$1000)=$F43)*((Main!$O$9:$O$1000)=$C43)*(Main!S$9:S$1000) ) +  ( SUMPRODUCT( ((Adders!$D$13:$D$101)=$E43)*((Adders!$E$13:$E$101)=$F43)*(Adders!H$13:H$101)) + VLOOKUP($H43,Adders!$B$5:$G$8,M$11,FALSE)  +  PA!$D$2 ) * IF($D43="NJ",1.07,1))/$L$10, CHOOSE($M$10,$L$9,$M$9) )</f>
        <v xml:space="preserve"> 70.11 </v>
      </c>
      <c r="K43" s="177" t="str">
        <f>TEXT(   (SUMPRODUCT( ((Main!$H$9:$H$1000)=$E43)*((Main!$J$9:$J$1000)=$F43)*((Main!$O$9:$O$1000)=$C43)*(Main!T$9:T$1000) ) +  ( SUMPRODUCT( ((Adders!$D$13:$D$101)=$E43)*((Adders!$E$13:$E$101)=$F43)*(Adders!I$13:I$101)) + VLOOKUP($H43,Adders!$B$5:$G$8,N$11,FALSE)  +  PA!$D$2 ) * IF($D43="NJ",1.07,1))/$L$10, CHOOSE($M$10,$L$9,$M$9) )</f>
        <v xml:space="preserve"> 71.42 </v>
      </c>
      <c r="L43" s="176" t="str">
        <f>IF(AND($D$11="IL",$E43="AMEREN"),"NA",TEXT((SUMPRODUCT(((LMPMain!$H$9:$H$1000)=$E43)*((LMPMain!$J$9:$J$1000)=$F43)*((LMPMain!$O$9:$O$1000)=$C43)*(LMPMain!R$9:R$1000))+(SUMPRODUCT(((Adders!$D$13:$D$101)=$E43)*((Adders!$E$13:$E$101)=$F43)*(Adders!G$13:G$101))+VLOOKUP($H43,Adders!$B$5:$G$8,L$11,FALSE)+Matrix!$D$2)*IF($D43="NJ",1.07,1))/$L$10,CHOOSE($M$10,$L$9,$M$9)))</f>
        <v xml:space="preserve"> 30.63 </v>
      </c>
      <c r="M43" s="176" t="str">
        <f>IF(AND($D$11="IL",$E43="AMEREN"),"NA",TEXT((SUMPRODUCT(((LMPMain!$H$9:$H$1000)=$E43)*((LMPMain!$J$9:$J$1000)=$F43)*((LMPMain!$O$9:$O$1000)=$C43)*(LMPMain!S$9:S$1000))+(SUMPRODUCT(((Adders!$D$13:$D$101)=$E43)*((Adders!$E$13:$E$101)=$F43)*(Adders!H$13:H$101))+VLOOKUP($H43,Adders!$B$5:$G$8,M$11,FALSE)+Matrix!$D$2)*IF($D43="NJ",1.07,1))/$L$10,CHOOSE($M$10,$L$9,$M$9)))</f>
        <v xml:space="preserve"> 31.09 </v>
      </c>
      <c r="N43" s="177" t="str">
        <f>IF(AND($D$11="IL",$E43="AMEREN"),"NA",TEXT((SUMPRODUCT(((LMPMain!$H$9:$H$1000)=$E43)*((LMPMain!$J$9:$J$1000)=$F43)*((LMPMain!$O$9:$O$1000)=$C43)*(LMPMain!T$9:T$1000))+(SUMPRODUCT(((Adders!$D$13:$D$101)=$E43)*((Adders!$E$13:$E$101)=$F43)*(Adders!G$13:G$101))+VLOOKUP($H43,Adders!$B$5:$G$8,N$11,FALSE)+Matrix!$D$2)*IF($D43="NJ",1.07,1))/$L$10,CHOOSE($M$10,$L$9,$M$9)))</f>
        <v xml:space="preserve"> 32.30 </v>
      </c>
      <c r="O43" s="112"/>
    </row>
    <row r="44" spans="2:15" x14ac:dyDescent="0.25">
      <c r="B44" s="160" t="s">
        <v>664</v>
      </c>
      <c r="C44" s="127">
        <f>DATE(YEAR(C43),MONTH(C43)+1,0)+1</f>
        <v>42461</v>
      </c>
      <c r="D44" s="128" t="s">
        <v>6</v>
      </c>
      <c r="E44" s="129" t="s">
        <v>48</v>
      </c>
      <c r="F44" s="128" t="s">
        <v>7</v>
      </c>
      <c r="G44" s="129" t="str">
        <f t="shared" si="0"/>
        <v>General Service</v>
      </c>
      <c r="H44" s="130" t="s">
        <v>61</v>
      </c>
      <c r="I44" s="178" t="str">
        <f>TEXT(   (SUMPRODUCT( ((Main!$H$9:$H$1000)=$E44)*((Main!$J$9:$J$1000)=$F44)*((Main!$O$9:$O$1000)=$C44)*(Main!R$9:R$1000) ) +  ( SUMPRODUCT( ((Adders!$D$13:$D$101)=$E44)*((Adders!$E$13:$E$101)=$F44)*(Adders!G$13:G$101)) + VLOOKUP($H44,Adders!$B$5:$G$8,L$11,FALSE)  +  PA!$D$2 ) * IF($D44="NJ",1.07,1))/$L$10, CHOOSE($M$10,$L$9,$M$9) )</f>
        <v xml:space="preserve"> 71.39 </v>
      </c>
      <c r="J44" s="178" t="str">
        <f>TEXT(   (SUMPRODUCT( ((Main!$H$9:$H$1000)=$E44)*((Main!$J$9:$J$1000)=$F44)*((Main!$O$9:$O$1000)=$C44)*(Main!S$9:S$1000) ) +  ( SUMPRODUCT( ((Adders!$D$13:$D$101)=$E44)*((Adders!$E$13:$E$101)=$F44)*(Adders!H$13:H$101)) + VLOOKUP($H44,Adders!$B$5:$G$8,M$11,FALSE)  +  PA!$D$2 ) * IF($D44="NJ",1.07,1))/$L$10, CHOOSE($M$10,$L$9,$M$9) )</f>
        <v xml:space="preserve"> 72.36 </v>
      </c>
      <c r="K44" s="179" t="str">
        <f>TEXT(   (SUMPRODUCT( ((Main!$H$9:$H$1000)=$E44)*((Main!$J$9:$J$1000)=$F44)*((Main!$O$9:$O$1000)=$C44)*(Main!T$9:T$1000) ) +  ( SUMPRODUCT( ((Adders!$D$13:$D$101)=$E44)*((Adders!$E$13:$E$101)=$F44)*(Adders!I$13:I$101)) + VLOOKUP($H44,Adders!$B$5:$G$8,N$11,FALSE)  +  PA!$D$2 ) * IF($D44="NJ",1.07,1))/$L$10, CHOOSE($M$10,$L$9,$M$9) )</f>
        <v xml:space="preserve"> 74.03 </v>
      </c>
      <c r="L44" s="178" t="str">
        <f>IF(AND($D$11="IL",$E44="AMEREN"),"NA",TEXT((SUMPRODUCT(((LMPMain!$H$9:$H$1000)=$E44)*((LMPMain!$J$9:$J$1000)=$F44)*((LMPMain!$O$9:$O$1000)=$C44)*(LMPMain!R$9:R$1000))+(SUMPRODUCT(((Adders!$D$13:$D$101)=$E44)*((Adders!$E$13:$E$101)=$F44)*(Adders!G$13:G$101))+VLOOKUP($H44,Adders!$B$5:$G$8,L$11,FALSE)+Matrix!$D$2)*IF($D44="NJ",1.07,1))/$L$10,CHOOSE($M$10,$L$9,$M$9)))</f>
        <v xml:space="preserve"> 32.63 </v>
      </c>
      <c r="M44" s="178" t="str">
        <f>IF(AND($D$11="IL",$E44="AMEREN"),"NA",TEXT((SUMPRODUCT(((LMPMain!$H$9:$H$1000)=$E44)*((LMPMain!$J$9:$J$1000)=$F44)*((LMPMain!$O$9:$O$1000)=$C44)*(LMPMain!S$9:S$1000))+(SUMPRODUCT(((Adders!$D$13:$D$101)=$E44)*((Adders!$E$13:$E$101)=$F44)*(Adders!H$13:H$101))+VLOOKUP($H44,Adders!$B$5:$G$8,M$11,FALSE)+Matrix!$D$2)*IF($D44="NJ",1.07,1))/$L$10,CHOOSE($M$10,$L$9,$M$9)))</f>
        <v xml:space="preserve"> 33.65 </v>
      </c>
      <c r="N44" s="179" t="str">
        <f>IF(AND($D$11="IL",$E44="AMEREN"),"NA",TEXT((SUMPRODUCT(((LMPMain!$H$9:$H$1000)=$E44)*((LMPMain!$J$9:$J$1000)=$F44)*((LMPMain!$O$9:$O$1000)=$C44)*(LMPMain!T$9:T$1000))+(SUMPRODUCT(((Adders!$D$13:$D$101)=$E44)*((Adders!$E$13:$E$101)=$F44)*(Adders!G$13:G$101))+VLOOKUP($H44,Adders!$B$5:$G$8,N$11,FALSE)+Matrix!$D$2)*IF($D44="NJ",1.07,1))/$L$10,CHOOSE($M$10,$L$9,$M$9)))</f>
        <v xml:space="preserve"> 34.93 </v>
      </c>
      <c r="O44" s="112"/>
    </row>
    <row r="45" spans="2:15" x14ac:dyDescent="0.25">
      <c r="B45" s="160" t="s">
        <v>664</v>
      </c>
      <c r="C45" s="131">
        <f>+C44</f>
        <v>42461</v>
      </c>
      <c r="D45" s="132" t="s">
        <v>6</v>
      </c>
      <c r="E45" s="133" t="s">
        <v>48</v>
      </c>
      <c r="F45" s="132" t="s">
        <v>7</v>
      </c>
      <c r="G45" s="133" t="str">
        <f t="shared" si="0"/>
        <v>General Service</v>
      </c>
      <c r="H45" s="134" t="s">
        <v>62</v>
      </c>
      <c r="I45" s="173" t="str">
        <f>TEXT(   (SUMPRODUCT( ((Main!$H$9:$H$1000)=$E45)*((Main!$J$9:$J$1000)=$F45)*((Main!$O$9:$O$1000)=$C45)*(Main!R$9:R$1000) ) +  ( SUMPRODUCT( ((Adders!$D$13:$D$101)=$E45)*((Adders!$E$13:$E$101)=$F45)*(Adders!G$13:G$101)) + VLOOKUP($H45,Adders!$B$5:$G$8,L$11,FALSE)  +  PA!$D$2 ) * IF($D45="NJ",1.07,1))/$L$10, CHOOSE($M$10,$L$9,$M$9) )</f>
        <v xml:space="preserve"> 69.79 </v>
      </c>
      <c r="J45" s="173" t="str">
        <f>TEXT(   (SUMPRODUCT( ((Main!$H$9:$H$1000)=$E45)*((Main!$J$9:$J$1000)=$F45)*((Main!$O$9:$O$1000)=$C45)*(Main!S$9:S$1000) ) +  ( SUMPRODUCT( ((Adders!$D$13:$D$101)=$E45)*((Adders!$E$13:$E$101)=$F45)*(Adders!H$13:H$101)) + VLOOKUP($H45,Adders!$B$5:$G$8,M$11,FALSE)  +  PA!$D$2 ) * IF($D45="NJ",1.07,1))/$L$10, CHOOSE($M$10,$L$9,$M$9) )</f>
        <v xml:space="preserve"> 70.76 </v>
      </c>
      <c r="K45" s="174" t="str">
        <f>TEXT(   (SUMPRODUCT( ((Main!$H$9:$H$1000)=$E45)*((Main!$J$9:$J$1000)=$F45)*((Main!$O$9:$O$1000)=$C45)*(Main!T$9:T$1000) ) +  ( SUMPRODUCT( ((Adders!$D$13:$D$101)=$E45)*((Adders!$E$13:$E$101)=$F45)*(Adders!I$13:I$101)) + VLOOKUP($H45,Adders!$B$5:$G$8,N$11,FALSE)  +  PA!$D$2 ) * IF($D45="NJ",1.07,1))/$L$10, CHOOSE($M$10,$L$9,$M$9) )</f>
        <v xml:space="preserve"> 72.43 </v>
      </c>
      <c r="L45" s="173" t="str">
        <f>IF(AND($D$11="IL",$E45="AMEREN"),"NA",TEXT((SUMPRODUCT(((LMPMain!$H$9:$H$1000)=$E45)*((LMPMain!$J$9:$J$1000)=$F45)*((LMPMain!$O$9:$O$1000)=$C45)*(LMPMain!R$9:R$1000))+(SUMPRODUCT(((Adders!$D$13:$D$101)=$E45)*((Adders!$E$13:$E$101)=$F45)*(Adders!G$13:G$101))+VLOOKUP($H45,Adders!$B$5:$G$8,L$11,FALSE)+Matrix!$D$2)*IF($D45="NJ",1.07,1))/$L$10,CHOOSE($M$10,$L$9,$M$9)))</f>
        <v xml:space="preserve"> 31.03 </v>
      </c>
      <c r="M45" s="173" t="str">
        <f>IF(AND($D$11="IL",$E45="AMEREN"),"NA",TEXT((SUMPRODUCT(((LMPMain!$H$9:$H$1000)=$E45)*((LMPMain!$J$9:$J$1000)=$F45)*((LMPMain!$O$9:$O$1000)=$C45)*(LMPMain!S$9:S$1000))+(SUMPRODUCT(((Adders!$D$13:$D$101)=$E45)*((Adders!$E$13:$E$101)=$F45)*(Adders!H$13:H$101))+VLOOKUP($H45,Adders!$B$5:$G$8,M$11,FALSE)+Matrix!$D$2)*IF($D45="NJ",1.07,1))/$L$10,CHOOSE($M$10,$L$9,$M$9)))</f>
        <v xml:space="preserve"> 32.05 </v>
      </c>
      <c r="N45" s="174" t="str">
        <f>IF(AND($D$11="IL",$E45="AMEREN"),"NA",TEXT((SUMPRODUCT(((LMPMain!$H$9:$H$1000)=$E45)*((LMPMain!$J$9:$J$1000)=$F45)*((LMPMain!$O$9:$O$1000)=$C45)*(LMPMain!T$9:T$1000))+(SUMPRODUCT(((Adders!$D$13:$D$101)=$E45)*((Adders!$E$13:$E$101)=$F45)*(Adders!G$13:G$101))+VLOOKUP($H45,Adders!$B$5:$G$8,N$11,FALSE)+Matrix!$D$2)*IF($D45="NJ",1.07,1))/$L$10,CHOOSE($M$10,$L$9,$M$9)))</f>
        <v xml:space="preserve"> 33.33 </v>
      </c>
      <c r="O45" s="112"/>
    </row>
    <row r="46" spans="2:15" x14ac:dyDescent="0.25">
      <c r="B46" s="160" t="s">
        <v>664</v>
      </c>
      <c r="C46" s="135">
        <f>+C45</f>
        <v>42461</v>
      </c>
      <c r="D46" s="136" t="s">
        <v>6</v>
      </c>
      <c r="E46" s="137" t="s">
        <v>48</v>
      </c>
      <c r="F46" s="136" t="s">
        <v>7</v>
      </c>
      <c r="G46" s="137" t="str">
        <f t="shared" si="0"/>
        <v>General Service</v>
      </c>
      <c r="H46" s="138" t="s">
        <v>690</v>
      </c>
      <c r="I46" s="176" t="str">
        <f>TEXT(   (SUMPRODUCT( ((Main!$H$9:$H$1000)=$E46)*((Main!$J$9:$J$1000)=$F46)*((Main!$O$9:$O$1000)=$C46)*(Main!R$9:R$1000) ) +  ( SUMPRODUCT( ((Adders!$D$13:$D$101)=$E46)*((Adders!$E$13:$E$101)=$F46)*(Adders!G$13:G$101)) + VLOOKUP($H46,Adders!$B$5:$G$8,L$11,FALSE)  +  PA!$D$2 ) * IF($D46="NJ",1.07,1))/$L$10, CHOOSE($M$10,$L$9,$M$9) )</f>
        <v xml:space="preserve"> 68.74 </v>
      </c>
      <c r="J46" s="176" t="str">
        <f>TEXT(   (SUMPRODUCT( ((Main!$H$9:$H$1000)=$E46)*((Main!$J$9:$J$1000)=$F46)*((Main!$O$9:$O$1000)=$C46)*(Main!S$9:S$1000) ) +  ( SUMPRODUCT( ((Adders!$D$13:$D$101)=$E46)*((Adders!$E$13:$E$101)=$F46)*(Adders!H$13:H$101)) + VLOOKUP($H46,Adders!$B$5:$G$8,M$11,FALSE)  +  PA!$D$2 ) * IF($D46="NJ",1.07,1))/$L$10, CHOOSE($M$10,$L$9,$M$9) )</f>
        <v xml:space="preserve"> 69.71 </v>
      </c>
      <c r="K46" s="177" t="str">
        <f>TEXT(   (SUMPRODUCT( ((Main!$H$9:$H$1000)=$E46)*((Main!$J$9:$J$1000)=$F46)*((Main!$O$9:$O$1000)=$C46)*(Main!T$9:T$1000) ) +  ( SUMPRODUCT( ((Adders!$D$13:$D$101)=$E46)*((Adders!$E$13:$E$101)=$F46)*(Adders!I$13:I$101)) + VLOOKUP($H46,Adders!$B$5:$G$8,N$11,FALSE)  +  PA!$D$2 ) * IF($D46="NJ",1.07,1))/$L$10, CHOOSE($M$10,$L$9,$M$9) )</f>
        <v xml:space="preserve"> 71.38 </v>
      </c>
      <c r="L46" s="176" t="str">
        <f>IF(AND($D$11="IL",$E46="AMEREN"),"NA",TEXT((SUMPRODUCT(((LMPMain!$H$9:$H$1000)=$E46)*((LMPMain!$J$9:$J$1000)=$F46)*((LMPMain!$O$9:$O$1000)=$C46)*(LMPMain!R$9:R$1000))+(SUMPRODUCT(((Adders!$D$13:$D$101)=$E46)*((Adders!$E$13:$E$101)=$F46)*(Adders!G$13:G$101))+VLOOKUP($H46,Adders!$B$5:$G$8,L$11,FALSE)+Matrix!$D$2)*IF($D46="NJ",1.07,1))/$L$10,CHOOSE($M$10,$L$9,$M$9)))</f>
        <v xml:space="preserve"> 29.98 </v>
      </c>
      <c r="M46" s="176" t="str">
        <f>IF(AND($D$11="IL",$E46="AMEREN"),"NA",TEXT((SUMPRODUCT(((LMPMain!$H$9:$H$1000)=$E46)*((LMPMain!$J$9:$J$1000)=$F46)*((LMPMain!$O$9:$O$1000)=$C46)*(LMPMain!S$9:S$1000))+(SUMPRODUCT(((Adders!$D$13:$D$101)=$E46)*((Adders!$E$13:$E$101)=$F46)*(Adders!H$13:H$101))+VLOOKUP($H46,Adders!$B$5:$G$8,M$11,FALSE)+Matrix!$D$2)*IF($D46="NJ",1.07,1))/$L$10,CHOOSE($M$10,$L$9,$M$9)))</f>
        <v xml:space="preserve"> 31.00 </v>
      </c>
      <c r="N46" s="177" t="str">
        <f>IF(AND($D$11="IL",$E46="AMEREN"),"NA",TEXT((SUMPRODUCT(((LMPMain!$H$9:$H$1000)=$E46)*((LMPMain!$J$9:$J$1000)=$F46)*((LMPMain!$O$9:$O$1000)=$C46)*(LMPMain!T$9:T$1000))+(SUMPRODUCT(((Adders!$D$13:$D$101)=$E46)*((Adders!$E$13:$E$101)=$F46)*(Adders!G$13:G$101))+VLOOKUP($H46,Adders!$B$5:$G$8,N$11,FALSE)+Matrix!$D$2)*IF($D46="NJ",1.07,1))/$L$10,CHOOSE($M$10,$L$9,$M$9)))</f>
        <v xml:space="preserve"> 32.28 </v>
      </c>
      <c r="O46" s="112"/>
    </row>
    <row r="47" spans="2:15" x14ac:dyDescent="0.25">
      <c r="B47" s="160" t="s">
        <v>664</v>
      </c>
      <c r="C47" s="127">
        <f>DATE(YEAR(C46),MONTH(C46)+1,0)+1</f>
        <v>42491</v>
      </c>
      <c r="D47" s="128" t="s">
        <v>6</v>
      </c>
      <c r="E47" s="129" t="s">
        <v>48</v>
      </c>
      <c r="F47" s="128" t="s">
        <v>7</v>
      </c>
      <c r="G47" s="129" t="str">
        <f t="shared" si="0"/>
        <v>General Service</v>
      </c>
      <c r="H47" s="130" t="s">
        <v>61</v>
      </c>
      <c r="I47" s="178" t="str">
        <f>TEXT(   (SUMPRODUCT( ((Main!$H$9:$H$1000)=$E47)*((Main!$J$9:$J$1000)=$F47)*((Main!$O$9:$O$1000)=$C47)*(Main!R$9:R$1000) ) +  ( SUMPRODUCT( ((Adders!$D$13:$D$101)=$E47)*((Adders!$E$13:$E$101)=$F47)*(Adders!G$13:G$101)) + VLOOKUP($H47,Adders!$B$5:$G$8,L$11,FALSE)  +  PA!$D$2 ) * IF($D47="NJ",1.07,1))/$L$10, CHOOSE($M$10,$L$9,$M$9) )</f>
        <v xml:space="preserve"> 70.78 </v>
      </c>
      <c r="J47" s="178" t="str">
        <f>TEXT(   (SUMPRODUCT( ((Main!$H$9:$H$1000)=$E47)*((Main!$J$9:$J$1000)=$F47)*((Main!$O$9:$O$1000)=$C47)*(Main!S$9:S$1000) ) +  ( SUMPRODUCT( ((Adders!$D$13:$D$101)=$E47)*((Adders!$E$13:$E$101)=$F47)*(Adders!H$13:H$101)) + VLOOKUP($H47,Adders!$B$5:$G$8,M$11,FALSE)  +  PA!$D$2 ) * IF($D47="NJ",1.07,1))/$L$10, CHOOSE($M$10,$L$9,$M$9) )</f>
        <v xml:space="preserve"> 72.20 </v>
      </c>
      <c r="K47" s="179" t="str">
        <f>TEXT(   (SUMPRODUCT( ((Main!$H$9:$H$1000)=$E47)*((Main!$J$9:$J$1000)=$F47)*((Main!$O$9:$O$1000)=$C47)*(Main!T$9:T$1000) ) +  ( SUMPRODUCT( ((Adders!$D$13:$D$101)=$E47)*((Adders!$E$13:$E$101)=$F47)*(Adders!I$13:I$101)) + VLOOKUP($H47,Adders!$B$5:$G$8,N$11,FALSE)  +  PA!$D$2 ) * IF($D47="NJ",1.07,1))/$L$10, CHOOSE($M$10,$L$9,$M$9) )</f>
        <v xml:space="preserve"> 74.03 </v>
      </c>
      <c r="L47" s="178" t="str">
        <f>IF(AND($D$11="IL",$E47="AMEREN"),"NA",TEXT((SUMPRODUCT(((LMPMain!$H$9:$H$1000)=$E47)*((LMPMain!$J$9:$J$1000)=$F47)*((LMPMain!$O$9:$O$1000)=$C47)*(LMPMain!R$9:R$1000))+(SUMPRODUCT(((Adders!$D$13:$D$101)=$E47)*((Adders!$E$13:$E$101)=$F47)*(Adders!G$13:G$101))+VLOOKUP($H47,Adders!$B$5:$G$8,L$11,FALSE)+Matrix!$D$2)*IF($D47="NJ",1.07,1))/$L$10,CHOOSE($M$10,$L$9,$M$9)))</f>
        <v xml:space="preserve"> 32.02 </v>
      </c>
      <c r="M47" s="178" t="str">
        <f>IF(AND($D$11="IL",$E47="AMEREN"),"NA",TEXT((SUMPRODUCT(((LMPMain!$H$9:$H$1000)=$E47)*((LMPMain!$J$9:$J$1000)=$F47)*((LMPMain!$O$9:$O$1000)=$C47)*(LMPMain!S$9:S$1000))+(SUMPRODUCT(((Adders!$D$13:$D$101)=$E47)*((Adders!$E$13:$E$101)=$F47)*(Adders!H$13:H$101))+VLOOKUP($H47,Adders!$B$5:$G$8,M$11,FALSE)+Matrix!$D$2)*IF($D47="NJ",1.07,1))/$L$10,CHOOSE($M$10,$L$9,$M$9)))</f>
        <v xml:space="preserve"> 33.60 </v>
      </c>
      <c r="N47" s="179" t="str">
        <f>IF(AND($D$11="IL",$E47="AMEREN"),"NA",TEXT((SUMPRODUCT(((LMPMain!$H$9:$H$1000)=$E47)*((LMPMain!$J$9:$J$1000)=$F47)*((LMPMain!$O$9:$O$1000)=$C47)*(LMPMain!T$9:T$1000))+(SUMPRODUCT(((Adders!$D$13:$D$101)=$E47)*((Adders!$E$13:$E$101)=$F47)*(Adders!G$13:G$101))+VLOOKUP($H47,Adders!$B$5:$G$8,N$11,FALSE)+Matrix!$D$2)*IF($D47="NJ",1.07,1))/$L$10,CHOOSE($M$10,$L$9,$M$9)))</f>
        <v xml:space="preserve"> 34.90 </v>
      </c>
      <c r="O47" s="112"/>
    </row>
    <row r="48" spans="2:15" x14ac:dyDescent="0.25">
      <c r="B48" s="160" t="s">
        <v>664</v>
      </c>
      <c r="C48" s="131">
        <f>+C47</f>
        <v>42491</v>
      </c>
      <c r="D48" s="132" t="s">
        <v>6</v>
      </c>
      <c r="E48" s="133" t="s">
        <v>48</v>
      </c>
      <c r="F48" s="132" t="s">
        <v>7</v>
      </c>
      <c r="G48" s="133" t="str">
        <f t="shared" si="0"/>
        <v>General Service</v>
      </c>
      <c r="H48" s="134" t="s">
        <v>62</v>
      </c>
      <c r="I48" s="173" t="str">
        <f>TEXT(   (SUMPRODUCT( ((Main!$H$9:$H$1000)=$E48)*((Main!$J$9:$J$1000)=$F48)*((Main!$O$9:$O$1000)=$C48)*(Main!R$9:R$1000) ) +  ( SUMPRODUCT( ((Adders!$D$13:$D$101)=$E48)*((Adders!$E$13:$E$101)=$F48)*(Adders!G$13:G$101)) + VLOOKUP($H48,Adders!$B$5:$G$8,L$11,FALSE)  +  PA!$D$2 ) * IF($D48="NJ",1.07,1))/$L$10, CHOOSE($M$10,$L$9,$M$9) )</f>
        <v xml:space="preserve"> 69.18 </v>
      </c>
      <c r="J48" s="173" t="str">
        <f>TEXT(   (SUMPRODUCT( ((Main!$H$9:$H$1000)=$E48)*((Main!$J$9:$J$1000)=$F48)*((Main!$O$9:$O$1000)=$C48)*(Main!S$9:S$1000) ) +  ( SUMPRODUCT( ((Adders!$D$13:$D$101)=$E48)*((Adders!$E$13:$E$101)=$F48)*(Adders!H$13:H$101)) + VLOOKUP($H48,Adders!$B$5:$G$8,M$11,FALSE)  +  PA!$D$2 ) * IF($D48="NJ",1.07,1))/$L$10, CHOOSE($M$10,$L$9,$M$9) )</f>
        <v xml:space="preserve"> 70.60 </v>
      </c>
      <c r="K48" s="174" t="str">
        <f>TEXT(   (SUMPRODUCT( ((Main!$H$9:$H$1000)=$E48)*((Main!$J$9:$J$1000)=$F48)*((Main!$O$9:$O$1000)=$C48)*(Main!T$9:T$1000) ) +  ( SUMPRODUCT( ((Adders!$D$13:$D$101)=$E48)*((Adders!$E$13:$E$101)=$F48)*(Adders!I$13:I$101)) + VLOOKUP($H48,Adders!$B$5:$G$8,N$11,FALSE)  +  PA!$D$2 ) * IF($D48="NJ",1.07,1))/$L$10, CHOOSE($M$10,$L$9,$M$9) )</f>
        <v xml:space="preserve"> 72.43 </v>
      </c>
      <c r="L48" s="173" t="str">
        <f>IF(AND($D$11="IL",$E48="AMEREN"),"NA",TEXT((SUMPRODUCT(((LMPMain!$H$9:$H$1000)=$E48)*((LMPMain!$J$9:$J$1000)=$F48)*((LMPMain!$O$9:$O$1000)=$C48)*(LMPMain!R$9:R$1000))+(SUMPRODUCT(((Adders!$D$13:$D$101)=$E48)*((Adders!$E$13:$E$101)=$F48)*(Adders!G$13:G$101))+VLOOKUP($H48,Adders!$B$5:$G$8,L$11,FALSE)+Matrix!$D$2)*IF($D48="NJ",1.07,1))/$L$10,CHOOSE($M$10,$L$9,$M$9)))</f>
        <v xml:space="preserve"> 30.42 </v>
      </c>
      <c r="M48" s="173" t="str">
        <f>IF(AND($D$11="IL",$E48="AMEREN"),"NA",TEXT((SUMPRODUCT(((LMPMain!$H$9:$H$1000)=$E48)*((LMPMain!$J$9:$J$1000)=$F48)*((LMPMain!$O$9:$O$1000)=$C48)*(LMPMain!S$9:S$1000))+(SUMPRODUCT(((Adders!$D$13:$D$101)=$E48)*((Adders!$E$13:$E$101)=$F48)*(Adders!H$13:H$101))+VLOOKUP($H48,Adders!$B$5:$G$8,M$11,FALSE)+Matrix!$D$2)*IF($D48="NJ",1.07,1))/$L$10,CHOOSE($M$10,$L$9,$M$9)))</f>
        <v xml:space="preserve"> 32.00 </v>
      </c>
      <c r="N48" s="174" t="str">
        <f>IF(AND($D$11="IL",$E48="AMEREN"),"NA",TEXT((SUMPRODUCT(((LMPMain!$H$9:$H$1000)=$E48)*((LMPMain!$J$9:$J$1000)=$F48)*((LMPMain!$O$9:$O$1000)=$C48)*(LMPMain!T$9:T$1000))+(SUMPRODUCT(((Adders!$D$13:$D$101)=$E48)*((Adders!$E$13:$E$101)=$F48)*(Adders!G$13:G$101))+VLOOKUP($H48,Adders!$B$5:$G$8,N$11,FALSE)+Matrix!$D$2)*IF($D48="NJ",1.07,1))/$L$10,CHOOSE($M$10,$L$9,$M$9)))</f>
        <v xml:space="preserve"> 33.30 </v>
      </c>
      <c r="O48" s="112"/>
    </row>
    <row r="49" spans="2:15" x14ac:dyDescent="0.25">
      <c r="B49" s="160" t="s">
        <v>664</v>
      </c>
      <c r="C49" s="135">
        <f>+C48</f>
        <v>42491</v>
      </c>
      <c r="D49" s="136" t="s">
        <v>6</v>
      </c>
      <c r="E49" s="137" t="s">
        <v>48</v>
      </c>
      <c r="F49" s="136" t="s">
        <v>7</v>
      </c>
      <c r="G49" s="137" t="str">
        <f t="shared" si="0"/>
        <v>General Service</v>
      </c>
      <c r="H49" s="138" t="s">
        <v>690</v>
      </c>
      <c r="I49" s="176" t="str">
        <f>TEXT(   (SUMPRODUCT( ((Main!$H$9:$H$1000)=$E49)*((Main!$J$9:$J$1000)=$F49)*((Main!$O$9:$O$1000)=$C49)*(Main!R$9:R$1000) ) +  ( SUMPRODUCT( ((Adders!$D$13:$D$101)=$E49)*((Adders!$E$13:$E$101)=$F49)*(Adders!G$13:G$101)) + VLOOKUP($H49,Adders!$B$5:$G$8,L$11,FALSE)  +  PA!$D$2 ) * IF($D49="NJ",1.07,1))/$L$10, CHOOSE($M$10,$L$9,$M$9) )</f>
        <v xml:space="preserve"> 68.13 </v>
      </c>
      <c r="J49" s="176" t="str">
        <f>TEXT(   (SUMPRODUCT( ((Main!$H$9:$H$1000)=$E49)*((Main!$J$9:$J$1000)=$F49)*((Main!$O$9:$O$1000)=$C49)*(Main!S$9:S$1000) ) +  ( SUMPRODUCT( ((Adders!$D$13:$D$101)=$E49)*((Adders!$E$13:$E$101)=$F49)*(Adders!H$13:H$101)) + VLOOKUP($H49,Adders!$B$5:$G$8,M$11,FALSE)  +  PA!$D$2 ) * IF($D49="NJ",1.07,1))/$L$10, CHOOSE($M$10,$L$9,$M$9) )</f>
        <v xml:space="preserve"> 69.55 </v>
      </c>
      <c r="K49" s="177" t="str">
        <f>TEXT(   (SUMPRODUCT( ((Main!$H$9:$H$1000)=$E49)*((Main!$J$9:$J$1000)=$F49)*((Main!$O$9:$O$1000)=$C49)*(Main!T$9:T$1000) ) +  ( SUMPRODUCT( ((Adders!$D$13:$D$101)=$E49)*((Adders!$E$13:$E$101)=$F49)*(Adders!I$13:I$101)) + VLOOKUP($H49,Adders!$B$5:$G$8,N$11,FALSE)  +  PA!$D$2 ) * IF($D49="NJ",1.07,1))/$L$10, CHOOSE($M$10,$L$9,$M$9) )</f>
        <v xml:space="preserve"> 71.38 </v>
      </c>
      <c r="L49" s="176" t="str">
        <f>IF(AND($D$11="IL",$E49="AMEREN"),"NA",TEXT((SUMPRODUCT(((LMPMain!$H$9:$H$1000)=$E49)*((LMPMain!$J$9:$J$1000)=$F49)*((LMPMain!$O$9:$O$1000)=$C49)*(LMPMain!R$9:R$1000))+(SUMPRODUCT(((Adders!$D$13:$D$101)=$E49)*((Adders!$E$13:$E$101)=$F49)*(Adders!G$13:G$101))+VLOOKUP($H49,Adders!$B$5:$G$8,L$11,FALSE)+Matrix!$D$2)*IF($D49="NJ",1.07,1))/$L$10,CHOOSE($M$10,$L$9,$M$9)))</f>
        <v xml:space="preserve"> 29.37 </v>
      </c>
      <c r="M49" s="176" t="str">
        <f>IF(AND($D$11="IL",$E49="AMEREN"),"NA",TEXT((SUMPRODUCT(((LMPMain!$H$9:$H$1000)=$E49)*((LMPMain!$J$9:$J$1000)=$F49)*((LMPMain!$O$9:$O$1000)=$C49)*(LMPMain!S$9:S$1000))+(SUMPRODUCT(((Adders!$D$13:$D$101)=$E49)*((Adders!$E$13:$E$101)=$F49)*(Adders!H$13:H$101))+VLOOKUP($H49,Adders!$B$5:$G$8,M$11,FALSE)+Matrix!$D$2)*IF($D49="NJ",1.07,1))/$L$10,CHOOSE($M$10,$L$9,$M$9)))</f>
        <v xml:space="preserve"> 30.95 </v>
      </c>
      <c r="N49" s="177" t="str">
        <f>IF(AND($D$11="IL",$E49="AMEREN"),"NA",TEXT((SUMPRODUCT(((LMPMain!$H$9:$H$1000)=$E49)*((LMPMain!$J$9:$J$1000)=$F49)*((LMPMain!$O$9:$O$1000)=$C49)*(LMPMain!T$9:T$1000))+(SUMPRODUCT(((Adders!$D$13:$D$101)=$E49)*((Adders!$E$13:$E$101)=$F49)*(Adders!G$13:G$101))+VLOOKUP($H49,Adders!$B$5:$G$8,N$11,FALSE)+Matrix!$D$2)*IF($D49="NJ",1.07,1))/$L$10,CHOOSE($M$10,$L$9,$M$9)))</f>
        <v xml:space="preserve"> 32.25 </v>
      </c>
      <c r="O49" s="112"/>
    </row>
    <row r="50" spans="2:15" x14ac:dyDescent="0.25">
      <c r="B50" s="160" t="s">
        <v>665</v>
      </c>
      <c r="C50" s="127">
        <f>C14</f>
        <v>42156</v>
      </c>
      <c r="D50" s="128" t="s">
        <v>6</v>
      </c>
      <c r="E50" s="129" t="s">
        <v>8</v>
      </c>
      <c r="F50" s="128" t="s">
        <v>9</v>
      </c>
      <c r="G50" s="129" t="str">
        <f>VLOOKUP(SUMPRODUCT( ((LMPMain!$H$9:$H$1000)=$E50)*((LMPMain!$J$9:$J$1000)=$F50)*((LMPMain!$O$9:$O$1000)=$C50)*(LMPMain!A$9:A$1000)),LMPMain!$A$9:$K$1000,11,FALSE)</f>
        <v>General Service Large</v>
      </c>
      <c r="H50" s="130" t="s">
        <v>61</v>
      </c>
      <c r="I50" s="178" t="str">
        <f>TEXT(   (SUMPRODUCT( ((Main!$H$9:$H$1000)=$E50)*((Main!$J$9:$J$1000)=$F50)*((Main!$O$9:$O$1000)=$C50)*(Main!R$9:R$1000) ) +  ( SUMPRODUCT( ((Adders!$D$13:$D$101)=$E50)*((Adders!$E$13:$E$101)=$F50)*(Adders!G$13:G$101)) + VLOOKUP($H50,Adders!$B$5:$G$8,L$11,FALSE)  +  PA!$D$2 ) * IF($D50="NJ",1.07,1))/$L$10, CHOOSE($M$10,$L$9,$M$9) )</f>
        <v xml:space="preserve"> 78.16 </v>
      </c>
      <c r="J50" s="178" t="str">
        <f>TEXT(   (SUMPRODUCT( ((Main!$H$9:$H$1000)=$E50)*((Main!$J$9:$J$1000)=$F50)*((Main!$O$9:$O$1000)=$C50)*(Main!S$9:S$1000) ) +  ( SUMPRODUCT( ((Adders!$D$13:$D$101)=$E50)*((Adders!$E$13:$E$101)=$F50)*(Adders!H$13:H$101)) + VLOOKUP($H50,Adders!$B$5:$G$8,M$11,FALSE)  +  PA!$D$2 ) * IF($D50="NJ",1.07,1))/$L$10, CHOOSE($M$10,$L$9,$M$9) )</f>
        <v xml:space="preserve"> 75.49 </v>
      </c>
      <c r="K50" s="179" t="str">
        <f>TEXT(   (SUMPRODUCT( ((Main!$H$9:$H$1000)=$E50)*((Main!$J$9:$J$1000)=$F50)*((Main!$O$9:$O$1000)=$C50)*(Main!T$9:T$1000) ) +  ( SUMPRODUCT( ((Adders!$D$13:$D$101)=$E50)*((Adders!$E$13:$E$101)=$F50)*(Adders!I$13:I$101)) + VLOOKUP($H50,Adders!$B$5:$G$8,N$11,FALSE)  +  PA!$D$2 ) * IF($D50="NJ",1.07,1))/$L$10, CHOOSE($M$10,$L$9,$M$9) )</f>
        <v xml:space="preserve"> 75.96 </v>
      </c>
      <c r="L50" s="178" t="str">
        <f>IF(AND($D$11="IL",$E50="AMEREN"),"NA",TEXT((SUMPRODUCT(((LMPMain!$H$9:$H$1000)=$E50)*((LMPMain!$J$9:$J$1000)=$F50)*((LMPMain!$O$9:$O$1000)=$C50)*(LMPMain!R$9:R$1000))+(SUMPRODUCT(((Adders!$D$13:$D$101)=$E50)*((Adders!$E$13:$E$101)=$F50)*(Adders!G$13:G$101))+VLOOKUP($H50,Adders!$B$5:$G$8,L$11,FALSE)+Matrix!$D$2)*IF($D50="NJ",1.07,1))/$L$10,CHOOSE($M$10,$L$9,$M$9)))</f>
        <v xml:space="preserve"> 33.83 </v>
      </c>
      <c r="M50" s="178" t="str">
        <f>IF(AND($D$11="IL",$E50="AMEREN"),"NA",TEXT((SUMPRODUCT(((LMPMain!$H$9:$H$1000)=$E50)*((LMPMain!$J$9:$J$1000)=$F50)*((LMPMain!$O$9:$O$1000)=$C50)*(LMPMain!S$9:S$1000))+(SUMPRODUCT(((Adders!$D$13:$D$101)=$E50)*((Adders!$E$13:$E$101)=$F50)*(Adders!H$13:H$101))+VLOOKUP($H50,Adders!$B$5:$G$8,M$11,FALSE)+Matrix!$D$2)*IF($D50="NJ",1.07,1))/$L$10,CHOOSE($M$10,$L$9,$M$9)))</f>
        <v xml:space="preserve"> 32.03 </v>
      </c>
      <c r="N50" s="179" t="str">
        <f>IF(AND($D$11="IL",$E50="AMEREN"),"NA",TEXT((SUMPRODUCT(((LMPMain!$H$9:$H$1000)=$E50)*((LMPMain!$J$9:$J$1000)=$F50)*((LMPMain!$O$9:$O$1000)=$C50)*(LMPMain!T$9:T$1000))+(SUMPRODUCT(((Adders!$D$13:$D$101)=$E50)*((Adders!$E$13:$E$101)=$F50)*(Adders!G$13:G$101))+VLOOKUP($H50,Adders!$B$5:$G$8,N$11,FALSE)+Matrix!$D$2)*IF($D50="NJ",1.07,1))/$L$10,CHOOSE($M$10,$L$9,$M$9)))</f>
        <v xml:space="preserve"> 31.69 </v>
      </c>
      <c r="O50" s="112"/>
    </row>
    <row r="51" spans="2:15" x14ac:dyDescent="0.25">
      <c r="B51" s="160" t="s">
        <v>665</v>
      </c>
      <c r="C51" s="131">
        <f t="shared" ref="C51:C114" si="1">C15</f>
        <v>42156</v>
      </c>
      <c r="D51" s="132" t="s">
        <v>6</v>
      </c>
      <c r="E51" s="133" t="s">
        <v>8</v>
      </c>
      <c r="F51" s="132" t="s">
        <v>9</v>
      </c>
      <c r="G51" s="133" t="str">
        <f t="shared" ref="G51:G114" si="2">G50</f>
        <v>General Service Large</v>
      </c>
      <c r="H51" s="134" t="s">
        <v>62</v>
      </c>
      <c r="I51" s="173" t="str">
        <f>TEXT(   (SUMPRODUCT( ((Main!$H$9:$H$1000)=$E51)*((Main!$J$9:$J$1000)=$F51)*((Main!$O$9:$O$1000)=$C51)*(Main!R$9:R$1000) ) +  ( SUMPRODUCT( ((Adders!$D$13:$D$101)=$E51)*((Adders!$E$13:$E$101)=$F51)*(Adders!G$13:G$101)) + VLOOKUP($H51,Adders!$B$5:$G$8,L$11,FALSE)  +  PA!$D$2 ) * IF($D51="NJ",1.07,1))/$L$10, CHOOSE($M$10,$L$9,$M$9) )</f>
        <v xml:space="preserve"> 76.56 </v>
      </c>
      <c r="J51" s="173" t="str">
        <f>TEXT(   (SUMPRODUCT( ((Main!$H$9:$H$1000)=$E51)*((Main!$J$9:$J$1000)=$F51)*((Main!$O$9:$O$1000)=$C51)*(Main!S$9:S$1000) ) +  ( SUMPRODUCT( ((Adders!$D$13:$D$101)=$E51)*((Adders!$E$13:$E$101)=$F51)*(Adders!H$13:H$101)) + VLOOKUP($H51,Adders!$B$5:$G$8,M$11,FALSE)  +  PA!$D$2 ) * IF($D51="NJ",1.07,1))/$L$10, CHOOSE($M$10,$L$9,$M$9) )</f>
        <v xml:space="preserve"> 73.89 </v>
      </c>
      <c r="K51" s="174" t="str">
        <f>TEXT(   (SUMPRODUCT( ((Main!$H$9:$H$1000)=$E51)*((Main!$J$9:$J$1000)=$F51)*((Main!$O$9:$O$1000)=$C51)*(Main!T$9:T$1000) ) +  ( SUMPRODUCT( ((Adders!$D$13:$D$101)=$E51)*((Adders!$E$13:$E$101)=$F51)*(Adders!I$13:I$101)) + VLOOKUP($H51,Adders!$B$5:$G$8,N$11,FALSE)  +  PA!$D$2 ) * IF($D51="NJ",1.07,1))/$L$10, CHOOSE($M$10,$L$9,$M$9) )</f>
        <v xml:space="preserve"> 74.36 </v>
      </c>
      <c r="L51" s="173" t="str">
        <f>IF(AND($D$11="IL",$E51="AMEREN"),"NA",TEXT((SUMPRODUCT(((LMPMain!$H$9:$H$1000)=$E51)*((LMPMain!$J$9:$J$1000)=$F51)*((LMPMain!$O$9:$O$1000)=$C51)*(LMPMain!R$9:R$1000))+(SUMPRODUCT(((Adders!$D$13:$D$101)=$E51)*((Adders!$E$13:$E$101)=$F51)*(Adders!G$13:G$101))+VLOOKUP($H51,Adders!$B$5:$G$8,L$11,FALSE)+Matrix!$D$2)*IF($D51="NJ",1.07,1))/$L$10,CHOOSE($M$10,$L$9,$M$9)))</f>
        <v xml:space="preserve"> 32.23 </v>
      </c>
      <c r="M51" s="173" t="str">
        <f>IF(AND($D$11="IL",$E51="AMEREN"),"NA",TEXT((SUMPRODUCT(((LMPMain!$H$9:$H$1000)=$E51)*((LMPMain!$J$9:$J$1000)=$F51)*((LMPMain!$O$9:$O$1000)=$C51)*(LMPMain!S$9:S$1000))+(SUMPRODUCT(((Adders!$D$13:$D$101)=$E51)*((Adders!$E$13:$E$101)=$F51)*(Adders!H$13:H$101))+VLOOKUP($H51,Adders!$B$5:$G$8,M$11,FALSE)+Matrix!$D$2)*IF($D51="NJ",1.07,1))/$L$10,CHOOSE($M$10,$L$9,$M$9)))</f>
        <v xml:space="preserve"> 30.43 </v>
      </c>
      <c r="N51" s="174" t="str">
        <f>IF(AND($D$11="IL",$E51="AMEREN"),"NA",TEXT((SUMPRODUCT(((LMPMain!$H$9:$H$1000)=$E51)*((LMPMain!$J$9:$J$1000)=$F51)*((LMPMain!$O$9:$O$1000)=$C51)*(LMPMain!T$9:T$1000))+(SUMPRODUCT(((Adders!$D$13:$D$101)=$E51)*((Adders!$E$13:$E$101)=$F51)*(Adders!G$13:G$101))+VLOOKUP($H51,Adders!$B$5:$G$8,N$11,FALSE)+Matrix!$D$2)*IF($D51="NJ",1.07,1))/$L$10,CHOOSE($M$10,$L$9,$M$9)))</f>
        <v xml:space="preserve"> 30.09 </v>
      </c>
      <c r="O51" s="112"/>
    </row>
    <row r="52" spans="2:15" x14ac:dyDescent="0.25">
      <c r="B52" s="160" t="s">
        <v>665</v>
      </c>
      <c r="C52" s="135">
        <f t="shared" si="1"/>
        <v>42156</v>
      </c>
      <c r="D52" s="136" t="s">
        <v>6</v>
      </c>
      <c r="E52" s="137" t="s">
        <v>8</v>
      </c>
      <c r="F52" s="136" t="s">
        <v>9</v>
      </c>
      <c r="G52" s="137" t="str">
        <f t="shared" si="2"/>
        <v>General Service Large</v>
      </c>
      <c r="H52" s="138" t="s">
        <v>690</v>
      </c>
      <c r="I52" s="176" t="str">
        <f>TEXT(   (SUMPRODUCT( ((Main!$H$9:$H$1000)=$E52)*((Main!$J$9:$J$1000)=$F52)*((Main!$O$9:$O$1000)=$C52)*(Main!R$9:R$1000) ) +  ( SUMPRODUCT( ((Adders!$D$13:$D$101)=$E52)*((Adders!$E$13:$E$101)=$F52)*(Adders!G$13:G$101)) + VLOOKUP($H52,Adders!$B$5:$G$8,L$11,FALSE)  +  PA!$D$2 ) * IF($D52="NJ",1.07,1))/$L$10, CHOOSE($M$10,$L$9,$M$9) )</f>
        <v xml:space="preserve"> 75.51 </v>
      </c>
      <c r="J52" s="176" t="str">
        <f>TEXT(   (SUMPRODUCT( ((Main!$H$9:$H$1000)=$E52)*((Main!$J$9:$J$1000)=$F52)*((Main!$O$9:$O$1000)=$C52)*(Main!S$9:S$1000) ) +  ( SUMPRODUCT( ((Adders!$D$13:$D$101)=$E52)*((Adders!$E$13:$E$101)=$F52)*(Adders!H$13:H$101)) + VLOOKUP($H52,Adders!$B$5:$G$8,M$11,FALSE)  +  PA!$D$2 ) * IF($D52="NJ",1.07,1))/$L$10, CHOOSE($M$10,$L$9,$M$9) )</f>
        <v xml:space="preserve"> 72.84 </v>
      </c>
      <c r="K52" s="177" t="str">
        <f>TEXT(   (SUMPRODUCT( ((Main!$H$9:$H$1000)=$E52)*((Main!$J$9:$J$1000)=$F52)*((Main!$O$9:$O$1000)=$C52)*(Main!T$9:T$1000) ) +  ( SUMPRODUCT( ((Adders!$D$13:$D$101)=$E52)*((Adders!$E$13:$E$101)=$F52)*(Adders!I$13:I$101)) + VLOOKUP($H52,Adders!$B$5:$G$8,N$11,FALSE)  +  PA!$D$2 ) * IF($D52="NJ",1.07,1))/$L$10, CHOOSE($M$10,$L$9,$M$9) )</f>
        <v xml:space="preserve"> 73.31 </v>
      </c>
      <c r="L52" s="176" t="str">
        <f>IF(AND($D$11="IL",$E52="AMEREN"),"NA",TEXT((SUMPRODUCT(((LMPMain!$H$9:$H$1000)=$E52)*((LMPMain!$J$9:$J$1000)=$F52)*((LMPMain!$O$9:$O$1000)=$C52)*(LMPMain!R$9:R$1000))+(SUMPRODUCT(((Adders!$D$13:$D$101)=$E52)*((Adders!$E$13:$E$101)=$F52)*(Adders!G$13:G$101))+VLOOKUP($H52,Adders!$B$5:$G$8,L$11,FALSE)+Matrix!$D$2)*IF($D52="NJ",1.07,1))/$L$10,CHOOSE($M$10,$L$9,$M$9)))</f>
        <v xml:space="preserve"> 31.18 </v>
      </c>
      <c r="M52" s="176" t="str">
        <f>IF(AND($D$11="IL",$E52="AMEREN"),"NA",TEXT((SUMPRODUCT(((LMPMain!$H$9:$H$1000)=$E52)*((LMPMain!$J$9:$J$1000)=$F52)*((LMPMain!$O$9:$O$1000)=$C52)*(LMPMain!S$9:S$1000))+(SUMPRODUCT(((Adders!$D$13:$D$101)=$E52)*((Adders!$E$13:$E$101)=$F52)*(Adders!H$13:H$101))+VLOOKUP($H52,Adders!$B$5:$G$8,M$11,FALSE)+Matrix!$D$2)*IF($D52="NJ",1.07,1))/$L$10,CHOOSE($M$10,$L$9,$M$9)))</f>
        <v xml:space="preserve"> 29.38 </v>
      </c>
      <c r="N52" s="177" t="str">
        <f>IF(AND($D$11="IL",$E52="AMEREN"),"NA",TEXT((SUMPRODUCT(((LMPMain!$H$9:$H$1000)=$E52)*((LMPMain!$J$9:$J$1000)=$F52)*((LMPMain!$O$9:$O$1000)=$C52)*(LMPMain!T$9:T$1000))+(SUMPRODUCT(((Adders!$D$13:$D$101)=$E52)*((Adders!$E$13:$E$101)=$F52)*(Adders!G$13:G$101))+VLOOKUP($H52,Adders!$B$5:$G$8,N$11,FALSE)+Matrix!$D$2)*IF($D52="NJ",1.07,1))/$L$10,CHOOSE($M$10,$L$9,$M$9)))</f>
        <v xml:space="preserve"> 29.04 </v>
      </c>
      <c r="O52" s="112"/>
    </row>
    <row r="53" spans="2:15" x14ac:dyDescent="0.25">
      <c r="B53" s="160" t="s">
        <v>665</v>
      </c>
      <c r="C53" s="127">
        <f t="shared" si="1"/>
        <v>42186</v>
      </c>
      <c r="D53" s="128" t="s">
        <v>6</v>
      </c>
      <c r="E53" s="129" t="s">
        <v>8</v>
      </c>
      <c r="F53" s="128" t="s">
        <v>9</v>
      </c>
      <c r="G53" s="129" t="str">
        <f t="shared" si="2"/>
        <v>General Service Large</v>
      </c>
      <c r="H53" s="130" t="s">
        <v>61</v>
      </c>
      <c r="I53" s="178" t="str">
        <f>TEXT(   (SUMPRODUCT( ((Main!$H$9:$H$1000)=$E53)*((Main!$J$9:$J$1000)=$F53)*((Main!$O$9:$O$1000)=$C53)*(Main!R$9:R$1000) ) +  ( SUMPRODUCT( ((Adders!$D$13:$D$101)=$E53)*((Adders!$E$13:$E$101)=$F53)*(Adders!G$13:G$101)) + VLOOKUP($H53,Adders!$B$5:$G$8,L$11,FALSE)  +  PA!$D$2 ) * IF($D53="NJ",1.07,1))/$L$10, CHOOSE($M$10,$L$9,$M$9) )</f>
        <v xml:space="preserve"> 77.81 </v>
      </c>
      <c r="J53" s="178" t="str">
        <f>TEXT(   (SUMPRODUCT( ((Main!$H$9:$H$1000)=$E53)*((Main!$J$9:$J$1000)=$F53)*((Main!$O$9:$O$1000)=$C53)*(Main!S$9:S$1000) ) +  ( SUMPRODUCT( ((Adders!$D$13:$D$101)=$E53)*((Adders!$E$13:$E$101)=$F53)*(Adders!H$13:H$101)) + VLOOKUP($H53,Adders!$B$5:$G$8,M$11,FALSE)  +  PA!$D$2 ) * IF($D53="NJ",1.07,1))/$L$10, CHOOSE($M$10,$L$9,$M$9) )</f>
        <v xml:space="preserve"> 75.37 </v>
      </c>
      <c r="K53" s="179" t="str">
        <f>TEXT(   (SUMPRODUCT( ((Main!$H$9:$H$1000)=$E53)*((Main!$J$9:$J$1000)=$F53)*((Main!$O$9:$O$1000)=$C53)*(Main!T$9:T$1000) ) +  ( SUMPRODUCT( ((Adders!$D$13:$D$101)=$E53)*((Adders!$E$13:$E$101)=$F53)*(Adders!I$13:I$101)) + VLOOKUP($H53,Adders!$B$5:$G$8,N$11,FALSE)  +  PA!$D$2 ) * IF($D53="NJ",1.07,1))/$L$10, CHOOSE($M$10,$L$9,$M$9) )</f>
        <v xml:space="preserve"> 75.77 </v>
      </c>
      <c r="L53" s="178" t="str">
        <f>IF(AND($D$11="IL",$E53="AMEREN"),"NA",TEXT((SUMPRODUCT(((LMPMain!$H$9:$H$1000)=$E53)*((LMPMain!$J$9:$J$1000)=$F53)*((LMPMain!$O$9:$O$1000)=$C53)*(LMPMain!R$9:R$1000))+(SUMPRODUCT(((Adders!$D$13:$D$101)=$E53)*((Adders!$E$13:$E$101)=$F53)*(Adders!G$13:G$101))+VLOOKUP($H53,Adders!$B$5:$G$8,L$11,FALSE)+Matrix!$D$2)*IF($D53="NJ",1.07,1))/$L$10,CHOOSE($M$10,$L$9,$M$9)))</f>
        <v xml:space="preserve"> 33.47 </v>
      </c>
      <c r="M53" s="178" t="str">
        <f>IF(AND($D$11="IL",$E53="AMEREN"),"NA",TEXT((SUMPRODUCT(((LMPMain!$H$9:$H$1000)=$E53)*((LMPMain!$J$9:$J$1000)=$F53)*((LMPMain!$O$9:$O$1000)=$C53)*(LMPMain!S$9:S$1000))+(SUMPRODUCT(((Adders!$D$13:$D$101)=$E53)*((Adders!$E$13:$E$101)=$F53)*(Adders!H$13:H$101))+VLOOKUP($H53,Adders!$B$5:$G$8,M$11,FALSE)+Matrix!$D$2)*IF($D53="NJ",1.07,1))/$L$10,CHOOSE($M$10,$L$9,$M$9)))</f>
        <v xml:space="preserve"> 31.91 </v>
      </c>
      <c r="N53" s="179" t="str">
        <f>IF(AND($D$11="IL",$E53="AMEREN"),"NA",TEXT((SUMPRODUCT(((LMPMain!$H$9:$H$1000)=$E53)*((LMPMain!$J$9:$J$1000)=$F53)*((LMPMain!$O$9:$O$1000)=$C53)*(LMPMain!T$9:T$1000))+(SUMPRODUCT(((Adders!$D$13:$D$101)=$E53)*((Adders!$E$13:$E$101)=$F53)*(Adders!G$13:G$101))+VLOOKUP($H53,Adders!$B$5:$G$8,N$11,FALSE)+Matrix!$D$2)*IF($D53="NJ",1.07,1))/$L$10,CHOOSE($M$10,$L$9,$M$9)))</f>
        <v xml:space="preserve"> 31.53 </v>
      </c>
      <c r="O53" s="112"/>
    </row>
    <row r="54" spans="2:15" x14ac:dyDescent="0.25">
      <c r="B54" s="160" t="s">
        <v>665</v>
      </c>
      <c r="C54" s="131">
        <f t="shared" si="1"/>
        <v>42186</v>
      </c>
      <c r="D54" s="132" t="s">
        <v>6</v>
      </c>
      <c r="E54" s="133" t="s">
        <v>8</v>
      </c>
      <c r="F54" s="132" t="s">
        <v>9</v>
      </c>
      <c r="G54" s="133" t="str">
        <f t="shared" si="2"/>
        <v>General Service Large</v>
      </c>
      <c r="H54" s="134" t="s">
        <v>62</v>
      </c>
      <c r="I54" s="173" t="str">
        <f>TEXT(   (SUMPRODUCT( ((Main!$H$9:$H$1000)=$E54)*((Main!$J$9:$J$1000)=$F54)*((Main!$O$9:$O$1000)=$C54)*(Main!R$9:R$1000) ) +  ( SUMPRODUCT( ((Adders!$D$13:$D$101)=$E54)*((Adders!$E$13:$E$101)=$F54)*(Adders!G$13:G$101)) + VLOOKUP($H54,Adders!$B$5:$G$8,L$11,FALSE)  +  PA!$D$2 ) * IF($D54="NJ",1.07,1))/$L$10, CHOOSE($M$10,$L$9,$M$9) )</f>
        <v xml:space="preserve"> 76.21 </v>
      </c>
      <c r="J54" s="173" t="str">
        <f>TEXT(   (SUMPRODUCT( ((Main!$H$9:$H$1000)=$E54)*((Main!$J$9:$J$1000)=$F54)*((Main!$O$9:$O$1000)=$C54)*(Main!S$9:S$1000) ) +  ( SUMPRODUCT( ((Adders!$D$13:$D$101)=$E54)*((Adders!$E$13:$E$101)=$F54)*(Adders!H$13:H$101)) + VLOOKUP($H54,Adders!$B$5:$G$8,M$11,FALSE)  +  PA!$D$2 ) * IF($D54="NJ",1.07,1))/$L$10, CHOOSE($M$10,$L$9,$M$9) )</f>
        <v xml:space="preserve"> 73.77 </v>
      </c>
      <c r="K54" s="174" t="str">
        <f>TEXT(   (SUMPRODUCT( ((Main!$H$9:$H$1000)=$E54)*((Main!$J$9:$J$1000)=$F54)*((Main!$O$9:$O$1000)=$C54)*(Main!T$9:T$1000) ) +  ( SUMPRODUCT( ((Adders!$D$13:$D$101)=$E54)*((Adders!$E$13:$E$101)=$F54)*(Adders!I$13:I$101)) + VLOOKUP($H54,Adders!$B$5:$G$8,N$11,FALSE)  +  PA!$D$2 ) * IF($D54="NJ",1.07,1))/$L$10, CHOOSE($M$10,$L$9,$M$9) )</f>
        <v xml:space="preserve"> 74.17 </v>
      </c>
      <c r="L54" s="173" t="str">
        <f>IF(AND($D$11="IL",$E54="AMEREN"),"NA",TEXT((SUMPRODUCT(((LMPMain!$H$9:$H$1000)=$E54)*((LMPMain!$J$9:$J$1000)=$F54)*((LMPMain!$O$9:$O$1000)=$C54)*(LMPMain!R$9:R$1000))+(SUMPRODUCT(((Adders!$D$13:$D$101)=$E54)*((Adders!$E$13:$E$101)=$F54)*(Adders!G$13:G$101))+VLOOKUP($H54,Adders!$B$5:$G$8,L$11,FALSE)+Matrix!$D$2)*IF($D54="NJ",1.07,1))/$L$10,CHOOSE($M$10,$L$9,$M$9)))</f>
        <v xml:space="preserve"> 31.87 </v>
      </c>
      <c r="M54" s="173" t="str">
        <f>IF(AND($D$11="IL",$E54="AMEREN"),"NA",TEXT((SUMPRODUCT(((LMPMain!$H$9:$H$1000)=$E54)*((LMPMain!$J$9:$J$1000)=$F54)*((LMPMain!$O$9:$O$1000)=$C54)*(LMPMain!S$9:S$1000))+(SUMPRODUCT(((Adders!$D$13:$D$101)=$E54)*((Adders!$E$13:$E$101)=$F54)*(Adders!H$13:H$101))+VLOOKUP($H54,Adders!$B$5:$G$8,M$11,FALSE)+Matrix!$D$2)*IF($D54="NJ",1.07,1))/$L$10,CHOOSE($M$10,$L$9,$M$9)))</f>
        <v xml:space="preserve"> 30.31 </v>
      </c>
      <c r="N54" s="174" t="str">
        <f>IF(AND($D$11="IL",$E54="AMEREN"),"NA",TEXT((SUMPRODUCT(((LMPMain!$H$9:$H$1000)=$E54)*((LMPMain!$J$9:$J$1000)=$F54)*((LMPMain!$O$9:$O$1000)=$C54)*(LMPMain!T$9:T$1000))+(SUMPRODUCT(((Adders!$D$13:$D$101)=$E54)*((Adders!$E$13:$E$101)=$F54)*(Adders!G$13:G$101))+VLOOKUP($H54,Adders!$B$5:$G$8,N$11,FALSE)+Matrix!$D$2)*IF($D54="NJ",1.07,1))/$L$10,CHOOSE($M$10,$L$9,$M$9)))</f>
        <v xml:space="preserve"> 29.93 </v>
      </c>
      <c r="O54" s="112"/>
    </row>
    <row r="55" spans="2:15" x14ac:dyDescent="0.25">
      <c r="B55" s="160" t="s">
        <v>665</v>
      </c>
      <c r="C55" s="135">
        <f t="shared" si="1"/>
        <v>42186</v>
      </c>
      <c r="D55" s="136" t="s">
        <v>6</v>
      </c>
      <c r="E55" s="137" t="s">
        <v>8</v>
      </c>
      <c r="F55" s="136" t="s">
        <v>9</v>
      </c>
      <c r="G55" s="137" t="str">
        <f t="shared" si="2"/>
        <v>General Service Large</v>
      </c>
      <c r="H55" s="138" t="s">
        <v>690</v>
      </c>
      <c r="I55" s="176" t="str">
        <f>TEXT(   (SUMPRODUCT( ((Main!$H$9:$H$1000)=$E55)*((Main!$J$9:$J$1000)=$F55)*((Main!$O$9:$O$1000)=$C55)*(Main!R$9:R$1000) ) +  ( SUMPRODUCT( ((Adders!$D$13:$D$101)=$E55)*((Adders!$E$13:$E$101)=$F55)*(Adders!G$13:G$101)) + VLOOKUP($H55,Adders!$B$5:$G$8,L$11,FALSE)  +  PA!$D$2 ) * IF($D55="NJ",1.07,1))/$L$10, CHOOSE($M$10,$L$9,$M$9) )</f>
        <v xml:space="preserve"> 75.16 </v>
      </c>
      <c r="J55" s="176" t="str">
        <f>TEXT(   (SUMPRODUCT( ((Main!$H$9:$H$1000)=$E55)*((Main!$J$9:$J$1000)=$F55)*((Main!$O$9:$O$1000)=$C55)*(Main!S$9:S$1000) ) +  ( SUMPRODUCT( ((Adders!$D$13:$D$101)=$E55)*((Adders!$E$13:$E$101)=$F55)*(Adders!H$13:H$101)) + VLOOKUP($H55,Adders!$B$5:$G$8,M$11,FALSE)  +  PA!$D$2 ) * IF($D55="NJ",1.07,1))/$L$10, CHOOSE($M$10,$L$9,$M$9) )</f>
        <v xml:space="preserve"> 72.72 </v>
      </c>
      <c r="K55" s="177" t="str">
        <f>TEXT(   (SUMPRODUCT( ((Main!$H$9:$H$1000)=$E55)*((Main!$J$9:$J$1000)=$F55)*((Main!$O$9:$O$1000)=$C55)*(Main!T$9:T$1000) ) +  ( SUMPRODUCT( ((Adders!$D$13:$D$101)=$E55)*((Adders!$E$13:$E$101)=$F55)*(Adders!I$13:I$101)) + VLOOKUP($H55,Adders!$B$5:$G$8,N$11,FALSE)  +  PA!$D$2 ) * IF($D55="NJ",1.07,1))/$L$10, CHOOSE($M$10,$L$9,$M$9) )</f>
        <v xml:space="preserve"> 73.12 </v>
      </c>
      <c r="L55" s="176" t="str">
        <f>IF(AND($D$11="IL",$E55="AMEREN"),"NA",TEXT((SUMPRODUCT(((LMPMain!$H$9:$H$1000)=$E55)*((LMPMain!$J$9:$J$1000)=$F55)*((LMPMain!$O$9:$O$1000)=$C55)*(LMPMain!R$9:R$1000))+(SUMPRODUCT(((Adders!$D$13:$D$101)=$E55)*((Adders!$E$13:$E$101)=$F55)*(Adders!G$13:G$101))+VLOOKUP($H55,Adders!$B$5:$G$8,L$11,FALSE)+Matrix!$D$2)*IF($D55="NJ",1.07,1))/$L$10,CHOOSE($M$10,$L$9,$M$9)))</f>
        <v xml:space="preserve"> 30.82 </v>
      </c>
      <c r="M55" s="176" t="str">
        <f>IF(AND($D$11="IL",$E55="AMEREN"),"NA",TEXT((SUMPRODUCT(((LMPMain!$H$9:$H$1000)=$E55)*((LMPMain!$J$9:$J$1000)=$F55)*((LMPMain!$O$9:$O$1000)=$C55)*(LMPMain!S$9:S$1000))+(SUMPRODUCT(((Adders!$D$13:$D$101)=$E55)*((Adders!$E$13:$E$101)=$F55)*(Adders!H$13:H$101))+VLOOKUP($H55,Adders!$B$5:$G$8,M$11,FALSE)+Matrix!$D$2)*IF($D55="NJ",1.07,1))/$L$10,CHOOSE($M$10,$L$9,$M$9)))</f>
        <v xml:space="preserve"> 29.26 </v>
      </c>
      <c r="N55" s="177" t="str">
        <f>IF(AND($D$11="IL",$E55="AMEREN"),"NA",TEXT((SUMPRODUCT(((LMPMain!$H$9:$H$1000)=$E55)*((LMPMain!$J$9:$J$1000)=$F55)*((LMPMain!$O$9:$O$1000)=$C55)*(LMPMain!T$9:T$1000))+(SUMPRODUCT(((Adders!$D$13:$D$101)=$E55)*((Adders!$E$13:$E$101)=$F55)*(Adders!G$13:G$101))+VLOOKUP($H55,Adders!$B$5:$G$8,N$11,FALSE)+Matrix!$D$2)*IF($D55="NJ",1.07,1))/$L$10,CHOOSE($M$10,$L$9,$M$9)))</f>
        <v xml:space="preserve"> 28.88 </v>
      </c>
      <c r="O55" s="112"/>
    </row>
    <row r="56" spans="2:15" x14ac:dyDescent="0.25">
      <c r="B56" s="160" t="s">
        <v>665</v>
      </c>
      <c r="C56" s="127">
        <f t="shared" si="1"/>
        <v>42217</v>
      </c>
      <c r="D56" s="128" t="s">
        <v>6</v>
      </c>
      <c r="E56" s="129" t="s">
        <v>8</v>
      </c>
      <c r="F56" s="128" t="s">
        <v>9</v>
      </c>
      <c r="G56" s="129" t="str">
        <f t="shared" si="2"/>
        <v>General Service Large</v>
      </c>
      <c r="H56" s="130" t="s">
        <v>61</v>
      </c>
      <c r="I56" s="178" t="str">
        <f>TEXT(   (SUMPRODUCT( ((Main!$H$9:$H$1000)=$E56)*((Main!$J$9:$J$1000)=$F56)*((Main!$O$9:$O$1000)=$C56)*(Main!R$9:R$1000) ) +  ( SUMPRODUCT( ((Adders!$D$13:$D$101)=$E56)*((Adders!$E$13:$E$101)=$F56)*(Adders!G$13:G$101)) + VLOOKUP($H56,Adders!$B$5:$G$8,L$11,FALSE)  +  PA!$D$2 ) * IF($D56="NJ",1.07,1))/$L$10, CHOOSE($M$10,$L$9,$M$9) )</f>
        <v xml:space="preserve"> 77.34 </v>
      </c>
      <c r="J56" s="178" t="str">
        <f>TEXT(   (SUMPRODUCT( ((Main!$H$9:$H$1000)=$E56)*((Main!$J$9:$J$1000)=$F56)*((Main!$O$9:$O$1000)=$C56)*(Main!S$9:S$1000) ) +  ( SUMPRODUCT( ((Adders!$D$13:$D$101)=$E56)*((Adders!$E$13:$E$101)=$F56)*(Adders!H$13:H$101)) + VLOOKUP($H56,Adders!$B$5:$G$8,M$11,FALSE)  +  PA!$D$2 ) * IF($D56="NJ",1.07,1))/$L$10, CHOOSE($M$10,$L$9,$M$9) )</f>
        <v xml:space="preserve"> 75.68 </v>
      </c>
      <c r="K56" s="179" t="str">
        <f>TEXT(   (SUMPRODUCT( ((Main!$H$9:$H$1000)=$E56)*((Main!$J$9:$J$1000)=$F56)*((Main!$O$9:$O$1000)=$C56)*(Main!T$9:T$1000) ) +  ( SUMPRODUCT( ((Adders!$D$13:$D$101)=$E56)*((Adders!$E$13:$E$101)=$F56)*(Adders!I$13:I$101)) + VLOOKUP($H56,Adders!$B$5:$G$8,N$11,FALSE)  +  PA!$D$2 ) * IF($D56="NJ",1.07,1))/$L$10, CHOOSE($M$10,$L$9,$M$9) )</f>
        <v xml:space="preserve"> 75.67 </v>
      </c>
      <c r="L56" s="178" t="str">
        <f>IF(AND($D$11="IL",$E56="AMEREN"),"NA",TEXT((SUMPRODUCT(((LMPMain!$H$9:$H$1000)=$E56)*((LMPMain!$J$9:$J$1000)=$F56)*((LMPMain!$O$9:$O$1000)=$C56)*(LMPMain!R$9:R$1000))+(SUMPRODUCT(((Adders!$D$13:$D$101)=$E56)*((Adders!$E$13:$E$101)=$F56)*(Adders!G$13:G$101))+VLOOKUP($H56,Adders!$B$5:$G$8,L$11,FALSE)+Matrix!$D$2)*IF($D56="NJ",1.07,1))/$L$10,CHOOSE($M$10,$L$9,$M$9)))</f>
        <v xml:space="preserve"> 33.14 </v>
      </c>
      <c r="M56" s="178" t="str">
        <f>IF(AND($D$11="IL",$E56="AMEREN"),"NA",TEXT((SUMPRODUCT(((LMPMain!$H$9:$H$1000)=$E56)*((LMPMain!$J$9:$J$1000)=$F56)*((LMPMain!$O$9:$O$1000)=$C56)*(LMPMain!S$9:S$1000))+(SUMPRODUCT(((Adders!$D$13:$D$101)=$E56)*((Adders!$E$13:$E$101)=$F56)*(Adders!H$13:H$101))+VLOOKUP($H56,Adders!$B$5:$G$8,M$11,FALSE)+Matrix!$D$2)*IF($D56="NJ",1.07,1))/$L$10,CHOOSE($M$10,$L$9,$M$9)))</f>
        <v xml:space="preserve"> 31.92 </v>
      </c>
      <c r="N56" s="179" t="str">
        <f>IF(AND($D$11="IL",$E56="AMEREN"),"NA",TEXT((SUMPRODUCT(((LMPMain!$H$9:$H$1000)=$E56)*((LMPMain!$J$9:$J$1000)=$F56)*((LMPMain!$O$9:$O$1000)=$C56)*(LMPMain!T$9:T$1000))+(SUMPRODUCT(((Adders!$D$13:$D$101)=$E56)*((Adders!$E$13:$E$101)=$F56)*(Adders!G$13:G$101))+VLOOKUP($H56,Adders!$B$5:$G$8,N$11,FALSE)+Matrix!$D$2)*IF($D56="NJ",1.07,1))/$L$10,CHOOSE($M$10,$L$9,$M$9)))</f>
        <v xml:space="preserve"> 31.39 </v>
      </c>
      <c r="O56" s="112"/>
    </row>
    <row r="57" spans="2:15" x14ac:dyDescent="0.25">
      <c r="B57" s="160" t="s">
        <v>665</v>
      </c>
      <c r="C57" s="131">
        <f t="shared" si="1"/>
        <v>42217</v>
      </c>
      <c r="D57" s="132" t="s">
        <v>6</v>
      </c>
      <c r="E57" s="133" t="s">
        <v>8</v>
      </c>
      <c r="F57" s="132" t="s">
        <v>9</v>
      </c>
      <c r="G57" s="133" t="str">
        <f t="shared" si="2"/>
        <v>General Service Large</v>
      </c>
      <c r="H57" s="134" t="s">
        <v>62</v>
      </c>
      <c r="I57" s="173" t="str">
        <f>TEXT(   (SUMPRODUCT( ((Main!$H$9:$H$1000)=$E57)*((Main!$J$9:$J$1000)=$F57)*((Main!$O$9:$O$1000)=$C57)*(Main!R$9:R$1000) ) +  ( SUMPRODUCT( ((Adders!$D$13:$D$101)=$E57)*((Adders!$E$13:$E$101)=$F57)*(Adders!G$13:G$101)) + VLOOKUP($H57,Adders!$B$5:$G$8,L$11,FALSE)  +  PA!$D$2 ) * IF($D57="NJ",1.07,1))/$L$10, CHOOSE($M$10,$L$9,$M$9) )</f>
        <v xml:space="preserve"> 75.74 </v>
      </c>
      <c r="J57" s="173" t="str">
        <f>TEXT(   (SUMPRODUCT( ((Main!$H$9:$H$1000)=$E57)*((Main!$J$9:$J$1000)=$F57)*((Main!$O$9:$O$1000)=$C57)*(Main!S$9:S$1000) ) +  ( SUMPRODUCT( ((Adders!$D$13:$D$101)=$E57)*((Adders!$E$13:$E$101)=$F57)*(Adders!H$13:H$101)) + VLOOKUP($H57,Adders!$B$5:$G$8,M$11,FALSE)  +  PA!$D$2 ) * IF($D57="NJ",1.07,1))/$L$10, CHOOSE($M$10,$L$9,$M$9) )</f>
        <v xml:space="preserve"> 74.08 </v>
      </c>
      <c r="K57" s="174" t="str">
        <f>TEXT(   (SUMPRODUCT( ((Main!$H$9:$H$1000)=$E57)*((Main!$J$9:$J$1000)=$F57)*((Main!$O$9:$O$1000)=$C57)*(Main!T$9:T$1000) ) +  ( SUMPRODUCT( ((Adders!$D$13:$D$101)=$E57)*((Adders!$E$13:$E$101)=$F57)*(Adders!I$13:I$101)) + VLOOKUP($H57,Adders!$B$5:$G$8,N$11,FALSE)  +  PA!$D$2 ) * IF($D57="NJ",1.07,1))/$L$10, CHOOSE($M$10,$L$9,$M$9) )</f>
        <v xml:space="preserve"> 74.07 </v>
      </c>
      <c r="L57" s="173" t="str">
        <f>IF(AND($D$11="IL",$E57="AMEREN"),"NA",TEXT((SUMPRODUCT(((LMPMain!$H$9:$H$1000)=$E57)*((LMPMain!$J$9:$J$1000)=$F57)*((LMPMain!$O$9:$O$1000)=$C57)*(LMPMain!R$9:R$1000))+(SUMPRODUCT(((Adders!$D$13:$D$101)=$E57)*((Adders!$E$13:$E$101)=$F57)*(Adders!G$13:G$101))+VLOOKUP($H57,Adders!$B$5:$G$8,L$11,FALSE)+Matrix!$D$2)*IF($D57="NJ",1.07,1))/$L$10,CHOOSE($M$10,$L$9,$M$9)))</f>
        <v xml:space="preserve"> 31.54 </v>
      </c>
      <c r="M57" s="173" t="str">
        <f>IF(AND($D$11="IL",$E57="AMEREN"),"NA",TEXT((SUMPRODUCT(((LMPMain!$H$9:$H$1000)=$E57)*((LMPMain!$J$9:$J$1000)=$F57)*((LMPMain!$O$9:$O$1000)=$C57)*(LMPMain!S$9:S$1000))+(SUMPRODUCT(((Adders!$D$13:$D$101)=$E57)*((Adders!$E$13:$E$101)=$F57)*(Adders!H$13:H$101))+VLOOKUP($H57,Adders!$B$5:$G$8,M$11,FALSE)+Matrix!$D$2)*IF($D57="NJ",1.07,1))/$L$10,CHOOSE($M$10,$L$9,$M$9)))</f>
        <v xml:space="preserve"> 30.32 </v>
      </c>
      <c r="N57" s="174" t="str">
        <f>IF(AND($D$11="IL",$E57="AMEREN"),"NA",TEXT((SUMPRODUCT(((LMPMain!$H$9:$H$1000)=$E57)*((LMPMain!$J$9:$J$1000)=$F57)*((LMPMain!$O$9:$O$1000)=$C57)*(LMPMain!T$9:T$1000))+(SUMPRODUCT(((Adders!$D$13:$D$101)=$E57)*((Adders!$E$13:$E$101)=$F57)*(Adders!G$13:G$101))+VLOOKUP($H57,Adders!$B$5:$G$8,N$11,FALSE)+Matrix!$D$2)*IF($D57="NJ",1.07,1))/$L$10,CHOOSE($M$10,$L$9,$M$9)))</f>
        <v xml:space="preserve"> 29.79 </v>
      </c>
      <c r="O57" s="112"/>
    </row>
    <row r="58" spans="2:15" x14ac:dyDescent="0.25">
      <c r="B58" s="160" t="s">
        <v>665</v>
      </c>
      <c r="C58" s="135">
        <f t="shared" si="1"/>
        <v>42217</v>
      </c>
      <c r="D58" s="136" t="s">
        <v>6</v>
      </c>
      <c r="E58" s="137" t="s">
        <v>8</v>
      </c>
      <c r="F58" s="136" t="s">
        <v>9</v>
      </c>
      <c r="G58" s="137" t="str">
        <f t="shared" si="2"/>
        <v>General Service Large</v>
      </c>
      <c r="H58" s="138" t="s">
        <v>690</v>
      </c>
      <c r="I58" s="176" t="str">
        <f>TEXT(   (SUMPRODUCT( ((Main!$H$9:$H$1000)=$E58)*((Main!$J$9:$J$1000)=$F58)*((Main!$O$9:$O$1000)=$C58)*(Main!R$9:R$1000) ) +  ( SUMPRODUCT( ((Adders!$D$13:$D$101)=$E58)*((Adders!$E$13:$E$101)=$F58)*(Adders!G$13:G$101)) + VLOOKUP($H58,Adders!$B$5:$G$8,L$11,FALSE)  +  PA!$D$2 ) * IF($D58="NJ",1.07,1))/$L$10, CHOOSE($M$10,$L$9,$M$9) )</f>
        <v xml:space="preserve"> 74.69 </v>
      </c>
      <c r="J58" s="176" t="str">
        <f>TEXT(   (SUMPRODUCT( ((Main!$H$9:$H$1000)=$E58)*((Main!$J$9:$J$1000)=$F58)*((Main!$O$9:$O$1000)=$C58)*(Main!S$9:S$1000) ) +  ( SUMPRODUCT( ((Adders!$D$13:$D$101)=$E58)*((Adders!$E$13:$E$101)=$F58)*(Adders!H$13:H$101)) + VLOOKUP($H58,Adders!$B$5:$G$8,M$11,FALSE)  +  PA!$D$2 ) * IF($D58="NJ",1.07,1))/$L$10, CHOOSE($M$10,$L$9,$M$9) )</f>
        <v xml:space="preserve"> 73.03 </v>
      </c>
      <c r="K58" s="177" t="str">
        <f>TEXT(   (SUMPRODUCT( ((Main!$H$9:$H$1000)=$E58)*((Main!$J$9:$J$1000)=$F58)*((Main!$O$9:$O$1000)=$C58)*(Main!T$9:T$1000) ) +  ( SUMPRODUCT( ((Adders!$D$13:$D$101)=$E58)*((Adders!$E$13:$E$101)=$F58)*(Adders!I$13:I$101)) + VLOOKUP($H58,Adders!$B$5:$G$8,N$11,FALSE)  +  PA!$D$2 ) * IF($D58="NJ",1.07,1))/$L$10, CHOOSE($M$10,$L$9,$M$9) )</f>
        <v xml:space="preserve"> 73.02 </v>
      </c>
      <c r="L58" s="176" t="str">
        <f>IF(AND($D$11="IL",$E58="AMEREN"),"NA",TEXT((SUMPRODUCT(((LMPMain!$H$9:$H$1000)=$E58)*((LMPMain!$J$9:$J$1000)=$F58)*((LMPMain!$O$9:$O$1000)=$C58)*(LMPMain!R$9:R$1000))+(SUMPRODUCT(((Adders!$D$13:$D$101)=$E58)*((Adders!$E$13:$E$101)=$F58)*(Adders!G$13:G$101))+VLOOKUP($H58,Adders!$B$5:$G$8,L$11,FALSE)+Matrix!$D$2)*IF($D58="NJ",1.07,1))/$L$10,CHOOSE($M$10,$L$9,$M$9)))</f>
        <v xml:space="preserve"> 30.49 </v>
      </c>
      <c r="M58" s="176" t="str">
        <f>IF(AND($D$11="IL",$E58="AMEREN"),"NA",TEXT((SUMPRODUCT(((LMPMain!$H$9:$H$1000)=$E58)*((LMPMain!$J$9:$J$1000)=$F58)*((LMPMain!$O$9:$O$1000)=$C58)*(LMPMain!S$9:S$1000))+(SUMPRODUCT(((Adders!$D$13:$D$101)=$E58)*((Adders!$E$13:$E$101)=$F58)*(Adders!H$13:H$101))+VLOOKUP($H58,Adders!$B$5:$G$8,M$11,FALSE)+Matrix!$D$2)*IF($D58="NJ",1.07,1))/$L$10,CHOOSE($M$10,$L$9,$M$9)))</f>
        <v xml:space="preserve"> 29.27 </v>
      </c>
      <c r="N58" s="177" t="str">
        <f>IF(AND($D$11="IL",$E58="AMEREN"),"NA",TEXT((SUMPRODUCT(((LMPMain!$H$9:$H$1000)=$E58)*((LMPMain!$J$9:$J$1000)=$F58)*((LMPMain!$O$9:$O$1000)=$C58)*(LMPMain!T$9:T$1000))+(SUMPRODUCT(((Adders!$D$13:$D$101)=$E58)*((Adders!$E$13:$E$101)=$F58)*(Adders!G$13:G$101))+VLOOKUP($H58,Adders!$B$5:$G$8,N$11,FALSE)+Matrix!$D$2)*IF($D58="NJ",1.07,1))/$L$10,CHOOSE($M$10,$L$9,$M$9)))</f>
        <v xml:space="preserve"> 28.74 </v>
      </c>
      <c r="O58" s="112"/>
    </row>
    <row r="59" spans="2:15" x14ac:dyDescent="0.25">
      <c r="B59" s="160" t="s">
        <v>665</v>
      </c>
      <c r="C59" s="127">
        <f t="shared" si="1"/>
        <v>42248</v>
      </c>
      <c r="D59" s="128" t="s">
        <v>6</v>
      </c>
      <c r="E59" s="129" t="s">
        <v>8</v>
      </c>
      <c r="F59" s="128" t="s">
        <v>9</v>
      </c>
      <c r="G59" s="129" t="str">
        <f t="shared" si="2"/>
        <v>General Service Large</v>
      </c>
      <c r="H59" s="130" t="s">
        <v>61</v>
      </c>
      <c r="I59" s="178" t="str">
        <f>TEXT(   (SUMPRODUCT( ((Main!$H$9:$H$1000)=$E59)*((Main!$J$9:$J$1000)=$F59)*((Main!$O$9:$O$1000)=$C59)*(Main!R$9:R$1000) ) +  ( SUMPRODUCT( ((Adders!$D$13:$D$101)=$E59)*((Adders!$E$13:$E$101)=$F59)*(Adders!G$13:G$101)) + VLOOKUP($H59,Adders!$B$5:$G$8,L$11,FALSE)  +  PA!$D$2 ) * IF($D59="NJ",1.07,1))/$L$10, CHOOSE($M$10,$L$9,$M$9) )</f>
        <v xml:space="preserve"> 77.09 </v>
      </c>
      <c r="J59" s="178" t="str">
        <f>TEXT(   (SUMPRODUCT( ((Main!$H$9:$H$1000)=$E59)*((Main!$J$9:$J$1000)=$F59)*((Main!$O$9:$O$1000)=$C59)*(Main!S$9:S$1000) ) +  ( SUMPRODUCT( ((Adders!$D$13:$D$101)=$E59)*((Adders!$E$13:$E$101)=$F59)*(Adders!H$13:H$101)) + VLOOKUP($H59,Adders!$B$5:$G$8,M$11,FALSE)  +  PA!$D$2 ) * IF($D59="NJ",1.07,1))/$L$10, CHOOSE($M$10,$L$9,$M$9) )</f>
        <v xml:space="preserve"> 76.13 </v>
      </c>
      <c r="K59" s="179" t="str">
        <f>TEXT(   (SUMPRODUCT( ((Main!$H$9:$H$1000)=$E59)*((Main!$J$9:$J$1000)=$F59)*((Main!$O$9:$O$1000)=$C59)*(Main!T$9:T$1000) ) +  ( SUMPRODUCT( ((Adders!$D$13:$D$101)=$E59)*((Adders!$E$13:$E$101)=$F59)*(Adders!I$13:I$101)) + VLOOKUP($H59,Adders!$B$5:$G$8,N$11,FALSE)  +  PA!$D$2 ) * IF($D59="NJ",1.07,1))/$L$10, CHOOSE($M$10,$L$9,$M$9) )</f>
        <v xml:space="preserve"> 75.67 </v>
      </c>
      <c r="L59" s="178" t="str">
        <f>IF(AND($D$11="IL",$E59="AMEREN"),"NA",TEXT((SUMPRODUCT(((LMPMain!$H$9:$H$1000)=$E59)*((LMPMain!$J$9:$J$1000)=$F59)*((LMPMain!$O$9:$O$1000)=$C59)*(LMPMain!R$9:R$1000))+(SUMPRODUCT(((Adders!$D$13:$D$101)=$E59)*((Adders!$E$13:$E$101)=$F59)*(Adders!G$13:G$101))+VLOOKUP($H59,Adders!$B$5:$G$8,L$11,FALSE)+Matrix!$D$2)*IF($D59="NJ",1.07,1))/$L$10,CHOOSE($M$10,$L$9,$M$9)))</f>
        <v xml:space="preserve"> 32.75 </v>
      </c>
      <c r="M59" s="178" t="str">
        <f>IF(AND($D$11="IL",$E59="AMEREN"),"NA",TEXT((SUMPRODUCT(((LMPMain!$H$9:$H$1000)=$E59)*((LMPMain!$J$9:$J$1000)=$F59)*((LMPMain!$O$9:$O$1000)=$C59)*(LMPMain!S$9:S$1000))+(SUMPRODUCT(((Adders!$D$13:$D$101)=$E59)*((Adders!$E$13:$E$101)=$F59)*(Adders!H$13:H$101))+VLOOKUP($H59,Adders!$B$5:$G$8,M$11,FALSE)+Matrix!$D$2)*IF($D59="NJ",1.07,1))/$L$10,CHOOSE($M$10,$L$9,$M$9)))</f>
        <v xml:space="preserve"> 31.88 </v>
      </c>
      <c r="N59" s="179" t="str">
        <f>IF(AND($D$11="IL",$E59="AMEREN"),"NA",TEXT((SUMPRODUCT(((LMPMain!$H$9:$H$1000)=$E59)*((LMPMain!$J$9:$J$1000)=$F59)*((LMPMain!$O$9:$O$1000)=$C59)*(LMPMain!T$9:T$1000))+(SUMPRODUCT(((Adders!$D$13:$D$101)=$E59)*((Adders!$E$13:$E$101)=$F59)*(Adders!G$13:G$101))+VLOOKUP($H59,Adders!$B$5:$G$8,N$11,FALSE)+Matrix!$D$2)*IF($D59="NJ",1.07,1))/$L$10,CHOOSE($M$10,$L$9,$M$9)))</f>
        <v xml:space="preserve"> 31.23 </v>
      </c>
      <c r="O59" s="112"/>
    </row>
    <row r="60" spans="2:15" x14ac:dyDescent="0.25">
      <c r="B60" s="160" t="s">
        <v>665</v>
      </c>
      <c r="C60" s="131">
        <f t="shared" si="1"/>
        <v>42248</v>
      </c>
      <c r="D60" s="132" t="s">
        <v>6</v>
      </c>
      <c r="E60" s="133" t="s">
        <v>8</v>
      </c>
      <c r="F60" s="132" t="s">
        <v>9</v>
      </c>
      <c r="G60" s="133" t="str">
        <f t="shared" si="2"/>
        <v>General Service Large</v>
      </c>
      <c r="H60" s="134" t="s">
        <v>62</v>
      </c>
      <c r="I60" s="173" t="str">
        <f>TEXT(   (SUMPRODUCT( ((Main!$H$9:$H$1000)=$E60)*((Main!$J$9:$J$1000)=$F60)*((Main!$O$9:$O$1000)=$C60)*(Main!R$9:R$1000) ) +  ( SUMPRODUCT( ((Adders!$D$13:$D$101)=$E60)*((Adders!$E$13:$E$101)=$F60)*(Adders!G$13:G$101)) + VLOOKUP($H60,Adders!$B$5:$G$8,L$11,FALSE)  +  PA!$D$2 ) * IF($D60="NJ",1.07,1))/$L$10, CHOOSE($M$10,$L$9,$M$9) )</f>
        <v xml:space="preserve"> 75.49 </v>
      </c>
      <c r="J60" s="173" t="str">
        <f>TEXT(   (SUMPRODUCT( ((Main!$H$9:$H$1000)=$E60)*((Main!$J$9:$J$1000)=$F60)*((Main!$O$9:$O$1000)=$C60)*(Main!S$9:S$1000) ) +  ( SUMPRODUCT( ((Adders!$D$13:$D$101)=$E60)*((Adders!$E$13:$E$101)=$F60)*(Adders!H$13:H$101)) + VLOOKUP($H60,Adders!$B$5:$G$8,M$11,FALSE)  +  PA!$D$2 ) * IF($D60="NJ",1.07,1))/$L$10, CHOOSE($M$10,$L$9,$M$9) )</f>
        <v xml:space="preserve"> 74.53 </v>
      </c>
      <c r="K60" s="174" t="str">
        <f>TEXT(   (SUMPRODUCT( ((Main!$H$9:$H$1000)=$E60)*((Main!$J$9:$J$1000)=$F60)*((Main!$O$9:$O$1000)=$C60)*(Main!T$9:T$1000) ) +  ( SUMPRODUCT( ((Adders!$D$13:$D$101)=$E60)*((Adders!$E$13:$E$101)=$F60)*(Adders!I$13:I$101)) + VLOOKUP($H60,Adders!$B$5:$G$8,N$11,FALSE)  +  PA!$D$2 ) * IF($D60="NJ",1.07,1))/$L$10, CHOOSE($M$10,$L$9,$M$9) )</f>
        <v xml:space="preserve"> 74.07 </v>
      </c>
      <c r="L60" s="173" t="str">
        <f>IF(AND($D$11="IL",$E60="AMEREN"),"NA",TEXT((SUMPRODUCT(((LMPMain!$H$9:$H$1000)=$E60)*((LMPMain!$J$9:$J$1000)=$F60)*((LMPMain!$O$9:$O$1000)=$C60)*(LMPMain!R$9:R$1000))+(SUMPRODUCT(((Adders!$D$13:$D$101)=$E60)*((Adders!$E$13:$E$101)=$F60)*(Adders!G$13:G$101))+VLOOKUP($H60,Adders!$B$5:$G$8,L$11,FALSE)+Matrix!$D$2)*IF($D60="NJ",1.07,1))/$L$10,CHOOSE($M$10,$L$9,$M$9)))</f>
        <v xml:space="preserve"> 31.15 </v>
      </c>
      <c r="M60" s="173" t="str">
        <f>IF(AND($D$11="IL",$E60="AMEREN"),"NA",TEXT((SUMPRODUCT(((LMPMain!$H$9:$H$1000)=$E60)*((LMPMain!$J$9:$J$1000)=$F60)*((LMPMain!$O$9:$O$1000)=$C60)*(LMPMain!S$9:S$1000))+(SUMPRODUCT(((Adders!$D$13:$D$101)=$E60)*((Adders!$E$13:$E$101)=$F60)*(Adders!H$13:H$101))+VLOOKUP($H60,Adders!$B$5:$G$8,M$11,FALSE)+Matrix!$D$2)*IF($D60="NJ",1.07,1))/$L$10,CHOOSE($M$10,$L$9,$M$9)))</f>
        <v xml:space="preserve"> 30.28 </v>
      </c>
      <c r="N60" s="174" t="str">
        <f>IF(AND($D$11="IL",$E60="AMEREN"),"NA",TEXT((SUMPRODUCT(((LMPMain!$H$9:$H$1000)=$E60)*((LMPMain!$J$9:$J$1000)=$F60)*((LMPMain!$O$9:$O$1000)=$C60)*(LMPMain!T$9:T$1000))+(SUMPRODUCT(((Adders!$D$13:$D$101)=$E60)*((Adders!$E$13:$E$101)=$F60)*(Adders!G$13:G$101))+VLOOKUP($H60,Adders!$B$5:$G$8,N$11,FALSE)+Matrix!$D$2)*IF($D60="NJ",1.07,1))/$L$10,CHOOSE($M$10,$L$9,$M$9)))</f>
        <v xml:space="preserve"> 29.63 </v>
      </c>
      <c r="O60" s="112"/>
    </row>
    <row r="61" spans="2:15" x14ac:dyDescent="0.25">
      <c r="B61" s="160" t="s">
        <v>665</v>
      </c>
      <c r="C61" s="135">
        <f t="shared" si="1"/>
        <v>42248</v>
      </c>
      <c r="D61" s="136" t="s">
        <v>6</v>
      </c>
      <c r="E61" s="137" t="s">
        <v>8</v>
      </c>
      <c r="F61" s="136" t="s">
        <v>9</v>
      </c>
      <c r="G61" s="137" t="str">
        <f t="shared" si="2"/>
        <v>General Service Large</v>
      </c>
      <c r="H61" s="138" t="s">
        <v>690</v>
      </c>
      <c r="I61" s="176" t="str">
        <f>TEXT(   (SUMPRODUCT( ((Main!$H$9:$H$1000)=$E61)*((Main!$J$9:$J$1000)=$F61)*((Main!$O$9:$O$1000)=$C61)*(Main!R$9:R$1000) ) +  ( SUMPRODUCT( ((Adders!$D$13:$D$101)=$E61)*((Adders!$E$13:$E$101)=$F61)*(Adders!G$13:G$101)) + VLOOKUP($H61,Adders!$B$5:$G$8,L$11,FALSE)  +  PA!$D$2 ) * IF($D61="NJ",1.07,1))/$L$10, CHOOSE($M$10,$L$9,$M$9) )</f>
        <v xml:space="preserve"> 74.44 </v>
      </c>
      <c r="J61" s="176" t="str">
        <f>TEXT(   (SUMPRODUCT( ((Main!$H$9:$H$1000)=$E61)*((Main!$J$9:$J$1000)=$F61)*((Main!$O$9:$O$1000)=$C61)*(Main!S$9:S$1000) ) +  ( SUMPRODUCT( ((Adders!$D$13:$D$101)=$E61)*((Adders!$E$13:$E$101)=$F61)*(Adders!H$13:H$101)) + VLOOKUP($H61,Adders!$B$5:$G$8,M$11,FALSE)  +  PA!$D$2 ) * IF($D61="NJ",1.07,1))/$L$10, CHOOSE($M$10,$L$9,$M$9) )</f>
        <v xml:space="preserve"> 73.48 </v>
      </c>
      <c r="K61" s="177" t="str">
        <f>TEXT(   (SUMPRODUCT( ((Main!$H$9:$H$1000)=$E61)*((Main!$J$9:$J$1000)=$F61)*((Main!$O$9:$O$1000)=$C61)*(Main!T$9:T$1000) ) +  ( SUMPRODUCT( ((Adders!$D$13:$D$101)=$E61)*((Adders!$E$13:$E$101)=$F61)*(Adders!I$13:I$101)) + VLOOKUP($H61,Adders!$B$5:$G$8,N$11,FALSE)  +  PA!$D$2 ) * IF($D61="NJ",1.07,1))/$L$10, CHOOSE($M$10,$L$9,$M$9) )</f>
        <v xml:space="preserve"> 73.02 </v>
      </c>
      <c r="L61" s="176" t="str">
        <f>IF(AND($D$11="IL",$E61="AMEREN"),"NA",TEXT((SUMPRODUCT(((LMPMain!$H$9:$H$1000)=$E61)*((LMPMain!$J$9:$J$1000)=$F61)*((LMPMain!$O$9:$O$1000)=$C61)*(LMPMain!R$9:R$1000))+(SUMPRODUCT(((Adders!$D$13:$D$101)=$E61)*((Adders!$E$13:$E$101)=$F61)*(Adders!G$13:G$101))+VLOOKUP($H61,Adders!$B$5:$G$8,L$11,FALSE)+Matrix!$D$2)*IF($D61="NJ",1.07,1))/$L$10,CHOOSE($M$10,$L$9,$M$9)))</f>
        <v xml:space="preserve"> 30.10 </v>
      </c>
      <c r="M61" s="176" t="str">
        <f>IF(AND($D$11="IL",$E61="AMEREN"),"NA",TEXT((SUMPRODUCT(((LMPMain!$H$9:$H$1000)=$E61)*((LMPMain!$J$9:$J$1000)=$F61)*((LMPMain!$O$9:$O$1000)=$C61)*(LMPMain!S$9:S$1000))+(SUMPRODUCT(((Adders!$D$13:$D$101)=$E61)*((Adders!$E$13:$E$101)=$F61)*(Adders!H$13:H$101))+VLOOKUP($H61,Adders!$B$5:$G$8,M$11,FALSE)+Matrix!$D$2)*IF($D61="NJ",1.07,1))/$L$10,CHOOSE($M$10,$L$9,$M$9)))</f>
        <v xml:space="preserve"> 29.23 </v>
      </c>
      <c r="N61" s="177" t="str">
        <f>IF(AND($D$11="IL",$E61="AMEREN"),"NA",TEXT((SUMPRODUCT(((LMPMain!$H$9:$H$1000)=$E61)*((LMPMain!$J$9:$J$1000)=$F61)*((LMPMain!$O$9:$O$1000)=$C61)*(LMPMain!T$9:T$1000))+(SUMPRODUCT(((Adders!$D$13:$D$101)=$E61)*((Adders!$E$13:$E$101)=$F61)*(Adders!G$13:G$101))+VLOOKUP($H61,Adders!$B$5:$G$8,N$11,FALSE)+Matrix!$D$2)*IF($D61="NJ",1.07,1))/$L$10,CHOOSE($M$10,$L$9,$M$9)))</f>
        <v xml:space="preserve"> 28.58 </v>
      </c>
      <c r="O61" s="112"/>
    </row>
    <row r="62" spans="2:15" x14ac:dyDescent="0.25">
      <c r="B62" s="160" t="s">
        <v>665</v>
      </c>
      <c r="C62" s="127">
        <f t="shared" si="1"/>
        <v>42278</v>
      </c>
      <c r="D62" s="128" t="s">
        <v>6</v>
      </c>
      <c r="E62" s="129" t="s">
        <v>8</v>
      </c>
      <c r="F62" s="128" t="s">
        <v>9</v>
      </c>
      <c r="G62" s="129" t="str">
        <f t="shared" si="2"/>
        <v>General Service Large</v>
      </c>
      <c r="H62" s="130" t="s">
        <v>61</v>
      </c>
      <c r="I62" s="178" t="str">
        <f>TEXT(   (SUMPRODUCT( ((Main!$H$9:$H$1000)=$E62)*((Main!$J$9:$J$1000)=$F62)*((Main!$O$9:$O$1000)=$C62)*(Main!R$9:R$1000) ) +  ( SUMPRODUCT( ((Adders!$D$13:$D$101)=$E62)*((Adders!$E$13:$E$101)=$F62)*(Adders!G$13:G$101)) + VLOOKUP($H62,Adders!$B$5:$G$8,L$11,FALSE)  +  PA!$D$2 ) * IF($D62="NJ",1.07,1))/$L$10, CHOOSE($M$10,$L$9,$M$9) )</f>
        <v xml:space="preserve"> 76.69 </v>
      </c>
      <c r="J62" s="178" t="str">
        <f>TEXT(   (SUMPRODUCT( ((Main!$H$9:$H$1000)=$E62)*((Main!$J$9:$J$1000)=$F62)*((Main!$O$9:$O$1000)=$C62)*(Main!S$9:S$1000) ) +  ( SUMPRODUCT( ((Adders!$D$13:$D$101)=$E62)*((Adders!$E$13:$E$101)=$F62)*(Adders!H$13:H$101)) + VLOOKUP($H62,Adders!$B$5:$G$8,M$11,FALSE)  +  PA!$D$2 ) * IF($D62="NJ",1.07,1))/$L$10, CHOOSE($M$10,$L$9,$M$9) )</f>
        <v xml:space="preserve"> 76.35 </v>
      </c>
      <c r="K62" s="179" t="str">
        <f>TEXT(   (SUMPRODUCT( ((Main!$H$9:$H$1000)=$E62)*((Main!$J$9:$J$1000)=$F62)*((Main!$O$9:$O$1000)=$C62)*(Main!T$9:T$1000) ) +  ( SUMPRODUCT( ((Adders!$D$13:$D$101)=$E62)*((Adders!$E$13:$E$101)=$F62)*(Adders!I$13:I$101)) + VLOOKUP($H62,Adders!$B$5:$G$8,N$11,FALSE)  +  PA!$D$2 ) * IF($D62="NJ",1.07,1))/$L$10, CHOOSE($M$10,$L$9,$M$9) )</f>
        <v xml:space="preserve"> 75.50 </v>
      </c>
      <c r="L62" s="178" t="str">
        <f>IF(AND($D$11="IL",$E62="AMEREN"),"NA",TEXT((SUMPRODUCT(((LMPMain!$H$9:$H$1000)=$E62)*((LMPMain!$J$9:$J$1000)=$F62)*((LMPMain!$O$9:$O$1000)=$C62)*(LMPMain!R$9:R$1000))+(SUMPRODUCT(((Adders!$D$13:$D$101)=$E62)*((Adders!$E$13:$E$101)=$F62)*(Adders!G$13:G$101))+VLOOKUP($H62,Adders!$B$5:$G$8,L$11,FALSE)+Matrix!$D$2)*IF($D62="NJ",1.07,1))/$L$10,CHOOSE($M$10,$L$9,$M$9)))</f>
        <v xml:space="preserve"> 32.42 </v>
      </c>
      <c r="M62" s="178" t="str">
        <f>IF(AND($D$11="IL",$E62="AMEREN"),"NA",TEXT((SUMPRODUCT(((LMPMain!$H$9:$H$1000)=$E62)*((LMPMain!$J$9:$J$1000)=$F62)*((LMPMain!$O$9:$O$1000)=$C62)*(LMPMain!S$9:S$1000))+(SUMPRODUCT(((Adders!$D$13:$D$101)=$E62)*((Adders!$E$13:$E$101)=$F62)*(Adders!H$13:H$101))+VLOOKUP($H62,Adders!$B$5:$G$8,M$11,FALSE)+Matrix!$D$2)*IF($D62="NJ",1.07,1))/$L$10,CHOOSE($M$10,$L$9,$M$9)))</f>
        <v xml:space="preserve"> 31.78 </v>
      </c>
      <c r="N62" s="179" t="str">
        <f>IF(AND($D$11="IL",$E62="AMEREN"),"NA",TEXT((SUMPRODUCT(((LMPMain!$H$9:$H$1000)=$E62)*((LMPMain!$J$9:$J$1000)=$F62)*((LMPMain!$O$9:$O$1000)=$C62)*(LMPMain!T$9:T$1000))+(SUMPRODUCT(((Adders!$D$13:$D$101)=$E62)*((Adders!$E$13:$E$101)=$F62)*(Adders!G$13:G$101))+VLOOKUP($H62,Adders!$B$5:$G$8,N$11,FALSE)+Matrix!$D$2)*IF($D62="NJ",1.07,1))/$L$10,CHOOSE($M$10,$L$9,$M$9)))</f>
        <v xml:space="preserve"> 31.08 </v>
      </c>
      <c r="O62" s="112"/>
    </row>
    <row r="63" spans="2:15" x14ac:dyDescent="0.25">
      <c r="B63" s="160" t="s">
        <v>665</v>
      </c>
      <c r="C63" s="131">
        <f t="shared" si="1"/>
        <v>42278</v>
      </c>
      <c r="D63" s="132" t="s">
        <v>6</v>
      </c>
      <c r="E63" s="133" t="s">
        <v>8</v>
      </c>
      <c r="F63" s="132" t="s">
        <v>9</v>
      </c>
      <c r="G63" s="133" t="str">
        <f t="shared" si="2"/>
        <v>General Service Large</v>
      </c>
      <c r="H63" s="134" t="s">
        <v>62</v>
      </c>
      <c r="I63" s="173" t="str">
        <f>TEXT(   (SUMPRODUCT( ((Main!$H$9:$H$1000)=$E63)*((Main!$J$9:$J$1000)=$F63)*((Main!$O$9:$O$1000)=$C63)*(Main!R$9:R$1000) ) +  ( SUMPRODUCT( ((Adders!$D$13:$D$101)=$E63)*((Adders!$E$13:$E$101)=$F63)*(Adders!G$13:G$101)) + VLOOKUP($H63,Adders!$B$5:$G$8,L$11,FALSE)  +  PA!$D$2 ) * IF($D63="NJ",1.07,1))/$L$10, CHOOSE($M$10,$L$9,$M$9) )</f>
        <v xml:space="preserve"> 75.09 </v>
      </c>
      <c r="J63" s="173" t="str">
        <f>TEXT(   (SUMPRODUCT( ((Main!$H$9:$H$1000)=$E63)*((Main!$J$9:$J$1000)=$F63)*((Main!$O$9:$O$1000)=$C63)*(Main!S$9:S$1000) ) +  ( SUMPRODUCT( ((Adders!$D$13:$D$101)=$E63)*((Adders!$E$13:$E$101)=$F63)*(Adders!H$13:H$101)) + VLOOKUP($H63,Adders!$B$5:$G$8,M$11,FALSE)  +  PA!$D$2 ) * IF($D63="NJ",1.07,1))/$L$10, CHOOSE($M$10,$L$9,$M$9) )</f>
        <v xml:space="preserve"> 74.75 </v>
      </c>
      <c r="K63" s="174" t="str">
        <f>TEXT(   (SUMPRODUCT( ((Main!$H$9:$H$1000)=$E63)*((Main!$J$9:$J$1000)=$F63)*((Main!$O$9:$O$1000)=$C63)*(Main!T$9:T$1000) ) +  ( SUMPRODUCT( ((Adders!$D$13:$D$101)=$E63)*((Adders!$E$13:$E$101)=$F63)*(Adders!I$13:I$101)) + VLOOKUP($H63,Adders!$B$5:$G$8,N$11,FALSE)  +  PA!$D$2 ) * IF($D63="NJ",1.07,1))/$L$10, CHOOSE($M$10,$L$9,$M$9) )</f>
        <v xml:space="preserve"> 73.90 </v>
      </c>
      <c r="L63" s="173" t="str">
        <f>IF(AND($D$11="IL",$E63="AMEREN"),"NA",TEXT((SUMPRODUCT(((LMPMain!$H$9:$H$1000)=$E63)*((LMPMain!$J$9:$J$1000)=$F63)*((LMPMain!$O$9:$O$1000)=$C63)*(LMPMain!R$9:R$1000))+(SUMPRODUCT(((Adders!$D$13:$D$101)=$E63)*((Adders!$E$13:$E$101)=$F63)*(Adders!G$13:G$101))+VLOOKUP($H63,Adders!$B$5:$G$8,L$11,FALSE)+Matrix!$D$2)*IF($D63="NJ",1.07,1))/$L$10,CHOOSE($M$10,$L$9,$M$9)))</f>
        <v xml:space="preserve"> 30.82 </v>
      </c>
      <c r="M63" s="173" t="str">
        <f>IF(AND($D$11="IL",$E63="AMEREN"),"NA",TEXT((SUMPRODUCT(((LMPMain!$H$9:$H$1000)=$E63)*((LMPMain!$J$9:$J$1000)=$F63)*((LMPMain!$O$9:$O$1000)=$C63)*(LMPMain!S$9:S$1000))+(SUMPRODUCT(((Adders!$D$13:$D$101)=$E63)*((Adders!$E$13:$E$101)=$F63)*(Adders!H$13:H$101))+VLOOKUP($H63,Adders!$B$5:$G$8,M$11,FALSE)+Matrix!$D$2)*IF($D63="NJ",1.07,1))/$L$10,CHOOSE($M$10,$L$9,$M$9)))</f>
        <v xml:space="preserve"> 30.18 </v>
      </c>
      <c r="N63" s="174" t="str">
        <f>IF(AND($D$11="IL",$E63="AMEREN"),"NA",TEXT((SUMPRODUCT(((LMPMain!$H$9:$H$1000)=$E63)*((LMPMain!$J$9:$J$1000)=$F63)*((LMPMain!$O$9:$O$1000)=$C63)*(LMPMain!T$9:T$1000))+(SUMPRODUCT(((Adders!$D$13:$D$101)=$E63)*((Adders!$E$13:$E$101)=$F63)*(Adders!G$13:G$101))+VLOOKUP($H63,Adders!$B$5:$G$8,N$11,FALSE)+Matrix!$D$2)*IF($D63="NJ",1.07,1))/$L$10,CHOOSE($M$10,$L$9,$M$9)))</f>
        <v xml:space="preserve"> 29.48 </v>
      </c>
      <c r="O63" s="112"/>
    </row>
    <row r="64" spans="2:15" x14ac:dyDescent="0.25">
      <c r="B64" s="160" t="s">
        <v>665</v>
      </c>
      <c r="C64" s="135">
        <f t="shared" si="1"/>
        <v>42278</v>
      </c>
      <c r="D64" s="136" t="s">
        <v>6</v>
      </c>
      <c r="E64" s="137" t="s">
        <v>8</v>
      </c>
      <c r="F64" s="136" t="s">
        <v>9</v>
      </c>
      <c r="G64" s="137" t="str">
        <f t="shared" si="2"/>
        <v>General Service Large</v>
      </c>
      <c r="H64" s="138" t="s">
        <v>690</v>
      </c>
      <c r="I64" s="176" t="str">
        <f>TEXT(   (SUMPRODUCT( ((Main!$H$9:$H$1000)=$E64)*((Main!$J$9:$J$1000)=$F64)*((Main!$O$9:$O$1000)=$C64)*(Main!R$9:R$1000) ) +  ( SUMPRODUCT( ((Adders!$D$13:$D$101)=$E64)*((Adders!$E$13:$E$101)=$F64)*(Adders!G$13:G$101)) + VLOOKUP($H64,Adders!$B$5:$G$8,L$11,FALSE)  +  PA!$D$2 ) * IF($D64="NJ",1.07,1))/$L$10, CHOOSE($M$10,$L$9,$M$9) )</f>
        <v xml:space="preserve"> 74.04 </v>
      </c>
      <c r="J64" s="176" t="str">
        <f>TEXT(   (SUMPRODUCT( ((Main!$H$9:$H$1000)=$E64)*((Main!$J$9:$J$1000)=$F64)*((Main!$O$9:$O$1000)=$C64)*(Main!S$9:S$1000) ) +  ( SUMPRODUCT( ((Adders!$D$13:$D$101)=$E64)*((Adders!$E$13:$E$101)=$F64)*(Adders!H$13:H$101)) + VLOOKUP($H64,Adders!$B$5:$G$8,M$11,FALSE)  +  PA!$D$2 ) * IF($D64="NJ",1.07,1))/$L$10, CHOOSE($M$10,$L$9,$M$9) )</f>
        <v xml:space="preserve"> 73.70 </v>
      </c>
      <c r="K64" s="177" t="str">
        <f>TEXT(   (SUMPRODUCT( ((Main!$H$9:$H$1000)=$E64)*((Main!$J$9:$J$1000)=$F64)*((Main!$O$9:$O$1000)=$C64)*(Main!T$9:T$1000) ) +  ( SUMPRODUCT( ((Adders!$D$13:$D$101)=$E64)*((Adders!$E$13:$E$101)=$F64)*(Adders!I$13:I$101)) + VLOOKUP($H64,Adders!$B$5:$G$8,N$11,FALSE)  +  PA!$D$2 ) * IF($D64="NJ",1.07,1))/$L$10, CHOOSE($M$10,$L$9,$M$9) )</f>
        <v xml:space="preserve"> 72.85 </v>
      </c>
      <c r="L64" s="176" t="str">
        <f>IF(AND($D$11="IL",$E64="AMEREN"),"NA",TEXT((SUMPRODUCT(((LMPMain!$H$9:$H$1000)=$E64)*((LMPMain!$J$9:$J$1000)=$F64)*((LMPMain!$O$9:$O$1000)=$C64)*(LMPMain!R$9:R$1000))+(SUMPRODUCT(((Adders!$D$13:$D$101)=$E64)*((Adders!$E$13:$E$101)=$F64)*(Adders!G$13:G$101))+VLOOKUP($H64,Adders!$B$5:$G$8,L$11,FALSE)+Matrix!$D$2)*IF($D64="NJ",1.07,1))/$L$10,CHOOSE($M$10,$L$9,$M$9)))</f>
        <v xml:space="preserve"> 29.77 </v>
      </c>
      <c r="M64" s="176" t="str">
        <f>IF(AND($D$11="IL",$E64="AMEREN"),"NA",TEXT((SUMPRODUCT(((LMPMain!$H$9:$H$1000)=$E64)*((LMPMain!$J$9:$J$1000)=$F64)*((LMPMain!$O$9:$O$1000)=$C64)*(LMPMain!S$9:S$1000))+(SUMPRODUCT(((Adders!$D$13:$D$101)=$E64)*((Adders!$E$13:$E$101)=$F64)*(Adders!H$13:H$101))+VLOOKUP($H64,Adders!$B$5:$G$8,M$11,FALSE)+Matrix!$D$2)*IF($D64="NJ",1.07,1))/$L$10,CHOOSE($M$10,$L$9,$M$9)))</f>
        <v xml:space="preserve"> 29.13 </v>
      </c>
      <c r="N64" s="177" t="str">
        <f>IF(AND($D$11="IL",$E64="AMEREN"),"NA",TEXT((SUMPRODUCT(((LMPMain!$H$9:$H$1000)=$E64)*((LMPMain!$J$9:$J$1000)=$F64)*((LMPMain!$O$9:$O$1000)=$C64)*(LMPMain!T$9:T$1000))+(SUMPRODUCT(((Adders!$D$13:$D$101)=$E64)*((Adders!$E$13:$E$101)=$F64)*(Adders!G$13:G$101))+VLOOKUP($H64,Adders!$B$5:$G$8,N$11,FALSE)+Matrix!$D$2)*IF($D64="NJ",1.07,1))/$L$10,CHOOSE($M$10,$L$9,$M$9)))</f>
        <v xml:space="preserve"> 28.43 </v>
      </c>
      <c r="O64" s="112"/>
    </row>
    <row r="65" spans="2:15" x14ac:dyDescent="0.25">
      <c r="B65" s="160" t="s">
        <v>665</v>
      </c>
      <c r="C65" s="127">
        <f t="shared" si="1"/>
        <v>42309</v>
      </c>
      <c r="D65" s="128" t="s">
        <v>6</v>
      </c>
      <c r="E65" s="129" t="s">
        <v>8</v>
      </c>
      <c r="F65" s="128" t="s">
        <v>9</v>
      </c>
      <c r="G65" s="129" t="str">
        <f t="shared" si="2"/>
        <v>General Service Large</v>
      </c>
      <c r="H65" s="130" t="s">
        <v>61</v>
      </c>
      <c r="I65" s="178" t="str">
        <f>TEXT(   (SUMPRODUCT( ((Main!$H$9:$H$1000)=$E65)*((Main!$J$9:$J$1000)=$F65)*((Main!$O$9:$O$1000)=$C65)*(Main!R$9:R$1000) ) +  ( SUMPRODUCT( ((Adders!$D$13:$D$101)=$E65)*((Adders!$E$13:$E$101)=$F65)*(Adders!G$13:G$101)) + VLOOKUP($H65,Adders!$B$5:$G$8,L$11,FALSE)  +  PA!$D$2 ) * IF($D65="NJ",1.07,1))/$L$10, CHOOSE($M$10,$L$9,$M$9) )</f>
        <v xml:space="preserve"> 76.28 </v>
      </c>
      <c r="J65" s="178" t="str">
        <f>TEXT(   (SUMPRODUCT( ((Main!$H$9:$H$1000)=$E65)*((Main!$J$9:$J$1000)=$F65)*((Main!$O$9:$O$1000)=$C65)*(Main!S$9:S$1000) ) +  ( SUMPRODUCT( ((Adders!$D$13:$D$101)=$E65)*((Adders!$E$13:$E$101)=$F65)*(Adders!H$13:H$101)) + VLOOKUP($H65,Adders!$B$5:$G$8,M$11,FALSE)  +  PA!$D$2 ) * IF($D65="NJ",1.07,1))/$L$10, CHOOSE($M$10,$L$9,$M$9) )</f>
        <v xml:space="preserve"> 76.56 </v>
      </c>
      <c r="K65" s="179" t="str">
        <f>TEXT(   (SUMPRODUCT( ((Main!$H$9:$H$1000)=$E65)*((Main!$J$9:$J$1000)=$F65)*((Main!$O$9:$O$1000)=$C65)*(Main!T$9:T$1000) ) +  ( SUMPRODUCT( ((Adders!$D$13:$D$101)=$E65)*((Adders!$E$13:$E$101)=$F65)*(Adders!I$13:I$101)) + VLOOKUP($H65,Adders!$B$5:$G$8,N$11,FALSE)  +  PA!$D$2 ) * IF($D65="NJ",1.07,1))/$L$10, CHOOSE($M$10,$L$9,$M$9) )</f>
        <v xml:space="preserve"> 75.32 </v>
      </c>
      <c r="L65" s="178" t="str">
        <f>IF(AND($D$11="IL",$E65="AMEREN"),"NA",TEXT((SUMPRODUCT(((LMPMain!$H$9:$H$1000)=$E65)*((LMPMain!$J$9:$J$1000)=$F65)*((LMPMain!$O$9:$O$1000)=$C65)*(LMPMain!R$9:R$1000))+(SUMPRODUCT(((Adders!$D$13:$D$101)=$E65)*((Adders!$E$13:$E$101)=$F65)*(Adders!G$13:G$101))+VLOOKUP($H65,Adders!$B$5:$G$8,L$11,FALSE)+Matrix!$D$2)*IF($D65="NJ",1.07,1))/$L$10,CHOOSE($M$10,$L$9,$M$9)))</f>
        <v xml:space="preserve"> 32.08 </v>
      </c>
      <c r="M65" s="178" t="str">
        <f>IF(AND($D$11="IL",$E65="AMEREN"),"NA",TEXT((SUMPRODUCT(((LMPMain!$H$9:$H$1000)=$E65)*((LMPMain!$J$9:$J$1000)=$F65)*((LMPMain!$O$9:$O$1000)=$C65)*(LMPMain!S$9:S$1000))+(SUMPRODUCT(((Adders!$D$13:$D$101)=$E65)*((Adders!$E$13:$E$101)=$F65)*(Adders!H$13:H$101))+VLOOKUP($H65,Adders!$B$5:$G$8,M$11,FALSE)+Matrix!$D$2)*IF($D65="NJ",1.07,1))/$L$10,CHOOSE($M$10,$L$9,$M$9)))</f>
        <v xml:space="preserve"> 31.62 </v>
      </c>
      <c r="N65" s="179" t="str">
        <f>IF(AND($D$11="IL",$E65="AMEREN"),"NA",TEXT((SUMPRODUCT(((LMPMain!$H$9:$H$1000)=$E65)*((LMPMain!$J$9:$J$1000)=$F65)*((LMPMain!$O$9:$O$1000)=$C65)*(LMPMain!T$9:T$1000))+(SUMPRODUCT(((Adders!$D$13:$D$101)=$E65)*((Adders!$E$13:$E$101)=$F65)*(Adders!G$13:G$101))+VLOOKUP($H65,Adders!$B$5:$G$8,N$11,FALSE)+Matrix!$D$2)*IF($D65="NJ",1.07,1))/$L$10,CHOOSE($M$10,$L$9,$M$9)))</f>
        <v xml:space="preserve"> 30.93 </v>
      </c>
      <c r="O65" s="112"/>
    </row>
    <row r="66" spans="2:15" x14ac:dyDescent="0.25">
      <c r="B66" s="160" t="s">
        <v>665</v>
      </c>
      <c r="C66" s="131">
        <f t="shared" si="1"/>
        <v>42309</v>
      </c>
      <c r="D66" s="132" t="s">
        <v>6</v>
      </c>
      <c r="E66" s="133" t="s">
        <v>8</v>
      </c>
      <c r="F66" s="132" t="s">
        <v>9</v>
      </c>
      <c r="G66" s="133" t="str">
        <f t="shared" si="2"/>
        <v>General Service Large</v>
      </c>
      <c r="H66" s="134" t="s">
        <v>62</v>
      </c>
      <c r="I66" s="173" t="str">
        <f>TEXT(   (SUMPRODUCT( ((Main!$H$9:$H$1000)=$E66)*((Main!$J$9:$J$1000)=$F66)*((Main!$O$9:$O$1000)=$C66)*(Main!R$9:R$1000) ) +  ( SUMPRODUCT( ((Adders!$D$13:$D$101)=$E66)*((Adders!$E$13:$E$101)=$F66)*(Adders!G$13:G$101)) + VLOOKUP($H66,Adders!$B$5:$G$8,L$11,FALSE)  +  PA!$D$2 ) * IF($D66="NJ",1.07,1))/$L$10, CHOOSE($M$10,$L$9,$M$9) )</f>
        <v xml:space="preserve"> 74.68 </v>
      </c>
      <c r="J66" s="173" t="str">
        <f>TEXT(   (SUMPRODUCT( ((Main!$H$9:$H$1000)=$E66)*((Main!$J$9:$J$1000)=$F66)*((Main!$O$9:$O$1000)=$C66)*(Main!S$9:S$1000) ) +  ( SUMPRODUCT( ((Adders!$D$13:$D$101)=$E66)*((Adders!$E$13:$E$101)=$F66)*(Adders!H$13:H$101)) + VLOOKUP($H66,Adders!$B$5:$G$8,M$11,FALSE)  +  PA!$D$2 ) * IF($D66="NJ",1.07,1))/$L$10, CHOOSE($M$10,$L$9,$M$9) )</f>
        <v xml:space="preserve"> 74.96 </v>
      </c>
      <c r="K66" s="174" t="str">
        <f>TEXT(   (SUMPRODUCT( ((Main!$H$9:$H$1000)=$E66)*((Main!$J$9:$J$1000)=$F66)*((Main!$O$9:$O$1000)=$C66)*(Main!T$9:T$1000) ) +  ( SUMPRODUCT( ((Adders!$D$13:$D$101)=$E66)*((Adders!$E$13:$E$101)=$F66)*(Adders!I$13:I$101)) + VLOOKUP($H66,Adders!$B$5:$G$8,N$11,FALSE)  +  PA!$D$2 ) * IF($D66="NJ",1.07,1))/$L$10, CHOOSE($M$10,$L$9,$M$9) )</f>
        <v xml:space="preserve"> 73.72 </v>
      </c>
      <c r="L66" s="173" t="str">
        <f>IF(AND($D$11="IL",$E66="AMEREN"),"NA",TEXT((SUMPRODUCT(((LMPMain!$H$9:$H$1000)=$E66)*((LMPMain!$J$9:$J$1000)=$F66)*((LMPMain!$O$9:$O$1000)=$C66)*(LMPMain!R$9:R$1000))+(SUMPRODUCT(((Adders!$D$13:$D$101)=$E66)*((Adders!$E$13:$E$101)=$F66)*(Adders!G$13:G$101))+VLOOKUP($H66,Adders!$B$5:$G$8,L$11,FALSE)+Matrix!$D$2)*IF($D66="NJ",1.07,1))/$L$10,CHOOSE($M$10,$L$9,$M$9)))</f>
        <v xml:space="preserve"> 30.48 </v>
      </c>
      <c r="M66" s="173" t="str">
        <f>IF(AND($D$11="IL",$E66="AMEREN"),"NA",TEXT((SUMPRODUCT(((LMPMain!$H$9:$H$1000)=$E66)*((LMPMain!$J$9:$J$1000)=$F66)*((LMPMain!$O$9:$O$1000)=$C66)*(LMPMain!S$9:S$1000))+(SUMPRODUCT(((Adders!$D$13:$D$101)=$E66)*((Adders!$E$13:$E$101)=$F66)*(Adders!H$13:H$101))+VLOOKUP($H66,Adders!$B$5:$G$8,M$11,FALSE)+Matrix!$D$2)*IF($D66="NJ",1.07,1))/$L$10,CHOOSE($M$10,$L$9,$M$9)))</f>
        <v xml:space="preserve"> 30.02 </v>
      </c>
      <c r="N66" s="174" t="str">
        <f>IF(AND($D$11="IL",$E66="AMEREN"),"NA",TEXT((SUMPRODUCT(((LMPMain!$H$9:$H$1000)=$E66)*((LMPMain!$J$9:$J$1000)=$F66)*((LMPMain!$O$9:$O$1000)=$C66)*(LMPMain!T$9:T$1000))+(SUMPRODUCT(((Adders!$D$13:$D$101)=$E66)*((Adders!$E$13:$E$101)=$F66)*(Adders!G$13:G$101))+VLOOKUP($H66,Adders!$B$5:$G$8,N$11,FALSE)+Matrix!$D$2)*IF($D66="NJ",1.07,1))/$L$10,CHOOSE($M$10,$L$9,$M$9)))</f>
        <v xml:space="preserve"> 29.33 </v>
      </c>
      <c r="O66" s="112"/>
    </row>
    <row r="67" spans="2:15" x14ac:dyDescent="0.25">
      <c r="B67" s="160" t="s">
        <v>665</v>
      </c>
      <c r="C67" s="135">
        <f t="shared" si="1"/>
        <v>42309</v>
      </c>
      <c r="D67" s="136" t="s">
        <v>6</v>
      </c>
      <c r="E67" s="137" t="s">
        <v>8</v>
      </c>
      <c r="F67" s="136" t="s">
        <v>9</v>
      </c>
      <c r="G67" s="137" t="str">
        <f t="shared" si="2"/>
        <v>General Service Large</v>
      </c>
      <c r="H67" s="138" t="s">
        <v>690</v>
      </c>
      <c r="I67" s="176" t="str">
        <f>TEXT(   (SUMPRODUCT( ((Main!$H$9:$H$1000)=$E67)*((Main!$J$9:$J$1000)=$F67)*((Main!$O$9:$O$1000)=$C67)*(Main!R$9:R$1000) ) +  ( SUMPRODUCT( ((Adders!$D$13:$D$101)=$E67)*((Adders!$E$13:$E$101)=$F67)*(Adders!G$13:G$101)) + VLOOKUP($H67,Adders!$B$5:$G$8,L$11,FALSE)  +  PA!$D$2 ) * IF($D67="NJ",1.07,1))/$L$10, CHOOSE($M$10,$L$9,$M$9) )</f>
        <v xml:space="preserve"> 73.63 </v>
      </c>
      <c r="J67" s="176" t="str">
        <f>TEXT(   (SUMPRODUCT( ((Main!$H$9:$H$1000)=$E67)*((Main!$J$9:$J$1000)=$F67)*((Main!$O$9:$O$1000)=$C67)*(Main!S$9:S$1000) ) +  ( SUMPRODUCT( ((Adders!$D$13:$D$101)=$E67)*((Adders!$E$13:$E$101)=$F67)*(Adders!H$13:H$101)) + VLOOKUP($H67,Adders!$B$5:$G$8,M$11,FALSE)  +  PA!$D$2 ) * IF($D67="NJ",1.07,1))/$L$10, CHOOSE($M$10,$L$9,$M$9) )</f>
        <v xml:space="preserve"> 73.91 </v>
      </c>
      <c r="K67" s="177" t="str">
        <f>TEXT(   (SUMPRODUCT( ((Main!$H$9:$H$1000)=$E67)*((Main!$J$9:$J$1000)=$F67)*((Main!$O$9:$O$1000)=$C67)*(Main!T$9:T$1000) ) +  ( SUMPRODUCT( ((Adders!$D$13:$D$101)=$E67)*((Adders!$E$13:$E$101)=$F67)*(Adders!I$13:I$101)) + VLOOKUP($H67,Adders!$B$5:$G$8,N$11,FALSE)  +  PA!$D$2 ) * IF($D67="NJ",1.07,1))/$L$10, CHOOSE($M$10,$L$9,$M$9) )</f>
        <v xml:space="preserve"> 72.67 </v>
      </c>
      <c r="L67" s="176" t="str">
        <f>IF(AND($D$11="IL",$E67="AMEREN"),"NA",TEXT((SUMPRODUCT(((LMPMain!$H$9:$H$1000)=$E67)*((LMPMain!$J$9:$J$1000)=$F67)*((LMPMain!$O$9:$O$1000)=$C67)*(LMPMain!R$9:R$1000))+(SUMPRODUCT(((Adders!$D$13:$D$101)=$E67)*((Adders!$E$13:$E$101)=$F67)*(Adders!G$13:G$101))+VLOOKUP($H67,Adders!$B$5:$G$8,L$11,FALSE)+Matrix!$D$2)*IF($D67="NJ",1.07,1))/$L$10,CHOOSE($M$10,$L$9,$M$9)))</f>
        <v xml:space="preserve"> 29.43 </v>
      </c>
      <c r="M67" s="176" t="str">
        <f>IF(AND($D$11="IL",$E67="AMEREN"),"NA",TEXT((SUMPRODUCT(((LMPMain!$H$9:$H$1000)=$E67)*((LMPMain!$J$9:$J$1000)=$F67)*((LMPMain!$O$9:$O$1000)=$C67)*(LMPMain!S$9:S$1000))+(SUMPRODUCT(((Adders!$D$13:$D$101)=$E67)*((Adders!$E$13:$E$101)=$F67)*(Adders!H$13:H$101))+VLOOKUP($H67,Adders!$B$5:$G$8,M$11,FALSE)+Matrix!$D$2)*IF($D67="NJ",1.07,1))/$L$10,CHOOSE($M$10,$L$9,$M$9)))</f>
        <v xml:space="preserve"> 28.97 </v>
      </c>
      <c r="N67" s="177" t="str">
        <f>IF(AND($D$11="IL",$E67="AMEREN"),"NA",TEXT((SUMPRODUCT(((LMPMain!$H$9:$H$1000)=$E67)*((LMPMain!$J$9:$J$1000)=$F67)*((LMPMain!$O$9:$O$1000)=$C67)*(LMPMain!T$9:T$1000))+(SUMPRODUCT(((Adders!$D$13:$D$101)=$E67)*((Adders!$E$13:$E$101)=$F67)*(Adders!G$13:G$101))+VLOOKUP($H67,Adders!$B$5:$G$8,N$11,FALSE)+Matrix!$D$2)*IF($D67="NJ",1.07,1))/$L$10,CHOOSE($M$10,$L$9,$M$9)))</f>
        <v xml:space="preserve"> 28.28 </v>
      </c>
      <c r="O67" s="112"/>
    </row>
    <row r="68" spans="2:15" x14ac:dyDescent="0.25">
      <c r="B68" s="160" t="s">
        <v>665</v>
      </c>
      <c r="C68" s="127">
        <f t="shared" si="1"/>
        <v>42339</v>
      </c>
      <c r="D68" s="128" t="s">
        <v>6</v>
      </c>
      <c r="E68" s="129" t="s">
        <v>8</v>
      </c>
      <c r="F68" s="128" t="s">
        <v>9</v>
      </c>
      <c r="G68" s="129" t="str">
        <f t="shared" si="2"/>
        <v>General Service Large</v>
      </c>
      <c r="H68" s="130" t="s">
        <v>61</v>
      </c>
      <c r="I68" s="178" t="str">
        <f>TEXT(   (SUMPRODUCT( ((Main!$H$9:$H$1000)=$E68)*((Main!$J$9:$J$1000)=$F68)*((Main!$O$9:$O$1000)=$C68)*(Main!R$9:R$1000) ) +  ( SUMPRODUCT( ((Adders!$D$13:$D$101)=$E68)*((Adders!$E$13:$E$101)=$F68)*(Adders!G$13:G$101)) + VLOOKUP($H68,Adders!$B$5:$G$8,L$11,FALSE)  +  PA!$D$2 ) * IF($D68="NJ",1.07,1))/$L$10, CHOOSE($M$10,$L$9,$M$9) )</f>
        <v xml:space="preserve"> 75.99 </v>
      </c>
      <c r="J68" s="178" t="str">
        <f>TEXT(   (SUMPRODUCT( ((Main!$H$9:$H$1000)=$E68)*((Main!$J$9:$J$1000)=$F68)*((Main!$O$9:$O$1000)=$C68)*(Main!S$9:S$1000) ) +  ( SUMPRODUCT( ((Adders!$D$13:$D$101)=$E68)*((Adders!$E$13:$E$101)=$F68)*(Adders!H$13:H$101)) + VLOOKUP($H68,Adders!$B$5:$G$8,M$11,FALSE)  +  PA!$D$2 ) * IF($D68="NJ",1.07,1))/$L$10, CHOOSE($M$10,$L$9,$M$9) )</f>
        <v xml:space="preserve"> 76.46 </v>
      </c>
      <c r="K68" s="179" t="str">
        <f>TEXT(   (SUMPRODUCT( ((Main!$H$9:$H$1000)=$E68)*((Main!$J$9:$J$1000)=$F68)*((Main!$O$9:$O$1000)=$C68)*(Main!T$9:T$1000) ) +  ( SUMPRODUCT( ((Adders!$D$13:$D$101)=$E68)*((Adders!$E$13:$E$101)=$F68)*(Adders!I$13:I$101)) + VLOOKUP($H68,Adders!$B$5:$G$8,N$11,FALSE)  +  PA!$D$2 ) * IF($D68="NJ",1.07,1))/$L$10, CHOOSE($M$10,$L$9,$M$9) )</f>
        <v xml:space="preserve"> 75.19 </v>
      </c>
      <c r="L68" s="178" t="str">
        <f>IF(AND($D$11="IL",$E68="AMEREN"),"NA",TEXT((SUMPRODUCT(((LMPMain!$H$9:$H$1000)=$E68)*((LMPMain!$J$9:$J$1000)=$F68)*((LMPMain!$O$9:$O$1000)=$C68)*(LMPMain!R$9:R$1000))+(SUMPRODUCT(((Adders!$D$13:$D$101)=$E68)*((Adders!$E$13:$E$101)=$F68)*(Adders!G$13:G$101))+VLOOKUP($H68,Adders!$B$5:$G$8,L$11,FALSE)+Matrix!$D$2)*IF($D68="NJ",1.07,1))/$L$10,CHOOSE($M$10,$L$9,$M$9)))</f>
        <v xml:space="preserve"> 31.71 </v>
      </c>
      <c r="M68" s="178" t="str">
        <f>IF(AND($D$11="IL",$E68="AMEREN"),"NA",TEXT((SUMPRODUCT(((LMPMain!$H$9:$H$1000)=$E68)*((LMPMain!$J$9:$J$1000)=$F68)*((LMPMain!$O$9:$O$1000)=$C68)*(LMPMain!S$9:S$1000))+(SUMPRODUCT(((Adders!$D$13:$D$101)=$E68)*((Adders!$E$13:$E$101)=$F68)*(Adders!H$13:H$101))+VLOOKUP($H68,Adders!$B$5:$G$8,M$11,FALSE)+Matrix!$D$2)*IF($D68="NJ",1.07,1))/$L$10,CHOOSE($M$10,$L$9,$M$9)))</f>
        <v xml:space="preserve"> 31.35 </v>
      </c>
      <c r="N68" s="179" t="str">
        <f>IF(AND($D$11="IL",$E68="AMEREN"),"NA",TEXT((SUMPRODUCT(((LMPMain!$H$9:$H$1000)=$E68)*((LMPMain!$J$9:$J$1000)=$F68)*((LMPMain!$O$9:$O$1000)=$C68)*(LMPMain!T$9:T$1000))+(SUMPRODUCT(((Adders!$D$13:$D$101)=$E68)*((Adders!$E$13:$E$101)=$F68)*(Adders!G$13:G$101))+VLOOKUP($H68,Adders!$B$5:$G$8,N$11,FALSE)+Matrix!$D$2)*IF($D68="NJ",1.07,1))/$L$10,CHOOSE($M$10,$L$9,$M$9)))</f>
        <v xml:space="preserve"> 30.76 </v>
      </c>
      <c r="O68" s="112"/>
    </row>
    <row r="69" spans="2:15" x14ac:dyDescent="0.25">
      <c r="B69" s="160" t="s">
        <v>665</v>
      </c>
      <c r="C69" s="131">
        <f t="shared" si="1"/>
        <v>42339</v>
      </c>
      <c r="D69" s="132" t="s">
        <v>6</v>
      </c>
      <c r="E69" s="133" t="s">
        <v>8</v>
      </c>
      <c r="F69" s="132" t="s">
        <v>9</v>
      </c>
      <c r="G69" s="133" t="str">
        <f t="shared" si="2"/>
        <v>General Service Large</v>
      </c>
      <c r="H69" s="134" t="s">
        <v>62</v>
      </c>
      <c r="I69" s="173" t="str">
        <f>TEXT(   (SUMPRODUCT( ((Main!$H$9:$H$1000)=$E69)*((Main!$J$9:$J$1000)=$F69)*((Main!$O$9:$O$1000)=$C69)*(Main!R$9:R$1000) ) +  ( SUMPRODUCT( ((Adders!$D$13:$D$101)=$E69)*((Adders!$E$13:$E$101)=$F69)*(Adders!G$13:G$101)) + VLOOKUP($H69,Adders!$B$5:$G$8,L$11,FALSE)  +  PA!$D$2 ) * IF($D69="NJ",1.07,1))/$L$10, CHOOSE($M$10,$L$9,$M$9) )</f>
        <v xml:space="preserve"> 74.39 </v>
      </c>
      <c r="J69" s="173" t="str">
        <f>TEXT(   (SUMPRODUCT( ((Main!$H$9:$H$1000)=$E69)*((Main!$J$9:$J$1000)=$F69)*((Main!$O$9:$O$1000)=$C69)*(Main!S$9:S$1000) ) +  ( SUMPRODUCT( ((Adders!$D$13:$D$101)=$E69)*((Adders!$E$13:$E$101)=$F69)*(Adders!H$13:H$101)) + VLOOKUP($H69,Adders!$B$5:$G$8,M$11,FALSE)  +  PA!$D$2 ) * IF($D69="NJ",1.07,1))/$L$10, CHOOSE($M$10,$L$9,$M$9) )</f>
        <v xml:space="preserve"> 74.86 </v>
      </c>
      <c r="K69" s="174" t="str">
        <f>TEXT(   (SUMPRODUCT( ((Main!$H$9:$H$1000)=$E69)*((Main!$J$9:$J$1000)=$F69)*((Main!$O$9:$O$1000)=$C69)*(Main!T$9:T$1000) ) +  ( SUMPRODUCT( ((Adders!$D$13:$D$101)=$E69)*((Adders!$E$13:$E$101)=$F69)*(Adders!I$13:I$101)) + VLOOKUP($H69,Adders!$B$5:$G$8,N$11,FALSE)  +  PA!$D$2 ) * IF($D69="NJ",1.07,1))/$L$10, CHOOSE($M$10,$L$9,$M$9) )</f>
        <v xml:space="preserve"> 73.59 </v>
      </c>
      <c r="L69" s="173" t="str">
        <f>IF(AND($D$11="IL",$E69="AMEREN"),"NA",TEXT((SUMPRODUCT(((LMPMain!$H$9:$H$1000)=$E69)*((LMPMain!$J$9:$J$1000)=$F69)*((LMPMain!$O$9:$O$1000)=$C69)*(LMPMain!R$9:R$1000))+(SUMPRODUCT(((Adders!$D$13:$D$101)=$E69)*((Adders!$E$13:$E$101)=$F69)*(Adders!G$13:G$101))+VLOOKUP($H69,Adders!$B$5:$G$8,L$11,FALSE)+Matrix!$D$2)*IF($D69="NJ",1.07,1))/$L$10,CHOOSE($M$10,$L$9,$M$9)))</f>
        <v xml:space="preserve"> 30.11 </v>
      </c>
      <c r="M69" s="173" t="str">
        <f>IF(AND($D$11="IL",$E69="AMEREN"),"NA",TEXT((SUMPRODUCT(((LMPMain!$H$9:$H$1000)=$E69)*((LMPMain!$J$9:$J$1000)=$F69)*((LMPMain!$O$9:$O$1000)=$C69)*(LMPMain!S$9:S$1000))+(SUMPRODUCT(((Adders!$D$13:$D$101)=$E69)*((Adders!$E$13:$E$101)=$F69)*(Adders!H$13:H$101))+VLOOKUP($H69,Adders!$B$5:$G$8,M$11,FALSE)+Matrix!$D$2)*IF($D69="NJ",1.07,1))/$L$10,CHOOSE($M$10,$L$9,$M$9)))</f>
        <v xml:space="preserve"> 29.75 </v>
      </c>
      <c r="N69" s="174" t="str">
        <f>IF(AND($D$11="IL",$E69="AMEREN"),"NA",TEXT((SUMPRODUCT(((LMPMain!$H$9:$H$1000)=$E69)*((LMPMain!$J$9:$J$1000)=$F69)*((LMPMain!$O$9:$O$1000)=$C69)*(LMPMain!T$9:T$1000))+(SUMPRODUCT(((Adders!$D$13:$D$101)=$E69)*((Adders!$E$13:$E$101)=$F69)*(Adders!G$13:G$101))+VLOOKUP($H69,Adders!$B$5:$G$8,N$11,FALSE)+Matrix!$D$2)*IF($D69="NJ",1.07,1))/$L$10,CHOOSE($M$10,$L$9,$M$9)))</f>
        <v xml:space="preserve"> 29.16 </v>
      </c>
      <c r="O69" s="112"/>
    </row>
    <row r="70" spans="2:15" x14ac:dyDescent="0.25">
      <c r="B70" s="160" t="s">
        <v>665</v>
      </c>
      <c r="C70" s="135">
        <f t="shared" si="1"/>
        <v>42339</v>
      </c>
      <c r="D70" s="136" t="s">
        <v>6</v>
      </c>
      <c r="E70" s="137" t="s">
        <v>8</v>
      </c>
      <c r="F70" s="136" t="s">
        <v>9</v>
      </c>
      <c r="G70" s="137" t="str">
        <f t="shared" si="2"/>
        <v>General Service Large</v>
      </c>
      <c r="H70" s="138" t="s">
        <v>690</v>
      </c>
      <c r="I70" s="176" t="str">
        <f>TEXT(   (SUMPRODUCT( ((Main!$H$9:$H$1000)=$E70)*((Main!$J$9:$J$1000)=$F70)*((Main!$O$9:$O$1000)=$C70)*(Main!R$9:R$1000) ) +  ( SUMPRODUCT( ((Adders!$D$13:$D$101)=$E70)*((Adders!$E$13:$E$101)=$F70)*(Adders!G$13:G$101)) + VLOOKUP($H70,Adders!$B$5:$G$8,L$11,FALSE)  +  PA!$D$2 ) * IF($D70="NJ",1.07,1))/$L$10, CHOOSE($M$10,$L$9,$M$9) )</f>
        <v xml:space="preserve"> 73.34 </v>
      </c>
      <c r="J70" s="176" t="str">
        <f>TEXT(   (SUMPRODUCT( ((Main!$H$9:$H$1000)=$E70)*((Main!$J$9:$J$1000)=$F70)*((Main!$O$9:$O$1000)=$C70)*(Main!S$9:S$1000) ) +  ( SUMPRODUCT( ((Adders!$D$13:$D$101)=$E70)*((Adders!$E$13:$E$101)=$F70)*(Adders!H$13:H$101)) + VLOOKUP($H70,Adders!$B$5:$G$8,M$11,FALSE)  +  PA!$D$2 ) * IF($D70="NJ",1.07,1))/$L$10, CHOOSE($M$10,$L$9,$M$9) )</f>
        <v xml:space="preserve"> 73.81 </v>
      </c>
      <c r="K70" s="177" t="str">
        <f>TEXT(   (SUMPRODUCT( ((Main!$H$9:$H$1000)=$E70)*((Main!$J$9:$J$1000)=$F70)*((Main!$O$9:$O$1000)=$C70)*(Main!T$9:T$1000) ) +  ( SUMPRODUCT( ((Adders!$D$13:$D$101)=$E70)*((Adders!$E$13:$E$101)=$F70)*(Adders!I$13:I$101)) + VLOOKUP($H70,Adders!$B$5:$G$8,N$11,FALSE)  +  PA!$D$2 ) * IF($D70="NJ",1.07,1))/$L$10, CHOOSE($M$10,$L$9,$M$9) )</f>
        <v xml:space="preserve"> 72.54 </v>
      </c>
      <c r="L70" s="176" t="str">
        <f>IF(AND($D$11="IL",$E70="AMEREN"),"NA",TEXT((SUMPRODUCT(((LMPMain!$H$9:$H$1000)=$E70)*((LMPMain!$J$9:$J$1000)=$F70)*((LMPMain!$O$9:$O$1000)=$C70)*(LMPMain!R$9:R$1000))+(SUMPRODUCT(((Adders!$D$13:$D$101)=$E70)*((Adders!$E$13:$E$101)=$F70)*(Adders!G$13:G$101))+VLOOKUP($H70,Adders!$B$5:$G$8,L$11,FALSE)+Matrix!$D$2)*IF($D70="NJ",1.07,1))/$L$10,CHOOSE($M$10,$L$9,$M$9)))</f>
        <v xml:space="preserve"> 29.06 </v>
      </c>
      <c r="M70" s="176" t="str">
        <f>IF(AND($D$11="IL",$E70="AMEREN"),"NA",TEXT((SUMPRODUCT(((LMPMain!$H$9:$H$1000)=$E70)*((LMPMain!$J$9:$J$1000)=$F70)*((LMPMain!$O$9:$O$1000)=$C70)*(LMPMain!S$9:S$1000))+(SUMPRODUCT(((Adders!$D$13:$D$101)=$E70)*((Adders!$E$13:$E$101)=$F70)*(Adders!H$13:H$101))+VLOOKUP($H70,Adders!$B$5:$G$8,M$11,FALSE)+Matrix!$D$2)*IF($D70="NJ",1.07,1))/$L$10,CHOOSE($M$10,$L$9,$M$9)))</f>
        <v xml:space="preserve"> 28.70 </v>
      </c>
      <c r="N70" s="177" t="str">
        <f>IF(AND($D$11="IL",$E70="AMEREN"),"NA",TEXT((SUMPRODUCT(((LMPMain!$H$9:$H$1000)=$E70)*((LMPMain!$J$9:$J$1000)=$F70)*((LMPMain!$O$9:$O$1000)=$C70)*(LMPMain!T$9:T$1000))+(SUMPRODUCT(((Adders!$D$13:$D$101)=$E70)*((Adders!$E$13:$E$101)=$F70)*(Adders!G$13:G$101))+VLOOKUP($H70,Adders!$B$5:$G$8,N$11,FALSE)+Matrix!$D$2)*IF($D70="NJ",1.07,1))/$L$10,CHOOSE($M$10,$L$9,$M$9)))</f>
        <v xml:space="preserve"> 28.11 </v>
      </c>
      <c r="O70" s="112"/>
    </row>
    <row r="71" spans="2:15" x14ac:dyDescent="0.25">
      <c r="B71" s="160" t="s">
        <v>665</v>
      </c>
      <c r="C71" s="127">
        <f t="shared" si="1"/>
        <v>42370</v>
      </c>
      <c r="D71" s="128" t="s">
        <v>6</v>
      </c>
      <c r="E71" s="129" t="s">
        <v>8</v>
      </c>
      <c r="F71" s="128" t="s">
        <v>9</v>
      </c>
      <c r="G71" s="129" t="str">
        <f t="shared" si="2"/>
        <v>General Service Large</v>
      </c>
      <c r="H71" s="130" t="s">
        <v>61</v>
      </c>
      <c r="I71" s="178" t="str">
        <f>TEXT(   (SUMPRODUCT( ((Main!$H$9:$H$1000)=$E71)*((Main!$J$9:$J$1000)=$F71)*((Main!$O$9:$O$1000)=$C71)*(Main!R$9:R$1000) ) +  ( SUMPRODUCT( ((Adders!$D$13:$D$101)=$E71)*((Adders!$E$13:$E$101)=$F71)*(Adders!G$13:G$101)) + VLOOKUP($H71,Adders!$B$5:$G$8,L$11,FALSE)  +  PA!$D$2 ) * IF($D71="NJ",1.07,1))/$L$10, CHOOSE($M$10,$L$9,$M$9) )</f>
        <v xml:space="preserve"> 75.48 </v>
      </c>
      <c r="J71" s="178" t="str">
        <f>TEXT(   (SUMPRODUCT( ((Main!$H$9:$H$1000)=$E71)*((Main!$J$9:$J$1000)=$F71)*((Main!$O$9:$O$1000)=$C71)*(Main!S$9:S$1000) ) +  ( SUMPRODUCT( ((Adders!$D$13:$D$101)=$E71)*((Adders!$E$13:$E$101)=$F71)*(Adders!H$13:H$101)) + VLOOKUP($H71,Adders!$B$5:$G$8,M$11,FALSE)  +  PA!$D$2 ) * IF($D71="NJ",1.07,1))/$L$10, CHOOSE($M$10,$L$9,$M$9) )</f>
        <v xml:space="preserve"> 75.98 </v>
      </c>
      <c r="K71" s="179" t="str">
        <f>TEXT(   (SUMPRODUCT( ((Main!$H$9:$H$1000)=$E71)*((Main!$J$9:$J$1000)=$F71)*((Main!$O$9:$O$1000)=$C71)*(Main!T$9:T$1000) ) +  ( SUMPRODUCT( ((Adders!$D$13:$D$101)=$E71)*((Adders!$E$13:$E$101)=$F71)*(Adders!I$13:I$101)) + VLOOKUP($H71,Adders!$B$5:$G$8,N$11,FALSE)  +  PA!$D$2 ) * IF($D71="NJ",1.07,1))/$L$10, CHOOSE($M$10,$L$9,$M$9) )</f>
        <v xml:space="preserve"> 74.96 </v>
      </c>
      <c r="L71" s="178" t="str">
        <f>IF(AND($D$11="IL",$E71="AMEREN"),"NA",TEXT((SUMPRODUCT(((LMPMain!$H$9:$H$1000)=$E71)*((LMPMain!$J$9:$J$1000)=$F71)*((LMPMain!$O$9:$O$1000)=$C71)*(LMPMain!R$9:R$1000))+(SUMPRODUCT(((Adders!$D$13:$D$101)=$E71)*((Adders!$E$13:$E$101)=$F71)*(Adders!G$13:G$101))+VLOOKUP($H71,Adders!$B$5:$G$8,L$11,FALSE)+Matrix!$D$2)*IF($D71="NJ",1.07,1))/$L$10,CHOOSE($M$10,$L$9,$M$9)))</f>
        <v xml:space="preserve"> 31.35 </v>
      </c>
      <c r="M71" s="178" t="str">
        <f>IF(AND($D$11="IL",$E71="AMEREN"),"NA",TEXT((SUMPRODUCT(((LMPMain!$H$9:$H$1000)=$E71)*((LMPMain!$J$9:$J$1000)=$F71)*((LMPMain!$O$9:$O$1000)=$C71)*(LMPMain!S$9:S$1000))+(SUMPRODUCT(((Adders!$D$13:$D$101)=$E71)*((Adders!$E$13:$E$101)=$F71)*(Adders!H$13:H$101))+VLOOKUP($H71,Adders!$B$5:$G$8,M$11,FALSE)+Matrix!$D$2)*IF($D71="NJ",1.07,1))/$L$10,CHOOSE($M$10,$L$9,$M$9)))</f>
        <v xml:space="preserve"> 31.03 </v>
      </c>
      <c r="N71" s="179" t="str">
        <f>IF(AND($D$11="IL",$E71="AMEREN"),"NA",TEXT((SUMPRODUCT(((LMPMain!$H$9:$H$1000)=$E71)*((LMPMain!$J$9:$J$1000)=$F71)*((LMPMain!$O$9:$O$1000)=$C71)*(LMPMain!T$9:T$1000))+(SUMPRODUCT(((Adders!$D$13:$D$101)=$E71)*((Adders!$E$13:$E$101)=$F71)*(Adders!G$13:G$101))+VLOOKUP($H71,Adders!$B$5:$G$8,N$11,FALSE)+Matrix!$D$2)*IF($D71="NJ",1.07,1))/$L$10,CHOOSE($M$10,$L$9,$M$9)))</f>
        <v xml:space="preserve"> 30.61 </v>
      </c>
      <c r="O71" s="112"/>
    </row>
    <row r="72" spans="2:15" x14ac:dyDescent="0.25">
      <c r="B72" s="160" t="s">
        <v>665</v>
      </c>
      <c r="C72" s="131">
        <f t="shared" si="1"/>
        <v>42370</v>
      </c>
      <c r="D72" s="132" t="s">
        <v>6</v>
      </c>
      <c r="E72" s="133" t="s">
        <v>8</v>
      </c>
      <c r="F72" s="132" t="s">
        <v>9</v>
      </c>
      <c r="G72" s="133" t="str">
        <f t="shared" si="2"/>
        <v>General Service Large</v>
      </c>
      <c r="H72" s="134" t="s">
        <v>62</v>
      </c>
      <c r="I72" s="173" t="str">
        <f>TEXT(   (SUMPRODUCT( ((Main!$H$9:$H$1000)=$E72)*((Main!$J$9:$J$1000)=$F72)*((Main!$O$9:$O$1000)=$C72)*(Main!R$9:R$1000) ) +  ( SUMPRODUCT( ((Adders!$D$13:$D$101)=$E72)*((Adders!$E$13:$E$101)=$F72)*(Adders!G$13:G$101)) + VLOOKUP($H72,Adders!$B$5:$G$8,L$11,FALSE)  +  PA!$D$2 ) * IF($D72="NJ",1.07,1))/$L$10, CHOOSE($M$10,$L$9,$M$9) )</f>
        <v xml:space="preserve"> 73.88 </v>
      </c>
      <c r="J72" s="173" t="str">
        <f>TEXT(   (SUMPRODUCT( ((Main!$H$9:$H$1000)=$E72)*((Main!$J$9:$J$1000)=$F72)*((Main!$O$9:$O$1000)=$C72)*(Main!S$9:S$1000) ) +  ( SUMPRODUCT( ((Adders!$D$13:$D$101)=$E72)*((Adders!$E$13:$E$101)=$F72)*(Adders!H$13:H$101)) + VLOOKUP($H72,Adders!$B$5:$G$8,M$11,FALSE)  +  PA!$D$2 ) * IF($D72="NJ",1.07,1))/$L$10, CHOOSE($M$10,$L$9,$M$9) )</f>
        <v xml:space="preserve"> 74.38 </v>
      </c>
      <c r="K72" s="174" t="str">
        <f>TEXT(   (SUMPRODUCT( ((Main!$H$9:$H$1000)=$E72)*((Main!$J$9:$J$1000)=$F72)*((Main!$O$9:$O$1000)=$C72)*(Main!T$9:T$1000) ) +  ( SUMPRODUCT( ((Adders!$D$13:$D$101)=$E72)*((Adders!$E$13:$E$101)=$F72)*(Adders!I$13:I$101)) + VLOOKUP($H72,Adders!$B$5:$G$8,N$11,FALSE)  +  PA!$D$2 ) * IF($D72="NJ",1.07,1))/$L$10, CHOOSE($M$10,$L$9,$M$9) )</f>
        <v xml:space="preserve"> 73.36 </v>
      </c>
      <c r="L72" s="173" t="str">
        <f>IF(AND($D$11="IL",$E72="AMEREN"),"NA",TEXT((SUMPRODUCT(((LMPMain!$H$9:$H$1000)=$E72)*((LMPMain!$J$9:$J$1000)=$F72)*((LMPMain!$O$9:$O$1000)=$C72)*(LMPMain!R$9:R$1000))+(SUMPRODUCT(((Adders!$D$13:$D$101)=$E72)*((Adders!$E$13:$E$101)=$F72)*(Adders!G$13:G$101))+VLOOKUP($H72,Adders!$B$5:$G$8,L$11,FALSE)+Matrix!$D$2)*IF($D72="NJ",1.07,1))/$L$10,CHOOSE($M$10,$L$9,$M$9)))</f>
        <v xml:space="preserve"> 29.75 </v>
      </c>
      <c r="M72" s="173" t="str">
        <f>IF(AND($D$11="IL",$E72="AMEREN"),"NA",TEXT((SUMPRODUCT(((LMPMain!$H$9:$H$1000)=$E72)*((LMPMain!$J$9:$J$1000)=$F72)*((LMPMain!$O$9:$O$1000)=$C72)*(LMPMain!S$9:S$1000))+(SUMPRODUCT(((Adders!$D$13:$D$101)=$E72)*((Adders!$E$13:$E$101)=$F72)*(Adders!H$13:H$101))+VLOOKUP($H72,Adders!$B$5:$G$8,M$11,FALSE)+Matrix!$D$2)*IF($D72="NJ",1.07,1))/$L$10,CHOOSE($M$10,$L$9,$M$9)))</f>
        <v xml:space="preserve"> 29.43 </v>
      </c>
      <c r="N72" s="174" t="str">
        <f>IF(AND($D$11="IL",$E72="AMEREN"),"NA",TEXT((SUMPRODUCT(((LMPMain!$H$9:$H$1000)=$E72)*((LMPMain!$J$9:$J$1000)=$F72)*((LMPMain!$O$9:$O$1000)=$C72)*(LMPMain!T$9:T$1000))+(SUMPRODUCT(((Adders!$D$13:$D$101)=$E72)*((Adders!$E$13:$E$101)=$F72)*(Adders!G$13:G$101))+VLOOKUP($H72,Adders!$B$5:$G$8,N$11,FALSE)+Matrix!$D$2)*IF($D72="NJ",1.07,1))/$L$10,CHOOSE($M$10,$L$9,$M$9)))</f>
        <v xml:space="preserve"> 29.01 </v>
      </c>
      <c r="O72" s="112"/>
    </row>
    <row r="73" spans="2:15" x14ac:dyDescent="0.25">
      <c r="B73" s="160" t="s">
        <v>665</v>
      </c>
      <c r="C73" s="135">
        <f t="shared" si="1"/>
        <v>42370</v>
      </c>
      <c r="D73" s="136" t="s">
        <v>6</v>
      </c>
      <c r="E73" s="137" t="s">
        <v>8</v>
      </c>
      <c r="F73" s="136" t="s">
        <v>9</v>
      </c>
      <c r="G73" s="137" t="str">
        <f t="shared" si="2"/>
        <v>General Service Large</v>
      </c>
      <c r="H73" s="138" t="s">
        <v>690</v>
      </c>
      <c r="I73" s="176" t="str">
        <f>TEXT(   (SUMPRODUCT( ((Main!$H$9:$H$1000)=$E73)*((Main!$J$9:$J$1000)=$F73)*((Main!$O$9:$O$1000)=$C73)*(Main!R$9:R$1000) ) +  ( SUMPRODUCT( ((Adders!$D$13:$D$101)=$E73)*((Adders!$E$13:$E$101)=$F73)*(Adders!G$13:G$101)) + VLOOKUP($H73,Adders!$B$5:$G$8,L$11,FALSE)  +  PA!$D$2 ) * IF($D73="NJ",1.07,1))/$L$10, CHOOSE($M$10,$L$9,$M$9) )</f>
        <v xml:space="preserve"> 72.83 </v>
      </c>
      <c r="J73" s="176" t="str">
        <f>TEXT(   (SUMPRODUCT( ((Main!$H$9:$H$1000)=$E73)*((Main!$J$9:$J$1000)=$F73)*((Main!$O$9:$O$1000)=$C73)*(Main!S$9:S$1000) ) +  ( SUMPRODUCT( ((Adders!$D$13:$D$101)=$E73)*((Adders!$E$13:$E$101)=$F73)*(Adders!H$13:H$101)) + VLOOKUP($H73,Adders!$B$5:$G$8,M$11,FALSE)  +  PA!$D$2 ) * IF($D73="NJ",1.07,1))/$L$10, CHOOSE($M$10,$L$9,$M$9) )</f>
        <v xml:space="preserve"> 73.33 </v>
      </c>
      <c r="K73" s="177" t="str">
        <f>TEXT(   (SUMPRODUCT( ((Main!$H$9:$H$1000)=$E73)*((Main!$J$9:$J$1000)=$F73)*((Main!$O$9:$O$1000)=$C73)*(Main!T$9:T$1000) ) +  ( SUMPRODUCT( ((Adders!$D$13:$D$101)=$E73)*((Adders!$E$13:$E$101)=$F73)*(Adders!I$13:I$101)) + VLOOKUP($H73,Adders!$B$5:$G$8,N$11,FALSE)  +  PA!$D$2 ) * IF($D73="NJ",1.07,1))/$L$10, CHOOSE($M$10,$L$9,$M$9) )</f>
        <v xml:space="preserve"> 72.31 </v>
      </c>
      <c r="L73" s="176" t="str">
        <f>IF(AND($D$11="IL",$E73="AMEREN"),"NA",TEXT((SUMPRODUCT(((LMPMain!$H$9:$H$1000)=$E73)*((LMPMain!$J$9:$J$1000)=$F73)*((LMPMain!$O$9:$O$1000)=$C73)*(LMPMain!R$9:R$1000))+(SUMPRODUCT(((Adders!$D$13:$D$101)=$E73)*((Adders!$E$13:$E$101)=$F73)*(Adders!G$13:G$101))+VLOOKUP($H73,Adders!$B$5:$G$8,L$11,FALSE)+Matrix!$D$2)*IF($D73="NJ",1.07,1))/$L$10,CHOOSE($M$10,$L$9,$M$9)))</f>
        <v xml:space="preserve"> 28.70 </v>
      </c>
      <c r="M73" s="176" t="str">
        <f>IF(AND($D$11="IL",$E73="AMEREN"),"NA",TEXT((SUMPRODUCT(((LMPMain!$H$9:$H$1000)=$E73)*((LMPMain!$J$9:$J$1000)=$F73)*((LMPMain!$O$9:$O$1000)=$C73)*(LMPMain!S$9:S$1000))+(SUMPRODUCT(((Adders!$D$13:$D$101)=$E73)*((Adders!$E$13:$E$101)=$F73)*(Adders!H$13:H$101))+VLOOKUP($H73,Adders!$B$5:$G$8,M$11,FALSE)+Matrix!$D$2)*IF($D73="NJ",1.07,1))/$L$10,CHOOSE($M$10,$L$9,$M$9)))</f>
        <v xml:space="preserve"> 28.38 </v>
      </c>
      <c r="N73" s="177" t="str">
        <f>IF(AND($D$11="IL",$E73="AMEREN"),"NA",TEXT((SUMPRODUCT(((LMPMain!$H$9:$H$1000)=$E73)*((LMPMain!$J$9:$J$1000)=$F73)*((LMPMain!$O$9:$O$1000)=$C73)*(LMPMain!T$9:T$1000))+(SUMPRODUCT(((Adders!$D$13:$D$101)=$E73)*((Adders!$E$13:$E$101)=$F73)*(Adders!G$13:G$101))+VLOOKUP($H73,Adders!$B$5:$G$8,N$11,FALSE)+Matrix!$D$2)*IF($D73="NJ",1.07,1))/$L$10,CHOOSE($M$10,$L$9,$M$9)))</f>
        <v xml:space="preserve"> 27.96 </v>
      </c>
      <c r="O73" s="112"/>
    </row>
    <row r="74" spans="2:15" x14ac:dyDescent="0.25">
      <c r="B74" s="160" t="s">
        <v>665</v>
      </c>
      <c r="C74" s="127">
        <f t="shared" si="1"/>
        <v>42401</v>
      </c>
      <c r="D74" s="128" t="s">
        <v>6</v>
      </c>
      <c r="E74" s="129" t="s">
        <v>8</v>
      </c>
      <c r="F74" s="128" t="s">
        <v>9</v>
      </c>
      <c r="G74" s="129" t="str">
        <f t="shared" si="2"/>
        <v>General Service Large</v>
      </c>
      <c r="H74" s="130" t="s">
        <v>61</v>
      </c>
      <c r="I74" s="178" t="str">
        <f>TEXT(   (SUMPRODUCT( ((Main!$H$9:$H$1000)=$E74)*((Main!$J$9:$J$1000)=$F74)*((Main!$O$9:$O$1000)=$C74)*(Main!R$9:R$1000) ) +  ( SUMPRODUCT( ((Adders!$D$13:$D$101)=$E74)*((Adders!$E$13:$E$101)=$F74)*(Adders!G$13:G$101)) + VLOOKUP($H74,Adders!$B$5:$G$8,L$11,FALSE)  +  PA!$D$2 ) * IF($D74="NJ",1.07,1))/$L$10, CHOOSE($M$10,$L$9,$M$9) )</f>
        <v xml:space="preserve"> 75.23 </v>
      </c>
      <c r="J74" s="178" t="str">
        <f>TEXT(   (SUMPRODUCT( ((Main!$H$9:$H$1000)=$E74)*((Main!$J$9:$J$1000)=$F74)*((Main!$O$9:$O$1000)=$C74)*(Main!S$9:S$1000) ) +  ( SUMPRODUCT( ((Adders!$D$13:$D$101)=$E74)*((Adders!$E$13:$E$101)=$F74)*(Adders!H$13:H$101)) + VLOOKUP($H74,Adders!$B$5:$G$8,M$11,FALSE)  +  PA!$D$2 ) * IF($D74="NJ",1.07,1))/$L$10, CHOOSE($M$10,$L$9,$M$9) )</f>
        <v xml:space="preserve"> 75.36 </v>
      </c>
      <c r="K74" s="179" t="str">
        <f>TEXT(   (SUMPRODUCT( ((Main!$H$9:$H$1000)=$E74)*((Main!$J$9:$J$1000)=$F74)*((Main!$O$9:$O$1000)=$C74)*(Main!T$9:T$1000) ) +  ( SUMPRODUCT( ((Adders!$D$13:$D$101)=$E74)*((Adders!$E$13:$E$101)=$F74)*(Adders!I$13:I$101)) + VLOOKUP($H74,Adders!$B$5:$G$8,N$11,FALSE)  +  PA!$D$2 ) * IF($D74="NJ",1.07,1))/$L$10, CHOOSE($M$10,$L$9,$M$9) )</f>
        <v xml:space="preserve"> 75.02 </v>
      </c>
      <c r="L74" s="178" t="str">
        <f>IF(AND($D$11="IL",$E74="AMEREN"),"NA",TEXT((SUMPRODUCT(((LMPMain!$H$9:$H$1000)=$E74)*((LMPMain!$J$9:$J$1000)=$F74)*((LMPMain!$O$9:$O$1000)=$C74)*(LMPMain!R$9:R$1000))+(SUMPRODUCT(((Adders!$D$13:$D$101)=$E74)*((Adders!$E$13:$E$101)=$F74)*(Adders!G$13:G$101))+VLOOKUP($H74,Adders!$B$5:$G$8,L$11,FALSE)+Matrix!$D$2)*IF($D74="NJ",1.07,1))/$L$10,CHOOSE($M$10,$L$9,$M$9)))</f>
        <v xml:space="preserve"> 30.97 </v>
      </c>
      <c r="M74" s="178" t="str">
        <f>IF(AND($D$11="IL",$E74="AMEREN"),"NA",TEXT((SUMPRODUCT(((LMPMain!$H$9:$H$1000)=$E74)*((LMPMain!$J$9:$J$1000)=$F74)*((LMPMain!$O$9:$O$1000)=$C74)*(LMPMain!S$9:S$1000))+(SUMPRODUCT(((Adders!$D$13:$D$101)=$E74)*((Adders!$E$13:$E$101)=$F74)*(Adders!H$13:H$101))+VLOOKUP($H74,Adders!$B$5:$G$8,M$11,FALSE)+Matrix!$D$2)*IF($D74="NJ",1.07,1))/$L$10,CHOOSE($M$10,$L$9,$M$9)))</f>
        <v xml:space="preserve"> 30.58 </v>
      </c>
      <c r="N74" s="179" t="str">
        <f>IF(AND($D$11="IL",$E74="AMEREN"),"NA",TEXT((SUMPRODUCT(((LMPMain!$H$9:$H$1000)=$E74)*((LMPMain!$J$9:$J$1000)=$F74)*((LMPMain!$O$9:$O$1000)=$C74)*(LMPMain!T$9:T$1000))+(SUMPRODUCT(((Adders!$D$13:$D$101)=$E74)*((Adders!$E$13:$E$101)=$F74)*(Adders!G$13:G$101))+VLOOKUP($H74,Adders!$B$5:$G$8,N$11,FALSE)+Matrix!$D$2)*IF($D74="NJ",1.07,1))/$L$10,CHOOSE($M$10,$L$9,$M$9)))</f>
        <v xml:space="preserve"> 30.43 </v>
      </c>
      <c r="O74" s="112"/>
    </row>
    <row r="75" spans="2:15" x14ac:dyDescent="0.25">
      <c r="B75" s="160" t="s">
        <v>665</v>
      </c>
      <c r="C75" s="131">
        <f t="shared" si="1"/>
        <v>42401</v>
      </c>
      <c r="D75" s="132" t="s">
        <v>6</v>
      </c>
      <c r="E75" s="133" t="s">
        <v>8</v>
      </c>
      <c r="F75" s="132" t="s">
        <v>9</v>
      </c>
      <c r="G75" s="133" t="str">
        <f t="shared" si="2"/>
        <v>General Service Large</v>
      </c>
      <c r="H75" s="134" t="s">
        <v>62</v>
      </c>
      <c r="I75" s="173" t="str">
        <f>TEXT(   (SUMPRODUCT( ((Main!$H$9:$H$1000)=$E75)*((Main!$J$9:$J$1000)=$F75)*((Main!$O$9:$O$1000)=$C75)*(Main!R$9:R$1000) ) +  ( SUMPRODUCT( ((Adders!$D$13:$D$101)=$E75)*((Adders!$E$13:$E$101)=$F75)*(Adders!G$13:G$101)) + VLOOKUP($H75,Adders!$B$5:$G$8,L$11,FALSE)  +  PA!$D$2 ) * IF($D75="NJ",1.07,1))/$L$10, CHOOSE($M$10,$L$9,$M$9) )</f>
        <v xml:space="preserve"> 73.63 </v>
      </c>
      <c r="J75" s="173" t="str">
        <f>TEXT(   (SUMPRODUCT( ((Main!$H$9:$H$1000)=$E75)*((Main!$J$9:$J$1000)=$F75)*((Main!$O$9:$O$1000)=$C75)*(Main!S$9:S$1000) ) +  ( SUMPRODUCT( ((Adders!$D$13:$D$101)=$E75)*((Adders!$E$13:$E$101)=$F75)*(Adders!H$13:H$101)) + VLOOKUP($H75,Adders!$B$5:$G$8,M$11,FALSE)  +  PA!$D$2 ) * IF($D75="NJ",1.07,1))/$L$10, CHOOSE($M$10,$L$9,$M$9) )</f>
        <v xml:space="preserve"> 73.76 </v>
      </c>
      <c r="K75" s="174" t="str">
        <f>TEXT(   (SUMPRODUCT( ((Main!$H$9:$H$1000)=$E75)*((Main!$J$9:$J$1000)=$F75)*((Main!$O$9:$O$1000)=$C75)*(Main!T$9:T$1000) ) +  ( SUMPRODUCT( ((Adders!$D$13:$D$101)=$E75)*((Adders!$E$13:$E$101)=$F75)*(Adders!I$13:I$101)) + VLOOKUP($H75,Adders!$B$5:$G$8,N$11,FALSE)  +  PA!$D$2 ) * IF($D75="NJ",1.07,1))/$L$10, CHOOSE($M$10,$L$9,$M$9) )</f>
        <v xml:space="preserve"> 73.42 </v>
      </c>
      <c r="L75" s="173" t="str">
        <f>IF(AND($D$11="IL",$E75="AMEREN"),"NA",TEXT((SUMPRODUCT(((LMPMain!$H$9:$H$1000)=$E75)*((LMPMain!$J$9:$J$1000)=$F75)*((LMPMain!$O$9:$O$1000)=$C75)*(LMPMain!R$9:R$1000))+(SUMPRODUCT(((Adders!$D$13:$D$101)=$E75)*((Adders!$E$13:$E$101)=$F75)*(Adders!G$13:G$101))+VLOOKUP($H75,Adders!$B$5:$G$8,L$11,FALSE)+Matrix!$D$2)*IF($D75="NJ",1.07,1))/$L$10,CHOOSE($M$10,$L$9,$M$9)))</f>
        <v xml:space="preserve"> 29.37 </v>
      </c>
      <c r="M75" s="173" t="str">
        <f>IF(AND($D$11="IL",$E75="AMEREN"),"NA",TEXT((SUMPRODUCT(((LMPMain!$H$9:$H$1000)=$E75)*((LMPMain!$J$9:$J$1000)=$F75)*((LMPMain!$O$9:$O$1000)=$C75)*(LMPMain!S$9:S$1000))+(SUMPRODUCT(((Adders!$D$13:$D$101)=$E75)*((Adders!$E$13:$E$101)=$F75)*(Adders!H$13:H$101))+VLOOKUP($H75,Adders!$B$5:$G$8,M$11,FALSE)+Matrix!$D$2)*IF($D75="NJ",1.07,1))/$L$10,CHOOSE($M$10,$L$9,$M$9)))</f>
        <v xml:space="preserve"> 28.98 </v>
      </c>
      <c r="N75" s="174" t="str">
        <f>IF(AND($D$11="IL",$E75="AMEREN"),"NA",TEXT((SUMPRODUCT(((LMPMain!$H$9:$H$1000)=$E75)*((LMPMain!$J$9:$J$1000)=$F75)*((LMPMain!$O$9:$O$1000)=$C75)*(LMPMain!T$9:T$1000))+(SUMPRODUCT(((Adders!$D$13:$D$101)=$E75)*((Adders!$E$13:$E$101)=$F75)*(Adders!G$13:G$101))+VLOOKUP($H75,Adders!$B$5:$G$8,N$11,FALSE)+Matrix!$D$2)*IF($D75="NJ",1.07,1))/$L$10,CHOOSE($M$10,$L$9,$M$9)))</f>
        <v xml:space="preserve"> 28.83 </v>
      </c>
      <c r="O75" s="112"/>
    </row>
    <row r="76" spans="2:15" x14ac:dyDescent="0.25">
      <c r="B76" s="160" t="s">
        <v>665</v>
      </c>
      <c r="C76" s="135">
        <f t="shared" si="1"/>
        <v>42401</v>
      </c>
      <c r="D76" s="136" t="s">
        <v>6</v>
      </c>
      <c r="E76" s="137" t="s">
        <v>8</v>
      </c>
      <c r="F76" s="136" t="s">
        <v>9</v>
      </c>
      <c r="G76" s="137" t="str">
        <f t="shared" si="2"/>
        <v>General Service Large</v>
      </c>
      <c r="H76" s="138" t="s">
        <v>690</v>
      </c>
      <c r="I76" s="176" t="str">
        <f>TEXT(   (SUMPRODUCT( ((Main!$H$9:$H$1000)=$E76)*((Main!$J$9:$J$1000)=$F76)*((Main!$O$9:$O$1000)=$C76)*(Main!R$9:R$1000) ) +  ( SUMPRODUCT( ((Adders!$D$13:$D$101)=$E76)*((Adders!$E$13:$E$101)=$F76)*(Adders!G$13:G$101)) + VLOOKUP($H76,Adders!$B$5:$G$8,L$11,FALSE)  +  PA!$D$2 ) * IF($D76="NJ",1.07,1))/$L$10, CHOOSE($M$10,$L$9,$M$9) )</f>
        <v xml:space="preserve"> 72.58 </v>
      </c>
      <c r="J76" s="176" t="str">
        <f>TEXT(   (SUMPRODUCT( ((Main!$H$9:$H$1000)=$E76)*((Main!$J$9:$J$1000)=$F76)*((Main!$O$9:$O$1000)=$C76)*(Main!S$9:S$1000) ) +  ( SUMPRODUCT( ((Adders!$D$13:$D$101)=$E76)*((Adders!$E$13:$E$101)=$F76)*(Adders!H$13:H$101)) + VLOOKUP($H76,Adders!$B$5:$G$8,M$11,FALSE)  +  PA!$D$2 ) * IF($D76="NJ",1.07,1))/$L$10, CHOOSE($M$10,$L$9,$M$9) )</f>
        <v xml:space="preserve"> 72.71 </v>
      </c>
      <c r="K76" s="177" t="str">
        <f>TEXT(   (SUMPRODUCT( ((Main!$H$9:$H$1000)=$E76)*((Main!$J$9:$J$1000)=$F76)*((Main!$O$9:$O$1000)=$C76)*(Main!T$9:T$1000) ) +  ( SUMPRODUCT( ((Adders!$D$13:$D$101)=$E76)*((Adders!$E$13:$E$101)=$F76)*(Adders!I$13:I$101)) + VLOOKUP($H76,Adders!$B$5:$G$8,N$11,FALSE)  +  PA!$D$2 ) * IF($D76="NJ",1.07,1))/$L$10, CHOOSE($M$10,$L$9,$M$9) )</f>
        <v xml:space="preserve"> 72.37 </v>
      </c>
      <c r="L76" s="176" t="str">
        <f>IF(AND($D$11="IL",$E76="AMEREN"),"NA",TEXT((SUMPRODUCT(((LMPMain!$H$9:$H$1000)=$E76)*((LMPMain!$J$9:$J$1000)=$F76)*((LMPMain!$O$9:$O$1000)=$C76)*(LMPMain!R$9:R$1000))+(SUMPRODUCT(((Adders!$D$13:$D$101)=$E76)*((Adders!$E$13:$E$101)=$F76)*(Adders!G$13:G$101))+VLOOKUP($H76,Adders!$B$5:$G$8,L$11,FALSE)+Matrix!$D$2)*IF($D76="NJ",1.07,1))/$L$10,CHOOSE($M$10,$L$9,$M$9)))</f>
        <v xml:space="preserve"> 28.32 </v>
      </c>
      <c r="M76" s="176" t="str">
        <f>IF(AND($D$11="IL",$E76="AMEREN"),"NA",TEXT((SUMPRODUCT(((LMPMain!$H$9:$H$1000)=$E76)*((LMPMain!$J$9:$J$1000)=$F76)*((LMPMain!$O$9:$O$1000)=$C76)*(LMPMain!S$9:S$1000))+(SUMPRODUCT(((Adders!$D$13:$D$101)=$E76)*((Adders!$E$13:$E$101)=$F76)*(Adders!H$13:H$101))+VLOOKUP($H76,Adders!$B$5:$G$8,M$11,FALSE)+Matrix!$D$2)*IF($D76="NJ",1.07,1))/$L$10,CHOOSE($M$10,$L$9,$M$9)))</f>
        <v xml:space="preserve"> 27.93 </v>
      </c>
      <c r="N76" s="177" t="str">
        <f>IF(AND($D$11="IL",$E76="AMEREN"),"NA",TEXT((SUMPRODUCT(((LMPMain!$H$9:$H$1000)=$E76)*((LMPMain!$J$9:$J$1000)=$F76)*((LMPMain!$O$9:$O$1000)=$C76)*(LMPMain!T$9:T$1000))+(SUMPRODUCT(((Adders!$D$13:$D$101)=$E76)*((Adders!$E$13:$E$101)=$F76)*(Adders!G$13:G$101))+VLOOKUP($H76,Adders!$B$5:$G$8,N$11,FALSE)+Matrix!$D$2)*IF($D76="NJ",1.07,1))/$L$10,CHOOSE($M$10,$L$9,$M$9)))</f>
        <v xml:space="preserve"> 27.78 </v>
      </c>
      <c r="O76" s="112"/>
    </row>
    <row r="77" spans="2:15" x14ac:dyDescent="0.25">
      <c r="B77" s="160" t="s">
        <v>665</v>
      </c>
      <c r="C77" s="127">
        <f t="shared" si="1"/>
        <v>42430</v>
      </c>
      <c r="D77" s="128" t="s">
        <v>6</v>
      </c>
      <c r="E77" s="129" t="s">
        <v>8</v>
      </c>
      <c r="F77" s="128" t="s">
        <v>9</v>
      </c>
      <c r="G77" s="129" t="str">
        <f t="shared" si="2"/>
        <v>General Service Large</v>
      </c>
      <c r="H77" s="130" t="s">
        <v>61</v>
      </c>
      <c r="I77" s="178" t="str">
        <f>TEXT(   (SUMPRODUCT( ((Main!$H$9:$H$1000)=$E77)*((Main!$J$9:$J$1000)=$F77)*((Main!$O$9:$O$1000)=$C77)*(Main!R$9:R$1000) ) +  ( SUMPRODUCT( ((Adders!$D$13:$D$101)=$E77)*((Adders!$E$13:$E$101)=$F77)*(Adders!G$13:G$101)) + VLOOKUP($H77,Adders!$B$5:$G$8,L$11,FALSE)  +  PA!$D$2 ) * IF($D77="NJ",1.07,1))/$L$10, CHOOSE($M$10,$L$9,$M$9) )</f>
        <v xml:space="preserve"> 74.94 </v>
      </c>
      <c r="J77" s="178" t="str">
        <f>TEXT(   (SUMPRODUCT( ((Main!$H$9:$H$1000)=$E77)*((Main!$J$9:$J$1000)=$F77)*((Main!$O$9:$O$1000)=$C77)*(Main!S$9:S$1000) ) +  ( SUMPRODUCT( ((Adders!$D$13:$D$101)=$E77)*((Adders!$E$13:$E$101)=$F77)*(Adders!H$13:H$101)) + VLOOKUP($H77,Adders!$B$5:$G$8,M$11,FALSE)  +  PA!$D$2 ) * IF($D77="NJ",1.07,1))/$L$10, CHOOSE($M$10,$L$9,$M$9) )</f>
        <v xml:space="preserve"> 74.73 </v>
      </c>
      <c r="K77" s="179" t="str">
        <f>TEXT(   (SUMPRODUCT( ((Main!$H$9:$H$1000)=$E77)*((Main!$J$9:$J$1000)=$F77)*((Main!$O$9:$O$1000)=$C77)*(Main!T$9:T$1000) ) +  ( SUMPRODUCT( ((Adders!$D$13:$D$101)=$E77)*((Adders!$E$13:$E$101)=$F77)*(Adders!I$13:I$101)) + VLOOKUP($H77,Adders!$B$5:$G$8,N$11,FALSE)  +  PA!$D$2 ) * IF($D77="NJ",1.07,1))/$L$10, CHOOSE($M$10,$L$9,$M$9) )</f>
        <v xml:space="preserve"> 75.08 </v>
      </c>
      <c r="L77" s="178" t="str">
        <f>IF(AND($D$11="IL",$E77="AMEREN"),"NA",TEXT((SUMPRODUCT(((LMPMain!$H$9:$H$1000)=$E77)*((LMPMain!$J$9:$J$1000)=$F77)*((LMPMain!$O$9:$O$1000)=$C77)*(LMPMain!R$9:R$1000))+(SUMPRODUCT(((Adders!$D$13:$D$101)=$E77)*((Adders!$E$13:$E$101)=$F77)*(Adders!G$13:G$101))+VLOOKUP($H77,Adders!$B$5:$G$8,L$11,FALSE)+Matrix!$D$2)*IF($D77="NJ",1.07,1))/$L$10,CHOOSE($M$10,$L$9,$M$9)))</f>
        <v xml:space="preserve"> 30.61 </v>
      </c>
      <c r="M77" s="178" t="str">
        <f>IF(AND($D$11="IL",$E77="AMEREN"),"NA",TEXT((SUMPRODUCT(((LMPMain!$H$9:$H$1000)=$E77)*((LMPMain!$J$9:$J$1000)=$F77)*((LMPMain!$O$9:$O$1000)=$C77)*(LMPMain!S$9:S$1000))+(SUMPRODUCT(((Adders!$D$13:$D$101)=$E77)*((Adders!$E$13:$E$101)=$F77)*(Adders!H$13:H$101))+VLOOKUP($H77,Adders!$B$5:$G$8,M$11,FALSE)+Matrix!$D$2)*IF($D77="NJ",1.07,1))/$L$10,CHOOSE($M$10,$L$9,$M$9)))</f>
        <v xml:space="preserve"> 30.19 </v>
      </c>
      <c r="N77" s="179" t="str">
        <f>IF(AND($D$11="IL",$E77="AMEREN"),"NA",TEXT((SUMPRODUCT(((LMPMain!$H$9:$H$1000)=$E77)*((LMPMain!$J$9:$J$1000)=$F77)*((LMPMain!$O$9:$O$1000)=$C77)*(LMPMain!T$9:T$1000))+(SUMPRODUCT(((Adders!$D$13:$D$101)=$E77)*((Adders!$E$13:$E$101)=$F77)*(Adders!G$13:G$101))+VLOOKUP($H77,Adders!$B$5:$G$8,N$11,FALSE)+Matrix!$D$2)*IF($D77="NJ",1.07,1))/$L$10,CHOOSE($M$10,$L$9,$M$9)))</f>
        <v xml:space="preserve"> 30.28 </v>
      </c>
      <c r="O77" s="112"/>
    </row>
    <row r="78" spans="2:15" x14ac:dyDescent="0.25">
      <c r="B78" s="160" t="s">
        <v>665</v>
      </c>
      <c r="C78" s="131">
        <f t="shared" si="1"/>
        <v>42430</v>
      </c>
      <c r="D78" s="132" t="s">
        <v>6</v>
      </c>
      <c r="E78" s="133" t="s">
        <v>8</v>
      </c>
      <c r="F78" s="132" t="s">
        <v>9</v>
      </c>
      <c r="G78" s="133" t="str">
        <f t="shared" si="2"/>
        <v>General Service Large</v>
      </c>
      <c r="H78" s="134" t="s">
        <v>62</v>
      </c>
      <c r="I78" s="173" t="str">
        <f>TEXT(   (SUMPRODUCT( ((Main!$H$9:$H$1000)=$E78)*((Main!$J$9:$J$1000)=$F78)*((Main!$O$9:$O$1000)=$C78)*(Main!R$9:R$1000) ) +  ( SUMPRODUCT( ((Adders!$D$13:$D$101)=$E78)*((Adders!$E$13:$E$101)=$F78)*(Adders!G$13:G$101)) + VLOOKUP($H78,Adders!$B$5:$G$8,L$11,FALSE)  +  PA!$D$2 ) * IF($D78="NJ",1.07,1))/$L$10, CHOOSE($M$10,$L$9,$M$9) )</f>
        <v xml:space="preserve"> 73.34 </v>
      </c>
      <c r="J78" s="173" t="str">
        <f>TEXT(   (SUMPRODUCT( ((Main!$H$9:$H$1000)=$E78)*((Main!$J$9:$J$1000)=$F78)*((Main!$O$9:$O$1000)=$C78)*(Main!S$9:S$1000) ) +  ( SUMPRODUCT( ((Adders!$D$13:$D$101)=$E78)*((Adders!$E$13:$E$101)=$F78)*(Adders!H$13:H$101)) + VLOOKUP($H78,Adders!$B$5:$G$8,M$11,FALSE)  +  PA!$D$2 ) * IF($D78="NJ",1.07,1))/$L$10, CHOOSE($M$10,$L$9,$M$9) )</f>
        <v xml:space="preserve"> 73.13 </v>
      </c>
      <c r="K78" s="174" t="str">
        <f>TEXT(   (SUMPRODUCT( ((Main!$H$9:$H$1000)=$E78)*((Main!$J$9:$J$1000)=$F78)*((Main!$O$9:$O$1000)=$C78)*(Main!T$9:T$1000) ) +  ( SUMPRODUCT( ((Adders!$D$13:$D$101)=$E78)*((Adders!$E$13:$E$101)=$F78)*(Adders!I$13:I$101)) + VLOOKUP($H78,Adders!$B$5:$G$8,N$11,FALSE)  +  PA!$D$2 ) * IF($D78="NJ",1.07,1))/$L$10, CHOOSE($M$10,$L$9,$M$9) )</f>
        <v xml:space="preserve"> 73.48 </v>
      </c>
      <c r="L78" s="173" t="str">
        <f>IF(AND($D$11="IL",$E78="AMEREN"),"NA",TEXT((SUMPRODUCT(((LMPMain!$H$9:$H$1000)=$E78)*((LMPMain!$J$9:$J$1000)=$F78)*((LMPMain!$O$9:$O$1000)=$C78)*(LMPMain!R$9:R$1000))+(SUMPRODUCT(((Adders!$D$13:$D$101)=$E78)*((Adders!$E$13:$E$101)=$F78)*(Adders!G$13:G$101))+VLOOKUP($H78,Adders!$B$5:$G$8,L$11,FALSE)+Matrix!$D$2)*IF($D78="NJ",1.07,1))/$L$10,CHOOSE($M$10,$L$9,$M$9)))</f>
        <v xml:space="preserve"> 29.01 </v>
      </c>
      <c r="M78" s="173" t="str">
        <f>IF(AND($D$11="IL",$E78="AMEREN"),"NA",TEXT((SUMPRODUCT(((LMPMain!$H$9:$H$1000)=$E78)*((LMPMain!$J$9:$J$1000)=$F78)*((LMPMain!$O$9:$O$1000)=$C78)*(LMPMain!S$9:S$1000))+(SUMPRODUCT(((Adders!$D$13:$D$101)=$E78)*((Adders!$E$13:$E$101)=$F78)*(Adders!H$13:H$101))+VLOOKUP($H78,Adders!$B$5:$G$8,M$11,FALSE)+Matrix!$D$2)*IF($D78="NJ",1.07,1))/$L$10,CHOOSE($M$10,$L$9,$M$9)))</f>
        <v xml:space="preserve"> 28.59 </v>
      </c>
      <c r="N78" s="174" t="str">
        <f>IF(AND($D$11="IL",$E78="AMEREN"),"NA",TEXT((SUMPRODUCT(((LMPMain!$H$9:$H$1000)=$E78)*((LMPMain!$J$9:$J$1000)=$F78)*((LMPMain!$O$9:$O$1000)=$C78)*(LMPMain!T$9:T$1000))+(SUMPRODUCT(((Adders!$D$13:$D$101)=$E78)*((Adders!$E$13:$E$101)=$F78)*(Adders!G$13:G$101))+VLOOKUP($H78,Adders!$B$5:$G$8,N$11,FALSE)+Matrix!$D$2)*IF($D78="NJ",1.07,1))/$L$10,CHOOSE($M$10,$L$9,$M$9)))</f>
        <v xml:space="preserve"> 28.68 </v>
      </c>
      <c r="O78" s="112"/>
    </row>
    <row r="79" spans="2:15" x14ac:dyDescent="0.25">
      <c r="B79" s="160" t="s">
        <v>665</v>
      </c>
      <c r="C79" s="135">
        <f t="shared" si="1"/>
        <v>42430</v>
      </c>
      <c r="D79" s="136" t="s">
        <v>6</v>
      </c>
      <c r="E79" s="137" t="s">
        <v>8</v>
      </c>
      <c r="F79" s="136" t="s">
        <v>9</v>
      </c>
      <c r="G79" s="137" t="str">
        <f t="shared" si="2"/>
        <v>General Service Large</v>
      </c>
      <c r="H79" s="138" t="s">
        <v>690</v>
      </c>
      <c r="I79" s="176" t="str">
        <f>TEXT(   (SUMPRODUCT( ((Main!$H$9:$H$1000)=$E79)*((Main!$J$9:$J$1000)=$F79)*((Main!$O$9:$O$1000)=$C79)*(Main!R$9:R$1000) ) +  ( SUMPRODUCT( ((Adders!$D$13:$D$101)=$E79)*((Adders!$E$13:$E$101)=$F79)*(Adders!G$13:G$101)) + VLOOKUP($H79,Adders!$B$5:$G$8,L$11,FALSE)  +  PA!$D$2 ) * IF($D79="NJ",1.07,1))/$L$10, CHOOSE($M$10,$L$9,$M$9) )</f>
        <v xml:space="preserve"> 72.29 </v>
      </c>
      <c r="J79" s="176" t="str">
        <f>TEXT(   (SUMPRODUCT( ((Main!$H$9:$H$1000)=$E79)*((Main!$J$9:$J$1000)=$F79)*((Main!$O$9:$O$1000)=$C79)*(Main!S$9:S$1000) ) +  ( SUMPRODUCT( ((Adders!$D$13:$D$101)=$E79)*((Adders!$E$13:$E$101)=$F79)*(Adders!H$13:H$101)) + VLOOKUP($H79,Adders!$B$5:$G$8,M$11,FALSE)  +  PA!$D$2 ) * IF($D79="NJ",1.07,1))/$L$10, CHOOSE($M$10,$L$9,$M$9) )</f>
        <v xml:space="preserve"> 72.08 </v>
      </c>
      <c r="K79" s="177" t="str">
        <f>TEXT(   (SUMPRODUCT( ((Main!$H$9:$H$1000)=$E79)*((Main!$J$9:$J$1000)=$F79)*((Main!$O$9:$O$1000)=$C79)*(Main!T$9:T$1000) ) +  ( SUMPRODUCT( ((Adders!$D$13:$D$101)=$E79)*((Adders!$E$13:$E$101)=$F79)*(Adders!I$13:I$101)) + VLOOKUP($H79,Adders!$B$5:$G$8,N$11,FALSE)  +  PA!$D$2 ) * IF($D79="NJ",1.07,1))/$L$10, CHOOSE($M$10,$L$9,$M$9) )</f>
        <v xml:space="preserve"> 72.43 </v>
      </c>
      <c r="L79" s="176" t="str">
        <f>IF(AND($D$11="IL",$E79="AMEREN"),"NA",TEXT((SUMPRODUCT(((LMPMain!$H$9:$H$1000)=$E79)*((LMPMain!$J$9:$J$1000)=$F79)*((LMPMain!$O$9:$O$1000)=$C79)*(LMPMain!R$9:R$1000))+(SUMPRODUCT(((Adders!$D$13:$D$101)=$E79)*((Adders!$E$13:$E$101)=$F79)*(Adders!G$13:G$101))+VLOOKUP($H79,Adders!$B$5:$G$8,L$11,FALSE)+Matrix!$D$2)*IF($D79="NJ",1.07,1))/$L$10,CHOOSE($M$10,$L$9,$M$9)))</f>
        <v xml:space="preserve"> 27.96 </v>
      </c>
      <c r="M79" s="176" t="str">
        <f>IF(AND($D$11="IL",$E79="AMEREN"),"NA",TEXT((SUMPRODUCT(((LMPMain!$H$9:$H$1000)=$E79)*((LMPMain!$J$9:$J$1000)=$F79)*((LMPMain!$O$9:$O$1000)=$C79)*(LMPMain!S$9:S$1000))+(SUMPRODUCT(((Adders!$D$13:$D$101)=$E79)*((Adders!$E$13:$E$101)=$F79)*(Adders!H$13:H$101))+VLOOKUP($H79,Adders!$B$5:$G$8,M$11,FALSE)+Matrix!$D$2)*IF($D79="NJ",1.07,1))/$L$10,CHOOSE($M$10,$L$9,$M$9)))</f>
        <v xml:space="preserve"> 27.54 </v>
      </c>
      <c r="N79" s="177" t="str">
        <f>IF(AND($D$11="IL",$E79="AMEREN"),"NA",TEXT((SUMPRODUCT(((LMPMain!$H$9:$H$1000)=$E79)*((LMPMain!$J$9:$J$1000)=$F79)*((LMPMain!$O$9:$O$1000)=$C79)*(LMPMain!T$9:T$1000))+(SUMPRODUCT(((Adders!$D$13:$D$101)=$E79)*((Adders!$E$13:$E$101)=$F79)*(Adders!G$13:G$101))+VLOOKUP($H79,Adders!$B$5:$G$8,N$11,FALSE)+Matrix!$D$2)*IF($D79="NJ",1.07,1))/$L$10,CHOOSE($M$10,$L$9,$M$9)))</f>
        <v xml:space="preserve"> 27.63 </v>
      </c>
      <c r="O79" s="112"/>
    </row>
    <row r="80" spans="2:15" x14ac:dyDescent="0.25">
      <c r="B80" s="160" t="s">
        <v>665</v>
      </c>
      <c r="C80" s="127">
        <f t="shared" si="1"/>
        <v>42461</v>
      </c>
      <c r="D80" s="128" t="s">
        <v>6</v>
      </c>
      <c r="E80" s="129" t="s">
        <v>8</v>
      </c>
      <c r="F80" s="128" t="s">
        <v>9</v>
      </c>
      <c r="G80" s="129" t="str">
        <f t="shared" si="2"/>
        <v>General Service Large</v>
      </c>
      <c r="H80" s="130" t="s">
        <v>61</v>
      </c>
      <c r="I80" s="178" t="str">
        <f>TEXT(   (SUMPRODUCT( ((Main!$H$9:$H$1000)=$E80)*((Main!$J$9:$J$1000)=$F80)*((Main!$O$9:$O$1000)=$C80)*(Main!R$9:R$1000) ) +  ( SUMPRODUCT( ((Adders!$D$13:$D$101)=$E80)*((Adders!$E$13:$E$101)=$F80)*(Adders!G$13:G$101)) + VLOOKUP($H80,Adders!$B$5:$G$8,L$11,FALSE)  +  PA!$D$2 ) * IF($D80="NJ",1.07,1))/$L$10, CHOOSE($M$10,$L$9,$M$9) )</f>
        <v xml:space="preserve"> 74.59 </v>
      </c>
      <c r="J80" s="178" t="str">
        <f>TEXT(   (SUMPRODUCT( ((Main!$H$9:$H$1000)=$E80)*((Main!$J$9:$J$1000)=$F80)*((Main!$O$9:$O$1000)=$C80)*(Main!S$9:S$1000) ) +  ( SUMPRODUCT( ((Adders!$D$13:$D$101)=$E80)*((Adders!$E$13:$E$101)=$F80)*(Adders!H$13:H$101)) + VLOOKUP($H80,Adders!$B$5:$G$8,M$11,FALSE)  +  PA!$D$2 ) * IF($D80="NJ",1.07,1))/$L$10, CHOOSE($M$10,$L$9,$M$9) )</f>
        <v xml:space="preserve"> 74.07 </v>
      </c>
      <c r="K80" s="179" t="str">
        <f>TEXT(   (SUMPRODUCT( ((Main!$H$9:$H$1000)=$E80)*((Main!$J$9:$J$1000)=$F80)*((Main!$O$9:$O$1000)=$C80)*(Main!T$9:T$1000) ) +  ( SUMPRODUCT( ((Adders!$D$13:$D$101)=$E80)*((Adders!$E$13:$E$101)=$F80)*(Adders!I$13:I$101)) + VLOOKUP($H80,Adders!$B$5:$G$8,N$11,FALSE)  +  PA!$D$2 ) * IF($D80="NJ",1.07,1))/$L$10, CHOOSE($M$10,$L$9,$M$9) )</f>
        <v xml:space="preserve"> 74.83 </v>
      </c>
      <c r="L80" s="178" t="str">
        <f>IF(AND($D$11="IL",$E80="AMEREN"),"NA",TEXT((SUMPRODUCT(((LMPMain!$H$9:$H$1000)=$E80)*((LMPMain!$J$9:$J$1000)=$F80)*((LMPMain!$O$9:$O$1000)=$C80)*(LMPMain!R$9:R$1000))+(SUMPRODUCT(((Adders!$D$13:$D$101)=$E80)*((Adders!$E$13:$E$101)=$F80)*(Adders!G$13:G$101))+VLOOKUP($H80,Adders!$B$5:$G$8,L$11,FALSE)+Matrix!$D$2)*IF($D80="NJ",1.07,1))/$L$10,CHOOSE($M$10,$L$9,$M$9)))</f>
        <v xml:space="preserve"> 30.26 </v>
      </c>
      <c r="M80" s="178" t="str">
        <f>IF(AND($D$11="IL",$E80="AMEREN"),"NA",TEXT((SUMPRODUCT(((LMPMain!$H$9:$H$1000)=$E80)*((LMPMain!$J$9:$J$1000)=$F80)*((LMPMain!$O$9:$O$1000)=$C80)*(LMPMain!S$9:S$1000))+(SUMPRODUCT(((Adders!$D$13:$D$101)=$E80)*((Adders!$E$13:$E$101)=$F80)*(Adders!H$13:H$101))+VLOOKUP($H80,Adders!$B$5:$G$8,M$11,FALSE)+Matrix!$D$2)*IF($D80="NJ",1.07,1))/$L$10,CHOOSE($M$10,$L$9,$M$9)))</f>
        <v xml:space="preserve"> 29.87 </v>
      </c>
      <c r="N80" s="179" t="str">
        <f>IF(AND($D$11="IL",$E80="AMEREN"),"NA",TEXT((SUMPRODUCT(((LMPMain!$H$9:$H$1000)=$E80)*((LMPMain!$J$9:$J$1000)=$F80)*((LMPMain!$O$9:$O$1000)=$C80)*(LMPMain!T$9:T$1000))+(SUMPRODUCT(((Adders!$D$13:$D$101)=$E80)*((Adders!$E$13:$E$101)=$F80)*(Adders!G$13:G$101))+VLOOKUP($H80,Adders!$B$5:$G$8,N$11,FALSE)+Matrix!$D$2)*IF($D80="NJ",1.07,1))/$L$10,CHOOSE($M$10,$L$9,$M$9)))</f>
        <v xml:space="preserve"> 30.12 </v>
      </c>
      <c r="O80" s="112"/>
    </row>
    <row r="81" spans="2:15" x14ac:dyDescent="0.25">
      <c r="B81" s="160" t="s">
        <v>665</v>
      </c>
      <c r="C81" s="131">
        <f t="shared" si="1"/>
        <v>42461</v>
      </c>
      <c r="D81" s="132" t="s">
        <v>6</v>
      </c>
      <c r="E81" s="133" t="s">
        <v>8</v>
      </c>
      <c r="F81" s="132" t="s">
        <v>9</v>
      </c>
      <c r="G81" s="133" t="str">
        <f t="shared" si="2"/>
        <v>General Service Large</v>
      </c>
      <c r="H81" s="134" t="s">
        <v>62</v>
      </c>
      <c r="I81" s="173" t="str">
        <f>TEXT(   (SUMPRODUCT( ((Main!$H$9:$H$1000)=$E81)*((Main!$J$9:$J$1000)=$F81)*((Main!$O$9:$O$1000)=$C81)*(Main!R$9:R$1000) ) +  ( SUMPRODUCT( ((Adders!$D$13:$D$101)=$E81)*((Adders!$E$13:$E$101)=$F81)*(Adders!G$13:G$101)) + VLOOKUP($H81,Adders!$B$5:$G$8,L$11,FALSE)  +  PA!$D$2 ) * IF($D81="NJ",1.07,1))/$L$10, CHOOSE($M$10,$L$9,$M$9) )</f>
        <v xml:space="preserve"> 72.99 </v>
      </c>
      <c r="J81" s="173" t="str">
        <f>TEXT(   (SUMPRODUCT( ((Main!$H$9:$H$1000)=$E81)*((Main!$J$9:$J$1000)=$F81)*((Main!$O$9:$O$1000)=$C81)*(Main!S$9:S$1000) ) +  ( SUMPRODUCT( ((Adders!$D$13:$D$101)=$E81)*((Adders!$E$13:$E$101)=$F81)*(Adders!H$13:H$101)) + VLOOKUP($H81,Adders!$B$5:$G$8,M$11,FALSE)  +  PA!$D$2 ) * IF($D81="NJ",1.07,1))/$L$10, CHOOSE($M$10,$L$9,$M$9) )</f>
        <v xml:space="preserve"> 72.47 </v>
      </c>
      <c r="K81" s="174" t="str">
        <f>TEXT(   (SUMPRODUCT( ((Main!$H$9:$H$1000)=$E81)*((Main!$J$9:$J$1000)=$F81)*((Main!$O$9:$O$1000)=$C81)*(Main!T$9:T$1000) ) +  ( SUMPRODUCT( ((Adders!$D$13:$D$101)=$E81)*((Adders!$E$13:$E$101)=$F81)*(Adders!I$13:I$101)) + VLOOKUP($H81,Adders!$B$5:$G$8,N$11,FALSE)  +  PA!$D$2 ) * IF($D81="NJ",1.07,1))/$L$10, CHOOSE($M$10,$L$9,$M$9) )</f>
        <v xml:space="preserve"> 73.23 </v>
      </c>
      <c r="L81" s="173" t="str">
        <f>IF(AND($D$11="IL",$E81="AMEREN"),"NA",TEXT((SUMPRODUCT(((LMPMain!$H$9:$H$1000)=$E81)*((LMPMain!$J$9:$J$1000)=$F81)*((LMPMain!$O$9:$O$1000)=$C81)*(LMPMain!R$9:R$1000))+(SUMPRODUCT(((Adders!$D$13:$D$101)=$E81)*((Adders!$E$13:$E$101)=$F81)*(Adders!G$13:G$101))+VLOOKUP($H81,Adders!$B$5:$G$8,L$11,FALSE)+Matrix!$D$2)*IF($D81="NJ",1.07,1))/$L$10,CHOOSE($M$10,$L$9,$M$9)))</f>
        <v xml:space="preserve"> 28.66 </v>
      </c>
      <c r="M81" s="173" t="str">
        <f>IF(AND($D$11="IL",$E81="AMEREN"),"NA",TEXT((SUMPRODUCT(((LMPMain!$H$9:$H$1000)=$E81)*((LMPMain!$J$9:$J$1000)=$F81)*((LMPMain!$O$9:$O$1000)=$C81)*(LMPMain!S$9:S$1000))+(SUMPRODUCT(((Adders!$D$13:$D$101)=$E81)*((Adders!$E$13:$E$101)=$F81)*(Adders!H$13:H$101))+VLOOKUP($H81,Adders!$B$5:$G$8,M$11,FALSE)+Matrix!$D$2)*IF($D81="NJ",1.07,1))/$L$10,CHOOSE($M$10,$L$9,$M$9)))</f>
        <v xml:space="preserve"> 28.27 </v>
      </c>
      <c r="N81" s="174" t="str">
        <f>IF(AND($D$11="IL",$E81="AMEREN"),"NA",TEXT((SUMPRODUCT(((LMPMain!$H$9:$H$1000)=$E81)*((LMPMain!$J$9:$J$1000)=$F81)*((LMPMain!$O$9:$O$1000)=$C81)*(LMPMain!T$9:T$1000))+(SUMPRODUCT(((Adders!$D$13:$D$101)=$E81)*((Adders!$E$13:$E$101)=$F81)*(Adders!G$13:G$101))+VLOOKUP($H81,Adders!$B$5:$G$8,N$11,FALSE)+Matrix!$D$2)*IF($D81="NJ",1.07,1))/$L$10,CHOOSE($M$10,$L$9,$M$9)))</f>
        <v xml:space="preserve"> 28.52 </v>
      </c>
      <c r="O81" s="112"/>
    </row>
    <row r="82" spans="2:15" x14ac:dyDescent="0.25">
      <c r="B82" s="160" t="s">
        <v>665</v>
      </c>
      <c r="C82" s="135">
        <f t="shared" si="1"/>
        <v>42461</v>
      </c>
      <c r="D82" s="136" t="s">
        <v>6</v>
      </c>
      <c r="E82" s="137" t="s">
        <v>8</v>
      </c>
      <c r="F82" s="136" t="s">
        <v>9</v>
      </c>
      <c r="G82" s="137" t="str">
        <f t="shared" si="2"/>
        <v>General Service Large</v>
      </c>
      <c r="H82" s="138" t="s">
        <v>690</v>
      </c>
      <c r="I82" s="176" t="str">
        <f>TEXT(   (SUMPRODUCT( ((Main!$H$9:$H$1000)=$E82)*((Main!$J$9:$J$1000)=$F82)*((Main!$O$9:$O$1000)=$C82)*(Main!R$9:R$1000) ) +  ( SUMPRODUCT( ((Adders!$D$13:$D$101)=$E82)*((Adders!$E$13:$E$101)=$F82)*(Adders!G$13:G$101)) + VLOOKUP($H82,Adders!$B$5:$G$8,L$11,FALSE)  +  PA!$D$2 ) * IF($D82="NJ",1.07,1))/$L$10, CHOOSE($M$10,$L$9,$M$9) )</f>
        <v xml:space="preserve"> 71.94 </v>
      </c>
      <c r="J82" s="176" t="str">
        <f>TEXT(   (SUMPRODUCT( ((Main!$H$9:$H$1000)=$E82)*((Main!$J$9:$J$1000)=$F82)*((Main!$O$9:$O$1000)=$C82)*(Main!S$9:S$1000) ) +  ( SUMPRODUCT( ((Adders!$D$13:$D$101)=$E82)*((Adders!$E$13:$E$101)=$F82)*(Adders!H$13:H$101)) + VLOOKUP($H82,Adders!$B$5:$G$8,M$11,FALSE)  +  PA!$D$2 ) * IF($D82="NJ",1.07,1))/$L$10, CHOOSE($M$10,$L$9,$M$9) )</f>
        <v xml:space="preserve"> 71.42 </v>
      </c>
      <c r="K82" s="177" t="str">
        <f>TEXT(   (SUMPRODUCT( ((Main!$H$9:$H$1000)=$E82)*((Main!$J$9:$J$1000)=$F82)*((Main!$O$9:$O$1000)=$C82)*(Main!T$9:T$1000) ) +  ( SUMPRODUCT( ((Adders!$D$13:$D$101)=$E82)*((Adders!$E$13:$E$101)=$F82)*(Adders!I$13:I$101)) + VLOOKUP($H82,Adders!$B$5:$G$8,N$11,FALSE)  +  PA!$D$2 ) * IF($D82="NJ",1.07,1))/$L$10, CHOOSE($M$10,$L$9,$M$9) )</f>
        <v xml:space="preserve"> 72.18 </v>
      </c>
      <c r="L82" s="176" t="str">
        <f>IF(AND($D$11="IL",$E82="AMEREN"),"NA",TEXT((SUMPRODUCT(((LMPMain!$H$9:$H$1000)=$E82)*((LMPMain!$J$9:$J$1000)=$F82)*((LMPMain!$O$9:$O$1000)=$C82)*(LMPMain!R$9:R$1000))+(SUMPRODUCT(((Adders!$D$13:$D$101)=$E82)*((Adders!$E$13:$E$101)=$F82)*(Adders!G$13:G$101))+VLOOKUP($H82,Adders!$B$5:$G$8,L$11,FALSE)+Matrix!$D$2)*IF($D82="NJ",1.07,1))/$L$10,CHOOSE($M$10,$L$9,$M$9)))</f>
        <v xml:space="preserve"> 27.61 </v>
      </c>
      <c r="M82" s="176" t="str">
        <f>IF(AND($D$11="IL",$E82="AMEREN"),"NA",TEXT((SUMPRODUCT(((LMPMain!$H$9:$H$1000)=$E82)*((LMPMain!$J$9:$J$1000)=$F82)*((LMPMain!$O$9:$O$1000)=$C82)*(LMPMain!S$9:S$1000))+(SUMPRODUCT(((Adders!$D$13:$D$101)=$E82)*((Adders!$E$13:$E$101)=$F82)*(Adders!H$13:H$101))+VLOOKUP($H82,Adders!$B$5:$G$8,M$11,FALSE)+Matrix!$D$2)*IF($D82="NJ",1.07,1))/$L$10,CHOOSE($M$10,$L$9,$M$9)))</f>
        <v xml:space="preserve"> 27.22 </v>
      </c>
      <c r="N82" s="177" t="str">
        <f>IF(AND($D$11="IL",$E82="AMEREN"),"NA",TEXT((SUMPRODUCT(((LMPMain!$H$9:$H$1000)=$E82)*((LMPMain!$J$9:$J$1000)=$F82)*((LMPMain!$O$9:$O$1000)=$C82)*(LMPMain!T$9:T$1000))+(SUMPRODUCT(((Adders!$D$13:$D$101)=$E82)*((Adders!$E$13:$E$101)=$F82)*(Adders!G$13:G$101))+VLOOKUP($H82,Adders!$B$5:$G$8,N$11,FALSE)+Matrix!$D$2)*IF($D82="NJ",1.07,1))/$L$10,CHOOSE($M$10,$L$9,$M$9)))</f>
        <v xml:space="preserve"> 27.47 </v>
      </c>
      <c r="O82" s="112"/>
    </row>
    <row r="83" spans="2:15" x14ac:dyDescent="0.25">
      <c r="B83" s="160" t="s">
        <v>665</v>
      </c>
      <c r="C83" s="127">
        <f t="shared" si="1"/>
        <v>42491</v>
      </c>
      <c r="D83" s="128" t="s">
        <v>6</v>
      </c>
      <c r="E83" s="129" t="s">
        <v>8</v>
      </c>
      <c r="F83" s="128" t="s">
        <v>9</v>
      </c>
      <c r="G83" s="129" t="str">
        <f t="shared" si="2"/>
        <v>General Service Large</v>
      </c>
      <c r="H83" s="130" t="s">
        <v>61</v>
      </c>
      <c r="I83" s="178" t="str">
        <f>TEXT(   (SUMPRODUCT( ((Main!$H$9:$H$1000)=$E83)*((Main!$J$9:$J$1000)=$F83)*((Main!$O$9:$O$1000)=$C83)*(Main!R$9:R$1000) ) +  ( SUMPRODUCT( ((Adders!$D$13:$D$101)=$E83)*((Adders!$E$13:$E$101)=$F83)*(Adders!G$13:G$101)) + VLOOKUP($H83,Adders!$B$5:$G$8,L$11,FALSE)  +  PA!$D$2 ) * IF($D83="NJ",1.07,1))/$L$10, CHOOSE($M$10,$L$9,$M$9) )</f>
        <v xml:space="preserve"> 74.19 </v>
      </c>
      <c r="J83" s="178" t="str">
        <f>TEXT(   (SUMPRODUCT( ((Main!$H$9:$H$1000)=$E83)*((Main!$J$9:$J$1000)=$F83)*((Main!$O$9:$O$1000)=$C83)*(Main!S$9:S$1000) ) +  ( SUMPRODUCT( ((Adders!$D$13:$D$101)=$E83)*((Adders!$E$13:$E$101)=$F83)*(Adders!H$13:H$101)) + VLOOKUP($H83,Adders!$B$5:$G$8,M$11,FALSE)  +  PA!$D$2 ) * IF($D83="NJ",1.07,1))/$L$10, CHOOSE($M$10,$L$9,$M$9) )</f>
        <v xml:space="preserve"> 73.39 </v>
      </c>
      <c r="K83" s="179" t="str">
        <f>TEXT(   (SUMPRODUCT( ((Main!$H$9:$H$1000)=$E83)*((Main!$J$9:$J$1000)=$F83)*((Main!$O$9:$O$1000)=$C83)*(Main!T$9:T$1000) ) +  ( SUMPRODUCT( ((Adders!$D$13:$D$101)=$E83)*((Adders!$E$13:$E$101)=$F83)*(Adders!I$13:I$101)) + VLOOKUP($H83,Adders!$B$5:$G$8,N$11,FALSE)  +  PA!$D$2 ) * IF($D83="NJ",1.07,1))/$L$10, CHOOSE($M$10,$L$9,$M$9) )</f>
        <v xml:space="preserve"> 74.64 </v>
      </c>
      <c r="L83" s="178" t="str">
        <f>IF(AND($D$11="IL",$E83="AMEREN"),"NA",TEXT((SUMPRODUCT(((LMPMain!$H$9:$H$1000)=$E83)*((LMPMain!$J$9:$J$1000)=$F83)*((LMPMain!$O$9:$O$1000)=$C83)*(LMPMain!R$9:R$1000))+(SUMPRODUCT(((Adders!$D$13:$D$101)=$E83)*((Adders!$E$13:$E$101)=$F83)*(Adders!G$13:G$101))+VLOOKUP($H83,Adders!$B$5:$G$8,L$11,FALSE)+Matrix!$D$2)*IF($D83="NJ",1.07,1))/$L$10,CHOOSE($M$10,$L$9,$M$9)))</f>
        <v xml:space="preserve"> 29.92 </v>
      </c>
      <c r="M83" s="178" t="str">
        <f>IF(AND($D$11="IL",$E83="AMEREN"),"NA",TEXT((SUMPRODUCT(((LMPMain!$H$9:$H$1000)=$E83)*((LMPMain!$J$9:$J$1000)=$F83)*((LMPMain!$O$9:$O$1000)=$C83)*(LMPMain!S$9:S$1000))+(SUMPRODUCT(((Adders!$D$13:$D$101)=$E83)*((Adders!$E$13:$E$101)=$F83)*(Adders!H$13:H$101))+VLOOKUP($H83,Adders!$B$5:$G$8,M$11,FALSE)+Matrix!$D$2)*IF($D83="NJ",1.07,1))/$L$10,CHOOSE($M$10,$L$9,$M$9)))</f>
        <v xml:space="preserve"> 29.60 </v>
      </c>
      <c r="N83" s="179" t="str">
        <f>IF(AND($D$11="IL",$E83="AMEREN"),"NA",TEXT((SUMPRODUCT(((LMPMain!$H$9:$H$1000)=$E83)*((LMPMain!$J$9:$J$1000)=$F83)*((LMPMain!$O$9:$O$1000)=$C83)*(LMPMain!T$9:T$1000))+(SUMPRODUCT(((Adders!$D$13:$D$101)=$E83)*((Adders!$E$13:$E$101)=$F83)*(Adders!G$13:G$101))+VLOOKUP($H83,Adders!$B$5:$G$8,N$11,FALSE)+Matrix!$D$2)*IF($D83="NJ",1.07,1))/$L$10,CHOOSE($M$10,$L$9,$M$9)))</f>
        <v xml:space="preserve"> 29.96 </v>
      </c>
      <c r="O83" s="112"/>
    </row>
    <row r="84" spans="2:15" x14ac:dyDescent="0.25">
      <c r="B84" s="160" t="s">
        <v>665</v>
      </c>
      <c r="C84" s="131">
        <f t="shared" si="1"/>
        <v>42491</v>
      </c>
      <c r="D84" s="132" t="s">
        <v>6</v>
      </c>
      <c r="E84" s="133" t="s">
        <v>8</v>
      </c>
      <c r="F84" s="132" t="s">
        <v>9</v>
      </c>
      <c r="G84" s="133" t="str">
        <f t="shared" si="2"/>
        <v>General Service Large</v>
      </c>
      <c r="H84" s="134" t="s">
        <v>62</v>
      </c>
      <c r="I84" s="173" t="str">
        <f>TEXT(   (SUMPRODUCT( ((Main!$H$9:$H$1000)=$E84)*((Main!$J$9:$J$1000)=$F84)*((Main!$O$9:$O$1000)=$C84)*(Main!R$9:R$1000) ) +  ( SUMPRODUCT( ((Adders!$D$13:$D$101)=$E84)*((Adders!$E$13:$E$101)=$F84)*(Adders!G$13:G$101)) + VLOOKUP($H84,Adders!$B$5:$G$8,L$11,FALSE)  +  PA!$D$2 ) * IF($D84="NJ",1.07,1))/$L$10, CHOOSE($M$10,$L$9,$M$9) )</f>
        <v xml:space="preserve"> 72.59 </v>
      </c>
      <c r="J84" s="173" t="str">
        <f>TEXT(   (SUMPRODUCT( ((Main!$H$9:$H$1000)=$E84)*((Main!$J$9:$J$1000)=$F84)*((Main!$O$9:$O$1000)=$C84)*(Main!S$9:S$1000) ) +  ( SUMPRODUCT( ((Adders!$D$13:$D$101)=$E84)*((Adders!$E$13:$E$101)=$F84)*(Adders!H$13:H$101)) + VLOOKUP($H84,Adders!$B$5:$G$8,M$11,FALSE)  +  PA!$D$2 ) * IF($D84="NJ",1.07,1))/$L$10, CHOOSE($M$10,$L$9,$M$9) )</f>
        <v xml:space="preserve"> 71.79 </v>
      </c>
      <c r="K84" s="174" t="str">
        <f>TEXT(   (SUMPRODUCT( ((Main!$H$9:$H$1000)=$E84)*((Main!$J$9:$J$1000)=$F84)*((Main!$O$9:$O$1000)=$C84)*(Main!T$9:T$1000) ) +  ( SUMPRODUCT( ((Adders!$D$13:$D$101)=$E84)*((Adders!$E$13:$E$101)=$F84)*(Adders!I$13:I$101)) + VLOOKUP($H84,Adders!$B$5:$G$8,N$11,FALSE)  +  PA!$D$2 ) * IF($D84="NJ",1.07,1))/$L$10, CHOOSE($M$10,$L$9,$M$9) )</f>
        <v xml:space="preserve"> 73.04 </v>
      </c>
      <c r="L84" s="173" t="str">
        <f>IF(AND($D$11="IL",$E84="AMEREN"),"NA",TEXT((SUMPRODUCT(((LMPMain!$H$9:$H$1000)=$E84)*((LMPMain!$J$9:$J$1000)=$F84)*((LMPMain!$O$9:$O$1000)=$C84)*(LMPMain!R$9:R$1000))+(SUMPRODUCT(((Adders!$D$13:$D$101)=$E84)*((Adders!$E$13:$E$101)=$F84)*(Adders!G$13:G$101))+VLOOKUP($H84,Adders!$B$5:$G$8,L$11,FALSE)+Matrix!$D$2)*IF($D84="NJ",1.07,1))/$L$10,CHOOSE($M$10,$L$9,$M$9)))</f>
        <v xml:space="preserve"> 28.32 </v>
      </c>
      <c r="M84" s="173" t="str">
        <f>IF(AND($D$11="IL",$E84="AMEREN"),"NA",TEXT((SUMPRODUCT(((LMPMain!$H$9:$H$1000)=$E84)*((LMPMain!$J$9:$J$1000)=$F84)*((LMPMain!$O$9:$O$1000)=$C84)*(LMPMain!S$9:S$1000))+(SUMPRODUCT(((Adders!$D$13:$D$101)=$E84)*((Adders!$E$13:$E$101)=$F84)*(Adders!H$13:H$101))+VLOOKUP($H84,Adders!$B$5:$G$8,M$11,FALSE)+Matrix!$D$2)*IF($D84="NJ",1.07,1))/$L$10,CHOOSE($M$10,$L$9,$M$9)))</f>
        <v xml:space="preserve"> 28.00 </v>
      </c>
      <c r="N84" s="174" t="str">
        <f>IF(AND($D$11="IL",$E84="AMEREN"),"NA",TEXT((SUMPRODUCT(((LMPMain!$H$9:$H$1000)=$E84)*((LMPMain!$J$9:$J$1000)=$F84)*((LMPMain!$O$9:$O$1000)=$C84)*(LMPMain!T$9:T$1000))+(SUMPRODUCT(((Adders!$D$13:$D$101)=$E84)*((Adders!$E$13:$E$101)=$F84)*(Adders!G$13:G$101))+VLOOKUP($H84,Adders!$B$5:$G$8,N$11,FALSE)+Matrix!$D$2)*IF($D84="NJ",1.07,1))/$L$10,CHOOSE($M$10,$L$9,$M$9)))</f>
        <v xml:space="preserve"> 28.36 </v>
      </c>
      <c r="O84" s="112"/>
    </row>
    <row r="85" spans="2:15" x14ac:dyDescent="0.25">
      <c r="B85" s="160" t="s">
        <v>665</v>
      </c>
      <c r="C85" s="135">
        <f t="shared" si="1"/>
        <v>42491</v>
      </c>
      <c r="D85" s="136" t="s">
        <v>6</v>
      </c>
      <c r="E85" s="137" t="s">
        <v>8</v>
      </c>
      <c r="F85" s="136" t="s">
        <v>9</v>
      </c>
      <c r="G85" s="137" t="str">
        <f t="shared" si="2"/>
        <v>General Service Large</v>
      </c>
      <c r="H85" s="138" t="s">
        <v>690</v>
      </c>
      <c r="I85" s="176" t="str">
        <f>TEXT(   (SUMPRODUCT( ((Main!$H$9:$H$1000)=$E85)*((Main!$J$9:$J$1000)=$F85)*((Main!$O$9:$O$1000)=$C85)*(Main!R$9:R$1000) ) +  ( SUMPRODUCT( ((Adders!$D$13:$D$101)=$E85)*((Adders!$E$13:$E$101)=$F85)*(Adders!G$13:G$101)) + VLOOKUP($H85,Adders!$B$5:$G$8,L$11,FALSE)  +  PA!$D$2 ) * IF($D85="NJ",1.07,1))/$L$10, CHOOSE($M$10,$L$9,$M$9) )</f>
        <v xml:space="preserve"> 71.54 </v>
      </c>
      <c r="J85" s="176" t="str">
        <f>TEXT(   (SUMPRODUCT( ((Main!$H$9:$H$1000)=$E85)*((Main!$J$9:$J$1000)=$F85)*((Main!$O$9:$O$1000)=$C85)*(Main!S$9:S$1000) ) +  ( SUMPRODUCT( ((Adders!$D$13:$D$101)=$E85)*((Adders!$E$13:$E$101)=$F85)*(Adders!H$13:H$101)) + VLOOKUP($H85,Adders!$B$5:$G$8,M$11,FALSE)  +  PA!$D$2 ) * IF($D85="NJ",1.07,1))/$L$10, CHOOSE($M$10,$L$9,$M$9) )</f>
        <v xml:space="preserve"> 70.74 </v>
      </c>
      <c r="K85" s="177" t="str">
        <f>TEXT(   (SUMPRODUCT( ((Main!$H$9:$H$1000)=$E85)*((Main!$J$9:$J$1000)=$F85)*((Main!$O$9:$O$1000)=$C85)*(Main!T$9:T$1000) ) +  ( SUMPRODUCT( ((Adders!$D$13:$D$101)=$E85)*((Adders!$E$13:$E$101)=$F85)*(Adders!I$13:I$101)) + VLOOKUP($H85,Adders!$B$5:$G$8,N$11,FALSE)  +  PA!$D$2 ) * IF($D85="NJ",1.07,1))/$L$10, CHOOSE($M$10,$L$9,$M$9) )</f>
        <v xml:space="preserve"> 71.99 </v>
      </c>
      <c r="L85" s="176" t="str">
        <f>IF(AND($D$11="IL",$E85="AMEREN"),"NA",TEXT((SUMPRODUCT(((LMPMain!$H$9:$H$1000)=$E85)*((LMPMain!$J$9:$J$1000)=$F85)*((LMPMain!$O$9:$O$1000)=$C85)*(LMPMain!R$9:R$1000))+(SUMPRODUCT(((Adders!$D$13:$D$101)=$E85)*((Adders!$E$13:$E$101)=$F85)*(Adders!G$13:G$101))+VLOOKUP($H85,Adders!$B$5:$G$8,L$11,FALSE)+Matrix!$D$2)*IF($D85="NJ",1.07,1))/$L$10,CHOOSE($M$10,$L$9,$M$9)))</f>
        <v xml:space="preserve"> 27.27 </v>
      </c>
      <c r="M85" s="176" t="str">
        <f>IF(AND($D$11="IL",$E85="AMEREN"),"NA",TEXT((SUMPRODUCT(((LMPMain!$H$9:$H$1000)=$E85)*((LMPMain!$J$9:$J$1000)=$F85)*((LMPMain!$O$9:$O$1000)=$C85)*(LMPMain!S$9:S$1000))+(SUMPRODUCT(((Adders!$D$13:$D$101)=$E85)*((Adders!$E$13:$E$101)=$F85)*(Adders!H$13:H$101))+VLOOKUP($H85,Adders!$B$5:$G$8,M$11,FALSE)+Matrix!$D$2)*IF($D85="NJ",1.07,1))/$L$10,CHOOSE($M$10,$L$9,$M$9)))</f>
        <v xml:space="preserve"> 26.95 </v>
      </c>
      <c r="N85" s="177" t="str">
        <f>IF(AND($D$11="IL",$E85="AMEREN"),"NA",TEXT((SUMPRODUCT(((LMPMain!$H$9:$H$1000)=$E85)*((LMPMain!$J$9:$J$1000)=$F85)*((LMPMain!$O$9:$O$1000)=$C85)*(LMPMain!T$9:T$1000))+(SUMPRODUCT(((Adders!$D$13:$D$101)=$E85)*((Adders!$E$13:$E$101)=$F85)*(Adders!G$13:G$101))+VLOOKUP($H85,Adders!$B$5:$G$8,N$11,FALSE)+Matrix!$D$2)*IF($D85="NJ",1.07,1))/$L$10,CHOOSE($M$10,$L$9,$M$9)))</f>
        <v xml:space="preserve"> 27.31 </v>
      </c>
      <c r="O85" s="112"/>
    </row>
    <row r="86" spans="2:15" x14ac:dyDescent="0.25">
      <c r="B86" s="160" t="s">
        <v>666</v>
      </c>
      <c r="C86" s="127">
        <f t="shared" si="1"/>
        <v>42156</v>
      </c>
      <c r="D86" s="128" t="s">
        <v>6</v>
      </c>
      <c r="E86" s="129" t="s">
        <v>8</v>
      </c>
      <c r="F86" s="128" t="s">
        <v>10</v>
      </c>
      <c r="G86" s="129" t="str">
        <f>VLOOKUP(SUMPRODUCT( ((LMPMain!$H$9:$H$1000)=$E86)*((LMPMain!$J$9:$J$1000)=$F86)*((LMPMain!$O$9:$O$1000)=$C86)*(LMPMain!A$9:A$1000)),LMPMain!$A$9:$K$1000,11,FALSE)</f>
        <v>General Service Medium</v>
      </c>
      <c r="H86" s="130" t="s">
        <v>61</v>
      </c>
      <c r="I86" s="178" t="str">
        <f>TEXT(   (SUMPRODUCT( ((Main!$H$9:$H$1000)=$E86)*((Main!$J$9:$J$1000)=$F86)*((Main!$O$9:$O$1000)=$C86)*(Main!R$9:R$1000) ) +  ( SUMPRODUCT( ((Adders!$D$13:$D$101)=$E86)*((Adders!$E$13:$E$101)=$F86)*(Adders!G$13:G$101)) + VLOOKUP($H86,Adders!$B$5:$G$8,L$11,FALSE)  +  PA!$D$2 ) * IF($D86="NJ",1.07,1))/$L$10, CHOOSE($M$10,$L$9,$M$9) )</f>
        <v xml:space="preserve"> 79.23 </v>
      </c>
      <c r="J86" s="178" t="str">
        <f>TEXT(   (SUMPRODUCT( ((Main!$H$9:$H$1000)=$E86)*((Main!$J$9:$J$1000)=$F86)*((Main!$O$9:$O$1000)=$C86)*(Main!S$9:S$1000) ) +  ( SUMPRODUCT( ((Adders!$D$13:$D$101)=$E86)*((Adders!$E$13:$E$101)=$F86)*(Adders!H$13:H$101)) + VLOOKUP($H86,Adders!$B$5:$G$8,M$11,FALSE)  +  PA!$D$2 ) * IF($D86="NJ",1.07,1))/$L$10, CHOOSE($M$10,$L$9,$M$9) )</f>
        <v xml:space="preserve"> 76.72 </v>
      </c>
      <c r="K86" s="179" t="str">
        <f>TEXT(   (SUMPRODUCT( ((Main!$H$9:$H$1000)=$E86)*((Main!$J$9:$J$1000)=$F86)*((Main!$O$9:$O$1000)=$C86)*(Main!T$9:T$1000) ) +  ( SUMPRODUCT( ((Adders!$D$13:$D$101)=$E86)*((Adders!$E$13:$E$101)=$F86)*(Adders!I$13:I$101)) + VLOOKUP($H86,Adders!$B$5:$G$8,N$11,FALSE)  +  PA!$D$2 ) * IF($D86="NJ",1.07,1))/$L$10, CHOOSE($M$10,$L$9,$M$9) )</f>
        <v xml:space="preserve"> 77.03 </v>
      </c>
      <c r="L86" s="178" t="str">
        <f>IF(AND($D$11="IL",$E86="AMEREN"),"NA",TEXT((SUMPRODUCT(((LMPMain!$H$9:$H$1000)=$E86)*((LMPMain!$J$9:$J$1000)=$F86)*((LMPMain!$O$9:$O$1000)=$C86)*(LMPMain!R$9:R$1000))+(SUMPRODUCT(((Adders!$D$13:$D$101)=$E86)*((Adders!$E$13:$E$101)=$F86)*(Adders!G$13:G$101))+VLOOKUP($H86,Adders!$B$5:$G$8,L$11,FALSE)+Matrix!$D$2)*IF($D86="NJ",1.07,1))/$L$10,CHOOSE($M$10,$L$9,$M$9)))</f>
        <v xml:space="preserve"> 34.94 </v>
      </c>
      <c r="M86" s="178" t="str">
        <f>IF(AND($D$11="IL",$E86="AMEREN"),"NA",TEXT((SUMPRODUCT(((LMPMain!$H$9:$H$1000)=$E86)*((LMPMain!$J$9:$J$1000)=$F86)*((LMPMain!$O$9:$O$1000)=$C86)*(LMPMain!S$9:S$1000))+(SUMPRODUCT(((Adders!$D$13:$D$101)=$E86)*((Adders!$E$13:$E$101)=$F86)*(Adders!H$13:H$101))+VLOOKUP($H86,Adders!$B$5:$G$8,M$11,FALSE)+Matrix!$D$2)*IF($D86="NJ",1.07,1))/$L$10,CHOOSE($M$10,$L$9,$M$9)))</f>
        <v xml:space="preserve"> 33.17 </v>
      </c>
      <c r="N86" s="179" t="str">
        <f>IF(AND($D$11="IL",$E86="AMEREN"),"NA",TEXT((SUMPRODUCT(((LMPMain!$H$9:$H$1000)=$E86)*((LMPMain!$J$9:$J$1000)=$F86)*((LMPMain!$O$9:$O$1000)=$C86)*(LMPMain!T$9:T$1000))+(SUMPRODUCT(((Adders!$D$13:$D$101)=$E86)*((Adders!$E$13:$E$101)=$F86)*(Adders!G$13:G$101))+VLOOKUP($H86,Adders!$B$5:$G$8,N$11,FALSE)+Matrix!$D$2)*IF($D86="NJ",1.07,1))/$L$10,CHOOSE($M$10,$L$9,$M$9)))</f>
        <v xml:space="preserve"> 32.79 </v>
      </c>
      <c r="O86" s="112"/>
    </row>
    <row r="87" spans="2:15" x14ac:dyDescent="0.25">
      <c r="B87" s="160" t="s">
        <v>666</v>
      </c>
      <c r="C87" s="131">
        <f t="shared" si="1"/>
        <v>42156</v>
      </c>
      <c r="D87" s="132" t="s">
        <v>6</v>
      </c>
      <c r="E87" s="133" t="s">
        <v>8</v>
      </c>
      <c r="F87" s="132" t="s">
        <v>10</v>
      </c>
      <c r="G87" s="133" t="str">
        <f>G86</f>
        <v>General Service Medium</v>
      </c>
      <c r="H87" s="134" t="s">
        <v>62</v>
      </c>
      <c r="I87" s="173" t="str">
        <f>TEXT(   (SUMPRODUCT( ((Main!$H$9:$H$1000)=$E87)*((Main!$J$9:$J$1000)=$F87)*((Main!$O$9:$O$1000)=$C87)*(Main!R$9:R$1000) ) +  ( SUMPRODUCT( ((Adders!$D$13:$D$101)=$E87)*((Adders!$E$13:$E$101)=$F87)*(Adders!G$13:G$101)) + VLOOKUP($H87,Adders!$B$5:$G$8,L$11,FALSE)  +  PA!$D$2 ) * IF($D87="NJ",1.07,1))/$L$10, CHOOSE($M$10,$L$9,$M$9) )</f>
        <v xml:space="preserve"> 77.63 </v>
      </c>
      <c r="J87" s="173" t="str">
        <f>TEXT(   (SUMPRODUCT( ((Main!$H$9:$H$1000)=$E87)*((Main!$J$9:$J$1000)=$F87)*((Main!$O$9:$O$1000)=$C87)*(Main!S$9:S$1000) ) +  ( SUMPRODUCT( ((Adders!$D$13:$D$101)=$E87)*((Adders!$E$13:$E$101)=$F87)*(Adders!H$13:H$101)) + VLOOKUP($H87,Adders!$B$5:$G$8,M$11,FALSE)  +  PA!$D$2 ) * IF($D87="NJ",1.07,1))/$L$10, CHOOSE($M$10,$L$9,$M$9) )</f>
        <v xml:space="preserve"> 75.12 </v>
      </c>
      <c r="K87" s="174" t="str">
        <f>TEXT(   (SUMPRODUCT( ((Main!$H$9:$H$1000)=$E87)*((Main!$J$9:$J$1000)=$F87)*((Main!$O$9:$O$1000)=$C87)*(Main!T$9:T$1000) ) +  ( SUMPRODUCT( ((Adders!$D$13:$D$101)=$E87)*((Adders!$E$13:$E$101)=$F87)*(Adders!I$13:I$101)) + VLOOKUP($H87,Adders!$B$5:$G$8,N$11,FALSE)  +  PA!$D$2 ) * IF($D87="NJ",1.07,1))/$L$10, CHOOSE($M$10,$L$9,$M$9) )</f>
        <v xml:space="preserve"> 75.43 </v>
      </c>
      <c r="L87" s="173" t="str">
        <f>IF(AND($D$11="IL",$E87="AMEREN"),"NA",TEXT((SUMPRODUCT(((LMPMain!$H$9:$H$1000)=$E87)*((LMPMain!$J$9:$J$1000)=$F87)*((LMPMain!$O$9:$O$1000)=$C87)*(LMPMain!R$9:R$1000))+(SUMPRODUCT(((Adders!$D$13:$D$101)=$E87)*((Adders!$E$13:$E$101)=$F87)*(Adders!G$13:G$101))+VLOOKUP($H87,Adders!$B$5:$G$8,L$11,FALSE)+Matrix!$D$2)*IF($D87="NJ",1.07,1))/$L$10,CHOOSE($M$10,$L$9,$M$9)))</f>
        <v xml:space="preserve"> 33.34 </v>
      </c>
      <c r="M87" s="173" t="str">
        <f>IF(AND($D$11="IL",$E87="AMEREN"),"NA",TEXT((SUMPRODUCT(((LMPMain!$H$9:$H$1000)=$E87)*((LMPMain!$J$9:$J$1000)=$F87)*((LMPMain!$O$9:$O$1000)=$C87)*(LMPMain!S$9:S$1000))+(SUMPRODUCT(((Adders!$D$13:$D$101)=$E87)*((Adders!$E$13:$E$101)=$F87)*(Adders!H$13:H$101))+VLOOKUP($H87,Adders!$B$5:$G$8,M$11,FALSE)+Matrix!$D$2)*IF($D87="NJ",1.07,1))/$L$10,CHOOSE($M$10,$L$9,$M$9)))</f>
        <v xml:space="preserve"> 31.57 </v>
      </c>
      <c r="N87" s="174" t="str">
        <f>IF(AND($D$11="IL",$E87="AMEREN"),"NA",TEXT((SUMPRODUCT(((LMPMain!$H$9:$H$1000)=$E87)*((LMPMain!$J$9:$J$1000)=$F87)*((LMPMain!$O$9:$O$1000)=$C87)*(LMPMain!T$9:T$1000))+(SUMPRODUCT(((Adders!$D$13:$D$101)=$E87)*((Adders!$E$13:$E$101)=$F87)*(Adders!G$13:G$101))+VLOOKUP($H87,Adders!$B$5:$G$8,N$11,FALSE)+Matrix!$D$2)*IF($D87="NJ",1.07,1))/$L$10,CHOOSE($M$10,$L$9,$M$9)))</f>
        <v xml:space="preserve"> 31.19 </v>
      </c>
      <c r="O87" s="112"/>
    </row>
    <row r="88" spans="2:15" x14ac:dyDescent="0.25">
      <c r="B88" s="160" t="s">
        <v>666</v>
      </c>
      <c r="C88" s="135">
        <f t="shared" si="1"/>
        <v>42156</v>
      </c>
      <c r="D88" s="136" t="s">
        <v>6</v>
      </c>
      <c r="E88" s="137" t="s">
        <v>8</v>
      </c>
      <c r="F88" s="136" t="s">
        <v>10</v>
      </c>
      <c r="G88" s="137" t="str">
        <f>G87</f>
        <v>General Service Medium</v>
      </c>
      <c r="H88" s="138" t="s">
        <v>690</v>
      </c>
      <c r="I88" s="176" t="str">
        <f>TEXT(   (SUMPRODUCT( ((Main!$H$9:$H$1000)=$E88)*((Main!$J$9:$J$1000)=$F88)*((Main!$O$9:$O$1000)=$C88)*(Main!R$9:R$1000) ) +  ( SUMPRODUCT( ((Adders!$D$13:$D$101)=$E88)*((Adders!$E$13:$E$101)=$F88)*(Adders!G$13:G$101)) + VLOOKUP($H88,Adders!$B$5:$G$8,L$11,FALSE)  +  PA!$D$2 ) * IF($D88="NJ",1.07,1))/$L$10, CHOOSE($M$10,$L$9,$M$9) )</f>
        <v xml:space="preserve"> 76.58 </v>
      </c>
      <c r="J88" s="176" t="str">
        <f>TEXT(   (SUMPRODUCT( ((Main!$H$9:$H$1000)=$E88)*((Main!$J$9:$J$1000)=$F88)*((Main!$O$9:$O$1000)=$C88)*(Main!S$9:S$1000) ) +  ( SUMPRODUCT( ((Adders!$D$13:$D$101)=$E88)*((Adders!$E$13:$E$101)=$F88)*(Adders!H$13:H$101)) + VLOOKUP($H88,Adders!$B$5:$G$8,M$11,FALSE)  +  PA!$D$2 ) * IF($D88="NJ",1.07,1))/$L$10, CHOOSE($M$10,$L$9,$M$9) )</f>
        <v xml:space="preserve"> 74.07 </v>
      </c>
      <c r="K88" s="177" t="str">
        <f>TEXT(   (SUMPRODUCT( ((Main!$H$9:$H$1000)=$E88)*((Main!$J$9:$J$1000)=$F88)*((Main!$O$9:$O$1000)=$C88)*(Main!T$9:T$1000) ) +  ( SUMPRODUCT( ((Adders!$D$13:$D$101)=$E88)*((Adders!$E$13:$E$101)=$F88)*(Adders!I$13:I$101)) + VLOOKUP($H88,Adders!$B$5:$G$8,N$11,FALSE)  +  PA!$D$2 ) * IF($D88="NJ",1.07,1))/$L$10, CHOOSE($M$10,$L$9,$M$9) )</f>
        <v xml:space="preserve"> 74.38 </v>
      </c>
      <c r="L88" s="176" t="str">
        <f>IF(AND($D$11="IL",$E88="AMEREN"),"NA",TEXT((SUMPRODUCT(((LMPMain!$H$9:$H$1000)=$E88)*((LMPMain!$J$9:$J$1000)=$F88)*((LMPMain!$O$9:$O$1000)=$C88)*(LMPMain!R$9:R$1000))+(SUMPRODUCT(((Adders!$D$13:$D$101)=$E88)*((Adders!$E$13:$E$101)=$F88)*(Adders!G$13:G$101))+VLOOKUP($H88,Adders!$B$5:$G$8,L$11,FALSE)+Matrix!$D$2)*IF($D88="NJ",1.07,1))/$L$10,CHOOSE($M$10,$L$9,$M$9)))</f>
        <v xml:space="preserve"> 32.29 </v>
      </c>
      <c r="M88" s="176" t="str">
        <f>IF(AND($D$11="IL",$E88="AMEREN"),"NA",TEXT((SUMPRODUCT(((LMPMain!$H$9:$H$1000)=$E88)*((LMPMain!$J$9:$J$1000)=$F88)*((LMPMain!$O$9:$O$1000)=$C88)*(LMPMain!S$9:S$1000))+(SUMPRODUCT(((Adders!$D$13:$D$101)=$E88)*((Adders!$E$13:$E$101)=$F88)*(Adders!H$13:H$101))+VLOOKUP($H88,Adders!$B$5:$G$8,M$11,FALSE)+Matrix!$D$2)*IF($D88="NJ",1.07,1))/$L$10,CHOOSE($M$10,$L$9,$M$9)))</f>
        <v xml:space="preserve"> 30.52 </v>
      </c>
      <c r="N88" s="177" t="str">
        <f>IF(AND($D$11="IL",$E88="AMEREN"),"NA",TEXT((SUMPRODUCT(((LMPMain!$H$9:$H$1000)=$E88)*((LMPMain!$J$9:$J$1000)=$F88)*((LMPMain!$O$9:$O$1000)=$C88)*(LMPMain!T$9:T$1000))+(SUMPRODUCT(((Adders!$D$13:$D$101)=$E88)*((Adders!$E$13:$E$101)=$F88)*(Adders!G$13:G$101))+VLOOKUP($H88,Adders!$B$5:$G$8,N$11,FALSE)+Matrix!$D$2)*IF($D88="NJ",1.07,1))/$L$10,CHOOSE($M$10,$L$9,$M$9)))</f>
        <v xml:space="preserve"> 30.14 </v>
      </c>
      <c r="O88" s="112"/>
    </row>
    <row r="89" spans="2:15" x14ac:dyDescent="0.25">
      <c r="B89" s="160" t="s">
        <v>666</v>
      </c>
      <c r="C89" s="127">
        <f t="shared" si="1"/>
        <v>42186</v>
      </c>
      <c r="D89" s="128" t="s">
        <v>6</v>
      </c>
      <c r="E89" s="129" t="s">
        <v>8</v>
      </c>
      <c r="F89" s="128" t="s">
        <v>10</v>
      </c>
      <c r="G89" s="129" t="str">
        <f t="shared" si="2"/>
        <v>General Service Medium</v>
      </c>
      <c r="H89" s="130" t="s">
        <v>61</v>
      </c>
      <c r="I89" s="178" t="str">
        <f>TEXT(   (SUMPRODUCT( ((Main!$H$9:$H$1000)=$E89)*((Main!$J$9:$J$1000)=$F89)*((Main!$O$9:$O$1000)=$C89)*(Main!R$9:R$1000) ) +  ( SUMPRODUCT( ((Adders!$D$13:$D$101)=$E89)*((Adders!$E$13:$E$101)=$F89)*(Adders!G$13:G$101)) + VLOOKUP($H89,Adders!$B$5:$G$8,L$11,FALSE)  +  PA!$D$2 ) * IF($D89="NJ",1.07,1))/$L$10, CHOOSE($M$10,$L$9,$M$9) )</f>
        <v xml:space="preserve"> 78.88 </v>
      </c>
      <c r="J89" s="178" t="str">
        <f>TEXT(   (SUMPRODUCT( ((Main!$H$9:$H$1000)=$E89)*((Main!$J$9:$J$1000)=$F89)*((Main!$O$9:$O$1000)=$C89)*(Main!S$9:S$1000) ) +  ( SUMPRODUCT( ((Adders!$D$13:$D$101)=$E89)*((Adders!$E$13:$E$101)=$F89)*(Adders!H$13:H$101)) + VLOOKUP($H89,Adders!$B$5:$G$8,M$11,FALSE)  +  PA!$D$2 ) * IF($D89="NJ",1.07,1))/$L$10, CHOOSE($M$10,$L$9,$M$9) )</f>
        <v xml:space="preserve"> 76.52 </v>
      </c>
      <c r="K89" s="179" t="str">
        <f>TEXT(   (SUMPRODUCT( ((Main!$H$9:$H$1000)=$E89)*((Main!$J$9:$J$1000)=$F89)*((Main!$O$9:$O$1000)=$C89)*(Main!T$9:T$1000) ) +  ( SUMPRODUCT( ((Adders!$D$13:$D$101)=$E89)*((Adders!$E$13:$E$101)=$F89)*(Adders!I$13:I$101)) + VLOOKUP($H89,Adders!$B$5:$G$8,N$11,FALSE)  +  PA!$D$2 ) * IF($D89="NJ",1.07,1))/$L$10, CHOOSE($M$10,$L$9,$M$9) )</f>
        <v xml:space="preserve"> 76.85 </v>
      </c>
      <c r="L89" s="178" t="str">
        <f>IF(AND($D$11="IL",$E89="AMEREN"),"NA",TEXT((SUMPRODUCT(((LMPMain!$H$9:$H$1000)=$E89)*((LMPMain!$J$9:$J$1000)=$F89)*((LMPMain!$O$9:$O$1000)=$C89)*(LMPMain!R$9:R$1000))+(SUMPRODUCT(((Adders!$D$13:$D$101)=$E89)*((Adders!$E$13:$E$101)=$F89)*(Adders!G$13:G$101))+VLOOKUP($H89,Adders!$B$5:$G$8,L$11,FALSE)+Matrix!$D$2)*IF($D89="NJ",1.07,1))/$L$10,CHOOSE($M$10,$L$9,$M$9)))</f>
        <v xml:space="preserve"> 34.57 </v>
      </c>
      <c r="M89" s="178" t="str">
        <f>IF(AND($D$11="IL",$E89="AMEREN"),"NA",TEXT((SUMPRODUCT(((LMPMain!$H$9:$H$1000)=$E89)*((LMPMain!$J$9:$J$1000)=$F89)*((LMPMain!$O$9:$O$1000)=$C89)*(LMPMain!S$9:S$1000))+(SUMPRODUCT(((Adders!$D$13:$D$101)=$E89)*((Adders!$E$13:$E$101)=$F89)*(Adders!H$13:H$101))+VLOOKUP($H89,Adders!$B$5:$G$8,M$11,FALSE)+Matrix!$D$2)*IF($D89="NJ",1.07,1))/$L$10,CHOOSE($M$10,$L$9,$M$9)))</f>
        <v xml:space="preserve"> 33.01 </v>
      </c>
      <c r="N89" s="179" t="str">
        <f>IF(AND($D$11="IL",$E89="AMEREN"),"NA",TEXT((SUMPRODUCT(((LMPMain!$H$9:$H$1000)=$E89)*((LMPMain!$J$9:$J$1000)=$F89)*((LMPMain!$O$9:$O$1000)=$C89)*(LMPMain!T$9:T$1000))+(SUMPRODUCT(((Adders!$D$13:$D$101)=$E89)*((Adders!$E$13:$E$101)=$F89)*(Adders!G$13:G$101))+VLOOKUP($H89,Adders!$B$5:$G$8,N$11,FALSE)+Matrix!$D$2)*IF($D89="NJ",1.07,1))/$L$10,CHOOSE($M$10,$L$9,$M$9)))</f>
        <v xml:space="preserve"> 32.63 </v>
      </c>
      <c r="O89" s="112"/>
    </row>
    <row r="90" spans="2:15" x14ac:dyDescent="0.25">
      <c r="B90" s="160" t="s">
        <v>666</v>
      </c>
      <c r="C90" s="131">
        <f t="shared" si="1"/>
        <v>42186</v>
      </c>
      <c r="D90" s="132" t="s">
        <v>6</v>
      </c>
      <c r="E90" s="133" t="s">
        <v>8</v>
      </c>
      <c r="F90" s="132" t="s">
        <v>10</v>
      </c>
      <c r="G90" s="133" t="str">
        <f t="shared" si="2"/>
        <v>General Service Medium</v>
      </c>
      <c r="H90" s="134" t="s">
        <v>62</v>
      </c>
      <c r="I90" s="173" t="str">
        <f>TEXT(   (SUMPRODUCT( ((Main!$H$9:$H$1000)=$E90)*((Main!$J$9:$J$1000)=$F90)*((Main!$O$9:$O$1000)=$C90)*(Main!R$9:R$1000) ) +  ( SUMPRODUCT( ((Adders!$D$13:$D$101)=$E90)*((Adders!$E$13:$E$101)=$F90)*(Adders!G$13:G$101)) + VLOOKUP($H90,Adders!$B$5:$G$8,L$11,FALSE)  +  PA!$D$2 ) * IF($D90="NJ",1.07,1))/$L$10, CHOOSE($M$10,$L$9,$M$9) )</f>
        <v xml:space="preserve"> 77.28 </v>
      </c>
      <c r="J90" s="173" t="str">
        <f>TEXT(   (SUMPRODUCT( ((Main!$H$9:$H$1000)=$E90)*((Main!$J$9:$J$1000)=$F90)*((Main!$O$9:$O$1000)=$C90)*(Main!S$9:S$1000) ) +  ( SUMPRODUCT( ((Adders!$D$13:$D$101)=$E90)*((Adders!$E$13:$E$101)=$F90)*(Adders!H$13:H$101)) + VLOOKUP($H90,Adders!$B$5:$G$8,M$11,FALSE)  +  PA!$D$2 ) * IF($D90="NJ",1.07,1))/$L$10, CHOOSE($M$10,$L$9,$M$9) )</f>
        <v xml:space="preserve"> 74.92 </v>
      </c>
      <c r="K90" s="174" t="str">
        <f>TEXT(   (SUMPRODUCT( ((Main!$H$9:$H$1000)=$E90)*((Main!$J$9:$J$1000)=$F90)*((Main!$O$9:$O$1000)=$C90)*(Main!T$9:T$1000) ) +  ( SUMPRODUCT( ((Adders!$D$13:$D$101)=$E90)*((Adders!$E$13:$E$101)=$F90)*(Adders!I$13:I$101)) + VLOOKUP($H90,Adders!$B$5:$G$8,N$11,FALSE)  +  PA!$D$2 ) * IF($D90="NJ",1.07,1))/$L$10, CHOOSE($M$10,$L$9,$M$9) )</f>
        <v xml:space="preserve"> 75.25 </v>
      </c>
      <c r="L90" s="173" t="str">
        <f>IF(AND($D$11="IL",$E90="AMEREN"),"NA",TEXT((SUMPRODUCT(((LMPMain!$H$9:$H$1000)=$E90)*((LMPMain!$J$9:$J$1000)=$F90)*((LMPMain!$O$9:$O$1000)=$C90)*(LMPMain!R$9:R$1000))+(SUMPRODUCT(((Adders!$D$13:$D$101)=$E90)*((Adders!$E$13:$E$101)=$F90)*(Adders!G$13:G$101))+VLOOKUP($H90,Adders!$B$5:$G$8,L$11,FALSE)+Matrix!$D$2)*IF($D90="NJ",1.07,1))/$L$10,CHOOSE($M$10,$L$9,$M$9)))</f>
        <v xml:space="preserve"> 32.97 </v>
      </c>
      <c r="M90" s="173" t="str">
        <f>IF(AND($D$11="IL",$E90="AMEREN"),"NA",TEXT((SUMPRODUCT(((LMPMain!$H$9:$H$1000)=$E90)*((LMPMain!$J$9:$J$1000)=$F90)*((LMPMain!$O$9:$O$1000)=$C90)*(LMPMain!S$9:S$1000))+(SUMPRODUCT(((Adders!$D$13:$D$101)=$E90)*((Adders!$E$13:$E$101)=$F90)*(Adders!H$13:H$101))+VLOOKUP($H90,Adders!$B$5:$G$8,M$11,FALSE)+Matrix!$D$2)*IF($D90="NJ",1.07,1))/$L$10,CHOOSE($M$10,$L$9,$M$9)))</f>
        <v xml:space="preserve"> 31.41 </v>
      </c>
      <c r="N90" s="174" t="str">
        <f>IF(AND($D$11="IL",$E90="AMEREN"),"NA",TEXT((SUMPRODUCT(((LMPMain!$H$9:$H$1000)=$E90)*((LMPMain!$J$9:$J$1000)=$F90)*((LMPMain!$O$9:$O$1000)=$C90)*(LMPMain!T$9:T$1000))+(SUMPRODUCT(((Adders!$D$13:$D$101)=$E90)*((Adders!$E$13:$E$101)=$F90)*(Adders!G$13:G$101))+VLOOKUP($H90,Adders!$B$5:$G$8,N$11,FALSE)+Matrix!$D$2)*IF($D90="NJ",1.07,1))/$L$10,CHOOSE($M$10,$L$9,$M$9)))</f>
        <v xml:space="preserve"> 31.03 </v>
      </c>
      <c r="O90" s="112"/>
    </row>
    <row r="91" spans="2:15" x14ac:dyDescent="0.25">
      <c r="B91" s="160" t="s">
        <v>666</v>
      </c>
      <c r="C91" s="135">
        <f t="shared" si="1"/>
        <v>42186</v>
      </c>
      <c r="D91" s="136" t="s">
        <v>6</v>
      </c>
      <c r="E91" s="137" t="s">
        <v>8</v>
      </c>
      <c r="F91" s="136" t="s">
        <v>10</v>
      </c>
      <c r="G91" s="137" t="str">
        <f t="shared" si="2"/>
        <v>General Service Medium</v>
      </c>
      <c r="H91" s="138" t="s">
        <v>690</v>
      </c>
      <c r="I91" s="176" t="str">
        <f>TEXT(   (SUMPRODUCT( ((Main!$H$9:$H$1000)=$E91)*((Main!$J$9:$J$1000)=$F91)*((Main!$O$9:$O$1000)=$C91)*(Main!R$9:R$1000) ) +  ( SUMPRODUCT( ((Adders!$D$13:$D$101)=$E91)*((Adders!$E$13:$E$101)=$F91)*(Adders!G$13:G$101)) + VLOOKUP($H91,Adders!$B$5:$G$8,L$11,FALSE)  +  PA!$D$2 ) * IF($D91="NJ",1.07,1))/$L$10, CHOOSE($M$10,$L$9,$M$9) )</f>
        <v xml:space="preserve"> 76.23 </v>
      </c>
      <c r="J91" s="176" t="str">
        <f>TEXT(   (SUMPRODUCT( ((Main!$H$9:$H$1000)=$E91)*((Main!$J$9:$J$1000)=$F91)*((Main!$O$9:$O$1000)=$C91)*(Main!S$9:S$1000) ) +  ( SUMPRODUCT( ((Adders!$D$13:$D$101)=$E91)*((Adders!$E$13:$E$101)=$F91)*(Adders!H$13:H$101)) + VLOOKUP($H91,Adders!$B$5:$G$8,M$11,FALSE)  +  PA!$D$2 ) * IF($D91="NJ",1.07,1))/$L$10, CHOOSE($M$10,$L$9,$M$9) )</f>
        <v xml:space="preserve"> 73.87 </v>
      </c>
      <c r="K91" s="177" t="str">
        <f>TEXT(   (SUMPRODUCT( ((Main!$H$9:$H$1000)=$E91)*((Main!$J$9:$J$1000)=$F91)*((Main!$O$9:$O$1000)=$C91)*(Main!T$9:T$1000) ) +  ( SUMPRODUCT( ((Adders!$D$13:$D$101)=$E91)*((Adders!$E$13:$E$101)=$F91)*(Adders!I$13:I$101)) + VLOOKUP($H91,Adders!$B$5:$G$8,N$11,FALSE)  +  PA!$D$2 ) * IF($D91="NJ",1.07,1))/$L$10, CHOOSE($M$10,$L$9,$M$9) )</f>
        <v xml:space="preserve"> 74.20 </v>
      </c>
      <c r="L91" s="176" t="str">
        <f>IF(AND($D$11="IL",$E91="AMEREN"),"NA",TEXT((SUMPRODUCT(((LMPMain!$H$9:$H$1000)=$E91)*((LMPMain!$J$9:$J$1000)=$F91)*((LMPMain!$O$9:$O$1000)=$C91)*(LMPMain!R$9:R$1000))+(SUMPRODUCT(((Adders!$D$13:$D$101)=$E91)*((Adders!$E$13:$E$101)=$F91)*(Adders!G$13:G$101))+VLOOKUP($H91,Adders!$B$5:$G$8,L$11,FALSE)+Matrix!$D$2)*IF($D91="NJ",1.07,1))/$L$10,CHOOSE($M$10,$L$9,$M$9)))</f>
        <v xml:space="preserve"> 31.92 </v>
      </c>
      <c r="M91" s="176" t="str">
        <f>IF(AND($D$11="IL",$E91="AMEREN"),"NA",TEXT((SUMPRODUCT(((LMPMain!$H$9:$H$1000)=$E91)*((LMPMain!$J$9:$J$1000)=$F91)*((LMPMain!$O$9:$O$1000)=$C91)*(LMPMain!S$9:S$1000))+(SUMPRODUCT(((Adders!$D$13:$D$101)=$E91)*((Adders!$E$13:$E$101)=$F91)*(Adders!H$13:H$101))+VLOOKUP($H91,Adders!$B$5:$G$8,M$11,FALSE)+Matrix!$D$2)*IF($D91="NJ",1.07,1))/$L$10,CHOOSE($M$10,$L$9,$M$9)))</f>
        <v xml:space="preserve"> 30.36 </v>
      </c>
      <c r="N91" s="177" t="str">
        <f>IF(AND($D$11="IL",$E91="AMEREN"),"NA",TEXT((SUMPRODUCT(((LMPMain!$H$9:$H$1000)=$E91)*((LMPMain!$J$9:$J$1000)=$F91)*((LMPMain!$O$9:$O$1000)=$C91)*(LMPMain!T$9:T$1000))+(SUMPRODUCT(((Adders!$D$13:$D$101)=$E91)*((Adders!$E$13:$E$101)=$F91)*(Adders!G$13:G$101))+VLOOKUP($H91,Adders!$B$5:$G$8,N$11,FALSE)+Matrix!$D$2)*IF($D91="NJ",1.07,1))/$L$10,CHOOSE($M$10,$L$9,$M$9)))</f>
        <v xml:space="preserve"> 29.98 </v>
      </c>
      <c r="O91" s="112"/>
    </row>
    <row r="92" spans="2:15" x14ac:dyDescent="0.25">
      <c r="B92" s="160" t="s">
        <v>666</v>
      </c>
      <c r="C92" s="127">
        <f t="shared" si="1"/>
        <v>42217</v>
      </c>
      <c r="D92" s="128" t="s">
        <v>6</v>
      </c>
      <c r="E92" s="129" t="s">
        <v>8</v>
      </c>
      <c r="F92" s="128" t="s">
        <v>10</v>
      </c>
      <c r="G92" s="129" t="str">
        <f t="shared" si="2"/>
        <v>General Service Medium</v>
      </c>
      <c r="H92" s="130" t="s">
        <v>61</v>
      </c>
      <c r="I92" s="178" t="str">
        <f>TEXT(   (SUMPRODUCT( ((Main!$H$9:$H$1000)=$E92)*((Main!$J$9:$J$1000)=$F92)*((Main!$O$9:$O$1000)=$C92)*(Main!R$9:R$1000) ) +  ( SUMPRODUCT( ((Adders!$D$13:$D$101)=$E92)*((Adders!$E$13:$E$101)=$F92)*(Adders!G$13:G$101)) + VLOOKUP($H92,Adders!$B$5:$G$8,L$11,FALSE)  +  PA!$D$2 ) * IF($D92="NJ",1.07,1))/$L$10, CHOOSE($M$10,$L$9,$M$9) )</f>
        <v xml:space="preserve"> 78.40 </v>
      </c>
      <c r="J92" s="178" t="str">
        <f>TEXT(   (SUMPRODUCT( ((Main!$H$9:$H$1000)=$E92)*((Main!$J$9:$J$1000)=$F92)*((Main!$O$9:$O$1000)=$C92)*(Main!S$9:S$1000) ) +  ( SUMPRODUCT( ((Adders!$D$13:$D$101)=$E92)*((Adders!$E$13:$E$101)=$F92)*(Adders!H$13:H$101)) + VLOOKUP($H92,Adders!$B$5:$G$8,M$11,FALSE)  +  PA!$D$2 ) * IF($D92="NJ",1.07,1))/$L$10, CHOOSE($M$10,$L$9,$M$9) )</f>
        <v xml:space="preserve"> 76.76 </v>
      </c>
      <c r="K92" s="179" t="str">
        <f>TEXT(   (SUMPRODUCT( ((Main!$H$9:$H$1000)=$E92)*((Main!$J$9:$J$1000)=$F92)*((Main!$O$9:$O$1000)=$C92)*(Main!T$9:T$1000) ) +  ( SUMPRODUCT( ((Adders!$D$13:$D$101)=$E92)*((Adders!$E$13:$E$101)=$F92)*(Adders!I$13:I$101)) + VLOOKUP($H92,Adders!$B$5:$G$8,N$11,FALSE)  +  PA!$D$2 ) * IF($D92="NJ",1.07,1))/$L$10, CHOOSE($M$10,$L$9,$M$9) )</f>
        <v xml:space="preserve"> 76.74 </v>
      </c>
      <c r="L92" s="178" t="str">
        <f>IF(AND($D$11="IL",$E92="AMEREN"),"NA",TEXT((SUMPRODUCT(((LMPMain!$H$9:$H$1000)=$E92)*((LMPMain!$J$9:$J$1000)=$F92)*((LMPMain!$O$9:$O$1000)=$C92)*(LMPMain!R$9:R$1000))+(SUMPRODUCT(((Adders!$D$13:$D$101)=$E92)*((Adders!$E$13:$E$101)=$F92)*(Adders!G$13:G$101))+VLOOKUP($H92,Adders!$B$5:$G$8,L$11,FALSE)+Matrix!$D$2)*IF($D92="NJ",1.07,1))/$L$10,CHOOSE($M$10,$L$9,$M$9)))</f>
        <v xml:space="preserve"> 34.23 </v>
      </c>
      <c r="M92" s="178" t="str">
        <f>IF(AND($D$11="IL",$E92="AMEREN"),"NA",TEXT((SUMPRODUCT(((LMPMain!$H$9:$H$1000)=$E92)*((LMPMain!$J$9:$J$1000)=$F92)*((LMPMain!$O$9:$O$1000)=$C92)*(LMPMain!S$9:S$1000))+(SUMPRODUCT(((Adders!$D$13:$D$101)=$E92)*((Adders!$E$13:$E$101)=$F92)*(Adders!H$13:H$101))+VLOOKUP($H92,Adders!$B$5:$G$8,M$11,FALSE)+Matrix!$D$2)*IF($D92="NJ",1.07,1))/$L$10,CHOOSE($M$10,$L$9,$M$9)))</f>
        <v xml:space="preserve"> 33.02 </v>
      </c>
      <c r="N92" s="179" t="str">
        <f>IF(AND($D$11="IL",$E92="AMEREN"),"NA",TEXT((SUMPRODUCT(((LMPMain!$H$9:$H$1000)=$E92)*((LMPMain!$J$9:$J$1000)=$F92)*((LMPMain!$O$9:$O$1000)=$C92)*(LMPMain!T$9:T$1000))+(SUMPRODUCT(((Adders!$D$13:$D$101)=$E92)*((Adders!$E$13:$E$101)=$F92)*(Adders!G$13:G$101))+VLOOKUP($H92,Adders!$B$5:$G$8,N$11,FALSE)+Matrix!$D$2)*IF($D92="NJ",1.07,1))/$L$10,CHOOSE($M$10,$L$9,$M$9)))</f>
        <v xml:space="preserve"> 32.49 </v>
      </c>
      <c r="O92" s="112"/>
    </row>
    <row r="93" spans="2:15" x14ac:dyDescent="0.25">
      <c r="B93" s="160" t="s">
        <v>666</v>
      </c>
      <c r="C93" s="131">
        <f t="shared" si="1"/>
        <v>42217</v>
      </c>
      <c r="D93" s="132" t="s">
        <v>6</v>
      </c>
      <c r="E93" s="133" t="s">
        <v>8</v>
      </c>
      <c r="F93" s="132" t="s">
        <v>10</v>
      </c>
      <c r="G93" s="133" t="str">
        <f t="shared" si="2"/>
        <v>General Service Medium</v>
      </c>
      <c r="H93" s="134" t="s">
        <v>62</v>
      </c>
      <c r="I93" s="173" t="str">
        <f>TEXT(   (SUMPRODUCT( ((Main!$H$9:$H$1000)=$E93)*((Main!$J$9:$J$1000)=$F93)*((Main!$O$9:$O$1000)=$C93)*(Main!R$9:R$1000) ) +  ( SUMPRODUCT( ((Adders!$D$13:$D$101)=$E93)*((Adders!$E$13:$E$101)=$F93)*(Adders!G$13:G$101)) + VLOOKUP($H93,Adders!$B$5:$G$8,L$11,FALSE)  +  PA!$D$2 ) * IF($D93="NJ",1.07,1))/$L$10, CHOOSE($M$10,$L$9,$M$9) )</f>
        <v xml:space="preserve"> 76.80 </v>
      </c>
      <c r="J93" s="173" t="str">
        <f>TEXT(   (SUMPRODUCT( ((Main!$H$9:$H$1000)=$E93)*((Main!$J$9:$J$1000)=$F93)*((Main!$O$9:$O$1000)=$C93)*(Main!S$9:S$1000) ) +  ( SUMPRODUCT( ((Adders!$D$13:$D$101)=$E93)*((Adders!$E$13:$E$101)=$F93)*(Adders!H$13:H$101)) + VLOOKUP($H93,Adders!$B$5:$G$8,M$11,FALSE)  +  PA!$D$2 ) * IF($D93="NJ",1.07,1))/$L$10, CHOOSE($M$10,$L$9,$M$9) )</f>
        <v xml:space="preserve"> 75.16 </v>
      </c>
      <c r="K93" s="174" t="str">
        <f>TEXT(   (SUMPRODUCT( ((Main!$H$9:$H$1000)=$E93)*((Main!$J$9:$J$1000)=$F93)*((Main!$O$9:$O$1000)=$C93)*(Main!T$9:T$1000) ) +  ( SUMPRODUCT( ((Adders!$D$13:$D$101)=$E93)*((Adders!$E$13:$E$101)=$F93)*(Adders!I$13:I$101)) + VLOOKUP($H93,Adders!$B$5:$G$8,N$11,FALSE)  +  PA!$D$2 ) * IF($D93="NJ",1.07,1))/$L$10, CHOOSE($M$10,$L$9,$M$9) )</f>
        <v xml:space="preserve"> 75.14 </v>
      </c>
      <c r="L93" s="173" t="str">
        <f>IF(AND($D$11="IL",$E93="AMEREN"),"NA",TEXT((SUMPRODUCT(((LMPMain!$H$9:$H$1000)=$E93)*((LMPMain!$J$9:$J$1000)=$F93)*((LMPMain!$O$9:$O$1000)=$C93)*(LMPMain!R$9:R$1000))+(SUMPRODUCT(((Adders!$D$13:$D$101)=$E93)*((Adders!$E$13:$E$101)=$F93)*(Adders!G$13:G$101))+VLOOKUP($H93,Adders!$B$5:$G$8,L$11,FALSE)+Matrix!$D$2)*IF($D93="NJ",1.07,1))/$L$10,CHOOSE($M$10,$L$9,$M$9)))</f>
        <v xml:space="preserve"> 32.63 </v>
      </c>
      <c r="M93" s="173" t="str">
        <f>IF(AND($D$11="IL",$E93="AMEREN"),"NA",TEXT((SUMPRODUCT(((LMPMain!$H$9:$H$1000)=$E93)*((LMPMain!$J$9:$J$1000)=$F93)*((LMPMain!$O$9:$O$1000)=$C93)*(LMPMain!S$9:S$1000))+(SUMPRODUCT(((Adders!$D$13:$D$101)=$E93)*((Adders!$E$13:$E$101)=$F93)*(Adders!H$13:H$101))+VLOOKUP($H93,Adders!$B$5:$G$8,M$11,FALSE)+Matrix!$D$2)*IF($D93="NJ",1.07,1))/$L$10,CHOOSE($M$10,$L$9,$M$9)))</f>
        <v xml:space="preserve"> 31.42 </v>
      </c>
      <c r="N93" s="174" t="str">
        <f>IF(AND($D$11="IL",$E93="AMEREN"),"NA",TEXT((SUMPRODUCT(((LMPMain!$H$9:$H$1000)=$E93)*((LMPMain!$J$9:$J$1000)=$F93)*((LMPMain!$O$9:$O$1000)=$C93)*(LMPMain!T$9:T$1000))+(SUMPRODUCT(((Adders!$D$13:$D$101)=$E93)*((Adders!$E$13:$E$101)=$F93)*(Adders!G$13:G$101))+VLOOKUP($H93,Adders!$B$5:$G$8,N$11,FALSE)+Matrix!$D$2)*IF($D93="NJ",1.07,1))/$L$10,CHOOSE($M$10,$L$9,$M$9)))</f>
        <v xml:space="preserve"> 30.89 </v>
      </c>
      <c r="O93" s="112"/>
    </row>
    <row r="94" spans="2:15" x14ac:dyDescent="0.25">
      <c r="B94" s="160" t="s">
        <v>666</v>
      </c>
      <c r="C94" s="135">
        <f t="shared" si="1"/>
        <v>42217</v>
      </c>
      <c r="D94" s="136" t="s">
        <v>6</v>
      </c>
      <c r="E94" s="137" t="s">
        <v>8</v>
      </c>
      <c r="F94" s="136" t="s">
        <v>10</v>
      </c>
      <c r="G94" s="137" t="str">
        <f t="shared" si="2"/>
        <v>General Service Medium</v>
      </c>
      <c r="H94" s="138" t="s">
        <v>690</v>
      </c>
      <c r="I94" s="176" t="str">
        <f>TEXT(   (SUMPRODUCT( ((Main!$H$9:$H$1000)=$E94)*((Main!$J$9:$J$1000)=$F94)*((Main!$O$9:$O$1000)=$C94)*(Main!R$9:R$1000) ) +  ( SUMPRODUCT( ((Adders!$D$13:$D$101)=$E94)*((Adders!$E$13:$E$101)=$F94)*(Adders!G$13:G$101)) + VLOOKUP($H94,Adders!$B$5:$G$8,L$11,FALSE)  +  PA!$D$2 ) * IF($D94="NJ",1.07,1))/$L$10, CHOOSE($M$10,$L$9,$M$9) )</f>
        <v xml:space="preserve"> 75.75 </v>
      </c>
      <c r="J94" s="176" t="str">
        <f>TEXT(   (SUMPRODUCT( ((Main!$H$9:$H$1000)=$E94)*((Main!$J$9:$J$1000)=$F94)*((Main!$O$9:$O$1000)=$C94)*(Main!S$9:S$1000) ) +  ( SUMPRODUCT( ((Adders!$D$13:$D$101)=$E94)*((Adders!$E$13:$E$101)=$F94)*(Adders!H$13:H$101)) + VLOOKUP($H94,Adders!$B$5:$G$8,M$11,FALSE)  +  PA!$D$2 ) * IF($D94="NJ",1.07,1))/$L$10, CHOOSE($M$10,$L$9,$M$9) )</f>
        <v xml:space="preserve"> 74.11 </v>
      </c>
      <c r="K94" s="177" t="str">
        <f>TEXT(   (SUMPRODUCT( ((Main!$H$9:$H$1000)=$E94)*((Main!$J$9:$J$1000)=$F94)*((Main!$O$9:$O$1000)=$C94)*(Main!T$9:T$1000) ) +  ( SUMPRODUCT( ((Adders!$D$13:$D$101)=$E94)*((Adders!$E$13:$E$101)=$F94)*(Adders!I$13:I$101)) + VLOOKUP($H94,Adders!$B$5:$G$8,N$11,FALSE)  +  PA!$D$2 ) * IF($D94="NJ",1.07,1))/$L$10, CHOOSE($M$10,$L$9,$M$9) )</f>
        <v xml:space="preserve"> 74.09 </v>
      </c>
      <c r="L94" s="176" t="str">
        <f>IF(AND($D$11="IL",$E94="AMEREN"),"NA",TEXT((SUMPRODUCT(((LMPMain!$H$9:$H$1000)=$E94)*((LMPMain!$J$9:$J$1000)=$F94)*((LMPMain!$O$9:$O$1000)=$C94)*(LMPMain!R$9:R$1000))+(SUMPRODUCT(((Adders!$D$13:$D$101)=$E94)*((Adders!$E$13:$E$101)=$F94)*(Adders!G$13:G$101))+VLOOKUP($H94,Adders!$B$5:$G$8,L$11,FALSE)+Matrix!$D$2)*IF($D94="NJ",1.07,1))/$L$10,CHOOSE($M$10,$L$9,$M$9)))</f>
        <v xml:space="preserve"> 31.58 </v>
      </c>
      <c r="M94" s="176" t="str">
        <f>IF(AND($D$11="IL",$E94="AMEREN"),"NA",TEXT((SUMPRODUCT(((LMPMain!$H$9:$H$1000)=$E94)*((LMPMain!$J$9:$J$1000)=$F94)*((LMPMain!$O$9:$O$1000)=$C94)*(LMPMain!S$9:S$1000))+(SUMPRODUCT(((Adders!$D$13:$D$101)=$E94)*((Adders!$E$13:$E$101)=$F94)*(Adders!H$13:H$101))+VLOOKUP($H94,Adders!$B$5:$G$8,M$11,FALSE)+Matrix!$D$2)*IF($D94="NJ",1.07,1))/$L$10,CHOOSE($M$10,$L$9,$M$9)))</f>
        <v xml:space="preserve"> 30.37 </v>
      </c>
      <c r="N94" s="177" t="str">
        <f>IF(AND($D$11="IL",$E94="AMEREN"),"NA",TEXT((SUMPRODUCT(((LMPMain!$H$9:$H$1000)=$E94)*((LMPMain!$J$9:$J$1000)=$F94)*((LMPMain!$O$9:$O$1000)=$C94)*(LMPMain!T$9:T$1000))+(SUMPRODUCT(((Adders!$D$13:$D$101)=$E94)*((Adders!$E$13:$E$101)=$F94)*(Adders!G$13:G$101))+VLOOKUP($H94,Adders!$B$5:$G$8,N$11,FALSE)+Matrix!$D$2)*IF($D94="NJ",1.07,1))/$L$10,CHOOSE($M$10,$L$9,$M$9)))</f>
        <v xml:space="preserve"> 29.84 </v>
      </c>
      <c r="O94" s="112"/>
    </row>
    <row r="95" spans="2:15" x14ac:dyDescent="0.25">
      <c r="B95" s="160" t="s">
        <v>666</v>
      </c>
      <c r="C95" s="127">
        <f t="shared" si="1"/>
        <v>42248</v>
      </c>
      <c r="D95" s="128" t="s">
        <v>6</v>
      </c>
      <c r="E95" s="129" t="s">
        <v>8</v>
      </c>
      <c r="F95" s="128" t="s">
        <v>10</v>
      </c>
      <c r="G95" s="129" t="str">
        <f t="shared" si="2"/>
        <v>General Service Medium</v>
      </c>
      <c r="H95" s="130" t="s">
        <v>61</v>
      </c>
      <c r="I95" s="178" t="str">
        <f>TEXT(   (SUMPRODUCT( ((Main!$H$9:$H$1000)=$E95)*((Main!$J$9:$J$1000)=$F95)*((Main!$O$9:$O$1000)=$C95)*(Main!R$9:R$1000) ) +  ( SUMPRODUCT( ((Adders!$D$13:$D$101)=$E95)*((Adders!$E$13:$E$101)=$F95)*(Adders!G$13:G$101)) + VLOOKUP($H95,Adders!$B$5:$G$8,L$11,FALSE)  +  PA!$D$2 ) * IF($D95="NJ",1.07,1))/$L$10, CHOOSE($M$10,$L$9,$M$9) )</f>
        <v xml:space="preserve"> 78.16 </v>
      </c>
      <c r="J95" s="178" t="str">
        <f>TEXT(   (SUMPRODUCT( ((Main!$H$9:$H$1000)=$E95)*((Main!$J$9:$J$1000)=$F95)*((Main!$O$9:$O$1000)=$C95)*(Main!S$9:S$1000) ) +  ( SUMPRODUCT( ((Adders!$D$13:$D$101)=$E95)*((Adders!$E$13:$E$101)=$F95)*(Adders!H$13:H$101)) + VLOOKUP($H95,Adders!$B$5:$G$8,M$11,FALSE)  +  PA!$D$2 ) * IF($D95="NJ",1.07,1))/$L$10, CHOOSE($M$10,$L$9,$M$9) )</f>
        <v xml:space="preserve"> 77.15 </v>
      </c>
      <c r="K95" s="179" t="str">
        <f>TEXT(   (SUMPRODUCT( ((Main!$H$9:$H$1000)=$E95)*((Main!$J$9:$J$1000)=$F95)*((Main!$O$9:$O$1000)=$C95)*(Main!T$9:T$1000) ) +  ( SUMPRODUCT( ((Adders!$D$13:$D$101)=$E95)*((Adders!$E$13:$E$101)=$F95)*(Adders!I$13:I$101)) + VLOOKUP($H95,Adders!$B$5:$G$8,N$11,FALSE)  +  PA!$D$2 ) * IF($D95="NJ",1.07,1))/$L$10, CHOOSE($M$10,$L$9,$M$9) )</f>
        <v xml:space="preserve"> 76.76 </v>
      </c>
      <c r="L95" s="178" t="str">
        <f>IF(AND($D$11="IL",$E95="AMEREN"),"NA",TEXT((SUMPRODUCT(((LMPMain!$H$9:$H$1000)=$E95)*((LMPMain!$J$9:$J$1000)=$F95)*((LMPMain!$O$9:$O$1000)=$C95)*(LMPMain!R$9:R$1000))+(SUMPRODUCT(((Adders!$D$13:$D$101)=$E95)*((Adders!$E$13:$E$101)=$F95)*(Adders!G$13:G$101))+VLOOKUP($H95,Adders!$B$5:$G$8,L$11,FALSE)+Matrix!$D$2)*IF($D95="NJ",1.07,1))/$L$10,CHOOSE($M$10,$L$9,$M$9)))</f>
        <v xml:space="preserve"> 33.85 </v>
      </c>
      <c r="M95" s="178" t="str">
        <f>IF(AND($D$11="IL",$E95="AMEREN"),"NA",TEXT((SUMPRODUCT(((LMPMain!$H$9:$H$1000)=$E95)*((LMPMain!$J$9:$J$1000)=$F95)*((LMPMain!$O$9:$O$1000)=$C95)*(LMPMain!S$9:S$1000))+(SUMPRODUCT(((Adders!$D$13:$D$101)=$E95)*((Adders!$E$13:$E$101)=$F95)*(Adders!H$13:H$101))+VLOOKUP($H95,Adders!$B$5:$G$8,M$11,FALSE)+Matrix!$D$2)*IF($D95="NJ",1.07,1))/$L$10,CHOOSE($M$10,$L$9,$M$9)))</f>
        <v xml:space="preserve"> 32.97 </v>
      </c>
      <c r="N95" s="179" t="str">
        <f>IF(AND($D$11="IL",$E95="AMEREN"),"NA",TEXT((SUMPRODUCT(((LMPMain!$H$9:$H$1000)=$E95)*((LMPMain!$J$9:$J$1000)=$F95)*((LMPMain!$O$9:$O$1000)=$C95)*(LMPMain!T$9:T$1000))+(SUMPRODUCT(((Adders!$D$13:$D$101)=$E95)*((Adders!$E$13:$E$101)=$F95)*(Adders!G$13:G$101))+VLOOKUP($H95,Adders!$B$5:$G$8,N$11,FALSE)+Matrix!$D$2)*IF($D95="NJ",1.07,1))/$L$10,CHOOSE($M$10,$L$9,$M$9)))</f>
        <v xml:space="preserve"> 32.32 </v>
      </c>
      <c r="O95" s="112"/>
    </row>
    <row r="96" spans="2:15" x14ac:dyDescent="0.25">
      <c r="B96" s="160" t="s">
        <v>666</v>
      </c>
      <c r="C96" s="131">
        <f t="shared" si="1"/>
        <v>42248</v>
      </c>
      <c r="D96" s="132" t="s">
        <v>6</v>
      </c>
      <c r="E96" s="133" t="s">
        <v>8</v>
      </c>
      <c r="F96" s="132" t="s">
        <v>10</v>
      </c>
      <c r="G96" s="133" t="str">
        <f t="shared" si="2"/>
        <v>General Service Medium</v>
      </c>
      <c r="H96" s="134" t="s">
        <v>62</v>
      </c>
      <c r="I96" s="173" t="str">
        <f>TEXT(   (SUMPRODUCT( ((Main!$H$9:$H$1000)=$E96)*((Main!$J$9:$J$1000)=$F96)*((Main!$O$9:$O$1000)=$C96)*(Main!R$9:R$1000) ) +  ( SUMPRODUCT( ((Adders!$D$13:$D$101)=$E96)*((Adders!$E$13:$E$101)=$F96)*(Adders!G$13:G$101)) + VLOOKUP($H96,Adders!$B$5:$G$8,L$11,FALSE)  +  PA!$D$2 ) * IF($D96="NJ",1.07,1))/$L$10, CHOOSE($M$10,$L$9,$M$9) )</f>
        <v xml:space="preserve"> 76.56 </v>
      </c>
      <c r="J96" s="173" t="str">
        <f>TEXT(   (SUMPRODUCT( ((Main!$H$9:$H$1000)=$E96)*((Main!$J$9:$J$1000)=$F96)*((Main!$O$9:$O$1000)=$C96)*(Main!S$9:S$1000) ) +  ( SUMPRODUCT( ((Adders!$D$13:$D$101)=$E96)*((Adders!$E$13:$E$101)=$F96)*(Adders!H$13:H$101)) + VLOOKUP($H96,Adders!$B$5:$G$8,M$11,FALSE)  +  PA!$D$2 ) * IF($D96="NJ",1.07,1))/$L$10, CHOOSE($M$10,$L$9,$M$9) )</f>
        <v xml:space="preserve"> 75.55 </v>
      </c>
      <c r="K96" s="174" t="str">
        <f>TEXT(   (SUMPRODUCT( ((Main!$H$9:$H$1000)=$E96)*((Main!$J$9:$J$1000)=$F96)*((Main!$O$9:$O$1000)=$C96)*(Main!T$9:T$1000) ) +  ( SUMPRODUCT( ((Adders!$D$13:$D$101)=$E96)*((Adders!$E$13:$E$101)=$F96)*(Adders!I$13:I$101)) + VLOOKUP($H96,Adders!$B$5:$G$8,N$11,FALSE)  +  PA!$D$2 ) * IF($D96="NJ",1.07,1))/$L$10, CHOOSE($M$10,$L$9,$M$9) )</f>
        <v xml:space="preserve"> 75.16 </v>
      </c>
      <c r="L96" s="173" t="str">
        <f>IF(AND($D$11="IL",$E96="AMEREN"),"NA",TEXT((SUMPRODUCT(((LMPMain!$H$9:$H$1000)=$E96)*((LMPMain!$J$9:$J$1000)=$F96)*((LMPMain!$O$9:$O$1000)=$C96)*(LMPMain!R$9:R$1000))+(SUMPRODUCT(((Adders!$D$13:$D$101)=$E96)*((Adders!$E$13:$E$101)=$F96)*(Adders!G$13:G$101))+VLOOKUP($H96,Adders!$B$5:$G$8,L$11,FALSE)+Matrix!$D$2)*IF($D96="NJ",1.07,1))/$L$10,CHOOSE($M$10,$L$9,$M$9)))</f>
        <v xml:space="preserve"> 32.25 </v>
      </c>
      <c r="M96" s="173" t="str">
        <f>IF(AND($D$11="IL",$E96="AMEREN"),"NA",TEXT((SUMPRODUCT(((LMPMain!$H$9:$H$1000)=$E96)*((LMPMain!$J$9:$J$1000)=$F96)*((LMPMain!$O$9:$O$1000)=$C96)*(LMPMain!S$9:S$1000))+(SUMPRODUCT(((Adders!$D$13:$D$101)=$E96)*((Adders!$E$13:$E$101)=$F96)*(Adders!H$13:H$101))+VLOOKUP($H96,Adders!$B$5:$G$8,M$11,FALSE)+Matrix!$D$2)*IF($D96="NJ",1.07,1))/$L$10,CHOOSE($M$10,$L$9,$M$9)))</f>
        <v xml:space="preserve"> 31.37 </v>
      </c>
      <c r="N96" s="174" t="str">
        <f>IF(AND($D$11="IL",$E96="AMEREN"),"NA",TEXT((SUMPRODUCT(((LMPMain!$H$9:$H$1000)=$E96)*((LMPMain!$J$9:$J$1000)=$F96)*((LMPMain!$O$9:$O$1000)=$C96)*(LMPMain!T$9:T$1000))+(SUMPRODUCT(((Adders!$D$13:$D$101)=$E96)*((Adders!$E$13:$E$101)=$F96)*(Adders!G$13:G$101))+VLOOKUP($H96,Adders!$B$5:$G$8,N$11,FALSE)+Matrix!$D$2)*IF($D96="NJ",1.07,1))/$L$10,CHOOSE($M$10,$L$9,$M$9)))</f>
        <v xml:space="preserve"> 30.72 </v>
      </c>
      <c r="O96" s="112"/>
    </row>
    <row r="97" spans="2:15" x14ac:dyDescent="0.25">
      <c r="B97" s="160" t="s">
        <v>666</v>
      </c>
      <c r="C97" s="135">
        <f t="shared" si="1"/>
        <v>42248</v>
      </c>
      <c r="D97" s="136" t="s">
        <v>6</v>
      </c>
      <c r="E97" s="137" t="s">
        <v>8</v>
      </c>
      <c r="F97" s="136" t="s">
        <v>10</v>
      </c>
      <c r="G97" s="137" t="str">
        <f t="shared" si="2"/>
        <v>General Service Medium</v>
      </c>
      <c r="H97" s="138" t="s">
        <v>690</v>
      </c>
      <c r="I97" s="176" t="str">
        <f>TEXT(   (SUMPRODUCT( ((Main!$H$9:$H$1000)=$E97)*((Main!$J$9:$J$1000)=$F97)*((Main!$O$9:$O$1000)=$C97)*(Main!R$9:R$1000) ) +  ( SUMPRODUCT( ((Adders!$D$13:$D$101)=$E97)*((Adders!$E$13:$E$101)=$F97)*(Adders!G$13:G$101)) + VLOOKUP($H97,Adders!$B$5:$G$8,L$11,FALSE)  +  PA!$D$2 ) * IF($D97="NJ",1.07,1))/$L$10, CHOOSE($M$10,$L$9,$M$9) )</f>
        <v xml:space="preserve"> 75.51 </v>
      </c>
      <c r="J97" s="176" t="str">
        <f>TEXT(   (SUMPRODUCT( ((Main!$H$9:$H$1000)=$E97)*((Main!$J$9:$J$1000)=$F97)*((Main!$O$9:$O$1000)=$C97)*(Main!S$9:S$1000) ) +  ( SUMPRODUCT( ((Adders!$D$13:$D$101)=$E97)*((Adders!$E$13:$E$101)=$F97)*(Adders!H$13:H$101)) + VLOOKUP($H97,Adders!$B$5:$G$8,M$11,FALSE)  +  PA!$D$2 ) * IF($D97="NJ",1.07,1))/$L$10, CHOOSE($M$10,$L$9,$M$9) )</f>
        <v xml:space="preserve"> 74.50 </v>
      </c>
      <c r="K97" s="177" t="str">
        <f>TEXT(   (SUMPRODUCT( ((Main!$H$9:$H$1000)=$E97)*((Main!$J$9:$J$1000)=$F97)*((Main!$O$9:$O$1000)=$C97)*(Main!T$9:T$1000) ) +  ( SUMPRODUCT( ((Adders!$D$13:$D$101)=$E97)*((Adders!$E$13:$E$101)=$F97)*(Adders!I$13:I$101)) + VLOOKUP($H97,Adders!$B$5:$G$8,N$11,FALSE)  +  PA!$D$2 ) * IF($D97="NJ",1.07,1))/$L$10, CHOOSE($M$10,$L$9,$M$9) )</f>
        <v xml:space="preserve"> 74.11 </v>
      </c>
      <c r="L97" s="176" t="str">
        <f>IF(AND($D$11="IL",$E97="AMEREN"),"NA",TEXT((SUMPRODUCT(((LMPMain!$H$9:$H$1000)=$E97)*((LMPMain!$J$9:$J$1000)=$F97)*((LMPMain!$O$9:$O$1000)=$C97)*(LMPMain!R$9:R$1000))+(SUMPRODUCT(((Adders!$D$13:$D$101)=$E97)*((Adders!$E$13:$E$101)=$F97)*(Adders!G$13:G$101))+VLOOKUP($H97,Adders!$B$5:$G$8,L$11,FALSE)+Matrix!$D$2)*IF($D97="NJ",1.07,1))/$L$10,CHOOSE($M$10,$L$9,$M$9)))</f>
        <v xml:space="preserve"> 31.20 </v>
      </c>
      <c r="M97" s="176" t="str">
        <f>IF(AND($D$11="IL",$E97="AMEREN"),"NA",TEXT((SUMPRODUCT(((LMPMain!$H$9:$H$1000)=$E97)*((LMPMain!$J$9:$J$1000)=$F97)*((LMPMain!$O$9:$O$1000)=$C97)*(LMPMain!S$9:S$1000))+(SUMPRODUCT(((Adders!$D$13:$D$101)=$E97)*((Adders!$E$13:$E$101)=$F97)*(Adders!H$13:H$101))+VLOOKUP($H97,Adders!$B$5:$G$8,M$11,FALSE)+Matrix!$D$2)*IF($D97="NJ",1.07,1))/$L$10,CHOOSE($M$10,$L$9,$M$9)))</f>
        <v xml:space="preserve"> 30.32 </v>
      </c>
      <c r="N97" s="177" t="str">
        <f>IF(AND($D$11="IL",$E97="AMEREN"),"NA",TEXT((SUMPRODUCT(((LMPMain!$H$9:$H$1000)=$E97)*((LMPMain!$J$9:$J$1000)=$F97)*((LMPMain!$O$9:$O$1000)=$C97)*(LMPMain!T$9:T$1000))+(SUMPRODUCT(((Adders!$D$13:$D$101)=$E97)*((Adders!$E$13:$E$101)=$F97)*(Adders!G$13:G$101))+VLOOKUP($H97,Adders!$B$5:$G$8,N$11,FALSE)+Matrix!$D$2)*IF($D97="NJ",1.07,1))/$L$10,CHOOSE($M$10,$L$9,$M$9)))</f>
        <v xml:space="preserve"> 29.67 </v>
      </c>
      <c r="O97" s="112"/>
    </row>
    <row r="98" spans="2:15" x14ac:dyDescent="0.25">
      <c r="B98" s="160" t="s">
        <v>666</v>
      </c>
      <c r="C98" s="127">
        <f t="shared" si="1"/>
        <v>42278</v>
      </c>
      <c r="D98" s="128" t="s">
        <v>6</v>
      </c>
      <c r="E98" s="129" t="s">
        <v>8</v>
      </c>
      <c r="F98" s="128" t="s">
        <v>10</v>
      </c>
      <c r="G98" s="129" t="str">
        <f t="shared" si="2"/>
        <v>General Service Medium</v>
      </c>
      <c r="H98" s="130" t="s">
        <v>61</v>
      </c>
      <c r="I98" s="178" t="str">
        <f>TEXT(   (SUMPRODUCT( ((Main!$H$9:$H$1000)=$E98)*((Main!$J$9:$J$1000)=$F98)*((Main!$O$9:$O$1000)=$C98)*(Main!R$9:R$1000) ) +  ( SUMPRODUCT( ((Adders!$D$13:$D$101)=$E98)*((Adders!$E$13:$E$101)=$F98)*(Adders!G$13:G$101)) + VLOOKUP($H98,Adders!$B$5:$G$8,L$11,FALSE)  +  PA!$D$2 ) * IF($D98="NJ",1.07,1))/$L$10, CHOOSE($M$10,$L$9,$M$9) )</f>
        <v xml:space="preserve"> 77.78 </v>
      </c>
      <c r="J98" s="178" t="str">
        <f>TEXT(   (SUMPRODUCT( ((Main!$H$9:$H$1000)=$E98)*((Main!$J$9:$J$1000)=$F98)*((Main!$O$9:$O$1000)=$C98)*(Main!S$9:S$1000) ) +  ( SUMPRODUCT( ((Adders!$D$13:$D$101)=$E98)*((Adders!$E$13:$E$101)=$F98)*(Adders!H$13:H$101)) + VLOOKUP($H98,Adders!$B$5:$G$8,M$11,FALSE)  +  PA!$D$2 ) * IF($D98="NJ",1.07,1))/$L$10, CHOOSE($M$10,$L$9,$M$9) )</f>
        <v xml:space="preserve"> 77.30 </v>
      </c>
      <c r="K98" s="179" t="str">
        <f>TEXT(   (SUMPRODUCT( ((Main!$H$9:$H$1000)=$E98)*((Main!$J$9:$J$1000)=$F98)*((Main!$O$9:$O$1000)=$C98)*(Main!T$9:T$1000) ) +  ( SUMPRODUCT( ((Adders!$D$13:$D$101)=$E98)*((Adders!$E$13:$E$101)=$F98)*(Adders!I$13:I$101)) + VLOOKUP($H98,Adders!$B$5:$G$8,N$11,FALSE)  +  PA!$D$2 ) * IF($D98="NJ",1.07,1))/$L$10, CHOOSE($M$10,$L$9,$M$9) )</f>
        <v xml:space="preserve"> 76.60 </v>
      </c>
      <c r="L98" s="178" t="str">
        <f>IF(AND($D$11="IL",$E98="AMEREN"),"NA",TEXT((SUMPRODUCT(((LMPMain!$H$9:$H$1000)=$E98)*((LMPMain!$J$9:$J$1000)=$F98)*((LMPMain!$O$9:$O$1000)=$C98)*(LMPMain!R$9:R$1000))+(SUMPRODUCT(((Adders!$D$13:$D$101)=$E98)*((Adders!$E$13:$E$101)=$F98)*(Adders!G$13:G$101))+VLOOKUP($H98,Adders!$B$5:$G$8,L$11,FALSE)+Matrix!$D$2)*IF($D98="NJ",1.07,1))/$L$10,CHOOSE($M$10,$L$9,$M$9)))</f>
        <v xml:space="preserve"> 33.52 </v>
      </c>
      <c r="M98" s="178" t="str">
        <f>IF(AND($D$11="IL",$E98="AMEREN"),"NA",TEXT((SUMPRODUCT(((LMPMain!$H$9:$H$1000)=$E98)*((LMPMain!$J$9:$J$1000)=$F98)*((LMPMain!$O$9:$O$1000)=$C98)*(LMPMain!S$9:S$1000))+(SUMPRODUCT(((Adders!$D$13:$D$101)=$E98)*((Adders!$E$13:$E$101)=$F98)*(Adders!H$13:H$101))+VLOOKUP($H98,Adders!$B$5:$G$8,M$11,FALSE)+Matrix!$D$2)*IF($D98="NJ",1.07,1))/$L$10,CHOOSE($M$10,$L$9,$M$9)))</f>
        <v xml:space="preserve"> 32.85 </v>
      </c>
      <c r="N98" s="179" t="str">
        <f>IF(AND($D$11="IL",$E98="AMEREN"),"NA",TEXT((SUMPRODUCT(((LMPMain!$H$9:$H$1000)=$E98)*((LMPMain!$J$9:$J$1000)=$F98)*((LMPMain!$O$9:$O$1000)=$C98)*(LMPMain!T$9:T$1000))+(SUMPRODUCT(((Adders!$D$13:$D$101)=$E98)*((Adders!$E$13:$E$101)=$F98)*(Adders!G$13:G$101))+VLOOKUP($H98,Adders!$B$5:$G$8,N$11,FALSE)+Matrix!$D$2)*IF($D98="NJ",1.07,1))/$L$10,CHOOSE($M$10,$L$9,$M$9)))</f>
        <v xml:space="preserve"> 32.18 </v>
      </c>
      <c r="O98" s="112"/>
    </row>
    <row r="99" spans="2:15" x14ac:dyDescent="0.25">
      <c r="B99" s="160" t="s">
        <v>666</v>
      </c>
      <c r="C99" s="131">
        <f t="shared" si="1"/>
        <v>42278</v>
      </c>
      <c r="D99" s="132" t="s">
        <v>6</v>
      </c>
      <c r="E99" s="133" t="s">
        <v>8</v>
      </c>
      <c r="F99" s="132" t="s">
        <v>10</v>
      </c>
      <c r="G99" s="133" t="str">
        <f t="shared" si="2"/>
        <v>General Service Medium</v>
      </c>
      <c r="H99" s="134" t="s">
        <v>62</v>
      </c>
      <c r="I99" s="173" t="str">
        <f>TEXT(   (SUMPRODUCT( ((Main!$H$9:$H$1000)=$E99)*((Main!$J$9:$J$1000)=$F99)*((Main!$O$9:$O$1000)=$C99)*(Main!R$9:R$1000) ) +  ( SUMPRODUCT( ((Adders!$D$13:$D$101)=$E99)*((Adders!$E$13:$E$101)=$F99)*(Adders!G$13:G$101)) + VLOOKUP($H99,Adders!$B$5:$G$8,L$11,FALSE)  +  PA!$D$2 ) * IF($D99="NJ",1.07,1))/$L$10, CHOOSE($M$10,$L$9,$M$9) )</f>
        <v xml:space="preserve"> 76.18 </v>
      </c>
      <c r="J99" s="173" t="str">
        <f>TEXT(   (SUMPRODUCT( ((Main!$H$9:$H$1000)=$E99)*((Main!$J$9:$J$1000)=$F99)*((Main!$O$9:$O$1000)=$C99)*(Main!S$9:S$1000) ) +  ( SUMPRODUCT( ((Adders!$D$13:$D$101)=$E99)*((Adders!$E$13:$E$101)=$F99)*(Adders!H$13:H$101)) + VLOOKUP($H99,Adders!$B$5:$G$8,M$11,FALSE)  +  PA!$D$2 ) * IF($D99="NJ",1.07,1))/$L$10, CHOOSE($M$10,$L$9,$M$9) )</f>
        <v xml:space="preserve"> 75.70 </v>
      </c>
      <c r="K99" s="174" t="str">
        <f>TEXT(   (SUMPRODUCT( ((Main!$H$9:$H$1000)=$E99)*((Main!$J$9:$J$1000)=$F99)*((Main!$O$9:$O$1000)=$C99)*(Main!T$9:T$1000) ) +  ( SUMPRODUCT( ((Adders!$D$13:$D$101)=$E99)*((Adders!$E$13:$E$101)=$F99)*(Adders!I$13:I$101)) + VLOOKUP($H99,Adders!$B$5:$G$8,N$11,FALSE)  +  PA!$D$2 ) * IF($D99="NJ",1.07,1))/$L$10, CHOOSE($M$10,$L$9,$M$9) )</f>
        <v xml:space="preserve"> 75.00 </v>
      </c>
      <c r="L99" s="173" t="str">
        <f>IF(AND($D$11="IL",$E99="AMEREN"),"NA",TEXT((SUMPRODUCT(((LMPMain!$H$9:$H$1000)=$E99)*((LMPMain!$J$9:$J$1000)=$F99)*((LMPMain!$O$9:$O$1000)=$C99)*(LMPMain!R$9:R$1000))+(SUMPRODUCT(((Adders!$D$13:$D$101)=$E99)*((Adders!$E$13:$E$101)=$F99)*(Adders!G$13:G$101))+VLOOKUP($H99,Adders!$B$5:$G$8,L$11,FALSE)+Matrix!$D$2)*IF($D99="NJ",1.07,1))/$L$10,CHOOSE($M$10,$L$9,$M$9)))</f>
        <v xml:space="preserve"> 31.92 </v>
      </c>
      <c r="M99" s="173" t="str">
        <f>IF(AND($D$11="IL",$E99="AMEREN"),"NA",TEXT((SUMPRODUCT(((LMPMain!$H$9:$H$1000)=$E99)*((LMPMain!$J$9:$J$1000)=$F99)*((LMPMain!$O$9:$O$1000)=$C99)*(LMPMain!S$9:S$1000))+(SUMPRODUCT(((Adders!$D$13:$D$101)=$E99)*((Adders!$E$13:$E$101)=$F99)*(Adders!H$13:H$101))+VLOOKUP($H99,Adders!$B$5:$G$8,M$11,FALSE)+Matrix!$D$2)*IF($D99="NJ",1.07,1))/$L$10,CHOOSE($M$10,$L$9,$M$9)))</f>
        <v xml:space="preserve"> 31.25 </v>
      </c>
      <c r="N99" s="174" t="str">
        <f>IF(AND($D$11="IL",$E99="AMEREN"),"NA",TEXT((SUMPRODUCT(((LMPMain!$H$9:$H$1000)=$E99)*((LMPMain!$J$9:$J$1000)=$F99)*((LMPMain!$O$9:$O$1000)=$C99)*(LMPMain!T$9:T$1000))+(SUMPRODUCT(((Adders!$D$13:$D$101)=$E99)*((Adders!$E$13:$E$101)=$F99)*(Adders!G$13:G$101))+VLOOKUP($H99,Adders!$B$5:$G$8,N$11,FALSE)+Matrix!$D$2)*IF($D99="NJ",1.07,1))/$L$10,CHOOSE($M$10,$L$9,$M$9)))</f>
        <v xml:space="preserve"> 30.58 </v>
      </c>
      <c r="O99" s="112"/>
    </row>
    <row r="100" spans="2:15" x14ac:dyDescent="0.25">
      <c r="B100" s="160" t="s">
        <v>666</v>
      </c>
      <c r="C100" s="135">
        <f t="shared" si="1"/>
        <v>42278</v>
      </c>
      <c r="D100" s="136" t="s">
        <v>6</v>
      </c>
      <c r="E100" s="137" t="s">
        <v>8</v>
      </c>
      <c r="F100" s="136" t="s">
        <v>10</v>
      </c>
      <c r="G100" s="137" t="str">
        <f t="shared" si="2"/>
        <v>General Service Medium</v>
      </c>
      <c r="H100" s="138" t="s">
        <v>690</v>
      </c>
      <c r="I100" s="176" t="str">
        <f>TEXT(   (SUMPRODUCT( ((Main!$H$9:$H$1000)=$E100)*((Main!$J$9:$J$1000)=$F100)*((Main!$O$9:$O$1000)=$C100)*(Main!R$9:R$1000) ) +  ( SUMPRODUCT( ((Adders!$D$13:$D$101)=$E100)*((Adders!$E$13:$E$101)=$F100)*(Adders!G$13:G$101)) + VLOOKUP($H100,Adders!$B$5:$G$8,L$11,FALSE)  +  PA!$D$2 ) * IF($D100="NJ",1.07,1))/$L$10, CHOOSE($M$10,$L$9,$M$9) )</f>
        <v xml:space="preserve"> 75.13 </v>
      </c>
      <c r="J100" s="176" t="str">
        <f>TEXT(   (SUMPRODUCT( ((Main!$H$9:$H$1000)=$E100)*((Main!$J$9:$J$1000)=$F100)*((Main!$O$9:$O$1000)=$C100)*(Main!S$9:S$1000) ) +  ( SUMPRODUCT( ((Adders!$D$13:$D$101)=$E100)*((Adders!$E$13:$E$101)=$F100)*(Adders!H$13:H$101)) + VLOOKUP($H100,Adders!$B$5:$G$8,M$11,FALSE)  +  PA!$D$2 ) * IF($D100="NJ",1.07,1))/$L$10, CHOOSE($M$10,$L$9,$M$9) )</f>
        <v xml:space="preserve"> 74.65 </v>
      </c>
      <c r="K100" s="177" t="str">
        <f>TEXT(   (SUMPRODUCT( ((Main!$H$9:$H$1000)=$E100)*((Main!$J$9:$J$1000)=$F100)*((Main!$O$9:$O$1000)=$C100)*(Main!T$9:T$1000) ) +  ( SUMPRODUCT( ((Adders!$D$13:$D$101)=$E100)*((Adders!$E$13:$E$101)=$F100)*(Adders!I$13:I$101)) + VLOOKUP($H100,Adders!$B$5:$G$8,N$11,FALSE)  +  PA!$D$2 ) * IF($D100="NJ",1.07,1))/$L$10, CHOOSE($M$10,$L$9,$M$9) )</f>
        <v xml:space="preserve"> 73.95 </v>
      </c>
      <c r="L100" s="176" t="str">
        <f>IF(AND($D$11="IL",$E100="AMEREN"),"NA",TEXT((SUMPRODUCT(((LMPMain!$H$9:$H$1000)=$E100)*((LMPMain!$J$9:$J$1000)=$F100)*((LMPMain!$O$9:$O$1000)=$C100)*(LMPMain!R$9:R$1000))+(SUMPRODUCT(((Adders!$D$13:$D$101)=$E100)*((Adders!$E$13:$E$101)=$F100)*(Adders!G$13:G$101))+VLOOKUP($H100,Adders!$B$5:$G$8,L$11,FALSE)+Matrix!$D$2)*IF($D100="NJ",1.07,1))/$L$10,CHOOSE($M$10,$L$9,$M$9)))</f>
        <v xml:space="preserve"> 30.87 </v>
      </c>
      <c r="M100" s="176" t="str">
        <f>IF(AND($D$11="IL",$E100="AMEREN"),"NA",TEXT((SUMPRODUCT(((LMPMain!$H$9:$H$1000)=$E100)*((LMPMain!$J$9:$J$1000)=$F100)*((LMPMain!$O$9:$O$1000)=$C100)*(LMPMain!S$9:S$1000))+(SUMPRODUCT(((Adders!$D$13:$D$101)=$E100)*((Adders!$E$13:$E$101)=$F100)*(Adders!H$13:H$101))+VLOOKUP($H100,Adders!$B$5:$G$8,M$11,FALSE)+Matrix!$D$2)*IF($D100="NJ",1.07,1))/$L$10,CHOOSE($M$10,$L$9,$M$9)))</f>
        <v xml:space="preserve"> 30.20 </v>
      </c>
      <c r="N100" s="177" t="str">
        <f>IF(AND($D$11="IL",$E100="AMEREN"),"NA",TEXT((SUMPRODUCT(((LMPMain!$H$9:$H$1000)=$E100)*((LMPMain!$J$9:$J$1000)=$F100)*((LMPMain!$O$9:$O$1000)=$C100)*(LMPMain!T$9:T$1000))+(SUMPRODUCT(((Adders!$D$13:$D$101)=$E100)*((Adders!$E$13:$E$101)=$F100)*(Adders!G$13:G$101))+VLOOKUP($H100,Adders!$B$5:$G$8,N$11,FALSE)+Matrix!$D$2)*IF($D100="NJ",1.07,1))/$L$10,CHOOSE($M$10,$L$9,$M$9)))</f>
        <v xml:space="preserve"> 29.53 </v>
      </c>
      <c r="O100" s="112"/>
    </row>
    <row r="101" spans="2:15" x14ac:dyDescent="0.25">
      <c r="B101" s="160" t="s">
        <v>666</v>
      </c>
      <c r="C101" s="127">
        <f t="shared" si="1"/>
        <v>42309</v>
      </c>
      <c r="D101" s="128" t="s">
        <v>6</v>
      </c>
      <c r="E101" s="129" t="s">
        <v>8</v>
      </c>
      <c r="F101" s="128" t="s">
        <v>10</v>
      </c>
      <c r="G101" s="129" t="str">
        <f t="shared" si="2"/>
        <v>General Service Medium</v>
      </c>
      <c r="H101" s="130" t="s">
        <v>61</v>
      </c>
      <c r="I101" s="178" t="str">
        <f>TEXT(   (SUMPRODUCT( ((Main!$H$9:$H$1000)=$E101)*((Main!$J$9:$J$1000)=$F101)*((Main!$O$9:$O$1000)=$C101)*(Main!R$9:R$1000) ) +  ( SUMPRODUCT( ((Adders!$D$13:$D$101)=$E101)*((Adders!$E$13:$E$101)=$F101)*(Adders!G$13:G$101)) + VLOOKUP($H101,Adders!$B$5:$G$8,L$11,FALSE)  +  PA!$D$2 ) * IF($D101="NJ",1.07,1))/$L$10, CHOOSE($M$10,$L$9,$M$9) )</f>
        <v xml:space="preserve"> 77.37 </v>
      </c>
      <c r="J101" s="178" t="str">
        <f>TEXT(   (SUMPRODUCT( ((Main!$H$9:$H$1000)=$E101)*((Main!$J$9:$J$1000)=$F101)*((Main!$O$9:$O$1000)=$C101)*(Main!S$9:S$1000) ) +  ( SUMPRODUCT( ((Adders!$D$13:$D$101)=$E101)*((Adders!$E$13:$E$101)=$F101)*(Adders!H$13:H$101)) + VLOOKUP($H101,Adders!$B$5:$G$8,M$11,FALSE)  +  PA!$D$2 ) * IF($D101="NJ",1.07,1))/$L$10, CHOOSE($M$10,$L$9,$M$9) )</f>
        <v xml:space="preserve"> 77.46 </v>
      </c>
      <c r="K101" s="179" t="str">
        <f>TEXT(   (SUMPRODUCT( ((Main!$H$9:$H$1000)=$E101)*((Main!$J$9:$J$1000)=$F101)*((Main!$O$9:$O$1000)=$C101)*(Main!T$9:T$1000) ) +  ( SUMPRODUCT( ((Adders!$D$13:$D$101)=$E101)*((Adders!$E$13:$E$101)=$F101)*(Adders!I$13:I$101)) + VLOOKUP($H101,Adders!$B$5:$G$8,N$11,FALSE)  +  PA!$D$2 ) * IF($D101="NJ",1.07,1))/$L$10, CHOOSE($M$10,$L$9,$M$9) )</f>
        <v xml:space="preserve"> 76.42 </v>
      </c>
      <c r="L101" s="178" t="str">
        <f>IF(AND($D$11="IL",$E101="AMEREN"),"NA",TEXT((SUMPRODUCT(((LMPMain!$H$9:$H$1000)=$E101)*((LMPMain!$J$9:$J$1000)=$F101)*((LMPMain!$O$9:$O$1000)=$C101)*(LMPMain!R$9:R$1000))+(SUMPRODUCT(((Adders!$D$13:$D$101)=$E101)*((Adders!$E$13:$E$101)=$F101)*(Adders!G$13:G$101))+VLOOKUP($H101,Adders!$B$5:$G$8,L$11,FALSE)+Matrix!$D$2)*IF($D101="NJ",1.07,1))/$L$10,CHOOSE($M$10,$L$9,$M$9)))</f>
        <v xml:space="preserve"> 33.17 </v>
      </c>
      <c r="M101" s="178" t="str">
        <f>IF(AND($D$11="IL",$E101="AMEREN"),"NA",TEXT((SUMPRODUCT(((LMPMain!$H$9:$H$1000)=$E101)*((LMPMain!$J$9:$J$1000)=$F101)*((LMPMain!$O$9:$O$1000)=$C101)*(LMPMain!S$9:S$1000))+(SUMPRODUCT(((Adders!$D$13:$D$101)=$E101)*((Adders!$E$13:$E$101)=$F101)*(Adders!H$13:H$101))+VLOOKUP($H101,Adders!$B$5:$G$8,M$11,FALSE)+Matrix!$D$2)*IF($D101="NJ",1.07,1))/$L$10,CHOOSE($M$10,$L$9,$M$9)))</f>
        <v xml:space="preserve"> 32.66 </v>
      </c>
      <c r="N101" s="179" t="str">
        <f>IF(AND($D$11="IL",$E101="AMEREN"),"NA",TEXT((SUMPRODUCT(((LMPMain!$H$9:$H$1000)=$E101)*((LMPMain!$J$9:$J$1000)=$F101)*((LMPMain!$O$9:$O$1000)=$C101)*(LMPMain!T$9:T$1000))+(SUMPRODUCT(((Adders!$D$13:$D$101)=$E101)*((Adders!$E$13:$E$101)=$F101)*(Adders!G$13:G$101))+VLOOKUP($H101,Adders!$B$5:$G$8,N$11,FALSE)+Matrix!$D$2)*IF($D101="NJ",1.07,1))/$L$10,CHOOSE($M$10,$L$9,$M$9)))</f>
        <v xml:space="preserve"> 32.03 </v>
      </c>
      <c r="O101" s="112"/>
    </row>
    <row r="102" spans="2:15" x14ac:dyDescent="0.25">
      <c r="B102" s="160" t="s">
        <v>666</v>
      </c>
      <c r="C102" s="131">
        <f t="shared" si="1"/>
        <v>42309</v>
      </c>
      <c r="D102" s="132" t="s">
        <v>6</v>
      </c>
      <c r="E102" s="133" t="s">
        <v>8</v>
      </c>
      <c r="F102" s="132" t="s">
        <v>10</v>
      </c>
      <c r="G102" s="133" t="str">
        <f t="shared" si="2"/>
        <v>General Service Medium</v>
      </c>
      <c r="H102" s="134" t="s">
        <v>62</v>
      </c>
      <c r="I102" s="173" t="str">
        <f>TEXT(   (SUMPRODUCT( ((Main!$H$9:$H$1000)=$E102)*((Main!$J$9:$J$1000)=$F102)*((Main!$O$9:$O$1000)=$C102)*(Main!R$9:R$1000) ) +  ( SUMPRODUCT( ((Adders!$D$13:$D$101)=$E102)*((Adders!$E$13:$E$101)=$F102)*(Adders!G$13:G$101)) + VLOOKUP($H102,Adders!$B$5:$G$8,L$11,FALSE)  +  PA!$D$2 ) * IF($D102="NJ",1.07,1))/$L$10, CHOOSE($M$10,$L$9,$M$9) )</f>
        <v xml:space="preserve"> 75.77 </v>
      </c>
      <c r="J102" s="173" t="str">
        <f>TEXT(   (SUMPRODUCT( ((Main!$H$9:$H$1000)=$E102)*((Main!$J$9:$J$1000)=$F102)*((Main!$O$9:$O$1000)=$C102)*(Main!S$9:S$1000) ) +  ( SUMPRODUCT( ((Adders!$D$13:$D$101)=$E102)*((Adders!$E$13:$E$101)=$F102)*(Adders!H$13:H$101)) + VLOOKUP($H102,Adders!$B$5:$G$8,M$11,FALSE)  +  PA!$D$2 ) * IF($D102="NJ",1.07,1))/$L$10, CHOOSE($M$10,$L$9,$M$9) )</f>
        <v xml:space="preserve"> 75.86 </v>
      </c>
      <c r="K102" s="174" t="str">
        <f>TEXT(   (SUMPRODUCT( ((Main!$H$9:$H$1000)=$E102)*((Main!$J$9:$J$1000)=$F102)*((Main!$O$9:$O$1000)=$C102)*(Main!T$9:T$1000) ) +  ( SUMPRODUCT( ((Adders!$D$13:$D$101)=$E102)*((Adders!$E$13:$E$101)=$F102)*(Adders!I$13:I$101)) + VLOOKUP($H102,Adders!$B$5:$G$8,N$11,FALSE)  +  PA!$D$2 ) * IF($D102="NJ",1.07,1))/$L$10, CHOOSE($M$10,$L$9,$M$9) )</f>
        <v xml:space="preserve"> 74.82 </v>
      </c>
      <c r="L102" s="173" t="str">
        <f>IF(AND($D$11="IL",$E102="AMEREN"),"NA",TEXT((SUMPRODUCT(((LMPMain!$H$9:$H$1000)=$E102)*((LMPMain!$J$9:$J$1000)=$F102)*((LMPMain!$O$9:$O$1000)=$C102)*(LMPMain!R$9:R$1000))+(SUMPRODUCT(((Adders!$D$13:$D$101)=$E102)*((Adders!$E$13:$E$101)=$F102)*(Adders!G$13:G$101))+VLOOKUP($H102,Adders!$B$5:$G$8,L$11,FALSE)+Matrix!$D$2)*IF($D102="NJ",1.07,1))/$L$10,CHOOSE($M$10,$L$9,$M$9)))</f>
        <v xml:space="preserve"> 31.57 </v>
      </c>
      <c r="M102" s="173" t="str">
        <f>IF(AND($D$11="IL",$E102="AMEREN"),"NA",TEXT((SUMPRODUCT(((LMPMain!$H$9:$H$1000)=$E102)*((LMPMain!$J$9:$J$1000)=$F102)*((LMPMain!$O$9:$O$1000)=$C102)*(LMPMain!S$9:S$1000))+(SUMPRODUCT(((Adders!$D$13:$D$101)=$E102)*((Adders!$E$13:$E$101)=$F102)*(Adders!H$13:H$101))+VLOOKUP($H102,Adders!$B$5:$G$8,M$11,FALSE)+Matrix!$D$2)*IF($D102="NJ",1.07,1))/$L$10,CHOOSE($M$10,$L$9,$M$9)))</f>
        <v xml:space="preserve"> 31.06 </v>
      </c>
      <c r="N102" s="174" t="str">
        <f>IF(AND($D$11="IL",$E102="AMEREN"),"NA",TEXT((SUMPRODUCT(((LMPMain!$H$9:$H$1000)=$E102)*((LMPMain!$J$9:$J$1000)=$F102)*((LMPMain!$O$9:$O$1000)=$C102)*(LMPMain!T$9:T$1000))+(SUMPRODUCT(((Adders!$D$13:$D$101)=$E102)*((Adders!$E$13:$E$101)=$F102)*(Adders!G$13:G$101))+VLOOKUP($H102,Adders!$B$5:$G$8,N$11,FALSE)+Matrix!$D$2)*IF($D102="NJ",1.07,1))/$L$10,CHOOSE($M$10,$L$9,$M$9)))</f>
        <v xml:space="preserve"> 30.43 </v>
      </c>
      <c r="O102" s="112"/>
    </row>
    <row r="103" spans="2:15" x14ac:dyDescent="0.25">
      <c r="B103" s="160" t="s">
        <v>666</v>
      </c>
      <c r="C103" s="135">
        <f t="shared" si="1"/>
        <v>42309</v>
      </c>
      <c r="D103" s="136" t="s">
        <v>6</v>
      </c>
      <c r="E103" s="137" t="s">
        <v>8</v>
      </c>
      <c r="F103" s="136" t="s">
        <v>10</v>
      </c>
      <c r="G103" s="137" t="str">
        <f t="shared" si="2"/>
        <v>General Service Medium</v>
      </c>
      <c r="H103" s="138" t="s">
        <v>690</v>
      </c>
      <c r="I103" s="176" t="str">
        <f>TEXT(   (SUMPRODUCT( ((Main!$H$9:$H$1000)=$E103)*((Main!$J$9:$J$1000)=$F103)*((Main!$O$9:$O$1000)=$C103)*(Main!R$9:R$1000) ) +  ( SUMPRODUCT( ((Adders!$D$13:$D$101)=$E103)*((Adders!$E$13:$E$101)=$F103)*(Adders!G$13:G$101)) + VLOOKUP($H103,Adders!$B$5:$G$8,L$11,FALSE)  +  PA!$D$2 ) * IF($D103="NJ",1.07,1))/$L$10, CHOOSE($M$10,$L$9,$M$9) )</f>
        <v xml:space="preserve"> 74.72 </v>
      </c>
      <c r="J103" s="176" t="str">
        <f>TEXT(   (SUMPRODUCT( ((Main!$H$9:$H$1000)=$E103)*((Main!$J$9:$J$1000)=$F103)*((Main!$O$9:$O$1000)=$C103)*(Main!S$9:S$1000) ) +  ( SUMPRODUCT( ((Adders!$D$13:$D$101)=$E103)*((Adders!$E$13:$E$101)=$F103)*(Adders!H$13:H$101)) + VLOOKUP($H103,Adders!$B$5:$G$8,M$11,FALSE)  +  PA!$D$2 ) * IF($D103="NJ",1.07,1))/$L$10, CHOOSE($M$10,$L$9,$M$9) )</f>
        <v xml:space="preserve"> 74.81 </v>
      </c>
      <c r="K103" s="177" t="str">
        <f>TEXT(   (SUMPRODUCT( ((Main!$H$9:$H$1000)=$E103)*((Main!$J$9:$J$1000)=$F103)*((Main!$O$9:$O$1000)=$C103)*(Main!T$9:T$1000) ) +  ( SUMPRODUCT( ((Adders!$D$13:$D$101)=$E103)*((Adders!$E$13:$E$101)=$F103)*(Adders!I$13:I$101)) + VLOOKUP($H103,Adders!$B$5:$G$8,N$11,FALSE)  +  PA!$D$2 ) * IF($D103="NJ",1.07,1))/$L$10, CHOOSE($M$10,$L$9,$M$9) )</f>
        <v xml:space="preserve"> 73.77 </v>
      </c>
      <c r="L103" s="176" t="str">
        <f>IF(AND($D$11="IL",$E103="AMEREN"),"NA",TEXT((SUMPRODUCT(((LMPMain!$H$9:$H$1000)=$E103)*((LMPMain!$J$9:$J$1000)=$F103)*((LMPMain!$O$9:$O$1000)=$C103)*(LMPMain!R$9:R$1000))+(SUMPRODUCT(((Adders!$D$13:$D$101)=$E103)*((Adders!$E$13:$E$101)=$F103)*(Adders!G$13:G$101))+VLOOKUP($H103,Adders!$B$5:$G$8,L$11,FALSE)+Matrix!$D$2)*IF($D103="NJ",1.07,1))/$L$10,CHOOSE($M$10,$L$9,$M$9)))</f>
        <v xml:space="preserve"> 30.52 </v>
      </c>
      <c r="M103" s="176" t="str">
        <f>IF(AND($D$11="IL",$E103="AMEREN"),"NA",TEXT((SUMPRODUCT(((LMPMain!$H$9:$H$1000)=$E103)*((LMPMain!$J$9:$J$1000)=$F103)*((LMPMain!$O$9:$O$1000)=$C103)*(LMPMain!S$9:S$1000))+(SUMPRODUCT(((Adders!$D$13:$D$101)=$E103)*((Adders!$E$13:$E$101)=$F103)*(Adders!H$13:H$101))+VLOOKUP($H103,Adders!$B$5:$G$8,M$11,FALSE)+Matrix!$D$2)*IF($D103="NJ",1.07,1))/$L$10,CHOOSE($M$10,$L$9,$M$9)))</f>
        <v xml:space="preserve"> 30.01 </v>
      </c>
      <c r="N103" s="177" t="str">
        <f>IF(AND($D$11="IL",$E103="AMEREN"),"NA",TEXT((SUMPRODUCT(((LMPMain!$H$9:$H$1000)=$E103)*((LMPMain!$J$9:$J$1000)=$F103)*((LMPMain!$O$9:$O$1000)=$C103)*(LMPMain!T$9:T$1000))+(SUMPRODUCT(((Adders!$D$13:$D$101)=$E103)*((Adders!$E$13:$E$101)=$F103)*(Adders!G$13:G$101))+VLOOKUP($H103,Adders!$B$5:$G$8,N$11,FALSE)+Matrix!$D$2)*IF($D103="NJ",1.07,1))/$L$10,CHOOSE($M$10,$L$9,$M$9)))</f>
        <v xml:space="preserve"> 29.38 </v>
      </c>
      <c r="O103" s="112"/>
    </row>
    <row r="104" spans="2:15" x14ac:dyDescent="0.25">
      <c r="B104" s="160" t="s">
        <v>666</v>
      </c>
      <c r="C104" s="127">
        <f t="shared" si="1"/>
        <v>42339</v>
      </c>
      <c r="D104" s="128" t="s">
        <v>6</v>
      </c>
      <c r="E104" s="129" t="s">
        <v>8</v>
      </c>
      <c r="F104" s="128" t="s">
        <v>10</v>
      </c>
      <c r="G104" s="129" t="str">
        <f t="shared" si="2"/>
        <v>General Service Medium</v>
      </c>
      <c r="H104" s="130" t="s">
        <v>61</v>
      </c>
      <c r="I104" s="178" t="str">
        <f>TEXT(   (SUMPRODUCT( ((Main!$H$9:$H$1000)=$E104)*((Main!$J$9:$J$1000)=$F104)*((Main!$O$9:$O$1000)=$C104)*(Main!R$9:R$1000) ) +  ( SUMPRODUCT( ((Adders!$D$13:$D$101)=$E104)*((Adders!$E$13:$E$101)=$F104)*(Adders!G$13:G$101)) + VLOOKUP($H104,Adders!$B$5:$G$8,L$11,FALSE)  +  PA!$D$2 ) * IF($D104="NJ",1.07,1))/$L$10, CHOOSE($M$10,$L$9,$M$9) )</f>
        <v xml:space="preserve"> 77.08 </v>
      </c>
      <c r="J104" s="178" t="str">
        <f>TEXT(   (SUMPRODUCT( ((Main!$H$9:$H$1000)=$E104)*((Main!$J$9:$J$1000)=$F104)*((Main!$O$9:$O$1000)=$C104)*(Main!S$9:S$1000) ) +  ( SUMPRODUCT( ((Adders!$D$13:$D$101)=$E104)*((Adders!$E$13:$E$101)=$F104)*(Adders!H$13:H$101)) + VLOOKUP($H104,Adders!$B$5:$G$8,M$11,FALSE)  +  PA!$D$2 ) * IF($D104="NJ",1.07,1))/$L$10, CHOOSE($M$10,$L$9,$M$9) )</f>
        <v xml:space="preserve"> 77.38 </v>
      </c>
      <c r="K104" s="179" t="str">
        <f>TEXT(   (SUMPRODUCT( ((Main!$H$9:$H$1000)=$E104)*((Main!$J$9:$J$1000)=$F104)*((Main!$O$9:$O$1000)=$C104)*(Main!T$9:T$1000) ) +  ( SUMPRODUCT( ((Adders!$D$13:$D$101)=$E104)*((Adders!$E$13:$E$101)=$F104)*(Adders!I$13:I$101)) + VLOOKUP($H104,Adders!$B$5:$G$8,N$11,FALSE)  +  PA!$D$2 ) * IF($D104="NJ",1.07,1))/$L$10, CHOOSE($M$10,$L$9,$M$9) )</f>
        <v xml:space="preserve"> 76.28 </v>
      </c>
      <c r="L104" s="178" t="str">
        <f>IF(AND($D$11="IL",$E104="AMEREN"),"NA",TEXT((SUMPRODUCT(((LMPMain!$H$9:$H$1000)=$E104)*((LMPMain!$J$9:$J$1000)=$F104)*((LMPMain!$O$9:$O$1000)=$C104)*(LMPMain!R$9:R$1000))+(SUMPRODUCT(((Adders!$D$13:$D$101)=$E104)*((Adders!$E$13:$E$101)=$F104)*(Adders!G$13:G$101))+VLOOKUP($H104,Adders!$B$5:$G$8,L$11,FALSE)+Matrix!$D$2)*IF($D104="NJ",1.07,1))/$L$10,CHOOSE($M$10,$L$9,$M$9)))</f>
        <v xml:space="preserve"> 32.81 </v>
      </c>
      <c r="M104" s="178" t="str">
        <f>IF(AND($D$11="IL",$E104="AMEREN"),"NA",TEXT((SUMPRODUCT(((LMPMain!$H$9:$H$1000)=$E104)*((LMPMain!$J$9:$J$1000)=$F104)*((LMPMain!$O$9:$O$1000)=$C104)*(LMPMain!S$9:S$1000))+(SUMPRODUCT(((Adders!$D$13:$D$101)=$E104)*((Adders!$E$13:$E$101)=$F104)*(Adders!H$13:H$101))+VLOOKUP($H104,Adders!$B$5:$G$8,M$11,FALSE)+Matrix!$D$2)*IF($D104="NJ",1.07,1))/$L$10,CHOOSE($M$10,$L$9,$M$9)))</f>
        <v xml:space="preserve"> 32.40 </v>
      </c>
      <c r="N104" s="179" t="str">
        <f>IF(AND($D$11="IL",$E104="AMEREN"),"NA",TEXT((SUMPRODUCT(((LMPMain!$H$9:$H$1000)=$E104)*((LMPMain!$J$9:$J$1000)=$F104)*((LMPMain!$O$9:$O$1000)=$C104)*(LMPMain!T$9:T$1000))+(SUMPRODUCT(((Adders!$D$13:$D$101)=$E104)*((Adders!$E$13:$E$101)=$F104)*(Adders!G$13:G$101))+VLOOKUP($H104,Adders!$B$5:$G$8,N$11,FALSE)+Matrix!$D$2)*IF($D104="NJ",1.07,1))/$L$10,CHOOSE($M$10,$L$9,$M$9)))</f>
        <v xml:space="preserve"> 31.86 </v>
      </c>
      <c r="O104" s="112"/>
    </row>
    <row r="105" spans="2:15" x14ac:dyDescent="0.25">
      <c r="B105" s="160" t="s">
        <v>666</v>
      </c>
      <c r="C105" s="131">
        <f t="shared" si="1"/>
        <v>42339</v>
      </c>
      <c r="D105" s="132" t="s">
        <v>6</v>
      </c>
      <c r="E105" s="133" t="s">
        <v>8</v>
      </c>
      <c r="F105" s="132" t="s">
        <v>10</v>
      </c>
      <c r="G105" s="133" t="str">
        <f t="shared" si="2"/>
        <v>General Service Medium</v>
      </c>
      <c r="H105" s="134" t="s">
        <v>62</v>
      </c>
      <c r="I105" s="173" t="str">
        <f>TEXT(   (SUMPRODUCT( ((Main!$H$9:$H$1000)=$E105)*((Main!$J$9:$J$1000)=$F105)*((Main!$O$9:$O$1000)=$C105)*(Main!R$9:R$1000) ) +  ( SUMPRODUCT( ((Adders!$D$13:$D$101)=$E105)*((Adders!$E$13:$E$101)=$F105)*(Adders!G$13:G$101)) + VLOOKUP($H105,Adders!$B$5:$G$8,L$11,FALSE)  +  PA!$D$2 ) * IF($D105="NJ",1.07,1))/$L$10, CHOOSE($M$10,$L$9,$M$9) )</f>
        <v xml:space="preserve"> 75.48 </v>
      </c>
      <c r="J105" s="173" t="str">
        <f>TEXT(   (SUMPRODUCT( ((Main!$H$9:$H$1000)=$E105)*((Main!$J$9:$J$1000)=$F105)*((Main!$O$9:$O$1000)=$C105)*(Main!S$9:S$1000) ) +  ( SUMPRODUCT( ((Adders!$D$13:$D$101)=$E105)*((Adders!$E$13:$E$101)=$F105)*(Adders!H$13:H$101)) + VLOOKUP($H105,Adders!$B$5:$G$8,M$11,FALSE)  +  PA!$D$2 ) * IF($D105="NJ",1.07,1))/$L$10, CHOOSE($M$10,$L$9,$M$9) )</f>
        <v xml:space="preserve"> 75.78 </v>
      </c>
      <c r="K105" s="174" t="str">
        <f>TEXT(   (SUMPRODUCT( ((Main!$H$9:$H$1000)=$E105)*((Main!$J$9:$J$1000)=$F105)*((Main!$O$9:$O$1000)=$C105)*(Main!T$9:T$1000) ) +  ( SUMPRODUCT( ((Adders!$D$13:$D$101)=$E105)*((Adders!$E$13:$E$101)=$F105)*(Adders!I$13:I$101)) + VLOOKUP($H105,Adders!$B$5:$G$8,N$11,FALSE)  +  PA!$D$2 ) * IF($D105="NJ",1.07,1))/$L$10, CHOOSE($M$10,$L$9,$M$9) )</f>
        <v xml:space="preserve"> 74.68 </v>
      </c>
      <c r="L105" s="173" t="str">
        <f>IF(AND($D$11="IL",$E105="AMEREN"),"NA",TEXT((SUMPRODUCT(((LMPMain!$H$9:$H$1000)=$E105)*((LMPMain!$J$9:$J$1000)=$F105)*((LMPMain!$O$9:$O$1000)=$C105)*(LMPMain!R$9:R$1000))+(SUMPRODUCT(((Adders!$D$13:$D$101)=$E105)*((Adders!$E$13:$E$101)=$F105)*(Adders!G$13:G$101))+VLOOKUP($H105,Adders!$B$5:$G$8,L$11,FALSE)+Matrix!$D$2)*IF($D105="NJ",1.07,1))/$L$10,CHOOSE($M$10,$L$9,$M$9)))</f>
        <v xml:space="preserve"> 31.21 </v>
      </c>
      <c r="M105" s="173" t="str">
        <f>IF(AND($D$11="IL",$E105="AMEREN"),"NA",TEXT((SUMPRODUCT(((LMPMain!$H$9:$H$1000)=$E105)*((LMPMain!$J$9:$J$1000)=$F105)*((LMPMain!$O$9:$O$1000)=$C105)*(LMPMain!S$9:S$1000))+(SUMPRODUCT(((Adders!$D$13:$D$101)=$E105)*((Adders!$E$13:$E$101)=$F105)*(Adders!H$13:H$101))+VLOOKUP($H105,Adders!$B$5:$G$8,M$11,FALSE)+Matrix!$D$2)*IF($D105="NJ",1.07,1))/$L$10,CHOOSE($M$10,$L$9,$M$9)))</f>
        <v xml:space="preserve"> 30.80 </v>
      </c>
      <c r="N105" s="174" t="str">
        <f>IF(AND($D$11="IL",$E105="AMEREN"),"NA",TEXT((SUMPRODUCT(((LMPMain!$H$9:$H$1000)=$E105)*((LMPMain!$J$9:$J$1000)=$F105)*((LMPMain!$O$9:$O$1000)=$C105)*(LMPMain!T$9:T$1000))+(SUMPRODUCT(((Adders!$D$13:$D$101)=$E105)*((Adders!$E$13:$E$101)=$F105)*(Adders!G$13:G$101))+VLOOKUP($H105,Adders!$B$5:$G$8,N$11,FALSE)+Matrix!$D$2)*IF($D105="NJ",1.07,1))/$L$10,CHOOSE($M$10,$L$9,$M$9)))</f>
        <v xml:space="preserve"> 30.26 </v>
      </c>
      <c r="O105" s="112"/>
    </row>
    <row r="106" spans="2:15" x14ac:dyDescent="0.25">
      <c r="B106" s="160" t="s">
        <v>666</v>
      </c>
      <c r="C106" s="135">
        <f t="shared" si="1"/>
        <v>42339</v>
      </c>
      <c r="D106" s="136" t="s">
        <v>6</v>
      </c>
      <c r="E106" s="137" t="s">
        <v>8</v>
      </c>
      <c r="F106" s="136" t="s">
        <v>10</v>
      </c>
      <c r="G106" s="137" t="str">
        <f t="shared" si="2"/>
        <v>General Service Medium</v>
      </c>
      <c r="H106" s="138" t="s">
        <v>690</v>
      </c>
      <c r="I106" s="176" t="str">
        <f>TEXT(   (SUMPRODUCT( ((Main!$H$9:$H$1000)=$E106)*((Main!$J$9:$J$1000)=$F106)*((Main!$O$9:$O$1000)=$C106)*(Main!R$9:R$1000) ) +  ( SUMPRODUCT( ((Adders!$D$13:$D$101)=$E106)*((Adders!$E$13:$E$101)=$F106)*(Adders!G$13:G$101)) + VLOOKUP($H106,Adders!$B$5:$G$8,L$11,FALSE)  +  PA!$D$2 ) * IF($D106="NJ",1.07,1))/$L$10, CHOOSE($M$10,$L$9,$M$9) )</f>
        <v xml:space="preserve"> 74.43 </v>
      </c>
      <c r="J106" s="176" t="str">
        <f>TEXT(   (SUMPRODUCT( ((Main!$H$9:$H$1000)=$E106)*((Main!$J$9:$J$1000)=$F106)*((Main!$O$9:$O$1000)=$C106)*(Main!S$9:S$1000) ) +  ( SUMPRODUCT( ((Adders!$D$13:$D$101)=$E106)*((Adders!$E$13:$E$101)=$F106)*(Adders!H$13:H$101)) + VLOOKUP($H106,Adders!$B$5:$G$8,M$11,FALSE)  +  PA!$D$2 ) * IF($D106="NJ",1.07,1))/$L$10, CHOOSE($M$10,$L$9,$M$9) )</f>
        <v xml:space="preserve"> 74.73 </v>
      </c>
      <c r="K106" s="177" t="str">
        <f>TEXT(   (SUMPRODUCT( ((Main!$H$9:$H$1000)=$E106)*((Main!$J$9:$J$1000)=$F106)*((Main!$O$9:$O$1000)=$C106)*(Main!T$9:T$1000) ) +  ( SUMPRODUCT( ((Adders!$D$13:$D$101)=$E106)*((Adders!$E$13:$E$101)=$F106)*(Adders!I$13:I$101)) + VLOOKUP($H106,Adders!$B$5:$G$8,N$11,FALSE)  +  PA!$D$2 ) * IF($D106="NJ",1.07,1))/$L$10, CHOOSE($M$10,$L$9,$M$9) )</f>
        <v xml:space="preserve"> 73.63 </v>
      </c>
      <c r="L106" s="176" t="str">
        <f>IF(AND($D$11="IL",$E106="AMEREN"),"NA",TEXT((SUMPRODUCT(((LMPMain!$H$9:$H$1000)=$E106)*((LMPMain!$J$9:$J$1000)=$F106)*((LMPMain!$O$9:$O$1000)=$C106)*(LMPMain!R$9:R$1000))+(SUMPRODUCT(((Adders!$D$13:$D$101)=$E106)*((Adders!$E$13:$E$101)=$F106)*(Adders!G$13:G$101))+VLOOKUP($H106,Adders!$B$5:$G$8,L$11,FALSE)+Matrix!$D$2)*IF($D106="NJ",1.07,1))/$L$10,CHOOSE($M$10,$L$9,$M$9)))</f>
        <v xml:space="preserve"> 30.16 </v>
      </c>
      <c r="M106" s="176" t="str">
        <f>IF(AND($D$11="IL",$E106="AMEREN"),"NA",TEXT((SUMPRODUCT(((LMPMain!$H$9:$H$1000)=$E106)*((LMPMain!$J$9:$J$1000)=$F106)*((LMPMain!$O$9:$O$1000)=$C106)*(LMPMain!S$9:S$1000))+(SUMPRODUCT(((Adders!$D$13:$D$101)=$E106)*((Adders!$E$13:$E$101)=$F106)*(Adders!H$13:H$101))+VLOOKUP($H106,Adders!$B$5:$G$8,M$11,FALSE)+Matrix!$D$2)*IF($D106="NJ",1.07,1))/$L$10,CHOOSE($M$10,$L$9,$M$9)))</f>
        <v xml:space="preserve"> 29.75 </v>
      </c>
      <c r="N106" s="177" t="str">
        <f>IF(AND($D$11="IL",$E106="AMEREN"),"NA",TEXT((SUMPRODUCT(((LMPMain!$H$9:$H$1000)=$E106)*((LMPMain!$J$9:$J$1000)=$F106)*((LMPMain!$O$9:$O$1000)=$C106)*(LMPMain!T$9:T$1000))+(SUMPRODUCT(((Adders!$D$13:$D$101)=$E106)*((Adders!$E$13:$E$101)=$F106)*(Adders!G$13:G$101))+VLOOKUP($H106,Adders!$B$5:$G$8,N$11,FALSE)+Matrix!$D$2)*IF($D106="NJ",1.07,1))/$L$10,CHOOSE($M$10,$L$9,$M$9)))</f>
        <v xml:space="preserve"> 29.21 </v>
      </c>
      <c r="O106" s="112"/>
    </row>
    <row r="107" spans="2:15" x14ac:dyDescent="0.25">
      <c r="B107" s="160" t="s">
        <v>666</v>
      </c>
      <c r="C107" s="127">
        <f t="shared" si="1"/>
        <v>42370</v>
      </c>
      <c r="D107" s="128" t="s">
        <v>6</v>
      </c>
      <c r="E107" s="129" t="s">
        <v>8</v>
      </c>
      <c r="F107" s="128" t="s">
        <v>10</v>
      </c>
      <c r="G107" s="129" t="str">
        <f t="shared" si="2"/>
        <v>General Service Medium</v>
      </c>
      <c r="H107" s="130" t="s">
        <v>61</v>
      </c>
      <c r="I107" s="178" t="str">
        <f>TEXT(   (SUMPRODUCT( ((Main!$H$9:$H$1000)=$E107)*((Main!$J$9:$J$1000)=$F107)*((Main!$O$9:$O$1000)=$C107)*(Main!R$9:R$1000) ) +  ( SUMPRODUCT( ((Adders!$D$13:$D$101)=$E107)*((Adders!$E$13:$E$101)=$F107)*(Adders!G$13:G$101)) + VLOOKUP($H107,Adders!$B$5:$G$8,L$11,FALSE)  +  PA!$D$2 ) * IF($D107="NJ",1.07,1))/$L$10, CHOOSE($M$10,$L$9,$M$9) )</f>
        <v xml:space="preserve"> 76.55 </v>
      </c>
      <c r="J107" s="178" t="str">
        <f>TEXT(   (SUMPRODUCT( ((Main!$H$9:$H$1000)=$E107)*((Main!$J$9:$J$1000)=$F107)*((Main!$O$9:$O$1000)=$C107)*(Main!S$9:S$1000) ) +  ( SUMPRODUCT( ((Adders!$D$13:$D$101)=$E107)*((Adders!$E$13:$E$101)=$F107)*(Adders!H$13:H$101)) + VLOOKUP($H107,Adders!$B$5:$G$8,M$11,FALSE)  +  PA!$D$2 ) * IF($D107="NJ",1.07,1))/$L$10, CHOOSE($M$10,$L$9,$M$9) )</f>
        <v xml:space="preserve"> 76.98 </v>
      </c>
      <c r="K107" s="179" t="str">
        <f>TEXT(   (SUMPRODUCT( ((Main!$H$9:$H$1000)=$E107)*((Main!$J$9:$J$1000)=$F107)*((Main!$O$9:$O$1000)=$C107)*(Main!T$9:T$1000) ) +  ( SUMPRODUCT( ((Adders!$D$13:$D$101)=$E107)*((Adders!$E$13:$E$101)=$F107)*(Adders!I$13:I$101)) + VLOOKUP($H107,Adders!$B$5:$G$8,N$11,FALSE)  +  PA!$D$2 ) * IF($D107="NJ",1.07,1))/$L$10, CHOOSE($M$10,$L$9,$M$9) )</f>
        <v xml:space="preserve"> 76.04 </v>
      </c>
      <c r="L107" s="178" t="str">
        <f>IF(AND($D$11="IL",$E107="AMEREN"),"NA",TEXT((SUMPRODUCT(((LMPMain!$H$9:$H$1000)=$E107)*((LMPMain!$J$9:$J$1000)=$F107)*((LMPMain!$O$9:$O$1000)=$C107)*(LMPMain!R$9:R$1000))+(SUMPRODUCT(((Adders!$D$13:$D$101)=$E107)*((Adders!$E$13:$E$101)=$F107)*(Adders!G$13:G$101))+VLOOKUP($H107,Adders!$B$5:$G$8,L$11,FALSE)+Matrix!$D$2)*IF($D107="NJ",1.07,1))/$L$10,CHOOSE($M$10,$L$9,$M$9)))</f>
        <v xml:space="preserve"> 32.44 </v>
      </c>
      <c r="M107" s="178" t="str">
        <f>IF(AND($D$11="IL",$E107="AMEREN"),"NA",TEXT((SUMPRODUCT(((LMPMain!$H$9:$H$1000)=$E107)*((LMPMain!$J$9:$J$1000)=$F107)*((LMPMain!$O$9:$O$1000)=$C107)*(LMPMain!S$9:S$1000))+(SUMPRODUCT(((Adders!$D$13:$D$101)=$E107)*((Adders!$E$13:$E$101)=$F107)*(Adders!H$13:H$101))+VLOOKUP($H107,Adders!$B$5:$G$8,M$11,FALSE)+Matrix!$D$2)*IF($D107="NJ",1.07,1))/$L$10,CHOOSE($M$10,$L$9,$M$9)))</f>
        <v xml:space="preserve"> 32.11 </v>
      </c>
      <c r="N107" s="179" t="str">
        <f>IF(AND($D$11="IL",$E107="AMEREN"),"NA",TEXT((SUMPRODUCT(((LMPMain!$H$9:$H$1000)=$E107)*((LMPMain!$J$9:$J$1000)=$F107)*((LMPMain!$O$9:$O$1000)=$C107)*(LMPMain!T$9:T$1000))+(SUMPRODUCT(((Adders!$D$13:$D$101)=$E107)*((Adders!$E$13:$E$101)=$F107)*(Adders!G$13:G$101))+VLOOKUP($H107,Adders!$B$5:$G$8,N$11,FALSE)+Matrix!$D$2)*IF($D107="NJ",1.07,1))/$L$10,CHOOSE($M$10,$L$9,$M$9)))</f>
        <v xml:space="preserve"> 31.69 </v>
      </c>
      <c r="O107" s="112"/>
    </row>
    <row r="108" spans="2:15" x14ac:dyDescent="0.25">
      <c r="B108" s="160" t="s">
        <v>666</v>
      </c>
      <c r="C108" s="131">
        <f t="shared" si="1"/>
        <v>42370</v>
      </c>
      <c r="D108" s="132" t="s">
        <v>6</v>
      </c>
      <c r="E108" s="133" t="s">
        <v>8</v>
      </c>
      <c r="F108" s="132" t="s">
        <v>10</v>
      </c>
      <c r="G108" s="133" t="str">
        <f t="shared" si="2"/>
        <v>General Service Medium</v>
      </c>
      <c r="H108" s="134" t="s">
        <v>62</v>
      </c>
      <c r="I108" s="173" t="str">
        <f>TEXT(   (SUMPRODUCT( ((Main!$H$9:$H$1000)=$E108)*((Main!$J$9:$J$1000)=$F108)*((Main!$O$9:$O$1000)=$C108)*(Main!R$9:R$1000) ) +  ( SUMPRODUCT( ((Adders!$D$13:$D$101)=$E108)*((Adders!$E$13:$E$101)=$F108)*(Adders!G$13:G$101)) + VLOOKUP($H108,Adders!$B$5:$G$8,L$11,FALSE)  +  PA!$D$2 ) * IF($D108="NJ",1.07,1))/$L$10, CHOOSE($M$10,$L$9,$M$9) )</f>
        <v xml:space="preserve"> 74.95 </v>
      </c>
      <c r="J108" s="173" t="str">
        <f>TEXT(   (SUMPRODUCT( ((Main!$H$9:$H$1000)=$E108)*((Main!$J$9:$J$1000)=$F108)*((Main!$O$9:$O$1000)=$C108)*(Main!S$9:S$1000) ) +  ( SUMPRODUCT( ((Adders!$D$13:$D$101)=$E108)*((Adders!$E$13:$E$101)=$F108)*(Adders!H$13:H$101)) + VLOOKUP($H108,Adders!$B$5:$G$8,M$11,FALSE)  +  PA!$D$2 ) * IF($D108="NJ",1.07,1))/$L$10, CHOOSE($M$10,$L$9,$M$9) )</f>
        <v xml:space="preserve"> 75.38 </v>
      </c>
      <c r="K108" s="174" t="str">
        <f>TEXT(   (SUMPRODUCT( ((Main!$H$9:$H$1000)=$E108)*((Main!$J$9:$J$1000)=$F108)*((Main!$O$9:$O$1000)=$C108)*(Main!T$9:T$1000) ) +  ( SUMPRODUCT( ((Adders!$D$13:$D$101)=$E108)*((Adders!$E$13:$E$101)=$F108)*(Adders!I$13:I$101)) + VLOOKUP($H108,Adders!$B$5:$G$8,N$11,FALSE)  +  PA!$D$2 ) * IF($D108="NJ",1.07,1))/$L$10, CHOOSE($M$10,$L$9,$M$9) )</f>
        <v xml:space="preserve"> 74.44 </v>
      </c>
      <c r="L108" s="173" t="str">
        <f>IF(AND($D$11="IL",$E108="AMEREN"),"NA",TEXT((SUMPRODUCT(((LMPMain!$H$9:$H$1000)=$E108)*((LMPMain!$J$9:$J$1000)=$F108)*((LMPMain!$O$9:$O$1000)=$C108)*(LMPMain!R$9:R$1000))+(SUMPRODUCT(((Adders!$D$13:$D$101)=$E108)*((Adders!$E$13:$E$101)=$F108)*(Adders!G$13:G$101))+VLOOKUP($H108,Adders!$B$5:$G$8,L$11,FALSE)+Matrix!$D$2)*IF($D108="NJ",1.07,1))/$L$10,CHOOSE($M$10,$L$9,$M$9)))</f>
        <v xml:space="preserve"> 30.84 </v>
      </c>
      <c r="M108" s="173" t="str">
        <f>IF(AND($D$11="IL",$E108="AMEREN"),"NA",TEXT((SUMPRODUCT(((LMPMain!$H$9:$H$1000)=$E108)*((LMPMain!$J$9:$J$1000)=$F108)*((LMPMain!$O$9:$O$1000)=$C108)*(LMPMain!S$9:S$1000))+(SUMPRODUCT(((Adders!$D$13:$D$101)=$E108)*((Adders!$E$13:$E$101)=$F108)*(Adders!H$13:H$101))+VLOOKUP($H108,Adders!$B$5:$G$8,M$11,FALSE)+Matrix!$D$2)*IF($D108="NJ",1.07,1))/$L$10,CHOOSE($M$10,$L$9,$M$9)))</f>
        <v xml:space="preserve"> 30.51 </v>
      </c>
      <c r="N108" s="174" t="str">
        <f>IF(AND($D$11="IL",$E108="AMEREN"),"NA",TEXT((SUMPRODUCT(((LMPMain!$H$9:$H$1000)=$E108)*((LMPMain!$J$9:$J$1000)=$F108)*((LMPMain!$O$9:$O$1000)=$C108)*(LMPMain!T$9:T$1000))+(SUMPRODUCT(((Adders!$D$13:$D$101)=$E108)*((Adders!$E$13:$E$101)=$F108)*(Adders!G$13:G$101))+VLOOKUP($H108,Adders!$B$5:$G$8,N$11,FALSE)+Matrix!$D$2)*IF($D108="NJ",1.07,1))/$L$10,CHOOSE($M$10,$L$9,$M$9)))</f>
        <v xml:space="preserve"> 30.09 </v>
      </c>
      <c r="O108" s="112"/>
    </row>
    <row r="109" spans="2:15" x14ac:dyDescent="0.25">
      <c r="B109" s="160" t="s">
        <v>666</v>
      </c>
      <c r="C109" s="135">
        <f t="shared" si="1"/>
        <v>42370</v>
      </c>
      <c r="D109" s="136" t="s">
        <v>6</v>
      </c>
      <c r="E109" s="137" t="s">
        <v>8</v>
      </c>
      <c r="F109" s="136" t="s">
        <v>10</v>
      </c>
      <c r="G109" s="137" t="str">
        <f t="shared" si="2"/>
        <v>General Service Medium</v>
      </c>
      <c r="H109" s="138" t="s">
        <v>690</v>
      </c>
      <c r="I109" s="176" t="str">
        <f>TEXT(   (SUMPRODUCT( ((Main!$H$9:$H$1000)=$E109)*((Main!$J$9:$J$1000)=$F109)*((Main!$O$9:$O$1000)=$C109)*(Main!R$9:R$1000) ) +  ( SUMPRODUCT( ((Adders!$D$13:$D$101)=$E109)*((Adders!$E$13:$E$101)=$F109)*(Adders!G$13:G$101)) + VLOOKUP($H109,Adders!$B$5:$G$8,L$11,FALSE)  +  PA!$D$2 ) * IF($D109="NJ",1.07,1))/$L$10, CHOOSE($M$10,$L$9,$M$9) )</f>
        <v xml:space="preserve"> 73.90 </v>
      </c>
      <c r="J109" s="176" t="str">
        <f>TEXT(   (SUMPRODUCT( ((Main!$H$9:$H$1000)=$E109)*((Main!$J$9:$J$1000)=$F109)*((Main!$O$9:$O$1000)=$C109)*(Main!S$9:S$1000) ) +  ( SUMPRODUCT( ((Adders!$D$13:$D$101)=$E109)*((Adders!$E$13:$E$101)=$F109)*(Adders!H$13:H$101)) + VLOOKUP($H109,Adders!$B$5:$G$8,M$11,FALSE)  +  PA!$D$2 ) * IF($D109="NJ",1.07,1))/$L$10, CHOOSE($M$10,$L$9,$M$9) )</f>
        <v xml:space="preserve"> 74.33 </v>
      </c>
      <c r="K109" s="177" t="str">
        <f>TEXT(   (SUMPRODUCT( ((Main!$H$9:$H$1000)=$E109)*((Main!$J$9:$J$1000)=$F109)*((Main!$O$9:$O$1000)=$C109)*(Main!T$9:T$1000) ) +  ( SUMPRODUCT( ((Adders!$D$13:$D$101)=$E109)*((Adders!$E$13:$E$101)=$F109)*(Adders!I$13:I$101)) + VLOOKUP($H109,Adders!$B$5:$G$8,N$11,FALSE)  +  PA!$D$2 ) * IF($D109="NJ",1.07,1))/$L$10, CHOOSE($M$10,$L$9,$M$9) )</f>
        <v xml:space="preserve"> 73.39 </v>
      </c>
      <c r="L109" s="176" t="str">
        <f>IF(AND($D$11="IL",$E109="AMEREN"),"NA",TEXT((SUMPRODUCT(((LMPMain!$H$9:$H$1000)=$E109)*((LMPMain!$J$9:$J$1000)=$F109)*((LMPMain!$O$9:$O$1000)=$C109)*(LMPMain!R$9:R$1000))+(SUMPRODUCT(((Adders!$D$13:$D$101)=$E109)*((Adders!$E$13:$E$101)=$F109)*(Adders!G$13:G$101))+VLOOKUP($H109,Adders!$B$5:$G$8,L$11,FALSE)+Matrix!$D$2)*IF($D109="NJ",1.07,1))/$L$10,CHOOSE($M$10,$L$9,$M$9)))</f>
        <v xml:space="preserve"> 29.79 </v>
      </c>
      <c r="M109" s="176" t="str">
        <f>IF(AND($D$11="IL",$E109="AMEREN"),"NA",TEXT((SUMPRODUCT(((LMPMain!$H$9:$H$1000)=$E109)*((LMPMain!$J$9:$J$1000)=$F109)*((LMPMain!$O$9:$O$1000)=$C109)*(LMPMain!S$9:S$1000))+(SUMPRODUCT(((Adders!$D$13:$D$101)=$E109)*((Adders!$E$13:$E$101)=$F109)*(Adders!H$13:H$101))+VLOOKUP($H109,Adders!$B$5:$G$8,M$11,FALSE)+Matrix!$D$2)*IF($D109="NJ",1.07,1))/$L$10,CHOOSE($M$10,$L$9,$M$9)))</f>
        <v xml:space="preserve"> 29.46 </v>
      </c>
      <c r="N109" s="177" t="str">
        <f>IF(AND($D$11="IL",$E109="AMEREN"),"NA",TEXT((SUMPRODUCT(((LMPMain!$H$9:$H$1000)=$E109)*((LMPMain!$J$9:$J$1000)=$F109)*((LMPMain!$O$9:$O$1000)=$C109)*(LMPMain!T$9:T$1000))+(SUMPRODUCT(((Adders!$D$13:$D$101)=$E109)*((Adders!$E$13:$E$101)=$F109)*(Adders!G$13:G$101))+VLOOKUP($H109,Adders!$B$5:$G$8,N$11,FALSE)+Matrix!$D$2)*IF($D109="NJ",1.07,1))/$L$10,CHOOSE($M$10,$L$9,$M$9)))</f>
        <v xml:space="preserve"> 29.04 </v>
      </c>
      <c r="O109" s="112"/>
    </row>
    <row r="110" spans="2:15" x14ac:dyDescent="0.25">
      <c r="B110" s="160" t="s">
        <v>666</v>
      </c>
      <c r="C110" s="127">
        <f t="shared" si="1"/>
        <v>42401</v>
      </c>
      <c r="D110" s="128" t="s">
        <v>6</v>
      </c>
      <c r="E110" s="129" t="s">
        <v>8</v>
      </c>
      <c r="F110" s="128" t="s">
        <v>10</v>
      </c>
      <c r="G110" s="129" t="str">
        <f t="shared" si="2"/>
        <v>General Service Medium</v>
      </c>
      <c r="H110" s="130" t="s">
        <v>61</v>
      </c>
      <c r="I110" s="178" t="str">
        <f>TEXT(   (SUMPRODUCT( ((Main!$H$9:$H$1000)=$E110)*((Main!$J$9:$J$1000)=$F110)*((Main!$O$9:$O$1000)=$C110)*(Main!R$9:R$1000) ) +  ( SUMPRODUCT( ((Adders!$D$13:$D$101)=$E110)*((Adders!$E$13:$E$101)=$F110)*(Adders!G$13:G$101)) + VLOOKUP($H110,Adders!$B$5:$G$8,L$11,FALSE)  +  PA!$D$2 ) * IF($D110="NJ",1.07,1))/$L$10, CHOOSE($M$10,$L$9,$M$9) )</f>
        <v xml:space="preserve"> 76.30 </v>
      </c>
      <c r="J110" s="178" t="str">
        <f>TEXT(   (SUMPRODUCT( ((Main!$H$9:$H$1000)=$E110)*((Main!$J$9:$J$1000)=$F110)*((Main!$O$9:$O$1000)=$C110)*(Main!S$9:S$1000) ) +  ( SUMPRODUCT( ((Adders!$D$13:$D$101)=$E110)*((Adders!$E$13:$E$101)=$F110)*(Adders!H$13:H$101)) + VLOOKUP($H110,Adders!$B$5:$G$8,M$11,FALSE)  +  PA!$D$2 ) * IF($D110="NJ",1.07,1))/$L$10, CHOOSE($M$10,$L$9,$M$9) )</f>
        <v xml:space="preserve"> 76.43 </v>
      </c>
      <c r="K110" s="179" t="str">
        <f>TEXT(   (SUMPRODUCT( ((Main!$H$9:$H$1000)=$E110)*((Main!$J$9:$J$1000)=$F110)*((Main!$O$9:$O$1000)=$C110)*(Main!T$9:T$1000) ) +  ( SUMPRODUCT( ((Adders!$D$13:$D$101)=$E110)*((Adders!$E$13:$E$101)=$F110)*(Adders!I$13:I$101)) + VLOOKUP($H110,Adders!$B$5:$G$8,N$11,FALSE)  +  PA!$D$2 ) * IF($D110="NJ",1.07,1))/$L$10, CHOOSE($M$10,$L$9,$M$9) )</f>
        <v xml:space="preserve"> 76.11 </v>
      </c>
      <c r="L110" s="178" t="str">
        <f>IF(AND($D$11="IL",$E110="AMEREN"),"NA",TEXT((SUMPRODUCT(((LMPMain!$H$9:$H$1000)=$E110)*((LMPMain!$J$9:$J$1000)=$F110)*((LMPMain!$O$9:$O$1000)=$C110)*(LMPMain!R$9:R$1000))+(SUMPRODUCT(((Adders!$D$13:$D$101)=$E110)*((Adders!$E$13:$E$101)=$F110)*(Adders!G$13:G$101))+VLOOKUP($H110,Adders!$B$5:$G$8,L$11,FALSE)+Matrix!$D$2)*IF($D110="NJ",1.07,1))/$L$10,CHOOSE($M$10,$L$9,$M$9)))</f>
        <v xml:space="preserve"> 32.06 </v>
      </c>
      <c r="M110" s="178" t="str">
        <f>IF(AND($D$11="IL",$E110="AMEREN"),"NA",TEXT((SUMPRODUCT(((LMPMain!$H$9:$H$1000)=$E110)*((LMPMain!$J$9:$J$1000)=$F110)*((LMPMain!$O$9:$O$1000)=$C110)*(LMPMain!S$9:S$1000))+(SUMPRODUCT(((Adders!$D$13:$D$101)=$E110)*((Adders!$E$13:$E$101)=$F110)*(Adders!H$13:H$101))+VLOOKUP($H110,Adders!$B$5:$G$8,M$11,FALSE)+Matrix!$D$2)*IF($D110="NJ",1.07,1))/$L$10,CHOOSE($M$10,$L$9,$M$9)))</f>
        <v xml:space="preserve"> 31.66 </v>
      </c>
      <c r="N110" s="179" t="str">
        <f>IF(AND($D$11="IL",$E110="AMEREN"),"NA",TEXT((SUMPRODUCT(((LMPMain!$H$9:$H$1000)=$E110)*((LMPMain!$J$9:$J$1000)=$F110)*((LMPMain!$O$9:$O$1000)=$C110)*(LMPMain!T$9:T$1000))+(SUMPRODUCT(((Adders!$D$13:$D$101)=$E110)*((Adders!$E$13:$E$101)=$F110)*(Adders!G$13:G$101))+VLOOKUP($H110,Adders!$B$5:$G$8,N$11,FALSE)+Matrix!$D$2)*IF($D110="NJ",1.07,1))/$L$10,CHOOSE($M$10,$L$9,$M$9)))</f>
        <v xml:space="preserve"> 31.52 </v>
      </c>
      <c r="O110" s="112"/>
    </row>
    <row r="111" spans="2:15" x14ac:dyDescent="0.25">
      <c r="B111" s="160" t="s">
        <v>666</v>
      </c>
      <c r="C111" s="131">
        <f t="shared" si="1"/>
        <v>42401</v>
      </c>
      <c r="D111" s="132" t="s">
        <v>6</v>
      </c>
      <c r="E111" s="133" t="s">
        <v>8</v>
      </c>
      <c r="F111" s="132" t="s">
        <v>10</v>
      </c>
      <c r="G111" s="133" t="str">
        <f t="shared" si="2"/>
        <v>General Service Medium</v>
      </c>
      <c r="H111" s="134" t="s">
        <v>62</v>
      </c>
      <c r="I111" s="173" t="str">
        <f>TEXT(   (SUMPRODUCT( ((Main!$H$9:$H$1000)=$E111)*((Main!$J$9:$J$1000)=$F111)*((Main!$O$9:$O$1000)=$C111)*(Main!R$9:R$1000) ) +  ( SUMPRODUCT( ((Adders!$D$13:$D$101)=$E111)*((Adders!$E$13:$E$101)=$F111)*(Adders!G$13:G$101)) + VLOOKUP($H111,Adders!$B$5:$G$8,L$11,FALSE)  +  PA!$D$2 ) * IF($D111="NJ",1.07,1))/$L$10, CHOOSE($M$10,$L$9,$M$9) )</f>
        <v xml:space="preserve"> 74.70 </v>
      </c>
      <c r="J111" s="173" t="str">
        <f>TEXT(   (SUMPRODUCT( ((Main!$H$9:$H$1000)=$E111)*((Main!$J$9:$J$1000)=$F111)*((Main!$O$9:$O$1000)=$C111)*(Main!S$9:S$1000) ) +  ( SUMPRODUCT( ((Adders!$D$13:$D$101)=$E111)*((Adders!$E$13:$E$101)=$F111)*(Adders!H$13:H$101)) + VLOOKUP($H111,Adders!$B$5:$G$8,M$11,FALSE)  +  PA!$D$2 ) * IF($D111="NJ",1.07,1))/$L$10, CHOOSE($M$10,$L$9,$M$9) )</f>
        <v xml:space="preserve"> 74.83 </v>
      </c>
      <c r="K111" s="174" t="str">
        <f>TEXT(   (SUMPRODUCT( ((Main!$H$9:$H$1000)=$E111)*((Main!$J$9:$J$1000)=$F111)*((Main!$O$9:$O$1000)=$C111)*(Main!T$9:T$1000) ) +  ( SUMPRODUCT( ((Adders!$D$13:$D$101)=$E111)*((Adders!$E$13:$E$101)=$F111)*(Adders!I$13:I$101)) + VLOOKUP($H111,Adders!$B$5:$G$8,N$11,FALSE)  +  PA!$D$2 ) * IF($D111="NJ",1.07,1))/$L$10, CHOOSE($M$10,$L$9,$M$9) )</f>
        <v xml:space="preserve"> 74.51 </v>
      </c>
      <c r="L111" s="173" t="str">
        <f>IF(AND($D$11="IL",$E111="AMEREN"),"NA",TEXT((SUMPRODUCT(((LMPMain!$H$9:$H$1000)=$E111)*((LMPMain!$J$9:$J$1000)=$F111)*((LMPMain!$O$9:$O$1000)=$C111)*(LMPMain!R$9:R$1000))+(SUMPRODUCT(((Adders!$D$13:$D$101)=$E111)*((Adders!$E$13:$E$101)=$F111)*(Adders!G$13:G$101))+VLOOKUP($H111,Adders!$B$5:$G$8,L$11,FALSE)+Matrix!$D$2)*IF($D111="NJ",1.07,1))/$L$10,CHOOSE($M$10,$L$9,$M$9)))</f>
        <v xml:space="preserve"> 30.46 </v>
      </c>
      <c r="M111" s="173" t="str">
        <f>IF(AND($D$11="IL",$E111="AMEREN"),"NA",TEXT((SUMPRODUCT(((LMPMain!$H$9:$H$1000)=$E111)*((LMPMain!$J$9:$J$1000)=$F111)*((LMPMain!$O$9:$O$1000)=$C111)*(LMPMain!S$9:S$1000))+(SUMPRODUCT(((Adders!$D$13:$D$101)=$E111)*((Adders!$E$13:$E$101)=$F111)*(Adders!H$13:H$101))+VLOOKUP($H111,Adders!$B$5:$G$8,M$11,FALSE)+Matrix!$D$2)*IF($D111="NJ",1.07,1))/$L$10,CHOOSE($M$10,$L$9,$M$9)))</f>
        <v xml:space="preserve"> 30.06 </v>
      </c>
      <c r="N111" s="174" t="str">
        <f>IF(AND($D$11="IL",$E111="AMEREN"),"NA",TEXT((SUMPRODUCT(((LMPMain!$H$9:$H$1000)=$E111)*((LMPMain!$J$9:$J$1000)=$F111)*((LMPMain!$O$9:$O$1000)=$C111)*(LMPMain!T$9:T$1000))+(SUMPRODUCT(((Adders!$D$13:$D$101)=$E111)*((Adders!$E$13:$E$101)=$F111)*(Adders!G$13:G$101))+VLOOKUP($H111,Adders!$B$5:$G$8,N$11,FALSE)+Matrix!$D$2)*IF($D111="NJ",1.07,1))/$L$10,CHOOSE($M$10,$L$9,$M$9)))</f>
        <v xml:space="preserve"> 29.92 </v>
      </c>
      <c r="O111" s="112"/>
    </row>
    <row r="112" spans="2:15" x14ac:dyDescent="0.25">
      <c r="B112" s="160" t="s">
        <v>666</v>
      </c>
      <c r="C112" s="135">
        <f t="shared" si="1"/>
        <v>42401</v>
      </c>
      <c r="D112" s="136" t="s">
        <v>6</v>
      </c>
      <c r="E112" s="137" t="s">
        <v>8</v>
      </c>
      <c r="F112" s="136" t="s">
        <v>10</v>
      </c>
      <c r="G112" s="137" t="str">
        <f t="shared" si="2"/>
        <v>General Service Medium</v>
      </c>
      <c r="H112" s="138" t="s">
        <v>690</v>
      </c>
      <c r="I112" s="176" t="str">
        <f>TEXT(   (SUMPRODUCT( ((Main!$H$9:$H$1000)=$E112)*((Main!$J$9:$J$1000)=$F112)*((Main!$O$9:$O$1000)=$C112)*(Main!R$9:R$1000) ) +  ( SUMPRODUCT( ((Adders!$D$13:$D$101)=$E112)*((Adders!$E$13:$E$101)=$F112)*(Adders!G$13:G$101)) + VLOOKUP($H112,Adders!$B$5:$G$8,L$11,FALSE)  +  PA!$D$2 ) * IF($D112="NJ",1.07,1))/$L$10, CHOOSE($M$10,$L$9,$M$9) )</f>
        <v xml:space="preserve"> 73.65 </v>
      </c>
      <c r="J112" s="176" t="str">
        <f>TEXT(   (SUMPRODUCT( ((Main!$H$9:$H$1000)=$E112)*((Main!$J$9:$J$1000)=$F112)*((Main!$O$9:$O$1000)=$C112)*(Main!S$9:S$1000) ) +  ( SUMPRODUCT( ((Adders!$D$13:$D$101)=$E112)*((Adders!$E$13:$E$101)=$F112)*(Adders!H$13:H$101)) + VLOOKUP($H112,Adders!$B$5:$G$8,M$11,FALSE)  +  PA!$D$2 ) * IF($D112="NJ",1.07,1))/$L$10, CHOOSE($M$10,$L$9,$M$9) )</f>
        <v xml:space="preserve"> 73.78 </v>
      </c>
      <c r="K112" s="177" t="str">
        <f>TEXT(   (SUMPRODUCT( ((Main!$H$9:$H$1000)=$E112)*((Main!$J$9:$J$1000)=$F112)*((Main!$O$9:$O$1000)=$C112)*(Main!T$9:T$1000) ) +  ( SUMPRODUCT( ((Adders!$D$13:$D$101)=$E112)*((Adders!$E$13:$E$101)=$F112)*(Adders!I$13:I$101)) + VLOOKUP($H112,Adders!$B$5:$G$8,N$11,FALSE)  +  PA!$D$2 ) * IF($D112="NJ",1.07,1))/$L$10, CHOOSE($M$10,$L$9,$M$9) )</f>
        <v xml:space="preserve"> 73.46 </v>
      </c>
      <c r="L112" s="176" t="str">
        <f>IF(AND($D$11="IL",$E112="AMEREN"),"NA",TEXT((SUMPRODUCT(((LMPMain!$H$9:$H$1000)=$E112)*((LMPMain!$J$9:$J$1000)=$F112)*((LMPMain!$O$9:$O$1000)=$C112)*(LMPMain!R$9:R$1000))+(SUMPRODUCT(((Adders!$D$13:$D$101)=$E112)*((Adders!$E$13:$E$101)=$F112)*(Adders!G$13:G$101))+VLOOKUP($H112,Adders!$B$5:$G$8,L$11,FALSE)+Matrix!$D$2)*IF($D112="NJ",1.07,1))/$L$10,CHOOSE($M$10,$L$9,$M$9)))</f>
        <v xml:space="preserve"> 29.41 </v>
      </c>
      <c r="M112" s="176" t="str">
        <f>IF(AND($D$11="IL",$E112="AMEREN"),"NA",TEXT((SUMPRODUCT(((LMPMain!$H$9:$H$1000)=$E112)*((LMPMain!$J$9:$J$1000)=$F112)*((LMPMain!$O$9:$O$1000)=$C112)*(LMPMain!S$9:S$1000))+(SUMPRODUCT(((Adders!$D$13:$D$101)=$E112)*((Adders!$E$13:$E$101)=$F112)*(Adders!H$13:H$101))+VLOOKUP($H112,Adders!$B$5:$G$8,M$11,FALSE)+Matrix!$D$2)*IF($D112="NJ",1.07,1))/$L$10,CHOOSE($M$10,$L$9,$M$9)))</f>
        <v xml:space="preserve"> 29.01 </v>
      </c>
      <c r="N112" s="177" t="str">
        <f>IF(AND($D$11="IL",$E112="AMEREN"),"NA",TEXT((SUMPRODUCT(((LMPMain!$H$9:$H$1000)=$E112)*((LMPMain!$J$9:$J$1000)=$F112)*((LMPMain!$O$9:$O$1000)=$C112)*(LMPMain!T$9:T$1000))+(SUMPRODUCT(((Adders!$D$13:$D$101)=$E112)*((Adders!$E$13:$E$101)=$F112)*(Adders!G$13:G$101))+VLOOKUP($H112,Adders!$B$5:$G$8,N$11,FALSE)+Matrix!$D$2)*IF($D112="NJ",1.07,1))/$L$10,CHOOSE($M$10,$L$9,$M$9)))</f>
        <v xml:space="preserve"> 28.87 </v>
      </c>
      <c r="O112" s="112"/>
    </row>
    <row r="113" spans="2:15" x14ac:dyDescent="0.25">
      <c r="B113" s="160" t="s">
        <v>666</v>
      </c>
      <c r="C113" s="127">
        <f t="shared" si="1"/>
        <v>42430</v>
      </c>
      <c r="D113" s="128" t="s">
        <v>6</v>
      </c>
      <c r="E113" s="129" t="s">
        <v>8</v>
      </c>
      <c r="F113" s="128" t="s">
        <v>10</v>
      </c>
      <c r="G113" s="129" t="str">
        <f t="shared" si="2"/>
        <v>General Service Medium</v>
      </c>
      <c r="H113" s="130" t="s">
        <v>61</v>
      </c>
      <c r="I113" s="178" t="str">
        <f>TEXT(   (SUMPRODUCT( ((Main!$H$9:$H$1000)=$E113)*((Main!$J$9:$J$1000)=$F113)*((Main!$O$9:$O$1000)=$C113)*(Main!R$9:R$1000) ) +  ( SUMPRODUCT( ((Adders!$D$13:$D$101)=$E113)*((Adders!$E$13:$E$101)=$F113)*(Adders!G$13:G$101)) + VLOOKUP($H113,Adders!$B$5:$G$8,L$11,FALSE)  +  PA!$D$2 ) * IF($D113="NJ",1.07,1))/$L$10, CHOOSE($M$10,$L$9,$M$9) )</f>
        <v xml:space="preserve"> 76.00 </v>
      </c>
      <c r="J113" s="178" t="str">
        <f>TEXT(   (SUMPRODUCT( ((Main!$H$9:$H$1000)=$E113)*((Main!$J$9:$J$1000)=$F113)*((Main!$O$9:$O$1000)=$C113)*(Main!S$9:S$1000) ) +  ( SUMPRODUCT( ((Adders!$D$13:$D$101)=$E113)*((Adders!$E$13:$E$101)=$F113)*(Adders!H$13:H$101)) + VLOOKUP($H113,Adders!$B$5:$G$8,M$11,FALSE)  +  PA!$D$2 ) * IF($D113="NJ",1.07,1))/$L$10, CHOOSE($M$10,$L$9,$M$9) )</f>
        <v xml:space="preserve"> 75.88 </v>
      </c>
      <c r="K113" s="179" t="str">
        <f>TEXT(   (SUMPRODUCT( ((Main!$H$9:$H$1000)=$E113)*((Main!$J$9:$J$1000)=$F113)*((Main!$O$9:$O$1000)=$C113)*(Main!T$9:T$1000) ) +  ( SUMPRODUCT( ((Adders!$D$13:$D$101)=$E113)*((Adders!$E$13:$E$101)=$F113)*(Adders!I$13:I$101)) + VLOOKUP($H113,Adders!$B$5:$G$8,N$11,FALSE)  +  PA!$D$2 ) * IF($D113="NJ",1.07,1))/$L$10, CHOOSE($M$10,$L$9,$M$9) )</f>
        <v xml:space="preserve"> 76.16 </v>
      </c>
      <c r="L113" s="178" t="str">
        <f>IF(AND($D$11="IL",$E113="AMEREN"),"NA",TEXT((SUMPRODUCT(((LMPMain!$H$9:$H$1000)=$E113)*((LMPMain!$J$9:$J$1000)=$F113)*((LMPMain!$O$9:$O$1000)=$C113)*(LMPMain!R$9:R$1000))+(SUMPRODUCT(((Adders!$D$13:$D$101)=$E113)*((Adders!$E$13:$E$101)=$F113)*(Adders!G$13:G$101))+VLOOKUP($H113,Adders!$B$5:$G$8,L$11,FALSE)+Matrix!$D$2)*IF($D113="NJ",1.07,1))/$L$10,CHOOSE($M$10,$L$9,$M$9)))</f>
        <v xml:space="preserve"> 31.70 </v>
      </c>
      <c r="M113" s="178" t="str">
        <f>IF(AND($D$11="IL",$E113="AMEREN"),"NA",TEXT((SUMPRODUCT(((LMPMain!$H$9:$H$1000)=$E113)*((LMPMain!$J$9:$J$1000)=$F113)*((LMPMain!$O$9:$O$1000)=$C113)*(LMPMain!S$9:S$1000))+(SUMPRODUCT(((Adders!$D$13:$D$101)=$E113)*((Adders!$E$13:$E$101)=$F113)*(Adders!H$13:H$101))+VLOOKUP($H113,Adders!$B$5:$G$8,M$11,FALSE)+Matrix!$D$2)*IF($D113="NJ",1.07,1))/$L$10,CHOOSE($M$10,$L$9,$M$9)))</f>
        <v xml:space="preserve"> 31.28 </v>
      </c>
      <c r="N113" s="179" t="str">
        <f>IF(AND($D$11="IL",$E113="AMEREN"),"NA",TEXT((SUMPRODUCT(((LMPMain!$H$9:$H$1000)=$E113)*((LMPMain!$J$9:$J$1000)=$F113)*((LMPMain!$O$9:$O$1000)=$C113)*(LMPMain!T$9:T$1000))+(SUMPRODUCT(((Adders!$D$13:$D$101)=$E113)*((Adders!$E$13:$E$101)=$F113)*(Adders!G$13:G$101))+VLOOKUP($H113,Adders!$B$5:$G$8,N$11,FALSE)+Matrix!$D$2)*IF($D113="NJ",1.07,1))/$L$10,CHOOSE($M$10,$L$9,$M$9)))</f>
        <v xml:space="preserve"> 31.37 </v>
      </c>
      <c r="O113" s="112"/>
    </row>
    <row r="114" spans="2:15" x14ac:dyDescent="0.25">
      <c r="B114" s="160" t="s">
        <v>666</v>
      </c>
      <c r="C114" s="131">
        <f t="shared" si="1"/>
        <v>42430</v>
      </c>
      <c r="D114" s="132" t="s">
        <v>6</v>
      </c>
      <c r="E114" s="133" t="s">
        <v>8</v>
      </c>
      <c r="F114" s="132" t="s">
        <v>10</v>
      </c>
      <c r="G114" s="133" t="str">
        <f t="shared" si="2"/>
        <v>General Service Medium</v>
      </c>
      <c r="H114" s="134" t="s">
        <v>62</v>
      </c>
      <c r="I114" s="173" t="str">
        <f>TEXT(   (SUMPRODUCT( ((Main!$H$9:$H$1000)=$E114)*((Main!$J$9:$J$1000)=$F114)*((Main!$O$9:$O$1000)=$C114)*(Main!R$9:R$1000) ) +  ( SUMPRODUCT( ((Adders!$D$13:$D$101)=$E114)*((Adders!$E$13:$E$101)=$F114)*(Adders!G$13:G$101)) + VLOOKUP($H114,Adders!$B$5:$G$8,L$11,FALSE)  +  PA!$D$2 ) * IF($D114="NJ",1.07,1))/$L$10, CHOOSE($M$10,$L$9,$M$9) )</f>
        <v xml:space="preserve"> 74.40 </v>
      </c>
      <c r="J114" s="173" t="str">
        <f>TEXT(   (SUMPRODUCT( ((Main!$H$9:$H$1000)=$E114)*((Main!$J$9:$J$1000)=$F114)*((Main!$O$9:$O$1000)=$C114)*(Main!S$9:S$1000) ) +  ( SUMPRODUCT( ((Adders!$D$13:$D$101)=$E114)*((Adders!$E$13:$E$101)=$F114)*(Adders!H$13:H$101)) + VLOOKUP($H114,Adders!$B$5:$G$8,M$11,FALSE)  +  PA!$D$2 ) * IF($D114="NJ",1.07,1))/$L$10, CHOOSE($M$10,$L$9,$M$9) )</f>
        <v xml:space="preserve"> 74.28 </v>
      </c>
      <c r="K114" s="174" t="str">
        <f>TEXT(   (SUMPRODUCT( ((Main!$H$9:$H$1000)=$E114)*((Main!$J$9:$J$1000)=$F114)*((Main!$O$9:$O$1000)=$C114)*(Main!T$9:T$1000) ) +  ( SUMPRODUCT( ((Adders!$D$13:$D$101)=$E114)*((Adders!$E$13:$E$101)=$F114)*(Adders!I$13:I$101)) + VLOOKUP($H114,Adders!$B$5:$G$8,N$11,FALSE)  +  PA!$D$2 ) * IF($D114="NJ",1.07,1))/$L$10, CHOOSE($M$10,$L$9,$M$9) )</f>
        <v xml:space="preserve"> 74.56 </v>
      </c>
      <c r="L114" s="173" t="str">
        <f>IF(AND($D$11="IL",$E114="AMEREN"),"NA",TEXT((SUMPRODUCT(((LMPMain!$H$9:$H$1000)=$E114)*((LMPMain!$J$9:$J$1000)=$F114)*((LMPMain!$O$9:$O$1000)=$C114)*(LMPMain!R$9:R$1000))+(SUMPRODUCT(((Adders!$D$13:$D$101)=$E114)*((Adders!$E$13:$E$101)=$F114)*(Adders!G$13:G$101))+VLOOKUP($H114,Adders!$B$5:$G$8,L$11,FALSE)+Matrix!$D$2)*IF($D114="NJ",1.07,1))/$L$10,CHOOSE($M$10,$L$9,$M$9)))</f>
        <v xml:space="preserve"> 30.10 </v>
      </c>
      <c r="M114" s="173" t="str">
        <f>IF(AND($D$11="IL",$E114="AMEREN"),"NA",TEXT((SUMPRODUCT(((LMPMain!$H$9:$H$1000)=$E114)*((LMPMain!$J$9:$J$1000)=$F114)*((LMPMain!$O$9:$O$1000)=$C114)*(LMPMain!S$9:S$1000))+(SUMPRODUCT(((Adders!$D$13:$D$101)=$E114)*((Adders!$E$13:$E$101)=$F114)*(Adders!H$13:H$101))+VLOOKUP($H114,Adders!$B$5:$G$8,M$11,FALSE)+Matrix!$D$2)*IF($D114="NJ",1.07,1))/$L$10,CHOOSE($M$10,$L$9,$M$9)))</f>
        <v xml:space="preserve"> 29.68 </v>
      </c>
      <c r="N114" s="174" t="str">
        <f>IF(AND($D$11="IL",$E114="AMEREN"),"NA",TEXT((SUMPRODUCT(((LMPMain!$H$9:$H$1000)=$E114)*((LMPMain!$J$9:$J$1000)=$F114)*((LMPMain!$O$9:$O$1000)=$C114)*(LMPMain!T$9:T$1000))+(SUMPRODUCT(((Adders!$D$13:$D$101)=$E114)*((Adders!$E$13:$E$101)=$F114)*(Adders!G$13:G$101))+VLOOKUP($H114,Adders!$B$5:$G$8,N$11,FALSE)+Matrix!$D$2)*IF($D114="NJ",1.07,1))/$L$10,CHOOSE($M$10,$L$9,$M$9)))</f>
        <v xml:space="preserve"> 29.77 </v>
      </c>
      <c r="O114" s="112"/>
    </row>
    <row r="115" spans="2:15" x14ac:dyDescent="0.25">
      <c r="B115" s="160" t="s">
        <v>666</v>
      </c>
      <c r="C115" s="135">
        <f t="shared" ref="C115:C178" si="3">C79</f>
        <v>42430</v>
      </c>
      <c r="D115" s="136" t="s">
        <v>6</v>
      </c>
      <c r="E115" s="137" t="s">
        <v>8</v>
      </c>
      <c r="F115" s="136" t="s">
        <v>10</v>
      </c>
      <c r="G115" s="137" t="str">
        <f t="shared" ref="G115:G178" si="4">G114</f>
        <v>General Service Medium</v>
      </c>
      <c r="H115" s="138" t="s">
        <v>690</v>
      </c>
      <c r="I115" s="176" t="str">
        <f>TEXT(   (SUMPRODUCT( ((Main!$H$9:$H$1000)=$E115)*((Main!$J$9:$J$1000)=$F115)*((Main!$O$9:$O$1000)=$C115)*(Main!R$9:R$1000) ) +  ( SUMPRODUCT( ((Adders!$D$13:$D$101)=$E115)*((Adders!$E$13:$E$101)=$F115)*(Adders!G$13:G$101)) + VLOOKUP($H115,Adders!$B$5:$G$8,L$11,FALSE)  +  PA!$D$2 ) * IF($D115="NJ",1.07,1))/$L$10, CHOOSE($M$10,$L$9,$M$9) )</f>
        <v xml:space="preserve"> 73.35 </v>
      </c>
      <c r="J115" s="176" t="str">
        <f>TEXT(   (SUMPRODUCT( ((Main!$H$9:$H$1000)=$E115)*((Main!$J$9:$J$1000)=$F115)*((Main!$O$9:$O$1000)=$C115)*(Main!S$9:S$1000) ) +  ( SUMPRODUCT( ((Adders!$D$13:$D$101)=$E115)*((Adders!$E$13:$E$101)=$F115)*(Adders!H$13:H$101)) + VLOOKUP($H115,Adders!$B$5:$G$8,M$11,FALSE)  +  PA!$D$2 ) * IF($D115="NJ",1.07,1))/$L$10, CHOOSE($M$10,$L$9,$M$9) )</f>
        <v xml:space="preserve"> 73.23 </v>
      </c>
      <c r="K115" s="177" t="str">
        <f>TEXT(   (SUMPRODUCT( ((Main!$H$9:$H$1000)=$E115)*((Main!$J$9:$J$1000)=$F115)*((Main!$O$9:$O$1000)=$C115)*(Main!T$9:T$1000) ) +  ( SUMPRODUCT( ((Adders!$D$13:$D$101)=$E115)*((Adders!$E$13:$E$101)=$F115)*(Adders!I$13:I$101)) + VLOOKUP($H115,Adders!$B$5:$G$8,N$11,FALSE)  +  PA!$D$2 ) * IF($D115="NJ",1.07,1))/$L$10, CHOOSE($M$10,$L$9,$M$9) )</f>
        <v xml:space="preserve"> 73.51 </v>
      </c>
      <c r="L115" s="176" t="str">
        <f>IF(AND($D$11="IL",$E115="AMEREN"),"NA",TEXT((SUMPRODUCT(((LMPMain!$H$9:$H$1000)=$E115)*((LMPMain!$J$9:$J$1000)=$F115)*((LMPMain!$O$9:$O$1000)=$C115)*(LMPMain!R$9:R$1000))+(SUMPRODUCT(((Adders!$D$13:$D$101)=$E115)*((Adders!$E$13:$E$101)=$F115)*(Adders!G$13:G$101))+VLOOKUP($H115,Adders!$B$5:$G$8,L$11,FALSE)+Matrix!$D$2)*IF($D115="NJ",1.07,1))/$L$10,CHOOSE($M$10,$L$9,$M$9)))</f>
        <v xml:space="preserve"> 29.05 </v>
      </c>
      <c r="M115" s="176" t="str">
        <f>IF(AND($D$11="IL",$E115="AMEREN"),"NA",TEXT((SUMPRODUCT(((LMPMain!$H$9:$H$1000)=$E115)*((LMPMain!$J$9:$J$1000)=$F115)*((LMPMain!$O$9:$O$1000)=$C115)*(LMPMain!S$9:S$1000))+(SUMPRODUCT(((Adders!$D$13:$D$101)=$E115)*((Adders!$E$13:$E$101)=$F115)*(Adders!H$13:H$101))+VLOOKUP($H115,Adders!$B$5:$G$8,M$11,FALSE)+Matrix!$D$2)*IF($D115="NJ",1.07,1))/$L$10,CHOOSE($M$10,$L$9,$M$9)))</f>
        <v xml:space="preserve"> 28.63 </v>
      </c>
      <c r="N115" s="177" t="str">
        <f>IF(AND($D$11="IL",$E115="AMEREN"),"NA",TEXT((SUMPRODUCT(((LMPMain!$H$9:$H$1000)=$E115)*((LMPMain!$J$9:$J$1000)=$F115)*((LMPMain!$O$9:$O$1000)=$C115)*(LMPMain!T$9:T$1000))+(SUMPRODUCT(((Adders!$D$13:$D$101)=$E115)*((Adders!$E$13:$E$101)=$F115)*(Adders!G$13:G$101))+VLOOKUP($H115,Adders!$B$5:$G$8,N$11,FALSE)+Matrix!$D$2)*IF($D115="NJ",1.07,1))/$L$10,CHOOSE($M$10,$L$9,$M$9)))</f>
        <v xml:space="preserve"> 28.72 </v>
      </c>
      <c r="O115" s="112"/>
    </row>
    <row r="116" spans="2:15" x14ac:dyDescent="0.25">
      <c r="B116" s="160" t="s">
        <v>666</v>
      </c>
      <c r="C116" s="127">
        <f t="shared" si="3"/>
        <v>42461</v>
      </c>
      <c r="D116" s="128" t="s">
        <v>6</v>
      </c>
      <c r="E116" s="129" t="s">
        <v>8</v>
      </c>
      <c r="F116" s="128" t="s">
        <v>10</v>
      </c>
      <c r="G116" s="129" t="str">
        <f t="shared" si="4"/>
        <v>General Service Medium</v>
      </c>
      <c r="H116" s="130" t="s">
        <v>61</v>
      </c>
      <c r="I116" s="178" t="str">
        <f>TEXT(   (SUMPRODUCT( ((Main!$H$9:$H$1000)=$E116)*((Main!$J$9:$J$1000)=$F116)*((Main!$O$9:$O$1000)=$C116)*(Main!R$9:R$1000) ) +  ( SUMPRODUCT( ((Adders!$D$13:$D$101)=$E116)*((Adders!$E$13:$E$101)=$F116)*(Adders!G$13:G$101)) + VLOOKUP($H116,Adders!$B$5:$G$8,L$11,FALSE)  +  PA!$D$2 ) * IF($D116="NJ",1.07,1))/$L$10, CHOOSE($M$10,$L$9,$M$9) )</f>
        <v xml:space="preserve"> 75.65 </v>
      </c>
      <c r="J116" s="178" t="str">
        <f>TEXT(   (SUMPRODUCT( ((Main!$H$9:$H$1000)=$E116)*((Main!$J$9:$J$1000)=$F116)*((Main!$O$9:$O$1000)=$C116)*(Main!S$9:S$1000) ) +  ( SUMPRODUCT( ((Adders!$D$13:$D$101)=$E116)*((Adders!$E$13:$E$101)=$F116)*(Adders!H$13:H$101)) + VLOOKUP($H116,Adders!$B$5:$G$8,M$11,FALSE)  +  PA!$D$2 ) * IF($D116="NJ",1.07,1))/$L$10, CHOOSE($M$10,$L$9,$M$9) )</f>
        <v xml:space="preserve"> 75.29 </v>
      </c>
      <c r="K116" s="179" t="str">
        <f>TEXT(   (SUMPRODUCT( ((Main!$H$9:$H$1000)=$E116)*((Main!$J$9:$J$1000)=$F116)*((Main!$O$9:$O$1000)=$C116)*(Main!T$9:T$1000) ) +  ( SUMPRODUCT( ((Adders!$D$13:$D$101)=$E116)*((Adders!$E$13:$E$101)=$F116)*(Adders!I$13:I$101)) + VLOOKUP($H116,Adders!$B$5:$G$8,N$11,FALSE)  +  PA!$D$2 ) * IF($D116="NJ",1.07,1))/$L$10, CHOOSE($M$10,$L$9,$M$9) )</f>
        <v xml:space="preserve"> 75.92 </v>
      </c>
      <c r="L116" s="178" t="str">
        <f>IF(AND($D$11="IL",$E116="AMEREN"),"NA",TEXT((SUMPRODUCT(((LMPMain!$H$9:$H$1000)=$E116)*((LMPMain!$J$9:$J$1000)=$F116)*((LMPMain!$O$9:$O$1000)=$C116)*(LMPMain!R$9:R$1000))+(SUMPRODUCT(((Adders!$D$13:$D$101)=$E116)*((Adders!$E$13:$E$101)=$F116)*(Adders!G$13:G$101))+VLOOKUP($H116,Adders!$B$5:$G$8,L$11,FALSE)+Matrix!$D$2)*IF($D116="NJ",1.07,1))/$L$10,CHOOSE($M$10,$L$9,$M$9)))</f>
        <v xml:space="preserve"> 31.35 </v>
      </c>
      <c r="M116" s="178" t="str">
        <f>IF(AND($D$11="IL",$E116="AMEREN"),"NA",TEXT((SUMPRODUCT(((LMPMain!$H$9:$H$1000)=$E116)*((LMPMain!$J$9:$J$1000)=$F116)*((LMPMain!$O$9:$O$1000)=$C116)*(LMPMain!S$9:S$1000))+(SUMPRODUCT(((Adders!$D$13:$D$101)=$E116)*((Adders!$E$13:$E$101)=$F116)*(Adders!H$13:H$101))+VLOOKUP($H116,Adders!$B$5:$G$8,M$11,FALSE)+Matrix!$D$2)*IF($D116="NJ",1.07,1))/$L$10,CHOOSE($M$10,$L$9,$M$9)))</f>
        <v xml:space="preserve"> 30.99 </v>
      </c>
      <c r="N116" s="179" t="str">
        <f>IF(AND($D$11="IL",$E116="AMEREN"),"NA",TEXT((SUMPRODUCT(((LMPMain!$H$9:$H$1000)=$E116)*((LMPMain!$J$9:$J$1000)=$F116)*((LMPMain!$O$9:$O$1000)=$C116)*(LMPMain!T$9:T$1000))+(SUMPRODUCT(((Adders!$D$13:$D$101)=$E116)*((Adders!$E$13:$E$101)=$F116)*(Adders!G$13:G$101))+VLOOKUP($H116,Adders!$B$5:$G$8,N$11,FALSE)+Matrix!$D$2)*IF($D116="NJ",1.07,1))/$L$10,CHOOSE($M$10,$L$9,$M$9)))</f>
        <v xml:space="preserve"> 31.21 </v>
      </c>
      <c r="O116" s="112"/>
    </row>
    <row r="117" spans="2:15" x14ac:dyDescent="0.25">
      <c r="B117" s="160" t="s">
        <v>666</v>
      </c>
      <c r="C117" s="131">
        <f t="shared" si="3"/>
        <v>42461</v>
      </c>
      <c r="D117" s="132" t="s">
        <v>6</v>
      </c>
      <c r="E117" s="133" t="s">
        <v>8</v>
      </c>
      <c r="F117" s="132" t="s">
        <v>10</v>
      </c>
      <c r="G117" s="133" t="str">
        <f t="shared" si="4"/>
        <v>General Service Medium</v>
      </c>
      <c r="H117" s="134" t="s">
        <v>62</v>
      </c>
      <c r="I117" s="173" t="str">
        <f>TEXT(   (SUMPRODUCT( ((Main!$H$9:$H$1000)=$E117)*((Main!$J$9:$J$1000)=$F117)*((Main!$O$9:$O$1000)=$C117)*(Main!R$9:R$1000) ) +  ( SUMPRODUCT( ((Adders!$D$13:$D$101)=$E117)*((Adders!$E$13:$E$101)=$F117)*(Adders!G$13:G$101)) + VLOOKUP($H117,Adders!$B$5:$G$8,L$11,FALSE)  +  PA!$D$2 ) * IF($D117="NJ",1.07,1))/$L$10, CHOOSE($M$10,$L$9,$M$9) )</f>
        <v xml:space="preserve"> 74.05 </v>
      </c>
      <c r="J117" s="173" t="str">
        <f>TEXT(   (SUMPRODUCT( ((Main!$H$9:$H$1000)=$E117)*((Main!$J$9:$J$1000)=$F117)*((Main!$O$9:$O$1000)=$C117)*(Main!S$9:S$1000) ) +  ( SUMPRODUCT( ((Adders!$D$13:$D$101)=$E117)*((Adders!$E$13:$E$101)=$F117)*(Adders!H$13:H$101)) + VLOOKUP($H117,Adders!$B$5:$G$8,M$11,FALSE)  +  PA!$D$2 ) * IF($D117="NJ",1.07,1))/$L$10, CHOOSE($M$10,$L$9,$M$9) )</f>
        <v xml:space="preserve"> 73.69 </v>
      </c>
      <c r="K117" s="174" t="str">
        <f>TEXT(   (SUMPRODUCT( ((Main!$H$9:$H$1000)=$E117)*((Main!$J$9:$J$1000)=$F117)*((Main!$O$9:$O$1000)=$C117)*(Main!T$9:T$1000) ) +  ( SUMPRODUCT( ((Adders!$D$13:$D$101)=$E117)*((Adders!$E$13:$E$101)=$F117)*(Adders!I$13:I$101)) + VLOOKUP($H117,Adders!$B$5:$G$8,N$11,FALSE)  +  PA!$D$2 ) * IF($D117="NJ",1.07,1))/$L$10, CHOOSE($M$10,$L$9,$M$9) )</f>
        <v xml:space="preserve"> 74.32 </v>
      </c>
      <c r="L117" s="173" t="str">
        <f>IF(AND($D$11="IL",$E117="AMEREN"),"NA",TEXT((SUMPRODUCT(((LMPMain!$H$9:$H$1000)=$E117)*((LMPMain!$J$9:$J$1000)=$F117)*((LMPMain!$O$9:$O$1000)=$C117)*(LMPMain!R$9:R$1000))+(SUMPRODUCT(((Adders!$D$13:$D$101)=$E117)*((Adders!$E$13:$E$101)=$F117)*(Adders!G$13:G$101))+VLOOKUP($H117,Adders!$B$5:$G$8,L$11,FALSE)+Matrix!$D$2)*IF($D117="NJ",1.07,1))/$L$10,CHOOSE($M$10,$L$9,$M$9)))</f>
        <v xml:space="preserve"> 29.75 </v>
      </c>
      <c r="M117" s="173" t="str">
        <f>IF(AND($D$11="IL",$E117="AMEREN"),"NA",TEXT((SUMPRODUCT(((LMPMain!$H$9:$H$1000)=$E117)*((LMPMain!$J$9:$J$1000)=$F117)*((LMPMain!$O$9:$O$1000)=$C117)*(LMPMain!S$9:S$1000))+(SUMPRODUCT(((Adders!$D$13:$D$101)=$E117)*((Adders!$E$13:$E$101)=$F117)*(Adders!H$13:H$101))+VLOOKUP($H117,Adders!$B$5:$G$8,M$11,FALSE)+Matrix!$D$2)*IF($D117="NJ",1.07,1))/$L$10,CHOOSE($M$10,$L$9,$M$9)))</f>
        <v xml:space="preserve"> 29.39 </v>
      </c>
      <c r="N117" s="174" t="str">
        <f>IF(AND($D$11="IL",$E117="AMEREN"),"NA",TEXT((SUMPRODUCT(((LMPMain!$H$9:$H$1000)=$E117)*((LMPMain!$J$9:$J$1000)=$F117)*((LMPMain!$O$9:$O$1000)=$C117)*(LMPMain!T$9:T$1000))+(SUMPRODUCT(((Adders!$D$13:$D$101)=$E117)*((Adders!$E$13:$E$101)=$F117)*(Adders!G$13:G$101))+VLOOKUP($H117,Adders!$B$5:$G$8,N$11,FALSE)+Matrix!$D$2)*IF($D117="NJ",1.07,1))/$L$10,CHOOSE($M$10,$L$9,$M$9)))</f>
        <v xml:space="preserve"> 29.61 </v>
      </c>
      <c r="O117" s="112"/>
    </row>
    <row r="118" spans="2:15" x14ac:dyDescent="0.25">
      <c r="B118" s="160" t="s">
        <v>666</v>
      </c>
      <c r="C118" s="135">
        <f t="shared" si="3"/>
        <v>42461</v>
      </c>
      <c r="D118" s="136" t="s">
        <v>6</v>
      </c>
      <c r="E118" s="137" t="s">
        <v>8</v>
      </c>
      <c r="F118" s="136" t="s">
        <v>10</v>
      </c>
      <c r="G118" s="137" t="str">
        <f t="shared" si="4"/>
        <v>General Service Medium</v>
      </c>
      <c r="H118" s="138" t="s">
        <v>690</v>
      </c>
      <c r="I118" s="176" t="str">
        <f>TEXT(   (SUMPRODUCT( ((Main!$H$9:$H$1000)=$E118)*((Main!$J$9:$J$1000)=$F118)*((Main!$O$9:$O$1000)=$C118)*(Main!R$9:R$1000) ) +  ( SUMPRODUCT( ((Adders!$D$13:$D$101)=$E118)*((Adders!$E$13:$E$101)=$F118)*(Adders!G$13:G$101)) + VLOOKUP($H118,Adders!$B$5:$G$8,L$11,FALSE)  +  PA!$D$2 ) * IF($D118="NJ",1.07,1))/$L$10, CHOOSE($M$10,$L$9,$M$9) )</f>
        <v xml:space="preserve"> 73.00 </v>
      </c>
      <c r="J118" s="176" t="str">
        <f>TEXT(   (SUMPRODUCT( ((Main!$H$9:$H$1000)=$E118)*((Main!$J$9:$J$1000)=$F118)*((Main!$O$9:$O$1000)=$C118)*(Main!S$9:S$1000) ) +  ( SUMPRODUCT( ((Adders!$D$13:$D$101)=$E118)*((Adders!$E$13:$E$101)=$F118)*(Adders!H$13:H$101)) + VLOOKUP($H118,Adders!$B$5:$G$8,M$11,FALSE)  +  PA!$D$2 ) * IF($D118="NJ",1.07,1))/$L$10, CHOOSE($M$10,$L$9,$M$9) )</f>
        <v xml:space="preserve"> 72.64 </v>
      </c>
      <c r="K118" s="177" t="str">
        <f>TEXT(   (SUMPRODUCT( ((Main!$H$9:$H$1000)=$E118)*((Main!$J$9:$J$1000)=$F118)*((Main!$O$9:$O$1000)=$C118)*(Main!T$9:T$1000) ) +  ( SUMPRODUCT( ((Adders!$D$13:$D$101)=$E118)*((Adders!$E$13:$E$101)=$F118)*(Adders!I$13:I$101)) + VLOOKUP($H118,Adders!$B$5:$G$8,N$11,FALSE)  +  PA!$D$2 ) * IF($D118="NJ",1.07,1))/$L$10, CHOOSE($M$10,$L$9,$M$9) )</f>
        <v xml:space="preserve"> 73.27 </v>
      </c>
      <c r="L118" s="176" t="str">
        <f>IF(AND($D$11="IL",$E118="AMEREN"),"NA",TEXT((SUMPRODUCT(((LMPMain!$H$9:$H$1000)=$E118)*((LMPMain!$J$9:$J$1000)=$F118)*((LMPMain!$O$9:$O$1000)=$C118)*(LMPMain!R$9:R$1000))+(SUMPRODUCT(((Adders!$D$13:$D$101)=$E118)*((Adders!$E$13:$E$101)=$F118)*(Adders!G$13:G$101))+VLOOKUP($H118,Adders!$B$5:$G$8,L$11,FALSE)+Matrix!$D$2)*IF($D118="NJ",1.07,1))/$L$10,CHOOSE($M$10,$L$9,$M$9)))</f>
        <v xml:space="preserve"> 28.70 </v>
      </c>
      <c r="M118" s="176" t="str">
        <f>IF(AND($D$11="IL",$E118="AMEREN"),"NA",TEXT((SUMPRODUCT(((LMPMain!$H$9:$H$1000)=$E118)*((LMPMain!$J$9:$J$1000)=$F118)*((LMPMain!$O$9:$O$1000)=$C118)*(LMPMain!S$9:S$1000))+(SUMPRODUCT(((Adders!$D$13:$D$101)=$E118)*((Adders!$E$13:$E$101)=$F118)*(Adders!H$13:H$101))+VLOOKUP($H118,Adders!$B$5:$G$8,M$11,FALSE)+Matrix!$D$2)*IF($D118="NJ",1.07,1))/$L$10,CHOOSE($M$10,$L$9,$M$9)))</f>
        <v xml:space="preserve"> 28.34 </v>
      </c>
      <c r="N118" s="177" t="str">
        <f>IF(AND($D$11="IL",$E118="AMEREN"),"NA",TEXT((SUMPRODUCT(((LMPMain!$H$9:$H$1000)=$E118)*((LMPMain!$J$9:$J$1000)=$F118)*((LMPMain!$O$9:$O$1000)=$C118)*(LMPMain!T$9:T$1000))+(SUMPRODUCT(((Adders!$D$13:$D$101)=$E118)*((Adders!$E$13:$E$101)=$F118)*(Adders!G$13:G$101))+VLOOKUP($H118,Adders!$B$5:$G$8,N$11,FALSE)+Matrix!$D$2)*IF($D118="NJ",1.07,1))/$L$10,CHOOSE($M$10,$L$9,$M$9)))</f>
        <v xml:space="preserve"> 28.56 </v>
      </c>
      <c r="O118" s="112"/>
    </row>
    <row r="119" spans="2:15" x14ac:dyDescent="0.25">
      <c r="B119" s="160" t="s">
        <v>666</v>
      </c>
      <c r="C119" s="127">
        <f t="shared" si="3"/>
        <v>42491</v>
      </c>
      <c r="D119" s="128" t="s">
        <v>6</v>
      </c>
      <c r="E119" s="129" t="s">
        <v>8</v>
      </c>
      <c r="F119" s="128" t="s">
        <v>10</v>
      </c>
      <c r="G119" s="129" t="str">
        <f t="shared" si="4"/>
        <v>General Service Medium</v>
      </c>
      <c r="H119" s="130" t="s">
        <v>61</v>
      </c>
      <c r="I119" s="178" t="str">
        <f>TEXT(   (SUMPRODUCT( ((Main!$H$9:$H$1000)=$E119)*((Main!$J$9:$J$1000)=$F119)*((Main!$O$9:$O$1000)=$C119)*(Main!R$9:R$1000) ) +  ( SUMPRODUCT( ((Adders!$D$13:$D$101)=$E119)*((Adders!$E$13:$E$101)=$F119)*(Adders!G$13:G$101)) + VLOOKUP($H119,Adders!$B$5:$G$8,L$11,FALSE)  +  PA!$D$2 ) * IF($D119="NJ",1.07,1))/$L$10, CHOOSE($M$10,$L$9,$M$9) )</f>
        <v xml:space="preserve"> 75.26 </v>
      </c>
      <c r="J119" s="178" t="str">
        <f>TEXT(   (SUMPRODUCT( ((Main!$H$9:$H$1000)=$E119)*((Main!$J$9:$J$1000)=$F119)*((Main!$O$9:$O$1000)=$C119)*(Main!S$9:S$1000) ) +  ( SUMPRODUCT( ((Adders!$D$13:$D$101)=$E119)*((Adders!$E$13:$E$101)=$F119)*(Adders!H$13:H$101)) + VLOOKUP($H119,Adders!$B$5:$G$8,M$11,FALSE)  +  PA!$D$2 ) * IF($D119="NJ",1.07,1))/$L$10, CHOOSE($M$10,$L$9,$M$9) )</f>
        <v xml:space="preserve"> 74.65 </v>
      </c>
      <c r="K119" s="179" t="str">
        <f>TEXT(   (SUMPRODUCT( ((Main!$H$9:$H$1000)=$E119)*((Main!$J$9:$J$1000)=$F119)*((Main!$O$9:$O$1000)=$C119)*(Main!T$9:T$1000) ) +  ( SUMPRODUCT( ((Adders!$D$13:$D$101)=$E119)*((Adders!$E$13:$E$101)=$F119)*(Adders!I$13:I$101)) + VLOOKUP($H119,Adders!$B$5:$G$8,N$11,FALSE)  +  PA!$D$2 ) * IF($D119="NJ",1.07,1))/$L$10, CHOOSE($M$10,$L$9,$M$9) )</f>
        <v xml:space="preserve"> 75.74 </v>
      </c>
      <c r="L119" s="178" t="str">
        <f>IF(AND($D$11="IL",$E119="AMEREN"),"NA",TEXT((SUMPRODUCT(((LMPMain!$H$9:$H$1000)=$E119)*((LMPMain!$J$9:$J$1000)=$F119)*((LMPMain!$O$9:$O$1000)=$C119)*(LMPMain!R$9:R$1000))+(SUMPRODUCT(((Adders!$D$13:$D$101)=$E119)*((Adders!$E$13:$E$101)=$F119)*(Adders!G$13:G$101))+VLOOKUP($H119,Adders!$B$5:$G$8,L$11,FALSE)+Matrix!$D$2)*IF($D119="NJ",1.07,1))/$L$10,CHOOSE($M$10,$L$9,$M$9)))</f>
        <v xml:space="preserve"> 31.01 </v>
      </c>
      <c r="M119" s="178" t="str">
        <f>IF(AND($D$11="IL",$E119="AMEREN"),"NA",TEXT((SUMPRODUCT(((LMPMain!$H$9:$H$1000)=$E119)*((LMPMain!$J$9:$J$1000)=$F119)*((LMPMain!$O$9:$O$1000)=$C119)*(LMPMain!S$9:S$1000))+(SUMPRODUCT(((Adders!$D$13:$D$101)=$E119)*((Adders!$E$13:$E$101)=$F119)*(Adders!H$13:H$101))+VLOOKUP($H119,Adders!$B$5:$G$8,M$11,FALSE)+Matrix!$D$2)*IF($D119="NJ",1.07,1))/$L$10,CHOOSE($M$10,$L$9,$M$9)))</f>
        <v xml:space="preserve"> 30.74 </v>
      </c>
      <c r="N119" s="179" t="str">
        <f>IF(AND($D$11="IL",$E119="AMEREN"),"NA",TEXT((SUMPRODUCT(((LMPMain!$H$9:$H$1000)=$E119)*((LMPMain!$J$9:$J$1000)=$F119)*((LMPMain!$O$9:$O$1000)=$C119)*(LMPMain!T$9:T$1000))+(SUMPRODUCT(((Adders!$D$13:$D$101)=$E119)*((Adders!$E$13:$E$101)=$F119)*(Adders!G$13:G$101))+VLOOKUP($H119,Adders!$B$5:$G$8,N$11,FALSE)+Matrix!$D$2)*IF($D119="NJ",1.07,1))/$L$10,CHOOSE($M$10,$L$9,$M$9)))</f>
        <v xml:space="preserve"> 31.05 </v>
      </c>
      <c r="O119" s="112"/>
    </row>
    <row r="120" spans="2:15" x14ac:dyDescent="0.25">
      <c r="B120" s="160" t="s">
        <v>666</v>
      </c>
      <c r="C120" s="131">
        <f t="shared" si="3"/>
        <v>42491</v>
      </c>
      <c r="D120" s="132" t="s">
        <v>6</v>
      </c>
      <c r="E120" s="133" t="s">
        <v>8</v>
      </c>
      <c r="F120" s="132" t="s">
        <v>10</v>
      </c>
      <c r="G120" s="133" t="str">
        <f t="shared" si="4"/>
        <v>General Service Medium</v>
      </c>
      <c r="H120" s="134" t="s">
        <v>62</v>
      </c>
      <c r="I120" s="173" t="str">
        <f>TEXT(   (SUMPRODUCT( ((Main!$H$9:$H$1000)=$E120)*((Main!$J$9:$J$1000)=$F120)*((Main!$O$9:$O$1000)=$C120)*(Main!R$9:R$1000) ) +  ( SUMPRODUCT( ((Adders!$D$13:$D$101)=$E120)*((Adders!$E$13:$E$101)=$F120)*(Adders!G$13:G$101)) + VLOOKUP($H120,Adders!$B$5:$G$8,L$11,FALSE)  +  PA!$D$2 ) * IF($D120="NJ",1.07,1))/$L$10, CHOOSE($M$10,$L$9,$M$9) )</f>
        <v xml:space="preserve"> 73.66 </v>
      </c>
      <c r="J120" s="173" t="str">
        <f>TEXT(   (SUMPRODUCT( ((Main!$H$9:$H$1000)=$E120)*((Main!$J$9:$J$1000)=$F120)*((Main!$O$9:$O$1000)=$C120)*(Main!S$9:S$1000) ) +  ( SUMPRODUCT( ((Adders!$D$13:$D$101)=$E120)*((Adders!$E$13:$E$101)=$F120)*(Adders!H$13:H$101)) + VLOOKUP($H120,Adders!$B$5:$G$8,M$11,FALSE)  +  PA!$D$2 ) * IF($D120="NJ",1.07,1))/$L$10, CHOOSE($M$10,$L$9,$M$9) )</f>
        <v xml:space="preserve"> 73.05 </v>
      </c>
      <c r="K120" s="174" t="str">
        <f>TEXT(   (SUMPRODUCT( ((Main!$H$9:$H$1000)=$E120)*((Main!$J$9:$J$1000)=$F120)*((Main!$O$9:$O$1000)=$C120)*(Main!T$9:T$1000) ) +  ( SUMPRODUCT( ((Adders!$D$13:$D$101)=$E120)*((Adders!$E$13:$E$101)=$F120)*(Adders!I$13:I$101)) + VLOOKUP($H120,Adders!$B$5:$G$8,N$11,FALSE)  +  PA!$D$2 ) * IF($D120="NJ",1.07,1))/$L$10, CHOOSE($M$10,$L$9,$M$9) )</f>
        <v xml:space="preserve"> 74.14 </v>
      </c>
      <c r="L120" s="173" t="str">
        <f>IF(AND($D$11="IL",$E120="AMEREN"),"NA",TEXT((SUMPRODUCT(((LMPMain!$H$9:$H$1000)=$E120)*((LMPMain!$J$9:$J$1000)=$F120)*((LMPMain!$O$9:$O$1000)=$C120)*(LMPMain!R$9:R$1000))+(SUMPRODUCT(((Adders!$D$13:$D$101)=$E120)*((Adders!$E$13:$E$101)=$F120)*(Adders!G$13:G$101))+VLOOKUP($H120,Adders!$B$5:$G$8,L$11,FALSE)+Matrix!$D$2)*IF($D120="NJ",1.07,1))/$L$10,CHOOSE($M$10,$L$9,$M$9)))</f>
        <v xml:space="preserve"> 29.41 </v>
      </c>
      <c r="M120" s="173" t="str">
        <f>IF(AND($D$11="IL",$E120="AMEREN"),"NA",TEXT((SUMPRODUCT(((LMPMain!$H$9:$H$1000)=$E120)*((LMPMain!$J$9:$J$1000)=$F120)*((LMPMain!$O$9:$O$1000)=$C120)*(LMPMain!S$9:S$1000))+(SUMPRODUCT(((Adders!$D$13:$D$101)=$E120)*((Adders!$E$13:$E$101)=$F120)*(Adders!H$13:H$101))+VLOOKUP($H120,Adders!$B$5:$G$8,M$11,FALSE)+Matrix!$D$2)*IF($D120="NJ",1.07,1))/$L$10,CHOOSE($M$10,$L$9,$M$9)))</f>
        <v xml:space="preserve"> 29.14 </v>
      </c>
      <c r="N120" s="174" t="str">
        <f>IF(AND($D$11="IL",$E120="AMEREN"),"NA",TEXT((SUMPRODUCT(((LMPMain!$H$9:$H$1000)=$E120)*((LMPMain!$J$9:$J$1000)=$F120)*((LMPMain!$O$9:$O$1000)=$C120)*(LMPMain!T$9:T$1000))+(SUMPRODUCT(((Adders!$D$13:$D$101)=$E120)*((Adders!$E$13:$E$101)=$F120)*(Adders!G$13:G$101))+VLOOKUP($H120,Adders!$B$5:$G$8,N$11,FALSE)+Matrix!$D$2)*IF($D120="NJ",1.07,1))/$L$10,CHOOSE($M$10,$L$9,$M$9)))</f>
        <v xml:space="preserve"> 29.45 </v>
      </c>
      <c r="O120" s="112"/>
    </row>
    <row r="121" spans="2:15" x14ac:dyDescent="0.25">
      <c r="B121" s="160" t="s">
        <v>666</v>
      </c>
      <c r="C121" s="135">
        <f t="shared" si="3"/>
        <v>42491</v>
      </c>
      <c r="D121" s="136" t="s">
        <v>6</v>
      </c>
      <c r="E121" s="137" t="s">
        <v>8</v>
      </c>
      <c r="F121" s="136" t="s">
        <v>10</v>
      </c>
      <c r="G121" s="137" t="str">
        <f t="shared" si="4"/>
        <v>General Service Medium</v>
      </c>
      <c r="H121" s="138" t="s">
        <v>690</v>
      </c>
      <c r="I121" s="176" t="str">
        <f>TEXT(   (SUMPRODUCT( ((Main!$H$9:$H$1000)=$E121)*((Main!$J$9:$J$1000)=$F121)*((Main!$O$9:$O$1000)=$C121)*(Main!R$9:R$1000) ) +  ( SUMPRODUCT( ((Adders!$D$13:$D$101)=$E121)*((Adders!$E$13:$E$101)=$F121)*(Adders!G$13:G$101)) + VLOOKUP($H121,Adders!$B$5:$G$8,L$11,FALSE)  +  PA!$D$2 ) * IF($D121="NJ",1.07,1))/$L$10, CHOOSE($M$10,$L$9,$M$9) )</f>
        <v xml:space="preserve"> 72.61 </v>
      </c>
      <c r="J121" s="176" t="str">
        <f>TEXT(   (SUMPRODUCT( ((Main!$H$9:$H$1000)=$E121)*((Main!$J$9:$J$1000)=$F121)*((Main!$O$9:$O$1000)=$C121)*(Main!S$9:S$1000) ) +  ( SUMPRODUCT( ((Adders!$D$13:$D$101)=$E121)*((Adders!$E$13:$E$101)=$F121)*(Adders!H$13:H$101)) + VLOOKUP($H121,Adders!$B$5:$G$8,M$11,FALSE)  +  PA!$D$2 ) * IF($D121="NJ",1.07,1))/$L$10, CHOOSE($M$10,$L$9,$M$9) )</f>
        <v xml:space="preserve"> 72.00 </v>
      </c>
      <c r="K121" s="177" t="str">
        <f>TEXT(   (SUMPRODUCT( ((Main!$H$9:$H$1000)=$E121)*((Main!$J$9:$J$1000)=$F121)*((Main!$O$9:$O$1000)=$C121)*(Main!T$9:T$1000) ) +  ( SUMPRODUCT( ((Adders!$D$13:$D$101)=$E121)*((Adders!$E$13:$E$101)=$F121)*(Adders!I$13:I$101)) + VLOOKUP($H121,Adders!$B$5:$G$8,N$11,FALSE)  +  PA!$D$2 ) * IF($D121="NJ",1.07,1))/$L$10, CHOOSE($M$10,$L$9,$M$9) )</f>
        <v xml:space="preserve"> 73.09 </v>
      </c>
      <c r="L121" s="176" t="str">
        <f>IF(AND($D$11="IL",$E121="AMEREN"),"NA",TEXT((SUMPRODUCT(((LMPMain!$H$9:$H$1000)=$E121)*((LMPMain!$J$9:$J$1000)=$F121)*((LMPMain!$O$9:$O$1000)=$C121)*(LMPMain!R$9:R$1000))+(SUMPRODUCT(((Adders!$D$13:$D$101)=$E121)*((Adders!$E$13:$E$101)=$F121)*(Adders!G$13:G$101))+VLOOKUP($H121,Adders!$B$5:$G$8,L$11,FALSE)+Matrix!$D$2)*IF($D121="NJ",1.07,1))/$L$10,CHOOSE($M$10,$L$9,$M$9)))</f>
        <v xml:space="preserve"> 28.36 </v>
      </c>
      <c r="M121" s="176" t="str">
        <f>IF(AND($D$11="IL",$E121="AMEREN"),"NA",TEXT((SUMPRODUCT(((LMPMain!$H$9:$H$1000)=$E121)*((LMPMain!$J$9:$J$1000)=$F121)*((LMPMain!$O$9:$O$1000)=$C121)*(LMPMain!S$9:S$1000))+(SUMPRODUCT(((Adders!$D$13:$D$101)=$E121)*((Adders!$E$13:$E$101)=$F121)*(Adders!H$13:H$101))+VLOOKUP($H121,Adders!$B$5:$G$8,M$11,FALSE)+Matrix!$D$2)*IF($D121="NJ",1.07,1))/$L$10,CHOOSE($M$10,$L$9,$M$9)))</f>
        <v xml:space="preserve"> 28.09 </v>
      </c>
      <c r="N121" s="177" t="str">
        <f>IF(AND($D$11="IL",$E121="AMEREN"),"NA",TEXT((SUMPRODUCT(((LMPMain!$H$9:$H$1000)=$E121)*((LMPMain!$J$9:$J$1000)=$F121)*((LMPMain!$O$9:$O$1000)=$C121)*(LMPMain!T$9:T$1000))+(SUMPRODUCT(((Adders!$D$13:$D$101)=$E121)*((Adders!$E$13:$E$101)=$F121)*(Adders!G$13:G$101))+VLOOKUP($H121,Adders!$B$5:$G$8,N$11,FALSE)+Matrix!$D$2)*IF($D121="NJ",1.07,1))/$L$10,CHOOSE($M$10,$L$9,$M$9)))</f>
        <v xml:space="preserve"> 28.40 </v>
      </c>
      <c r="O121" s="112"/>
    </row>
    <row r="122" spans="2:15" x14ac:dyDescent="0.25">
      <c r="B122" s="160" t="s">
        <v>667</v>
      </c>
      <c r="C122" s="127">
        <f t="shared" si="3"/>
        <v>42156</v>
      </c>
      <c r="D122" s="128" t="s">
        <v>6</v>
      </c>
      <c r="E122" s="129" t="s">
        <v>8</v>
      </c>
      <c r="F122" s="128" t="s">
        <v>11</v>
      </c>
      <c r="G122" s="129" t="str">
        <f>VLOOKUP(SUMPRODUCT( ((LMPMain!$H$9:$H$1000)=$E122)*((LMPMain!$J$9:$J$1000)=$F122)*((LMPMain!$O$9:$O$1000)=$C122)*(LMPMain!A$9:A$1000)),LMPMain!$A$9:$K$1000,11,FALSE)</f>
        <v>General Service Small</v>
      </c>
      <c r="H122" s="130" t="s">
        <v>61</v>
      </c>
      <c r="I122" s="178" t="str">
        <f>TEXT(   (SUMPRODUCT( ((Main!$H$9:$H$1000)=$E122)*((Main!$J$9:$J$1000)=$F122)*((Main!$O$9:$O$1000)=$C122)*(Main!R$9:R$1000) ) +  ( SUMPRODUCT( ((Adders!$D$13:$D$101)=$E122)*((Adders!$E$13:$E$101)=$F122)*(Adders!G$13:G$101)) + VLOOKUP($H122,Adders!$B$5:$G$8,L$11,FALSE)  +  PA!$D$2 ) * IF($D122="NJ",1.07,1))/$L$10, CHOOSE($M$10,$L$9,$M$9) )</f>
        <v xml:space="preserve"> 78.20 </v>
      </c>
      <c r="J122" s="178" t="str">
        <f>TEXT(   (SUMPRODUCT( ((Main!$H$9:$H$1000)=$E122)*((Main!$J$9:$J$1000)=$F122)*((Main!$O$9:$O$1000)=$C122)*(Main!S$9:S$1000) ) +  ( SUMPRODUCT( ((Adders!$D$13:$D$101)=$E122)*((Adders!$E$13:$E$101)=$F122)*(Adders!H$13:H$101)) + VLOOKUP($H122,Adders!$B$5:$G$8,M$11,FALSE)  +  PA!$D$2 ) * IF($D122="NJ",1.07,1))/$L$10, CHOOSE($M$10,$L$9,$M$9) )</f>
        <v xml:space="preserve"> 75.30 </v>
      </c>
      <c r="K122" s="179" t="str">
        <f>TEXT(   (SUMPRODUCT( ((Main!$H$9:$H$1000)=$E122)*((Main!$J$9:$J$1000)=$F122)*((Main!$O$9:$O$1000)=$C122)*(Main!T$9:T$1000) ) +  ( SUMPRODUCT( ((Adders!$D$13:$D$101)=$E122)*((Adders!$E$13:$E$101)=$F122)*(Adders!I$13:I$101)) + VLOOKUP($H122,Adders!$B$5:$G$8,N$11,FALSE)  +  PA!$D$2 ) * IF($D122="NJ",1.07,1))/$L$10, CHOOSE($M$10,$L$9,$M$9) )</f>
        <v xml:space="preserve"> 76.01 </v>
      </c>
      <c r="L122" s="178" t="str">
        <f>IF(AND($D$11="IL",$E122="AMEREN"),"NA",TEXT((SUMPRODUCT(((LMPMain!$H$9:$H$1000)=$E122)*((LMPMain!$J$9:$J$1000)=$F122)*((LMPMain!$O$9:$O$1000)=$C122)*(LMPMain!R$9:R$1000))+(SUMPRODUCT(((Adders!$D$13:$D$101)=$E122)*((Adders!$E$13:$E$101)=$F122)*(Adders!G$13:G$101))+VLOOKUP($H122,Adders!$B$5:$G$8,L$11,FALSE)+Matrix!$D$2)*IF($D122="NJ",1.07,1))/$L$10,CHOOSE($M$10,$L$9,$M$9)))</f>
        <v xml:space="preserve"> 34.85 </v>
      </c>
      <c r="M122" s="178" t="str">
        <f>IF(AND($D$11="IL",$E122="AMEREN"),"NA",TEXT((SUMPRODUCT(((LMPMain!$H$9:$H$1000)=$E122)*((LMPMain!$J$9:$J$1000)=$F122)*((LMPMain!$O$9:$O$1000)=$C122)*(LMPMain!S$9:S$1000))+(SUMPRODUCT(((Adders!$D$13:$D$101)=$E122)*((Adders!$E$13:$E$101)=$F122)*(Adders!H$13:H$101))+VLOOKUP($H122,Adders!$B$5:$G$8,M$11,FALSE)+Matrix!$D$2)*IF($D122="NJ",1.07,1))/$L$10,CHOOSE($M$10,$L$9,$M$9)))</f>
        <v xml:space="preserve"> 33.03 </v>
      </c>
      <c r="N122" s="179" t="str">
        <f>IF(AND($D$11="IL",$E122="AMEREN"),"NA",TEXT((SUMPRODUCT(((LMPMain!$H$9:$H$1000)=$E122)*((LMPMain!$J$9:$J$1000)=$F122)*((LMPMain!$O$9:$O$1000)=$C122)*(LMPMain!T$9:T$1000))+(SUMPRODUCT(((Adders!$D$13:$D$101)=$E122)*((Adders!$E$13:$E$101)=$F122)*(Adders!G$13:G$101))+VLOOKUP($H122,Adders!$B$5:$G$8,N$11,FALSE)+Matrix!$D$2)*IF($D122="NJ",1.07,1))/$L$10,CHOOSE($M$10,$L$9,$M$9)))</f>
        <v xml:space="preserve"> 32.71 </v>
      </c>
      <c r="O122" s="112"/>
    </row>
    <row r="123" spans="2:15" x14ac:dyDescent="0.25">
      <c r="B123" s="160" t="s">
        <v>667</v>
      </c>
      <c r="C123" s="131">
        <f t="shared" si="3"/>
        <v>42156</v>
      </c>
      <c r="D123" s="132" t="s">
        <v>6</v>
      </c>
      <c r="E123" s="133" t="s">
        <v>8</v>
      </c>
      <c r="F123" s="132" t="s">
        <v>11</v>
      </c>
      <c r="G123" s="133" t="str">
        <f>G122</f>
        <v>General Service Small</v>
      </c>
      <c r="H123" s="134" t="s">
        <v>62</v>
      </c>
      <c r="I123" s="173" t="str">
        <f>TEXT(   (SUMPRODUCT( ((Main!$H$9:$H$1000)=$E123)*((Main!$J$9:$J$1000)=$F123)*((Main!$O$9:$O$1000)=$C123)*(Main!R$9:R$1000) ) +  ( SUMPRODUCT( ((Adders!$D$13:$D$101)=$E123)*((Adders!$E$13:$E$101)=$F123)*(Adders!G$13:G$101)) + VLOOKUP($H123,Adders!$B$5:$G$8,L$11,FALSE)  +  PA!$D$2 ) * IF($D123="NJ",1.07,1))/$L$10, CHOOSE($M$10,$L$9,$M$9) )</f>
        <v xml:space="preserve"> 76.60 </v>
      </c>
      <c r="J123" s="173" t="str">
        <f>TEXT(   (SUMPRODUCT( ((Main!$H$9:$H$1000)=$E123)*((Main!$J$9:$J$1000)=$F123)*((Main!$O$9:$O$1000)=$C123)*(Main!S$9:S$1000) ) +  ( SUMPRODUCT( ((Adders!$D$13:$D$101)=$E123)*((Adders!$E$13:$E$101)=$F123)*(Adders!H$13:H$101)) + VLOOKUP($H123,Adders!$B$5:$G$8,M$11,FALSE)  +  PA!$D$2 ) * IF($D123="NJ",1.07,1))/$L$10, CHOOSE($M$10,$L$9,$M$9) )</f>
        <v xml:space="preserve"> 73.70 </v>
      </c>
      <c r="K123" s="174" t="str">
        <f>TEXT(   (SUMPRODUCT( ((Main!$H$9:$H$1000)=$E123)*((Main!$J$9:$J$1000)=$F123)*((Main!$O$9:$O$1000)=$C123)*(Main!T$9:T$1000) ) +  ( SUMPRODUCT( ((Adders!$D$13:$D$101)=$E123)*((Adders!$E$13:$E$101)=$F123)*(Adders!I$13:I$101)) + VLOOKUP($H123,Adders!$B$5:$G$8,N$11,FALSE)  +  PA!$D$2 ) * IF($D123="NJ",1.07,1))/$L$10, CHOOSE($M$10,$L$9,$M$9) )</f>
        <v xml:space="preserve"> 74.41 </v>
      </c>
      <c r="L123" s="173" t="str">
        <f>IF(AND($D$11="IL",$E123="AMEREN"),"NA",TEXT((SUMPRODUCT(((LMPMain!$H$9:$H$1000)=$E123)*((LMPMain!$J$9:$J$1000)=$F123)*((LMPMain!$O$9:$O$1000)=$C123)*(LMPMain!R$9:R$1000))+(SUMPRODUCT(((Adders!$D$13:$D$101)=$E123)*((Adders!$E$13:$E$101)=$F123)*(Adders!G$13:G$101))+VLOOKUP($H123,Adders!$B$5:$G$8,L$11,FALSE)+Matrix!$D$2)*IF($D123="NJ",1.07,1))/$L$10,CHOOSE($M$10,$L$9,$M$9)))</f>
        <v xml:space="preserve"> 33.25 </v>
      </c>
      <c r="M123" s="173" t="str">
        <f>IF(AND($D$11="IL",$E123="AMEREN"),"NA",TEXT((SUMPRODUCT(((LMPMain!$H$9:$H$1000)=$E123)*((LMPMain!$J$9:$J$1000)=$F123)*((LMPMain!$O$9:$O$1000)=$C123)*(LMPMain!S$9:S$1000))+(SUMPRODUCT(((Adders!$D$13:$D$101)=$E123)*((Adders!$E$13:$E$101)=$F123)*(Adders!H$13:H$101))+VLOOKUP($H123,Adders!$B$5:$G$8,M$11,FALSE)+Matrix!$D$2)*IF($D123="NJ",1.07,1))/$L$10,CHOOSE($M$10,$L$9,$M$9)))</f>
        <v xml:space="preserve"> 31.43 </v>
      </c>
      <c r="N123" s="174" t="str">
        <f>IF(AND($D$11="IL",$E123="AMEREN"),"NA",TEXT((SUMPRODUCT(((LMPMain!$H$9:$H$1000)=$E123)*((LMPMain!$J$9:$J$1000)=$F123)*((LMPMain!$O$9:$O$1000)=$C123)*(LMPMain!T$9:T$1000))+(SUMPRODUCT(((Adders!$D$13:$D$101)=$E123)*((Adders!$E$13:$E$101)=$F123)*(Adders!G$13:G$101))+VLOOKUP($H123,Adders!$B$5:$G$8,N$11,FALSE)+Matrix!$D$2)*IF($D123="NJ",1.07,1))/$L$10,CHOOSE($M$10,$L$9,$M$9)))</f>
        <v xml:space="preserve"> 31.11 </v>
      </c>
      <c r="O123" s="112"/>
    </row>
    <row r="124" spans="2:15" x14ac:dyDescent="0.25">
      <c r="B124" s="160" t="s">
        <v>667</v>
      </c>
      <c r="C124" s="135">
        <f t="shared" si="3"/>
        <v>42156</v>
      </c>
      <c r="D124" s="136" t="s">
        <v>6</v>
      </c>
      <c r="E124" s="137" t="s">
        <v>8</v>
      </c>
      <c r="F124" s="136" t="s">
        <v>11</v>
      </c>
      <c r="G124" s="137" t="str">
        <f>G123</f>
        <v>General Service Small</v>
      </c>
      <c r="H124" s="138" t="s">
        <v>690</v>
      </c>
      <c r="I124" s="176" t="str">
        <f>TEXT(   (SUMPRODUCT( ((Main!$H$9:$H$1000)=$E124)*((Main!$J$9:$J$1000)=$F124)*((Main!$O$9:$O$1000)=$C124)*(Main!R$9:R$1000) ) +  ( SUMPRODUCT( ((Adders!$D$13:$D$101)=$E124)*((Adders!$E$13:$E$101)=$F124)*(Adders!G$13:G$101)) + VLOOKUP($H124,Adders!$B$5:$G$8,L$11,FALSE)  +  PA!$D$2 ) * IF($D124="NJ",1.07,1))/$L$10, CHOOSE($M$10,$L$9,$M$9) )</f>
        <v xml:space="preserve"> 75.55 </v>
      </c>
      <c r="J124" s="176" t="str">
        <f>TEXT(   (SUMPRODUCT( ((Main!$H$9:$H$1000)=$E124)*((Main!$J$9:$J$1000)=$F124)*((Main!$O$9:$O$1000)=$C124)*(Main!S$9:S$1000) ) +  ( SUMPRODUCT( ((Adders!$D$13:$D$101)=$E124)*((Adders!$E$13:$E$101)=$F124)*(Adders!H$13:H$101)) + VLOOKUP($H124,Adders!$B$5:$G$8,M$11,FALSE)  +  PA!$D$2 ) * IF($D124="NJ",1.07,1))/$L$10, CHOOSE($M$10,$L$9,$M$9) )</f>
        <v xml:space="preserve"> 72.65 </v>
      </c>
      <c r="K124" s="177" t="str">
        <f>TEXT(   (SUMPRODUCT( ((Main!$H$9:$H$1000)=$E124)*((Main!$J$9:$J$1000)=$F124)*((Main!$O$9:$O$1000)=$C124)*(Main!T$9:T$1000) ) +  ( SUMPRODUCT( ((Adders!$D$13:$D$101)=$E124)*((Adders!$E$13:$E$101)=$F124)*(Adders!I$13:I$101)) + VLOOKUP($H124,Adders!$B$5:$G$8,N$11,FALSE)  +  PA!$D$2 ) * IF($D124="NJ",1.07,1))/$L$10, CHOOSE($M$10,$L$9,$M$9) )</f>
        <v xml:space="preserve"> 73.36 </v>
      </c>
      <c r="L124" s="176" t="str">
        <f>IF(AND($D$11="IL",$E124="AMEREN"),"NA",TEXT((SUMPRODUCT(((LMPMain!$H$9:$H$1000)=$E124)*((LMPMain!$J$9:$J$1000)=$F124)*((LMPMain!$O$9:$O$1000)=$C124)*(LMPMain!R$9:R$1000))+(SUMPRODUCT(((Adders!$D$13:$D$101)=$E124)*((Adders!$E$13:$E$101)=$F124)*(Adders!G$13:G$101))+VLOOKUP($H124,Adders!$B$5:$G$8,L$11,FALSE)+Matrix!$D$2)*IF($D124="NJ",1.07,1))/$L$10,CHOOSE($M$10,$L$9,$M$9)))</f>
        <v xml:space="preserve"> 32.20 </v>
      </c>
      <c r="M124" s="176" t="str">
        <f>IF(AND($D$11="IL",$E124="AMEREN"),"NA",TEXT((SUMPRODUCT(((LMPMain!$H$9:$H$1000)=$E124)*((LMPMain!$J$9:$J$1000)=$F124)*((LMPMain!$O$9:$O$1000)=$C124)*(LMPMain!S$9:S$1000))+(SUMPRODUCT(((Adders!$D$13:$D$101)=$E124)*((Adders!$E$13:$E$101)=$F124)*(Adders!H$13:H$101))+VLOOKUP($H124,Adders!$B$5:$G$8,M$11,FALSE)+Matrix!$D$2)*IF($D124="NJ",1.07,1))/$L$10,CHOOSE($M$10,$L$9,$M$9)))</f>
        <v xml:space="preserve"> 30.38 </v>
      </c>
      <c r="N124" s="177" t="str">
        <f>IF(AND($D$11="IL",$E124="AMEREN"),"NA",TEXT((SUMPRODUCT(((LMPMain!$H$9:$H$1000)=$E124)*((LMPMain!$J$9:$J$1000)=$F124)*((LMPMain!$O$9:$O$1000)=$C124)*(LMPMain!T$9:T$1000))+(SUMPRODUCT(((Adders!$D$13:$D$101)=$E124)*((Adders!$E$13:$E$101)=$F124)*(Adders!G$13:G$101))+VLOOKUP($H124,Adders!$B$5:$G$8,N$11,FALSE)+Matrix!$D$2)*IF($D124="NJ",1.07,1))/$L$10,CHOOSE($M$10,$L$9,$M$9)))</f>
        <v xml:space="preserve"> 30.06 </v>
      </c>
      <c r="O124" s="112"/>
    </row>
    <row r="125" spans="2:15" x14ac:dyDescent="0.25">
      <c r="B125" s="160" t="s">
        <v>667</v>
      </c>
      <c r="C125" s="127">
        <f t="shared" si="3"/>
        <v>42186</v>
      </c>
      <c r="D125" s="128" t="s">
        <v>6</v>
      </c>
      <c r="E125" s="129" t="s">
        <v>8</v>
      </c>
      <c r="F125" s="128" t="s">
        <v>11</v>
      </c>
      <c r="G125" s="129" t="str">
        <f t="shared" si="4"/>
        <v>General Service Small</v>
      </c>
      <c r="H125" s="130" t="s">
        <v>61</v>
      </c>
      <c r="I125" s="178" t="str">
        <f>TEXT(   (SUMPRODUCT( ((Main!$H$9:$H$1000)=$E125)*((Main!$J$9:$J$1000)=$F125)*((Main!$O$9:$O$1000)=$C125)*(Main!R$9:R$1000) ) +  ( SUMPRODUCT( ((Adders!$D$13:$D$101)=$E125)*((Adders!$E$13:$E$101)=$F125)*(Adders!G$13:G$101)) + VLOOKUP($H125,Adders!$B$5:$G$8,L$11,FALSE)  +  PA!$D$2 ) * IF($D125="NJ",1.07,1))/$L$10, CHOOSE($M$10,$L$9,$M$9) )</f>
        <v xml:space="preserve"> 77.85 </v>
      </c>
      <c r="J125" s="178" t="str">
        <f>TEXT(   (SUMPRODUCT( ((Main!$H$9:$H$1000)=$E125)*((Main!$J$9:$J$1000)=$F125)*((Main!$O$9:$O$1000)=$C125)*(Main!S$9:S$1000) ) +  ( SUMPRODUCT( ((Adders!$D$13:$D$101)=$E125)*((Adders!$E$13:$E$101)=$F125)*(Adders!H$13:H$101)) + VLOOKUP($H125,Adders!$B$5:$G$8,M$11,FALSE)  +  PA!$D$2 ) * IF($D125="NJ",1.07,1))/$L$10, CHOOSE($M$10,$L$9,$M$9) )</f>
        <v xml:space="preserve"> 75.04 </v>
      </c>
      <c r="K125" s="179" t="str">
        <f>TEXT(   (SUMPRODUCT( ((Main!$H$9:$H$1000)=$E125)*((Main!$J$9:$J$1000)=$F125)*((Main!$O$9:$O$1000)=$C125)*(Main!T$9:T$1000) ) +  ( SUMPRODUCT( ((Adders!$D$13:$D$101)=$E125)*((Adders!$E$13:$E$101)=$F125)*(Adders!I$13:I$101)) + VLOOKUP($H125,Adders!$B$5:$G$8,N$11,FALSE)  +  PA!$D$2 ) * IF($D125="NJ",1.07,1))/$L$10, CHOOSE($M$10,$L$9,$M$9) )</f>
        <v xml:space="preserve"> 75.84 </v>
      </c>
      <c r="L125" s="178" t="str">
        <f>IF(AND($D$11="IL",$E125="AMEREN"),"NA",TEXT((SUMPRODUCT(((LMPMain!$H$9:$H$1000)=$E125)*((LMPMain!$J$9:$J$1000)=$F125)*((LMPMain!$O$9:$O$1000)=$C125)*(LMPMain!R$9:R$1000))+(SUMPRODUCT(((Adders!$D$13:$D$101)=$E125)*((Adders!$E$13:$E$101)=$F125)*(Adders!G$13:G$101))+VLOOKUP($H125,Adders!$B$5:$G$8,L$11,FALSE)+Matrix!$D$2)*IF($D125="NJ",1.07,1))/$L$10,CHOOSE($M$10,$L$9,$M$9)))</f>
        <v xml:space="preserve"> 34.49 </v>
      </c>
      <c r="M125" s="178" t="str">
        <f>IF(AND($D$11="IL",$E125="AMEREN"),"NA",TEXT((SUMPRODUCT(((LMPMain!$H$9:$H$1000)=$E125)*((LMPMain!$J$9:$J$1000)=$F125)*((LMPMain!$O$9:$O$1000)=$C125)*(LMPMain!S$9:S$1000))+(SUMPRODUCT(((Adders!$D$13:$D$101)=$E125)*((Adders!$E$13:$E$101)=$F125)*(Adders!H$13:H$101))+VLOOKUP($H125,Adders!$B$5:$G$8,M$11,FALSE)+Matrix!$D$2)*IF($D125="NJ",1.07,1))/$L$10,CHOOSE($M$10,$L$9,$M$9)))</f>
        <v xml:space="preserve"> 32.77 </v>
      </c>
      <c r="N125" s="179" t="str">
        <f>IF(AND($D$11="IL",$E125="AMEREN"),"NA",TEXT((SUMPRODUCT(((LMPMain!$H$9:$H$1000)=$E125)*((LMPMain!$J$9:$J$1000)=$F125)*((LMPMain!$O$9:$O$1000)=$C125)*(LMPMain!T$9:T$1000))+(SUMPRODUCT(((Adders!$D$13:$D$101)=$E125)*((Adders!$E$13:$E$101)=$F125)*(Adders!G$13:G$101))+VLOOKUP($H125,Adders!$B$5:$G$8,N$11,FALSE)+Matrix!$D$2)*IF($D125="NJ",1.07,1))/$L$10,CHOOSE($M$10,$L$9,$M$9)))</f>
        <v xml:space="preserve"> 32.55 </v>
      </c>
      <c r="O125" s="112"/>
    </row>
    <row r="126" spans="2:15" x14ac:dyDescent="0.25">
      <c r="B126" s="160" t="s">
        <v>667</v>
      </c>
      <c r="C126" s="131">
        <f t="shared" si="3"/>
        <v>42186</v>
      </c>
      <c r="D126" s="132" t="s">
        <v>6</v>
      </c>
      <c r="E126" s="133" t="s">
        <v>8</v>
      </c>
      <c r="F126" s="132" t="s">
        <v>11</v>
      </c>
      <c r="G126" s="133" t="str">
        <f t="shared" si="4"/>
        <v>General Service Small</v>
      </c>
      <c r="H126" s="134" t="s">
        <v>62</v>
      </c>
      <c r="I126" s="173" t="str">
        <f>TEXT(   (SUMPRODUCT( ((Main!$H$9:$H$1000)=$E126)*((Main!$J$9:$J$1000)=$F126)*((Main!$O$9:$O$1000)=$C126)*(Main!R$9:R$1000) ) +  ( SUMPRODUCT( ((Adders!$D$13:$D$101)=$E126)*((Adders!$E$13:$E$101)=$F126)*(Adders!G$13:G$101)) + VLOOKUP($H126,Adders!$B$5:$G$8,L$11,FALSE)  +  PA!$D$2 ) * IF($D126="NJ",1.07,1))/$L$10, CHOOSE($M$10,$L$9,$M$9) )</f>
        <v xml:space="preserve"> 76.25 </v>
      </c>
      <c r="J126" s="173" t="str">
        <f>TEXT(   (SUMPRODUCT( ((Main!$H$9:$H$1000)=$E126)*((Main!$J$9:$J$1000)=$F126)*((Main!$O$9:$O$1000)=$C126)*(Main!S$9:S$1000) ) +  ( SUMPRODUCT( ((Adders!$D$13:$D$101)=$E126)*((Adders!$E$13:$E$101)=$F126)*(Adders!H$13:H$101)) + VLOOKUP($H126,Adders!$B$5:$G$8,M$11,FALSE)  +  PA!$D$2 ) * IF($D126="NJ",1.07,1))/$L$10, CHOOSE($M$10,$L$9,$M$9) )</f>
        <v xml:space="preserve"> 73.44 </v>
      </c>
      <c r="K126" s="174" t="str">
        <f>TEXT(   (SUMPRODUCT( ((Main!$H$9:$H$1000)=$E126)*((Main!$J$9:$J$1000)=$F126)*((Main!$O$9:$O$1000)=$C126)*(Main!T$9:T$1000) ) +  ( SUMPRODUCT( ((Adders!$D$13:$D$101)=$E126)*((Adders!$E$13:$E$101)=$F126)*(Adders!I$13:I$101)) + VLOOKUP($H126,Adders!$B$5:$G$8,N$11,FALSE)  +  PA!$D$2 ) * IF($D126="NJ",1.07,1))/$L$10, CHOOSE($M$10,$L$9,$M$9) )</f>
        <v xml:space="preserve"> 74.24 </v>
      </c>
      <c r="L126" s="173" t="str">
        <f>IF(AND($D$11="IL",$E126="AMEREN"),"NA",TEXT((SUMPRODUCT(((LMPMain!$H$9:$H$1000)=$E126)*((LMPMain!$J$9:$J$1000)=$F126)*((LMPMain!$O$9:$O$1000)=$C126)*(LMPMain!R$9:R$1000))+(SUMPRODUCT(((Adders!$D$13:$D$101)=$E126)*((Adders!$E$13:$E$101)=$F126)*(Adders!G$13:G$101))+VLOOKUP($H126,Adders!$B$5:$G$8,L$11,FALSE)+Matrix!$D$2)*IF($D126="NJ",1.07,1))/$L$10,CHOOSE($M$10,$L$9,$M$9)))</f>
        <v xml:space="preserve"> 32.89 </v>
      </c>
      <c r="M126" s="173" t="str">
        <f>IF(AND($D$11="IL",$E126="AMEREN"),"NA",TEXT((SUMPRODUCT(((LMPMain!$H$9:$H$1000)=$E126)*((LMPMain!$J$9:$J$1000)=$F126)*((LMPMain!$O$9:$O$1000)=$C126)*(LMPMain!S$9:S$1000))+(SUMPRODUCT(((Adders!$D$13:$D$101)=$E126)*((Adders!$E$13:$E$101)=$F126)*(Adders!H$13:H$101))+VLOOKUP($H126,Adders!$B$5:$G$8,M$11,FALSE)+Matrix!$D$2)*IF($D126="NJ",1.07,1))/$L$10,CHOOSE($M$10,$L$9,$M$9)))</f>
        <v xml:space="preserve"> 31.17 </v>
      </c>
      <c r="N126" s="174" t="str">
        <f>IF(AND($D$11="IL",$E126="AMEREN"),"NA",TEXT((SUMPRODUCT(((LMPMain!$H$9:$H$1000)=$E126)*((LMPMain!$J$9:$J$1000)=$F126)*((LMPMain!$O$9:$O$1000)=$C126)*(LMPMain!T$9:T$1000))+(SUMPRODUCT(((Adders!$D$13:$D$101)=$E126)*((Adders!$E$13:$E$101)=$F126)*(Adders!G$13:G$101))+VLOOKUP($H126,Adders!$B$5:$G$8,N$11,FALSE)+Matrix!$D$2)*IF($D126="NJ",1.07,1))/$L$10,CHOOSE($M$10,$L$9,$M$9)))</f>
        <v xml:space="preserve"> 30.95 </v>
      </c>
      <c r="O126" s="112"/>
    </row>
    <row r="127" spans="2:15" x14ac:dyDescent="0.25">
      <c r="B127" s="160" t="s">
        <v>667</v>
      </c>
      <c r="C127" s="135">
        <f t="shared" si="3"/>
        <v>42186</v>
      </c>
      <c r="D127" s="136" t="s">
        <v>6</v>
      </c>
      <c r="E127" s="137" t="s">
        <v>8</v>
      </c>
      <c r="F127" s="136" t="s">
        <v>11</v>
      </c>
      <c r="G127" s="137" t="str">
        <f t="shared" si="4"/>
        <v>General Service Small</v>
      </c>
      <c r="H127" s="138" t="s">
        <v>690</v>
      </c>
      <c r="I127" s="176" t="str">
        <f>TEXT(   (SUMPRODUCT( ((Main!$H$9:$H$1000)=$E127)*((Main!$J$9:$J$1000)=$F127)*((Main!$O$9:$O$1000)=$C127)*(Main!R$9:R$1000) ) +  ( SUMPRODUCT( ((Adders!$D$13:$D$101)=$E127)*((Adders!$E$13:$E$101)=$F127)*(Adders!G$13:G$101)) + VLOOKUP($H127,Adders!$B$5:$G$8,L$11,FALSE)  +  PA!$D$2 ) * IF($D127="NJ",1.07,1))/$L$10, CHOOSE($M$10,$L$9,$M$9) )</f>
        <v xml:space="preserve"> 75.20 </v>
      </c>
      <c r="J127" s="176" t="str">
        <f>TEXT(   (SUMPRODUCT( ((Main!$H$9:$H$1000)=$E127)*((Main!$J$9:$J$1000)=$F127)*((Main!$O$9:$O$1000)=$C127)*(Main!S$9:S$1000) ) +  ( SUMPRODUCT( ((Adders!$D$13:$D$101)=$E127)*((Adders!$E$13:$E$101)=$F127)*(Adders!H$13:H$101)) + VLOOKUP($H127,Adders!$B$5:$G$8,M$11,FALSE)  +  PA!$D$2 ) * IF($D127="NJ",1.07,1))/$L$10, CHOOSE($M$10,$L$9,$M$9) )</f>
        <v xml:space="preserve"> 72.39 </v>
      </c>
      <c r="K127" s="177" t="str">
        <f>TEXT(   (SUMPRODUCT( ((Main!$H$9:$H$1000)=$E127)*((Main!$J$9:$J$1000)=$F127)*((Main!$O$9:$O$1000)=$C127)*(Main!T$9:T$1000) ) +  ( SUMPRODUCT( ((Adders!$D$13:$D$101)=$E127)*((Adders!$E$13:$E$101)=$F127)*(Adders!I$13:I$101)) + VLOOKUP($H127,Adders!$B$5:$G$8,N$11,FALSE)  +  PA!$D$2 ) * IF($D127="NJ",1.07,1))/$L$10, CHOOSE($M$10,$L$9,$M$9) )</f>
        <v xml:space="preserve"> 73.19 </v>
      </c>
      <c r="L127" s="176" t="str">
        <f>IF(AND($D$11="IL",$E127="AMEREN"),"NA",TEXT((SUMPRODUCT(((LMPMain!$H$9:$H$1000)=$E127)*((LMPMain!$J$9:$J$1000)=$F127)*((LMPMain!$O$9:$O$1000)=$C127)*(LMPMain!R$9:R$1000))+(SUMPRODUCT(((Adders!$D$13:$D$101)=$E127)*((Adders!$E$13:$E$101)=$F127)*(Adders!G$13:G$101))+VLOOKUP($H127,Adders!$B$5:$G$8,L$11,FALSE)+Matrix!$D$2)*IF($D127="NJ",1.07,1))/$L$10,CHOOSE($M$10,$L$9,$M$9)))</f>
        <v xml:space="preserve"> 31.84 </v>
      </c>
      <c r="M127" s="176" t="str">
        <f>IF(AND($D$11="IL",$E127="AMEREN"),"NA",TEXT((SUMPRODUCT(((LMPMain!$H$9:$H$1000)=$E127)*((LMPMain!$J$9:$J$1000)=$F127)*((LMPMain!$O$9:$O$1000)=$C127)*(LMPMain!S$9:S$1000))+(SUMPRODUCT(((Adders!$D$13:$D$101)=$E127)*((Adders!$E$13:$E$101)=$F127)*(Adders!H$13:H$101))+VLOOKUP($H127,Adders!$B$5:$G$8,M$11,FALSE)+Matrix!$D$2)*IF($D127="NJ",1.07,1))/$L$10,CHOOSE($M$10,$L$9,$M$9)))</f>
        <v xml:space="preserve"> 30.12 </v>
      </c>
      <c r="N127" s="177" t="str">
        <f>IF(AND($D$11="IL",$E127="AMEREN"),"NA",TEXT((SUMPRODUCT(((LMPMain!$H$9:$H$1000)=$E127)*((LMPMain!$J$9:$J$1000)=$F127)*((LMPMain!$O$9:$O$1000)=$C127)*(LMPMain!T$9:T$1000))+(SUMPRODUCT(((Adders!$D$13:$D$101)=$E127)*((Adders!$E$13:$E$101)=$F127)*(Adders!G$13:G$101))+VLOOKUP($H127,Adders!$B$5:$G$8,N$11,FALSE)+Matrix!$D$2)*IF($D127="NJ",1.07,1))/$L$10,CHOOSE($M$10,$L$9,$M$9)))</f>
        <v xml:space="preserve"> 29.90 </v>
      </c>
      <c r="O127" s="112"/>
    </row>
    <row r="128" spans="2:15" x14ac:dyDescent="0.25">
      <c r="B128" s="160" t="s">
        <v>667</v>
      </c>
      <c r="C128" s="127">
        <f t="shared" si="3"/>
        <v>42217</v>
      </c>
      <c r="D128" s="128" t="s">
        <v>6</v>
      </c>
      <c r="E128" s="129" t="s">
        <v>8</v>
      </c>
      <c r="F128" s="128" t="s">
        <v>11</v>
      </c>
      <c r="G128" s="129" t="str">
        <f t="shared" si="4"/>
        <v>General Service Small</v>
      </c>
      <c r="H128" s="130" t="s">
        <v>61</v>
      </c>
      <c r="I128" s="178" t="str">
        <f>TEXT(   (SUMPRODUCT( ((Main!$H$9:$H$1000)=$E128)*((Main!$J$9:$J$1000)=$F128)*((Main!$O$9:$O$1000)=$C128)*(Main!R$9:R$1000) ) +  ( SUMPRODUCT( ((Adders!$D$13:$D$101)=$E128)*((Adders!$E$13:$E$101)=$F128)*(Adders!G$13:G$101)) + VLOOKUP($H128,Adders!$B$5:$G$8,L$11,FALSE)  +  PA!$D$2 ) * IF($D128="NJ",1.07,1))/$L$10, CHOOSE($M$10,$L$9,$M$9) )</f>
        <v xml:space="preserve"> 77.39 </v>
      </c>
      <c r="J128" s="178" t="str">
        <f>TEXT(   (SUMPRODUCT( ((Main!$H$9:$H$1000)=$E128)*((Main!$J$9:$J$1000)=$F128)*((Main!$O$9:$O$1000)=$C128)*(Main!S$9:S$1000) ) +  ( SUMPRODUCT( ((Adders!$D$13:$D$101)=$E128)*((Adders!$E$13:$E$101)=$F128)*(Adders!H$13:H$101)) + VLOOKUP($H128,Adders!$B$5:$G$8,M$11,FALSE)  +  PA!$D$2 ) * IF($D128="NJ",1.07,1))/$L$10, CHOOSE($M$10,$L$9,$M$9) )</f>
        <v xml:space="preserve"> 75.32 </v>
      </c>
      <c r="K128" s="179" t="str">
        <f>TEXT(   (SUMPRODUCT( ((Main!$H$9:$H$1000)=$E128)*((Main!$J$9:$J$1000)=$F128)*((Main!$O$9:$O$1000)=$C128)*(Main!T$9:T$1000) ) +  ( SUMPRODUCT( ((Adders!$D$13:$D$101)=$E128)*((Adders!$E$13:$E$101)=$F128)*(Adders!I$13:I$101)) + VLOOKUP($H128,Adders!$B$5:$G$8,N$11,FALSE)  +  PA!$D$2 ) * IF($D128="NJ",1.07,1))/$L$10, CHOOSE($M$10,$L$9,$M$9) )</f>
        <v xml:space="preserve"> 75.72 </v>
      </c>
      <c r="L128" s="178" t="str">
        <f>IF(AND($D$11="IL",$E128="AMEREN"),"NA",TEXT((SUMPRODUCT(((LMPMain!$H$9:$H$1000)=$E128)*((LMPMain!$J$9:$J$1000)=$F128)*((LMPMain!$O$9:$O$1000)=$C128)*(LMPMain!R$9:R$1000))+(SUMPRODUCT(((Adders!$D$13:$D$101)=$E128)*((Adders!$E$13:$E$101)=$F128)*(Adders!G$13:G$101))+VLOOKUP($H128,Adders!$B$5:$G$8,L$11,FALSE)+Matrix!$D$2)*IF($D128="NJ",1.07,1))/$L$10,CHOOSE($M$10,$L$9,$M$9)))</f>
        <v xml:space="preserve"> 34.16 </v>
      </c>
      <c r="M128" s="178" t="str">
        <f>IF(AND($D$11="IL",$E128="AMEREN"),"NA",TEXT((SUMPRODUCT(((LMPMain!$H$9:$H$1000)=$E128)*((LMPMain!$J$9:$J$1000)=$F128)*((LMPMain!$O$9:$O$1000)=$C128)*(LMPMain!S$9:S$1000))+(SUMPRODUCT(((Adders!$D$13:$D$101)=$E128)*((Adders!$E$13:$E$101)=$F128)*(Adders!H$13:H$101))+VLOOKUP($H128,Adders!$B$5:$G$8,M$11,FALSE)+Matrix!$D$2)*IF($D128="NJ",1.07,1))/$L$10,CHOOSE($M$10,$L$9,$M$9)))</f>
        <v xml:space="preserve"> 32.58 </v>
      </c>
      <c r="N128" s="179" t="str">
        <f>IF(AND($D$11="IL",$E128="AMEREN"),"NA",TEXT((SUMPRODUCT(((LMPMain!$H$9:$H$1000)=$E128)*((LMPMain!$J$9:$J$1000)=$F128)*((LMPMain!$O$9:$O$1000)=$C128)*(LMPMain!T$9:T$1000))+(SUMPRODUCT(((Adders!$D$13:$D$101)=$E128)*((Adders!$E$13:$E$101)=$F128)*(Adders!G$13:G$101))+VLOOKUP($H128,Adders!$B$5:$G$8,N$11,FALSE)+Matrix!$D$2)*IF($D128="NJ",1.07,1))/$L$10,CHOOSE($M$10,$L$9,$M$9)))</f>
        <v xml:space="preserve"> 32.41 </v>
      </c>
      <c r="O128" s="112"/>
    </row>
    <row r="129" spans="2:15" x14ac:dyDescent="0.25">
      <c r="B129" s="160" t="s">
        <v>667</v>
      </c>
      <c r="C129" s="131">
        <f t="shared" si="3"/>
        <v>42217</v>
      </c>
      <c r="D129" s="132" t="s">
        <v>6</v>
      </c>
      <c r="E129" s="133" t="s">
        <v>8</v>
      </c>
      <c r="F129" s="132" t="s">
        <v>11</v>
      </c>
      <c r="G129" s="133" t="str">
        <f t="shared" si="4"/>
        <v>General Service Small</v>
      </c>
      <c r="H129" s="134" t="s">
        <v>62</v>
      </c>
      <c r="I129" s="173" t="str">
        <f>TEXT(   (SUMPRODUCT( ((Main!$H$9:$H$1000)=$E129)*((Main!$J$9:$J$1000)=$F129)*((Main!$O$9:$O$1000)=$C129)*(Main!R$9:R$1000) ) +  ( SUMPRODUCT( ((Adders!$D$13:$D$101)=$E129)*((Adders!$E$13:$E$101)=$F129)*(Adders!G$13:G$101)) + VLOOKUP($H129,Adders!$B$5:$G$8,L$11,FALSE)  +  PA!$D$2 ) * IF($D129="NJ",1.07,1))/$L$10, CHOOSE($M$10,$L$9,$M$9) )</f>
        <v xml:space="preserve"> 75.79 </v>
      </c>
      <c r="J129" s="173" t="str">
        <f>TEXT(   (SUMPRODUCT( ((Main!$H$9:$H$1000)=$E129)*((Main!$J$9:$J$1000)=$F129)*((Main!$O$9:$O$1000)=$C129)*(Main!S$9:S$1000) ) +  ( SUMPRODUCT( ((Adders!$D$13:$D$101)=$E129)*((Adders!$E$13:$E$101)=$F129)*(Adders!H$13:H$101)) + VLOOKUP($H129,Adders!$B$5:$G$8,M$11,FALSE)  +  PA!$D$2 ) * IF($D129="NJ",1.07,1))/$L$10, CHOOSE($M$10,$L$9,$M$9) )</f>
        <v xml:space="preserve"> 73.72 </v>
      </c>
      <c r="K129" s="174" t="str">
        <f>TEXT(   (SUMPRODUCT( ((Main!$H$9:$H$1000)=$E129)*((Main!$J$9:$J$1000)=$F129)*((Main!$O$9:$O$1000)=$C129)*(Main!T$9:T$1000) ) +  ( SUMPRODUCT( ((Adders!$D$13:$D$101)=$E129)*((Adders!$E$13:$E$101)=$F129)*(Adders!I$13:I$101)) + VLOOKUP($H129,Adders!$B$5:$G$8,N$11,FALSE)  +  PA!$D$2 ) * IF($D129="NJ",1.07,1))/$L$10, CHOOSE($M$10,$L$9,$M$9) )</f>
        <v xml:space="preserve"> 74.12 </v>
      </c>
      <c r="L129" s="173" t="str">
        <f>IF(AND($D$11="IL",$E129="AMEREN"),"NA",TEXT((SUMPRODUCT(((LMPMain!$H$9:$H$1000)=$E129)*((LMPMain!$J$9:$J$1000)=$F129)*((LMPMain!$O$9:$O$1000)=$C129)*(LMPMain!R$9:R$1000))+(SUMPRODUCT(((Adders!$D$13:$D$101)=$E129)*((Adders!$E$13:$E$101)=$F129)*(Adders!G$13:G$101))+VLOOKUP($H129,Adders!$B$5:$G$8,L$11,FALSE)+Matrix!$D$2)*IF($D129="NJ",1.07,1))/$L$10,CHOOSE($M$10,$L$9,$M$9)))</f>
        <v xml:space="preserve"> 32.56 </v>
      </c>
      <c r="M129" s="173" t="str">
        <f>IF(AND($D$11="IL",$E129="AMEREN"),"NA",TEXT((SUMPRODUCT(((LMPMain!$H$9:$H$1000)=$E129)*((LMPMain!$J$9:$J$1000)=$F129)*((LMPMain!$O$9:$O$1000)=$C129)*(LMPMain!S$9:S$1000))+(SUMPRODUCT(((Adders!$D$13:$D$101)=$E129)*((Adders!$E$13:$E$101)=$F129)*(Adders!H$13:H$101))+VLOOKUP($H129,Adders!$B$5:$G$8,M$11,FALSE)+Matrix!$D$2)*IF($D129="NJ",1.07,1))/$L$10,CHOOSE($M$10,$L$9,$M$9)))</f>
        <v xml:space="preserve"> 30.98 </v>
      </c>
      <c r="N129" s="174" t="str">
        <f>IF(AND($D$11="IL",$E129="AMEREN"),"NA",TEXT((SUMPRODUCT(((LMPMain!$H$9:$H$1000)=$E129)*((LMPMain!$J$9:$J$1000)=$F129)*((LMPMain!$O$9:$O$1000)=$C129)*(LMPMain!T$9:T$1000))+(SUMPRODUCT(((Adders!$D$13:$D$101)=$E129)*((Adders!$E$13:$E$101)=$F129)*(Adders!G$13:G$101))+VLOOKUP($H129,Adders!$B$5:$G$8,N$11,FALSE)+Matrix!$D$2)*IF($D129="NJ",1.07,1))/$L$10,CHOOSE($M$10,$L$9,$M$9)))</f>
        <v xml:space="preserve"> 30.81 </v>
      </c>
      <c r="O129" s="112"/>
    </row>
    <row r="130" spans="2:15" x14ac:dyDescent="0.25">
      <c r="B130" s="160" t="s">
        <v>667</v>
      </c>
      <c r="C130" s="135">
        <f t="shared" si="3"/>
        <v>42217</v>
      </c>
      <c r="D130" s="136" t="s">
        <v>6</v>
      </c>
      <c r="E130" s="137" t="s">
        <v>8</v>
      </c>
      <c r="F130" s="136" t="s">
        <v>11</v>
      </c>
      <c r="G130" s="137" t="str">
        <f t="shared" si="4"/>
        <v>General Service Small</v>
      </c>
      <c r="H130" s="138" t="s">
        <v>690</v>
      </c>
      <c r="I130" s="176" t="str">
        <f>TEXT(   (SUMPRODUCT( ((Main!$H$9:$H$1000)=$E130)*((Main!$J$9:$J$1000)=$F130)*((Main!$O$9:$O$1000)=$C130)*(Main!R$9:R$1000) ) +  ( SUMPRODUCT( ((Adders!$D$13:$D$101)=$E130)*((Adders!$E$13:$E$101)=$F130)*(Adders!G$13:G$101)) + VLOOKUP($H130,Adders!$B$5:$G$8,L$11,FALSE)  +  PA!$D$2 ) * IF($D130="NJ",1.07,1))/$L$10, CHOOSE($M$10,$L$9,$M$9) )</f>
        <v xml:space="preserve"> 74.74 </v>
      </c>
      <c r="J130" s="176" t="str">
        <f>TEXT(   (SUMPRODUCT( ((Main!$H$9:$H$1000)=$E130)*((Main!$J$9:$J$1000)=$F130)*((Main!$O$9:$O$1000)=$C130)*(Main!S$9:S$1000) ) +  ( SUMPRODUCT( ((Adders!$D$13:$D$101)=$E130)*((Adders!$E$13:$E$101)=$F130)*(Adders!H$13:H$101)) + VLOOKUP($H130,Adders!$B$5:$G$8,M$11,FALSE)  +  PA!$D$2 ) * IF($D130="NJ",1.07,1))/$L$10, CHOOSE($M$10,$L$9,$M$9) )</f>
        <v xml:space="preserve"> 72.67 </v>
      </c>
      <c r="K130" s="177" t="str">
        <f>TEXT(   (SUMPRODUCT( ((Main!$H$9:$H$1000)=$E130)*((Main!$J$9:$J$1000)=$F130)*((Main!$O$9:$O$1000)=$C130)*(Main!T$9:T$1000) ) +  ( SUMPRODUCT( ((Adders!$D$13:$D$101)=$E130)*((Adders!$E$13:$E$101)=$F130)*(Adders!I$13:I$101)) + VLOOKUP($H130,Adders!$B$5:$G$8,N$11,FALSE)  +  PA!$D$2 ) * IF($D130="NJ",1.07,1))/$L$10, CHOOSE($M$10,$L$9,$M$9) )</f>
        <v xml:space="preserve"> 73.07 </v>
      </c>
      <c r="L130" s="176" t="str">
        <f>IF(AND($D$11="IL",$E130="AMEREN"),"NA",TEXT((SUMPRODUCT(((LMPMain!$H$9:$H$1000)=$E130)*((LMPMain!$J$9:$J$1000)=$F130)*((LMPMain!$O$9:$O$1000)=$C130)*(LMPMain!R$9:R$1000))+(SUMPRODUCT(((Adders!$D$13:$D$101)=$E130)*((Adders!$E$13:$E$101)=$F130)*(Adders!G$13:G$101))+VLOOKUP($H130,Adders!$B$5:$G$8,L$11,FALSE)+Matrix!$D$2)*IF($D130="NJ",1.07,1))/$L$10,CHOOSE($M$10,$L$9,$M$9)))</f>
        <v xml:space="preserve"> 31.51 </v>
      </c>
      <c r="M130" s="176" t="str">
        <f>IF(AND($D$11="IL",$E130="AMEREN"),"NA",TEXT((SUMPRODUCT(((LMPMain!$H$9:$H$1000)=$E130)*((LMPMain!$J$9:$J$1000)=$F130)*((LMPMain!$O$9:$O$1000)=$C130)*(LMPMain!S$9:S$1000))+(SUMPRODUCT(((Adders!$D$13:$D$101)=$E130)*((Adders!$E$13:$E$101)=$F130)*(Adders!H$13:H$101))+VLOOKUP($H130,Adders!$B$5:$G$8,M$11,FALSE)+Matrix!$D$2)*IF($D130="NJ",1.07,1))/$L$10,CHOOSE($M$10,$L$9,$M$9)))</f>
        <v xml:space="preserve"> 29.93 </v>
      </c>
      <c r="N130" s="177" t="str">
        <f>IF(AND($D$11="IL",$E130="AMEREN"),"NA",TEXT((SUMPRODUCT(((LMPMain!$H$9:$H$1000)=$E130)*((LMPMain!$J$9:$J$1000)=$F130)*((LMPMain!$O$9:$O$1000)=$C130)*(LMPMain!T$9:T$1000))+(SUMPRODUCT(((Adders!$D$13:$D$101)=$E130)*((Adders!$E$13:$E$101)=$F130)*(Adders!G$13:G$101))+VLOOKUP($H130,Adders!$B$5:$G$8,N$11,FALSE)+Matrix!$D$2)*IF($D130="NJ",1.07,1))/$L$10,CHOOSE($M$10,$L$9,$M$9)))</f>
        <v xml:space="preserve"> 29.76 </v>
      </c>
      <c r="O130" s="112"/>
    </row>
    <row r="131" spans="2:15" x14ac:dyDescent="0.25">
      <c r="B131" s="160" t="s">
        <v>667</v>
      </c>
      <c r="C131" s="127">
        <f t="shared" si="3"/>
        <v>42248</v>
      </c>
      <c r="D131" s="128" t="s">
        <v>6</v>
      </c>
      <c r="E131" s="129" t="s">
        <v>8</v>
      </c>
      <c r="F131" s="128" t="s">
        <v>11</v>
      </c>
      <c r="G131" s="129" t="str">
        <f t="shared" si="4"/>
        <v>General Service Small</v>
      </c>
      <c r="H131" s="130" t="s">
        <v>61</v>
      </c>
      <c r="I131" s="178" t="str">
        <f>TEXT(   (SUMPRODUCT( ((Main!$H$9:$H$1000)=$E131)*((Main!$J$9:$J$1000)=$F131)*((Main!$O$9:$O$1000)=$C131)*(Main!R$9:R$1000) ) +  ( SUMPRODUCT( ((Adders!$D$13:$D$101)=$E131)*((Adders!$E$13:$E$101)=$F131)*(Adders!G$13:G$101)) + VLOOKUP($H131,Adders!$B$5:$G$8,L$11,FALSE)  +  PA!$D$2 ) * IF($D131="NJ",1.07,1))/$L$10, CHOOSE($M$10,$L$9,$M$9) )</f>
        <v xml:space="preserve"> 77.14 </v>
      </c>
      <c r="J131" s="178" t="str">
        <f>TEXT(   (SUMPRODUCT( ((Main!$H$9:$H$1000)=$E131)*((Main!$J$9:$J$1000)=$F131)*((Main!$O$9:$O$1000)=$C131)*(Main!S$9:S$1000) ) +  ( SUMPRODUCT( ((Adders!$D$13:$D$101)=$E131)*((Adders!$E$13:$E$101)=$F131)*(Adders!H$13:H$101)) + VLOOKUP($H131,Adders!$B$5:$G$8,M$11,FALSE)  +  PA!$D$2 ) * IF($D131="NJ",1.07,1))/$L$10, CHOOSE($M$10,$L$9,$M$9) )</f>
        <v xml:space="preserve"> 75.68 </v>
      </c>
      <c r="K131" s="179" t="str">
        <f>TEXT(   (SUMPRODUCT( ((Main!$H$9:$H$1000)=$E131)*((Main!$J$9:$J$1000)=$F131)*((Main!$O$9:$O$1000)=$C131)*(Main!T$9:T$1000) ) +  ( SUMPRODUCT( ((Adders!$D$13:$D$101)=$E131)*((Adders!$E$13:$E$101)=$F131)*(Adders!I$13:I$101)) + VLOOKUP($H131,Adders!$B$5:$G$8,N$11,FALSE)  +  PA!$D$2 ) * IF($D131="NJ",1.07,1))/$L$10, CHOOSE($M$10,$L$9,$M$9) )</f>
        <v xml:space="preserve"> 75.71 </v>
      </c>
      <c r="L131" s="178" t="str">
        <f>IF(AND($D$11="IL",$E131="AMEREN"),"NA",TEXT((SUMPRODUCT(((LMPMain!$H$9:$H$1000)=$E131)*((LMPMain!$J$9:$J$1000)=$F131)*((LMPMain!$O$9:$O$1000)=$C131)*(LMPMain!R$9:R$1000))+(SUMPRODUCT(((Adders!$D$13:$D$101)=$E131)*((Adders!$E$13:$E$101)=$F131)*(Adders!G$13:G$101))+VLOOKUP($H131,Adders!$B$5:$G$8,L$11,FALSE)+Matrix!$D$2)*IF($D131="NJ",1.07,1))/$L$10,CHOOSE($M$10,$L$9,$M$9)))</f>
        <v xml:space="preserve"> 33.77 </v>
      </c>
      <c r="M131" s="178" t="str">
        <f>IF(AND($D$11="IL",$E131="AMEREN"),"NA",TEXT((SUMPRODUCT(((LMPMain!$H$9:$H$1000)=$E131)*((LMPMain!$J$9:$J$1000)=$F131)*((LMPMain!$O$9:$O$1000)=$C131)*(LMPMain!S$9:S$1000))+(SUMPRODUCT(((Adders!$D$13:$D$101)=$E131)*((Adders!$E$13:$E$101)=$F131)*(Adders!H$13:H$101))+VLOOKUP($H131,Adders!$B$5:$G$8,M$11,FALSE)+Matrix!$D$2)*IF($D131="NJ",1.07,1))/$L$10,CHOOSE($M$10,$L$9,$M$9)))</f>
        <v xml:space="preserve"> 32.37 </v>
      </c>
      <c r="N131" s="179" t="str">
        <f>IF(AND($D$11="IL",$E131="AMEREN"),"NA",TEXT((SUMPRODUCT(((LMPMain!$H$9:$H$1000)=$E131)*((LMPMain!$J$9:$J$1000)=$F131)*((LMPMain!$O$9:$O$1000)=$C131)*(LMPMain!T$9:T$1000))+(SUMPRODUCT(((Adders!$D$13:$D$101)=$E131)*((Adders!$E$13:$E$101)=$F131)*(Adders!G$13:G$101))+VLOOKUP($H131,Adders!$B$5:$G$8,N$11,FALSE)+Matrix!$D$2)*IF($D131="NJ",1.07,1))/$L$10,CHOOSE($M$10,$L$9,$M$9)))</f>
        <v xml:space="preserve"> 32.24 </v>
      </c>
      <c r="O131" s="112"/>
    </row>
    <row r="132" spans="2:15" x14ac:dyDescent="0.25">
      <c r="B132" s="160" t="s">
        <v>667</v>
      </c>
      <c r="C132" s="131">
        <f t="shared" si="3"/>
        <v>42248</v>
      </c>
      <c r="D132" s="132" t="s">
        <v>6</v>
      </c>
      <c r="E132" s="133" t="s">
        <v>8</v>
      </c>
      <c r="F132" s="132" t="s">
        <v>11</v>
      </c>
      <c r="G132" s="133" t="str">
        <f t="shared" si="4"/>
        <v>General Service Small</v>
      </c>
      <c r="H132" s="134" t="s">
        <v>62</v>
      </c>
      <c r="I132" s="173" t="str">
        <f>TEXT(   (SUMPRODUCT( ((Main!$H$9:$H$1000)=$E132)*((Main!$J$9:$J$1000)=$F132)*((Main!$O$9:$O$1000)=$C132)*(Main!R$9:R$1000) ) +  ( SUMPRODUCT( ((Adders!$D$13:$D$101)=$E132)*((Adders!$E$13:$E$101)=$F132)*(Adders!G$13:G$101)) + VLOOKUP($H132,Adders!$B$5:$G$8,L$11,FALSE)  +  PA!$D$2 ) * IF($D132="NJ",1.07,1))/$L$10, CHOOSE($M$10,$L$9,$M$9) )</f>
        <v xml:space="preserve"> 75.54 </v>
      </c>
      <c r="J132" s="173" t="str">
        <f>TEXT(   (SUMPRODUCT( ((Main!$H$9:$H$1000)=$E132)*((Main!$J$9:$J$1000)=$F132)*((Main!$O$9:$O$1000)=$C132)*(Main!S$9:S$1000) ) +  ( SUMPRODUCT( ((Adders!$D$13:$D$101)=$E132)*((Adders!$E$13:$E$101)=$F132)*(Adders!H$13:H$101)) + VLOOKUP($H132,Adders!$B$5:$G$8,M$11,FALSE)  +  PA!$D$2 ) * IF($D132="NJ",1.07,1))/$L$10, CHOOSE($M$10,$L$9,$M$9) )</f>
        <v xml:space="preserve"> 74.08 </v>
      </c>
      <c r="K132" s="174" t="str">
        <f>TEXT(   (SUMPRODUCT( ((Main!$H$9:$H$1000)=$E132)*((Main!$J$9:$J$1000)=$F132)*((Main!$O$9:$O$1000)=$C132)*(Main!T$9:T$1000) ) +  ( SUMPRODUCT( ((Adders!$D$13:$D$101)=$E132)*((Adders!$E$13:$E$101)=$F132)*(Adders!I$13:I$101)) + VLOOKUP($H132,Adders!$B$5:$G$8,N$11,FALSE)  +  PA!$D$2 ) * IF($D132="NJ",1.07,1))/$L$10, CHOOSE($M$10,$L$9,$M$9) )</f>
        <v xml:space="preserve"> 74.11 </v>
      </c>
      <c r="L132" s="173" t="str">
        <f>IF(AND($D$11="IL",$E132="AMEREN"),"NA",TEXT((SUMPRODUCT(((LMPMain!$H$9:$H$1000)=$E132)*((LMPMain!$J$9:$J$1000)=$F132)*((LMPMain!$O$9:$O$1000)=$C132)*(LMPMain!R$9:R$1000))+(SUMPRODUCT(((Adders!$D$13:$D$101)=$E132)*((Adders!$E$13:$E$101)=$F132)*(Adders!G$13:G$101))+VLOOKUP($H132,Adders!$B$5:$G$8,L$11,FALSE)+Matrix!$D$2)*IF($D132="NJ",1.07,1))/$L$10,CHOOSE($M$10,$L$9,$M$9)))</f>
        <v xml:space="preserve"> 32.17 </v>
      </c>
      <c r="M132" s="173" t="str">
        <f>IF(AND($D$11="IL",$E132="AMEREN"),"NA",TEXT((SUMPRODUCT(((LMPMain!$H$9:$H$1000)=$E132)*((LMPMain!$J$9:$J$1000)=$F132)*((LMPMain!$O$9:$O$1000)=$C132)*(LMPMain!S$9:S$1000))+(SUMPRODUCT(((Adders!$D$13:$D$101)=$E132)*((Adders!$E$13:$E$101)=$F132)*(Adders!H$13:H$101))+VLOOKUP($H132,Adders!$B$5:$G$8,M$11,FALSE)+Matrix!$D$2)*IF($D132="NJ",1.07,1))/$L$10,CHOOSE($M$10,$L$9,$M$9)))</f>
        <v xml:space="preserve"> 30.77 </v>
      </c>
      <c r="N132" s="174" t="str">
        <f>IF(AND($D$11="IL",$E132="AMEREN"),"NA",TEXT((SUMPRODUCT(((LMPMain!$H$9:$H$1000)=$E132)*((LMPMain!$J$9:$J$1000)=$F132)*((LMPMain!$O$9:$O$1000)=$C132)*(LMPMain!T$9:T$1000))+(SUMPRODUCT(((Adders!$D$13:$D$101)=$E132)*((Adders!$E$13:$E$101)=$F132)*(Adders!G$13:G$101))+VLOOKUP($H132,Adders!$B$5:$G$8,N$11,FALSE)+Matrix!$D$2)*IF($D132="NJ",1.07,1))/$L$10,CHOOSE($M$10,$L$9,$M$9)))</f>
        <v xml:space="preserve"> 30.64 </v>
      </c>
      <c r="O132" s="112"/>
    </row>
    <row r="133" spans="2:15" x14ac:dyDescent="0.25">
      <c r="B133" s="160" t="s">
        <v>667</v>
      </c>
      <c r="C133" s="135">
        <f t="shared" si="3"/>
        <v>42248</v>
      </c>
      <c r="D133" s="136" t="s">
        <v>6</v>
      </c>
      <c r="E133" s="137" t="s">
        <v>8</v>
      </c>
      <c r="F133" s="136" t="s">
        <v>11</v>
      </c>
      <c r="G133" s="137" t="str">
        <f t="shared" si="4"/>
        <v>General Service Small</v>
      </c>
      <c r="H133" s="138" t="s">
        <v>690</v>
      </c>
      <c r="I133" s="176" t="str">
        <f>TEXT(   (SUMPRODUCT( ((Main!$H$9:$H$1000)=$E133)*((Main!$J$9:$J$1000)=$F133)*((Main!$O$9:$O$1000)=$C133)*(Main!R$9:R$1000) ) +  ( SUMPRODUCT( ((Adders!$D$13:$D$101)=$E133)*((Adders!$E$13:$E$101)=$F133)*(Adders!G$13:G$101)) + VLOOKUP($H133,Adders!$B$5:$G$8,L$11,FALSE)  +  PA!$D$2 ) * IF($D133="NJ",1.07,1))/$L$10, CHOOSE($M$10,$L$9,$M$9) )</f>
        <v xml:space="preserve"> 74.49 </v>
      </c>
      <c r="J133" s="176" t="str">
        <f>TEXT(   (SUMPRODUCT( ((Main!$H$9:$H$1000)=$E133)*((Main!$J$9:$J$1000)=$F133)*((Main!$O$9:$O$1000)=$C133)*(Main!S$9:S$1000) ) +  ( SUMPRODUCT( ((Adders!$D$13:$D$101)=$E133)*((Adders!$E$13:$E$101)=$F133)*(Adders!H$13:H$101)) + VLOOKUP($H133,Adders!$B$5:$G$8,M$11,FALSE)  +  PA!$D$2 ) * IF($D133="NJ",1.07,1))/$L$10, CHOOSE($M$10,$L$9,$M$9) )</f>
        <v xml:space="preserve"> 73.03 </v>
      </c>
      <c r="K133" s="177" t="str">
        <f>TEXT(   (SUMPRODUCT( ((Main!$H$9:$H$1000)=$E133)*((Main!$J$9:$J$1000)=$F133)*((Main!$O$9:$O$1000)=$C133)*(Main!T$9:T$1000) ) +  ( SUMPRODUCT( ((Adders!$D$13:$D$101)=$E133)*((Adders!$E$13:$E$101)=$F133)*(Adders!I$13:I$101)) + VLOOKUP($H133,Adders!$B$5:$G$8,N$11,FALSE)  +  PA!$D$2 ) * IF($D133="NJ",1.07,1))/$L$10, CHOOSE($M$10,$L$9,$M$9) )</f>
        <v xml:space="preserve"> 73.06 </v>
      </c>
      <c r="L133" s="176" t="str">
        <f>IF(AND($D$11="IL",$E133="AMEREN"),"NA",TEXT((SUMPRODUCT(((LMPMain!$H$9:$H$1000)=$E133)*((LMPMain!$J$9:$J$1000)=$F133)*((LMPMain!$O$9:$O$1000)=$C133)*(LMPMain!R$9:R$1000))+(SUMPRODUCT(((Adders!$D$13:$D$101)=$E133)*((Adders!$E$13:$E$101)=$F133)*(Adders!G$13:G$101))+VLOOKUP($H133,Adders!$B$5:$G$8,L$11,FALSE)+Matrix!$D$2)*IF($D133="NJ",1.07,1))/$L$10,CHOOSE($M$10,$L$9,$M$9)))</f>
        <v xml:space="preserve"> 31.12 </v>
      </c>
      <c r="M133" s="176" t="str">
        <f>IF(AND($D$11="IL",$E133="AMEREN"),"NA",TEXT((SUMPRODUCT(((LMPMain!$H$9:$H$1000)=$E133)*((LMPMain!$J$9:$J$1000)=$F133)*((LMPMain!$O$9:$O$1000)=$C133)*(LMPMain!S$9:S$1000))+(SUMPRODUCT(((Adders!$D$13:$D$101)=$E133)*((Adders!$E$13:$E$101)=$F133)*(Adders!H$13:H$101))+VLOOKUP($H133,Adders!$B$5:$G$8,M$11,FALSE)+Matrix!$D$2)*IF($D133="NJ",1.07,1))/$L$10,CHOOSE($M$10,$L$9,$M$9)))</f>
        <v xml:space="preserve"> 29.72 </v>
      </c>
      <c r="N133" s="177" t="str">
        <f>IF(AND($D$11="IL",$E133="AMEREN"),"NA",TEXT((SUMPRODUCT(((LMPMain!$H$9:$H$1000)=$E133)*((LMPMain!$J$9:$J$1000)=$F133)*((LMPMain!$O$9:$O$1000)=$C133)*(LMPMain!T$9:T$1000))+(SUMPRODUCT(((Adders!$D$13:$D$101)=$E133)*((Adders!$E$13:$E$101)=$F133)*(Adders!G$13:G$101))+VLOOKUP($H133,Adders!$B$5:$G$8,N$11,FALSE)+Matrix!$D$2)*IF($D133="NJ",1.07,1))/$L$10,CHOOSE($M$10,$L$9,$M$9)))</f>
        <v xml:space="preserve"> 29.59 </v>
      </c>
      <c r="O133" s="112"/>
    </row>
    <row r="134" spans="2:15" x14ac:dyDescent="0.25">
      <c r="B134" s="160" t="s">
        <v>667</v>
      </c>
      <c r="C134" s="127">
        <f t="shared" si="3"/>
        <v>42278</v>
      </c>
      <c r="D134" s="128" t="s">
        <v>6</v>
      </c>
      <c r="E134" s="129" t="s">
        <v>8</v>
      </c>
      <c r="F134" s="128" t="s">
        <v>11</v>
      </c>
      <c r="G134" s="129" t="str">
        <f t="shared" si="4"/>
        <v>General Service Small</v>
      </c>
      <c r="H134" s="130" t="s">
        <v>61</v>
      </c>
      <c r="I134" s="178" t="str">
        <f>TEXT(   (SUMPRODUCT( ((Main!$H$9:$H$1000)=$E134)*((Main!$J$9:$J$1000)=$F134)*((Main!$O$9:$O$1000)=$C134)*(Main!R$9:R$1000) ) +  ( SUMPRODUCT( ((Adders!$D$13:$D$101)=$E134)*((Adders!$E$13:$E$101)=$F134)*(Adders!G$13:G$101)) + VLOOKUP($H134,Adders!$B$5:$G$8,L$11,FALSE)  +  PA!$D$2 ) * IF($D134="NJ",1.07,1))/$L$10, CHOOSE($M$10,$L$9,$M$9) )</f>
        <v xml:space="preserve"> 76.73 </v>
      </c>
      <c r="J134" s="178" t="str">
        <f>TEXT(   (SUMPRODUCT( ((Main!$H$9:$H$1000)=$E134)*((Main!$J$9:$J$1000)=$F134)*((Main!$O$9:$O$1000)=$C134)*(Main!S$9:S$1000) ) +  ( SUMPRODUCT( ((Adders!$D$13:$D$101)=$E134)*((Adders!$E$13:$E$101)=$F134)*(Adders!H$13:H$101)) + VLOOKUP($H134,Adders!$B$5:$G$8,M$11,FALSE)  +  PA!$D$2 ) * IF($D134="NJ",1.07,1))/$L$10, CHOOSE($M$10,$L$9,$M$9) )</f>
        <v xml:space="preserve"> 76.09 </v>
      </c>
      <c r="K134" s="179" t="str">
        <f>TEXT(   (SUMPRODUCT( ((Main!$H$9:$H$1000)=$E134)*((Main!$J$9:$J$1000)=$F134)*((Main!$O$9:$O$1000)=$C134)*(Main!T$9:T$1000) ) +  ( SUMPRODUCT( ((Adders!$D$13:$D$101)=$E134)*((Adders!$E$13:$E$101)=$F134)*(Adders!I$13:I$101)) + VLOOKUP($H134,Adders!$B$5:$G$8,N$11,FALSE)  +  PA!$D$2 ) * IF($D134="NJ",1.07,1))/$L$10, CHOOSE($M$10,$L$9,$M$9) )</f>
        <v xml:space="preserve"> 75.54 </v>
      </c>
      <c r="L134" s="178" t="str">
        <f>IF(AND($D$11="IL",$E134="AMEREN"),"NA",TEXT((SUMPRODUCT(((LMPMain!$H$9:$H$1000)=$E134)*((LMPMain!$J$9:$J$1000)=$F134)*((LMPMain!$O$9:$O$1000)=$C134)*(LMPMain!R$9:R$1000))+(SUMPRODUCT(((Adders!$D$13:$D$101)=$E134)*((Adders!$E$13:$E$101)=$F134)*(Adders!G$13:G$101))+VLOOKUP($H134,Adders!$B$5:$G$8,L$11,FALSE)+Matrix!$D$2)*IF($D134="NJ",1.07,1))/$L$10,CHOOSE($M$10,$L$9,$M$9)))</f>
        <v xml:space="preserve"> 33.42 </v>
      </c>
      <c r="M134" s="178" t="str">
        <f>IF(AND($D$11="IL",$E134="AMEREN"),"NA",TEXT((SUMPRODUCT(((LMPMain!$H$9:$H$1000)=$E134)*((LMPMain!$J$9:$J$1000)=$F134)*((LMPMain!$O$9:$O$1000)=$C134)*(LMPMain!S$9:S$1000))+(SUMPRODUCT(((Adders!$D$13:$D$101)=$E134)*((Adders!$E$13:$E$101)=$F134)*(Adders!H$13:H$101))+VLOOKUP($H134,Adders!$B$5:$G$8,M$11,FALSE)+Matrix!$D$2)*IF($D134="NJ",1.07,1))/$L$10,CHOOSE($M$10,$L$9,$M$9)))</f>
        <v xml:space="preserve"> 32.41 </v>
      </c>
      <c r="N134" s="179" t="str">
        <f>IF(AND($D$11="IL",$E134="AMEREN"),"NA",TEXT((SUMPRODUCT(((LMPMain!$H$9:$H$1000)=$E134)*((LMPMain!$J$9:$J$1000)=$F134)*((LMPMain!$O$9:$O$1000)=$C134)*(LMPMain!T$9:T$1000))+(SUMPRODUCT(((Adders!$D$13:$D$101)=$E134)*((Adders!$E$13:$E$101)=$F134)*(Adders!G$13:G$101))+VLOOKUP($H134,Adders!$B$5:$G$8,N$11,FALSE)+Matrix!$D$2)*IF($D134="NJ",1.07,1))/$L$10,CHOOSE($M$10,$L$9,$M$9)))</f>
        <v xml:space="preserve"> 32.08 </v>
      </c>
      <c r="O134" s="112"/>
    </row>
    <row r="135" spans="2:15" x14ac:dyDescent="0.25">
      <c r="B135" s="160" t="s">
        <v>667</v>
      </c>
      <c r="C135" s="131">
        <f t="shared" si="3"/>
        <v>42278</v>
      </c>
      <c r="D135" s="132" t="s">
        <v>6</v>
      </c>
      <c r="E135" s="133" t="s">
        <v>8</v>
      </c>
      <c r="F135" s="132" t="s">
        <v>11</v>
      </c>
      <c r="G135" s="133" t="str">
        <f t="shared" si="4"/>
        <v>General Service Small</v>
      </c>
      <c r="H135" s="134" t="s">
        <v>62</v>
      </c>
      <c r="I135" s="173" t="str">
        <f>TEXT(   (SUMPRODUCT( ((Main!$H$9:$H$1000)=$E135)*((Main!$J$9:$J$1000)=$F135)*((Main!$O$9:$O$1000)=$C135)*(Main!R$9:R$1000) ) +  ( SUMPRODUCT( ((Adders!$D$13:$D$101)=$E135)*((Adders!$E$13:$E$101)=$F135)*(Adders!G$13:G$101)) + VLOOKUP($H135,Adders!$B$5:$G$8,L$11,FALSE)  +  PA!$D$2 ) * IF($D135="NJ",1.07,1))/$L$10, CHOOSE($M$10,$L$9,$M$9) )</f>
        <v xml:space="preserve"> 75.13 </v>
      </c>
      <c r="J135" s="173" t="str">
        <f>TEXT(   (SUMPRODUCT( ((Main!$H$9:$H$1000)=$E135)*((Main!$J$9:$J$1000)=$F135)*((Main!$O$9:$O$1000)=$C135)*(Main!S$9:S$1000) ) +  ( SUMPRODUCT( ((Adders!$D$13:$D$101)=$E135)*((Adders!$E$13:$E$101)=$F135)*(Adders!H$13:H$101)) + VLOOKUP($H135,Adders!$B$5:$G$8,M$11,FALSE)  +  PA!$D$2 ) * IF($D135="NJ",1.07,1))/$L$10, CHOOSE($M$10,$L$9,$M$9) )</f>
        <v xml:space="preserve"> 74.49 </v>
      </c>
      <c r="K135" s="174" t="str">
        <f>TEXT(   (SUMPRODUCT( ((Main!$H$9:$H$1000)=$E135)*((Main!$J$9:$J$1000)=$F135)*((Main!$O$9:$O$1000)=$C135)*(Main!T$9:T$1000) ) +  ( SUMPRODUCT( ((Adders!$D$13:$D$101)=$E135)*((Adders!$E$13:$E$101)=$F135)*(Adders!I$13:I$101)) + VLOOKUP($H135,Adders!$B$5:$G$8,N$11,FALSE)  +  PA!$D$2 ) * IF($D135="NJ",1.07,1))/$L$10, CHOOSE($M$10,$L$9,$M$9) )</f>
        <v xml:space="preserve"> 73.94 </v>
      </c>
      <c r="L135" s="173" t="str">
        <f>IF(AND($D$11="IL",$E135="AMEREN"),"NA",TEXT((SUMPRODUCT(((LMPMain!$H$9:$H$1000)=$E135)*((LMPMain!$J$9:$J$1000)=$F135)*((LMPMain!$O$9:$O$1000)=$C135)*(LMPMain!R$9:R$1000))+(SUMPRODUCT(((Adders!$D$13:$D$101)=$E135)*((Adders!$E$13:$E$101)=$F135)*(Adders!G$13:G$101))+VLOOKUP($H135,Adders!$B$5:$G$8,L$11,FALSE)+Matrix!$D$2)*IF($D135="NJ",1.07,1))/$L$10,CHOOSE($M$10,$L$9,$M$9)))</f>
        <v xml:space="preserve"> 31.82 </v>
      </c>
      <c r="M135" s="173" t="str">
        <f>IF(AND($D$11="IL",$E135="AMEREN"),"NA",TEXT((SUMPRODUCT(((LMPMain!$H$9:$H$1000)=$E135)*((LMPMain!$J$9:$J$1000)=$F135)*((LMPMain!$O$9:$O$1000)=$C135)*(LMPMain!S$9:S$1000))+(SUMPRODUCT(((Adders!$D$13:$D$101)=$E135)*((Adders!$E$13:$E$101)=$F135)*(Adders!H$13:H$101))+VLOOKUP($H135,Adders!$B$5:$G$8,M$11,FALSE)+Matrix!$D$2)*IF($D135="NJ",1.07,1))/$L$10,CHOOSE($M$10,$L$9,$M$9)))</f>
        <v xml:space="preserve"> 30.81 </v>
      </c>
      <c r="N135" s="174" t="str">
        <f>IF(AND($D$11="IL",$E135="AMEREN"),"NA",TEXT((SUMPRODUCT(((LMPMain!$H$9:$H$1000)=$E135)*((LMPMain!$J$9:$J$1000)=$F135)*((LMPMain!$O$9:$O$1000)=$C135)*(LMPMain!T$9:T$1000))+(SUMPRODUCT(((Adders!$D$13:$D$101)=$E135)*((Adders!$E$13:$E$101)=$F135)*(Adders!G$13:G$101))+VLOOKUP($H135,Adders!$B$5:$G$8,N$11,FALSE)+Matrix!$D$2)*IF($D135="NJ",1.07,1))/$L$10,CHOOSE($M$10,$L$9,$M$9)))</f>
        <v xml:space="preserve"> 30.48 </v>
      </c>
      <c r="O135" s="112"/>
    </row>
    <row r="136" spans="2:15" x14ac:dyDescent="0.25">
      <c r="B136" s="160" t="s">
        <v>667</v>
      </c>
      <c r="C136" s="135">
        <f t="shared" si="3"/>
        <v>42278</v>
      </c>
      <c r="D136" s="136" t="s">
        <v>6</v>
      </c>
      <c r="E136" s="137" t="s">
        <v>8</v>
      </c>
      <c r="F136" s="136" t="s">
        <v>11</v>
      </c>
      <c r="G136" s="137" t="str">
        <f t="shared" si="4"/>
        <v>General Service Small</v>
      </c>
      <c r="H136" s="138" t="s">
        <v>690</v>
      </c>
      <c r="I136" s="176" t="str">
        <f>TEXT(   (SUMPRODUCT( ((Main!$H$9:$H$1000)=$E136)*((Main!$J$9:$J$1000)=$F136)*((Main!$O$9:$O$1000)=$C136)*(Main!R$9:R$1000) ) +  ( SUMPRODUCT( ((Adders!$D$13:$D$101)=$E136)*((Adders!$E$13:$E$101)=$F136)*(Adders!G$13:G$101)) + VLOOKUP($H136,Adders!$B$5:$G$8,L$11,FALSE)  +  PA!$D$2 ) * IF($D136="NJ",1.07,1))/$L$10, CHOOSE($M$10,$L$9,$M$9) )</f>
        <v xml:space="preserve"> 74.08 </v>
      </c>
      <c r="J136" s="176" t="str">
        <f>TEXT(   (SUMPRODUCT( ((Main!$H$9:$H$1000)=$E136)*((Main!$J$9:$J$1000)=$F136)*((Main!$O$9:$O$1000)=$C136)*(Main!S$9:S$1000) ) +  ( SUMPRODUCT( ((Adders!$D$13:$D$101)=$E136)*((Adders!$E$13:$E$101)=$F136)*(Adders!H$13:H$101)) + VLOOKUP($H136,Adders!$B$5:$G$8,M$11,FALSE)  +  PA!$D$2 ) * IF($D136="NJ",1.07,1))/$L$10, CHOOSE($M$10,$L$9,$M$9) )</f>
        <v xml:space="preserve"> 73.44 </v>
      </c>
      <c r="K136" s="177" t="str">
        <f>TEXT(   (SUMPRODUCT( ((Main!$H$9:$H$1000)=$E136)*((Main!$J$9:$J$1000)=$F136)*((Main!$O$9:$O$1000)=$C136)*(Main!T$9:T$1000) ) +  ( SUMPRODUCT( ((Adders!$D$13:$D$101)=$E136)*((Adders!$E$13:$E$101)=$F136)*(Adders!I$13:I$101)) + VLOOKUP($H136,Adders!$B$5:$G$8,N$11,FALSE)  +  PA!$D$2 ) * IF($D136="NJ",1.07,1))/$L$10, CHOOSE($M$10,$L$9,$M$9) )</f>
        <v xml:space="preserve"> 72.89 </v>
      </c>
      <c r="L136" s="176" t="str">
        <f>IF(AND($D$11="IL",$E136="AMEREN"),"NA",TEXT((SUMPRODUCT(((LMPMain!$H$9:$H$1000)=$E136)*((LMPMain!$J$9:$J$1000)=$F136)*((LMPMain!$O$9:$O$1000)=$C136)*(LMPMain!R$9:R$1000))+(SUMPRODUCT(((Adders!$D$13:$D$101)=$E136)*((Adders!$E$13:$E$101)=$F136)*(Adders!G$13:G$101))+VLOOKUP($H136,Adders!$B$5:$G$8,L$11,FALSE)+Matrix!$D$2)*IF($D136="NJ",1.07,1))/$L$10,CHOOSE($M$10,$L$9,$M$9)))</f>
        <v xml:space="preserve"> 30.77 </v>
      </c>
      <c r="M136" s="176" t="str">
        <f>IF(AND($D$11="IL",$E136="AMEREN"),"NA",TEXT((SUMPRODUCT(((LMPMain!$H$9:$H$1000)=$E136)*((LMPMain!$J$9:$J$1000)=$F136)*((LMPMain!$O$9:$O$1000)=$C136)*(LMPMain!S$9:S$1000))+(SUMPRODUCT(((Adders!$D$13:$D$101)=$E136)*((Adders!$E$13:$E$101)=$F136)*(Adders!H$13:H$101))+VLOOKUP($H136,Adders!$B$5:$G$8,M$11,FALSE)+Matrix!$D$2)*IF($D136="NJ",1.07,1))/$L$10,CHOOSE($M$10,$L$9,$M$9)))</f>
        <v xml:space="preserve"> 29.76 </v>
      </c>
      <c r="N136" s="177" t="str">
        <f>IF(AND($D$11="IL",$E136="AMEREN"),"NA",TEXT((SUMPRODUCT(((LMPMain!$H$9:$H$1000)=$E136)*((LMPMain!$J$9:$J$1000)=$F136)*((LMPMain!$O$9:$O$1000)=$C136)*(LMPMain!T$9:T$1000))+(SUMPRODUCT(((Adders!$D$13:$D$101)=$E136)*((Adders!$E$13:$E$101)=$F136)*(Adders!G$13:G$101))+VLOOKUP($H136,Adders!$B$5:$G$8,N$11,FALSE)+Matrix!$D$2)*IF($D136="NJ",1.07,1))/$L$10,CHOOSE($M$10,$L$9,$M$9)))</f>
        <v xml:space="preserve"> 29.43 </v>
      </c>
      <c r="O136" s="112"/>
    </row>
    <row r="137" spans="2:15" x14ac:dyDescent="0.25">
      <c r="B137" s="160" t="s">
        <v>667</v>
      </c>
      <c r="C137" s="127">
        <f t="shared" si="3"/>
        <v>42309</v>
      </c>
      <c r="D137" s="128" t="s">
        <v>6</v>
      </c>
      <c r="E137" s="129" t="s">
        <v>8</v>
      </c>
      <c r="F137" s="128" t="s">
        <v>11</v>
      </c>
      <c r="G137" s="129" t="str">
        <f t="shared" si="4"/>
        <v>General Service Small</v>
      </c>
      <c r="H137" s="130" t="s">
        <v>61</v>
      </c>
      <c r="I137" s="178" t="str">
        <f>TEXT(   (SUMPRODUCT( ((Main!$H$9:$H$1000)=$E137)*((Main!$J$9:$J$1000)=$F137)*((Main!$O$9:$O$1000)=$C137)*(Main!R$9:R$1000) ) +  ( SUMPRODUCT( ((Adders!$D$13:$D$101)=$E137)*((Adders!$E$13:$E$101)=$F137)*(Adders!G$13:G$101)) + VLOOKUP($H137,Adders!$B$5:$G$8,L$11,FALSE)  +  PA!$D$2 ) * IF($D137="NJ",1.07,1))/$L$10, CHOOSE($M$10,$L$9,$M$9) )</f>
        <v xml:space="preserve"> 76.30 </v>
      </c>
      <c r="J137" s="178" t="str">
        <f>TEXT(   (SUMPRODUCT( ((Main!$H$9:$H$1000)=$E137)*((Main!$J$9:$J$1000)=$F137)*((Main!$O$9:$O$1000)=$C137)*(Main!S$9:S$1000) ) +  ( SUMPRODUCT( ((Adders!$D$13:$D$101)=$E137)*((Adders!$E$13:$E$101)=$F137)*(Adders!H$13:H$101)) + VLOOKUP($H137,Adders!$B$5:$G$8,M$11,FALSE)  +  PA!$D$2 ) * IF($D137="NJ",1.07,1))/$L$10, CHOOSE($M$10,$L$9,$M$9) )</f>
        <v xml:space="preserve"> 76.55 </v>
      </c>
      <c r="K137" s="179" t="str">
        <f>TEXT(   (SUMPRODUCT( ((Main!$H$9:$H$1000)=$E137)*((Main!$J$9:$J$1000)=$F137)*((Main!$O$9:$O$1000)=$C137)*(Main!T$9:T$1000) ) +  ( SUMPRODUCT( ((Adders!$D$13:$D$101)=$E137)*((Adders!$E$13:$E$101)=$F137)*(Adders!I$13:I$101)) + VLOOKUP($H137,Adders!$B$5:$G$8,N$11,FALSE)  +  PA!$D$2 ) * IF($D137="NJ",1.07,1))/$L$10, CHOOSE($M$10,$L$9,$M$9) )</f>
        <v xml:space="preserve"> 75.37 </v>
      </c>
      <c r="L137" s="178" t="str">
        <f>IF(AND($D$11="IL",$E137="AMEREN"),"NA",TEXT((SUMPRODUCT(((LMPMain!$H$9:$H$1000)=$E137)*((LMPMain!$J$9:$J$1000)=$F137)*((LMPMain!$O$9:$O$1000)=$C137)*(LMPMain!R$9:R$1000))+(SUMPRODUCT(((Adders!$D$13:$D$101)=$E137)*((Adders!$E$13:$E$101)=$F137)*(Adders!G$13:G$101))+VLOOKUP($H137,Adders!$B$5:$G$8,L$11,FALSE)+Matrix!$D$2)*IF($D137="NJ",1.07,1))/$L$10,CHOOSE($M$10,$L$9,$M$9)))</f>
        <v xml:space="preserve"> 33.07 </v>
      </c>
      <c r="M137" s="178" t="str">
        <f>IF(AND($D$11="IL",$E137="AMEREN"),"NA",TEXT((SUMPRODUCT(((LMPMain!$H$9:$H$1000)=$E137)*((LMPMain!$J$9:$J$1000)=$F137)*((LMPMain!$O$9:$O$1000)=$C137)*(LMPMain!S$9:S$1000))+(SUMPRODUCT(((Adders!$D$13:$D$101)=$E137)*((Adders!$E$13:$E$101)=$F137)*(Adders!H$13:H$101))+VLOOKUP($H137,Adders!$B$5:$G$8,M$11,FALSE)+Matrix!$D$2)*IF($D137="NJ",1.07,1))/$L$10,CHOOSE($M$10,$L$9,$M$9)))</f>
        <v xml:space="preserve"> 32.41 </v>
      </c>
      <c r="N137" s="179" t="str">
        <f>IF(AND($D$11="IL",$E137="AMEREN"),"NA",TEXT((SUMPRODUCT(((LMPMain!$H$9:$H$1000)=$E137)*((LMPMain!$J$9:$J$1000)=$F137)*((LMPMain!$O$9:$O$1000)=$C137)*(LMPMain!T$9:T$1000))+(SUMPRODUCT(((Adders!$D$13:$D$101)=$E137)*((Adders!$E$13:$E$101)=$F137)*(Adders!G$13:G$101))+VLOOKUP($H137,Adders!$B$5:$G$8,N$11,FALSE)+Matrix!$D$2)*IF($D137="NJ",1.07,1))/$L$10,CHOOSE($M$10,$L$9,$M$9)))</f>
        <v xml:space="preserve"> 31.93 </v>
      </c>
      <c r="O137" s="112"/>
    </row>
    <row r="138" spans="2:15" x14ac:dyDescent="0.25">
      <c r="B138" s="160" t="s">
        <v>667</v>
      </c>
      <c r="C138" s="131">
        <f t="shared" si="3"/>
        <v>42309</v>
      </c>
      <c r="D138" s="132" t="s">
        <v>6</v>
      </c>
      <c r="E138" s="133" t="s">
        <v>8</v>
      </c>
      <c r="F138" s="132" t="s">
        <v>11</v>
      </c>
      <c r="G138" s="133" t="str">
        <f t="shared" si="4"/>
        <v>General Service Small</v>
      </c>
      <c r="H138" s="134" t="s">
        <v>62</v>
      </c>
      <c r="I138" s="173" t="str">
        <f>TEXT(   (SUMPRODUCT( ((Main!$H$9:$H$1000)=$E138)*((Main!$J$9:$J$1000)=$F138)*((Main!$O$9:$O$1000)=$C138)*(Main!R$9:R$1000) ) +  ( SUMPRODUCT( ((Adders!$D$13:$D$101)=$E138)*((Adders!$E$13:$E$101)=$F138)*(Adders!G$13:G$101)) + VLOOKUP($H138,Adders!$B$5:$G$8,L$11,FALSE)  +  PA!$D$2 ) * IF($D138="NJ",1.07,1))/$L$10, CHOOSE($M$10,$L$9,$M$9) )</f>
        <v xml:space="preserve"> 74.70 </v>
      </c>
      <c r="J138" s="173" t="str">
        <f>TEXT(   (SUMPRODUCT( ((Main!$H$9:$H$1000)=$E138)*((Main!$J$9:$J$1000)=$F138)*((Main!$O$9:$O$1000)=$C138)*(Main!S$9:S$1000) ) +  ( SUMPRODUCT( ((Adders!$D$13:$D$101)=$E138)*((Adders!$E$13:$E$101)=$F138)*(Adders!H$13:H$101)) + VLOOKUP($H138,Adders!$B$5:$G$8,M$11,FALSE)  +  PA!$D$2 ) * IF($D138="NJ",1.07,1))/$L$10, CHOOSE($M$10,$L$9,$M$9) )</f>
        <v xml:space="preserve"> 74.95 </v>
      </c>
      <c r="K138" s="174" t="str">
        <f>TEXT(   (SUMPRODUCT( ((Main!$H$9:$H$1000)=$E138)*((Main!$J$9:$J$1000)=$F138)*((Main!$O$9:$O$1000)=$C138)*(Main!T$9:T$1000) ) +  ( SUMPRODUCT( ((Adders!$D$13:$D$101)=$E138)*((Adders!$E$13:$E$101)=$F138)*(Adders!I$13:I$101)) + VLOOKUP($H138,Adders!$B$5:$G$8,N$11,FALSE)  +  PA!$D$2 ) * IF($D138="NJ",1.07,1))/$L$10, CHOOSE($M$10,$L$9,$M$9) )</f>
        <v xml:space="preserve"> 73.77 </v>
      </c>
      <c r="L138" s="173" t="str">
        <f>IF(AND($D$11="IL",$E138="AMEREN"),"NA",TEXT((SUMPRODUCT(((LMPMain!$H$9:$H$1000)=$E138)*((LMPMain!$J$9:$J$1000)=$F138)*((LMPMain!$O$9:$O$1000)=$C138)*(LMPMain!R$9:R$1000))+(SUMPRODUCT(((Adders!$D$13:$D$101)=$E138)*((Adders!$E$13:$E$101)=$F138)*(Adders!G$13:G$101))+VLOOKUP($H138,Adders!$B$5:$G$8,L$11,FALSE)+Matrix!$D$2)*IF($D138="NJ",1.07,1))/$L$10,CHOOSE($M$10,$L$9,$M$9)))</f>
        <v xml:space="preserve"> 31.47 </v>
      </c>
      <c r="M138" s="173" t="str">
        <f>IF(AND($D$11="IL",$E138="AMEREN"),"NA",TEXT((SUMPRODUCT(((LMPMain!$H$9:$H$1000)=$E138)*((LMPMain!$J$9:$J$1000)=$F138)*((LMPMain!$O$9:$O$1000)=$C138)*(LMPMain!S$9:S$1000))+(SUMPRODUCT(((Adders!$D$13:$D$101)=$E138)*((Adders!$E$13:$E$101)=$F138)*(Adders!H$13:H$101))+VLOOKUP($H138,Adders!$B$5:$G$8,M$11,FALSE)+Matrix!$D$2)*IF($D138="NJ",1.07,1))/$L$10,CHOOSE($M$10,$L$9,$M$9)))</f>
        <v xml:space="preserve"> 30.81 </v>
      </c>
      <c r="N138" s="174" t="str">
        <f>IF(AND($D$11="IL",$E138="AMEREN"),"NA",TEXT((SUMPRODUCT(((LMPMain!$H$9:$H$1000)=$E138)*((LMPMain!$J$9:$J$1000)=$F138)*((LMPMain!$O$9:$O$1000)=$C138)*(LMPMain!T$9:T$1000))+(SUMPRODUCT(((Adders!$D$13:$D$101)=$E138)*((Adders!$E$13:$E$101)=$F138)*(Adders!G$13:G$101))+VLOOKUP($H138,Adders!$B$5:$G$8,N$11,FALSE)+Matrix!$D$2)*IF($D138="NJ",1.07,1))/$L$10,CHOOSE($M$10,$L$9,$M$9)))</f>
        <v xml:space="preserve"> 30.33 </v>
      </c>
      <c r="O138" s="112"/>
    </row>
    <row r="139" spans="2:15" x14ac:dyDescent="0.25">
      <c r="B139" s="160" t="s">
        <v>667</v>
      </c>
      <c r="C139" s="135">
        <f t="shared" si="3"/>
        <v>42309</v>
      </c>
      <c r="D139" s="136" t="s">
        <v>6</v>
      </c>
      <c r="E139" s="137" t="s">
        <v>8</v>
      </c>
      <c r="F139" s="136" t="s">
        <v>11</v>
      </c>
      <c r="G139" s="137" t="str">
        <f t="shared" si="4"/>
        <v>General Service Small</v>
      </c>
      <c r="H139" s="138" t="s">
        <v>690</v>
      </c>
      <c r="I139" s="176" t="str">
        <f>TEXT(   (SUMPRODUCT( ((Main!$H$9:$H$1000)=$E139)*((Main!$J$9:$J$1000)=$F139)*((Main!$O$9:$O$1000)=$C139)*(Main!R$9:R$1000) ) +  ( SUMPRODUCT( ((Adders!$D$13:$D$101)=$E139)*((Adders!$E$13:$E$101)=$F139)*(Adders!G$13:G$101)) + VLOOKUP($H139,Adders!$B$5:$G$8,L$11,FALSE)  +  PA!$D$2 ) * IF($D139="NJ",1.07,1))/$L$10, CHOOSE($M$10,$L$9,$M$9) )</f>
        <v xml:space="preserve"> 73.65 </v>
      </c>
      <c r="J139" s="176" t="str">
        <f>TEXT(   (SUMPRODUCT( ((Main!$H$9:$H$1000)=$E139)*((Main!$J$9:$J$1000)=$F139)*((Main!$O$9:$O$1000)=$C139)*(Main!S$9:S$1000) ) +  ( SUMPRODUCT( ((Adders!$D$13:$D$101)=$E139)*((Adders!$E$13:$E$101)=$F139)*(Adders!H$13:H$101)) + VLOOKUP($H139,Adders!$B$5:$G$8,M$11,FALSE)  +  PA!$D$2 ) * IF($D139="NJ",1.07,1))/$L$10, CHOOSE($M$10,$L$9,$M$9) )</f>
        <v xml:space="preserve"> 73.90 </v>
      </c>
      <c r="K139" s="177" t="str">
        <f>TEXT(   (SUMPRODUCT( ((Main!$H$9:$H$1000)=$E139)*((Main!$J$9:$J$1000)=$F139)*((Main!$O$9:$O$1000)=$C139)*(Main!T$9:T$1000) ) +  ( SUMPRODUCT( ((Adders!$D$13:$D$101)=$E139)*((Adders!$E$13:$E$101)=$F139)*(Adders!I$13:I$101)) + VLOOKUP($H139,Adders!$B$5:$G$8,N$11,FALSE)  +  PA!$D$2 ) * IF($D139="NJ",1.07,1))/$L$10, CHOOSE($M$10,$L$9,$M$9) )</f>
        <v xml:space="preserve"> 72.72 </v>
      </c>
      <c r="L139" s="176" t="str">
        <f>IF(AND($D$11="IL",$E139="AMEREN"),"NA",TEXT((SUMPRODUCT(((LMPMain!$H$9:$H$1000)=$E139)*((LMPMain!$J$9:$J$1000)=$F139)*((LMPMain!$O$9:$O$1000)=$C139)*(LMPMain!R$9:R$1000))+(SUMPRODUCT(((Adders!$D$13:$D$101)=$E139)*((Adders!$E$13:$E$101)=$F139)*(Adders!G$13:G$101))+VLOOKUP($H139,Adders!$B$5:$G$8,L$11,FALSE)+Matrix!$D$2)*IF($D139="NJ",1.07,1))/$L$10,CHOOSE($M$10,$L$9,$M$9)))</f>
        <v xml:space="preserve"> 30.42 </v>
      </c>
      <c r="M139" s="176" t="str">
        <f>IF(AND($D$11="IL",$E139="AMEREN"),"NA",TEXT((SUMPRODUCT(((LMPMain!$H$9:$H$1000)=$E139)*((LMPMain!$J$9:$J$1000)=$F139)*((LMPMain!$O$9:$O$1000)=$C139)*(LMPMain!S$9:S$1000))+(SUMPRODUCT(((Adders!$D$13:$D$101)=$E139)*((Adders!$E$13:$E$101)=$F139)*(Adders!H$13:H$101))+VLOOKUP($H139,Adders!$B$5:$G$8,M$11,FALSE)+Matrix!$D$2)*IF($D139="NJ",1.07,1))/$L$10,CHOOSE($M$10,$L$9,$M$9)))</f>
        <v xml:space="preserve"> 29.76 </v>
      </c>
      <c r="N139" s="177" t="str">
        <f>IF(AND($D$11="IL",$E139="AMEREN"),"NA",TEXT((SUMPRODUCT(((LMPMain!$H$9:$H$1000)=$E139)*((LMPMain!$J$9:$J$1000)=$F139)*((LMPMain!$O$9:$O$1000)=$C139)*(LMPMain!T$9:T$1000))+(SUMPRODUCT(((Adders!$D$13:$D$101)=$E139)*((Adders!$E$13:$E$101)=$F139)*(Adders!G$13:G$101))+VLOOKUP($H139,Adders!$B$5:$G$8,N$11,FALSE)+Matrix!$D$2)*IF($D139="NJ",1.07,1))/$L$10,CHOOSE($M$10,$L$9,$M$9)))</f>
        <v xml:space="preserve"> 29.28 </v>
      </c>
      <c r="O139" s="112"/>
    </row>
    <row r="140" spans="2:15" x14ac:dyDescent="0.25">
      <c r="B140" s="160" t="s">
        <v>667</v>
      </c>
      <c r="C140" s="127">
        <f t="shared" si="3"/>
        <v>42339</v>
      </c>
      <c r="D140" s="128" t="s">
        <v>6</v>
      </c>
      <c r="E140" s="129" t="s">
        <v>8</v>
      </c>
      <c r="F140" s="128" t="s">
        <v>11</v>
      </c>
      <c r="G140" s="129" t="str">
        <f t="shared" si="4"/>
        <v>General Service Small</v>
      </c>
      <c r="H140" s="130" t="s">
        <v>61</v>
      </c>
      <c r="I140" s="178" t="str">
        <f>TEXT(   (SUMPRODUCT( ((Main!$H$9:$H$1000)=$E140)*((Main!$J$9:$J$1000)=$F140)*((Main!$O$9:$O$1000)=$C140)*(Main!R$9:R$1000) ) +  ( SUMPRODUCT( ((Adders!$D$13:$D$101)=$E140)*((Adders!$E$13:$E$101)=$F140)*(Adders!G$13:G$101)) + VLOOKUP($H140,Adders!$B$5:$G$8,L$11,FALSE)  +  PA!$D$2 ) * IF($D140="NJ",1.07,1))/$L$10, CHOOSE($M$10,$L$9,$M$9) )</f>
        <v xml:space="preserve"> 76.04 </v>
      </c>
      <c r="J140" s="178" t="str">
        <f>TEXT(   (SUMPRODUCT( ((Main!$H$9:$H$1000)=$E140)*((Main!$J$9:$J$1000)=$F140)*((Main!$O$9:$O$1000)=$C140)*(Main!S$9:S$1000) ) +  ( SUMPRODUCT( ((Adders!$D$13:$D$101)=$E140)*((Adders!$E$13:$E$101)=$F140)*(Adders!H$13:H$101)) + VLOOKUP($H140,Adders!$B$5:$G$8,M$11,FALSE)  +  PA!$D$2 ) * IF($D140="NJ",1.07,1))/$L$10, CHOOSE($M$10,$L$9,$M$9) )</f>
        <v xml:space="preserve"> 76.77 </v>
      </c>
      <c r="K140" s="179" t="str">
        <f>TEXT(   (SUMPRODUCT( ((Main!$H$9:$H$1000)=$E140)*((Main!$J$9:$J$1000)=$F140)*((Main!$O$9:$O$1000)=$C140)*(Main!T$9:T$1000) ) +  ( SUMPRODUCT( ((Adders!$D$13:$D$101)=$E140)*((Adders!$E$13:$E$101)=$F140)*(Adders!I$13:I$101)) + VLOOKUP($H140,Adders!$B$5:$G$8,N$11,FALSE)  +  PA!$D$2 ) * IF($D140="NJ",1.07,1))/$L$10, CHOOSE($M$10,$L$9,$M$9) )</f>
        <v xml:space="preserve"> 75.26 </v>
      </c>
      <c r="L140" s="178" t="str">
        <f>IF(AND($D$11="IL",$E140="AMEREN"),"NA",TEXT((SUMPRODUCT(((LMPMain!$H$9:$H$1000)=$E140)*((LMPMain!$J$9:$J$1000)=$F140)*((LMPMain!$O$9:$O$1000)=$C140)*(LMPMain!R$9:R$1000))+(SUMPRODUCT(((Adders!$D$13:$D$101)=$E140)*((Adders!$E$13:$E$101)=$F140)*(Adders!G$13:G$101))+VLOOKUP($H140,Adders!$B$5:$G$8,L$11,FALSE)+Matrix!$D$2)*IF($D140="NJ",1.07,1))/$L$10,CHOOSE($M$10,$L$9,$M$9)))</f>
        <v xml:space="preserve"> 32.71 </v>
      </c>
      <c r="M140" s="178" t="str">
        <f>IF(AND($D$11="IL",$E140="AMEREN"),"NA",TEXT((SUMPRODUCT(((LMPMain!$H$9:$H$1000)=$E140)*((LMPMain!$J$9:$J$1000)=$F140)*((LMPMain!$O$9:$O$1000)=$C140)*(LMPMain!S$9:S$1000))+(SUMPRODUCT(((Adders!$D$13:$D$101)=$E140)*((Adders!$E$13:$E$101)=$F140)*(Adders!H$13:H$101))+VLOOKUP($H140,Adders!$B$5:$G$8,M$11,FALSE)+Matrix!$D$2)*IF($D140="NJ",1.07,1))/$L$10,CHOOSE($M$10,$L$9,$M$9)))</f>
        <v xml:space="preserve"> 32.38 </v>
      </c>
      <c r="N140" s="179" t="str">
        <f>IF(AND($D$11="IL",$E140="AMEREN"),"NA",TEXT((SUMPRODUCT(((LMPMain!$H$9:$H$1000)=$E140)*((LMPMain!$J$9:$J$1000)=$F140)*((LMPMain!$O$9:$O$1000)=$C140)*(LMPMain!T$9:T$1000))+(SUMPRODUCT(((Adders!$D$13:$D$101)=$E140)*((Adders!$E$13:$E$101)=$F140)*(Adders!G$13:G$101))+VLOOKUP($H140,Adders!$B$5:$G$8,N$11,FALSE)+Matrix!$D$2)*IF($D140="NJ",1.07,1))/$L$10,CHOOSE($M$10,$L$9,$M$9)))</f>
        <v xml:space="preserve"> 31.77 </v>
      </c>
      <c r="O140" s="112"/>
    </row>
    <row r="141" spans="2:15" x14ac:dyDescent="0.25">
      <c r="B141" s="160" t="s">
        <v>667</v>
      </c>
      <c r="C141" s="131">
        <f t="shared" si="3"/>
        <v>42339</v>
      </c>
      <c r="D141" s="132" t="s">
        <v>6</v>
      </c>
      <c r="E141" s="133" t="s">
        <v>8</v>
      </c>
      <c r="F141" s="132" t="s">
        <v>11</v>
      </c>
      <c r="G141" s="133" t="str">
        <f t="shared" si="4"/>
        <v>General Service Small</v>
      </c>
      <c r="H141" s="134" t="s">
        <v>62</v>
      </c>
      <c r="I141" s="173" t="str">
        <f>TEXT(   (SUMPRODUCT( ((Main!$H$9:$H$1000)=$E141)*((Main!$J$9:$J$1000)=$F141)*((Main!$O$9:$O$1000)=$C141)*(Main!R$9:R$1000) ) +  ( SUMPRODUCT( ((Adders!$D$13:$D$101)=$E141)*((Adders!$E$13:$E$101)=$F141)*(Adders!G$13:G$101)) + VLOOKUP($H141,Adders!$B$5:$G$8,L$11,FALSE)  +  PA!$D$2 ) * IF($D141="NJ",1.07,1))/$L$10, CHOOSE($M$10,$L$9,$M$9) )</f>
        <v xml:space="preserve"> 74.44 </v>
      </c>
      <c r="J141" s="173" t="str">
        <f>TEXT(   (SUMPRODUCT( ((Main!$H$9:$H$1000)=$E141)*((Main!$J$9:$J$1000)=$F141)*((Main!$O$9:$O$1000)=$C141)*(Main!S$9:S$1000) ) +  ( SUMPRODUCT( ((Adders!$D$13:$D$101)=$E141)*((Adders!$E$13:$E$101)=$F141)*(Adders!H$13:H$101)) + VLOOKUP($H141,Adders!$B$5:$G$8,M$11,FALSE)  +  PA!$D$2 ) * IF($D141="NJ",1.07,1))/$L$10, CHOOSE($M$10,$L$9,$M$9) )</f>
        <v xml:space="preserve"> 75.17 </v>
      </c>
      <c r="K141" s="174" t="str">
        <f>TEXT(   (SUMPRODUCT( ((Main!$H$9:$H$1000)=$E141)*((Main!$J$9:$J$1000)=$F141)*((Main!$O$9:$O$1000)=$C141)*(Main!T$9:T$1000) ) +  ( SUMPRODUCT( ((Adders!$D$13:$D$101)=$E141)*((Adders!$E$13:$E$101)=$F141)*(Adders!I$13:I$101)) + VLOOKUP($H141,Adders!$B$5:$G$8,N$11,FALSE)  +  PA!$D$2 ) * IF($D141="NJ",1.07,1))/$L$10, CHOOSE($M$10,$L$9,$M$9) )</f>
        <v xml:space="preserve"> 73.66 </v>
      </c>
      <c r="L141" s="173" t="str">
        <f>IF(AND($D$11="IL",$E141="AMEREN"),"NA",TEXT((SUMPRODUCT(((LMPMain!$H$9:$H$1000)=$E141)*((LMPMain!$J$9:$J$1000)=$F141)*((LMPMain!$O$9:$O$1000)=$C141)*(LMPMain!R$9:R$1000))+(SUMPRODUCT(((Adders!$D$13:$D$101)=$E141)*((Adders!$E$13:$E$101)=$F141)*(Adders!G$13:G$101))+VLOOKUP($H141,Adders!$B$5:$G$8,L$11,FALSE)+Matrix!$D$2)*IF($D141="NJ",1.07,1))/$L$10,CHOOSE($M$10,$L$9,$M$9)))</f>
        <v xml:space="preserve"> 31.11 </v>
      </c>
      <c r="M141" s="173" t="str">
        <f>IF(AND($D$11="IL",$E141="AMEREN"),"NA",TEXT((SUMPRODUCT(((LMPMain!$H$9:$H$1000)=$E141)*((LMPMain!$J$9:$J$1000)=$F141)*((LMPMain!$O$9:$O$1000)=$C141)*(LMPMain!S$9:S$1000))+(SUMPRODUCT(((Adders!$D$13:$D$101)=$E141)*((Adders!$E$13:$E$101)=$F141)*(Adders!H$13:H$101))+VLOOKUP($H141,Adders!$B$5:$G$8,M$11,FALSE)+Matrix!$D$2)*IF($D141="NJ",1.07,1))/$L$10,CHOOSE($M$10,$L$9,$M$9)))</f>
        <v xml:space="preserve"> 30.78 </v>
      </c>
      <c r="N141" s="174" t="str">
        <f>IF(AND($D$11="IL",$E141="AMEREN"),"NA",TEXT((SUMPRODUCT(((LMPMain!$H$9:$H$1000)=$E141)*((LMPMain!$J$9:$J$1000)=$F141)*((LMPMain!$O$9:$O$1000)=$C141)*(LMPMain!T$9:T$1000))+(SUMPRODUCT(((Adders!$D$13:$D$101)=$E141)*((Adders!$E$13:$E$101)=$F141)*(Adders!G$13:G$101))+VLOOKUP($H141,Adders!$B$5:$G$8,N$11,FALSE)+Matrix!$D$2)*IF($D141="NJ",1.07,1))/$L$10,CHOOSE($M$10,$L$9,$M$9)))</f>
        <v xml:space="preserve"> 30.17 </v>
      </c>
      <c r="O141" s="112"/>
    </row>
    <row r="142" spans="2:15" x14ac:dyDescent="0.25">
      <c r="B142" s="160" t="s">
        <v>667</v>
      </c>
      <c r="C142" s="135">
        <f t="shared" si="3"/>
        <v>42339</v>
      </c>
      <c r="D142" s="136" t="s">
        <v>6</v>
      </c>
      <c r="E142" s="137" t="s">
        <v>8</v>
      </c>
      <c r="F142" s="136" t="s">
        <v>11</v>
      </c>
      <c r="G142" s="137" t="str">
        <f t="shared" si="4"/>
        <v>General Service Small</v>
      </c>
      <c r="H142" s="138" t="s">
        <v>690</v>
      </c>
      <c r="I142" s="176" t="str">
        <f>TEXT(   (SUMPRODUCT( ((Main!$H$9:$H$1000)=$E142)*((Main!$J$9:$J$1000)=$F142)*((Main!$O$9:$O$1000)=$C142)*(Main!R$9:R$1000) ) +  ( SUMPRODUCT( ((Adders!$D$13:$D$101)=$E142)*((Adders!$E$13:$E$101)=$F142)*(Adders!G$13:G$101)) + VLOOKUP($H142,Adders!$B$5:$G$8,L$11,FALSE)  +  PA!$D$2 ) * IF($D142="NJ",1.07,1))/$L$10, CHOOSE($M$10,$L$9,$M$9) )</f>
        <v xml:space="preserve"> 73.39 </v>
      </c>
      <c r="J142" s="176" t="str">
        <f>TEXT(   (SUMPRODUCT( ((Main!$H$9:$H$1000)=$E142)*((Main!$J$9:$J$1000)=$F142)*((Main!$O$9:$O$1000)=$C142)*(Main!S$9:S$1000) ) +  ( SUMPRODUCT( ((Adders!$D$13:$D$101)=$E142)*((Adders!$E$13:$E$101)=$F142)*(Adders!H$13:H$101)) + VLOOKUP($H142,Adders!$B$5:$G$8,M$11,FALSE)  +  PA!$D$2 ) * IF($D142="NJ",1.07,1))/$L$10, CHOOSE($M$10,$L$9,$M$9) )</f>
        <v xml:space="preserve"> 74.12 </v>
      </c>
      <c r="K142" s="177" t="str">
        <f>TEXT(   (SUMPRODUCT( ((Main!$H$9:$H$1000)=$E142)*((Main!$J$9:$J$1000)=$F142)*((Main!$O$9:$O$1000)=$C142)*(Main!T$9:T$1000) ) +  ( SUMPRODUCT( ((Adders!$D$13:$D$101)=$E142)*((Adders!$E$13:$E$101)=$F142)*(Adders!I$13:I$101)) + VLOOKUP($H142,Adders!$B$5:$G$8,N$11,FALSE)  +  PA!$D$2 ) * IF($D142="NJ",1.07,1))/$L$10, CHOOSE($M$10,$L$9,$M$9) )</f>
        <v xml:space="preserve"> 72.61 </v>
      </c>
      <c r="L142" s="176" t="str">
        <f>IF(AND($D$11="IL",$E142="AMEREN"),"NA",TEXT((SUMPRODUCT(((LMPMain!$H$9:$H$1000)=$E142)*((LMPMain!$J$9:$J$1000)=$F142)*((LMPMain!$O$9:$O$1000)=$C142)*(LMPMain!R$9:R$1000))+(SUMPRODUCT(((Adders!$D$13:$D$101)=$E142)*((Adders!$E$13:$E$101)=$F142)*(Adders!G$13:G$101))+VLOOKUP($H142,Adders!$B$5:$G$8,L$11,FALSE)+Matrix!$D$2)*IF($D142="NJ",1.07,1))/$L$10,CHOOSE($M$10,$L$9,$M$9)))</f>
        <v xml:space="preserve"> 30.06 </v>
      </c>
      <c r="M142" s="176" t="str">
        <f>IF(AND($D$11="IL",$E142="AMEREN"),"NA",TEXT((SUMPRODUCT(((LMPMain!$H$9:$H$1000)=$E142)*((LMPMain!$J$9:$J$1000)=$F142)*((LMPMain!$O$9:$O$1000)=$C142)*(LMPMain!S$9:S$1000))+(SUMPRODUCT(((Adders!$D$13:$D$101)=$E142)*((Adders!$E$13:$E$101)=$F142)*(Adders!H$13:H$101))+VLOOKUP($H142,Adders!$B$5:$G$8,M$11,FALSE)+Matrix!$D$2)*IF($D142="NJ",1.07,1))/$L$10,CHOOSE($M$10,$L$9,$M$9)))</f>
        <v xml:space="preserve"> 29.73 </v>
      </c>
      <c r="N142" s="177" t="str">
        <f>IF(AND($D$11="IL",$E142="AMEREN"),"NA",TEXT((SUMPRODUCT(((LMPMain!$H$9:$H$1000)=$E142)*((LMPMain!$J$9:$J$1000)=$F142)*((LMPMain!$O$9:$O$1000)=$C142)*(LMPMain!T$9:T$1000))+(SUMPRODUCT(((Adders!$D$13:$D$101)=$E142)*((Adders!$E$13:$E$101)=$F142)*(Adders!G$13:G$101))+VLOOKUP($H142,Adders!$B$5:$G$8,N$11,FALSE)+Matrix!$D$2)*IF($D142="NJ",1.07,1))/$L$10,CHOOSE($M$10,$L$9,$M$9)))</f>
        <v xml:space="preserve"> 29.12 </v>
      </c>
      <c r="O142" s="112"/>
    </row>
    <row r="143" spans="2:15" x14ac:dyDescent="0.25">
      <c r="B143" s="160" t="s">
        <v>667</v>
      </c>
      <c r="C143" s="127">
        <f t="shared" si="3"/>
        <v>42370</v>
      </c>
      <c r="D143" s="128" t="s">
        <v>6</v>
      </c>
      <c r="E143" s="129" t="s">
        <v>8</v>
      </c>
      <c r="F143" s="128" t="s">
        <v>11</v>
      </c>
      <c r="G143" s="129" t="str">
        <f t="shared" si="4"/>
        <v>General Service Small</v>
      </c>
      <c r="H143" s="130" t="s">
        <v>61</v>
      </c>
      <c r="I143" s="178" t="str">
        <f>TEXT(   (SUMPRODUCT( ((Main!$H$9:$H$1000)=$E143)*((Main!$J$9:$J$1000)=$F143)*((Main!$O$9:$O$1000)=$C143)*(Main!R$9:R$1000) ) +  ( SUMPRODUCT( ((Adders!$D$13:$D$101)=$E143)*((Adders!$E$13:$E$101)=$F143)*(Adders!G$13:G$101)) + VLOOKUP($H143,Adders!$B$5:$G$8,L$11,FALSE)  +  PA!$D$2 ) * IF($D143="NJ",1.07,1))/$L$10, CHOOSE($M$10,$L$9,$M$9) )</f>
        <v xml:space="preserve"> 75.52 </v>
      </c>
      <c r="J143" s="178" t="str">
        <f>TEXT(   (SUMPRODUCT( ((Main!$H$9:$H$1000)=$E143)*((Main!$J$9:$J$1000)=$F143)*((Main!$O$9:$O$1000)=$C143)*(Main!S$9:S$1000) ) +  ( SUMPRODUCT( ((Adders!$D$13:$D$101)=$E143)*((Adders!$E$13:$E$101)=$F143)*(Adders!H$13:H$101)) + VLOOKUP($H143,Adders!$B$5:$G$8,M$11,FALSE)  +  PA!$D$2 ) * IF($D143="NJ",1.07,1))/$L$10, CHOOSE($M$10,$L$9,$M$9) )</f>
        <v xml:space="preserve"> 76.45 </v>
      </c>
      <c r="K143" s="179" t="str">
        <f>TEXT(   (SUMPRODUCT( ((Main!$H$9:$H$1000)=$E143)*((Main!$J$9:$J$1000)=$F143)*((Main!$O$9:$O$1000)=$C143)*(Main!T$9:T$1000) ) +  ( SUMPRODUCT( ((Adders!$D$13:$D$101)=$E143)*((Adders!$E$13:$E$101)=$F143)*(Adders!I$13:I$101)) + VLOOKUP($H143,Adders!$B$5:$G$8,N$11,FALSE)  +  PA!$D$2 ) * IF($D143="NJ",1.07,1))/$L$10, CHOOSE($M$10,$L$9,$M$9) )</f>
        <v xml:space="preserve"> 75.03 </v>
      </c>
      <c r="L143" s="178" t="str">
        <f>IF(AND($D$11="IL",$E143="AMEREN"),"NA",TEXT((SUMPRODUCT(((LMPMain!$H$9:$H$1000)=$E143)*((LMPMain!$J$9:$J$1000)=$F143)*((LMPMain!$O$9:$O$1000)=$C143)*(LMPMain!R$9:R$1000))+(SUMPRODUCT(((Adders!$D$13:$D$101)=$E143)*((Adders!$E$13:$E$101)=$F143)*(Adders!G$13:G$101))+VLOOKUP($H143,Adders!$B$5:$G$8,L$11,FALSE)+Matrix!$D$2)*IF($D143="NJ",1.07,1))/$L$10,CHOOSE($M$10,$L$9,$M$9)))</f>
        <v xml:space="preserve"> 32.36 </v>
      </c>
      <c r="M143" s="178" t="str">
        <f>IF(AND($D$11="IL",$E143="AMEREN"),"NA",TEXT((SUMPRODUCT(((LMPMain!$H$9:$H$1000)=$E143)*((LMPMain!$J$9:$J$1000)=$F143)*((LMPMain!$O$9:$O$1000)=$C143)*(LMPMain!S$9:S$1000))+(SUMPRODUCT(((Adders!$D$13:$D$101)=$E143)*((Adders!$E$13:$E$101)=$F143)*(Adders!H$13:H$101))+VLOOKUP($H143,Adders!$B$5:$G$8,M$11,FALSE)+Matrix!$D$2)*IF($D143="NJ",1.07,1))/$L$10,CHOOSE($M$10,$L$9,$M$9)))</f>
        <v xml:space="preserve"> 32.19 </v>
      </c>
      <c r="N143" s="179" t="str">
        <f>IF(AND($D$11="IL",$E143="AMEREN"),"NA",TEXT((SUMPRODUCT(((LMPMain!$H$9:$H$1000)=$E143)*((LMPMain!$J$9:$J$1000)=$F143)*((LMPMain!$O$9:$O$1000)=$C143)*(LMPMain!T$9:T$1000))+(SUMPRODUCT(((Adders!$D$13:$D$101)=$E143)*((Adders!$E$13:$E$101)=$F143)*(Adders!G$13:G$101))+VLOOKUP($H143,Adders!$B$5:$G$8,N$11,FALSE)+Matrix!$D$2)*IF($D143="NJ",1.07,1))/$L$10,CHOOSE($M$10,$L$9,$M$9)))</f>
        <v xml:space="preserve"> 31.62 </v>
      </c>
      <c r="O143" s="112"/>
    </row>
    <row r="144" spans="2:15" x14ac:dyDescent="0.25">
      <c r="B144" s="160" t="s">
        <v>667</v>
      </c>
      <c r="C144" s="131">
        <f t="shared" si="3"/>
        <v>42370</v>
      </c>
      <c r="D144" s="132" t="s">
        <v>6</v>
      </c>
      <c r="E144" s="133" t="s">
        <v>8</v>
      </c>
      <c r="F144" s="132" t="s">
        <v>11</v>
      </c>
      <c r="G144" s="133" t="str">
        <f t="shared" si="4"/>
        <v>General Service Small</v>
      </c>
      <c r="H144" s="134" t="s">
        <v>62</v>
      </c>
      <c r="I144" s="173" t="str">
        <f>TEXT(   (SUMPRODUCT( ((Main!$H$9:$H$1000)=$E144)*((Main!$J$9:$J$1000)=$F144)*((Main!$O$9:$O$1000)=$C144)*(Main!R$9:R$1000) ) +  ( SUMPRODUCT( ((Adders!$D$13:$D$101)=$E144)*((Adders!$E$13:$E$101)=$F144)*(Adders!G$13:G$101)) + VLOOKUP($H144,Adders!$B$5:$G$8,L$11,FALSE)  +  PA!$D$2 ) * IF($D144="NJ",1.07,1))/$L$10, CHOOSE($M$10,$L$9,$M$9) )</f>
        <v xml:space="preserve"> 73.92 </v>
      </c>
      <c r="J144" s="173" t="str">
        <f>TEXT(   (SUMPRODUCT( ((Main!$H$9:$H$1000)=$E144)*((Main!$J$9:$J$1000)=$F144)*((Main!$O$9:$O$1000)=$C144)*(Main!S$9:S$1000) ) +  ( SUMPRODUCT( ((Adders!$D$13:$D$101)=$E144)*((Adders!$E$13:$E$101)=$F144)*(Adders!H$13:H$101)) + VLOOKUP($H144,Adders!$B$5:$G$8,M$11,FALSE)  +  PA!$D$2 ) * IF($D144="NJ",1.07,1))/$L$10, CHOOSE($M$10,$L$9,$M$9) )</f>
        <v xml:space="preserve"> 74.85 </v>
      </c>
      <c r="K144" s="174" t="str">
        <f>TEXT(   (SUMPRODUCT( ((Main!$H$9:$H$1000)=$E144)*((Main!$J$9:$J$1000)=$F144)*((Main!$O$9:$O$1000)=$C144)*(Main!T$9:T$1000) ) +  ( SUMPRODUCT( ((Adders!$D$13:$D$101)=$E144)*((Adders!$E$13:$E$101)=$F144)*(Adders!I$13:I$101)) + VLOOKUP($H144,Adders!$B$5:$G$8,N$11,FALSE)  +  PA!$D$2 ) * IF($D144="NJ",1.07,1))/$L$10, CHOOSE($M$10,$L$9,$M$9) )</f>
        <v xml:space="preserve"> 73.43 </v>
      </c>
      <c r="L144" s="173" t="str">
        <f>IF(AND($D$11="IL",$E144="AMEREN"),"NA",TEXT((SUMPRODUCT(((LMPMain!$H$9:$H$1000)=$E144)*((LMPMain!$J$9:$J$1000)=$F144)*((LMPMain!$O$9:$O$1000)=$C144)*(LMPMain!R$9:R$1000))+(SUMPRODUCT(((Adders!$D$13:$D$101)=$E144)*((Adders!$E$13:$E$101)=$F144)*(Adders!G$13:G$101))+VLOOKUP($H144,Adders!$B$5:$G$8,L$11,FALSE)+Matrix!$D$2)*IF($D144="NJ",1.07,1))/$L$10,CHOOSE($M$10,$L$9,$M$9)))</f>
        <v xml:space="preserve"> 30.76 </v>
      </c>
      <c r="M144" s="173" t="str">
        <f>IF(AND($D$11="IL",$E144="AMEREN"),"NA",TEXT((SUMPRODUCT(((LMPMain!$H$9:$H$1000)=$E144)*((LMPMain!$J$9:$J$1000)=$F144)*((LMPMain!$O$9:$O$1000)=$C144)*(LMPMain!S$9:S$1000))+(SUMPRODUCT(((Adders!$D$13:$D$101)=$E144)*((Adders!$E$13:$E$101)=$F144)*(Adders!H$13:H$101))+VLOOKUP($H144,Adders!$B$5:$G$8,M$11,FALSE)+Matrix!$D$2)*IF($D144="NJ",1.07,1))/$L$10,CHOOSE($M$10,$L$9,$M$9)))</f>
        <v xml:space="preserve"> 30.59 </v>
      </c>
      <c r="N144" s="174" t="str">
        <f>IF(AND($D$11="IL",$E144="AMEREN"),"NA",TEXT((SUMPRODUCT(((LMPMain!$H$9:$H$1000)=$E144)*((LMPMain!$J$9:$J$1000)=$F144)*((LMPMain!$O$9:$O$1000)=$C144)*(LMPMain!T$9:T$1000))+(SUMPRODUCT(((Adders!$D$13:$D$101)=$E144)*((Adders!$E$13:$E$101)=$F144)*(Adders!G$13:G$101))+VLOOKUP($H144,Adders!$B$5:$G$8,N$11,FALSE)+Matrix!$D$2)*IF($D144="NJ",1.07,1))/$L$10,CHOOSE($M$10,$L$9,$M$9)))</f>
        <v xml:space="preserve"> 30.02 </v>
      </c>
      <c r="O144" s="112"/>
    </row>
    <row r="145" spans="2:15" x14ac:dyDescent="0.25">
      <c r="B145" s="160" t="s">
        <v>667</v>
      </c>
      <c r="C145" s="135">
        <f t="shared" si="3"/>
        <v>42370</v>
      </c>
      <c r="D145" s="136" t="s">
        <v>6</v>
      </c>
      <c r="E145" s="137" t="s">
        <v>8</v>
      </c>
      <c r="F145" s="136" t="s">
        <v>11</v>
      </c>
      <c r="G145" s="137" t="str">
        <f t="shared" si="4"/>
        <v>General Service Small</v>
      </c>
      <c r="H145" s="138" t="s">
        <v>690</v>
      </c>
      <c r="I145" s="176" t="str">
        <f>TEXT(   (SUMPRODUCT( ((Main!$H$9:$H$1000)=$E145)*((Main!$J$9:$J$1000)=$F145)*((Main!$O$9:$O$1000)=$C145)*(Main!R$9:R$1000) ) +  ( SUMPRODUCT( ((Adders!$D$13:$D$101)=$E145)*((Adders!$E$13:$E$101)=$F145)*(Adders!G$13:G$101)) + VLOOKUP($H145,Adders!$B$5:$G$8,L$11,FALSE)  +  PA!$D$2 ) * IF($D145="NJ",1.07,1))/$L$10, CHOOSE($M$10,$L$9,$M$9) )</f>
        <v xml:space="preserve"> 72.87 </v>
      </c>
      <c r="J145" s="176" t="str">
        <f>TEXT(   (SUMPRODUCT( ((Main!$H$9:$H$1000)=$E145)*((Main!$J$9:$J$1000)=$F145)*((Main!$O$9:$O$1000)=$C145)*(Main!S$9:S$1000) ) +  ( SUMPRODUCT( ((Adders!$D$13:$D$101)=$E145)*((Adders!$E$13:$E$101)=$F145)*(Adders!H$13:H$101)) + VLOOKUP($H145,Adders!$B$5:$G$8,M$11,FALSE)  +  PA!$D$2 ) * IF($D145="NJ",1.07,1))/$L$10, CHOOSE($M$10,$L$9,$M$9) )</f>
        <v xml:space="preserve"> 73.80 </v>
      </c>
      <c r="K145" s="177" t="str">
        <f>TEXT(   (SUMPRODUCT( ((Main!$H$9:$H$1000)=$E145)*((Main!$J$9:$J$1000)=$F145)*((Main!$O$9:$O$1000)=$C145)*(Main!T$9:T$1000) ) +  ( SUMPRODUCT( ((Adders!$D$13:$D$101)=$E145)*((Adders!$E$13:$E$101)=$F145)*(Adders!I$13:I$101)) + VLOOKUP($H145,Adders!$B$5:$G$8,N$11,FALSE)  +  PA!$D$2 ) * IF($D145="NJ",1.07,1))/$L$10, CHOOSE($M$10,$L$9,$M$9) )</f>
        <v xml:space="preserve"> 72.38 </v>
      </c>
      <c r="L145" s="176" t="str">
        <f>IF(AND($D$11="IL",$E145="AMEREN"),"NA",TEXT((SUMPRODUCT(((LMPMain!$H$9:$H$1000)=$E145)*((LMPMain!$J$9:$J$1000)=$F145)*((LMPMain!$O$9:$O$1000)=$C145)*(LMPMain!R$9:R$1000))+(SUMPRODUCT(((Adders!$D$13:$D$101)=$E145)*((Adders!$E$13:$E$101)=$F145)*(Adders!G$13:G$101))+VLOOKUP($H145,Adders!$B$5:$G$8,L$11,FALSE)+Matrix!$D$2)*IF($D145="NJ",1.07,1))/$L$10,CHOOSE($M$10,$L$9,$M$9)))</f>
        <v xml:space="preserve"> 29.71 </v>
      </c>
      <c r="M145" s="176" t="str">
        <f>IF(AND($D$11="IL",$E145="AMEREN"),"NA",TEXT((SUMPRODUCT(((LMPMain!$H$9:$H$1000)=$E145)*((LMPMain!$J$9:$J$1000)=$F145)*((LMPMain!$O$9:$O$1000)=$C145)*(LMPMain!S$9:S$1000))+(SUMPRODUCT(((Adders!$D$13:$D$101)=$E145)*((Adders!$E$13:$E$101)=$F145)*(Adders!H$13:H$101))+VLOOKUP($H145,Adders!$B$5:$G$8,M$11,FALSE)+Matrix!$D$2)*IF($D145="NJ",1.07,1))/$L$10,CHOOSE($M$10,$L$9,$M$9)))</f>
        <v xml:space="preserve"> 29.54 </v>
      </c>
      <c r="N145" s="177" t="str">
        <f>IF(AND($D$11="IL",$E145="AMEREN"),"NA",TEXT((SUMPRODUCT(((LMPMain!$H$9:$H$1000)=$E145)*((LMPMain!$J$9:$J$1000)=$F145)*((LMPMain!$O$9:$O$1000)=$C145)*(LMPMain!T$9:T$1000))+(SUMPRODUCT(((Adders!$D$13:$D$101)=$E145)*((Adders!$E$13:$E$101)=$F145)*(Adders!G$13:G$101))+VLOOKUP($H145,Adders!$B$5:$G$8,N$11,FALSE)+Matrix!$D$2)*IF($D145="NJ",1.07,1))/$L$10,CHOOSE($M$10,$L$9,$M$9)))</f>
        <v xml:space="preserve"> 28.97 </v>
      </c>
      <c r="O145" s="112"/>
    </row>
    <row r="146" spans="2:15" x14ac:dyDescent="0.25">
      <c r="B146" s="160" t="s">
        <v>667</v>
      </c>
      <c r="C146" s="127">
        <f t="shared" si="3"/>
        <v>42401</v>
      </c>
      <c r="D146" s="128" t="s">
        <v>6</v>
      </c>
      <c r="E146" s="129" t="s">
        <v>8</v>
      </c>
      <c r="F146" s="128" t="s">
        <v>11</v>
      </c>
      <c r="G146" s="129" t="str">
        <f t="shared" si="4"/>
        <v>General Service Small</v>
      </c>
      <c r="H146" s="130" t="s">
        <v>61</v>
      </c>
      <c r="I146" s="178" t="str">
        <f>TEXT(   (SUMPRODUCT( ((Main!$H$9:$H$1000)=$E146)*((Main!$J$9:$J$1000)=$F146)*((Main!$O$9:$O$1000)=$C146)*(Main!R$9:R$1000) ) +  ( SUMPRODUCT( ((Adders!$D$13:$D$101)=$E146)*((Adders!$E$13:$E$101)=$F146)*(Adders!G$13:G$101)) + VLOOKUP($H146,Adders!$B$5:$G$8,L$11,FALSE)  +  PA!$D$2 ) * IF($D146="NJ",1.07,1))/$L$10, CHOOSE($M$10,$L$9,$M$9) )</f>
        <v xml:space="preserve"> 75.28 </v>
      </c>
      <c r="J146" s="178" t="str">
        <f>TEXT(   (SUMPRODUCT( ((Main!$H$9:$H$1000)=$E146)*((Main!$J$9:$J$1000)=$F146)*((Main!$O$9:$O$1000)=$C146)*(Main!S$9:S$1000) ) +  ( SUMPRODUCT( ((Adders!$D$13:$D$101)=$E146)*((Adders!$E$13:$E$101)=$F146)*(Adders!H$13:H$101)) + VLOOKUP($H146,Adders!$B$5:$G$8,M$11,FALSE)  +  PA!$D$2 ) * IF($D146="NJ",1.07,1))/$L$10, CHOOSE($M$10,$L$9,$M$9) )</f>
        <v xml:space="preserve"> 75.84 </v>
      </c>
      <c r="K146" s="179" t="str">
        <f>TEXT(   (SUMPRODUCT( ((Main!$H$9:$H$1000)=$E146)*((Main!$J$9:$J$1000)=$F146)*((Main!$O$9:$O$1000)=$C146)*(Main!T$9:T$1000) ) +  ( SUMPRODUCT( ((Adders!$D$13:$D$101)=$E146)*((Adders!$E$13:$E$101)=$F146)*(Adders!I$13:I$101)) + VLOOKUP($H146,Adders!$B$5:$G$8,N$11,FALSE)  +  PA!$D$2 ) * IF($D146="NJ",1.07,1))/$L$10, CHOOSE($M$10,$L$9,$M$9) )</f>
        <v xml:space="preserve"> 75.10 </v>
      </c>
      <c r="L146" s="178" t="str">
        <f>IF(AND($D$11="IL",$E146="AMEREN"),"NA",TEXT((SUMPRODUCT(((LMPMain!$H$9:$H$1000)=$E146)*((LMPMain!$J$9:$J$1000)=$F146)*((LMPMain!$O$9:$O$1000)=$C146)*(LMPMain!R$9:R$1000))+(SUMPRODUCT(((Adders!$D$13:$D$101)=$E146)*((Adders!$E$13:$E$101)=$F146)*(Adders!G$13:G$101))+VLOOKUP($H146,Adders!$B$5:$G$8,L$11,FALSE)+Matrix!$D$2)*IF($D146="NJ",1.07,1))/$L$10,CHOOSE($M$10,$L$9,$M$9)))</f>
        <v xml:space="preserve"> 31.98 </v>
      </c>
      <c r="M146" s="178" t="str">
        <f>IF(AND($D$11="IL",$E146="AMEREN"),"NA",TEXT((SUMPRODUCT(((LMPMain!$H$9:$H$1000)=$E146)*((LMPMain!$J$9:$J$1000)=$F146)*((LMPMain!$O$9:$O$1000)=$C146)*(LMPMain!S$9:S$1000))+(SUMPRODUCT(((Adders!$D$13:$D$101)=$E146)*((Adders!$E$13:$E$101)=$F146)*(Adders!H$13:H$101))+VLOOKUP($H146,Adders!$B$5:$G$8,M$11,FALSE)+Matrix!$D$2)*IF($D146="NJ",1.07,1))/$L$10,CHOOSE($M$10,$L$9,$M$9)))</f>
        <v xml:space="preserve"> 31.94 </v>
      </c>
      <c r="N146" s="179" t="str">
        <f>IF(AND($D$11="IL",$E146="AMEREN"),"NA",TEXT((SUMPRODUCT(((LMPMain!$H$9:$H$1000)=$E146)*((LMPMain!$J$9:$J$1000)=$F146)*((LMPMain!$O$9:$O$1000)=$C146)*(LMPMain!T$9:T$1000))+(SUMPRODUCT(((Adders!$D$13:$D$101)=$E146)*((Adders!$E$13:$E$101)=$F146)*(Adders!G$13:G$101))+VLOOKUP($H146,Adders!$B$5:$G$8,N$11,FALSE)+Matrix!$D$2)*IF($D146="NJ",1.07,1))/$L$10,CHOOSE($M$10,$L$9,$M$9)))</f>
        <v xml:space="preserve"> 31.45 </v>
      </c>
      <c r="O146" s="112"/>
    </row>
    <row r="147" spans="2:15" x14ac:dyDescent="0.25">
      <c r="B147" s="160" t="s">
        <v>667</v>
      </c>
      <c r="C147" s="131">
        <f t="shared" si="3"/>
        <v>42401</v>
      </c>
      <c r="D147" s="132" t="s">
        <v>6</v>
      </c>
      <c r="E147" s="133" t="s">
        <v>8</v>
      </c>
      <c r="F147" s="132" t="s">
        <v>11</v>
      </c>
      <c r="G147" s="133" t="str">
        <f t="shared" si="4"/>
        <v>General Service Small</v>
      </c>
      <c r="H147" s="134" t="s">
        <v>62</v>
      </c>
      <c r="I147" s="173" t="str">
        <f>TEXT(   (SUMPRODUCT( ((Main!$H$9:$H$1000)=$E147)*((Main!$J$9:$J$1000)=$F147)*((Main!$O$9:$O$1000)=$C147)*(Main!R$9:R$1000) ) +  ( SUMPRODUCT( ((Adders!$D$13:$D$101)=$E147)*((Adders!$E$13:$E$101)=$F147)*(Adders!G$13:G$101)) + VLOOKUP($H147,Adders!$B$5:$G$8,L$11,FALSE)  +  PA!$D$2 ) * IF($D147="NJ",1.07,1))/$L$10, CHOOSE($M$10,$L$9,$M$9) )</f>
        <v xml:space="preserve"> 73.68 </v>
      </c>
      <c r="J147" s="173" t="str">
        <f>TEXT(   (SUMPRODUCT( ((Main!$H$9:$H$1000)=$E147)*((Main!$J$9:$J$1000)=$F147)*((Main!$O$9:$O$1000)=$C147)*(Main!S$9:S$1000) ) +  ( SUMPRODUCT( ((Adders!$D$13:$D$101)=$E147)*((Adders!$E$13:$E$101)=$F147)*(Adders!H$13:H$101)) + VLOOKUP($H147,Adders!$B$5:$G$8,M$11,FALSE)  +  PA!$D$2 ) * IF($D147="NJ",1.07,1))/$L$10, CHOOSE($M$10,$L$9,$M$9) )</f>
        <v xml:space="preserve"> 74.24 </v>
      </c>
      <c r="K147" s="174" t="str">
        <f>TEXT(   (SUMPRODUCT( ((Main!$H$9:$H$1000)=$E147)*((Main!$J$9:$J$1000)=$F147)*((Main!$O$9:$O$1000)=$C147)*(Main!T$9:T$1000) ) +  ( SUMPRODUCT( ((Adders!$D$13:$D$101)=$E147)*((Adders!$E$13:$E$101)=$F147)*(Adders!I$13:I$101)) + VLOOKUP($H147,Adders!$B$5:$G$8,N$11,FALSE)  +  PA!$D$2 ) * IF($D147="NJ",1.07,1))/$L$10, CHOOSE($M$10,$L$9,$M$9) )</f>
        <v xml:space="preserve"> 73.50 </v>
      </c>
      <c r="L147" s="173" t="str">
        <f>IF(AND($D$11="IL",$E147="AMEREN"),"NA",TEXT((SUMPRODUCT(((LMPMain!$H$9:$H$1000)=$E147)*((LMPMain!$J$9:$J$1000)=$F147)*((LMPMain!$O$9:$O$1000)=$C147)*(LMPMain!R$9:R$1000))+(SUMPRODUCT(((Adders!$D$13:$D$101)=$E147)*((Adders!$E$13:$E$101)=$F147)*(Adders!G$13:G$101))+VLOOKUP($H147,Adders!$B$5:$G$8,L$11,FALSE)+Matrix!$D$2)*IF($D147="NJ",1.07,1))/$L$10,CHOOSE($M$10,$L$9,$M$9)))</f>
        <v xml:space="preserve"> 30.38 </v>
      </c>
      <c r="M147" s="173" t="str">
        <f>IF(AND($D$11="IL",$E147="AMEREN"),"NA",TEXT((SUMPRODUCT(((LMPMain!$H$9:$H$1000)=$E147)*((LMPMain!$J$9:$J$1000)=$F147)*((LMPMain!$O$9:$O$1000)=$C147)*(LMPMain!S$9:S$1000))+(SUMPRODUCT(((Adders!$D$13:$D$101)=$E147)*((Adders!$E$13:$E$101)=$F147)*(Adders!H$13:H$101))+VLOOKUP($H147,Adders!$B$5:$G$8,M$11,FALSE)+Matrix!$D$2)*IF($D147="NJ",1.07,1))/$L$10,CHOOSE($M$10,$L$9,$M$9)))</f>
        <v xml:space="preserve"> 30.34 </v>
      </c>
      <c r="N147" s="174" t="str">
        <f>IF(AND($D$11="IL",$E147="AMEREN"),"NA",TEXT((SUMPRODUCT(((LMPMain!$H$9:$H$1000)=$E147)*((LMPMain!$J$9:$J$1000)=$F147)*((LMPMain!$O$9:$O$1000)=$C147)*(LMPMain!T$9:T$1000))+(SUMPRODUCT(((Adders!$D$13:$D$101)=$E147)*((Adders!$E$13:$E$101)=$F147)*(Adders!G$13:G$101))+VLOOKUP($H147,Adders!$B$5:$G$8,N$11,FALSE)+Matrix!$D$2)*IF($D147="NJ",1.07,1))/$L$10,CHOOSE($M$10,$L$9,$M$9)))</f>
        <v xml:space="preserve"> 29.85 </v>
      </c>
      <c r="O147" s="112"/>
    </row>
    <row r="148" spans="2:15" x14ac:dyDescent="0.25">
      <c r="B148" s="160" t="s">
        <v>667</v>
      </c>
      <c r="C148" s="135">
        <f t="shared" si="3"/>
        <v>42401</v>
      </c>
      <c r="D148" s="136" t="s">
        <v>6</v>
      </c>
      <c r="E148" s="137" t="s">
        <v>8</v>
      </c>
      <c r="F148" s="136" t="s">
        <v>11</v>
      </c>
      <c r="G148" s="137" t="str">
        <f t="shared" si="4"/>
        <v>General Service Small</v>
      </c>
      <c r="H148" s="138" t="s">
        <v>690</v>
      </c>
      <c r="I148" s="176" t="str">
        <f>TEXT(   (SUMPRODUCT( ((Main!$H$9:$H$1000)=$E148)*((Main!$J$9:$J$1000)=$F148)*((Main!$O$9:$O$1000)=$C148)*(Main!R$9:R$1000) ) +  ( SUMPRODUCT( ((Adders!$D$13:$D$101)=$E148)*((Adders!$E$13:$E$101)=$F148)*(Adders!G$13:G$101)) + VLOOKUP($H148,Adders!$B$5:$G$8,L$11,FALSE)  +  PA!$D$2 ) * IF($D148="NJ",1.07,1))/$L$10, CHOOSE($M$10,$L$9,$M$9) )</f>
        <v xml:space="preserve"> 72.63 </v>
      </c>
      <c r="J148" s="176" t="str">
        <f>TEXT(   (SUMPRODUCT( ((Main!$H$9:$H$1000)=$E148)*((Main!$J$9:$J$1000)=$F148)*((Main!$O$9:$O$1000)=$C148)*(Main!S$9:S$1000) ) +  ( SUMPRODUCT( ((Adders!$D$13:$D$101)=$E148)*((Adders!$E$13:$E$101)=$F148)*(Adders!H$13:H$101)) + VLOOKUP($H148,Adders!$B$5:$G$8,M$11,FALSE)  +  PA!$D$2 ) * IF($D148="NJ",1.07,1))/$L$10, CHOOSE($M$10,$L$9,$M$9) )</f>
        <v xml:space="preserve"> 73.19 </v>
      </c>
      <c r="K148" s="177" t="str">
        <f>TEXT(   (SUMPRODUCT( ((Main!$H$9:$H$1000)=$E148)*((Main!$J$9:$J$1000)=$F148)*((Main!$O$9:$O$1000)=$C148)*(Main!T$9:T$1000) ) +  ( SUMPRODUCT( ((Adders!$D$13:$D$101)=$E148)*((Adders!$E$13:$E$101)=$F148)*(Adders!I$13:I$101)) + VLOOKUP($H148,Adders!$B$5:$G$8,N$11,FALSE)  +  PA!$D$2 ) * IF($D148="NJ",1.07,1))/$L$10, CHOOSE($M$10,$L$9,$M$9) )</f>
        <v xml:space="preserve"> 72.45 </v>
      </c>
      <c r="L148" s="176" t="str">
        <f>IF(AND($D$11="IL",$E148="AMEREN"),"NA",TEXT((SUMPRODUCT(((LMPMain!$H$9:$H$1000)=$E148)*((LMPMain!$J$9:$J$1000)=$F148)*((LMPMain!$O$9:$O$1000)=$C148)*(LMPMain!R$9:R$1000))+(SUMPRODUCT(((Adders!$D$13:$D$101)=$E148)*((Adders!$E$13:$E$101)=$F148)*(Adders!G$13:G$101))+VLOOKUP($H148,Adders!$B$5:$G$8,L$11,FALSE)+Matrix!$D$2)*IF($D148="NJ",1.07,1))/$L$10,CHOOSE($M$10,$L$9,$M$9)))</f>
        <v xml:space="preserve"> 29.33 </v>
      </c>
      <c r="M148" s="176" t="str">
        <f>IF(AND($D$11="IL",$E148="AMEREN"),"NA",TEXT((SUMPRODUCT(((LMPMain!$H$9:$H$1000)=$E148)*((LMPMain!$J$9:$J$1000)=$F148)*((LMPMain!$O$9:$O$1000)=$C148)*(LMPMain!S$9:S$1000))+(SUMPRODUCT(((Adders!$D$13:$D$101)=$E148)*((Adders!$E$13:$E$101)=$F148)*(Adders!H$13:H$101))+VLOOKUP($H148,Adders!$B$5:$G$8,M$11,FALSE)+Matrix!$D$2)*IF($D148="NJ",1.07,1))/$L$10,CHOOSE($M$10,$L$9,$M$9)))</f>
        <v xml:space="preserve"> 29.29 </v>
      </c>
      <c r="N148" s="177" t="str">
        <f>IF(AND($D$11="IL",$E148="AMEREN"),"NA",TEXT((SUMPRODUCT(((LMPMain!$H$9:$H$1000)=$E148)*((LMPMain!$J$9:$J$1000)=$F148)*((LMPMain!$O$9:$O$1000)=$C148)*(LMPMain!T$9:T$1000))+(SUMPRODUCT(((Adders!$D$13:$D$101)=$E148)*((Adders!$E$13:$E$101)=$F148)*(Adders!G$13:G$101))+VLOOKUP($H148,Adders!$B$5:$G$8,N$11,FALSE)+Matrix!$D$2)*IF($D148="NJ",1.07,1))/$L$10,CHOOSE($M$10,$L$9,$M$9)))</f>
        <v xml:space="preserve"> 28.80 </v>
      </c>
      <c r="O148" s="112"/>
    </row>
    <row r="149" spans="2:15" x14ac:dyDescent="0.25">
      <c r="B149" s="160" t="s">
        <v>667</v>
      </c>
      <c r="C149" s="127">
        <f t="shared" si="3"/>
        <v>42430</v>
      </c>
      <c r="D149" s="128" t="s">
        <v>6</v>
      </c>
      <c r="E149" s="129" t="s">
        <v>8</v>
      </c>
      <c r="F149" s="128" t="s">
        <v>11</v>
      </c>
      <c r="G149" s="129" t="str">
        <f t="shared" si="4"/>
        <v>General Service Small</v>
      </c>
      <c r="H149" s="130" t="s">
        <v>61</v>
      </c>
      <c r="I149" s="178" t="str">
        <f>TEXT(   (SUMPRODUCT( ((Main!$H$9:$H$1000)=$E149)*((Main!$J$9:$J$1000)=$F149)*((Main!$O$9:$O$1000)=$C149)*(Main!R$9:R$1000) ) +  ( SUMPRODUCT( ((Adders!$D$13:$D$101)=$E149)*((Adders!$E$13:$E$101)=$F149)*(Adders!G$13:G$101)) + VLOOKUP($H149,Adders!$B$5:$G$8,L$11,FALSE)  +  PA!$D$2 ) * IF($D149="NJ",1.07,1))/$L$10, CHOOSE($M$10,$L$9,$M$9) )</f>
        <v xml:space="preserve"> 74.98 </v>
      </c>
      <c r="J149" s="178" t="str">
        <f>TEXT(   (SUMPRODUCT( ((Main!$H$9:$H$1000)=$E149)*((Main!$J$9:$J$1000)=$F149)*((Main!$O$9:$O$1000)=$C149)*(Main!S$9:S$1000) ) +  ( SUMPRODUCT( ((Adders!$D$13:$D$101)=$E149)*((Adders!$E$13:$E$101)=$F149)*(Adders!H$13:H$101)) + VLOOKUP($H149,Adders!$B$5:$G$8,M$11,FALSE)  +  PA!$D$2 ) * IF($D149="NJ",1.07,1))/$L$10, CHOOSE($M$10,$L$9,$M$9) )</f>
        <v xml:space="preserve"> 75.25 </v>
      </c>
      <c r="K149" s="179" t="str">
        <f>TEXT(   (SUMPRODUCT( ((Main!$H$9:$H$1000)=$E149)*((Main!$J$9:$J$1000)=$F149)*((Main!$O$9:$O$1000)=$C149)*(Main!T$9:T$1000) ) +  ( SUMPRODUCT( ((Adders!$D$13:$D$101)=$E149)*((Adders!$E$13:$E$101)=$F149)*(Adders!I$13:I$101)) + VLOOKUP($H149,Adders!$B$5:$G$8,N$11,FALSE)  +  PA!$D$2 ) * IF($D149="NJ",1.07,1))/$L$10, CHOOSE($M$10,$L$9,$M$9) )</f>
        <v xml:space="preserve"> 75.17 </v>
      </c>
      <c r="L149" s="178" t="str">
        <f>IF(AND($D$11="IL",$E149="AMEREN"),"NA",TEXT((SUMPRODUCT(((LMPMain!$H$9:$H$1000)=$E149)*((LMPMain!$J$9:$J$1000)=$F149)*((LMPMain!$O$9:$O$1000)=$C149)*(LMPMain!R$9:R$1000))+(SUMPRODUCT(((Adders!$D$13:$D$101)=$E149)*((Adders!$E$13:$E$101)=$F149)*(Adders!G$13:G$101))+VLOOKUP($H149,Adders!$B$5:$G$8,L$11,FALSE)+Matrix!$D$2)*IF($D149="NJ",1.07,1))/$L$10,CHOOSE($M$10,$L$9,$M$9)))</f>
        <v xml:space="preserve"> 31.63 </v>
      </c>
      <c r="M149" s="178" t="str">
        <f>IF(AND($D$11="IL",$E149="AMEREN"),"NA",TEXT((SUMPRODUCT(((LMPMain!$H$9:$H$1000)=$E149)*((LMPMain!$J$9:$J$1000)=$F149)*((LMPMain!$O$9:$O$1000)=$C149)*(LMPMain!S$9:S$1000))+(SUMPRODUCT(((Adders!$D$13:$D$101)=$E149)*((Adders!$E$13:$E$101)=$F149)*(Adders!H$13:H$101))+VLOOKUP($H149,Adders!$B$5:$G$8,M$11,FALSE)+Matrix!$D$2)*IF($D149="NJ",1.07,1))/$L$10,CHOOSE($M$10,$L$9,$M$9)))</f>
        <v xml:space="preserve"> 31.68 </v>
      </c>
      <c r="N149" s="179" t="str">
        <f>IF(AND($D$11="IL",$E149="AMEREN"),"NA",TEXT((SUMPRODUCT(((LMPMain!$H$9:$H$1000)=$E149)*((LMPMain!$J$9:$J$1000)=$F149)*((LMPMain!$O$9:$O$1000)=$C149)*(LMPMain!T$9:T$1000))+(SUMPRODUCT(((Adders!$D$13:$D$101)=$E149)*((Adders!$E$13:$E$101)=$F149)*(Adders!G$13:G$101))+VLOOKUP($H149,Adders!$B$5:$G$8,N$11,FALSE)+Matrix!$D$2)*IF($D149="NJ",1.07,1))/$L$10,CHOOSE($M$10,$L$9,$M$9)))</f>
        <v xml:space="preserve"> 31.29 </v>
      </c>
      <c r="O149" s="112"/>
    </row>
    <row r="150" spans="2:15" x14ac:dyDescent="0.25">
      <c r="B150" s="160" t="s">
        <v>667</v>
      </c>
      <c r="C150" s="131">
        <f t="shared" si="3"/>
        <v>42430</v>
      </c>
      <c r="D150" s="132" t="s">
        <v>6</v>
      </c>
      <c r="E150" s="133" t="s">
        <v>8</v>
      </c>
      <c r="F150" s="132" t="s">
        <v>11</v>
      </c>
      <c r="G150" s="133" t="str">
        <f t="shared" si="4"/>
        <v>General Service Small</v>
      </c>
      <c r="H150" s="134" t="s">
        <v>62</v>
      </c>
      <c r="I150" s="173" t="str">
        <f>TEXT(   (SUMPRODUCT( ((Main!$H$9:$H$1000)=$E150)*((Main!$J$9:$J$1000)=$F150)*((Main!$O$9:$O$1000)=$C150)*(Main!R$9:R$1000) ) +  ( SUMPRODUCT( ((Adders!$D$13:$D$101)=$E150)*((Adders!$E$13:$E$101)=$F150)*(Adders!G$13:G$101)) + VLOOKUP($H150,Adders!$B$5:$G$8,L$11,FALSE)  +  PA!$D$2 ) * IF($D150="NJ",1.07,1))/$L$10, CHOOSE($M$10,$L$9,$M$9) )</f>
        <v xml:space="preserve"> 73.38 </v>
      </c>
      <c r="J150" s="173" t="str">
        <f>TEXT(   (SUMPRODUCT( ((Main!$H$9:$H$1000)=$E150)*((Main!$J$9:$J$1000)=$F150)*((Main!$O$9:$O$1000)=$C150)*(Main!S$9:S$1000) ) +  ( SUMPRODUCT( ((Adders!$D$13:$D$101)=$E150)*((Adders!$E$13:$E$101)=$F150)*(Adders!H$13:H$101)) + VLOOKUP($H150,Adders!$B$5:$G$8,M$11,FALSE)  +  PA!$D$2 ) * IF($D150="NJ",1.07,1))/$L$10, CHOOSE($M$10,$L$9,$M$9) )</f>
        <v xml:space="preserve"> 73.65 </v>
      </c>
      <c r="K150" s="174" t="str">
        <f>TEXT(   (SUMPRODUCT( ((Main!$H$9:$H$1000)=$E150)*((Main!$J$9:$J$1000)=$F150)*((Main!$O$9:$O$1000)=$C150)*(Main!T$9:T$1000) ) +  ( SUMPRODUCT( ((Adders!$D$13:$D$101)=$E150)*((Adders!$E$13:$E$101)=$F150)*(Adders!I$13:I$101)) + VLOOKUP($H150,Adders!$B$5:$G$8,N$11,FALSE)  +  PA!$D$2 ) * IF($D150="NJ",1.07,1))/$L$10, CHOOSE($M$10,$L$9,$M$9) )</f>
        <v xml:space="preserve"> 73.57 </v>
      </c>
      <c r="L150" s="173" t="str">
        <f>IF(AND($D$11="IL",$E150="AMEREN"),"NA",TEXT((SUMPRODUCT(((LMPMain!$H$9:$H$1000)=$E150)*((LMPMain!$J$9:$J$1000)=$F150)*((LMPMain!$O$9:$O$1000)=$C150)*(LMPMain!R$9:R$1000))+(SUMPRODUCT(((Adders!$D$13:$D$101)=$E150)*((Adders!$E$13:$E$101)=$F150)*(Adders!G$13:G$101))+VLOOKUP($H150,Adders!$B$5:$G$8,L$11,FALSE)+Matrix!$D$2)*IF($D150="NJ",1.07,1))/$L$10,CHOOSE($M$10,$L$9,$M$9)))</f>
        <v xml:space="preserve"> 30.03 </v>
      </c>
      <c r="M150" s="173" t="str">
        <f>IF(AND($D$11="IL",$E150="AMEREN"),"NA",TEXT((SUMPRODUCT(((LMPMain!$H$9:$H$1000)=$E150)*((LMPMain!$J$9:$J$1000)=$F150)*((LMPMain!$O$9:$O$1000)=$C150)*(LMPMain!S$9:S$1000))+(SUMPRODUCT(((Adders!$D$13:$D$101)=$E150)*((Adders!$E$13:$E$101)=$F150)*(Adders!H$13:H$101))+VLOOKUP($H150,Adders!$B$5:$G$8,M$11,FALSE)+Matrix!$D$2)*IF($D150="NJ",1.07,1))/$L$10,CHOOSE($M$10,$L$9,$M$9)))</f>
        <v xml:space="preserve"> 30.08 </v>
      </c>
      <c r="N150" s="174" t="str">
        <f>IF(AND($D$11="IL",$E150="AMEREN"),"NA",TEXT((SUMPRODUCT(((LMPMain!$H$9:$H$1000)=$E150)*((LMPMain!$J$9:$J$1000)=$F150)*((LMPMain!$O$9:$O$1000)=$C150)*(LMPMain!T$9:T$1000))+(SUMPRODUCT(((Adders!$D$13:$D$101)=$E150)*((Adders!$E$13:$E$101)=$F150)*(Adders!G$13:G$101))+VLOOKUP($H150,Adders!$B$5:$G$8,N$11,FALSE)+Matrix!$D$2)*IF($D150="NJ",1.07,1))/$L$10,CHOOSE($M$10,$L$9,$M$9)))</f>
        <v xml:space="preserve"> 29.69 </v>
      </c>
      <c r="O150" s="112"/>
    </row>
    <row r="151" spans="2:15" x14ac:dyDescent="0.25">
      <c r="B151" s="160" t="s">
        <v>667</v>
      </c>
      <c r="C151" s="135">
        <f t="shared" si="3"/>
        <v>42430</v>
      </c>
      <c r="D151" s="136" t="s">
        <v>6</v>
      </c>
      <c r="E151" s="137" t="s">
        <v>8</v>
      </c>
      <c r="F151" s="136" t="s">
        <v>11</v>
      </c>
      <c r="G151" s="137" t="str">
        <f t="shared" si="4"/>
        <v>General Service Small</v>
      </c>
      <c r="H151" s="138" t="s">
        <v>690</v>
      </c>
      <c r="I151" s="176" t="str">
        <f>TEXT(   (SUMPRODUCT( ((Main!$H$9:$H$1000)=$E151)*((Main!$J$9:$J$1000)=$F151)*((Main!$O$9:$O$1000)=$C151)*(Main!R$9:R$1000) ) +  ( SUMPRODUCT( ((Adders!$D$13:$D$101)=$E151)*((Adders!$E$13:$E$101)=$F151)*(Adders!G$13:G$101)) + VLOOKUP($H151,Adders!$B$5:$G$8,L$11,FALSE)  +  PA!$D$2 ) * IF($D151="NJ",1.07,1))/$L$10, CHOOSE($M$10,$L$9,$M$9) )</f>
        <v xml:space="preserve"> 72.33 </v>
      </c>
      <c r="J151" s="176" t="str">
        <f>TEXT(   (SUMPRODUCT( ((Main!$H$9:$H$1000)=$E151)*((Main!$J$9:$J$1000)=$F151)*((Main!$O$9:$O$1000)=$C151)*(Main!S$9:S$1000) ) +  ( SUMPRODUCT( ((Adders!$D$13:$D$101)=$E151)*((Adders!$E$13:$E$101)=$F151)*(Adders!H$13:H$101)) + VLOOKUP($H151,Adders!$B$5:$G$8,M$11,FALSE)  +  PA!$D$2 ) * IF($D151="NJ",1.07,1))/$L$10, CHOOSE($M$10,$L$9,$M$9) )</f>
        <v xml:space="preserve"> 72.60 </v>
      </c>
      <c r="K151" s="177" t="str">
        <f>TEXT(   (SUMPRODUCT( ((Main!$H$9:$H$1000)=$E151)*((Main!$J$9:$J$1000)=$F151)*((Main!$O$9:$O$1000)=$C151)*(Main!T$9:T$1000) ) +  ( SUMPRODUCT( ((Adders!$D$13:$D$101)=$E151)*((Adders!$E$13:$E$101)=$F151)*(Adders!I$13:I$101)) + VLOOKUP($H151,Adders!$B$5:$G$8,N$11,FALSE)  +  PA!$D$2 ) * IF($D151="NJ",1.07,1))/$L$10, CHOOSE($M$10,$L$9,$M$9) )</f>
        <v xml:space="preserve"> 72.52 </v>
      </c>
      <c r="L151" s="176" t="str">
        <f>IF(AND($D$11="IL",$E151="AMEREN"),"NA",TEXT((SUMPRODUCT(((LMPMain!$H$9:$H$1000)=$E151)*((LMPMain!$J$9:$J$1000)=$F151)*((LMPMain!$O$9:$O$1000)=$C151)*(LMPMain!R$9:R$1000))+(SUMPRODUCT(((Adders!$D$13:$D$101)=$E151)*((Adders!$E$13:$E$101)=$F151)*(Adders!G$13:G$101))+VLOOKUP($H151,Adders!$B$5:$G$8,L$11,FALSE)+Matrix!$D$2)*IF($D151="NJ",1.07,1))/$L$10,CHOOSE($M$10,$L$9,$M$9)))</f>
        <v xml:space="preserve"> 28.98 </v>
      </c>
      <c r="M151" s="176" t="str">
        <f>IF(AND($D$11="IL",$E151="AMEREN"),"NA",TEXT((SUMPRODUCT(((LMPMain!$H$9:$H$1000)=$E151)*((LMPMain!$J$9:$J$1000)=$F151)*((LMPMain!$O$9:$O$1000)=$C151)*(LMPMain!S$9:S$1000))+(SUMPRODUCT(((Adders!$D$13:$D$101)=$E151)*((Adders!$E$13:$E$101)=$F151)*(Adders!H$13:H$101))+VLOOKUP($H151,Adders!$B$5:$G$8,M$11,FALSE)+Matrix!$D$2)*IF($D151="NJ",1.07,1))/$L$10,CHOOSE($M$10,$L$9,$M$9)))</f>
        <v xml:space="preserve"> 29.03 </v>
      </c>
      <c r="N151" s="177" t="str">
        <f>IF(AND($D$11="IL",$E151="AMEREN"),"NA",TEXT((SUMPRODUCT(((LMPMain!$H$9:$H$1000)=$E151)*((LMPMain!$J$9:$J$1000)=$F151)*((LMPMain!$O$9:$O$1000)=$C151)*(LMPMain!T$9:T$1000))+(SUMPRODUCT(((Adders!$D$13:$D$101)=$E151)*((Adders!$E$13:$E$101)=$F151)*(Adders!G$13:G$101))+VLOOKUP($H151,Adders!$B$5:$G$8,N$11,FALSE)+Matrix!$D$2)*IF($D151="NJ",1.07,1))/$L$10,CHOOSE($M$10,$L$9,$M$9)))</f>
        <v xml:space="preserve"> 28.64 </v>
      </c>
      <c r="O151" s="112"/>
    </row>
    <row r="152" spans="2:15" x14ac:dyDescent="0.25">
      <c r="B152" s="160" t="s">
        <v>667</v>
      </c>
      <c r="C152" s="127">
        <f t="shared" si="3"/>
        <v>42461</v>
      </c>
      <c r="D152" s="128" t="s">
        <v>6</v>
      </c>
      <c r="E152" s="129" t="s">
        <v>8</v>
      </c>
      <c r="F152" s="128" t="s">
        <v>11</v>
      </c>
      <c r="G152" s="129" t="str">
        <f t="shared" si="4"/>
        <v>General Service Small</v>
      </c>
      <c r="H152" s="130" t="s">
        <v>61</v>
      </c>
      <c r="I152" s="178" t="str">
        <f>TEXT(   (SUMPRODUCT( ((Main!$H$9:$H$1000)=$E152)*((Main!$J$9:$J$1000)=$F152)*((Main!$O$9:$O$1000)=$C152)*(Main!R$9:R$1000) ) +  ( SUMPRODUCT( ((Adders!$D$13:$D$101)=$E152)*((Adders!$E$13:$E$101)=$F152)*(Adders!G$13:G$101)) + VLOOKUP($H152,Adders!$B$5:$G$8,L$11,FALSE)  +  PA!$D$2 ) * IF($D152="NJ",1.07,1))/$L$10, CHOOSE($M$10,$L$9,$M$9) )</f>
        <v xml:space="preserve"> 74.63 </v>
      </c>
      <c r="J152" s="178" t="str">
        <f>TEXT(   (SUMPRODUCT( ((Main!$H$9:$H$1000)=$E152)*((Main!$J$9:$J$1000)=$F152)*((Main!$O$9:$O$1000)=$C152)*(Main!S$9:S$1000) ) +  ( SUMPRODUCT( ((Adders!$D$13:$D$101)=$E152)*((Adders!$E$13:$E$101)=$F152)*(Adders!H$13:H$101)) + VLOOKUP($H152,Adders!$B$5:$G$8,M$11,FALSE)  +  PA!$D$2 ) * IF($D152="NJ",1.07,1))/$L$10, CHOOSE($M$10,$L$9,$M$9) )</f>
        <v xml:space="preserve"> 74.38 </v>
      </c>
      <c r="K152" s="179" t="str">
        <f>TEXT(   (SUMPRODUCT( ((Main!$H$9:$H$1000)=$E152)*((Main!$J$9:$J$1000)=$F152)*((Main!$O$9:$O$1000)=$C152)*(Main!T$9:T$1000) ) +  ( SUMPRODUCT( ((Adders!$D$13:$D$101)=$E152)*((Adders!$E$13:$E$101)=$F152)*(Adders!I$13:I$101)) + VLOOKUP($H152,Adders!$B$5:$G$8,N$11,FALSE)  +  PA!$D$2 ) * IF($D152="NJ",1.07,1))/$L$10, CHOOSE($M$10,$L$9,$M$9) )</f>
        <v xml:space="preserve"> 74.94 </v>
      </c>
      <c r="L152" s="178" t="str">
        <f>IF(AND($D$11="IL",$E152="AMEREN"),"NA",TEXT((SUMPRODUCT(((LMPMain!$H$9:$H$1000)=$E152)*((LMPMain!$J$9:$J$1000)=$F152)*((LMPMain!$O$9:$O$1000)=$C152)*(LMPMain!R$9:R$1000))+(SUMPRODUCT(((Adders!$D$13:$D$101)=$E152)*((Adders!$E$13:$E$101)=$F152)*(Adders!G$13:G$101))+VLOOKUP($H152,Adders!$B$5:$G$8,L$11,FALSE)+Matrix!$D$2)*IF($D152="NJ",1.07,1))/$L$10,CHOOSE($M$10,$L$9,$M$9)))</f>
        <v xml:space="preserve"> 31.27 </v>
      </c>
      <c r="M152" s="178" t="str">
        <f>IF(AND($D$11="IL",$E152="AMEREN"),"NA",TEXT((SUMPRODUCT(((LMPMain!$H$9:$H$1000)=$E152)*((LMPMain!$J$9:$J$1000)=$F152)*((LMPMain!$O$9:$O$1000)=$C152)*(LMPMain!S$9:S$1000))+(SUMPRODUCT(((Adders!$D$13:$D$101)=$E152)*((Adders!$E$13:$E$101)=$F152)*(Adders!H$13:H$101))+VLOOKUP($H152,Adders!$B$5:$G$8,M$11,FALSE)+Matrix!$D$2)*IF($D152="NJ",1.07,1))/$L$10,CHOOSE($M$10,$L$9,$M$9)))</f>
        <v xml:space="preserve"> 31.21 </v>
      </c>
      <c r="N152" s="179" t="str">
        <f>IF(AND($D$11="IL",$E152="AMEREN"),"NA",TEXT((SUMPRODUCT(((LMPMain!$H$9:$H$1000)=$E152)*((LMPMain!$J$9:$J$1000)=$F152)*((LMPMain!$O$9:$O$1000)=$C152)*(LMPMain!T$9:T$1000))+(SUMPRODUCT(((Adders!$D$13:$D$101)=$E152)*((Adders!$E$13:$E$101)=$F152)*(Adders!G$13:G$101))+VLOOKUP($H152,Adders!$B$5:$G$8,N$11,FALSE)+Matrix!$D$2)*IF($D152="NJ",1.07,1))/$L$10,CHOOSE($M$10,$L$9,$M$9)))</f>
        <v xml:space="preserve"> 31.13 </v>
      </c>
      <c r="O152" s="112"/>
    </row>
    <row r="153" spans="2:15" x14ac:dyDescent="0.25">
      <c r="B153" s="160" t="s">
        <v>667</v>
      </c>
      <c r="C153" s="131">
        <f t="shared" si="3"/>
        <v>42461</v>
      </c>
      <c r="D153" s="132" t="s">
        <v>6</v>
      </c>
      <c r="E153" s="133" t="s">
        <v>8</v>
      </c>
      <c r="F153" s="132" t="s">
        <v>11</v>
      </c>
      <c r="G153" s="133" t="str">
        <f t="shared" si="4"/>
        <v>General Service Small</v>
      </c>
      <c r="H153" s="134" t="s">
        <v>62</v>
      </c>
      <c r="I153" s="173" t="str">
        <f>TEXT(   (SUMPRODUCT( ((Main!$H$9:$H$1000)=$E153)*((Main!$J$9:$J$1000)=$F153)*((Main!$O$9:$O$1000)=$C153)*(Main!R$9:R$1000) ) +  ( SUMPRODUCT( ((Adders!$D$13:$D$101)=$E153)*((Adders!$E$13:$E$101)=$F153)*(Adders!G$13:G$101)) + VLOOKUP($H153,Adders!$B$5:$G$8,L$11,FALSE)  +  PA!$D$2 ) * IF($D153="NJ",1.07,1))/$L$10, CHOOSE($M$10,$L$9,$M$9) )</f>
        <v xml:space="preserve"> 73.03 </v>
      </c>
      <c r="J153" s="173" t="str">
        <f>TEXT(   (SUMPRODUCT( ((Main!$H$9:$H$1000)=$E153)*((Main!$J$9:$J$1000)=$F153)*((Main!$O$9:$O$1000)=$C153)*(Main!S$9:S$1000) ) +  ( SUMPRODUCT( ((Adders!$D$13:$D$101)=$E153)*((Adders!$E$13:$E$101)=$F153)*(Adders!H$13:H$101)) + VLOOKUP($H153,Adders!$B$5:$G$8,M$11,FALSE)  +  PA!$D$2 ) * IF($D153="NJ",1.07,1))/$L$10, CHOOSE($M$10,$L$9,$M$9) )</f>
        <v xml:space="preserve"> 72.78 </v>
      </c>
      <c r="K153" s="174" t="str">
        <f>TEXT(   (SUMPRODUCT( ((Main!$H$9:$H$1000)=$E153)*((Main!$J$9:$J$1000)=$F153)*((Main!$O$9:$O$1000)=$C153)*(Main!T$9:T$1000) ) +  ( SUMPRODUCT( ((Adders!$D$13:$D$101)=$E153)*((Adders!$E$13:$E$101)=$F153)*(Adders!I$13:I$101)) + VLOOKUP($H153,Adders!$B$5:$G$8,N$11,FALSE)  +  PA!$D$2 ) * IF($D153="NJ",1.07,1))/$L$10, CHOOSE($M$10,$L$9,$M$9) )</f>
        <v xml:space="preserve"> 73.34 </v>
      </c>
      <c r="L153" s="173" t="str">
        <f>IF(AND($D$11="IL",$E153="AMEREN"),"NA",TEXT((SUMPRODUCT(((LMPMain!$H$9:$H$1000)=$E153)*((LMPMain!$J$9:$J$1000)=$F153)*((LMPMain!$O$9:$O$1000)=$C153)*(LMPMain!R$9:R$1000))+(SUMPRODUCT(((Adders!$D$13:$D$101)=$E153)*((Adders!$E$13:$E$101)=$F153)*(Adders!G$13:G$101))+VLOOKUP($H153,Adders!$B$5:$G$8,L$11,FALSE)+Matrix!$D$2)*IF($D153="NJ",1.07,1))/$L$10,CHOOSE($M$10,$L$9,$M$9)))</f>
        <v xml:space="preserve"> 29.67 </v>
      </c>
      <c r="M153" s="173" t="str">
        <f>IF(AND($D$11="IL",$E153="AMEREN"),"NA",TEXT((SUMPRODUCT(((LMPMain!$H$9:$H$1000)=$E153)*((LMPMain!$J$9:$J$1000)=$F153)*((LMPMain!$O$9:$O$1000)=$C153)*(LMPMain!S$9:S$1000))+(SUMPRODUCT(((Adders!$D$13:$D$101)=$E153)*((Adders!$E$13:$E$101)=$F153)*(Adders!H$13:H$101))+VLOOKUP($H153,Adders!$B$5:$G$8,M$11,FALSE)+Matrix!$D$2)*IF($D153="NJ",1.07,1))/$L$10,CHOOSE($M$10,$L$9,$M$9)))</f>
        <v xml:space="preserve"> 29.61 </v>
      </c>
      <c r="N153" s="174" t="str">
        <f>IF(AND($D$11="IL",$E153="AMEREN"),"NA",TEXT((SUMPRODUCT(((LMPMain!$H$9:$H$1000)=$E153)*((LMPMain!$J$9:$J$1000)=$F153)*((LMPMain!$O$9:$O$1000)=$C153)*(LMPMain!T$9:T$1000))+(SUMPRODUCT(((Adders!$D$13:$D$101)=$E153)*((Adders!$E$13:$E$101)=$F153)*(Adders!G$13:G$101))+VLOOKUP($H153,Adders!$B$5:$G$8,N$11,FALSE)+Matrix!$D$2)*IF($D153="NJ",1.07,1))/$L$10,CHOOSE($M$10,$L$9,$M$9)))</f>
        <v xml:space="preserve"> 29.53 </v>
      </c>
      <c r="O153" s="112"/>
    </row>
    <row r="154" spans="2:15" x14ac:dyDescent="0.25">
      <c r="B154" s="160" t="s">
        <v>667</v>
      </c>
      <c r="C154" s="135">
        <f t="shared" si="3"/>
        <v>42461</v>
      </c>
      <c r="D154" s="136" t="s">
        <v>6</v>
      </c>
      <c r="E154" s="137" t="s">
        <v>8</v>
      </c>
      <c r="F154" s="136" t="s">
        <v>11</v>
      </c>
      <c r="G154" s="137" t="str">
        <f t="shared" si="4"/>
        <v>General Service Small</v>
      </c>
      <c r="H154" s="138" t="s">
        <v>690</v>
      </c>
      <c r="I154" s="176" t="str">
        <f>TEXT(   (SUMPRODUCT( ((Main!$H$9:$H$1000)=$E154)*((Main!$J$9:$J$1000)=$F154)*((Main!$O$9:$O$1000)=$C154)*(Main!R$9:R$1000) ) +  ( SUMPRODUCT( ((Adders!$D$13:$D$101)=$E154)*((Adders!$E$13:$E$101)=$F154)*(Adders!G$13:G$101)) + VLOOKUP($H154,Adders!$B$5:$G$8,L$11,FALSE)  +  PA!$D$2 ) * IF($D154="NJ",1.07,1))/$L$10, CHOOSE($M$10,$L$9,$M$9) )</f>
        <v xml:space="preserve"> 71.98 </v>
      </c>
      <c r="J154" s="176" t="str">
        <f>TEXT(   (SUMPRODUCT( ((Main!$H$9:$H$1000)=$E154)*((Main!$J$9:$J$1000)=$F154)*((Main!$O$9:$O$1000)=$C154)*(Main!S$9:S$1000) ) +  ( SUMPRODUCT( ((Adders!$D$13:$D$101)=$E154)*((Adders!$E$13:$E$101)=$F154)*(Adders!H$13:H$101)) + VLOOKUP($H154,Adders!$B$5:$G$8,M$11,FALSE)  +  PA!$D$2 ) * IF($D154="NJ",1.07,1))/$L$10, CHOOSE($M$10,$L$9,$M$9) )</f>
        <v xml:space="preserve"> 71.73 </v>
      </c>
      <c r="K154" s="177" t="str">
        <f>TEXT(   (SUMPRODUCT( ((Main!$H$9:$H$1000)=$E154)*((Main!$J$9:$J$1000)=$F154)*((Main!$O$9:$O$1000)=$C154)*(Main!T$9:T$1000) ) +  ( SUMPRODUCT( ((Adders!$D$13:$D$101)=$E154)*((Adders!$E$13:$E$101)=$F154)*(Adders!I$13:I$101)) + VLOOKUP($H154,Adders!$B$5:$G$8,N$11,FALSE)  +  PA!$D$2 ) * IF($D154="NJ",1.07,1))/$L$10, CHOOSE($M$10,$L$9,$M$9) )</f>
        <v xml:space="preserve"> 72.29 </v>
      </c>
      <c r="L154" s="176" t="str">
        <f>IF(AND($D$11="IL",$E154="AMEREN"),"NA",TEXT((SUMPRODUCT(((LMPMain!$H$9:$H$1000)=$E154)*((LMPMain!$J$9:$J$1000)=$F154)*((LMPMain!$O$9:$O$1000)=$C154)*(LMPMain!R$9:R$1000))+(SUMPRODUCT(((Adders!$D$13:$D$101)=$E154)*((Adders!$E$13:$E$101)=$F154)*(Adders!G$13:G$101))+VLOOKUP($H154,Adders!$B$5:$G$8,L$11,FALSE)+Matrix!$D$2)*IF($D154="NJ",1.07,1))/$L$10,CHOOSE($M$10,$L$9,$M$9)))</f>
        <v xml:space="preserve"> 28.62 </v>
      </c>
      <c r="M154" s="176" t="str">
        <f>IF(AND($D$11="IL",$E154="AMEREN"),"NA",TEXT((SUMPRODUCT(((LMPMain!$H$9:$H$1000)=$E154)*((LMPMain!$J$9:$J$1000)=$F154)*((LMPMain!$O$9:$O$1000)=$C154)*(LMPMain!S$9:S$1000))+(SUMPRODUCT(((Adders!$D$13:$D$101)=$E154)*((Adders!$E$13:$E$101)=$F154)*(Adders!H$13:H$101))+VLOOKUP($H154,Adders!$B$5:$G$8,M$11,FALSE)+Matrix!$D$2)*IF($D154="NJ",1.07,1))/$L$10,CHOOSE($M$10,$L$9,$M$9)))</f>
        <v xml:space="preserve"> 28.56 </v>
      </c>
      <c r="N154" s="177" t="str">
        <f>IF(AND($D$11="IL",$E154="AMEREN"),"NA",TEXT((SUMPRODUCT(((LMPMain!$H$9:$H$1000)=$E154)*((LMPMain!$J$9:$J$1000)=$F154)*((LMPMain!$O$9:$O$1000)=$C154)*(LMPMain!T$9:T$1000))+(SUMPRODUCT(((Adders!$D$13:$D$101)=$E154)*((Adders!$E$13:$E$101)=$F154)*(Adders!G$13:G$101))+VLOOKUP($H154,Adders!$B$5:$G$8,N$11,FALSE)+Matrix!$D$2)*IF($D154="NJ",1.07,1))/$L$10,CHOOSE($M$10,$L$9,$M$9)))</f>
        <v xml:space="preserve"> 28.48 </v>
      </c>
      <c r="O154" s="112"/>
    </row>
    <row r="155" spans="2:15" x14ac:dyDescent="0.25">
      <c r="B155" s="160" t="s">
        <v>667</v>
      </c>
      <c r="C155" s="127">
        <f t="shared" si="3"/>
        <v>42491</v>
      </c>
      <c r="D155" s="128" t="s">
        <v>6</v>
      </c>
      <c r="E155" s="129" t="s">
        <v>8</v>
      </c>
      <c r="F155" s="128" t="s">
        <v>11</v>
      </c>
      <c r="G155" s="129" t="str">
        <f t="shared" si="4"/>
        <v>General Service Small</v>
      </c>
      <c r="H155" s="130" t="s">
        <v>61</v>
      </c>
      <c r="I155" s="178" t="str">
        <f>TEXT(   (SUMPRODUCT( ((Main!$H$9:$H$1000)=$E155)*((Main!$J$9:$J$1000)=$F155)*((Main!$O$9:$O$1000)=$C155)*(Main!R$9:R$1000) ) +  ( SUMPRODUCT( ((Adders!$D$13:$D$101)=$E155)*((Adders!$E$13:$E$101)=$F155)*(Adders!G$13:G$101)) + VLOOKUP($H155,Adders!$B$5:$G$8,L$11,FALSE)  +  PA!$D$2 ) * IF($D155="NJ",1.07,1))/$L$10, CHOOSE($M$10,$L$9,$M$9) )</f>
        <v xml:space="preserve"> 74.24 </v>
      </c>
      <c r="J155" s="178" t="str">
        <f>TEXT(   (SUMPRODUCT( ((Main!$H$9:$H$1000)=$E155)*((Main!$J$9:$J$1000)=$F155)*((Main!$O$9:$O$1000)=$C155)*(Main!S$9:S$1000) ) +  ( SUMPRODUCT( ((Adders!$D$13:$D$101)=$E155)*((Adders!$E$13:$E$101)=$F155)*(Adders!H$13:H$101)) + VLOOKUP($H155,Adders!$B$5:$G$8,M$11,FALSE)  +  PA!$D$2 ) * IF($D155="NJ",1.07,1))/$L$10, CHOOSE($M$10,$L$9,$M$9) )</f>
        <v xml:space="preserve"> 73.45 </v>
      </c>
      <c r="K155" s="179" t="str">
        <f>TEXT(   (SUMPRODUCT( ((Main!$H$9:$H$1000)=$E155)*((Main!$J$9:$J$1000)=$F155)*((Main!$O$9:$O$1000)=$C155)*(Main!T$9:T$1000) ) +  ( SUMPRODUCT( ((Adders!$D$13:$D$101)=$E155)*((Adders!$E$13:$E$101)=$F155)*(Adders!I$13:I$101)) + VLOOKUP($H155,Adders!$B$5:$G$8,N$11,FALSE)  +  PA!$D$2 ) * IF($D155="NJ",1.07,1))/$L$10, CHOOSE($M$10,$L$9,$M$9) )</f>
        <v xml:space="preserve"> 74.76 </v>
      </c>
      <c r="L155" s="178" t="str">
        <f>IF(AND($D$11="IL",$E155="AMEREN"),"NA",TEXT((SUMPRODUCT(((LMPMain!$H$9:$H$1000)=$E155)*((LMPMain!$J$9:$J$1000)=$F155)*((LMPMain!$O$9:$O$1000)=$C155)*(LMPMain!R$9:R$1000))+(SUMPRODUCT(((Adders!$D$13:$D$101)=$E155)*((Adders!$E$13:$E$101)=$F155)*(Adders!G$13:G$101))+VLOOKUP($H155,Adders!$B$5:$G$8,L$11,FALSE)+Matrix!$D$2)*IF($D155="NJ",1.07,1))/$L$10,CHOOSE($M$10,$L$9,$M$9)))</f>
        <v xml:space="preserve"> 30.93 </v>
      </c>
      <c r="M155" s="178" t="str">
        <f>IF(AND($D$11="IL",$E155="AMEREN"),"NA",TEXT((SUMPRODUCT(((LMPMain!$H$9:$H$1000)=$E155)*((LMPMain!$J$9:$J$1000)=$F155)*((LMPMain!$O$9:$O$1000)=$C155)*(LMPMain!S$9:S$1000))+(SUMPRODUCT(((Adders!$D$13:$D$101)=$E155)*((Adders!$E$13:$E$101)=$F155)*(Adders!H$13:H$101))+VLOOKUP($H155,Adders!$B$5:$G$8,M$11,FALSE)+Matrix!$D$2)*IF($D155="NJ",1.07,1))/$L$10,CHOOSE($M$10,$L$9,$M$9)))</f>
        <v xml:space="preserve"> 30.80 </v>
      </c>
      <c r="N155" s="179" t="str">
        <f>IF(AND($D$11="IL",$E155="AMEREN"),"NA",TEXT((SUMPRODUCT(((LMPMain!$H$9:$H$1000)=$E155)*((LMPMain!$J$9:$J$1000)=$F155)*((LMPMain!$O$9:$O$1000)=$C155)*(LMPMain!T$9:T$1000))+(SUMPRODUCT(((Adders!$D$13:$D$101)=$E155)*((Adders!$E$13:$E$101)=$F155)*(Adders!G$13:G$101))+VLOOKUP($H155,Adders!$B$5:$G$8,N$11,FALSE)+Matrix!$D$2)*IF($D155="NJ",1.07,1))/$L$10,CHOOSE($M$10,$L$9,$M$9)))</f>
        <v xml:space="preserve"> 30.98 </v>
      </c>
      <c r="O155" s="112"/>
    </row>
    <row r="156" spans="2:15" x14ac:dyDescent="0.25">
      <c r="B156" s="160" t="s">
        <v>667</v>
      </c>
      <c r="C156" s="131">
        <f t="shared" si="3"/>
        <v>42491</v>
      </c>
      <c r="D156" s="132" t="s">
        <v>6</v>
      </c>
      <c r="E156" s="133" t="s">
        <v>8</v>
      </c>
      <c r="F156" s="132" t="s">
        <v>11</v>
      </c>
      <c r="G156" s="133" t="str">
        <f t="shared" si="4"/>
        <v>General Service Small</v>
      </c>
      <c r="H156" s="134" t="s">
        <v>62</v>
      </c>
      <c r="I156" s="173" t="str">
        <f>TEXT(   (SUMPRODUCT( ((Main!$H$9:$H$1000)=$E156)*((Main!$J$9:$J$1000)=$F156)*((Main!$O$9:$O$1000)=$C156)*(Main!R$9:R$1000) ) +  ( SUMPRODUCT( ((Adders!$D$13:$D$101)=$E156)*((Adders!$E$13:$E$101)=$F156)*(Adders!G$13:G$101)) + VLOOKUP($H156,Adders!$B$5:$G$8,L$11,FALSE)  +  PA!$D$2 ) * IF($D156="NJ",1.07,1))/$L$10, CHOOSE($M$10,$L$9,$M$9) )</f>
        <v xml:space="preserve"> 72.64 </v>
      </c>
      <c r="J156" s="173" t="str">
        <f>TEXT(   (SUMPRODUCT( ((Main!$H$9:$H$1000)=$E156)*((Main!$J$9:$J$1000)=$F156)*((Main!$O$9:$O$1000)=$C156)*(Main!S$9:S$1000) ) +  ( SUMPRODUCT( ((Adders!$D$13:$D$101)=$E156)*((Adders!$E$13:$E$101)=$F156)*(Adders!H$13:H$101)) + VLOOKUP($H156,Adders!$B$5:$G$8,M$11,FALSE)  +  PA!$D$2 ) * IF($D156="NJ",1.07,1))/$L$10, CHOOSE($M$10,$L$9,$M$9) )</f>
        <v xml:space="preserve"> 71.85 </v>
      </c>
      <c r="K156" s="174" t="str">
        <f>TEXT(   (SUMPRODUCT( ((Main!$H$9:$H$1000)=$E156)*((Main!$J$9:$J$1000)=$F156)*((Main!$O$9:$O$1000)=$C156)*(Main!T$9:T$1000) ) +  ( SUMPRODUCT( ((Adders!$D$13:$D$101)=$E156)*((Adders!$E$13:$E$101)=$F156)*(Adders!I$13:I$101)) + VLOOKUP($H156,Adders!$B$5:$G$8,N$11,FALSE)  +  PA!$D$2 ) * IF($D156="NJ",1.07,1))/$L$10, CHOOSE($M$10,$L$9,$M$9) )</f>
        <v xml:space="preserve"> 73.16 </v>
      </c>
      <c r="L156" s="173" t="str">
        <f>IF(AND($D$11="IL",$E156="AMEREN"),"NA",TEXT((SUMPRODUCT(((LMPMain!$H$9:$H$1000)=$E156)*((LMPMain!$J$9:$J$1000)=$F156)*((LMPMain!$O$9:$O$1000)=$C156)*(LMPMain!R$9:R$1000))+(SUMPRODUCT(((Adders!$D$13:$D$101)=$E156)*((Adders!$E$13:$E$101)=$F156)*(Adders!G$13:G$101))+VLOOKUP($H156,Adders!$B$5:$G$8,L$11,FALSE)+Matrix!$D$2)*IF($D156="NJ",1.07,1))/$L$10,CHOOSE($M$10,$L$9,$M$9)))</f>
        <v xml:space="preserve"> 29.33 </v>
      </c>
      <c r="M156" s="173" t="str">
        <f>IF(AND($D$11="IL",$E156="AMEREN"),"NA",TEXT((SUMPRODUCT(((LMPMain!$H$9:$H$1000)=$E156)*((LMPMain!$J$9:$J$1000)=$F156)*((LMPMain!$O$9:$O$1000)=$C156)*(LMPMain!S$9:S$1000))+(SUMPRODUCT(((Adders!$D$13:$D$101)=$E156)*((Adders!$E$13:$E$101)=$F156)*(Adders!H$13:H$101))+VLOOKUP($H156,Adders!$B$5:$G$8,M$11,FALSE)+Matrix!$D$2)*IF($D156="NJ",1.07,1))/$L$10,CHOOSE($M$10,$L$9,$M$9)))</f>
        <v xml:space="preserve"> 29.20 </v>
      </c>
      <c r="N156" s="174" t="str">
        <f>IF(AND($D$11="IL",$E156="AMEREN"),"NA",TEXT((SUMPRODUCT(((LMPMain!$H$9:$H$1000)=$E156)*((LMPMain!$J$9:$J$1000)=$F156)*((LMPMain!$O$9:$O$1000)=$C156)*(LMPMain!T$9:T$1000))+(SUMPRODUCT(((Adders!$D$13:$D$101)=$E156)*((Adders!$E$13:$E$101)=$F156)*(Adders!G$13:G$101))+VLOOKUP($H156,Adders!$B$5:$G$8,N$11,FALSE)+Matrix!$D$2)*IF($D156="NJ",1.07,1))/$L$10,CHOOSE($M$10,$L$9,$M$9)))</f>
        <v xml:space="preserve"> 29.38 </v>
      </c>
      <c r="O156" s="112"/>
    </row>
    <row r="157" spans="2:15" x14ac:dyDescent="0.25">
      <c r="B157" s="160" t="s">
        <v>667</v>
      </c>
      <c r="C157" s="135">
        <f t="shared" si="3"/>
        <v>42491</v>
      </c>
      <c r="D157" s="136" t="s">
        <v>6</v>
      </c>
      <c r="E157" s="137" t="s">
        <v>8</v>
      </c>
      <c r="F157" s="136" t="s">
        <v>11</v>
      </c>
      <c r="G157" s="137" t="str">
        <f t="shared" si="4"/>
        <v>General Service Small</v>
      </c>
      <c r="H157" s="138" t="s">
        <v>690</v>
      </c>
      <c r="I157" s="176" t="str">
        <f>TEXT(   (SUMPRODUCT( ((Main!$H$9:$H$1000)=$E157)*((Main!$J$9:$J$1000)=$F157)*((Main!$O$9:$O$1000)=$C157)*(Main!R$9:R$1000) ) +  ( SUMPRODUCT( ((Adders!$D$13:$D$101)=$E157)*((Adders!$E$13:$E$101)=$F157)*(Adders!G$13:G$101)) + VLOOKUP($H157,Adders!$B$5:$G$8,L$11,FALSE)  +  PA!$D$2 ) * IF($D157="NJ",1.07,1))/$L$10, CHOOSE($M$10,$L$9,$M$9) )</f>
        <v xml:space="preserve"> 71.59 </v>
      </c>
      <c r="J157" s="176" t="str">
        <f>TEXT(   (SUMPRODUCT( ((Main!$H$9:$H$1000)=$E157)*((Main!$J$9:$J$1000)=$F157)*((Main!$O$9:$O$1000)=$C157)*(Main!S$9:S$1000) ) +  ( SUMPRODUCT( ((Adders!$D$13:$D$101)=$E157)*((Adders!$E$13:$E$101)=$F157)*(Adders!H$13:H$101)) + VLOOKUP($H157,Adders!$B$5:$G$8,M$11,FALSE)  +  PA!$D$2 ) * IF($D157="NJ",1.07,1))/$L$10, CHOOSE($M$10,$L$9,$M$9) )</f>
        <v xml:space="preserve"> 70.80 </v>
      </c>
      <c r="K157" s="177" t="str">
        <f>TEXT(   (SUMPRODUCT( ((Main!$H$9:$H$1000)=$E157)*((Main!$J$9:$J$1000)=$F157)*((Main!$O$9:$O$1000)=$C157)*(Main!T$9:T$1000) ) +  ( SUMPRODUCT( ((Adders!$D$13:$D$101)=$E157)*((Adders!$E$13:$E$101)=$F157)*(Adders!I$13:I$101)) + VLOOKUP($H157,Adders!$B$5:$G$8,N$11,FALSE)  +  PA!$D$2 ) * IF($D157="NJ",1.07,1))/$L$10, CHOOSE($M$10,$L$9,$M$9) )</f>
        <v xml:space="preserve"> 72.11 </v>
      </c>
      <c r="L157" s="176" t="str">
        <f>IF(AND($D$11="IL",$E157="AMEREN"),"NA",TEXT((SUMPRODUCT(((LMPMain!$H$9:$H$1000)=$E157)*((LMPMain!$J$9:$J$1000)=$F157)*((LMPMain!$O$9:$O$1000)=$C157)*(LMPMain!R$9:R$1000))+(SUMPRODUCT(((Adders!$D$13:$D$101)=$E157)*((Adders!$E$13:$E$101)=$F157)*(Adders!G$13:G$101))+VLOOKUP($H157,Adders!$B$5:$G$8,L$11,FALSE)+Matrix!$D$2)*IF($D157="NJ",1.07,1))/$L$10,CHOOSE($M$10,$L$9,$M$9)))</f>
        <v xml:space="preserve"> 28.28 </v>
      </c>
      <c r="M157" s="176" t="str">
        <f>IF(AND($D$11="IL",$E157="AMEREN"),"NA",TEXT((SUMPRODUCT(((LMPMain!$H$9:$H$1000)=$E157)*((LMPMain!$J$9:$J$1000)=$F157)*((LMPMain!$O$9:$O$1000)=$C157)*(LMPMain!S$9:S$1000))+(SUMPRODUCT(((Adders!$D$13:$D$101)=$E157)*((Adders!$E$13:$E$101)=$F157)*(Adders!H$13:H$101))+VLOOKUP($H157,Adders!$B$5:$G$8,M$11,FALSE)+Matrix!$D$2)*IF($D157="NJ",1.07,1))/$L$10,CHOOSE($M$10,$L$9,$M$9)))</f>
        <v xml:space="preserve"> 28.15 </v>
      </c>
      <c r="N157" s="177" t="str">
        <f>IF(AND($D$11="IL",$E157="AMEREN"),"NA",TEXT((SUMPRODUCT(((LMPMain!$H$9:$H$1000)=$E157)*((LMPMain!$J$9:$J$1000)=$F157)*((LMPMain!$O$9:$O$1000)=$C157)*(LMPMain!T$9:T$1000))+(SUMPRODUCT(((Adders!$D$13:$D$101)=$E157)*((Adders!$E$13:$E$101)=$F157)*(Adders!G$13:G$101))+VLOOKUP($H157,Adders!$B$5:$G$8,N$11,FALSE)+Matrix!$D$2)*IF($D157="NJ",1.07,1))/$L$10,CHOOSE($M$10,$L$9,$M$9)))</f>
        <v xml:space="preserve"> 28.33 </v>
      </c>
      <c r="O157" s="112"/>
    </row>
    <row r="158" spans="2:15" x14ac:dyDescent="0.25">
      <c r="B158" s="160" t="s">
        <v>668</v>
      </c>
      <c r="C158" s="127">
        <f t="shared" si="3"/>
        <v>42156</v>
      </c>
      <c r="D158" s="128" t="s">
        <v>6</v>
      </c>
      <c r="E158" s="129" t="s">
        <v>12</v>
      </c>
      <c r="F158" s="128" t="s">
        <v>9</v>
      </c>
      <c r="G158" s="129" t="str">
        <f>VLOOKUP(SUMPRODUCT( ((LMPMain!$H$9:$H$1000)=$E158)*((LMPMain!$J$9:$J$1000)=$F158)*((LMPMain!$O$9:$O$1000)=$C158)*(LMPMain!A$9:A$1000)),LMPMain!$A$9:$K$1000,11,FALSE)</f>
        <v>General Service Large</v>
      </c>
      <c r="H158" s="130" t="s">
        <v>61</v>
      </c>
      <c r="I158" s="178" t="str">
        <f>TEXT(   (SUMPRODUCT( ((Main!$H$9:$H$1000)=$E158)*((Main!$J$9:$J$1000)=$F158)*((Main!$O$9:$O$1000)=$C158)*(Main!R$9:R$1000) ) +  ( SUMPRODUCT( ((Adders!$D$13:$D$101)=$E158)*((Adders!$E$13:$E$101)=$F158)*(Adders!G$13:G$101)) + VLOOKUP($H158,Adders!$B$5:$G$8,L$11,FALSE)  +  PA!$D$2 ) * IF($D158="NJ",1.07,1))/$L$10, CHOOSE($M$10,$L$9,$M$9) )</f>
        <v xml:space="preserve"> 77.88 </v>
      </c>
      <c r="J158" s="178" t="str">
        <f>TEXT(   (SUMPRODUCT( ((Main!$H$9:$H$1000)=$E158)*((Main!$J$9:$J$1000)=$F158)*((Main!$O$9:$O$1000)=$C158)*(Main!S$9:S$1000) ) +  ( SUMPRODUCT( ((Adders!$D$13:$D$101)=$E158)*((Adders!$E$13:$E$101)=$F158)*(Adders!H$13:H$101)) + VLOOKUP($H158,Adders!$B$5:$G$8,M$11,FALSE)  +  PA!$D$2 ) * IF($D158="NJ",1.07,1))/$L$10, CHOOSE($M$10,$L$9,$M$9) )</f>
        <v xml:space="preserve"> 75.55 </v>
      </c>
      <c r="K158" s="179" t="str">
        <f>TEXT(   (SUMPRODUCT( ((Main!$H$9:$H$1000)=$E158)*((Main!$J$9:$J$1000)=$F158)*((Main!$O$9:$O$1000)=$C158)*(Main!T$9:T$1000) ) +  ( SUMPRODUCT( ((Adders!$D$13:$D$101)=$E158)*((Adders!$E$13:$E$101)=$F158)*(Adders!I$13:I$101)) + VLOOKUP($H158,Adders!$B$5:$G$8,N$11,FALSE)  +  PA!$D$2 ) * IF($D158="NJ",1.07,1))/$L$10, CHOOSE($M$10,$L$9,$M$9) )</f>
        <v xml:space="preserve"> 75.76 </v>
      </c>
      <c r="L158" s="178" t="str">
        <f>IF(AND($D$11="IL",$E158="AMEREN"),"NA",TEXT((SUMPRODUCT(((LMPMain!$H$9:$H$1000)=$E158)*((LMPMain!$J$9:$J$1000)=$F158)*((LMPMain!$O$9:$O$1000)=$C158)*(LMPMain!R$9:R$1000))+(SUMPRODUCT(((Adders!$D$13:$D$101)=$E158)*((Adders!$E$13:$E$101)=$F158)*(Adders!G$13:G$101))+VLOOKUP($H158,Adders!$B$5:$G$8,L$11,FALSE)+Matrix!$D$2)*IF($D158="NJ",1.07,1))/$L$10,CHOOSE($M$10,$L$9,$M$9)))</f>
        <v xml:space="preserve"> 35.98 </v>
      </c>
      <c r="M158" s="178" t="str">
        <f>IF(AND($D$11="IL",$E158="AMEREN"),"NA",TEXT((SUMPRODUCT(((LMPMain!$H$9:$H$1000)=$E158)*((LMPMain!$J$9:$J$1000)=$F158)*((LMPMain!$O$9:$O$1000)=$C158)*(LMPMain!S$9:S$1000))+(SUMPRODUCT(((Adders!$D$13:$D$101)=$E158)*((Adders!$E$13:$E$101)=$F158)*(Adders!H$13:H$101))+VLOOKUP($H158,Adders!$B$5:$G$8,M$11,FALSE)+Matrix!$D$2)*IF($D158="NJ",1.07,1))/$L$10,CHOOSE($M$10,$L$9,$M$9)))</f>
        <v xml:space="preserve"> 34.44 </v>
      </c>
      <c r="N158" s="179" t="str">
        <f>IF(AND($D$11="IL",$E158="AMEREN"),"NA",TEXT((SUMPRODUCT(((LMPMain!$H$9:$H$1000)=$E158)*((LMPMain!$J$9:$J$1000)=$F158)*((LMPMain!$O$9:$O$1000)=$C158)*(LMPMain!T$9:T$1000))+(SUMPRODUCT(((Adders!$D$13:$D$101)=$E158)*((Adders!$E$13:$E$101)=$F158)*(Adders!G$13:G$101))+VLOOKUP($H158,Adders!$B$5:$G$8,N$11,FALSE)+Matrix!$D$2)*IF($D158="NJ",1.07,1))/$L$10,CHOOSE($M$10,$L$9,$M$9)))</f>
        <v xml:space="preserve"> 33.97 </v>
      </c>
      <c r="O158" s="112"/>
    </row>
    <row r="159" spans="2:15" x14ac:dyDescent="0.25">
      <c r="B159" s="160" t="s">
        <v>668</v>
      </c>
      <c r="C159" s="131">
        <f t="shared" si="3"/>
        <v>42156</v>
      </c>
      <c r="D159" s="132" t="s">
        <v>6</v>
      </c>
      <c r="E159" s="133" t="s">
        <v>12</v>
      </c>
      <c r="F159" s="132" t="s">
        <v>9</v>
      </c>
      <c r="G159" s="133" t="str">
        <f>G158</f>
        <v>General Service Large</v>
      </c>
      <c r="H159" s="134" t="s">
        <v>62</v>
      </c>
      <c r="I159" s="173" t="str">
        <f>TEXT(   (SUMPRODUCT( ((Main!$H$9:$H$1000)=$E159)*((Main!$J$9:$J$1000)=$F159)*((Main!$O$9:$O$1000)=$C159)*(Main!R$9:R$1000) ) +  ( SUMPRODUCT( ((Adders!$D$13:$D$101)=$E159)*((Adders!$E$13:$E$101)=$F159)*(Adders!G$13:G$101)) + VLOOKUP($H159,Adders!$B$5:$G$8,L$11,FALSE)  +  PA!$D$2 ) * IF($D159="NJ",1.07,1))/$L$10, CHOOSE($M$10,$L$9,$M$9) )</f>
        <v xml:space="preserve"> 76.28 </v>
      </c>
      <c r="J159" s="173" t="str">
        <f>TEXT(   (SUMPRODUCT( ((Main!$H$9:$H$1000)=$E159)*((Main!$J$9:$J$1000)=$F159)*((Main!$O$9:$O$1000)=$C159)*(Main!S$9:S$1000) ) +  ( SUMPRODUCT( ((Adders!$D$13:$D$101)=$E159)*((Adders!$E$13:$E$101)=$F159)*(Adders!H$13:H$101)) + VLOOKUP($H159,Adders!$B$5:$G$8,M$11,FALSE)  +  PA!$D$2 ) * IF($D159="NJ",1.07,1))/$L$10, CHOOSE($M$10,$L$9,$M$9) )</f>
        <v xml:space="preserve"> 73.95 </v>
      </c>
      <c r="K159" s="174" t="str">
        <f>TEXT(   (SUMPRODUCT( ((Main!$H$9:$H$1000)=$E159)*((Main!$J$9:$J$1000)=$F159)*((Main!$O$9:$O$1000)=$C159)*(Main!T$9:T$1000) ) +  ( SUMPRODUCT( ((Adders!$D$13:$D$101)=$E159)*((Adders!$E$13:$E$101)=$F159)*(Adders!I$13:I$101)) + VLOOKUP($H159,Adders!$B$5:$G$8,N$11,FALSE)  +  PA!$D$2 ) * IF($D159="NJ",1.07,1))/$L$10, CHOOSE($M$10,$L$9,$M$9) )</f>
        <v xml:space="preserve"> 74.16 </v>
      </c>
      <c r="L159" s="173" t="str">
        <f>IF(AND($D$11="IL",$E159="AMEREN"),"NA",TEXT((SUMPRODUCT(((LMPMain!$H$9:$H$1000)=$E159)*((LMPMain!$J$9:$J$1000)=$F159)*((LMPMain!$O$9:$O$1000)=$C159)*(LMPMain!R$9:R$1000))+(SUMPRODUCT(((Adders!$D$13:$D$101)=$E159)*((Adders!$E$13:$E$101)=$F159)*(Adders!G$13:G$101))+VLOOKUP($H159,Adders!$B$5:$G$8,L$11,FALSE)+Matrix!$D$2)*IF($D159="NJ",1.07,1))/$L$10,CHOOSE($M$10,$L$9,$M$9)))</f>
        <v xml:space="preserve"> 34.38 </v>
      </c>
      <c r="M159" s="173" t="str">
        <f>IF(AND($D$11="IL",$E159="AMEREN"),"NA",TEXT((SUMPRODUCT(((LMPMain!$H$9:$H$1000)=$E159)*((LMPMain!$J$9:$J$1000)=$F159)*((LMPMain!$O$9:$O$1000)=$C159)*(LMPMain!S$9:S$1000))+(SUMPRODUCT(((Adders!$D$13:$D$101)=$E159)*((Adders!$E$13:$E$101)=$F159)*(Adders!H$13:H$101))+VLOOKUP($H159,Adders!$B$5:$G$8,M$11,FALSE)+Matrix!$D$2)*IF($D159="NJ",1.07,1))/$L$10,CHOOSE($M$10,$L$9,$M$9)))</f>
        <v xml:space="preserve"> 32.84 </v>
      </c>
      <c r="N159" s="174" t="str">
        <f>IF(AND($D$11="IL",$E159="AMEREN"),"NA",TEXT((SUMPRODUCT(((LMPMain!$H$9:$H$1000)=$E159)*((LMPMain!$J$9:$J$1000)=$F159)*((LMPMain!$O$9:$O$1000)=$C159)*(LMPMain!T$9:T$1000))+(SUMPRODUCT(((Adders!$D$13:$D$101)=$E159)*((Adders!$E$13:$E$101)=$F159)*(Adders!G$13:G$101))+VLOOKUP($H159,Adders!$B$5:$G$8,N$11,FALSE)+Matrix!$D$2)*IF($D159="NJ",1.07,1))/$L$10,CHOOSE($M$10,$L$9,$M$9)))</f>
        <v xml:space="preserve"> 32.37 </v>
      </c>
      <c r="O159" s="112"/>
    </row>
    <row r="160" spans="2:15" x14ac:dyDescent="0.25">
      <c r="B160" s="160" t="s">
        <v>668</v>
      </c>
      <c r="C160" s="135">
        <f t="shared" si="3"/>
        <v>42156</v>
      </c>
      <c r="D160" s="136" t="s">
        <v>6</v>
      </c>
      <c r="E160" s="137" t="s">
        <v>12</v>
      </c>
      <c r="F160" s="136" t="s">
        <v>9</v>
      </c>
      <c r="G160" s="137" t="str">
        <f>G159</f>
        <v>General Service Large</v>
      </c>
      <c r="H160" s="138" t="s">
        <v>690</v>
      </c>
      <c r="I160" s="176" t="str">
        <f>TEXT(   (SUMPRODUCT( ((Main!$H$9:$H$1000)=$E160)*((Main!$J$9:$J$1000)=$F160)*((Main!$O$9:$O$1000)=$C160)*(Main!R$9:R$1000) ) +  ( SUMPRODUCT( ((Adders!$D$13:$D$101)=$E160)*((Adders!$E$13:$E$101)=$F160)*(Adders!G$13:G$101)) + VLOOKUP($H160,Adders!$B$5:$G$8,L$11,FALSE)  +  PA!$D$2 ) * IF($D160="NJ",1.07,1))/$L$10, CHOOSE($M$10,$L$9,$M$9) )</f>
        <v xml:space="preserve"> 75.23 </v>
      </c>
      <c r="J160" s="176" t="str">
        <f>TEXT(   (SUMPRODUCT( ((Main!$H$9:$H$1000)=$E160)*((Main!$J$9:$J$1000)=$F160)*((Main!$O$9:$O$1000)=$C160)*(Main!S$9:S$1000) ) +  ( SUMPRODUCT( ((Adders!$D$13:$D$101)=$E160)*((Adders!$E$13:$E$101)=$F160)*(Adders!H$13:H$101)) + VLOOKUP($H160,Adders!$B$5:$G$8,M$11,FALSE)  +  PA!$D$2 ) * IF($D160="NJ",1.07,1))/$L$10, CHOOSE($M$10,$L$9,$M$9) )</f>
        <v xml:space="preserve"> 72.90 </v>
      </c>
      <c r="K160" s="177" t="str">
        <f>TEXT(   (SUMPRODUCT( ((Main!$H$9:$H$1000)=$E160)*((Main!$J$9:$J$1000)=$F160)*((Main!$O$9:$O$1000)=$C160)*(Main!T$9:T$1000) ) +  ( SUMPRODUCT( ((Adders!$D$13:$D$101)=$E160)*((Adders!$E$13:$E$101)=$F160)*(Adders!I$13:I$101)) + VLOOKUP($H160,Adders!$B$5:$G$8,N$11,FALSE)  +  PA!$D$2 ) * IF($D160="NJ",1.07,1))/$L$10, CHOOSE($M$10,$L$9,$M$9) )</f>
        <v xml:space="preserve"> 73.11 </v>
      </c>
      <c r="L160" s="176" t="str">
        <f>IF(AND($D$11="IL",$E160="AMEREN"),"NA",TEXT((SUMPRODUCT(((LMPMain!$H$9:$H$1000)=$E160)*((LMPMain!$J$9:$J$1000)=$F160)*((LMPMain!$O$9:$O$1000)=$C160)*(LMPMain!R$9:R$1000))+(SUMPRODUCT(((Adders!$D$13:$D$101)=$E160)*((Adders!$E$13:$E$101)=$F160)*(Adders!G$13:G$101))+VLOOKUP($H160,Adders!$B$5:$G$8,L$11,FALSE)+Matrix!$D$2)*IF($D160="NJ",1.07,1))/$L$10,CHOOSE($M$10,$L$9,$M$9)))</f>
        <v xml:space="preserve"> 33.33 </v>
      </c>
      <c r="M160" s="176" t="str">
        <f>IF(AND($D$11="IL",$E160="AMEREN"),"NA",TEXT((SUMPRODUCT(((LMPMain!$H$9:$H$1000)=$E160)*((LMPMain!$J$9:$J$1000)=$F160)*((LMPMain!$O$9:$O$1000)=$C160)*(LMPMain!S$9:S$1000))+(SUMPRODUCT(((Adders!$D$13:$D$101)=$E160)*((Adders!$E$13:$E$101)=$F160)*(Adders!H$13:H$101))+VLOOKUP($H160,Adders!$B$5:$G$8,M$11,FALSE)+Matrix!$D$2)*IF($D160="NJ",1.07,1))/$L$10,CHOOSE($M$10,$L$9,$M$9)))</f>
        <v xml:space="preserve"> 31.79 </v>
      </c>
      <c r="N160" s="177" t="str">
        <f>IF(AND($D$11="IL",$E160="AMEREN"),"NA",TEXT((SUMPRODUCT(((LMPMain!$H$9:$H$1000)=$E160)*((LMPMain!$J$9:$J$1000)=$F160)*((LMPMain!$O$9:$O$1000)=$C160)*(LMPMain!T$9:T$1000))+(SUMPRODUCT(((Adders!$D$13:$D$101)=$E160)*((Adders!$E$13:$E$101)=$F160)*(Adders!G$13:G$101))+VLOOKUP($H160,Adders!$B$5:$G$8,N$11,FALSE)+Matrix!$D$2)*IF($D160="NJ",1.07,1))/$L$10,CHOOSE($M$10,$L$9,$M$9)))</f>
        <v xml:space="preserve"> 31.32 </v>
      </c>
      <c r="O160" s="112"/>
    </row>
    <row r="161" spans="2:15" x14ac:dyDescent="0.25">
      <c r="B161" s="160" t="s">
        <v>668</v>
      </c>
      <c r="C161" s="127">
        <f t="shared" si="3"/>
        <v>42186</v>
      </c>
      <c r="D161" s="128" t="s">
        <v>6</v>
      </c>
      <c r="E161" s="129" t="s">
        <v>12</v>
      </c>
      <c r="F161" s="128" t="s">
        <v>9</v>
      </c>
      <c r="G161" s="129" t="str">
        <f t="shared" si="4"/>
        <v>General Service Large</v>
      </c>
      <c r="H161" s="130" t="s">
        <v>61</v>
      </c>
      <c r="I161" s="178" t="str">
        <f>TEXT(   (SUMPRODUCT( ((Main!$H$9:$H$1000)=$E161)*((Main!$J$9:$J$1000)=$F161)*((Main!$O$9:$O$1000)=$C161)*(Main!R$9:R$1000) ) +  ( SUMPRODUCT( ((Adders!$D$13:$D$101)=$E161)*((Adders!$E$13:$E$101)=$F161)*(Adders!G$13:G$101)) + VLOOKUP($H161,Adders!$B$5:$G$8,L$11,FALSE)  +  PA!$D$2 ) * IF($D161="NJ",1.07,1))/$L$10, CHOOSE($M$10,$L$9,$M$9) )</f>
        <v xml:space="preserve"> 77.59 </v>
      </c>
      <c r="J161" s="178" t="str">
        <f>TEXT(   (SUMPRODUCT( ((Main!$H$9:$H$1000)=$E161)*((Main!$J$9:$J$1000)=$F161)*((Main!$O$9:$O$1000)=$C161)*(Main!S$9:S$1000) ) +  ( SUMPRODUCT( ((Adders!$D$13:$D$101)=$E161)*((Adders!$E$13:$E$101)=$F161)*(Adders!H$13:H$101)) + VLOOKUP($H161,Adders!$B$5:$G$8,M$11,FALSE)  +  PA!$D$2 ) * IF($D161="NJ",1.07,1))/$L$10, CHOOSE($M$10,$L$9,$M$9) )</f>
        <v xml:space="preserve"> 75.29 </v>
      </c>
      <c r="K161" s="179" t="str">
        <f>TEXT(   (SUMPRODUCT( ((Main!$H$9:$H$1000)=$E161)*((Main!$J$9:$J$1000)=$F161)*((Main!$O$9:$O$1000)=$C161)*(Main!T$9:T$1000) ) +  ( SUMPRODUCT( ((Adders!$D$13:$D$101)=$E161)*((Adders!$E$13:$E$101)=$F161)*(Adders!I$13:I$101)) + VLOOKUP($H161,Adders!$B$5:$G$8,N$11,FALSE)  +  PA!$D$2 ) * IF($D161="NJ",1.07,1))/$L$10, CHOOSE($M$10,$L$9,$M$9) )</f>
        <v xml:space="preserve"> 75.63 </v>
      </c>
      <c r="L161" s="178" t="str">
        <f>IF(AND($D$11="IL",$E161="AMEREN"),"NA",TEXT((SUMPRODUCT(((LMPMain!$H$9:$H$1000)=$E161)*((LMPMain!$J$9:$J$1000)=$F161)*((LMPMain!$O$9:$O$1000)=$C161)*(LMPMain!R$9:R$1000))+(SUMPRODUCT(((Adders!$D$13:$D$101)=$E161)*((Adders!$E$13:$E$101)=$F161)*(Adders!G$13:G$101))+VLOOKUP($H161,Adders!$B$5:$G$8,L$11,FALSE)+Matrix!$D$2)*IF($D161="NJ",1.07,1))/$L$10,CHOOSE($M$10,$L$9,$M$9)))</f>
        <v xml:space="preserve"> 35.65 </v>
      </c>
      <c r="M161" s="178" t="str">
        <f>IF(AND($D$11="IL",$E161="AMEREN"),"NA",TEXT((SUMPRODUCT(((LMPMain!$H$9:$H$1000)=$E161)*((LMPMain!$J$9:$J$1000)=$F161)*((LMPMain!$O$9:$O$1000)=$C161)*(LMPMain!S$9:S$1000))+(SUMPRODUCT(((Adders!$D$13:$D$101)=$E161)*((Adders!$E$13:$E$101)=$F161)*(Adders!H$13:H$101))+VLOOKUP($H161,Adders!$B$5:$G$8,M$11,FALSE)+Matrix!$D$2)*IF($D161="NJ",1.07,1))/$L$10,CHOOSE($M$10,$L$9,$M$9)))</f>
        <v xml:space="preserve"> 34.26 </v>
      </c>
      <c r="N161" s="179" t="str">
        <f>IF(AND($D$11="IL",$E161="AMEREN"),"NA",TEXT((SUMPRODUCT(((LMPMain!$H$9:$H$1000)=$E161)*((LMPMain!$J$9:$J$1000)=$F161)*((LMPMain!$O$9:$O$1000)=$C161)*(LMPMain!T$9:T$1000))+(SUMPRODUCT(((Adders!$D$13:$D$101)=$E161)*((Adders!$E$13:$E$101)=$F161)*(Adders!G$13:G$101))+VLOOKUP($H161,Adders!$B$5:$G$8,N$11,FALSE)+Matrix!$D$2)*IF($D161="NJ",1.07,1))/$L$10,CHOOSE($M$10,$L$9,$M$9)))</f>
        <v xml:space="preserve"> 33.85 </v>
      </c>
      <c r="O161" s="112"/>
    </row>
    <row r="162" spans="2:15" x14ac:dyDescent="0.25">
      <c r="B162" s="160" t="s">
        <v>668</v>
      </c>
      <c r="C162" s="131">
        <f t="shared" si="3"/>
        <v>42186</v>
      </c>
      <c r="D162" s="132" t="s">
        <v>6</v>
      </c>
      <c r="E162" s="133" t="s">
        <v>12</v>
      </c>
      <c r="F162" s="132" t="s">
        <v>9</v>
      </c>
      <c r="G162" s="133" t="str">
        <f t="shared" si="4"/>
        <v>General Service Large</v>
      </c>
      <c r="H162" s="134" t="s">
        <v>62</v>
      </c>
      <c r="I162" s="173" t="str">
        <f>TEXT(   (SUMPRODUCT( ((Main!$H$9:$H$1000)=$E162)*((Main!$J$9:$J$1000)=$F162)*((Main!$O$9:$O$1000)=$C162)*(Main!R$9:R$1000) ) +  ( SUMPRODUCT( ((Adders!$D$13:$D$101)=$E162)*((Adders!$E$13:$E$101)=$F162)*(Adders!G$13:G$101)) + VLOOKUP($H162,Adders!$B$5:$G$8,L$11,FALSE)  +  PA!$D$2 ) * IF($D162="NJ",1.07,1))/$L$10, CHOOSE($M$10,$L$9,$M$9) )</f>
        <v xml:space="preserve"> 75.99 </v>
      </c>
      <c r="J162" s="173" t="str">
        <f>TEXT(   (SUMPRODUCT( ((Main!$H$9:$H$1000)=$E162)*((Main!$J$9:$J$1000)=$F162)*((Main!$O$9:$O$1000)=$C162)*(Main!S$9:S$1000) ) +  ( SUMPRODUCT( ((Adders!$D$13:$D$101)=$E162)*((Adders!$E$13:$E$101)=$F162)*(Adders!H$13:H$101)) + VLOOKUP($H162,Adders!$B$5:$G$8,M$11,FALSE)  +  PA!$D$2 ) * IF($D162="NJ",1.07,1))/$L$10, CHOOSE($M$10,$L$9,$M$9) )</f>
        <v xml:space="preserve"> 73.69 </v>
      </c>
      <c r="K162" s="174" t="str">
        <f>TEXT(   (SUMPRODUCT( ((Main!$H$9:$H$1000)=$E162)*((Main!$J$9:$J$1000)=$F162)*((Main!$O$9:$O$1000)=$C162)*(Main!T$9:T$1000) ) +  ( SUMPRODUCT( ((Adders!$D$13:$D$101)=$E162)*((Adders!$E$13:$E$101)=$F162)*(Adders!I$13:I$101)) + VLOOKUP($H162,Adders!$B$5:$G$8,N$11,FALSE)  +  PA!$D$2 ) * IF($D162="NJ",1.07,1))/$L$10, CHOOSE($M$10,$L$9,$M$9) )</f>
        <v xml:space="preserve"> 74.03 </v>
      </c>
      <c r="L162" s="173" t="str">
        <f>IF(AND($D$11="IL",$E162="AMEREN"),"NA",TEXT((SUMPRODUCT(((LMPMain!$H$9:$H$1000)=$E162)*((LMPMain!$J$9:$J$1000)=$F162)*((LMPMain!$O$9:$O$1000)=$C162)*(LMPMain!R$9:R$1000))+(SUMPRODUCT(((Adders!$D$13:$D$101)=$E162)*((Adders!$E$13:$E$101)=$F162)*(Adders!G$13:G$101))+VLOOKUP($H162,Adders!$B$5:$G$8,L$11,FALSE)+Matrix!$D$2)*IF($D162="NJ",1.07,1))/$L$10,CHOOSE($M$10,$L$9,$M$9)))</f>
        <v xml:space="preserve"> 34.05 </v>
      </c>
      <c r="M162" s="173" t="str">
        <f>IF(AND($D$11="IL",$E162="AMEREN"),"NA",TEXT((SUMPRODUCT(((LMPMain!$H$9:$H$1000)=$E162)*((LMPMain!$J$9:$J$1000)=$F162)*((LMPMain!$O$9:$O$1000)=$C162)*(LMPMain!S$9:S$1000))+(SUMPRODUCT(((Adders!$D$13:$D$101)=$E162)*((Adders!$E$13:$E$101)=$F162)*(Adders!H$13:H$101))+VLOOKUP($H162,Adders!$B$5:$G$8,M$11,FALSE)+Matrix!$D$2)*IF($D162="NJ",1.07,1))/$L$10,CHOOSE($M$10,$L$9,$M$9)))</f>
        <v xml:space="preserve"> 32.66 </v>
      </c>
      <c r="N162" s="174" t="str">
        <f>IF(AND($D$11="IL",$E162="AMEREN"),"NA",TEXT((SUMPRODUCT(((LMPMain!$H$9:$H$1000)=$E162)*((LMPMain!$J$9:$J$1000)=$F162)*((LMPMain!$O$9:$O$1000)=$C162)*(LMPMain!T$9:T$1000))+(SUMPRODUCT(((Adders!$D$13:$D$101)=$E162)*((Adders!$E$13:$E$101)=$F162)*(Adders!G$13:G$101))+VLOOKUP($H162,Adders!$B$5:$G$8,N$11,FALSE)+Matrix!$D$2)*IF($D162="NJ",1.07,1))/$L$10,CHOOSE($M$10,$L$9,$M$9)))</f>
        <v xml:space="preserve"> 32.25 </v>
      </c>
      <c r="O162" s="112"/>
    </row>
    <row r="163" spans="2:15" x14ac:dyDescent="0.25">
      <c r="B163" s="160" t="s">
        <v>668</v>
      </c>
      <c r="C163" s="135">
        <f t="shared" si="3"/>
        <v>42186</v>
      </c>
      <c r="D163" s="136" t="s">
        <v>6</v>
      </c>
      <c r="E163" s="137" t="s">
        <v>12</v>
      </c>
      <c r="F163" s="136" t="s">
        <v>9</v>
      </c>
      <c r="G163" s="137" t="str">
        <f t="shared" si="4"/>
        <v>General Service Large</v>
      </c>
      <c r="H163" s="138" t="s">
        <v>690</v>
      </c>
      <c r="I163" s="176" t="str">
        <f>TEXT(   (SUMPRODUCT( ((Main!$H$9:$H$1000)=$E163)*((Main!$J$9:$J$1000)=$F163)*((Main!$O$9:$O$1000)=$C163)*(Main!R$9:R$1000) ) +  ( SUMPRODUCT( ((Adders!$D$13:$D$101)=$E163)*((Adders!$E$13:$E$101)=$F163)*(Adders!G$13:G$101)) + VLOOKUP($H163,Adders!$B$5:$G$8,L$11,FALSE)  +  PA!$D$2 ) * IF($D163="NJ",1.07,1))/$L$10, CHOOSE($M$10,$L$9,$M$9) )</f>
        <v xml:space="preserve"> 74.94 </v>
      </c>
      <c r="J163" s="176" t="str">
        <f>TEXT(   (SUMPRODUCT( ((Main!$H$9:$H$1000)=$E163)*((Main!$J$9:$J$1000)=$F163)*((Main!$O$9:$O$1000)=$C163)*(Main!S$9:S$1000) ) +  ( SUMPRODUCT( ((Adders!$D$13:$D$101)=$E163)*((Adders!$E$13:$E$101)=$F163)*(Adders!H$13:H$101)) + VLOOKUP($H163,Adders!$B$5:$G$8,M$11,FALSE)  +  PA!$D$2 ) * IF($D163="NJ",1.07,1))/$L$10, CHOOSE($M$10,$L$9,$M$9) )</f>
        <v xml:space="preserve"> 72.64 </v>
      </c>
      <c r="K163" s="177" t="str">
        <f>TEXT(   (SUMPRODUCT( ((Main!$H$9:$H$1000)=$E163)*((Main!$J$9:$J$1000)=$F163)*((Main!$O$9:$O$1000)=$C163)*(Main!T$9:T$1000) ) +  ( SUMPRODUCT( ((Adders!$D$13:$D$101)=$E163)*((Adders!$E$13:$E$101)=$F163)*(Adders!I$13:I$101)) + VLOOKUP($H163,Adders!$B$5:$G$8,N$11,FALSE)  +  PA!$D$2 ) * IF($D163="NJ",1.07,1))/$L$10, CHOOSE($M$10,$L$9,$M$9) )</f>
        <v xml:space="preserve"> 72.98 </v>
      </c>
      <c r="L163" s="176" t="str">
        <f>IF(AND($D$11="IL",$E163="AMEREN"),"NA",TEXT((SUMPRODUCT(((LMPMain!$H$9:$H$1000)=$E163)*((LMPMain!$J$9:$J$1000)=$F163)*((LMPMain!$O$9:$O$1000)=$C163)*(LMPMain!R$9:R$1000))+(SUMPRODUCT(((Adders!$D$13:$D$101)=$E163)*((Adders!$E$13:$E$101)=$F163)*(Adders!G$13:G$101))+VLOOKUP($H163,Adders!$B$5:$G$8,L$11,FALSE)+Matrix!$D$2)*IF($D163="NJ",1.07,1))/$L$10,CHOOSE($M$10,$L$9,$M$9)))</f>
        <v xml:space="preserve"> 33.00 </v>
      </c>
      <c r="M163" s="176" t="str">
        <f>IF(AND($D$11="IL",$E163="AMEREN"),"NA",TEXT((SUMPRODUCT(((LMPMain!$H$9:$H$1000)=$E163)*((LMPMain!$J$9:$J$1000)=$F163)*((LMPMain!$O$9:$O$1000)=$C163)*(LMPMain!S$9:S$1000))+(SUMPRODUCT(((Adders!$D$13:$D$101)=$E163)*((Adders!$E$13:$E$101)=$F163)*(Adders!H$13:H$101))+VLOOKUP($H163,Adders!$B$5:$G$8,M$11,FALSE)+Matrix!$D$2)*IF($D163="NJ",1.07,1))/$L$10,CHOOSE($M$10,$L$9,$M$9)))</f>
        <v xml:space="preserve"> 31.61 </v>
      </c>
      <c r="N163" s="177" t="str">
        <f>IF(AND($D$11="IL",$E163="AMEREN"),"NA",TEXT((SUMPRODUCT(((LMPMain!$H$9:$H$1000)=$E163)*((LMPMain!$J$9:$J$1000)=$F163)*((LMPMain!$O$9:$O$1000)=$C163)*(LMPMain!T$9:T$1000))+(SUMPRODUCT(((Adders!$D$13:$D$101)=$E163)*((Adders!$E$13:$E$101)=$F163)*(Adders!G$13:G$101))+VLOOKUP($H163,Adders!$B$5:$G$8,N$11,FALSE)+Matrix!$D$2)*IF($D163="NJ",1.07,1))/$L$10,CHOOSE($M$10,$L$9,$M$9)))</f>
        <v xml:space="preserve"> 31.20 </v>
      </c>
      <c r="O163" s="112"/>
    </row>
    <row r="164" spans="2:15" x14ac:dyDescent="0.25">
      <c r="B164" s="160" t="s">
        <v>668</v>
      </c>
      <c r="C164" s="127">
        <f t="shared" si="3"/>
        <v>42217</v>
      </c>
      <c r="D164" s="128" t="s">
        <v>6</v>
      </c>
      <c r="E164" s="129" t="s">
        <v>12</v>
      </c>
      <c r="F164" s="128" t="s">
        <v>9</v>
      </c>
      <c r="G164" s="129" t="str">
        <f t="shared" si="4"/>
        <v>General Service Large</v>
      </c>
      <c r="H164" s="130" t="s">
        <v>61</v>
      </c>
      <c r="I164" s="178" t="str">
        <f>TEXT(   (SUMPRODUCT( ((Main!$H$9:$H$1000)=$E164)*((Main!$J$9:$J$1000)=$F164)*((Main!$O$9:$O$1000)=$C164)*(Main!R$9:R$1000) ) +  ( SUMPRODUCT( ((Adders!$D$13:$D$101)=$E164)*((Adders!$E$13:$E$101)=$F164)*(Adders!G$13:G$101)) + VLOOKUP($H164,Adders!$B$5:$G$8,L$11,FALSE)  +  PA!$D$2 ) * IF($D164="NJ",1.07,1))/$L$10, CHOOSE($M$10,$L$9,$M$9) )</f>
        <v xml:space="preserve"> 77.13 </v>
      </c>
      <c r="J164" s="178" t="str">
        <f>TEXT(   (SUMPRODUCT( ((Main!$H$9:$H$1000)=$E164)*((Main!$J$9:$J$1000)=$F164)*((Main!$O$9:$O$1000)=$C164)*(Main!S$9:S$1000) ) +  ( SUMPRODUCT( ((Adders!$D$13:$D$101)=$E164)*((Adders!$E$13:$E$101)=$F164)*(Adders!H$13:H$101)) + VLOOKUP($H164,Adders!$B$5:$G$8,M$11,FALSE)  +  PA!$D$2 ) * IF($D164="NJ",1.07,1))/$L$10, CHOOSE($M$10,$L$9,$M$9) )</f>
        <v xml:space="preserve"> 75.42 </v>
      </c>
      <c r="K164" s="179" t="str">
        <f>TEXT(   (SUMPRODUCT( ((Main!$H$9:$H$1000)=$E164)*((Main!$J$9:$J$1000)=$F164)*((Main!$O$9:$O$1000)=$C164)*(Main!T$9:T$1000) ) +  ( SUMPRODUCT( ((Adders!$D$13:$D$101)=$E164)*((Adders!$E$13:$E$101)=$F164)*(Adders!I$13:I$101)) + VLOOKUP($H164,Adders!$B$5:$G$8,N$11,FALSE)  +  PA!$D$2 ) * IF($D164="NJ",1.07,1))/$L$10, CHOOSE($M$10,$L$9,$M$9) )</f>
        <v xml:space="preserve"> 75.50 </v>
      </c>
      <c r="L164" s="178" t="str">
        <f>IF(AND($D$11="IL",$E164="AMEREN"),"NA",TEXT((SUMPRODUCT(((LMPMain!$H$9:$H$1000)=$E164)*((LMPMain!$J$9:$J$1000)=$F164)*((LMPMain!$O$9:$O$1000)=$C164)*(LMPMain!R$9:R$1000))+(SUMPRODUCT(((Adders!$D$13:$D$101)=$E164)*((Adders!$E$13:$E$101)=$F164)*(Adders!G$13:G$101))+VLOOKUP($H164,Adders!$B$5:$G$8,L$11,FALSE)+Matrix!$D$2)*IF($D164="NJ",1.07,1))/$L$10,CHOOSE($M$10,$L$9,$M$9)))</f>
        <v xml:space="preserve"> 35.34 </v>
      </c>
      <c r="M164" s="178" t="str">
        <f>IF(AND($D$11="IL",$E164="AMEREN"),"NA",TEXT((SUMPRODUCT(((LMPMain!$H$9:$H$1000)=$E164)*((LMPMain!$J$9:$J$1000)=$F164)*((LMPMain!$O$9:$O$1000)=$C164)*(LMPMain!S$9:S$1000))+(SUMPRODUCT(((Adders!$D$13:$D$101)=$E164)*((Adders!$E$13:$E$101)=$F164)*(Adders!H$13:H$101))+VLOOKUP($H164,Adders!$B$5:$G$8,M$11,FALSE)+Matrix!$D$2)*IF($D164="NJ",1.07,1))/$L$10,CHOOSE($M$10,$L$9,$M$9)))</f>
        <v xml:space="preserve"> 34.12 </v>
      </c>
      <c r="N164" s="179" t="str">
        <f>IF(AND($D$11="IL",$E164="AMEREN"),"NA",TEXT((SUMPRODUCT(((LMPMain!$H$9:$H$1000)=$E164)*((LMPMain!$J$9:$J$1000)=$F164)*((LMPMain!$O$9:$O$1000)=$C164)*(LMPMain!T$9:T$1000))+(SUMPRODUCT(((Adders!$D$13:$D$101)=$E164)*((Adders!$E$13:$E$101)=$F164)*(Adders!G$13:G$101))+VLOOKUP($H164,Adders!$B$5:$G$8,N$11,FALSE)+Matrix!$D$2)*IF($D164="NJ",1.07,1))/$L$10,CHOOSE($M$10,$L$9,$M$9)))</f>
        <v xml:space="preserve"> 33.73 </v>
      </c>
      <c r="O164" s="112"/>
    </row>
    <row r="165" spans="2:15" x14ac:dyDescent="0.25">
      <c r="B165" s="160" t="s">
        <v>668</v>
      </c>
      <c r="C165" s="131">
        <f t="shared" si="3"/>
        <v>42217</v>
      </c>
      <c r="D165" s="132" t="s">
        <v>6</v>
      </c>
      <c r="E165" s="133" t="s">
        <v>12</v>
      </c>
      <c r="F165" s="132" t="s">
        <v>9</v>
      </c>
      <c r="G165" s="133" t="str">
        <f t="shared" si="4"/>
        <v>General Service Large</v>
      </c>
      <c r="H165" s="134" t="s">
        <v>62</v>
      </c>
      <c r="I165" s="173" t="str">
        <f>TEXT(   (SUMPRODUCT( ((Main!$H$9:$H$1000)=$E165)*((Main!$J$9:$J$1000)=$F165)*((Main!$O$9:$O$1000)=$C165)*(Main!R$9:R$1000) ) +  ( SUMPRODUCT( ((Adders!$D$13:$D$101)=$E165)*((Adders!$E$13:$E$101)=$F165)*(Adders!G$13:G$101)) + VLOOKUP($H165,Adders!$B$5:$G$8,L$11,FALSE)  +  PA!$D$2 ) * IF($D165="NJ",1.07,1))/$L$10, CHOOSE($M$10,$L$9,$M$9) )</f>
        <v xml:space="preserve"> 75.53 </v>
      </c>
      <c r="J165" s="173" t="str">
        <f>TEXT(   (SUMPRODUCT( ((Main!$H$9:$H$1000)=$E165)*((Main!$J$9:$J$1000)=$F165)*((Main!$O$9:$O$1000)=$C165)*(Main!S$9:S$1000) ) +  ( SUMPRODUCT( ((Adders!$D$13:$D$101)=$E165)*((Adders!$E$13:$E$101)=$F165)*(Adders!H$13:H$101)) + VLOOKUP($H165,Adders!$B$5:$G$8,M$11,FALSE)  +  PA!$D$2 ) * IF($D165="NJ",1.07,1))/$L$10, CHOOSE($M$10,$L$9,$M$9) )</f>
        <v xml:space="preserve"> 73.82 </v>
      </c>
      <c r="K165" s="174" t="str">
        <f>TEXT(   (SUMPRODUCT( ((Main!$H$9:$H$1000)=$E165)*((Main!$J$9:$J$1000)=$F165)*((Main!$O$9:$O$1000)=$C165)*(Main!T$9:T$1000) ) +  ( SUMPRODUCT( ((Adders!$D$13:$D$101)=$E165)*((Adders!$E$13:$E$101)=$F165)*(Adders!I$13:I$101)) + VLOOKUP($H165,Adders!$B$5:$G$8,N$11,FALSE)  +  PA!$D$2 ) * IF($D165="NJ",1.07,1))/$L$10, CHOOSE($M$10,$L$9,$M$9) )</f>
        <v xml:space="preserve"> 73.90 </v>
      </c>
      <c r="L165" s="173" t="str">
        <f>IF(AND($D$11="IL",$E165="AMEREN"),"NA",TEXT((SUMPRODUCT(((LMPMain!$H$9:$H$1000)=$E165)*((LMPMain!$J$9:$J$1000)=$F165)*((LMPMain!$O$9:$O$1000)=$C165)*(LMPMain!R$9:R$1000))+(SUMPRODUCT(((Adders!$D$13:$D$101)=$E165)*((Adders!$E$13:$E$101)=$F165)*(Adders!G$13:G$101))+VLOOKUP($H165,Adders!$B$5:$G$8,L$11,FALSE)+Matrix!$D$2)*IF($D165="NJ",1.07,1))/$L$10,CHOOSE($M$10,$L$9,$M$9)))</f>
        <v xml:space="preserve"> 33.74 </v>
      </c>
      <c r="M165" s="173" t="str">
        <f>IF(AND($D$11="IL",$E165="AMEREN"),"NA",TEXT((SUMPRODUCT(((LMPMain!$H$9:$H$1000)=$E165)*((LMPMain!$J$9:$J$1000)=$F165)*((LMPMain!$O$9:$O$1000)=$C165)*(LMPMain!S$9:S$1000))+(SUMPRODUCT(((Adders!$D$13:$D$101)=$E165)*((Adders!$E$13:$E$101)=$F165)*(Adders!H$13:H$101))+VLOOKUP($H165,Adders!$B$5:$G$8,M$11,FALSE)+Matrix!$D$2)*IF($D165="NJ",1.07,1))/$L$10,CHOOSE($M$10,$L$9,$M$9)))</f>
        <v xml:space="preserve"> 32.52 </v>
      </c>
      <c r="N165" s="174" t="str">
        <f>IF(AND($D$11="IL",$E165="AMEREN"),"NA",TEXT((SUMPRODUCT(((LMPMain!$H$9:$H$1000)=$E165)*((LMPMain!$J$9:$J$1000)=$F165)*((LMPMain!$O$9:$O$1000)=$C165)*(LMPMain!T$9:T$1000))+(SUMPRODUCT(((Adders!$D$13:$D$101)=$E165)*((Adders!$E$13:$E$101)=$F165)*(Adders!G$13:G$101))+VLOOKUP($H165,Adders!$B$5:$G$8,N$11,FALSE)+Matrix!$D$2)*IF($D165="NJ",1.07,1))/$L$10,CHOOSE($M$10,$L$9,$M$9)))</f>
        <v xml:space="preserve"> 32.13 </v>
      </c>
      <c r="O165" s="112"/>
    </row>
    <row r="166" spans="2:15" x14ac:dyDescent="0.25">
      <c r="B166" s="160" t="s">
        <v>668</v>
      </c>
      <c r="C166" s="135">
        <f t="shared" si="3"/>
        <v>42217</v>
      </c>
      <c r="D166" s="136" t="s">
        <v>6</v>
      </c>
      <c r="E166" s="137" t="s">
        <v>12</v>
      </c>
      <c r="F166" s="136" t="s">
        <v>9</v>
      </c>
      <c r="G166" s="137" t="str">
        <f t="shared" si="4"/>
        <v>General Service Large</v>
      </c>
      <c r="H166" s="138" t="s">
        <v>690</v>
      </c>
      <c r="I166" s="176" t="str">
        <f>TEXT(   (SUMPRODUCT( ((Main!$H$9:$H$1000)=$E166)*((Main!$J$9:$J$1000)=$F166)*((Main!$O$9:$O$1000)=$C166)*(Main!R$9:R$1000) ) +  ( SUMPRODUCT( ((Adders!$D$13:$D$101)=$E166)*((Adders!$E$13:$E$101)=$F166)*(Adders!G$13:G$101)) + VLOOKUP($H166,Adders!$B$5:$G$8,L$11,FALSE)  +  PA!$D$2 ) * IF($D166="NJ",1.07,1))/$L$10, CHOOSE($M$10,$L$9,$M$9) )</f>
        <v xml:space="preserve"> 74.48 </v>
      </c>
      <c r="J166" s="176" t="str">
        <f>TEXT(   (SUMPRODUCT( ((Main!$H$9:$H$1000)=$E166)*((Main!$J$9:$J$1000)=$F166)*((Main!$O$9:$O$1000)=$C166)*(Main!S$9:S$1000) ) +  ( SUMPRODUCT( ((Adders!$D$13:$D$101)=$E166)*((Adders!$E$13:$E$101)=$F166)*(Adders!H$13:H$101)) + VLOOKUP($H166,Adders!$B$5:$G$8,M$11,FALSE)  +  PA!$D$2 ) * IF($D166="NJ",1.07,1))/$L$10, CHOOSE($M$10,$L$9,$M$9) )</f>
        <v xml:space="preserve"> 72.77 </v>
      </c>
      <c r="K166" s="177" t="str">
        <f>TEXT(   (SUMPRODUCT( ((Main!$H$9:$H$1000)=$E166)*((Main!$J$9:$J$1000)=$F166)*((Main!$O$9:$O$1000)=$C166)*(Main!T$9:T$1000) ) +  ( SUMPRODUCT( ((Adders!$D$13:$D$101)=$E166)*((Adders!$E$13:$E$101)=$F166)*(Adders!I$13:I$101)) + VLOOKUP($H166,Adders!$B$5:$G$8,N$11,FALSE)  +  PA!$D$2 ) * IF($D166="NJ",1.07,1))/$L$10, CHOOSE($M$10,$L$9,$M$9) )</f>
        <v xml:space="preserve"> 72.85 </v>
      </c>
      <c r="L166" s="176" t="str">
        <f>IF(AND($D$11="IL",$E166="AMEREN"),"NA",TEXT((SUMPRODUCT(((LMPMain!$H$9:$H$1000)=$E166)*((LMPMain!$J$9:$J$1000)=$F166)*((LMPMain!$O$9:$O$1000)=$C166)*(LMPMain!R$9:R$1000))+(SUMPRODUCT(((Adders!$D$13:$D$101)=$E166)*((Adders!$E$13:$E$101)=$F166)*(Adders!G$13:G$101))+VLOOKUP($H166,Adders!$B$5:$G$8,L$11,FALSE)+Matrix!$D$2)*IF($D166="NJ",1.07,1))/$L$10,CHOOSE($M$10,$L$9,$M$9)))</f>
        <v xml:space="preserve"> 32.69 </v>
      </c>
      <c r="M166" s="176" t="str">
        <f>IF(AND($D$11="IL",$E166="AMEREN"),"NA",TEXT((SUMPRODUCT(((LMPMain!$H$9:$H$1000)=$E166)*((LMPMain!$J$9:$J$1000)=$F166)*((LMPMain!$O$9:$O$1000)=$C166)*(LMPMain!S$9:S$1000))+(SUMPRODUCT(((Adders!$D$13:$D$101)=$E166)*((Adders!$E$13:$E$101)=$F166)*(Adders!H$13:H$101))+VLOOKUP($H166,Adders!$B$5:$G$8,M$11,FALSE)+Matrix!$D$2)*IF($D166="NJ",1.07,1))/$L$10,CHOOSE($M$10,$L$9,$M$9)))</f>
        <v xml:space="preserve"> 31.47 </v>
      </c>
      <c r="N166" s="177" t="str">
        <f>IF(AND($D$11="IL",$E166="AMEREN"),"NA",TEXT((SUMPRODUCT(((LMPMain!$H$9:$H$1000)=$E166)*((LMPMain!$J$9:$J$1000)=$F166)*((LMPMain!$O$9:$O$1000)=$C166)*(LMPMain!T$9:T$1000))+(SUMPRODUCT(((Adders!$D$13:$D$101)=$E166)*((Adders!$E$13:$E$101)=$F166)*(Adders!G$13:G$101))+VLOOKUP($H166,Adders!$B$5:$G$8,N$11,FALSE)+Matrix!$D$2)*IF($D166="NJ",1.07,1))/$L$10,CHOOSE($M$10,$L$9,$M$9)))</f>
        <v xml:space="preserve"> 31.08 </v>
      </c>
      <c r="O166" s="112"/>
    </row>
    <row r="167" spans="2:15" x14ac:dyDescent="0.25">
      <c r="B167" s="160" t="s">
        <v>668</v>
      </c>
      <c r="C167" s="127">
        <f t="shared" si="3"/>
        <v>42248</v>
      </c>
      <c r="D167" s="128" t="s">
        <v>6</v>
      </c>
      <c r="E167" s="129" t="s">
        <v>12</v>
      </c>
      <c r="F167" s="128" t="s">
        <v>9</v>
      </c>
      <c r="G167" s="129" t="str">
        <f t="shared" si="4"/>
        <v>General Service Large</v>
      </c>
      <c r="H167" s="130" t="s">
        <v>61</v>
      </c>
      <c r="I167" s="178" t="str">
        <f>TEXT(   (SUMPRODUCT( ((Main!$H$9:$H$1000)=$E167)*((Main!$J$9:$J$1000)=$F167)*((Main!$O$9:$O$1000)=$C167)*(Main!R$9:R$1000) ) +  ( SUMPRODUCT( ((Adders!$D$13:$D$101)=$E167)*((Adders!$E$13:$E$101)=$F167)*(Adders!G$13:G$101)) + VLOOKUP($H167,Adders!$B$5:$G$8,L$11,FALSE)  +  PA!$D$2 ) * IF($D167="NJ",1.07,1))/$L$10, CHOOSE($M$10,$L$9,$M$9) )</f>
        <v xml:space="preserve"> 76.82 </v>
      </c>
      <c r="J167" s="178" t="str">
        <f>TEXT(   (SUMPRODUCT( ((Main!$H$9:$H$1000)=$E167)*((Main!$J$9:$J$1000)=$F167)*((Main!$O$9:$O$1000)=$C167)*(Main!S$9:S$1000) ) +  ( SUMPRODUCT( ((Adders!$D$13:$D$101)=$E167)*((Adders!$E$13:$E$101)=$F167)*(Adders!H$13:H$101)) + VLOOKUP($H167,Adders!$B$5:$G$8,M$11,FALSE)  +  PA!$D$2 ) * IF($D167="NJ",1.07,1))/$L$10, CHOOSE($M$10,$L$9,$M$9) )</f>
        <v xml:space="preserve"> 75.69 </v>
      </c>
      <c r="K167" s="179" t="str">
        <f>TEXT(   (SUMPRODUCT( ((Main!$H$9:$H$1000)=$E167)*((Main!$J$9:$J$1000)=$F167)*((Main!$O$9:$O$1000)=$C167)*(Main!T$9:T$1000) ) +  ( SUMPRODUCT( ((Adders!$D$13:$D$101)=$E167)*((Adders!$E$13:$E$101)=$F167)*(Adders!I$13:I$101)) + VLOOKUP($H167,Adders!$B$5:$G$8,N$11,FALSE)  +  PA!$D$2 ) * IF($D167="NJ",1.07,1))/$L$10, CHOOSE($M$10,$L$9,$M$9) )</f>
        <v xml:space="preserve"> 75.43 </v>
      </c>
      <c r="L167" s="178" t="str">
        <f>IF(AND($D$11="IL",$E167="AMEREN"),"NA",TEXT((SUMPRODUCT(((LMPMain!$H$9:$H$1000)=$E167)*((LMPMain!$J$9:$J$1000)=$F167)*((LMPMain!$O$9:$O$1000)=$C167)*(LMPMain!R$9:R$1000))+(SUMPRODUCT(((Adders!$D$13:$D$101)=$E167)*((Adders!$E$13:$E$101)=$F167)*(Adders!G$13:G$101))+VLOOKUP($H167,Adders!$B$5:$G$8,L$11,FALSE)+Matrix!$D$2)*IF($D167="NJ",1.07,1))/$L$10,CHOOSE($M$10,$L$9,$M$9)))</f>
        <v xml:space="preserve"> 34.97 </v>
      </c>
      <c r="M167" s="178" t="str">
        <f>IF(AND($D$11="IL",$E167="AMEREN"),"NA",TEXT((SUMPRODUCT(((LMPMain!$H$9:$H$1000)=$E167)*((LMPMain!$J$9:$J$1000)=$F167)*((LMPMain!$O$9:$O$1000)=$C167)*(LMPMain!S$9:S$1000))+(SUMPRODUCT(((Adders!$D$13:$D$101)=$E167)*((Adders!$E$13:$E$101)=$F167)*(Adders!H$13:H$101))+VLOOKUP($H167,Adders!$B$5:$G$8,M$11,FALSE)+Matrix!$D$2)*IF($D167="NJ",1.07,1))/$L$10,CHOOSE($M$10,$L$9,$M$9)))</f>
        <v xml:space="preserve"> 34.02 </v>
      </c>
      <c r="N167" s="179" t="str">
        <f>IF(AND($D$11="IL",$E167="AMEREN"),"NA",TEXT((SUMPRODUCT(((LMPMain!$H$9:$H$1000)=$E167)*((LMPMain!$J$9:$J$1000)=$F167)*((LMPMain!$O$9:$O$1000)=$C167)*(LMPMain!T$9:T$1000))+(SUMPRODUCT(((Adders!$D$13:$D$101)=$E167)*((Adders!$E$13:$E$101)=$F167)*(Adders!G$13:G$101))+VLOOKUP($H167,Adders!$B$5:$G$8,N$11,FALSE)+Matrix!$D$2)*IF($D167="NJ",1.07,1))/$L$10,CHOOSE($M$10,$L$9,$M$9)))</f>
        <v xml:space="preserve"> 33.58 </v>
      </c>
      <c r="O167" s="112"/>
    </row>
    <row r="168" spans="2:15" x14ac:dyDescent="0.25">
      <c r="B168" s="160" t="s">
        <v>668</v>
      </c>
      <c r="C168" s="131">
        <f t="shared" si="3"/>
        <v>42248</v>
      </c>
      <c r="D168" s="132" t="s">
        <v>6</v>
      </c>
      <c r="E168" s="133" t="s">
        <v>12</v>
      </c>
      <c r="F168" s="132" t="s">
        <v>9</v>
      </c>
      <c r="G168" s="133" t="str">
        <f t="shared" si="4"/>
        <v>General Service Large</v>
      </c>
      <c r="H168" s="134" t="s">
        <v>62</v>
      </c>
      <c r="I168" s="173" t="str">
        <f>TEXT(   (SUMPRODUCT( ((Main!$H$9:$H$1000)=$E168)*((Main!$J$9:$J$1000)=$F168)*((Main!$O$9:$O$1000)=$C168)*(Main!R$9:R$1000) ) +  ( SUMPRODUCT( ((Adders!$D$13:$D$101)=$E168)*((Adders!$E$13:$E$101)=$F168)*(Adders!G$13:G$101)) + VLOOKUP($H168,Adders!$B$5:$G$8,L$11,FALSE)  +  PA!$D$2 ) * IF($D168="NJ",1.07,1))/$L$10, CHOOSE($M$10,$L$9,$M$9) )</f>
        <v xml:space="preserve"> 75.22 </v>
      </c>
      <c r="J168" s="173" t="str">
        <f>TEXT(   (SUMPRODUCT( ((Main!$H$9:$H$1000)=$E168)*((Main!$J$9:$J$1000)=$F168)*((Main!$O$9:$O$1000)=$C168)*(Main!S$9:S$1000) ) +  ( SUMPRODUCT( ((Adders!$D$13:$D$101)=$E168)*((Adders!$E$13:$E$101)=$F168)*(Adders!H$13:H$101)) + VLOOKUP($H168,Adders!$B$5:$G$8,M$11,FALSE)  +  PA!$D$2 ) * IF($D168="NJ",1.07,1))/$L$10, CHOOSE($M$10,$L$9,$M$9) )</f>
        <v xml:space="preserve"> 74.09 </v>
      </c>
      <c r="K168" s="174" t="str">
        <f>TEXT(   (SUMPRODUCT( ((Main!$H$9:$H$1000)=$E168)*((Main!$J$9:$J$1000)=$F168)*((Main!$O$9:$O$1000)=$C168)*(Main!T$9:T$1000) ) +  ( SUMPRODUCT( ((Adders!$D$13:$D$101)=$E168)*((Adders!$E$13:$E$101)=$F168)*(Adders!I$13:I$101)) + VLOOKUP($H168,Adders!$B$5:$G$8,N$11,FALSE)  +  PA!$D$2 ) * IF($D168="NJ",1.07,1))/$L$10, CHOOSE($M$10,$L$9,$M$9) )</f>
        <v xml:space="preserve"> 73.83 </v>
      </c>
      <c r="L168" s="173" t="str">
        <f>IF(AND($D$11="IL",$E168="AMEREN"),"NA",TEXT((SUMPRODUCT(((LMPMain!$H$9:$H$1000)=$E168)*((LMPMain!$J$9:$J$1000)=$F168)*((LMPMain!$O$9:$O$1000)=$C168)*(LMPMain!R$9:R$1000))+(SUMPRODUCT(((Adders!$D$13:$D$101)=$E168)*((Adders!$E$13:$E$101)=$F168)*(Adders!G$13:G$101))+VLOOKUP($H168,Adders!$B$5:$G$8,L$11,FALSE)+Matrix!$D$2)*IF($D168="NJ",1.07,1))/$L$10,CHOOSE($M$10,$L$9,$M$9)))</f>
        <v xml:space="preserve"> 33.37 </v>
      </c>
      <c r="M168" s="173" t="str">
        <f>IF(AND($D$11="IL",$E168="AMEREN"),"NA",TEXT((SUMPRODUCT(((LMPMain!$H$9:$H$1000)=$E168)*((LMPMain!$J$9:$J$1000)=$F168)*((LMPMain!$O$9:$O$1000)=$C168)*(LMPMain!S$9:S$1000))+(SUMPRODUCT(((Adders!$D$13:$D$101)=$E168)*((Adders!$E$13:$E$101)=$F168)*(Adders!H$13:H$101))+VLOOKUP($H168,Adders!$B$5:$G$8,M$11,FALSE)+Matrix!$D$2)*IF($D168="NJ",1.07,1))/$L$10,CHOOSE($M$10,$L$9,$M$9)))</f>
        <v xml:space="preserve"> 32.42 </v>
      </c>
      <c r="N168" s="174" t="str">
        <f>IF(AND($D$11="IL",$E168="AMEREN"),"NA",TEXT((SUMPRODUCT(((LMPMain!$H$9:$H$1000)=$E168)*((LMPMain!$J$9:$J$1000)=$F168)*((LMPMain!$O$9:$O$1000)=$C168)*(LMPMain!T$9:T$1000))+(SUMPRODUCT(((Adders!$D$13:$D$101)=$E168)*((Adders!$E$13:$E$101)=$F168)*(Adders!G$13:G$101))+VLOOKUP($H168,Adders!$B$5:$G$8,N$11,FALSE)+Matrix!$D$2)*IF($D168="NJ",1.07,1))/$L$10,CHOOSE($M$10,$L$9,$M$9)))</f>
        <v xml:space="preserve"> 31.98 </v>
      </c>
      <c r="O168" s="112"/>
    </row>
    <row r="169" spans="2:15" x14ac:dyDescent="0.25">
      <c r="B169" s="160" t="s">
        <v>668</v>
      </c>
      <c r="C169" s="135">
        <f t="shared" si="3"/>
        <v>42248</v>
      </c>
      <c r="D169" s="136" t="s">
        <v>6</v>
      </c>
      <c r="E169" s="137" t="s">
        <v>12</v>
      </c>
      <c r="F169" s="136" t="s">
        <v>9</v>
      </c>
      <c r="G169" s="137" t="str">
        <f t="shared" si="4"/>
        <v>General Service Large</v>
      </c>
      <c r="H169" s="138" t="s">
        <v>690</v>
      </c>
      <c r="I169" s="176" t="str">
        <f>TEXT(   (SUMPRODUCT( ((Main!$H$9:$H$1000)=$E169)*((Main!$J$9:$J$1000)=$F169)*((Main!$O$9:$O$1000)=$C169)*(Main!R$9:R$1000) ) +  ( SUMPRODUCT( ((Adders!$D$13:$D$101)=$E169)*((Adders!$E$13:$E$101)=$F169)*(Adders!G$13:G$101)) + VLOOKUP($H169,Adders!$B$5:$G$8,L$11,FALSE)  +  PA!$D$2 ) * IF($D169="NJ",1.07,1))/$L$10, CHOOSE($M$10,$L$9,$M$9) )</f>
        <v xml:space="preserve"> 74.17 </v>
      </c>
      <c r="J169" s="176" t="str">
        <f>TEXT(   (SUMPRODUCT( ((Main!$H$9:$H$1000)=$E169)*((Main!$J$9:$J$1000)=$F169)*((Main!$O$9:$O$1000)=$C169)*(Main!S$9:S$1000) ) +  ( SUMPRODUCT( ((Adders!$D$13:$D$101)=$E169)*((Adders!$E$13:$E$101)=$F169)*(Adders!H$13:H$101)) + VLOOKUP($H169,Adders!$B$5:$G$8,M$11,FALSE)  +  PA!$D$2 ) * IF($D169="NJ",1.07,1))/$L$10, CHOOSE($M$10,$L$9,$M$9) )</f>
        <v xml:space="preserve"> 73.04 </v>
      </c>
      <c r="K169" s="177" t="str">
        <f>TEXT(   (SUMPRODUCT( ((Main!$H$9:$H$1000)=$E169)*((Main!$J$9:$J$1000)=$F169)*((Main!$O$9:$O$1000)=$C169)*(Main!T$9:T$1000) ) +  ( SUMPRODUCT( ((Adders!$D$13:$D$101)=$E169)*((Adders!$E$13:$E$101)=$F169)*(Adders!I$13:I$101)) + VLOOKUP($H169,Adders!$B$5:$G$8,N$11,FALSE)  +  PA!$D$2 ) * IF($D169="NJ",1.07,1))/$L$10, CHOOSE($M$10,$L$9,$M$9) )</f>
        <v xml:space="preserve"> 72.78 </v>
      </c>
      <c r="L169" s="176" t="str">
        <f>IF(AND($D$11="IL",$E169="AMEREN"),"NA",TEXT((SUMPRODUCT(((LMPMain!$H$9:$H$1000)=$E169)*((LMPMain!$J$9:$J$1000)=$F169)*((LMPMain!$O$9:$O$1000)=$C169)*(LMPMain!R$9:R$1000))+(SUMPRODUCT(((Adders!$D$13:$D$101)=$E169)*((Adders!$E$13:$E$101)=$F169)*(Adders!G$13:G$101))+VLOOKUP($H169,Adders!$B$5:$G$8,L$11,FALSE)+Matrix!$D$2)*IF($D169="NJ",1.07,1))/$L$10,CHOOSE($M$10,$L$9,$M$9)))</f>
        <v xml:space="preserve"> 32.32 </v>
      </c>
      <c r="M169" s="176" t="str">
        <f>IF(AND($D$11="IL",$E169="AMEREN"),"NA",TEXT((SUMPRODUCT(((LMPMain!$H$9:$H$1000)=$E169)*((LMPMain!$J$9:$J$1000)=$F169)*((LMPMain!$O$9:$O$1000)=$C169)*(LMPMain!S$9:S$1000))+(SUMPRODUCT(((Adders!$D$13:$D$101)=$E169)*((Adders!$E$13:$E$101)=$F169)*(Adders!H$13:H$101))+VLOOKUP($H169,Adders!$B$5:$G$8,M$11,FALSE)+Matrix!$D$2)*IF($D169="NJ",1.07,1))/$L$10,CHOOSE($M$10,$L$9,$M$9)))</f>
        <v xml:space="preserve"> 31.37 </v>
      </c>
      <c r="N169" s="177" t="str">
        <f>IF(AND($D$11="IL",$E169="AMEREN"),"NA",TEXT((SUMPRODUCT(((LMPMain!$H$9:$H$1000)=$E169)*((LMPMain!$J$9:$J$1000)=$F169)*((LMPMain!$O$9:$O$1000)=$C169)*(LMPMain!T$9:T$1000))+(SUMPRODUCT(((Adders!$D$13:$D$101)=$E169)*((Adders!$E$13:$E$101)=$F169)*(Adders!G$13:G$101))+VLOOKUP($H169,Adders!$B$5:$G$8,N$11,FALSE)+Matrix!$D$2)*IF($D169="NJ",1.07,1))/$L$10,CHOOSE($M$10,$L$9,$M$9)))</f>
        <v xml:space="preserve"> 30.93 </v>
      </c>
      <c r="O169" s="112"/>
    </row>
    <row r="170" spans="2:15" x14ac:dyDescent="0.25">
      <c r="B170" s="160" t="s">
        <v>668</v>
      </c>
      <c r="C170" s="127">
        <f t="shared" si="3"/>
        <v>42278</v>
      </c>
      <c r="D170" s="128" t="s">
        <v>6</v>
      </c>
      <c r="E170" s="129" t="s">
        <v>12</v>
      </c>
      <c r="F170" s="128" t="s">
        <v>9</v>
      </c>
      <c r="G170" s="129" t="str">
        <f t="shared" si="4"/>
        <v>General Service Large</v>
      </c>
      <c r="H170" s="130" t="s">
        <v>61</v>
      </c>
      <c r="I170" s="178" t="str">
        <f>TEXT(   (SUMPRODUCT( ((Main!$H$9:$H$1000)=$E170)*((Main!$J$9:$J$1000)=$F170)*((Main!$O$9:$O$1000)=$C170)*(Main!R$9:R$1000) ) +  ( SUMPRODUCT( ((Adders!$D$13:$D$101)=$E170)*((Adders!$E$13:$E$101)=$F170)*(Adders!G$13:G$101)) + VLOOKUP($H170,Adders!$B$5:$G$8,L$11,FALSE)  +  PA!$D$2 ) * IF($D170="NJ",1.07,1))/$L$10, CHOOSE($M$10,$L$9,$M$9) )</f>
        <v xml:space="preserve"> 76.40 </v>
      </c>
      <c r="J170" s="178" t="str">
        <f>TEXT(   (SUMPRODUCT( ((Main!$H$9:$H$1000)=$E170)*((Main!$J$9:$J$1000)=$F170)*((Main!$O$9:$O$1000)=$C170)*(Main!S$9:S$1000) ) +  ( SUMPRODUCT( ((Adders!$D$13:$D$101)=$E170)*((Adders!$E$13:$E$101)=$F170)*(Adders!H$13:H$101)) + VLOOKUP($H170,Adders!$B$5:$G$8,M$11,FALSE)  +  PA!$D$2 ) * IF($D170="NJ",1.07,1))/$L$10, CHOOSE($M$10,$L$9,$M$9) )</f>
        <v xml:space="preserve"> 75.89 </v>
      </c>
      <c r="K170" s="179" t="str">
        <f>TEXT(   (SUMPRODUCT( ((Main!$H$9:$H$1000)=$E170)*((Main!$J$9:$J$1000)=$F170)*((Main!$O$9:$O$1000)=$C170)*(Main!T$9:T$1000) ) +  ( SUMPRODUCT( ((Adders!$D$13:$D$101)=$E170)*((Adders!$E$13:$E$101)=$F170)*(Adders!I$13:I$101)) + VLOOKUP($H170,Adders!$B$5:$G$8,N$11,FALSE)  +  PA!$D$2 ) * IF($D170="NJ",1.07,1))/$L$10, CHOOSE($M$10,$L$9,$M$9) )</f>
        <v xml:space="preserve"> 75.24 </v>
      </c>
      <c r="L170" s="178" t="str">
        <f>IF(AND($D$11="IL",$E170="AMEREN"),"NA",TEXT((SUMPRODUCT(((LMPMain!$H$9:$H$1000)=$E170)*((LMPMain!$J$9:$J$1000)=$F170)*((LMPMain!$O$9:$O$1000)=$C170)*(LMPMain!R$9:R$1000))+(SUMPRODUCT(((Adders!$D$13:$D$101)=$E170)*((Adders!$E$13:$E$101)=$F170)*(Adders!G$13:G$101))+VLOOKUP($H170,Adders!$B$5:$G$8,L$11,FALSE)+Matrix!$D$2)*IF($D170="NJ",1.07,1))/$L$10,CHOOSE($M$10,$L$9,$M$9)))</f>
        <v xml:space="preserve"> 34.64 </v>
      </c>
      <c r="M170" s="178" t="str">
        <f>IF(AND($D$11="IL",$E170="AMEREN"),"NA",TEXT((SUMPRODUCT(((LMPMain!$H$9:$H$1000)=$E170)*((LMPMain!$J$9:$J$1000)=$F170)*((LMPMain!$O$9:$O$1000)=$C170)*(LMPMain!S$9:S$1000))+(SUMPRODUCT(((Adders!$D$13:$D$101)=$E170)*((Adders!$E$13:$E$101)=$F170)*(Adders!H$13:H$101))+VLOOKUP($H170,Adders!$B$5:$G$8,M$11,FALSE)+Matrix!$D$2)*IF($D170="NJ",1.07,1))/$L$10,CHOOSE($M$10,$L$9,$M$9)))</f>
        <v xml:space="preserve"> 33.86 </v>
      </c>
      <c r="N170" s="179" t="str">
        <f>IF(AND($D$11="IL",$E170="AMEREN"),"NA",TEXT((SUMPRODUCT(((LMPMain!$H$9:$H$1000)=$E170)*((LMPMain!$J$9:$J$1000)=$F170)*((LMPMain!$O$9:$O$1000)=$C170)*(LMPMain!T$9:T$1000))+(SUMPRODUCT(((Adders!$D$13:$D$101)=$E170)*((Adders!$E$13:$E$101)=$F170)*(Adders!G$13:G$101))+VLOOKUP($H170,Adders!$B$5:$G$8,N$11,FALSE)+Matrix!$D$2)*IF($D170="NJ",1.07,1))/$L$10,CHOOSE($M$10,$L$9,$M$9)))</f>
        <v xml:space="preserve"> 33.45 </v>
      </c>
      <c r="O170" s="112"/>
    </row>
    <row r="171" spans="2:15" x14ac:dyDescent="0.25">
      <c r="B171" s="160" t="s">
        <v>668</v>
      </c>
      <c r="C171" s="131">
        <f t="shared" si="3"/>
        <v>42278</v>
      </c>
      <c r="D171" s="132" t="s">
        <v>6</v>
      </c>
      <c r="E171" s="133" t="s">
        <v>12</v>
      </c>
      <c r="F171" s="132" t="s">
        <v>9</v>
      </c>
      <c r="G171" s="133" t="str">
        <f t="shared" si="4"/>
        <v>General Service Large</v>
      </c>
      <c r="H171" s="134" t="s">
        <v>62</v>
      </c>
      <c r="I171" s="173" t="str">
        <f>TEXT(   (SUMPRODUCT( ((Main!$H$9:$H$1000)=$E171)*((Main!$J$9:$J$1000)=$F171)*((Main!$O$9:$O$1000)=$C171)*(Main!R$9:R$1000) ) +  ( SUMPRODUCT( ((Adders!$D$13:$D$101)=$E171)*((Adders!$E$13:$E$101)=$F171)*(Adders!G$13:G$101)) + VLOOKUP($H171,Adders!$B$5:$G$8,L$11,FALSE)  +  PA!$D$2 ) * IF($D171="NJ",1.07,1))/$L$10, CHOOSE($M$10,$L$9,$M$9) )</f>
        <v xml:space="preserve"> 74.80 </v>
      </c>
      <c r="J171" s="173" t="str">
        <f>TEXT(   (SUMPRODUCT( ((Main!$H$9:$H$1000)=$E171)*((Main!$J$9:$J$1000)=$F171)*((Main!$O$9:$O$1000)=$C171)*(Main!S$9:S$1000) ) +  ( SUMPRODUCT( ((Adders!$D$13:$D$101)=$E171)*((Adders!$E$13:$E$101)=$F171)*(Adders!H$13:H$101)) + VLOOKUP($H171,Adders!$B$5:$G$8,M$11,FALSE)  +  PA!$D$2 ) * IF($D171="NJ",1.07,1))/$L$10, CHOOSE($M$10,$L$9,$M$9) )</f>
        <v xml:space="preserve"> 74.29 </v>
      </c>
      <c r="K171" s="174" t="str">
        <f>TEXT(   (SUMPRODUCT( ((Main!$H$9:$H$1000)=$E171)*((Main!$J$9:$J$1000)=$F171)*((Main!$O$9:$O$1000)=$C171)*(Main!T$9:T$1000) ) +  ( SUMPRODUCT( ((Adders!$D$13:$D$101)=$E171)*((Adders!$E$13:$E$101)=$F171)*(Adders!I$13:I$101)) + VLOOKUP($H171,Adders!$B$5:$G$8,N$11,FALSE)  +  PA!$D$2 ) * IF($D171="NJ",1.07,1))/$L$10, CHOOSE($M$10,$L$9,$M$9) )</f>
        <v xml:space="preserve"> 73.64 </v>
      </c>
      <c r="L171" s="173" t="str">
        <f>IF(AND($D$11="IL",$E171="AMEREN"),"NA",TEXT((SUMPRODUCT(((LMPMain!$H$9:$H$1000)=$E171)*((LMPMain!$J$9:$J$1000)=$F171)*((LMPMain!$O$9:$O$1000)=$C171)*(LMPMain!R$9:R$1000))+(SUMPRODUCT(((Adders!$D$13:$D$101)=$E171)*((Adders!$E$13:$E$101)=$F171)*(Adders!G$13:G$101))+VLOOKUP($H171,Adders!$B$5:$G$8,L$11,FALSE)+Matrix!$D$2)*IF($D171="NJ",1.07,1))/$L$10,CHOOSE($M$10,$L$9,$M$9)))</f>
        <v xml:space="preserve"> 33.04 </v>
      </c>
      <c r="M171" s="173" t="str">
        <f>IF(AND($D$11="IL",$E171="AMEREN"),"NA",TEXT((SUMPRODUCT(((LMPMain!$H$9:$H$1000)=$E171)*((LMPMain!$J$9:$J$1000)=$F171)*((LMPMain!$O$9:$O$1000)=$C171)*(LMPMain!S$9:S$1000))+(SUMPRODUCT(((Adders!$D$13:$D$101)=$E171)*((Adders!$E$13:$E$101)=$F171)*(Adders!H$13:H$101))+VLOOKUP($H171,Adders!$B$5:$G$8,M$11,FALSE)+Matrix!$D$2)*IF($D171="NJ",1.07,1))/$L$10,CHOOSE($M$10,$L$9,$M$9)))</f>
        <v xml:space="preserve"> 32.26 </v>
      </c>
      <c r="N171" s="174" t="str">
        <f>IF(AND($D$11="IL",$E171="AMEREN"),"NA",TEXT((SUMPRODUCT(((LMPMain!$H$9:$H$1000)=$E171)*((LMPMain!$J$9:$J$1000)=$F171)*((LMPMain!$O$9:$O$1000)=$C171)*(LMPMain!T$9:T$1000))+(SUMPRODUCT(((Adders!$D$13:$D$101)=$E171)*((Adders!$E$13:$E$101)=$F171)*(Adders!G$13:G$101))+VLOOKUP($H171,Adders!$B$5:$G$8,N$11,FALSE)+Matrix!$D$2)*IF($D171="NJ",1.07,1))/$L$10,CHOOSE($M$10,$L$9,$M$9)))</f>
        <v xml:space="preserve"> 31.85 </v>
      </c>
      <c r="O171" s="112"/>
    </row>
    <row r="172" spans="2:15" x14ac:dyDescent="0.25">
      <c r="B172" s="160" t="s">
        <v>668</v>
      </c>
      <c r="C172" s="135">
        <f t="shared" si="3"/>
        <v>42278</v>
      </c>
      <c r="D172" s="136" t="s">
        <v>6</v>
      </c>
      <c r="E172" s="137" t="s">
        <v>12</v>
      </c>
      <c r="F172" s="136" t="s">
        <v>9</v>
      </c>
      <c r="G172" s="137" t="str">
        <f t="shared" si="4"/>
        <v>General Service Large</v>
      </c>
      <c r="H172" s="138" t="s">
        <v>690</v>
      </c>
      <c r="I172" s="176" t="str">
        <f>TEXT(   (SUMPRODUCT( ((Main!$H$9:$H$1000)=$E172)*((Main!$J$9:$J$1000)=$F172)*((Main!$O$9:$O$1000)=$C172)*(Main!R$9:R$1000) ) +  ( SUMPRODUCT( ((Adders!$D$13:$D$101)=$E172)*((Adders!$E$13:$E$101)=$F172)*(Adders!G$13:G$101)) + VLOOKUP($H172,Adders!$B$5:$G$8,L$11,FALSE)  +  PA!$D$2 ) * IF($D172="NJ",1.07,1))/$L$10, CHOOSE($M$10,$L$9,$M$9) )</f>
        <v xml:space="preserve"> 73.75 </v>
      </c>
      <c r="J172" s="176" t="str">
        <f>TEXT(   (SUMPRODUCT( ((Main!$H$9:$H$1000)=$E172)*((Main!$J$9:$J$1000)=$F172)*((Main!$O$9:$O$1000)=$C172)*(Main!S$9:S$1000) ) +  ( SUMPRODUCT( ((Adders!$D$13:$D$101)=$E172)*((Adders!$E$13:$E$101)=$F172)*(Adders!H$13:H$101)) + VLOOKUP($H172,Adders!$B$5:$G$8,M$11,FALSE)  +  PA!$D$2 ) * IF($D172="NJ",1.07,1))/$L$10, CHOOSE($M$10,$L$9,$M$9) )</f>
        <v xml:space="preserve"> 73.24 </v>
      </c>
      <c r="K172" s="177" t="str">
        <f>TEXT(   (SUMPRODUCT( ((Main!$H$9:$H$1000)=$E172)*((Main!$J$9:$J$1000)=$F172)*((Main!$O$9:$O$1000)=$C172)*(Main!T$9:T$1000) ) +  ( SUMPRODUCT( ((Adders!$D$13:$D$101)=$E172)*((Adders!$E$13:$E$101)=$F172)*(Adders!I$13:I$101)) + VLOOKUP($H172,Adders!$B$5:$G$8,N$11,FALSE)  +  PA!$D$2 ) * IF($D172="NJ",1.07,1))/$L$10, CHOOSE($M$10,$L$9,$M$9) )</f>
        <v xml:space="preserve"> 72.59 </v>
      </c>
      <c r="L172" s="176" t="str">
        <f>IF(AND($D$11="IL",$E172="AMEREN"),"NA",TEXT((SUMPRODUCT(((LMPMain!$H$9:$H$1000)=$E172)*((LMPMain!$J$9:$J$1000)=$F172)*((LMPMain!$O$9:$O$1000)=$C172)*(LMPMain!R$9:R$1000))+(SUMPRODUCT(((Adders!$D$13:$D$101)=$E172)*((Adders!$E$13:$E$101)=$F172)*(Adders!G$13:G$101))+VLOOKUP($H172,Adders!$B$5:$G$8,L$11,FALSE)+Matrix!$D$2)*IF($D172="NJ",1.07,1))/$L$10,CHOOSE($M$10,$L$9,$M$9)))</f>
        <v xml:space="preserve"> 31.99 </v>
      </c>
      <c r="M172" s="176" t="str">
        <f>IF(AND($D$11="IL",$E172="AMEREN"),"NA",TEXT((SUMPRODUCT(((LMPMain!$H$9:$H$1000)=$E172)*((LMPMain!$J$9:$J$1000)=$F172)*((LMPMain!$O$9:$O$1000)=$C172)*(LMPMain!S$9:S$1000))+(SUMPRODUCT(((Adders!$D$13:$D$101)=$E172)*((Adders!$E$13:$E$101)=$F172)*(Adders!H$13:H$101))+VLOOKUP($H172,Adders!$B$5:$G$8,M$11,FALSE)+Matrix!$D$2)*IF($D172="NJ",1.07,1))/$L$10,CHOOSE($M$10,$L$9,$M$9)))</f>
        <v xml:space="preserve"> 31.21 </v>
      </c>
      <c r="N172" s="177" t="str">
        <f>IF(AND($D$11="IL",$E172="AMEREN"),"NA",TEXT((SUMPRODUCT(((LMPMain!$H$9:$H$1000)=$E172)*((LMPMain!$J$9:$J$1000)=$F172)*((LMPMain!$O$9:$O$1000)=$C172)*(LMPMain!T$9:T$1000))+(SUMPRODUCT(((Adders!$D$13:$D$101)=$E172)*((Adders!$E$13:$E$101)=$F172)*(Adders!G$13:G$101))+VLOOKUP($H172,Adders!$B$5:$G$8,N$11,FALSE)+Matrix!$D$2)*IF($D172="NJ",1.07,1))/$L$10,CHOOSE($M$10,$L$9,$M$9)))</f>
        <v xml:space="preserve"> 30.80 </v>
      </c>
      <c r="O172" s="112"/>
    </row>
    <row r="173" spans="2:15" x14ac:dyDescent="0.25">
      <c r="B173" s="160" t="s">
        <v>668</v>
      </c>
      <c r="C173" s="127">
        <f t="shared" si="3"/>
        <v>42309</v>
      </c>
      <c r="D173" s="128" t="s">
        <v>6</v>
      </c>
      <c r="E173" s="129" t="s">
        <v>12</v>
      </c>
      <c r="F173" s="128" t="s">
        <v>9</v>
      </c>
      <c r="G173" s="129" t="str">
        <f t="shared" si="4"/>
        <v>General Service Large</v>
      </c>
      <c r="H173" s="130" t="s">
        <v>61</v>
      </c>
      <c r="I173" s="178" t="str">
        <f>TEXT(   (SUMPRODUCT( ((Main!$H$9:$H$1000)=$E173)*((Main!$J$9:$J$1000)=$F173)*((Main!$O$9:$O$1000)=$C173)*(Main!R$9:R$1000) ) +  ( SUMPRODUCT( ((Adders!$D$13:$D$101)=$E173)*((Adders!$E$13:$E$101)=$F173)*(Adders!G$13:G$101)) + VLOOKUP($H173,Adders!$B$5:$G$8,L$11,FALSE)  +  PA!$D$2 ) * IF($D173="NJ",1.07,1))/$L$10, CHOOSE($M$10,$L$9,$M$9) )</f>
        <v xml:space="preserve"> 76.02 </v>
      </c>
      <c r="J173" s="178" t="str">
        <f>TEXT(   (SUMPRODUCT( ((Main!$H$9:$H$1000)=$E173)*((Main!$J$9:$J$1000)=$F173)*((Main!$O$9:$O$1000)=$C173)*(Main!S$9:S$1000) ) +  ( SUMPRODUCT( ((Adders!$D$13:$D$101)=$E173)*((Adders!$E$13:$E$101)=$F173)*(Adders!H$13:H$101)) + VLOOKUP($H173,Adders!$B$5:$G$8,M$11,FALSE)  +  PA!$D$2 ) * IF($D173="NJ",1.07,1))/$L$10, CHOOSE($M$10,$L$9,$M$9) )</f>
        <v xml:space="preserve"> 75.99 </v>
      </c>
      <c r="K173" s="179" t="str">
        <f>TEXT(   (SUMPRODUCT( ((Main!$H$9:$H$1000)=$E173)*((Main!$J$9:$J$1000)=$F173)*((Main!$O$9:$O$1000)=$C173)*(Main!T$9:T$1000) ) +  ( SUMPRODUCT( ((Adders!$D$13:$D$101)=$E173)*((Adders!$E$13:$E$101)=$F173)*(Adders!I$13:I$101)) + VLOOKUP($H173,Adders!$B$5:$G$8,N$11,FALSE)  +  PA!$D$2 ) * IF($D173="NJ",1.07,1))/$L$10, CHOOSE($M$10,$L$9,$M$9) )</f>
        <v xml:space="preserve"> 75.09 </v>
      </c>
      <c r="L173" s="178" t="str">
        <f>IF(AND($D$11="IL",$E173="AMEREN"),"NA",TEXT((SUMPRODUCT(((LMPMain!$H$9:$H$1000)=$E173)*((LMPMain!$J$9:$J$1000)=$F173)*((LMPMain!$O$9:$O$1000)=$C173)*(LMPMain!R$9:R$1000))+(SUMPRODUCT(((Adders!$D$13:$D$101)=$E173)*((Adders!$E$13:$E$101)=$F173)*(Adders!G$13:G$101))+VLOOKUP($H173,Adders!$B$5:$G$8,L$11,FALSE)+Matrix!$D$2)*IF($D173="NJ",1.07,1))/$L$10,CHOOSE($M$10,$L$9,$M$9)))</f>
        <v xml:space="preserve"> 34.32 </v>
      </c>
      <c r="M173" s="178" t="str">
        <f>IF(AND($D$11="IL",$E173="AMEREN"),"NA",TEXT((SUMPRODUCT(((LMPMain!$H$9:$H$1000)=$E173)*((LMPMain!$J$9:$J$1000)=$F173)*((LMPMain!$O$9:$O$1000)=$C173)*(LMPMain!S$9:S$1000))+(SUMPRODUCT(((Adders!$D$13:$D$101)=$E173)*((Adders!$E$13:$E$101)=$F173)*(Adders!H$13:H$101))+VLOOKUP($H173,Adders!$B$5:$G$8,M$11,FALSE)+Matrix!$D$2)*IF($D173="NJ",1.07,1))/$L$10,CHOOSE($M$10,$L$9,$M$9)))</f>
        <v xml:space="preserve"> 33.71 </v>
      </c>
      <c r="N173" s="179" t="str">
        <f>IF(AND($D$11="IL",$E173="AMEREN"),"NA",TEXT((SUMPRODUCT(((LMPMain!$H$9:$H$1000)=$E173)*((LMPMain!$J$9:$J$1000)=$F173)*((LMPMain!$O$9:$O$1000)=$C173)*(LMPMain!T$9:T$1000))+(SUMPRODUCT(((Adders!$D$13:$D$101)=$E173)*((Adders!$E$13:$E$101)=$F173)*(Adders!G$13:G$101))+VLOOKUP($H173,Adders!$B$5:$G$8,N$11,FALSE)+Matrix!$D$2)*IF($D173="NJ",1.07,1))/$L$10,CHOOSE($M$10,$L$9,$M$9)))</f>
        <v xml:space="preserve"> 33.32 </v>
      </c>
      <c r="O173" s="112"/>
    </row>
    <row r="174" spans="2:15" x14ac:dyDescent="0.25">
      <c r="B174" s="160" t="s">
        <v>668</v>
      </c>
      <c r="C174" s="131">
        <f t="shared" si="3"/>
        <v>42309</v>
      </c>
      <c r="D174" s="132" t="s">
        <v>6</v>
      </c>
      <c r="E174" s="133" t="s">
        <v>12</v>
      </c>
      <c r="F174" s="132" t="s">
        <v>9</v>
      </c>
      <c r="G174" s="133" t="str">
        <f t="shared" si="4"/>
        <v>General Service Large</v>
      </c>
      <c r="H174" s="134" t="s">
        <v>62</v>
      </c>
      <c r="I174" s="173" t="str">
        <f>TEXT(   (SUMPRODUCT( ((Main!$H$9:$H$1000)=$E174)*((Main!$J$9:$J$1000)=$F174)*((Main!$O$9:$O$1000)=$C174)*(Main!R$9:R$1000) ) +  ( SUMPRODUCT( ((Adders!$D$13:$D$101)=$E174)*((Adders!$E$13:$E$101)=$F174)*(Adders!G$13:G$101)) + VLOOKUP($H174,Adders!$B$5:$G$8,L$11,FALSE)  +  PA!$D$2 ) * IF($D174="NJ",1.07,1))/$L$10, CHOOSE($M$10,$L$9,$M$9) )</f>
        <v xml:space="preserve"> 74.42 </v>
      </c>
      <c r="J174" s="173" t="str">
        <f>TEXT(   (SUMPRODUCT( ((Main!$H$9:$H$1000)=$E174)*((Main!$J$9:$J$1000)=$F174)*((Main!$O$9:$O$1000)=$C174)*(Main!S$9:S$1000) ) +  ( SUMPRODUCT( ((Adders!$D$13:$D$101)=$E174)*((Adders!$E$13:$E$101)=$F174)*(Adders!H$13:H$101)) + VLOOKUP($H174,Adders!$B$5:$G$8,M$11,FALSE)  +  PA!$D$2 ) * IF($D174="NJ",1.07,1))/$L$10, CHOOSE($M$10,$L$9,$M$9) )</f>
        <v xml:space="preserve"> 74.39 </v>
      </c>
      <c r="K174" s="174" t="str">
        <f>TEXT(   (SUMPRODUCT( ((Main!$H$9:$H$1000)=$E174)*((Main!$J$9:$J$1000)=$F174)*((Main!$O$9:$O$1000)=$C174)*(Main!T$9:T$1000) ) +  ( SUMPRODUCT( ((Adders!$D$13:$D$101)=$E174)*((Adders!$E$13:$E$101)=$F174)*(Adders!I$13:I$101)) + VLOOKUP($H174,Adders!$B$5:$G$8,N$11,FALSE)  +  PA!$D$2 ) * IF($D174="NJ",1.07,1))/$L$10, CHOOSE($M$10,$L$9,$M$9) )</f>
        <v xml:space="preserve"> 73.49 </v>
      </c>
      <c r="L174" s="173" t="str">
        <f>IF(AND($D$11="IL",$E174="AMEREN"),"NA",TEXT((SUMPRODUCT(((LMPMain!$H$9:$H$1000)=$E174)*((LMPMain!$J$9:$J$1000)=$F174)*((LMPMain!$O$9:$O$1000)=$C174)*(LMPMain!R$9:R$1000))+(SUMPRODUCT(((Adders!$D$13:$D$101)=$E174)*((Adders!$E$13:$E$101)=$F174)*(Adders!G$13:G$101))+VLOOKUP($H174,Adders!$B$5:$G$8,L$11,FALSE)+Matrix!$D$2)*IF($D174="NJ",1.07,1))/$L$10,CHOOSE($M$10,$L$9,$M$9)))</f>
        <v xml:space="preserve"> 32.72 </v>
      </c>
      <c r="M174" s="173" t="str">
        <f>IF(AND($D$11="IL",$E174="AMEREN"),"NA",TEXT((SUMPRODUCT(((LMPMain!$H$9:$H$1000)=$E174)*((LMPMain!$J$9:$J$1000)=$F174)*((LMPMain!$O$9:$O$1000)=$C174)*(LMPMain!S$9:S$1000))+(SUMPRODUCT(((Adders!$D$13:$D$101)=$E174)*((Adders!$E$13:$E$101)=$F174)*(Adders!H$13:H$101))+VLOOKUP($H174,Adders!$B$5:$G$8,M$11,FALSE)+Matrix!$D$2)*IF($D174="NJ",1.07,1))/$L$10,CHOOSE($M$10,$L$9,$M$9)))</f>
        <v xml:space="preserve"> 32.11 </v>
      </c>
      <c r="N174" s="174" t="str">
        <f>IF(AND($D$11="IL",$E174="AMEREN"),"NA",TEXT((SUMPRODUCT(((LMPMain!$H$9:$H$1000)=$E174)*((LMPMain!$J$9:$J$1000)=$F174)*((LMPMain!$O$9:$O$1000)=$C174)*(LMPMain!T$9:T$1000))+(SUMPRODUCT(((Adders!$D$13:$D$101)=$E174)*((Adders!$E$13:$E$101)=$F174)*(Adders!G$13:G$101))+VLOOKUP($H174,Adders!$B$5:$G$8,N$11,FALSE)+Matrix!$D$2)*IF($D174="NJ",1.07,1))/$L$10,CHOOSE($M$10,$L$9,$M$9)))</f>
        <v xml:space="preserve"> 31.72 </v>
      </c>
      <c r="O174" s="112"/>
    </row>
    <row r="175" spans="2:15" x14ac:dyDescent="0.25">
      <c r="B175" s="160" t="s">
        <v>668</v>
      </c>
      <c r="C175" s="135">
        <f t="shared" si="3"/>
        <v>42309</v>
      </c>
      <c r="D175" s="136" t="s">
        <v>6</v>
      </c>
      <c r="E175" s="137" t="s">
        <v>12</v>
      </c>
      <c r="F175" s="136" t="s">
        <v>9</v>
      </c>
      <c r="G175" s="137" t="str">
        <f t="shared" si="4"/>
        <v>General Service Large</v>
      </c>
      <c r="H175" s="138" t="s">
        <v>690</v>
      </c>
      <c r="I175" s="176" t="str">
        <f>TEXT(   (SUMPRODUCT( ((Main!$H$9:$H$1000)=$E175)*((Main!$J$9:$J$1000)=$F175)*((Main!$O$9:$O$1000)=$C175)*(Main!R$9:R$1000) ) +  ( SUMPRODUCT( ((Adders!$D$13:$D$101)=$E175)*((Adders!$E$13:$E$101)=$F175)*(Adders!G$13:G$101)) + VLOOKUP($H175,Adders!$B$5:$G$8,L$11,FALSE)  +  PA!$D$2 ) * IF($D175="NJ",1.07,1))/$L$10, CHOOSE($M$10,$L$9,$M$9) )</f>
        <v xml:space="preserve"> 73.37 </v>
      </c>
      <c r="J175" s="176" t="str">
        <f>TEXT(   (SUMPRODUCT( ((Main!$H$9:$H$1000)=$E175)*((Main!$J$9:$J$1000)=$F175)*((Main!$O$9:$O$1000)=$C175)*(Main!S$9:S$1000) ) +  ( SUMPRODUCT( ((Adders!$D$13:$D$101)=$E175)*((Adders!$E$13:$E$101)=$F175)*(Adders!H$13:H$101)) + VLOOKUP($H175,Adders!$B$5:$G$8,M$11,FALSE)  +  PA!$D$2 ) * IF($D175="NJ",1.07,1))/$L$10, CHOOSE($M$10,$L$9,$M$9) )</f>
        <v xml:space="preserve"> 73.34 </v>
      </c>
      <c r="K175" s="177" t="str">
        <f>TEXT(   (SUMPRODUCT( ((Main!$H$9:$H$1000)=$E175)*((Main!$J$9:$J$1000)=$F175)*((Main!$O$9:$O$1000)=$C175)*(Main!T$9:T$1000) ) +  ( SUMPRODUCT( ((Adders!$D$13:$D$101)=$E175)*((Adders!$E$13:$E$101)=$F175)*(Adders!I$13:I$101)) + VLOOKUP($H175,Adders!$B$5:$G$8,N$11,FALSE)  +  PA!$D$2 ) * IF($D175="NJ",1.07,1))/$L$10, CHOOSE($M$10,$L$9,$M$9) )</f>
        <v xml:space="preserve"> 72.44 </v>
      </c>
      <c r="L175" s="176" t="str">
        <f>IF(AND($D$11="IL",$E175="AMEREN"),"NA",TEXT((SUMPRODUCT(((LMPMain!$H$9:$H$1000)=$E175)*((LMPMain!$J$9:$J$1000)=$F175)*((LMPMain!$O$9:$O$1000)=$C175)*(LMPMain!R$9:R$1000))+(SUMPRODUCT(((Adders!$D$13:$D$101)=$E175)*((Adders!$E$13:$E$101)=$F175)*(Adders!G$13:G$101))+VLOOKUP($H175,Adders!$B$5:$G$8,L$11,FALSE)+Matrix!$D$2)*IF($D175="NJ",1.07,1))/$L$10,CHOOSE($M$10,$L$9,$M$9)))</f>
        <v xml:space="preserve"> 31.67 </v>
      </c>
      <c r="M175" s="176" t="str">
        <f>IF(AND($D$11="IL",$E175="AMEREN"),"NA",TEXT((SUMPRODUCT(((LMPMain!$H$9:$H$1000)=$E175)*((LMPMain!$J$9:$J$1000)=$F175)*((LMPMain!$O$9:$O$1000)=$C175)*(LMPMain!S$9:S$1000))+(SUMPRODUCT(((Adders!$D$13:$D$101)=$E175)*((Adders!$E$13:$E$101)=$F175)*(Adders!H$13:H$101))+VLOOKUP($H175,Adders!$B$5:$G$8,M$11,FALSE)+Matrix!$D$2)*IF($D175="NJ",1.07,1))/$L$10,CHOOSE($M$10,$L$9,$M$9)))</f>
        <v xml:space="preserve"> 31.06 </v>
      </c>
      <c r="N175" s="177" t="str">
        <f>IF(AND($D$11="IL",$E175="AMEREN"),"NA",TEXT((SUMPRODUCT(((LMPMain!$H$9:$H$1000)=$E175)*((LMPMain!$J$9:$J$1000)=$F175)*((LMPMain!$O$9:$O$1000)=$C175)*(LMPMain!T$9:T$1000))+(SUMPRODUCT(((Adders!$D$13:$D$101)=$E175)*((Adders!$E$13:$E$101)=$F175)*(Adders!G$13:G$101))+VLOOKUP($H175,Adders!$B$5:$G$8,N$11,FALSE)+Matrix!$D$2)*IF($D175="NJ",1.07,1))/$L$10,CHOOSE($M$10,$L$9,$M$9)))</f>
        <v xml:space="preserve"> 30.67 </v>
      </c>
      <c r="O175" s="112"/>
    </row>
    <row r="176" spans="2:15" x14ac:dyDescent="0.25">
      <c r="B176" s="160" t="s">
        <v>668</v>
      </c>
      <c r="C176" s="127">
        <f t="shared" si="3"/>
        <v>42339</v>
      </c>
      <c r="D176" s="128" t="s">
        <v>6</v>
      </c>
      <c r="E176" s="129" t="s">
        <v>12</v>
      </c>
      <c r="F176" s="128" t="s">
        <v>9</v>
      </c>
      <c r="G176" s="129" t="str">
        <f t="shared" si="4"/>
        <v>General Service Large</v>
      </c>
      <c r="H176" s="130" t="s">
        <v>61</v>
      </c>
      <c r="I176" s="178" t="str">
        <f>TEXT(   (SUMPRODUCT( ((Main!$H$9:$H$1000)=$E176)*((Main!$J$9:$J$1000)=$F176)*((Main!$O$9:$O$1000)=$C176)*(Main!R$9:R$1000) ) +  ( SUMPRODUCT( ((Adders!$D$13:$D$101)=$E176)*((Adders!$E$13:$E$101)=$F176)*(Adders!G$13:G$101)) + VLOOKUP($H176,Adders!$B$5:$G$8,L$11,FALSE)  +  PA!$D$2 ) * IF($D176="NJ",1.07,1))/$L$10, CHOOSE($M$10,$L$9,$M$9) )</f>
        <v xml:space="preserve"> 75.66 </v>
      </c>
      <c r="J176" s="178" t="str">
        <f>TEXT(   (SUMPRODUCT( ((Main!$H$9:$H$1000)=$E176)*((Main!$J$9:$J$1000)=$F176)*((Main!$O$9:$O$1000)=$C176)*(Main!S$9:S$1000) ) +  ( SUMPRODUCT( ((Adders!$D$13:$D$101)=$E176)*((Adders!$E$13:$E$101)=$F176)*(Adders!H$13:H$101)) + VLOOKUP($H176,Adders!$B$5:$G$8,M$11,FALSE)  +  PA!$D$2 ) * IF($D176="NJ",1.07,1))/$L$10, CHOOSE($M$10,$L$9,$M$9) )</f>
        <v xml:space="preserve"> 75.91 </v>
      </c>
      <c r="K176" s="179" t="str">
        <f>TEXT(   (SUMPRODUCT( ((Main!$H$9:$H$1000)=$E176)*((Main!$J$9:$J$1000)=$F176)*((Main!$O$9:$O$1000)=$C176)*(Main!T$9:T$1000) ) +  ( SUMPRODUCT( ((Adders!$D$13:$D$101)=$E176)*((Adders!$E$13:$E$101)=$F176)*(Adders!I$13:I$101)) + VLOOKUP($H176,Adders!$B$5:$G$8,N$11,FALSE)  +  PA!$D$2 ) * IF($D176="NJ",1.07,1))/$L$10, CHOOSE($M$10,$L$9,$M$9) )</f>
        <v xml:space="preserve"> 74.99 </v>
      </c>
      <c r="L176" s="178" t="str">
        <f>IF(AND($D$11="IL",$E176="AMEREN"),"NA",TEXT((SUMPRODUCT(((LMPMain!$H$9:$H$1000)=$E176)*((LMPMain!$J$9:$J$1000)=$F176)*((LMPMain!$O$9:$O$1000)=$C176)*(LMPMain!R$9:R$1000))+(SUMPRODUCT(((Adders!$D$13:$D$101)=$E176)*((Adders!$E$13:$E$101)=$F176)*(Adders!G$13:G$101))+VLOOKUP($H176,Adders!$B$5:$G$8,L$11,FALSE)+Matrix!$D$2)*IF($D176="NJ",1.07,1))/$L$10,CHOOSE($M$10,$L$9,$M$9)))</f>
        <v xml:space="preserve"> 33.96 </v>
      </c>
      <c r="M176" s="178" t="str">
        <f>IF(AND($D$11="IL",$E176="AMEREN"),"NA",TEXT((SUMPRODUCT(((LMPMain!$H$9:$H$1000)=$E176)*((LMPMain!$J$9:$J$1000)=$F176)*((LMPMain!$O$9:$O$1000)=$C176)*(LMPMain!S$9:S$1000))+(SUMPRODUCT(((Adders!$D$13:$D$101)=$E176)*((Adders!$E$13:$E$101)=$F176)*(Adders!H$13:H$101))+VLOOKUP($H176,Adders!$B$5:$G$8,M$11,FALSE)+Matrix!$D$2)*IF($D176="NJ",1.07,1))/$L$10,CHOOSE($M$10,$L$9,$M$9)))</f>
        <v xml:space="preserve"> 33.48 </v>
      </c>
      <c r="N176" s="179" t="str">
        <f>IF(AND($D$11="IL",$E176="AMEREN"),"NA",TEXT((SUMPRODUCT(((LMPMain!$H$9:$H$1000)=$E176)*((LMPMain!$J$9:$J$1000)=$F176)*((LMPMain!$O$9:$O$1000)=$C176)*(LMPMain!T$9:T$1000))+(SUMPRODUCT(((Adders!$D$13:$D$101)=$E176)*((Adders!$E$13:$E$101)=$F176)*(Adders!G$13:G$101))+VLOOKUP($H176,Adders!$B$5:$G$8,N$11,FALSE)+Matrix!$D$2)*IF($D176="NJ",1.07,1))/$L$10,CHOOSE($M$10,$L$9,$M$9)))</f>
        <v xml:space="preserve"> 33.16 </v>
      </c>
      <c r="O176" s="112"/>
    </row>
    <row r="177" spans="2:15" x14ac:dyDescent="0.25">
      <c r="B177" s="160" t="s">
        <v>668</v>
      </c>
      <c r="C177" s="131">
        <f t="shared" si="3"/>
        <v>42339</v>
      </c>
      <c r="D177" s="132" t="s">
        <v>6</v>
      </c>
      <c r="E177" s="133" t="s">
        <v>12</v>
      </c>
      <c r="F177" s="132" t="s">
        <v>9</v>
      </c>
      <c r="G177" s="133" t="str">
        <f t="shared" si="4"/>
        <v>General Service Large</v>
      </c>
      <c r="H177" s="134" t="s">
        <v>62</v>
      </c>
      <c r="I177" s="173" t="str">
        <f>TEXT(   (SUMPRODUCT( ((Main!$H$9:$H$1000)=$E177)*((Main!$J$9:$J$1000)=$F177)*((Main!$O$9:$O$1000)=$C177)*(Main!R$9:R$1000) ) +  ( SUMPRODUCT( ((Adders!$D$13:$D$101)=$E177)*((Adders!$E$13:$E$101)=$F177)*(Adders!G$13:G$101)) + VLOOKUP($H177,Adders!$B$5:$G$8,L$11,FALSE)  +  PA!$D$2 ) * IF($D177="NJ",1.07,1))/$L$10, CHOOSE($M$10,$L$9,$M$9) )</f>
        <v xml:space="preserve"> 74.06 </v>
      </c>
      <c r="J177" s="173" t="str">
        <f>TEXT(   (SUMPRODUCT( ((Main!$H$9:$H$1000)=$E177)*((Main!$J$9:$J$1000)=$F177)*((Main!$O$9:$O$1000)=$C177)*(Main!S$9:S$1000) ) +  ( SUMPRODUCT( ((Adders!$D$13:$D$101)=$E177)*((Adders!$E$13:$E$101)=$F177)*(Adders!H$13:H$101)) + VLOOKUP($H177,Adders!$B$5:$G$8,M$11,FALSE)  +  PA!$D$2 ) * IF($D177="NJ",1.07,1))/$L$10, CHOOSE($M$10,$L$9,$M$9) )</f>
        <v xml:space="preserve"> 74.31 </v>
      </c>
      <c r="K177" s="174" t="str">
        <f>TEXT(   (SUMPRODUCT( ((Main!$H$9:$H$1000)=$E177)*((Main!$J$9:$J$1000)=$F177)*((Main!$O$9:$O$1000)=$C177)*(Main!T$9:T$1000) ) +  ( SUMPRODUCT( ((Adders!$D$13:$D$101)=$E177)*((Adders!$E$13:$E$101)=$F177)*(Adders!I$13:I$101)) + VLOOKUP($H177,Adders!$B$5:$G$8,N$11,FALSE)  +  PA!$D$2 ) * IF($D177="NJ",1.07,1))/$L$10, CHOOSE($M$10,$L$9,$M$9) )</f>
        <v xml:space="preserve"> 73.39 </v>
      </c>
      <c r="L177" s="173" t="str">
        <f>IF(AND($D$11="IL",$E177="AMEREN"),"NA",TEXT((SUMPRODUCT(((LMPMain!$H$9:$H$1000)=$E177)*((LMPMain!$J$9:$J$1000)=$F177)*((LMPMain!$O$9:$O$1000)=$C177)*(LMPMain!R$9:R$1000))+(SUMPRODUCT(((Adders!$D$13:$D$101)=$E177)*((Adders!$E$13:$E$101)=$F177)*(Adders!G$13:G$101))+VLOOKUP($H177,Adders!$B$5:$G$8,L$11,FALSE)+Matrix!$D$2)*IF($D177="NJ",1.07,1))/$L$10,CHOOSE($M$10,$L$9,$M$9)))</f>
        <v xml:space="preserve"> 32.36 </v>
      </c>
      <c r="M177" s="173" t="str">
        <f>IF(AND($D$11="IL",$E177="AMEREN"),"NA",TEXT((SUMPRODUCT(((LMPMain!$H$9:$H$1000)=$E177)*((LMPMain!$J$9:$J$1000)=$F177)*((LMPMain!$O$9:$O$1000)=$C177)*(LMPMain!S$9:S$1000))+(SUMPRODUCT(((Adders!$D$13:$D$101)=$E177)*((Adders!$E$13:$E$101)=$F177)*(Adders!H$13:H$101))+VLOOKUP($H177,Adders!$B$5:$G$8,M$11,FALSE)+Matrix!$D$2)*IF($D177="NJ",1.07,1))/$L$10,CHOOSE($M$10,$L$9,$M$9)))</f>
        <v xml:space="preserve"> 31.88 </v>
      </c>
      <c r="N177" s="174" t="str">
        <f>IF(AND($D$11="IL",$E177="AMEREN"),"NA",TEXT((SUMPRODUCT(((LMPMain!$H$9:$H$1000)=$E177)*((LMPMain!$J$9:$J$1000)=$F177)*((LMPMain!$O$9:$O$1000)=$C177)*(LMPMain!T$9:T$1000))+(SUMPRODUCT(((Adders!$D$13:$D$101)=$E177)*((Adders!$E$13:$E$101)=$F177)*(Adders!G$13:G$101))+VLOOKUP($H177,Adders!$B$5:$G$8,N$11,FALSE)+Matrix!$D$2)*IF($D177="NJ",1.07,1))/$L$10,CHOOSE($M$10,$L$9,$M$9)))</f>
        <v xml:space="preserve"> 31.56 </v>
      </c>
      <c r="O177" s="112"/>
    </row>
    <row r="178" spans="2:15" x14ac:dyDescent="0.25">
      <c r="B178" s="160" t="s">
        <v>668</v>
      </c>
      <c r="C178" s="135">
        <f t="shared" si="3"/>
        <v>42339</v>
      </c>
      <c r="D178" s="136" t="s">
        <v>6</v>
      </c>
      <c r="E178" s="137" t="s">
        <v>12</v>
      </c>
      <c r="F178" s="136" t="s">
        <v>9</v>
      </c>
      <c r="G178" s="137" t="str">
        <f t="shared" si="4"/>
        <v>General Service Large</v>
      </c>
      <c r="H178" s="138" t="s">
        <v>690</v>
      </c>
      <c r="I178" s="176" t="str">
        <f>TEXT(   (SUMPRODUCT( ((Main!$H$9:$H$1000)=$E178)*((Main!$J$9:$J$1000)=$F178)*((Main!$O$9:$O$1000)=$C178)*(Main!R$9:R$1000) ) +  ( SUMPRODUCT( ((Adders!$D$13:$D$101)=$E178)*((Adders!$E$13:$E$101)=$F178)*(Adders!G$13:G$101)) + VLOOKUP($H178,Adders!$B$5:$G$8,L$11,FALSE)  +  PA!$D$2 ) * IF($D178="NJ",1.07,1))/$L$10, CHOOSE($M$10,$L$9,$M$9) )</f>
        <v xml:space="preserve"> 73.01 </v>
      </c>
      <c r="J178" s="176" t="str">
        <f>TEXT(   (SUMPRODUCT( ((Main!$H$9:$H$1000)=$E178)*((Main!$J$9:$J$1000)=$F178)*((Main!$O$9:$O$1000)=$C178)*(Main!S$9:S$1000) ) +  ( SUMPRODUCT( ((Adders!$D$13:$D$101)=$E178)*((Adders!$E$13:$E$101)=$F178)*(Adders!H$13:H$101)) + VLOOKUP($H178,Adders!$B$5:$G$8,M$11,FALSE)  +  PA!$D$2 ) * IF($D178="NJ",1.07,1))/$L$10, CHOOSE($M$10,$L$9,$M$9) )</f>
        <v xml:space="preserve"> 73.26 </v>
      </c>
      <c r="K178" s="177" t="str">
        <f>TEXT(   (SUMPRODUCT( ((Main!$H$9:$H$1000)=$E178)*((Main!$J$9:$J$1000)=$F178)*((Main!$O$9:$O$1000)=$C178)*(Main!T$9:T$1000) ) +  ( SUMPRODUCT( ((Adders!$D$13:$D$101)=$E178)*((Adders!$E$13:$E$101)=$F178)*(Adders!I$13:I$101)) + VLOOKUP($H178,Adders!$B$5:$G$8,N$11,FALSE)  +  PA!$D$2 ) * IF($D178="NJ",1.07,1))/$L$10, CHOOSE($M$10,$L$9,$M$9) )</f>
        <v xml:space="preserve"> 72.34 </v>
      </c>
      <c r="L178" s="176" t="str">
        <f>IF(AND($D$11="IL",$E178="AMEREN"),"NA",TEXT((SUMPRODUCT(((LMPMain!$H$9:$H$1000)=$E178)*((LMPMain!$J$9:$J$1000)=$F178)*((LMPMain!$O$9:$O$1000)=$C178)*(LMPMain!R$9:R$1000))+(SUMPRODUCT(((Adders!$D$13:$D$101)=$E178)*((Adders!$E$13:$E$101)=$F178)*(Adders!G$13:G$101))+VLOOKUP($H178,Adders!$B$5:$G$8,L$11,FALSE)+Matrix!$D$2)*IF($D178="NJ",1.07,1))/$L$10,CHOOSE($M$10,$L$9,$M$9)))</f>
        <v xml:space="preserve"> 31.31 </v>
      </c>
      <c r="M178" s="176" t="str">
        <f>IF(AND($D$11="IL",$E178="AMEREN"),"NA",TEXT((SUMPRODUCT(((LMPMain!$H$9:$H$1000)=$E178)*((LMPMain!$J$9:$J$1000)=$F178)*((LMPMain!$O$9:$O$1000)=$C178)*(LMPMain!S$9:S$1000))+(SUMPRODUCT(((Adders!$D$13:$D$101)=$E178)*((Adders!$E$13:$E$101)=$F178)*(Adders!H$13:H$101))+VLOOKUP($H178,Adders!$B$5:$G$8,M$11,FALSE)+Matrix!$D$2)*IF($D178="NJ",1.07,1))/$L$10,CHOOSE($M$10,$L$9,$M$9)))</f>
        <v xml:space="preserve"> 30.83 </v>
      </c>
      <c r="N178" s="177" t="str">
        <f>IF(AND($D$11="IL",$E178="AMEREN"),"NA",TEXT((SUMPRODUCT(((LMPMain!$H$9:$H$1000)=$E178)*((LMPMain!$J$9:$J$1000)=$F178)*((LMPMain!$O$9:$O$1000)=$C178)*(LMPMain!T$9:T$1000))+(SUMPRODUCT(((Adders!$D$13:$D$101)=$E178)*((Adders!$E$13:$E$101)=$F178)*(Adders!G$13:G$101))+VLOOKUP($H178,Adders!$B$5:$G$8,N$11,FALSE)+Matrix!$D$2)*IF($D178="NJ",1.07,1))/$L$10,CHOOSE($M$10,$L$9,$M$9)))</f>
        <v xml:space="preserve"> 30.51 </v>
      </c>
      <c r="O178" s="112"/>
    </row>
    <row r="179" spans="2:15" x14ac:dyDescent="0.25">
      <c r="B179" s="160" t="s">
        <v>668</v>
      </c>
      <c r="C179" s="127">
        <f t="shared" ref="C179:C242" si="5">C143</f>
        <v>42370</v>
      </c>
      <c r="D179" s="128" t="s">
        <v>6</v>
      </c>
      <c r="E179" s="129" t="s">
        <v>12</v>
      </c>
      <c r="F179" s="128" t="s">
        <v>9</v>
      </c>
      <c r="G179" s="129" t="str">
        <f t="shared" ref="G179:G242" si="6">G178</f>
        <v>General Service Large</v>
      </c>
      <c r="H179" s="130" t="s">
        <v>61</v>
      </c>
      <c r="I179" s="178" t="str">
        <f>TEXT(   (SUMPRODUCT( ((Main!$H$9:$H$1000)=$E179)*((Main!$J$9:$J$1000)=$F179)*((Main!$O$9:$O$1000)=$C179)*(Main!R$9:R$1000) ) +  ( SUMPRODUCT( ((Adders!$D$13:$D$101)=$E179)*((Adders!$E$13:$E$101)=$F179)*(Adders!G$13:G$101)) + VLOOKUP($H179,Adders!$B$5:$G$8,L$11,FALSE)  +  PA!$D$2 ) * IF($D179="NJ",1.07,1))/$L$10, CHOOSE($M$10,$L$9,$M$9) )</f>
        <v xml:space="preserve"> 75.15 </v>
      </c>
      <c r="J179" s="178" t="str">
        <f>TEXT(   (SUMPRODUCT( ((Main!$H$9:$H$1000)=$E179)*((Main!$J$9:$J$1000)=$F179)*((Main!$O$9:$O$1000)=$C179)*(Main!S$9:S$1000) ) +  ( SUMPRODUCT( ((Adders!$D$13:$D$101)=$E179)*((Adders!$E$13:$E$101)=$F179)*(Adders!H$13:H$101)) + VLOOKUP($H179,Adders!$B$5:$G$8,M$11,FALSE)  +  PA!$D$2 ) * IF($D179="NJ",1.07,1))/$L$10, CHOOSE($M$10,$L$9,$M$9) )</f>
        <v xml:space="preserve"> 75.65 </v>
      </c>
      <c r="K179" s="179" t="str">
        <f>TEXT(   (SUMPRODUCT( ((Main!$H$9:$H$1000)=$E179)*((Main!$J$9:$J$1000)=$F179)*((Main!$O$9:$O$1000)=$C179)*(Main!T$9:T$1000) ) +  ( SUMPRODUCT( ((Adders!$D$13:$D$101)=$E179)*((Adders!$E$13:$E$101)=$F179)*(Adders!I$13:I$101)) + VLOOKUP($H179,Adders!$B$5:$G$8,N$11,FALSE)  +  PA!$D$2 ) * IF($D179="NJ",1.07,1))/$L$10, CHOOSE($M$10,$L$9,$M$9) )</f>
        <v xml:space="preserve"> 74.76 </v>
      </c>
      <c r="L179" s="178" t="str">
        <f>IF(AND($D$11="IL",$E179="AMEREN"),"NA",TEXT((SUMPRODUCT(((LMPMain!$H$9:$H$1000)=$E179)*((LMPMain!$J$9:$J$1000)=$F179)*((LMPMain!$O$9:$O$1000)=$C179)*(LMPMain!R$9:R$1000))+(SUMPRODUCT(((Adders!$D$13:$D$101)=$E179)*((Adders!$E$13:$E$101)=$F179)*(Adders!G$13:G$101))+VLOOKUP($H179,Adders!$B$5:$G$8,L$11,FALSE)+Matrix!$D$2)*IF($D179="NJ",1.07,1))/$L$10,CHOOSE($M$10,$L$9,$M$9)))</f>
        <v xml:space="preserve"> 33.62 </v>
      </c>
      <c r="M179" s="178" t="str">
        <f>IF(AND($D$11="IL",$E179="AMEREN"),"NA",TEXT((SUMPRODUCT(((LMPMain!$H$9:$H$1000)=$E179)*((LMPMain!$J$9:$J$1000)=$F179)*((LMPMain!$O$9:$O$1000)=$C179)*(LMPMain!S$9:S$1000))+(SUMPRODUCT(((Adders!$D$13:$D$101)=$E179)*((Adders!$E$13:$E$101)=$F179)*(Adders!H$13:H$101))+VLOOKUP($H179,Adders!$B$5:$G$8,M$11,FALSE)+Matrix!$D$2)*IF($D179="NJ",1.07,1))/$L$10,CHOOSE($M$10,$L$9,$M$9)))</f>
        <v xml:space="preserve"> 33.28 </v>
      </c>
      <c r="N179" s="179" t="str">
        <f>IF(AND($D$11="IL",$E179="AMEREN"),"NA",TEXT((SUMPRODUCT(((LMPMain!$H$9:$H$1000)=$E179)*((LMPMain!$J$9:$J$1000)=$F179)*((LMPMain!$O$9:$O$1000)=$C179)*(LMPMain!T$9:T$1000))+(SUMPRODUCT(((Adders!$D$13:$D$101)=$E179)*((Adders!$E$13:$E$101)=$F179)*(Adders!G$13:G$101))+VLOOKUP($H179,Adders!$B$5:$G$8,N$11,FALSE)+Matrix!$D$2)*IF($D179="NJ",1.07,1))/$L$10,CHOOSE($M$10,$L$9,$M$9)))</f>
        <v xml:space="preserve"> 33.03 </v>
      </c>
      <c r="O179" s="112"/>
    </row>
    <row r="180" spans="2:15" x14ac:dyDescent="0.25">
      <c r="B180" s="160" t="s">
        <v>668</v>
      </c>
      <c r="C180" s="131">
        <f t="shared" si="5"/>
        <v>42370</v>
      </c>
      <c r="D180" s="132" t="s">
        <v>6</v>
      </c>
      <c r="E180" s="133" t="s">
        <v>12</v>
      </c>
      <c r="F180" s="132" t="s">
        <v>9</v>
      </c>
      <c r="G180" s="133" t="str">
        <f t="shared" si="6"/>
        <v>General Service Large</v>
      </c>
      <c r="H180" s="134" t="s">
        <v>62</v>
      </c>
      <c r="I180" s="173" t="str">
        <f>TEXT(   (SUMPRODUCT( ((Main!$H$9:$H$1000)=$E180)*((Main!$J$9:$J$1000)=$F180)*((Main!$O$9:$O$1000)=$C180)*(Main!R$9:R$1000) ) +  ( SUMPRODUCT( ((Adders!$D$13:$D$101)=$E180)*((Adders!$E$13:$E$101)=$F180)*(Adders!G$13:G$101)) + VLOOKUP($H180,Adders!$B$5:$G$8,L$11,FALSE)  +  PA!$D$2 ) * IF($D180="NJ",1.07,1))/$L$10, CHOOSE($M$10,$L$9,$M$9) )</f>
        <v xml:space="preserve"> 73.55 </v>
      </c>
      <c r="J180" s="173" t="str">
        <f>TEXT(   (SUMPRODUCT( ((Main!$H$9:$H$1000)=$E180)*((Main!$J$9:$J$1000)=$F180)*((Main!$O$9:$O$1000)=$C180)*(Main!S$9:S$1000) ) +  ( SUMPRODUCT( ((Adders!$D$13:$D$101)=$E180)*((Adders!$E$13:$E$101)=$F180)*(Adders!H$13:H$101)) + VLOOKUP($H180,Adders!$B$5:$G$8,M$11,FALSE)  +  PA!$D$2 ) * IF($D180="NJ",1.07,1))/$L$10, CHOOSE($M$10,$L$9,$M$9) )</f>
        <v xml:space="preserve"> 74.05 </v>
      </c>
      <c r="K180" s="174" t="str">
        <f>TEXT(   (SUMPRODUCT( ((Main!$H$9:$H$1000)=$E180)*((Main!$J$9:$J$1000)=$F180)*((Main!$O$9:$O$1000)=$C180)*(Main!T$9:T$1000) ) +  ( SUMPRODUCT( ((Adders!$D$13:$D$101)=$E180)*((Adders!$E$13:$E$101)=$F180)*(Adders!I$13:I$101)) + VLOOKUP($H180,Adders!$B$5:$G$8,N$11,FALSE)  +  PA!$D$2 ) * IF($D180="NJ",1.07,1))/$L$10, CHOOSE($M$10,$L$9,$M$9) )</f>
        <v xml:space="preserve"> 73.16 </v>
      </c>
      <c r="L180" s="173" t="str">
        <f>IF(AND($D$11="IL",$E180="AMEREN"),"NA",TEXT((SUMPRODUCT(((LMPMain!$H$9:$H$1000)=$E180)*((LMPMain!$J$9:$J$1000)=$F180)*((LMPMain!$O$9:$O$1000)=$C180)*(LMPMain!R$9:R$1000))+(SUMPRODUCT(((Adders!$D$13:$D$101)=$E180)*((Adders!$E$13:$E$101)=$F180)*(Adders!G$13:G$101))+VLOOKUP($H180,Adders!$B$5:$G$8,L$11,FALSE)+Matrix!$D$2)*IF($D180="NJ",1.07,1))/$L$10,CHOOSE($M$10,$L$9,$M$9)))</f>
        <v xml:space="preserve"> 32.02 </v>
      </c>
      <c r="M180" s="173" t="str">
        <f>IF(AND($D$11="IL",$E180="AMEREN"),"NA",TEXT((SUMPRODUCT(((LMPMain!$H$9:$H$1000)=$E180)*((LMPMain!$J$9:$J$1000)=$F180)*((LMPMain!$O$9:$O$1000)=$C180)*(LMPMain!S$9:S$1000))+(SUMPRODUCT(((Adders!$D$13:$D$101)=$E180)*((Adders!$E$13:$E$101)=$F180)*(Adders!H$13:H$101))+VLOOKUP($H180,Adders!$B$5:$G$8,M$11,FALSE)+Matrix!$D$2)*IF($D180="NJ",1.07,1))/$L$10,CHOOSE($M$10,$L$9,$M$9)))</f>
        <v xml:space="preserve"> 31.68 </v>
      </c>
      <c r="N180" s="174" t="str">
        <f>IF(AND($D$11="IL",$E180="AMEREN"),"NA",TEXT((SUMPRODUCT(((LMPMain!$H$9:$H$1000)=$E180)*((LMPMain!$J$9:$J$1000)=$F180)*((LMPMain!$O$9:$O$1000)=$C180)*(LMPMain!T$9:T$1000))+(SUMPRODUCT(((Adders!$D$13:$D$101)=$E180)*((Adders!$E$13:$E$101)=$F180)*(Adders!G$13:G$101))+VLOOKUP($H180,Adders!$B$5:$G$8,N$11,FALSE)+Matrix!$D$2)*IF($D180="NJ",1.07,1))/$L$10,CHOOSE($M$10,$L$9,$M$9)))</f>
        <v xml:space="preserve"> 31.43 </v>
      </c>
      <c r="O180" s="112"/>
    </row>
    <row r="181" spans="2:15" x14ac:dyDescent="0.25">
      <c r="B181" s="160" t="s">
        <v>668</v>
      </c>
      <c r="C181" s="135">
        <f t="shared" si="5"/>
        <v>42370</v>
      </c>
      <c r="D181" s="136" t="s">
        <v>6</v>
      </c>
      <c r="E181" s="137" t="s">
        <v>12</v>
      </c>
      <c r="F181" s="136" t="s">
        <v>9</v>
      </c>
      <c r="G181" s="137" t="str">
        <f t="shared" si="6"/>
        <v>General Service Large</v>
      </c>
      <c r="H181" s="138" t="s">
        <v>690</v>
      </c>
      <c r="I181" s="176" t="str">
        <f>TEXT(   (SUMPRODUCT( ((Main!$H$9:$H$1000)=$E181)*((Main!$J$9:$J$1000)=$F181)*((Main!$O$9:$O$1000)=$C181)*(Main!R$9:R$1000) ) +  ( SUMPRODUCT( ((Adders!$D$13:$D$101)=$E181)*((Adders!$E$13:$E$101)=$F181)*(Adders!G$13:G$101)) + VLOOKUP($H181,Adders!$B$5:$G$8,L$11,FALSE)  +  PA!$D$2 ) * IF($D181="NJ",1.07,1))/$L$10, CHOOSE($M$10,$L$9,$M$9) )</f>
        <v xml:space="preserve"> 72.50 </v>
      </c>
      <c r="J181" s="176" t="str">
        <f>TEXT(   (SUMPRODUCT( ((Main!$H$9:$H$1000)=$E181)*((Main!$J$9:$J$1000)=$F181)*((Main!$O$9:$O$1000)=$C181)*(Main!S$9:S$1000) ) +  ( SUMPRODUCT( ((Adders!$D$13:$D$101)=$E181)*((Adders!$E$13:$E$101)=$F181)*(Adders!H$13:H$101)) + VLOOKUP($H181,Adders!$B$5:$G$8,M$11,FALSE)  +  PA!$D$2 ) * IF($D181="NJ",1.07,1))/$L$10, CHOOSE($M$10,$L$9,$M$9) )</f>
        <v xml:space="preserve"> 73.00 </v>
      </c>
      <c r="K181" s="177" t="str">
        <f>TEXT(   (SUMPRODUCT( ((Main!$H$9:$H$1000)=$E181)*((Main!$J$9:$J$1000)=$F181)*((Main!$O$9:$O$1000)=$C181)*(Main!T$9:T$1000) ) +  ( SUMPRODUCT( ((Adders!$D$13:$D$101)=$E181)*((Adders!$E$13:$E$101)=$F181)*(Adders!I$13:I$101)) + VLOOKUP($H181,Adders!$B$5:$G$8,N$11,FALSE)  +  PA!$D$2 ) * IF($D181="NJ",1.07,1))/$L$10, CHOOSE($M$10,$L$9,$M$9) )</f>
        <v xml:space="preserve"> 72.11 </v>
      </c>
      <c r="L181" s="176" t="str">
        <f>IF(AND($D$11="IL",$E181="AMEREN"),"NA",TEXT((SUMPRODUCT(((LMPMain!$H$9:$H$1000)=$E181)*((LMPMain!$J$9:$J$1000)=$F181)*((LMPMain!$O$9:$O$1000)=$C181)*(LMPMain!R$9:R$1000))+(SUMPRODUCT(((Adders!$D$13:$D$101)=$E181)*((Adders!$E$13:$E$101)=$F181)*(Adders!G$13:G$101))+VLOOKUP($H181,Adders!$B$5:$G$8,L$11,FALSE)+Matrix!$D$2)*IF($D181="NJ",1.07,1))/$L$10,CHOOSE($M$10,$L$9,$M$9)))</f>
        <v xml:space="preserve"> 30.97 </v>
      </c>
      <c r="M181" s="176" t="str">
        <f>IF(AND($D$11="IL",$E181="AMEREN"),"NA",TEXT((SUMPRODUCT(((LMPMain!$H$9:$H$1000)=$E181)*((LMPMain!$J$9:$J$1000)=$F181)*((LMPMain!$O$9:$O$1000)=$C181)*(LMPMain!S$9:S$1000))+(SUMPRODUCT(((Adders!$D$13:$D$101)=$E181)*((Adders!$E$13:$E$101)=$F181)*(Adders!H$13:H$101))+VLOOKUP($H181,Adders!$B$5:$G$8,M$11,FALSE)+Matrix!$D$2)*IF($D181="NJ",1.07,1))/$L$10,CHOOSE($M$10,$L$9,$M$9)))</f>
        <v xml:space="preserve"> 30.63 </v>
      </c>
      <c r="N181" s="177" t="str">
        <f>IF(AND($D$11="IL",$E181="AMEREN"),"NA",TEXT((SUMPRODUCT(((LMPMain!$H$9:$H$1000)=$E181)*((LMPMain!$J$9:$J$1000)=$F181)*((LMPMain!$O$9:$O$1000)=$C181)*(LMPMain!T$9:T$1000))+(SUMPRODUCT(((Adders!$D$13:$D$101)=$E181)*((Adders!$E$13:$E$101)=$F181)*(Adders!G$13:G$101))+VLOOKUP($H181,Adders!$B$5:$G$8,N$11,FALSE)+Matrix!$D$2)*IF($D181="NJ",1.07,1))/$L$10,CHOOSE($M$10,$L$9,$M$9)))</f>
        <v xml:space="preserve"> 30.38 </v>
      </c>
      <c r="O181" s="112"/>
    </row>
    <row r="182" spans="2:15" x14ac:dyDescent="0.25">
      <c r="B182" s="160" t="s">
        <v>668</v>
      </c>
      <c r="C182" s="127">
        <f t="shared" si="5"/>
        <v>42401</v>
      </c>
      <c r="D182" s="128" t="s">
        <v>6</v>
      </c>
      <c r="E182" s="129" t="s">
        <v>12</v>
      </c>
      <c r="F182" s="128" t="s">
        <v>9</v>
      </c>
      <c r="G182" s="129" t="str">
        <f t="shared" si="6"/>
        <v>General Service Large</v>
      </c>
      <c r="H182" s="130" t="s">
        <v>61</v>
      </c>
      <c r="I182" s="178" t="str">
        <f>TEXT(   (SUMPRODUCT( ((Main!$H$9:$H$1000)=$E182)*((Main!$J$9:$J$1000)=$F182)*((Main!$O$9:$O$1000)=$C182)*(Main!R$9:R$1000) ) +  ( SUMPRODUCT( ((Adders!$D$13:$D$101)=$E182)*((Adders!$E$13:$E$101)=$F182)*(Adders!G$13:G$101)) + VLOOKUP($H182,Adders!$B$5:$G$8,L$11,FALSE)  +  PA!$D$2 ) * IF($D182="NJ",1.07,1))/$L$10, CHOOSE($M$10,$L$9,$M$9) )</f>
        <v xml:space="preserve"> 74.92 </v>
      </c>
      <c r="J182" s="178" t="str">
        <f>TEXT(   (SUMPRODUCT( ((Main!$H$9:$H$1000)=$E182)*((Main!$J$9:$J$1000)=$F182)*((Main!$O$9:$O$1000)=$C182)*(Main!S$9:S$1000) ) +  ( SUMPRODUCT( ((Adders!$D$13:$D$101)=$E182)*((Adders!$E$13:$E$101)=$F182)*(Adders!H$13:H$101)) + VLOOKUP($H182,Adders!$B$5:$G$8,M$11,FALSE)  +  PA!$D$2 ) * IF($D182="NJ",1.07,1))/$L$10, CHOOSE($M$10,$L$9,$M$9) )</f>
        <v xml:space="preserve"> 75.20 </v>
      </c>
      <c r="K182" s="179" t="str">
        <f>TEXT(   (SUMPRODUCT( ((Main!$H$9:$H$1000)=$E182)*((Main!$J$9:$J$1000)=$F182)*((Main!$O$9:$O$1000)=$C182)*(Main!T$9:T$1000) ) +  ( SUMPRODUCT( ((Adders!$D$13:$D$101)=$E182)*((Adders!$E$13:$E$101)=$F182)*(Adders!I$13:I$101)) + VLOOKUP($H182,Adders!$B$5:$G$8,N$11,FALSE)  +  PA!$D$2 ) * IF($D182="NJ",1.07,1))/$L$10, CHOOSE($M$10,$L$9,$M$9) )</f>
        <v xml:space="preserve"> 74.74 </v>
      </c>
      <c r="L182" s="178" t="str">
        <f>IF(AND($D$11="IL",$E182="AMEREN"),"NA",TEXT((SUMPRODUCT(((LMPMain!$H$9:$H$1000)=$E182)*((LMPMain!$J$9:$J$1000)=$F182)*((LMPMain!$O$9:$O$1000)=$C182)*(LMPMain!R$9:R$1000))+(SUMPRODUCT(((Adders!$D$13:$D$101)=$E182)*((Adders!$E$13:$E$101)=$F182)*(Adders!G$13:G$101))+VLOOKUP($H182,Adders!$B$5:$G$8,L$11,FALSE)+Matrix!$D$2)*IF($D182="NJ",1.07,1))/$L$10,CHOOSE($M$10,$L$9,$M$9)))</f>
        <v xml:space="preserve"> 33.27 </v>
      </c>
      <c r="M182" s="178" t="str">
        <f>IF(AND($D$11="IL",$E182="AMEREN"),"NA",TEXT((SUMPRODUCT(((LMPMain!$H$9:$H$1000)=$E182)*((LMPMain!$J$9:$J$1000)=$F182)*((LMPMain!$O$9:$O$1000)=$C182)*(LMPMain!S$9:S$1000))+(SUMPRODUCT(((Adders!$D$13:$D$101)=$E182)*((Adders!$E$13:$E$101)=$F182)*(Adders!H$13:H$101))+VLOOKUP($H182,Adders!$B$5:$G$8,M$11,FALSE)+Matrix!$D$2)*IF($D182="NJ",1.07,1))/$L$10,CHOOSE($M$10,$L$9,$M$9)))</f>
        <v xml:space="preserve"> 33.03 </v>
      </c>
      <c r="N182" s="179" t="str">
        <f>IF(AND($D$11="IL",$E182="AMEREN"),"NA",TEXT((SUMPRODUCT(((LMPMain!$H$9:$H$1000)=$E182)*((LMPMain!$J$9:$J$1000)=$F182)*((LMPMain!$O$9:$O$1000)=$C182)*(LMPMain!T$9:T$1000))+(SUMPRODUCT(((Adders!$D$13:$D$101)=$E182)*((Adders!$E$13:$E$101)=$F182)*(Adders!G$13:G$101))+VLOOKUP($H182,Adders!$B$5:$G$8,N$11,FALSE)+Matrix!$D$2)*IF($D182="NJ",1.07,1))/$L$10,CHOOSE($M$10,$L$9,$M$9)))</f>
        <v xml:space="preserve"> 32.89 </v>
      </c>
      <c r="O182" s="112"/>
    </row>
    <row r="183" spans="2:15" x14ac:dyDescent="0.25">
      <c r="B183" s="160" t="s">
        <v>668</v>
      </c>
      <c r="C183" s="131">
        <f t="shared" si="5"/>
        <v>42401</v>
      </c>
      <c r="D183" s="132" t="s">
        <v>6</v>
      </c>
      <c r="E183" s="133" t="s">
        <v>12</v>
      </c>
      <c r="F183" s="132" t="s">
        <v>9</v>
      </c>
      <c r="G183" s="133" t="str">
        <f t="shared" si="6"/>
        <v>General Service Large</v>
      </c>
      <c r="H183" s="134" t="s">
        <v>62</v>
      </c>
      <c r="I183" s="173" t="str">
        <f>TEXT(   (SUMPRODUCT( ((Main!$H$9:$H$1000)=$E183)*((Main!$J$9:$J$1000)=$F183)*((Main!$O$9:$O$1000)=$C183)*(Main!R$9:R$1000) ) +  ( SUMPRODUCT( ((Adders!$D$13:$D$101)=$E183)*((Adders!$E$13:$E$101)=$F183)*(Adders!G$13:G$101)) + VLOOKUP($H183,Adders!$B$5:$G$8,L$11,FALSE)  +  PA!$D$2 ) * IF($D183="NJ",1.07,1))/$L$10, CHOOSE($M$10,$L$9,$M$9) )</f>
        <v xml:space="preserve"> 73.32 </v>
      </c>
      <c r="J183" s="173" t="str">
        <f>TEXT(   (SUMPRODUCT( ((Main!$H$9:$H$1000)=$E183)*((Main!$J$9:$J$1000)=$F183)*((Main!$O$9:$O$1000)=$C183)*(Main!S$9:S$1000) ) +  ( SUMPRODUCT( ((Adders!$D$13:$D$101)=$E183)*((Adders!$E$13:$E$101)=$F183)*(Adders!H$13:H$101)) + VLOOKUP($H183,Adders!$B$5:$G$8,M$11,FALSE)  +  PA!$D$2 ) * IF($D183="NJ",1.07,1))/$L$10, CHOOSE($M$10,$L$9,$M$9) )</f>
        <v xml:space="preserve"> 73.60 </v>
      </c>
      <c r="K183" s="174" t="str">
        <f>TEXT(   (SUMPRODUCT( ((Main!$H$9:$H$1000)=$E183)*((Main!$J$9:$J$1000)=$F183)*((Main!$O$9:$O$1000)=$C183)*(Main!T$9:T$1000) ) +  ( SUMPRODUCT( ((Adders!$D$13:$D$101)=$E183)*((Adders!$E$13:$E$101)=$F183)*(Adders!I$13:I$101)) + VLOOKUP($H183,Adders!$B$5:$G$8,N$11,FALSE)  +  PA!$D$2 ) * IF($D183="NJ",1.07,1))/$L$10, CHOOSE($M$10,$L$9,$M$9) )</f>
        <v xml:space="preserve"> 73.14 </v>
      </c>
      <c r="L183" s="173" t="str">
        <f>IF(AND($D$11="IL",$E183="AMEREN"),"NA",TEXT((SUMPRODUCT(((LMPMain!$H$9:$H$1000)=$E183)*((LMPMain!$J$9:$J$1000)=$F183)*((LMPMain!$O$9:$O$1000)=$C183)*(LMPMain!R$9:R$1000))+(SUMPRODUCT(((Adders!$D$13:$D$101)=$E183)*((Adders!$E$13:$E$101)=$F183)*(Adders!G$13:G$101))+VLOOKUP($H183,Adders!$B$5:$G$8,L$11,FALSE)+Matrix!$D$2)*IF($D183="NJ",1.07,1))/$L$10,CHOOSE($M$10,$L$9,$M$9)))</f>
        <v xml:space="preserve"> 31.67 </v>
      </c>
      <c r="M183" s="173" t="str">
        <f>IF(AND($D$11="IL",$E183="AMEREN"),"NA",TEXT((SUMPRODUCT(((LMPMain!$H$9:$H$1000)=$E183)*((LMPMain!$J$9:$J$1000)=$F183)*((LMPMain!$O$9:$O$1000)=$C183)*(LMPMain!S$9:S$1000))+(SUMPRODUCT(((Adders!$D$13:$D$101)=$E183)*((Adders!$E$13:$E$101)=$F183)*(Adders!H$13:H$101))+VLOOKUP($H183,Adders!$B$5:$G$8,M$11,FALSE)+Matrix!$D$2)*IF($D183="NJ",1.07,1))/$L$10,CHOOSE($M$10,$L$9,$M$9)))</f>
        <v xml:space="preserve"> 31.43 </v>
      </c>
      <c r="N183" s="174" t="str">
        <f>IF(AND($D$11="IL",$E183="AMEREN"),"NA",TEXT((SUMPRODUCT(((LMPMain!$H$9:$H$1000)=$E183)*((LMPMain!$J$9:$J$1000)=$F183)*((LMPMain!$O$9:$O$1000)=$C183)*(LMPMain!T$9:T$1000))+(SUMPRODUCT(((Adders!$D$13:$D$101)=$E183)*((Adders!$E$13:$E$101)=$F183)*(Adders!G$13:G$101))+VLOOKUP($H183,Adders!$B$5:$G$8,N$11,FALSE)+Matrix!$D$2)*IF($D183="NJ",1.07,1))/$L$10,CHOOSE($M$10,$L$9,$M$9)))</f>
        <v xml:space="preserve"> 31.29 </v>
      </c>
      <c r="O183" s="112"/>
    </row>
    <row r="184" spans="2:15" x14ac:dyDescent="0.25">
      <c r="B184" s="160" t="s">
        <v>668</v>
      </c>
      <c r="C184" s="135">
        <f t="shared" si="5"/>
        <v>42401</v>
      </c>
      <c r="D184" s="136" t="s">
        <v>6</v>
      </c>
      <c r="E184" s="137" t="s">
        <v>12</v>
      </c>
      <c r="F184" s="136" t="s">
        <v>9</v>
      </c>
      <c r="G184" s="137" t="str">
        <f t="shared" si="6"/>
        <v>General Service Large</v>
      </c>
      <c r="H184" s="138" t="s">
        <v>690</v>
      </c>
      <c r="I184" s="176" t="str">
        <f>TEXT(   (SUMPRODUCT( ((Main!$H$9:$H$1000)=$E184)*((Main!$J$9:$J$1000)=$F184)*((Main!$O$9:$O$1000)=$C184)*(Main!R$9:R$1000) ) +  ( SUMPRODUCT( ((Adders!$D$13:$D$101)=$E184)*((Adders!$E$13:$E$101)=$F184)*(Adders!G$13:G$101)) + VLOOKUP($H184,Adders!$B$5:$G$8,L$11,FALSE)  +  PA!$D$2 ) * IF($D184="NJ",1.07,1))/$L$10, CHOOSE($M$10,$L$9,$M$9) )</f>
        <v xml:space="preserve"> 72.27 </v>
      </c>
      <c r="J184" s="176" t="str">
        <f>TEXT(   (SUMPRODUCT( ((Main!$H$9:$H$1000)=$E184)*((Main!$J$9:$J$1000)=$F184)*((Main!$O$9:$O$1000)=$C184)*(Main!S$9:S$1000) ) +  ( SUMPRODUCT( ((Adders!$D$13:$D$101)=$E184)*((Adders!$E$13:$E$101)=$F184)*(Adders!H$13:H$101)) + VLOOKUP($H184,Adders!$B$5:$G$8,M$11,FALSE)  +  PA!$D$2 ) * IF($D184="NJ",1.07,1))/$L$10, CHOOSE($M$10,$L$9,$M$9) )</f>
        <v xml:space="preserve"> 72.55 </v>
      </c>
      <c r="K184" s="177" t="str">
        <f>TEXT(   (SUMPRODUCT( ((Main!$H$9:$H$1000)=$E184)*((Main!$J$9:$J$1000)=$F184)*((Main!$O$9:$O$1000)=$C184)*(Main!T$9:T$1000) ) +  ( SUMPRODUCT( ((Adders!$D$13:$D$101)=$E184)*((Adders!$E$13:$E$101)=$F184)*(Adders!I$13:I$101)) + VLOOKUP($H184,Adders!$B$5:$G$8,N$11,FALSE)  +  PA!$D$2 ) * IF($D184="NJ",1.07,1))/$L$10, CHOOSE($M$10,$L$9,$M$9) )</f>
        <v xml:space="preserve"> 72.09 </v>
      </c>
      <c r="L184" s="176" t="str">
        <f>IF(AND($D$11="IL",$E184="AMEREN"),"NA",TEXT((SUMPRODUCT(((LMPMain!$H$9:$H$1000)=$E184)*((LMPMain!$J$9:$J$1000)=$F184)*((LMPMain!$O$9:$O$1000)=$C184)*(LMPMain!R$9:R$1000))+(SUMPRODUCT(((Adders!$D$13:$D$101)=$E184)*((Adders!$E$13:$E$101)=$F184)*(Adders!G$13:G$101))+VLOOKUP($H184,Adders!$B$5:$G$8,L$11,FALSE)+Matrix!$D$2)*IF($D184="NJ",1.07,1))/$L$10,CHOOSE($M$10,$L$9,$M$9)))</f>
        <v xml:space="preserve"> 30.62 </v>
      </c>
      <c r="M184" s="176" t="str">
        <f>IF(AND($D$11="IL",$E184="AMEREN"),"NA",TEXT((SUMPRODUCT(((LMPMain!$H$9:$H$1000)=$E184)*((LMPMain!$J$9:$J$1000)=$F184)*((LMPMain!$O$9:$O$1000)=$C184)*(LMPMain!S$9:S$1000))+(SUMPRODUCT(((Adders!$D$13:$D$101)=$E184)*((Adders!$E$13:$E$101)=$F184)*(Adders!H$13:H$101))+VLOOKUP($H184,Adders!$B$5:$G$8,M$11,FALSE)+Matrix!$D$2)*IF($D184="NJ",1.07,1))/$L$10,CHOOSE($M$10,$L$9,$M$9)))</f>
        <v xml:space="preserve"> 30.38 </v>
      </c>
      <c r="N184" s="177" t="str">
        <f>IF(AND($D$11="IL",$E184="AMEREN"),"NA",TEXT((SUMPRODUCT(((LMPMain!$H$9:$H$1000)=$E184)*((LMPMain!$J$9:$J$1000)=$F184)*((LMPMain!$O$9:$O$1000)=$C184)*(LMPMain!T$9:T$1000))+(SUMPRODUCT(((Adders!$D$13:$D$101)=$E184)*((Adders!$E$13:$E$101)=$F184)*(Adders!G$13:G$101))+VLOOKUP($H184,Adders!$B$5:$G$8,N$11,FALSE)+Matrix!$D$2)*IF($D184="NJ",1.07,1))/$L$10,CHOOSE($M$10,$L$9,$M$9)))</f>
        <v xml:space="preserve"> 30.24 </v>
      </c>
      <c r="O184" s="112"/>
    </row>
    <row r="185" spans="2:15" x14ac:dyDescent="0.25">
      <c r="B185" s="160" t="s">
        <v>668</v>
      </c>
      <c r="C185" s="127">
        <f t="shared" si="5"/>
        <v>42430</v>
      </c>
      <c r="D185" s="128" t="s">
        <v>6</v>
      </c>
      <c r="E185" s="129" t="s">
        <v>12</v>
      </c>
      <c r="F185" s="128" t="s">
        <v>9</v>
      </c>
      <c r="G185" s="129" t="str">
        <f t="shared" si="6"/>
        <v>General Service Large</v>
      </c>
      <c r="H185" s="130" t="s">
        <v>61</v>
      </c>
      <c r="I185" s="178" t="str">
        <f>TEXT(   (SUMPRODUCT( ((Main!$H$9:$H$1000)=$E185)*((Main!$J$9:$J$1000)=$F185)*((Main!$O$9:$O$1000)=$C185)*(Main!R$9:R$1000) ) +  ( SUMPRODUCT( ((Adders!$D$13:$D$101)=$E185)*((Adders!$E$13:$E$101)=$F185)*(Adders!G$13:G$101)) + VLOOKUP($H185,Adders!$B$5:$G$8,L$11,FALSE)  +  PA!$D$2 ) * IF($D185="NJ",1.07,1))/$L$10, CHOOSE($M$10,$L$9,$M$9) )</f>
        <v xml:space="preserve"> 74.69 </v>
      </c>
      <c r="J185" s="178" t="str">
        <f>TEXT(   (SUMPRODUCT( ((Main!$H$9:$H$1000)=$E185)*((Main!$J$9:$J$1000)=$F185)*((Main!$O$9:$O$1000)=$C185)*(Main!S$9:S$1000) ) +  ( SUMPRODUCT( ((Adders!$D$13:$D$101)=$E185)*((Adders!$E$13:$E$101)=$F185)*(Adders!H$13:H$101)) + VLOOKUP($H185,Adders!$B$5:$G$8,M$11,FALSE)  +  PA!$D$2 ) * IF($D185="NJ",1.07,1))/$L$10, CHOOSE($M$10,$L$9,$M$9) )</f>
        <v xml:space="preserve"> 74.69 </v>
      </c>
      <c r="K185" s="179" t="str">
        <f>TEXT(   (SUMPRODUCT( ((Main!$H$9:$H$1000)=$E185)*((Main!$J$9:$J$1000)=$F185)*((Main!$O$9:$O$1000)=$C185)*(Main!T$9:T$1000) ) +  ( SUMPRODUCT( ((Adders!$D$13:$D$101)=$E185)*((Adders!$E$13:$E$101)=$F185)*(Adders!I$13:I$101)) + VLOOKUP($H185,Adders!$B$5:$G$8,N$11,FALSE)  +  PA!$D$2 ) * IF($D185="NJ",1.07,1))/$L$10, CHOOSE($M$10,$L$9,$M$9) )</f>
        <v xml:space="preserve"> 74.71 </v>
      </c>
      <c r="L185" s="178" t="str">
        <f>IF(AND($D$11="IL",$E185="AMEREN"),"NA",TEXT((SUMPRODUCT(((LMPMain!$H$9:$H$1000)=$E185)*((LMPMain!$J$9:$J$1000)=$F185)*((LMPMain!$O$9:$O$1000)=$C185)*(LMPMain!R$9:R$1000))+(SUMPRODUCT(((Adders!$D$13:$D$101)=$E185)*((Adders!$E$13:$E$101)=$F185)*(Adders!G$13:G$101))+VLOOKUP($H185,Adders!$B$5:$G$8,L$11,FALSE)+Matrix!$D$2)*IF($D185="NJ",1.07,1))/$L$10,CHOOSE($M$10,$L$9,$M$9)))</f>
        <v xml:space="preserve"> 32.95 </v>
      </c>
      <c r="M185" s="178" t="str">
        <f>IF(AND($D$11="IL",$E185="AMEREN"),"NA",TEXT((SUMPRODUCT(((LMPMain!$H$9:$H$1000)=$E185)*((LMPMain!$J$9:$J$1000)=$F185)*((LMPMain!$O$9:$O$1000)=$C185)*(LMPMain!S$9:S$1000))+(SUMPRODUCT(((Adders!$D$13:$D$101)=$E185)*((Adders!$E$13:$E$101)=$F185)*(Adders!H$13:H$101))+VLOOKUP($H185,Adders!$B$5:$G$8,M$11,FALSE)+Matrix!$D$2)*IF($D185="NJ",1.07,1))/$L$10,CHOOSE($M$10,$L$9,$M$9)))</f>
        <v xml:space="preserve"> 32.73 </v>
      </c>
      <c r="N185" s="179" t="str">
        <f>IF(AND($D$11="IL",$E185="AMEREN"),"NA",TEXT((SUMPRODUCT(((LMPMain!$H$9:$H$1000)=$E185)*((LMPMain!$J$9:$J$1000)=$F185)*((LMPMain!$O$9:$O$1000)=$C185)*(LMPMain!T$9:T$1000))+(SUMPRODUCT(((Adders!$D$13:$D$101)=$E185)*((Adders!$E$13:$E$101)=$F185)*(Adders!G$13:G$101))+VLOOKUP($H185,Adders!$B$5:$G$8,N$11,FALSE)+Matrix!$D$2)*IF($D185="NJ",1.07,1))/$L$10,CHOOSE($M$10,$L$9,$M$9)))</f>
        <v xml:space="preserve"> 32.76 </v>
      </c>
      <c r="O185" s="112"/>
    </row>
    <row r="186" spans="2:15" x14ac:dyDescent="0.25">
      <c r="B186" s="160" t="s">
        <v>668</v>
      </c>
      <c r="C186" s="131">
        <f t="shared" si="5"/>
        <v>42430</v>
      </c>
      <c r="D186" s="132" t="s">
        <v>6</v>
      </c>
      <c r="E186" s="133" t="s">
        <v>12</v>
      </c>
      <c r="F186" s="132" t="s">
        <v>9</v>
      </c>
      <c r="G186" s="133" t="str">
        <f t="shared" si="6"/>
        <v>General Service Large</v>
      </c>
      <c r="H186" s="134" t="s">
        <v>62</v>
      </c>
      <c r="I186" s="173" t="str">
        <f>TEXT(   (SUMPRODUCT( ((Main!$H$9:$H$1000)=$E186)*((Main!$J$9:$J$1000)=$F186)*((Main!$O$9:$O$1000)=$C186)*(Main!R$9:R$1000) ) +  ( SUMPRODUCT( ((Adders!$D$13:$D$101)=$E186)*((Adders!$E$13:$E$101)=$F186)*(Adders!G$13:G$101)) + VLOOKUP($H186,Adders!$B$5:$G$8,L$11,FALSE)  +  PA!$D$2 ) * IF($D186="NJ",1.07,1))/$L$10, CHOOSE($M$10,$L$9,$M$9) )</f>
        <v xml:space="preserve"> 73.09 </v>
      </c>
      <c r="J186" s="173" t="str">
        <f>TEXT(   (SUMPRODUCT( ((Main!$H$9:$H$1000)=$E186)*((Main!$J$9:$J$1000)=$F186)*((Main!$O$9:$O$1000)=$C186)*(Main!S$9:S$1000) ) +  ( SUMPRODUCT( ((Adders!$D$13:$D$101)=$E186)*((Adders!$E$13:$E$101)=$F186)*(Adders!H$13:H$101)) + VLOOKUP($H186,Adders!$B$5:$G$8,M$11,FALSE)  +  PA!$D$2 ) * IF($D186="NJ",1.07,1))/$L$10, CHOOSE($M$10,$L$9,$M$9) )</f>
        <v xml:space="preserve"> 73.09 </v>
      </c>
      <c r="K186" s="174" t="str">
        <f>TEXT(   (SUMPRODUCT( ((Main!$H$9:$H$1000)=$E186)*((Main!$J$9:$J$1000)=$F186)*((Main!$O$9:$O$1000)=$C186)*(Main!T$9:T$1000) ) +  ( SUMPRODUCT( ((Adders!$D$13:$D$101)=$E186)*((Adders!$E$13:$E$101)=$F186)*(Adders!I$13:I$101)) + VLOOKUP($H186,Adders!$B$5:$G$8,N$11,FALSE)  +  PA!$D$2 ) * IF($D186="NJ",1.07,1))/$L$10, CHOOSE($M$10,$L$9,$M$9) )</f>
        <v xml:space="preserve"> 73.11 </v>
      </c>
      <c r="L186" s="173" t="str">
        <f>IF(AND($D$11="IL",$E186="AMEREN"),"NA",TEXT((SUMPRODUCT(((LMPMain!$H$9:$H$1000)=$E186)*((LMPMain!$J$9:$J$1000)=$F186)*((LMPMain!$O$9:$O$1000)=$C186)*(LMPMain!R$9:R$1000))+(SUMPRODUCT(((Adders!$D$13:$D$101)=$E186)*((Adders!$E$13:$E$101)=$F186)*(Adders!G$13:G$101))+VLOOKUP($H186,Adders!$B$5:$G$8,L$11,FALSE)+Matrix!$D$2)*IF($D186="NJ",1.07,1))/$L$10,CHOOSE($M$10,$L$9,$M$9)))</f>
        <v xml:space="preserve"> 31.35 </v>
      </c>
      <c r="M186" s="173" t="str">
        <f>IF(AND($D$11="IL",$E186="AMEREN"),"NA",TEXT((SUMPRODUCT(((LMPMain!$H$9:$H$1000)=$E186)*((LMPMain!$J$9:$J$1000)=$F186)*((LMPMain!$O$9:$O$1000)=$C186)*(LMPMain!S$9:S$1000))+(SUMPRODUCT(((Adders!$D$13:$D$101)=$E186)*((Adders!$E$13:$E$101)=$F186)*(Adders!H$13:H$101))+VLOOKUP($H186,Adders!$B$5:$G$8,M$11,FALSE)+Matrix!$D$2)*IF($D186="NJ",1.07,1))/$L$10,CHOOSE($M$10,$L$9,$M$9)))</f>
        <v xml:space="preserve"> 31.13 </v>
      </c>
      <c r="N186" s="174" t="str">
        <f>IF(AND($D$11="IL",$E186="AMEREN"),"NA",TEXT((SUMPRODUCT(((LMPMain!$H$9:$H$1000)=$E186)*((LMPMain!$J$9:$J$1000)=$F186)*((LMPMain!$O$9:$O$1000)=$C186)*(LMPMain!T$9:T$1000))+(SUMPRODUCT(((Adders!$D$13:$D$101)=$E186)*((Adders!$E$13:$E$101)=$F186)*(Adders!G$13:G$101))+VLOOKUP($H186,Adders!$B$5:$G$8,N$11,FALSE)+Matrix!$D$2)*IF($D186="NJ",1.07,1))/$L$10,CHOOSE($M$10,$L$9,$M$9)))</f>
        <v xml:space="preserve"> 31.16 </v>
      </c>
      <c r="O186" s="112"/>
    </row>
    <row r="187" spans="2:15" x14ac:dyDescent="0.25">
      <c r="B187" s="160" t="s">
        <v>668</v>
      </c>
      <c r="C187" s="135">
        <f t="shared" si="5"/>
        <v>42430</v>
      </c>
      <c r="D187" s="136" t="s">
        <v>6</v>
      </c>
      <c r="E187" s="137" t="s">
        <v>12</v>
      </c>
      <c r="F187" s="136" t="s">
        <v>9</v>
      </c>
      <c r="G187" s="137" t="str">
        <f t="shared" si="6"/>
        <v>General Service Large</v>
      </c>
      <c r="H187" s="138" t="s">
        <v>690</v>
      </c>
      <c r="I187" s="176" t="str">
        <f>TEXT(   (SUMPRODUCT( ((Main!$H$9:$H$1000)=$E187)*((Main!$J$9:$J$1000)=$F187)*((Main!$O$9:$O$1000)=$C187)*(Main!R$9:R$1000) ) +  ( SUMPRODUCT( ((Adders!$D$13:$D$101)=$E187)*((Adders!$E$13:$E$101)=$F187)*(Adders!G$13:G$101)) + VLOOKUP($H187,Adders!$B$5:$G$8,L$11,FALSE)  +  PA!$D$2 ) * IF($D187="NJ",1.07,1))/$L$10, CHOOSE($M$10,$L$9,$M$9) )</f>
        <v xml:space="preserve"> 72.04 </v>
      </c>
      <c r="J187" s="176" t="str">
        <f>TEXT(   (SUMPRODUCT( ((Main!$H$9:$H$1000)=$E187)*((Main!$J$9:$J$1000)=$F187)*((Main!$O$9:$O$1000)=$C187)*(Main!S$9:S$1000) ) +  ( SUMPRODUCT( ((Adders!$D$13:$D$101)=$E187)*((Adders!$E$13:$E$101)=$F187)*(Adders!H$13:H$101)) + VLOOKUP($H187,Adders!$B$5:$G$8,M$11,FALSE)  +  PA!$D$2 ) * IF($D187="NJ",1.07,1))/$L$10, CHOOSE($M$10,$L$9,$M$9) )</f>
        <v xml:space="preserve"> 72.04 </v>
      </c>
      <c r="K187" s="177" t="str">
        <f>TEXT(   (SUMPRODUCT( ((Main!$H$9:$H$1000)=$E187)*((Main!$J$9:$J$1000)=$F187)*((Main!$O$9:$O$1000)=$C187)*(Main!T$9:T$1000) ) +  ( SUMPRODUCT( ((Adders!$D$13:$D$101)=$E187)*((Adders!$E$13:$E$101)=$F187)*(Adders!I$13:I$101)) + VLOOKUP($H187,Adders!$B$5:$G$8,N$11,FALSE)  +  PA!$D$2 ) * IF($D187="NJ",1.07,1))/$L$10, CHOOSE($M$10,$L$9,$M$9) )</f>
        <v xml:space="preserve"> 72.06 </v>
      </c>
      <c r="L187" s="176" t="str">
        <f>IF(AND($D$11="IL",$E187="AMEREN"),"NA",TEXT((SUMPRODUCT(((LMPMain!$H$9:$H$1000)=$E187)*((LMPMain!$J$9:$J$1000)=$F187)*((LMPMain!$O$9:$O$1000)=$C187)*(LMPMain!R$9:R$1000))+(SUMPRODUCT(((Adders!$D$13:$D$101)=$E187)*((Adders!$E$13:$E$101)=$F187)*(Adders!G$13:G$101))+VLOOKUP($H187,Adders!$B$5:$G$8,L$11,FALSE)+Matrix!$D$2)*IF($D187="NJ",1.07,1))/$L$10,CHOOSE($M$10,$L$9,$M$9)))</f>
        <v xml:space="preserve"> 30.30 </v>
      </c>
      <c r="M187" s="176" t="str">
        <f>IF(AND($D$11="IL",$E187="AMEREN"),"NA",TEXT((SUMPRODUCT(((LMPMain!$H$9:$H$1000)=$E187)*((LMPMain!$J$9:$J$1000)=$F187)*((LMPMain!$O$9:$O$1000)=$C187)*(LMPMain!S$9:S$1000))+(SUMPRODUCT(((Adders!$D$13:$D$101)=$E187)*((Adders!$E$13:$E$101)=$F187)*(Adders!H$13:H$101))+VLOOKUP($H187,Adders!$B$5:$G$8,M$11,FALSE)+Matrix!$D$2)*IF($D187="NJ",1.07,1))/$L$10,CHOOSE($M$10,$L$9,$M$9)))</f>
        <v xml:space="preserve"> 30.08 </v>
      </c>
      <c r="N187" s="177" t="str">
        <f>IF(AND($D$11="IL",$E187="AMEREN"),"NA",TEXT((SUMPRODUCT(((LMPMain!$H$9:$H$1000)=$E187)*((LMPMain!$J$9:$J$1000)=$F187)*((LMPMain!$O$9:$O$1000)=$C187)*(LMPMain!T$9:T$1000))+(SUMPRODUCT(((Adders!$D$13:$D$101)=$E187)*((Adders!$E$13:$E$101)=$F187)*(Adders!G$13:G$101))+VLOOKUP($H187,Adders!$B$5:$G$8,N$11,FALSE)+Matrix!$D$2)*IF($D187="NJ",1.07,1))/$L$10,CHOOSE($M$10,$L$9,$M$9)))</f>
        <v xml:space="preserve"> 30.11 </v>
      </c>
      <c r="O187" s="112"/>
    </row>
    <row r="188" spans="2:15" x14ac:dyDescent="0.25">
      <c r="B188" s="160" t="s">
        <v>668</v>
      </c>
      <c r="C188" s="127">
        <f t="shared" si="5"/>
        <v>42461</v>
      </c>
      <c r="D188" s="128" t="s">
        <v>6</v>
      </c>
      <c r="E188" s="129" t="s">
        <v>12</v>
      </c>
      <c r="F188" s="128" t="s">
        <v>9</v>
      </c>
      <c r="G188" s="129" t="str">
        <f t="shared" si="6"/>
        <v>General Service Large</v>
      </c>
      <c r="H188" s="130" t="s">
        <v>61</v>
      </c>
      <c r="I188" s="178" t="str">
        <f>TEXT(   (SUMPRODUCT( ((Main!$H$9:$H$1000)=$E188)*((Main!$J$9:$J$1000)=$F188)*((Main!$O$9:$O$1000)=$C188)*(Main!R$9:R$1000) ) +  ( SUMPRODUCT( ((Adders!$D$13:$D$101)=$E188)*((Adders!$E$13:$E$101)=$F188)*(Adders!G$13:G$101)) + VLOOKUP($H188,Adders!$B$5:$G$8,L$11,FALSE)  +  PA!$D$2 ) * IF($D188="NJ",1.07,1))/$L$10, CHOOSE($M$10,$L$9,$M$9) )</f>
        <v xml:space="preserve"> 74.38 </v>
      </c>
      <c r="J188" s="178" t="str">
        <f>TEXT(   (SUMPRODUCT( ((Main!$H$9:$H$1000)=$E188)*((Main!$J$9:$J$1000)=$F188)*((Main!$O$9:$O$1000)=$C188)*(Main!S$9:S$1000) ) +  ( SUMPRODUCT( ((Adders!$D$13:$D$101)=$E188)*((Adders!$E$13:$E$101)=$F188)*(Adders!H$13:H$101)) + VLOOKUP($H188,Adders!$B$5:$G$8,M$11,FALSE)  +  PA!$D$2 ) * IF($D188="NJ",1.07,1))/$L$10, CHOOSE($M$10,$L$9,$M$9) )</f>
        <v xml:space="preserve"> 74.03 </v>
      </c>
      <c r="K188" s="179" t="str">
        <f>TEXT(   (SUMPRODUCT( ((Main!$H$9:$H$1000)=$E188)*((Main!$J$9:$J$1000)=$F188)*((Main!$O$9:$O$1000)=$C188)*(Main!T$9:T$1000) ) +  ( SUMPRODUCT( ((Adders!$D$13:$D$101)=$E188)*((Adders!$E$13:$E$101)=$F188)*(Adders!I$13:I$101)) + VLOOKUP($H188,Adders!$B$5:$G$8,N$11,FALSE)  +  PA!$D$2 ) * IF($D188="NJ",1.07,1))/$L$10, CHOOSE($M$10,$L$9,$M$9) )</f>
        <v xml:space="preserve"> 74.51 </v>
      </c>
      <c r="L188" s="178" t="str">
        <f>IF(AND($D$11="IL",$E188="AMEREN"),"NA",TEXT((SUMPRODUCT(((LMPMain!$H$9:$H$1000)=$E188)*((LMPMain!$J$9:$J$1000)=$F188)*((LMPMain!$O$9:$O$1000)=$C188)*(LMPMain!R$9:R$1000))+(SUMPRODUCT(((Adders!$D$13:$D$101)=$E188)*((Adders!$E$13:$E$101)=$F188)*(Adders!G$13:G$101))+VLOOKUP($H188,Adders!$B$5:$G$8,L$11,FALSE)+Matrix!$D$2)*IF($D188="NJ",1.07,1))/$L$10,CHOOSE($M$10,$L$9,$M$9)))</f>
        <v xml:space="preserve"> 32.62 </v>
      </c>
      <c r="M188" s="178" t="str">
        <f>IF(AND($D$11="IL",$E188="AMEREN"),"NA",TEXT((SUMPRODUCT(((LMPMain!$H$9:$H$1000)=$E188)*((LMPMain!$J$9:$J$1000)=$F188)*((LMPMain!$O$9:$O$1000)=$C188)*(LMPMain!S$9:S$1000))+(SUMPRODUCT(((Adders!$D$13:$D$101)=$E188)*((Adders!$E$13:$E$101)=$F188)*(Adders!H$13:H$101))+VLOOKUP($H188,Adders!$B$5:$G$8,M$11,FALSE)+Matrix!$D$2)*IF($D188="NJ",1.07,1))/$L$10,CHOOSE($M$10,$L$9,$M$9)))</f>
        <v xml:space="preserve"> 32.50 </v>
      </c>
      <c r="N188" s="179" t="str">
        <f>IF(AND($D$11="IL",$E188="AMEREN"),"NA",TEXT((SUMPRODUCT(((LMPMain!$H$9:$H$1000)=$E188)*((LMPMain!$J$9:$J$1000)=$F188)*((LMPMain!$O$9:$O$1000)=$C188)*(LMPMain!T$9:T$1000))+(SUMPRODUCT(((Adders!$D$13:$D$101)=$E188)*((Adders!$E$13:$E$101)=$F188)*(Adders!G$13:G$101))+VLOOKUP($H188,Adders!$B$5:$G$8,N$11,FALSE)+Matrix!$D$2)*IF($D188="NJ",1.07,1))/$L$10,CHOOSE($M$10,$L$9,$M$9)))</f>
        <v xml:space="preserve"> 32.63 </v>
      </c>
      <c r="O188" s="112"/>
    </row>
    <row r="189" spans="2:15" x14ac:dyDescent="0.25">
      <c r="B189" s="160" t="s">
        <v>668</v>
      </c>
      <c r="C189" s="131">
        <f t="shared" si="5"/>
        <v>42461</v>
      </c>
      <c r="D189" s="132" t="s">
        <v>6</v>
      </c>
      <c r="E189" s="133" t="s">
        <v>12</v>
      </c>
      <c r="F189" s="132" t="s">
        <v>9</v>
      </c>
      <c r="G189" s="133" t="str">
        <f t="shared" si="6"/>
        <v>General Service Large</v>
      </c>
      <c r="H189" s="134" t="s">
        <v>62</v>
      </c>
      <c r="I189" s="173" t="str">
        <f>TEXT(   (SUMPRODUCT( ((Main!$H$9:$H$1000)=$E189)*((Main!$J$9:$J$1000)=$F189)*((Main!$O$9:$O$1000)=$C189)*(Main!R$9:R$1000) ) +  ( SUMPRODUCT( ((Adders!$D$13:$D$101)=$E189)*((Adders!$E$13:$E$101)=$F189)*(Adders!G$13:G$101)) + VLOOKUP($H189,Adders!$B$5:$G$8,L$11,FALSE)  +  PA!$D$2 ) * IF($D189="NJ",1.07,1))/$L$10, CHOOSE($M$10,$L$9,$M$9) )</f>
        <v xml:space="preserve"> 72.78 </v>
      </c>
      <c r="J189" s="173" t="str">
        <f>TEXT(   (SUMPRODUCT( ((Main!$H$9:$H$1000)=$E189)*((Main!$J$9:$J$1000)=$F189)*((Main!$O$9:$O$1000)=$C189)*(Main!S$9:S$1000) ) +  ( SUMPRODUCT( ((Adders!$D$13:$D$101)=$E189)*((Adders!$E$13:$E$101)=$F189)*(Adders!H$13:H$101)) + VLOOKUP($H189,Adders!$B$5:$G$8,M$11,FALSE)  +  PA!$D$2 ) * IF($D189="NJ",1.07,1))/$L$10, CHOOSE($M$10,$L$9,$M$9) )</f>
        <v xml:space="preserve"> 72.43 </v>
      </c>
      <c r="K189" s="174" t="str">
        <f>TEXT(   (SUMPRODUCT( ((Main!$H$9:$H$1000)=$E189)*((Main!$J$9:$J$1000)=$F189)*((Main!$O$9:$O$1000)=$C189)*(Main!T$9:T$1000) ) +  ( SUMPRODUCT( ((Adders!$D$13:$D$101)=$E189)*((Adders!$E$13:$E$101)=$F189)*(Adders!I$13:I$101)) + VLOOKUP($H189,Adders!$B$5:$G$8,N$11,FALSE)  +  PA!$D$2 ) * IF($D189="NJ",1.07,1))/$L$10, CHOOSE($M$10,$L$9,$M$9) )</f>
        <v xml:space="preserve"> 72.91 </v>
      </c>
      <c r="L189" s="173" t="str">
        <f>IF(AND($D$11="IL",$E189="AMEREN"),"NA",TEXT((SUMPRODUCT(((LMPMain!$H$9:$H$1000)=$E189)*((LMPMain!$J$9:$J$1000)=$F189)*((LMPMain!$O$9:$O$1000)=$C189)*(LMPMain!R$9:R$1000))+(SUMPRODUCT(((Adders!$D$13:$D$101)=$E189)*((Adders!$E$13:$E$101)=$F189)*(Adders!G$13:G$101))+VLOOKUP($H189,Adders!$B$5:$G$8,L$11,FALSE)+Matrix!$D$2)*IF($D189="NJ",1.07,1))/$L$10,CHOOSE($M$10,$L$9,$M$9)))</f>
        <v xml:space="preserve"> 31.02 </v>
      </c>
      <c r="M189" s="173" t="str">
        <f>IF(AND($D$11="IL",$E189="AMEREN"),"NA",TEXT((SUMPRODUCT(((LMPMain!$H$9:$H$1000)=$E189)*((LMPMain!$J$9:$J$1000)=$F189)*((LMPMain!$O$9:$O$1000)=$C189)*(LMPMain!S$9:S$1000))+(SUMPRODUCT(((Adders!$D$13:$D$101)=$E189)*((Adders!$E$13:$E$101)=$F189)*(Adders!H$13:H$101))+VLOOKUP($H189,Adders!$B$5:$G$8,M$11,FALSE)+Matrix!$D$2)*IF($D189="NJ",1.07,1))/$L$10,CHOOSE($M$10,$L$9,$M$9)))</f>
        <v xml:space="preserve"> 30.90 </v>
      </c>
      <c r="N189" s="174" t="str">
        <f>IF(AND($D$11="IL",$E189="AMEREN"),"NA",TEXT((SUMPRODUCT(((LMPMain!$H$9:$H$1000)=$E189)*((LMPMain!$J$9:$J$1000)=$F189)*((LMPMain!$O$9:$O$1000)=$C189)*(LMPMain!T$9:T$1000))+(SUMPRODUCT(((Adders!$D$13:$D$101)=$E189)*((Adders!$E$13:$E$101)=$F189)*(Adders!G$13:G$101))+VLOOKUP($H189,Adders!$B$5:$G$8,N$11,FALSE)+Matrix!$D$2)*IF($D189="NJ",1.07,1))/$L$10,CHOOSE($M$10,$L$9,$M$9)))</f>
        <v xml:space="preserve"> 31.03 </v>
      </c>
      <c r="O189" s="112"/>
    </row>
    <row r="190" spans="2:15" x14ac:dyDescent="0.25">
      <c r="B190" s="160" t="s">
        <v>668</v>
      </c>
      <c r="C190" s="135">
        <f t="shared" si="5"/>
        <v>42461</v>
      </c>
      <c r="D190" s="136" t="s">
        <v>6</v>
      </c>
      <c r="E190" s="137" t="s">
        <v>12</v>
      </c>
      <c r="F190" s="136" t="s">
        <v>9</v>
      </c>
      <c r="G190" s="137" t="str">
        <f t="shared" si="6"/>
        <v>General Service Large</v>
      </c>
      <c r="H190" s="138" t="s">
        <v>690</v>
      </c>
      <c r="I190" s="176" t="str">
        <f>TEXT(   (SUMPRODUCT( ((Main!$H$9:$H$1000)=$E190)*((Main!$J$9:$J$1000)=$F190)*((Main!$O$9:$O$1000)=$C190)*(Main!R$9:R$1000) ) +  ( SUMPRODUCT( ((Adders!$D$13:$D$101)=$E190)*((Adders!$E$13:$E$101)=$F190)*(Adders!G$13:G$101)) + VLOOKUP($H190,Adders!$B$5:$G$8,L$11,FALSE)  +  PA!$D$2 ) * IF($D190="NJ",1.07,1))/$L$10, CHOOSE($M$10,$L$9,$M$9) )</f>
        <v xml:space="preserve"> 71.73 </v>
      </c>
      <c r="J190" s="176" t="str">
        <f>TEXT(   (SUMPRODUCT( ((Main!$H$9:$H$1000)=$E190)*((Main!$J$9:$J$1000)=$F190)*((Main!$O$9:$O$1000)=$C190)*(Main!S$9:S$1000) ) +  ( SUMPRODUCT( ((Adders!$D$13:$D$101)=$E190)*((Adders!$E$13:$E$101)=$F190)*(Adders!H$13:H$101)) + VLOOKUP($H190,Adders!$B$5:$G$8,M$11,FALSE)  +  PA!$D$2 ) * IF($D190="NJ",1.07,1))/$L$10, CHOOSE($M$10,$L$9,$M$9) )</f>
        <v xml:space="preserve"> 71.38 </v>
      </c>
      <c r="K190" s="177" t="str">
        <f>TEXT(   (SUMPRODUCT( ((Main!$H$9:$H$1000)=$E190)*((Main!$J$9:$J$1000)=$F190)*((Main!$O$9:$O$1000)=$C190)*(Main!T$9:T$1000) ) +  ( SUMPRODUCT( ((Adders!$D$13:$D$101)=$E190)*((Adders!$E$13:$E$101)=$F190)*(Adders!I$13:I$101)) + VLOOKUP($H190,Adders!$B$5:$G$8,N$11,FALSE)  +  PA!$D$2 ) * IF($D190="NJ",1.07,1))/$L$10, CHOOSE($M$10,$L$9,$M$9) )</f>
        <v xml:space="preserve"> 71.86 </v>
      </c>
      <c r="L190" s="176" t="str">
        <f>IF(AND($D$11="IL",$E190="AMEREN"),"NA",TEXT((SUMPRODUCT(((LMPMain!$H$9:$H$1000)=$E190)*((LMPMain!$J$9:$J$1000)=$F190)*((LMPMain!$O$9:$O$1000)=$C190)*(LMPMain!R$9:R$1000))+(SUMPRODUCT(((Adders!$D$13:$D$101)=$E190)*((Adders!$E$13:$E$101)=$F190)*(Adders!G$13:G$101))+VLOOKUP($H190,Adders!$B$5:$G$8,L$11,FALSE)+Matrix!$D$2)*IF($D190="NJ",1.07,1))/$L$10,CHOOSE($M$10,$L$9,$M$9)))</f>
        <v xml:space="preserve"> 29.97 </v>
      </c>
      <c r="M190" s="176" t="str">
        <f>IF(AND($D$11="IL",$E190="AMEREN"),"NA",TEXT((SUMPRODUCT(((LMPMain!$H$9:$H$1000)=$E190)*((LMPMain!$J$9:$J$1000)=$F190)*((LMPMain!$O$9:$O$1000)=$C190)*(LMPMain!S$9:S$1000))+(SUMPRODUCT(((Adders!$D$13:$D$101)=$E190)*((Adders!$E$13:$E$101)=$F190)*(Adders!H$13:H$101))+VLOOKUP($H190,Adders!$B$5:$G$8,M$11,FALSE)+Matrix!$D$2)*IF($D190="NJ",1.07,1))/$L$10,CHOOSE($M$10,$L$9,$M$9)))</f>
        <v xml:space="preserve"> 29.85 </v>
      </c>
      <c r="N190" s="177" t="str">
        <f>IF(AND($D$11="IL",$E190="AMEREN"),"NA",TEXT((SUMPRODUCT(((LMPMain!$H$9:$H$1000)=$E190)*((LMPMain!$J$9:$J$1000)=$F190)*((LMPMain!$O$9:$O$1000)=$C190)*(LMPMain!T$9:T$1000))+(SUMPRODUCT(((Adders!$D$13:$D$101)=$E190)*((Adders!$E$13:$E$101)=$F190)*(Adders!G$13:G$101))+VLOOKUP($H190,Adders!$B$5:$G$8,N$11,FALSE)+Matrix!$D$2)*IF($D190="NJ",1.07,1))/$L$10,CHOOSE($M$10,$L$9,$M$9)))</f>
        <v xml:space="preserve"> 29.98 </v>
      </c>
      <c r="O190" s="112"/>
    </row>
    <row r="191" spans="2:15" x14ac:dyDescent="0.25">
      <c r="B191" s="160" t="s">
        <v>668</v>
      </c>
      <c r="C191" s="127">
        <f t="shared" si="5"/>
        <v>42491</v>
      </c>
      <c r="D191" s="128" t="s">
        <v>6</v>
      </c>
      <c r="E191" s="129" t="s">
        <v>12</v>
      </c>
      <c r="F191" s="128" t="s">
        <v>9</v>
      </c>
      <c r="G191" s="129" t="str">
        <f t="shared" si="6"/>
        <v>General Service Large</v>
      </c>
      <c r="H191" s="130" t="s">
        <v>61</v>
      </c>
      <c r="I191" s="178" t="str">
        <f>TEXT(   (SUMPRODUCT( ((Main!$H$9:$H$1000)=$E191)*((Main!$J$9:$J$1000)=$F191)*((Main!$O$9:$O$1000)=$C191)*(Main!R$9:R$1000) ) +  ( SUMPRODUCT( ((Adders!$D$13:$D$101)=$E191)*((Adders!$E$13:$E$101)=$F191)*(Adders!G$13:G$101)) + VLOOKUP($H191,Adders!$B$5:$G$8,L$11,FALSE)  +  PA!$D$2 ) * IF($D191="NJ",1.07,1))/$L$10, CHOOSE($M$10,$L$9,$M$9) )</f>
        <v xml:space="preserve"> 74.04 </v>
      </c>
      <c r="J191" s="178" t="str">
        <f>TEXT(   (SUMPRODUCT( ((Main!$H$9:$H$1000)=$E191)*((Main!$J$9:$J$1000)=$F191)*((Main!$O$9:$O$1000)=$C191)*(Main!S$9:S$1000) ) +  ( SUMPRODUCT( ((Adders!$D$13:$D$101)=$E191)*((Adders!$E$13:$E$101)=$F191)*(Adders!H$13:H$101)) + VLOOKUP($H191,Adders!$B$5:$G$8,M$11,FALSE)  +  PA!$D$2 ) * IF($D191="NJ",1.07,1))/$L$10, CHOOSE($M$10,$L$9,$M$9) )</f>
        <v xml:space="preserve"> 73.51 </v>
      </c>
      <c r="K191" s="179" t="str">
        <f>TEXT(   (SUMPRODUCT( ((Main!$H$9:$H$1000)=$E191)*((Main!$J$9:$J$1000)=$F191)*((Main!$O$9:$O$1000)=$C191)*(Main!T$9:T$1000) ) +  ( SUMPRODUCT( ((Adders!$D$13:$D$101)=$E191)*((Adders!$E$13:$E$101)=$F191)*(Adders!I$13:I$101)) + VLOOKUP($H191,Adders!$B$5:$G$8,N$11,FALSE)  +  PA!$D$2 ) * IF($D191="NJ",1.07,1))/$L$10, CHOOSE($M$10,$L$9,$M$9) )</f>
        <v xml:space="preserve"> 74.39 </v>
      </c>
      <c r="L191" s="178" t="str">
        <f>IF(AND($D$11="IL",$E191="AMEREN"),"NA",TEXT((SUMPRODUCT(((LMPMain!$H$9:$H$1000)=$E191)*((LMPMain!$J$9:$J$1000)=$F191)*((LMPMain!$O$9:$O$1000)=$C191)*(LMPMain!R$9:R$1000))+(SUMPRODUCT(((Adders!$D$13:$D$101)=$E191)*((Adders!$E$13:$E$101)=$F191)*(Adders!G$13:G$101))+VLOOKUP($H191,Adders!$B$5:$G$8,L$11,FALSE)+Matrix!$D$2)*IF($D191="NJ",1.07,1))/$L$10,CHOOSE($M$10,$L$9,$M$9)))</f>
        <v xml:space="preserve"> 32.31 </v>
      </c>
      <c r="M191" s="178" t="str">
        <f>IF(AND($D$11="IL",$E191="AMEREN"),"NA",TEXT((SUMPRODUCT(((LMPMain!$H$9:$H$1000)=$E191)*((LMPMain!$J$9:$J$1000)=$F191)*((LMPMain!$O$9:$O$1000)=$C191)*(LMPMain!S$9:S$1000))+(SUMPRODUCT(((Adders!$D$13:$D$101)=$E191)*((Adders!$E$13:$E$101)=$F191)*(Adders!H$13:H$101))+VLOOKUP($H191,Adders!$B$5:$G$8,M$11,FALSE)+Matrix!$D$2)*IF($D191="NJ",1.07,1))/$L$10,CHOOSE($M$10,$L$9,$M$9)))</f>
        <v xml:space="preserve"> 32.26 </v>
      </c>
      <c r="N191" s="179" t="str">
        <f>IF(AND($D$11="IL",$E191="AMEREN"),"NA",TEXT((SUMPRODUCT(((LMPMain!$H$9:$H$1000)=$E191)*((LMPMain!$J$9:$J$1000)=$F191)*((LMPMain!$O$9:$O$1000)=$C191)*(LMPMain!T$9:T$1000))+(SUMPRODUCT(((Adders!$D$13:$D$101)=$E191)*((Adders!$E$13:$E$101)=$F191)*(Adders!G$13:G$101))+VLOOKUP($H191,Adders!$B$5:$G$8,N$11,FALSE)+Matrix!$D$2)*IF($D191="NJ",1.07,1))/$L$10,CHOOSE($M$10,$L$9,$M$9)))</f>
        <v xml:space="preserve"> 32.50 </v>
      </c>
      <c r="O191" s="112"/>
    </row>
    <row r="192" spans="2:15" x14ac:dyDescent="0.25">
      <c r="B192" s="160" t="s">
        <v>668</v>
      </c>
      <c r="C192" s="131">
        <f t="shared" si="5"/>
        <v>42491</v>
      </c>
      <c r="D192" s="132" t="s">
        <v>6</v>
      </c>
      <c r="E192" s="133" t="s">
        <v>12</v>
      </c>
      <c r="F192" s="132" t="s">
        <v>9</v>
      </c>
      <c r="G192" s="133" t="str">
        <f t="shared" si="6"/>
        <v>General Service Large</v>
      </c>
      <c r="H192" s="134" t="s">
        <v>62</v>
      </c>
      <c r="I192" s="173" t="str">
        <f>TEXT(   (SUMPRODUCT( ((Main!$H$9:$H$1000)=$E192)*((Main!$J$9:$J$1000)=$F192)*((Main!$O$9:$O$1000)=$C192)*(Main!R$9:R$1000) ) +  ( SUMPRODUCT( ((Adders!$D$13:$D$101)=$E192)*((Adders!$E$13:$E$101)=$F192)*(Adders!G$13:G$101)) + VLOOKUP($H192,Adders!$B$5:$G$8,L$11,FALSE)  +  PA!$D$2 ) * IF($D192="NJ",1.07,1))/$L$10, CHOOSE($M$10,$L$9,$M$9) )</f>
        <v xml:space="preserve"> 72.44 </v>
      </c>
      <c r="J192" s="173" t="str">
        <f>TEXT(   (SUMPRODUCT( ((Main!$H$9:$H$1000)=$E192)*((Main!$J$9:$J$1000)=$F192)*((Main!$O$9:$O$1000)=$C192)*(Main!S$9:S$1000) ) +  ( SUMPRODUCT( ((Adders!$D$13:$D$101)=$E192)*((Adders!$E$13:$E$101)=$F192)*(Adders!H$13:H$101)) + VLOOKUP($H192,Adders!$B$5:$G$8,M$11,FALSE)  +  PA!$D$2 ) * IF($D192="NJ",1.07,1))/$L$10, CHOOSE($M$10,$L$9,$M$9) )</f>
        <v xml:space="preserve"> 71.91 </v>
      </c>
      <c r="K192" s="174" t="str">
        <f>TEXT(   (SUMPRODUCT( ((Main!$H$9:$H$1000)=$E192)*((Main!$J$9:$J$1000)=$F192)*((Main!$O$9:$O$1000)=$C192)*(Main!T$9:T$1000) ) +  ( SUMPRODUCT( ((Adders!$D$13:$D$101)=$E192)*((Adders!$E$13:$E$101)=$F192)*(Adders!I$13:I$101)) + VLOOKUP($H192,Adders!$B$5:$G$8,N$11,FALSE)  +  PA!$D$2 ) * IF($D192="NJ",1.07,1))/$L$10, CHOOSE($M$10,$L$9,$M$9) )</f>
        <v xml:space="preserve"> 72.79 </v>
      </c>
      <c r="L192" s="173" t="str">
        <f>IF(AND($D$11="IL",$E192="AMEREN"),"NA",TEXT((SUMPRODUCT(((LMPMain!$H$9:$H$1000)=$E192)*((LMPMain!$J$9:$J$1000)=$F192)*((LMPMain!$O$9:$O$1000)=$C192)*(LMPMain!R$9:R$1000))+(SUMPRODUCT(((Adders!$D$13:$D$101)=$E192)*((Adders!$E$13:$E$101)=$F192)*(Adders!G$13:G$101))+VLOOKUP($H192,Adders!$B$5:$G$8,L$11,FALSE)+Matrix!$D$2)*IF($D192="NJ",1.07,1))/$L$10,CHOOSE($M$10,$L$9,$M$9)))</f>
        <v xml:space="preserve"> 30.71 </v>
      </c>
      <c r="M192" s="173" t="str">
        <f>IF(AND($D$11="IL",$E192="AMEREN"),"NA",TEXT((SUMPRODUCT(((LMPMain!$H$9:$H$1000)=$E192)*((LMPMain!$J$9:$J$1000)=$F192)*((LMPMain!$O$9:$O$1000)=$C192)*(LMPMain!S$9:S$1000))+(SUMPRODUCT(((Adders!$D$13:$D$101)=$E192)*((Adders!$E$13:$E$101)=$F192)*(Adders!H$13:H$101))+VLOOKUP($H192,Adders!$B$5:$G$8,M$11,FALSE)+Matrix!$D$2)*IF($D192="NJ",1.07,1))/$L$10,CHOOSE($M$10,$L$9,$M$9)))</f>
        <v xml:space="preserve"> 30.66 </v>
      </c>
      <c r="N192" s="174" t="str">
        <f>IF(AND($D$11="IL",$E192="AMEREN"),"NA",TEXT((SUMPRODUCT(((LMPMain!$H$9:$H$1000)=$E192)*((LMPMain!$J$9:$J$1000)=$F192)*((LMPMain!$O$9:$O$1000)=$C192)*(LMPMain!T$9:T$1000))+(SUMPRODUCT(((Adders!$D$13:$D$101)=$E192)*((Adders!$E$13:$E$101)=$F192)*(Adders!G$13:G$101))+VLOOKUP($H192,Adders!$B$5:$G$8,N$11,FALSE)+Matrix!$D$2)*IF($D192="NJ",1.07,1))/$L$10,CHOOSE($M$10,$L$9,$M$9)))</f>
        <v xml:space="preserve"> 30.90 </v>
      </c>
      <c r="O192" s="112"/>
    </row>
    <row r="193" spans="2:15" x14ac:dyDescent="0.25">
      <c r="B193" s="160" t="s">
        <v>668</v>
      </c>
      <c r="C193" s="135">
        <f t="shared" si="5"/>
        <v>42491</v>
      </c>
      <c r="D193" s="136" t="s">
        <v>6</v>
      </c>
      <c r="E193" s="137" t="s">
        <v>12</v>
      </c>
      <c r="F193" s="136" t="s">
        <v>9</v>
      </c>
      <c r="G193" s="137" t="str">
        <f t="shared" si="6"/>
        <v>General Service Large</v>
      </c>
      <c r="H193" s="138" t="s">
        <v>690</v>
      </c>
      <c r="I193" s="176" t="str">
        <f>TEXT(   (SUMPRODUCT( ((Main!$H$9:$H$1000)=$E193)*((Main!$J$9:$J$1000)=$F193)*((Main!$O$9:$O$1000)=$C193)*(Main!R$9:R$1000) ) +  ( SUMPRODUCT( ((Adders!$D$13:$D$101)=$E193)*((Adders!$E$13:$E$101)=$F193)*(Adders!G$13:G$101)) + VLOOKUP($H193,Adders!$B$5:$G$8,L$11,FALSE)  +  PA!$D$2 ) * IF($D193="NJ",1.07,1))/$L$10, CHOOSE($M$10,$L$9,$M$9) )</f>
        <v xml:space="preserve"> 71.39 </v>
      </c>
      <c r="J193" s="176" t="str">
        <f>TEXT(   (SUMPRODUCT( ((Main!$H$9:$H$1000)=$E193)*((Main!$J$9:$J$1000)=$F193)*((Main!$O$9:$O$1000)=$C193)*(Main!S$9:S$1000) ) +  ( SUMPRODUCT( ((Adders!$D$13:$D$101)=$E193)*((Adders!$E$13:$E$101)=$F193)*(Adders!H$13:H$101)) + VLOOKUP($H193,Adders!$B$5:$G$8,M$11,FALSE)  +  PA!$D$2 ) * IF($D193="NJ",1.07,1))/$L$10, CHOOSE($M$10,$L$9,$M$9) )</f>
        <v xml:space="preserve"> 70.86 </v>
      </c>
      <c r="K193" s="177" t="str">
        <f>TEXT(   (SUMPRODUCT( ((Main!$H$9:$H$1000)=$E193)*((Main!$J$9:$J$1000)=$F193)*((Main!$O$9:$O$1000)=$C193)*(Main!T$9:T$1000) ) +  ( SUMPRODUCT( ((Adders!$D$13:$D$101)=$E193)*((Adders!$E$13:$E$101)=$F193)*(Adders!I$13:I$101)) + VLOOKUP($H193,Adders!$B$5:$G$8,N$11,FALSE)  +  PA!$D$2 ) * IF($D193="NJ",1.07,1))/$L$10, CHOOSE($M$10,$L$9,$M$9) )</f>
        <v xml:space="preserve"> 71.74 </v>
      </c>
      <c r="L193" s="176" t="str">
        <f>IF(AND($D$11="IL",$E193="AMEREN"),"NA",TEXT((SUMPRODUCT(((LMPMain!$H$9:$H$1000)=$E193)*((LMPMain!$J$9:$J$1000)=$F193)*((LMPMain!$O$9:$O$1000)=$C193)*(LMPMain!R$9:R$1000))+(SUMPRODUCT(((Adders!$D$13:$D$101)=$E193)*((Adders!$E$13:$E$101)=$F193)*(Adders!G$13:G$101))+VLOOKUP($H193,Adders!$B$5:$G$8,L$11,FALSE)+Matrix!$D$2)*IF($D193="NJ",1.07,1))/$L$10,CHOOSE($M$10,$L$9,$M$9)))</f>
        <v xml:space="preserve"> 29.66 </v>
      </c>
      <c r="M193" s="176" t="str">
        <f>IF(AND($D$11="IL",$E193="AMEREN"),"NA",TEXT((SUMPRODUCT(((LMPMain!$H$9:$H$1000)=$E193)*((LMPMain!$J$9:$J$1000)=$F193)*((LMPMain!$O$9:$O$1000)=$C193)*(LMPMain!S$9:S$1000))+(SUMPRODUCT(((Adders!$D$13:$D$101)=$E193)*((Adders!$E$13:$E$101)=$F193)*(Adders!H$13:H$101))+VLOOKUP($H193,Adders!$B$5:$G$8,M$11,FALSE)+Matrix!$D$2)*IF($D193="NJ",1.07,1))/$L$10,CHOOSE($M$10,$L$9,$M$9)))</f>
        <v xml:space="preserve"> 29.61 </v>
      </c>
      <c r="N193" s="177" t="str">
        <f>IF(AND($D$11="IL",$E193="AMEREN"),"NA",TEXT((SUMPRODUCT(((LMPMain!$H$9:$H$1000)=$E193)*((LMPMain!$J$9:$J$1000)=$F193)*((LMPMain!$O$9:$O$1000)=$C193)*(LMPMain!T$9:T$1000))+(SUMPRODUCT(((Adders!$D$13:$D$101)=$E193)*((Adders!$E$13:$E$101)=$F193)*(Adders!G$13:G$101))+VLOOKUP($H193,Adders!$B$5:$G$8,N$11,FALSE)+Matrix!$D$2)*IF($D193="NJ",1.07,1))/$L$10,CHOOSE($M$10,$L$9,$M$9)))</f>
        <v xml:space="preserve"> 29.85 </v>
      </c>
      <c r="O193" s="112"/>
    </row>
    <row r="194" spans="2:15" x14ac:dyDescent="0.25">
      <c r="B194" s="160" t="s">
        <v>669</v>
      </c>
      <c r="C194" s="127">
        <f t="shared" si="5"/>
        <v>42156</v>
      </c>
      <c r="D194" s="128" t="s">
        <v>6</v>
      </c>
      <c r="E194" s="129" t="s">
        <v>12</v>
      </c>
      <c r="F194" s="128" t="s">
        <v>10</v>
      </c>
      <c r="G194" s="129" t="str">
        <f>VLOOKUP(SUMPRODUCT( ((LMPMain!$H$9:$H$1000)=$E194)*((LMPMain!$J$9:$J$1000)=$F194)*((LMPMain!$O$9:$O$1000)=$C194)*(LMPMain!A$9:A$1000)),LMPMain!$A$9:$K$1000,11,FALSE)</f>
        <v>General Service Medium</v>
      </c>
      <c r="H194" s="130" t="s">
        <v>61</v>
      </c>
      <c r="I194" s="178" t="str">
        <f>TEXT(   (SUMPRODUCT( ((Main!$H$9:$H$1000)=$E194)*((Main!$J$9:$J$1000)=$F194)*((Main!$O$9:$O$1000)=$C194)*(Main!R$9:R$1000) ) +  ( SUMPRODUCT( ((Adders!$D$13:$D$101)=$E194)*((Adders!$E$13:$E$101)=$F194)*(Adders!G$13:G$101)) + VLOOKUP($H194,Adders!$B$5:$G$8,L$11,FALSE)  +  PA!$D$2 ) * IF($D194="NJ",1.07,1))/$L$10, CHOOSE($M$10,$L$9,$M$9) )</f>
        <v xml:space="preserve"> 79.07 </v>
      </c>
      <c r="J194" s="178" t="str">
        <f>TEXT(   (SUMPRODUCT( ((Main!$H$9:$H$1000)=$E194)*((Main!$J$9:$J$1000)=$F194)*((Main!$O$9:$O$1000)=$C194)*(Main!S$9:S$1000) ) +  ( SUMPRODUCT( ((Adders!$D$13:$D$101)=$E194)*((Adders!$E$13:$E$101)=$F194)*(Adders!H$13:H$101)) + VLOOKUP($H194,Adders!$B$5:$G$8,M$11,FALSE)  +  PA!$D$2 ) * IF($D194="NJ",1.07,1))/$L$10, CHOOSE($M$10,$L$9,$M$9) )</f>
        <v xml:space="preserve"> 76.85 </v>
      </c>
      <c r="K194" s="179" t="str">
        <f>TEXT(   (SUMPRODUCT( ((Main!$H$9:$H$1000)=$E194)*((Main!$J$9:$J$1000)=$F194)*((Main!$O$9:$O$1000)=$C194)*(Main!T$9:T$1000) ) +  ( SUMPRODUCT( ((Adders!$D$13:$D$101)=$E194)*((Adders!$E$13:$E$101)=$F194)*(Adders!I$13:I$101)) + VLOOKUP($H194,Adders!$B$5:$G$8,N$11,FALSE)  +  PA!$D$2 ) * IF($D194="NJ",1.07,1))/$L$10, CHOOSE($M$10,$L$9,$M$9) )</f>
        <v xml:space="preserve"> 76.95 </v>
      </c>
      <c r="L194" s="178" t="str">
        <f>IF(AND($D$11="IL",$E194="AMEREN"),"NA",TEXT((SUMPRODUCT(((LMPMain!$H$9:$H$1000)=$E194)*((LMPMain!$J$9:$J$1000)=$F194)*((LMPMain!$O$9:$O$1000)=$C194)*(LMPMain!R$9:R$1000))+(SUMPRODUCT(((Adders!$D$13:$D$101)=$E194)*((Adders!$E$13:$E$101)=$F194)*(Adders!G$13:G$101))+VLOOKUP($H194,Adders!$B$5:$G$8,L$11,FALSE)+Matrix!$D$2)*IF($D194="NJ",1.07,1))/$L$10,CHOOSE($M$10,$L$9,$M$9)))</f>
        <v xml:space="preserve"> 37.11 </v>
      </c>
      <c r="M194" s="178" t="str">
        <f>IF(AND($D$11="IL",$E194="AMEREN"),"NA",TEXT((SUMPRODUCT(((LMPMain!$H$9:$H$1000)=$E194)*((LMPMain!$J$9:$J$1000)=$F194)*((LMPMain!$O$9:$O$1000)=$C194)*(LMPMain!S$9:S$1000))+(SUMPRODUCT(((Adders!$D$13:$D$101)=$E194)*((Adders!$E$13:$E$101)=$F194)*(Adders!H$13:H$101))+VLOOKUP($H194,Adders!$B$5:$G$8,M$11,FALSE)+Matrix!$D$2)*IF($D194="NJ",1.07,1))/$L$10,CHOOSE($M$10,$L$9,$M$9)))</f>
        <v xml:space="preserve"> 35.61 </v>
      </c>
      <c r="N194" s="179" t="str">
        <f>IF(AND($D$11="IL",$E194="AMEREN"),"NA",TEXT((SUMPRODUCT(((LMPMain!$H$9:$H$1000)=$E194)*((LMPMain!$J$9:$J$1000)=$F194)*((LMPMain!$O$9:$O$1000)=$C194)*(LMPMain!T$9:T$1000))+(SUMPRODUCT(((Adders!$D$13:$D$101)=$E194)*((Adders!$E$13:$E$101)=$F194)*(Adders!G$13:G$101))+VLOOKUP($H194,Adders!$B$5:$G$8,N$11,FALSE)+Matrix!$D$2)*IF($D194="NJ",1.07,1))/$L$10,CHOOSE($M$10,$L$9,$M$9)))</f>
        <v xml:space="preserve"> 35.10 </v>
      </c>
      <c r="O194" s="112"/>
    </row>
    <row r="195" spans="2:15" x14ac:dyDescent="0.25">
      <c r="B195" s="160" t="s">
        <v>669</v>
      </c>
      <c r="C195" s="131">
        <f t="shared" si="5"/>
        <v>42156</v>
      </c>
      <c r="D195" s="132" t="s">
        <v>6</v>
      </c>
      <c r="E195" s="133" t="s">
        <v>12</v>
      </c>
      <c r="F195" s="132" t="s">
        <v>10</v>
      </c>
      <c r="G195" s="133" t="str">
        <f>G194</f>
        <v>General Service Medium</v>
      </c>
      <c r="H195" s="134" t="s">
        <v>62</v>
      </c>
      <c r="I195" s="173" t="str">
        <f>TEXT(   (SUMPRODUCT( ((Main!$H$9:$H$1000)=$E195)*((Main!$J$9:$J$1000)=$F195)*((Main!$O$9:$O$1000)=$C195)*(Main!R$9:R$1000) ) +  ( SUMPRODUCT( ((Adders!$D$13:$D$101)=$E195)*((Adders!$E$13:$E$101)=$F195)*(Adders!G$13:G$101)) + VLOOKUP($H195,Adders!$B$5:$G$8,L$11,FALSE)  +  PA!$D$2 ) * IF($D195="NJ",1.07,1))/$L$10, CHOOSE($M$10,$L$9,$M$9) )</f>
        <v xml:space="preserve"> 77.47 </v>
      </c>
      <c r="J195" s="173" t="str">
        <f>TEXT(   (SUMPRODUCT( ((Main!$H$9:$H$1000)=$E195)*((Main!$J$9:$J$1000)=$F195)*((Main!$O$9:$O$1000)=$C195)*(Main!S$9:S$1000) ) +  ( SUMPRODUCT( ((Adders!$D$13:$D$101)=$E195)*((Adders!$E$13:$E$101)=$F195)*(Adders!H$13:H$101)) + VLOOKUP($H195,Adders!$B$5:$G$8,M$11,FALSE)  +  PA!$D$2 ) * IF($D195="NJ",1.07,1))/$L$10, CHOOSE($M$10,$L$9,$M$9) )</f>
        <v xml:space="preserve"> 75.25 </v>
      </c>
      <c r="K195" s="174" t="str">
        <f>TEXT(   (SUMPRODUCT( ((Main!$H$9:$H$1000)=$E195)*((Main!$J$9:$J$1000)=$F195)*((Main!$O$9:$O$1000)=$C195)*(Main!T$9:T$1000) ) +  ( SUMPRODUCT( ((Adders!$D$13:$D$101)=$E195)*((Adders!$E$13:$E$101)=$F195)*(Adders!I$13:I$101)) + VLOOKUP($H195,Adders!$B$5:$G$8,N$11,FALSE)  +  PA!$D$2 ) * IF($D195="NJ",1.07,1))/$L$10, CHOOSE($M$10,$L$9,$M$9) )</f>
        <v xml:space="preserve"> 75.35 </v>
      </c>
      <c r="L195" s="173" t="str">
        <f>IF(AND($D$11="IL",$E195="AMEREN"),"NA",TEXT((SUMPRODUCT(((LMPMain!$H$9:$H$1000)=$E195)*((LMPMain!$J$9:$J$1000)=$F195)*((LMPMain!$O$9:$O$1000)=$C195)*(LMPMain!R$9:R$1000))+(SUMPRODUCT(((Adders!$D$13:$D$101)=$E195)*((Adders!$E$13:$E$101)=$F195)*(Adders!G$13:G$101))+VLOOKUP($H195,Adders!$B$5:$G$8,L$11,FALSE)+Matrix!$D$2)*IF($D195="NJ",1.07,1))/$L$10,CHOOSE($M$10,$L$9,$M$9)))</f>
        <v xml:space="preserve"> 35.51 </v>
      </c>
      <c r="M195" s="173" t="str">
        <f>IF(AND($D$11="IL",$E195="AMEREN"),"NA",TEXT((SUMPRODUCT(((LMPMain!$H$9:$H$1000)=$E195)*((LMPMain!$J$9:$J$1000)=$F195)*((LMPMain!$O$9:$O$1000)=$C195)*(LMPMain!S$9:S$1000))+(SUMPRODUCT(((Adders!$D$13:$D$101)=$E195)*((Adders!$E$13:$E$101)=$F195)*(Adders!H$13:H$101))+VLOOKUP($H195,Adders!$B$5:$G$8,M$11,FALSE)+Matrix!$D$2)*IF($D195="NJ",1.07,1))/$L$10,CHOOSE($M$10,$L$9,$M$9)))</f>
        <v xml:space="preserve"> 34.01 </v>
      </c>
      <c r="N195" s="174" t="str">
        <f>IF(AND($D$11="IL",$E195="AMEREN"),"NA",TEXT((SUMPRODUCT(((LMPMain!$H$9:$H$1000)=$E195)*((LMPMain!$J$9:$J$1000)=$F195)*((LMPMain!$O$9:$O$1000)=$C195)*(LMPMain!T$9:T$1000))+(SUMPRODUCT(((Adders!$D$13:$D$101)=$E195)*((Adders!$E$13:$E$101)=$F195)*(Adders!G$13:G$101))+VLOOKUP($H195,Adders!$B$5:$G$8,N$11,FALSE)+Matrix!$D$2)*IF($D195="NJ",1.07,1))/$L$10,CHOOSE($M$10,$L$9,$M$9)))</f>
        <v xml:space="preserve"> 33.50 </v>
      </c>
      <c r="O195" s="112"/>
    </row>
    <row r="196" spans="2:15" x14ac:dyDescent="0.25">
      <c r="B196" s="160" t="s">
        <v>669</v>
      </c>
      <c r="C196" s="135">
        <f t="shared" si="5"/>
        <v>42156</v>
      </c>
      <c r="D196" s="136" t="s">
        <v>6</v>
      </c>
      <c r="E196" s="137" t="s">
        <v>12</v>
      </c>
      <c r="F196" s="136" t="s">
        <v>10</v>
      </c>
      <c r="G196" s="137" t="str">
        <f>G195</f>
        <v>General Service Medium</v>
      </c>
      <c r="H196" s="138" t="s">
        <v>690</v>
      </c>
      <c r="I196" s="176" t="str">
        <f>TEXT(   (SUMPRODUCT( ((Main!$H$9:$H$1000)=$E196)*((Main!$J$9:$J$1000)=$F196)*((Main!$O$9:$O$1000)=$C196)*(Main!R$9:R$1000) ) +  ( SUMPRODUCT( ((Adders!$D$13:$D$101)=$E196)*((Adders!$E$13:$E$101)=$F196)*(Adders!G$13:G$101)) + VLOOKUP($H196,Adders!$B$5:$G$8,L$11,FALSE)  +  PA!$D$2 ) * IF($D196="NJ",1.07,1))/$L$10, CHOOSE($M$10,$L$9,$M$9) )</f>
        <v xml:space="preserve"> 76.42 </v>
      </c>
      <c r="J196" s="176" t="str">
        <f>TEXT(   (SUMPRODUCT( ((Main!$H$9:$H$1000)=$E196)*((Main!$J$9:$J$1000)=$F196)*((Main!$O$9:$O$1000)=$C196)*(Main!S$9:S$1000) ) +  ( SUMPRODUCT( ((Adders!$D$13:$D$101)=$E196)*((Adders!$E$13:$E$101)=$F196)*(Adders!H$13:H$101)) + VLOOKUP($H196,Adders!$B$5:$G$8,M$11,FALSE)  +  PA!$D$2 ) * IF($D196="NJ",1.07,1))/$L$10, CHOOSE($M$10,$L$9,$M$9) )</f>
        <v xml:space="preserve"> 74.20 </v>
      </c>
      <c r="K196" s="177" t="str">
        <f>TEXT(   (SUMPRODUCT( ((Main!$H$9:$H$1000)=$E196)*((Main!$J$9:$J$1000)=$F196)*((Main!$O$9:$O$1000)=$C196)*(Main!T$9:T$1000) ) +  ( SUMPRODUCT( ((Adders!$D$13:$D$101)=$E196)*((Adders!$E$13:$E$101)=$F196)*(Adders!I$13:I$101)) + VLOOKUP($H196,Adders!$B$5:$G$8,N$11,FALSE)  +  PA!$D$2 ) * IF($D196="NJ",1.07,1))/$L$10, CHOOSE($M$10,$L$9,$M$9) )</f>
        <v xml:space="preserve"> 74.30 </v>
      </c>
      <c r="L196" s="176" t="str">
        <f>IF(AND($D$11="IL",$E196="AMEREN"),"NA",TEXT((SUMPRODUCT(((LMPMain!$H$9:$H$1000)=$E196)*((LMPMain!$J$9:$J$1000)=$F196)*((LMPMain!$O$9:$O$1000)=$C196)*(LMPMain!R$9:R$1000))+(SUMPRODUCT(((Adders!$D$13:$D$101)=$E196)*((Adders!$E$13:$E$101)=$F196)*(Adders!G$13:G$101))+VLOOKUP($H196,Adders!$B$5:$G$8,L$11,FALSE)+Matrix!$D$2)*IF($D196="NJ",1.07,1))/$L$10,CHOOSE($M$10,$L$9,$M$9)))</f>
        <v xml:space="preserve"> 34.46 </v>
      </c>
      <c r="M196" s="176" t="str">
        <f>IF(AND($D$11="IL",$E196="AMEREN"),"NA",TEXT((SUMPRODUCT(((LMPMain!$H$9:$H$1000)=$E196)*((LMPMain!$J$9:$J$1000)=$F196)*((LMPMain!$O$9:$O$1000)=$C196)*(LMPMain!S$9:S$1000))+(SUMPRODUCT(((Adders!$D$13:$D$101)=$E196)*((Adders!$E$13:$E$101)=$F196)*(Adders!H$13:H$101))+VLOOKUP($H196,Adders!$B$5:$G$8,M$11,FALSE)+Matrix!$D$2)*IF($D196="NJ",1.07,1))/$L$10,CHOOSE($M$10,$L$9,$M$9)))</f>
        <v xml:space="preserve"> 32.96 </v>
      </c>
      <c r="N196" s="177" t="str">
        <f>IF(AND($D$11="IL",$E196="AMEREN"),"NA",TEXT((SUMPRODUCT(((LMPMain!$H$9:$H$1000)=$E196)*((LMPMain!$J$9:$J$1000)=$F196)*((LMPMain!$O$9:$O$1000)=$C196)*(LMPMain!T$9:T$1000))+(SUMPRODUCT(((Adders!$D$13:$D$101)=$E196)*((Adders!$E$13:$E$101)=$F196)*(Adders!G$13:G$101))+VLOOKUP($H196,Adders!$B$5:$G$8,N$11,FALSE)+Matrix!$D$2)*IF($D196="NJ",1.07,1))/$L$10,CHOOSE($M$10,$L$9,$M$9)))</f>
        <v xml:space="preserve"> 32.45 </v>
      </c>
      <c r="O196" s="112"/>
    </row>
    <row r="197" spans="2:15" x14ac:dyDescent="0.25">
      <c r="B197" s="160" t="s">
        <v>669</v>
      </c>
      <c r="C197" s="127">
        <f t="shared" si="5"/>
        <v>42186</v>
      </c>
      <c r="D197" s="128" t="s">
        <v>6</v>
      </c>
      <c r="E197" s="129" t="s">
        <v>12</v>
      </c>
      <c r="F197" s="128" t="s">
        <v>10</v>
      </c>
      <c r="G197" s="129" t="str">
        <f t="shared" si="6"/>
        <v>General Service Medium</v>
      </c>
      <c r="H197" s="130" t="s">
        <v>61</v>
      </c>
      <c r="I197" s="178" t="str">
        <f>TEXT(   (SUMPRODUCT( ((Main!$H$9:$H$1000)=$E197)*((Main!$J$9:$J$1000)=$F197)*((Main!$O$9:$O$1000)=$C197)*(Main!R$9:R$1000) ) +  ( SUMPRODUCT( ((Adders!$D$13:$D$101)=$E197)*((Adders!$E$13:$E$101)=$F197)*(Adders!G$13:G$101)) + VLOOKUP($H197,Adders!$B$5:$G$8,L$11,FALSE)  +  PA!$D$2 ) * IF($D197="NJ",1.07,1))/$L$10, CHOOSE($M$10,$L$9,$M$9) )</f>
        <v xml:space="preserve"> 78.77 </v>
      </c>
      <c r="J197" s="178" t="str">
        <f>TEXT(   (SUMPRODUCT( ((Main!$H$9:$H$1000)=$E197)*((Main!$J$9:$J$1000)=$F197)*((Main!$O$9:$O$1000)=$C197)*(Main!S$9:S$1000) ) +  ( SUMPRODUCT( ((Adders!$D$13:$D$101)=$E197)*((Adders!$E$13:$E$101)=$F197)*(Adders!H$13:H$101)) + VLOOKUP($H197,Adders!$B$5:$G$8,M$11,FALSE)  +  PA!$D$2 ) * IF($D197="NJ",1.07,1))/$L$10, CHOOSE($M$10,$L$9,$M$9) )</f>
        <v xml:space="preserve"> 76.50 </v>
      </c>
      <c r="K197" s="179" t="str">
        <f>TEXT(   (SUMPRODUCT( ((Main!$H$9:$H$1000)=$E197)*((Main!$J$9:$J$1000)=$F197)*((Main!$O$9:$O$1000)=$C197)*(Main!T$9:T$1000) ) +  ( SUMPRODUCT( ((Adders!$D$13:$D$101)=$E197)*((Adders!$E$13:$E$101)=$F197)*(Adders!I$13:I$101)) + VLOOKUP($H197,Adders!$B$5:$G$8,N$11,FALSE)  +  PA!$D$2 ) * IF($D197="NJ",1.07,1))/$L$10, CHOOSE($M$10,$L$9,$M$9) )</f>
        <v xml:space="preserve"> 76.81 </v>
      </c>
      <c r="L197" s="178" t="str">
        <f>IF(AND($D$11="IL",$E197="AMEREN"),"NA",TEXT((SUMPRODUCT(((LMPMain!$H$9:$H$1000)=$E197)*((LMPMain!$J$9:$J$1000)=$F197)*((LMPMain!$O$9:$O$1000)=$C197)*(LMPMain!R$9:R$1000))+(SUMPRODUCT(((Adders!$D$13:$D$101)=$E197)*((Adders!$E$13:$E$101)=$F197)*(Adders!G$13:G$101))+VLOOKUP($H197,Adders!$B$5:$G$8,L$11,FALSE)+Matrix!$D$2)*IF($D197="NJ",1.07,1))/$L$10,CHOOSE($M$10,$L$9,$M$9)))</f>
        <v xml:space="preserve"> 36.77 </v>
      </c>
      <c r="M197" s="178" t="str">
        <f>IF(AND($D$11="IL",$E197="AMEREN"),"NA",TEXT((SUMPRODUCT(((LMPMain!$H$9:$H$1000)=$E197)*((LMPMain!$J$9:$J$1000)=$F197)*((LMPMain!$O$9:$O$1000)=$C197)*(LMPMain!S$9:S$1000))+(SUMPRODUCT(((Adders!$D$13:$D$101)=$E197)*((Adders!$E$13:$E$101)=$F197)*(Adders!H$13:H$101))+VLOOKUP($H197,Adders!$B$5:$G$8,M$11,FALSE)+Matrix!$D$2)*IF($D197="NJ",1.07,1))/$L$10,CHOOSE($M$10,$L$9,$M$9)))</f>
        <v xml:space="preserve"> 35.39 </v>
      </c>
      <c r="N197" s="179" t="str">
        <f>IF(AND($D$11="IL",$E197="AMEREN"),"NA",TEXT((SUMPRODUCT(((LMPMain!$H$9:$H$1000)=$E197)*((LMPMain!$J$9:$J$1000)=$F197)*((LMPMain!$O$9:$O$1000)=$C197)*(LMPMain!T$9:T$1000))+(SUMPRODUCT(((Adders!$D$13:$D$101)=$E197)*((Adders!$E$13:$E$101)=$F197)*(Adders!G$13:G$101))+VLOOKUP($H197,Adders!$B$5:$G$8,N$11,FALSE)+Matrix!$D$2)*IF($D197="NJ",1.07,1))/$L$10,CHOOSE($M$10,$L$9,$M$9)))</f>
        <v xml:space="preserve"> 34.96 </v>
      </c>
      <c r="O197" s="112"/>
    </row>
    <row r="198" spans="2:15" x14ac:dyDescent="0.25">
      <c r="B198" s="160" t="s">
        <v>669</v>
      </c>
      <c r="C198" s="131">
        <f t="shared" si="5"/>
        <v>42186</v>
      </c>
      <c r="D198" s="132" t="s">
        <v>6</v>
      </c>
      <c r="E198" s="133" t="s">
        <v>12</v>
      </c>
      <c r="F198" s="132" t="s">
        <v>10</v>
      </c>
      <c r="G198" s="133" t="str">
        <f t="shared" si="6"/>
        <v>General Service Medium</v>
      </c>
      <c r="H198" s="134" t="s">
        <v>62</v>
      </c>
      <c r="I198" s="173" t="str">
        <f>TEXT(   (SUMPRODUCT( ((Main!$H$9:$H$1000)=$E198)*((Main!$J$9:$J$1000)=$F198)*((Main!$O$9:$O$1000)=$C198)*(Main!R$9:R$1000) ) +  ( SUMPRODUCT( ((Adders!$D$13:$D$101)=$E198)*((Adders!$E$13:$E$101)=$F198)*(Adders!G$13:G$101)) + VLOOKUP($H198,Adders!$B$5:$G$8,L$11,FALSE)  +  PA!$D$2 ) * IF($D198="NJ",1.07,1))/$L$10, CHOOSE($M$10,$L$9,$M$9) )</f>
        <v xml:space="preserve"> 77.17 </v>
      </c>
      <c r="J198" s="173" t="str">
        <f>TEXT(   (SUMPRODUCT( ((Main!$H$9:$H$1000)=$E198)*((Main!$J$9:$J$1000)=$F198)*((Main!$O$9:$O$1000)=$C198)*(Main!S$9:S$1000) ) +  ( SUMPRODUCT( ((Adders!$D$13:$D$101)=$E198)*((Adders!$E$13:$E$101)=$F198)*(Adders!H$13:H$101)) + VLOOKUP($H198,Adders!$B$5:$G$8,M$11,FALSE)  +  PA!$D$2 ) * IF($D198="NJ",1.07,1))/$L$10, CHOOSE($M$10,$L$9,$M$9) )</f>
        <v xml:space="preserve"> 74.90 </v>
      </c>
      <c r="K198" s="174" t="str">
        <f>TEXT(   (SUMPRODUCT( ((Main!$H$9:$H$1000)=$E198)*((Main!$J$9:$J$1000)=$F198)*((Main!$O$9:$O$1000)=$C198)*(Main!T$9:T$1000) ) +  ( SUMPRODUCT( ((Adders!$D$13:$D$101)=$E198)*((Adders!$E$13:$E$101)=$F198)*(Adders!I$13:I$101)) + VLOOKUP($H198,Adders!$B$5:$G$8,N$11,FALSE)  +  PA!$D$2 ) * IF($D198="NJ",1.07,1))/$L$10, CHOOSE($M$10,$L$9,$M$9) )</f>
        <v xml:space="preserve"> 75.21 </v>
      </c>
      <c r="L198" s="173" t="str">
        <f>IF(AND($D$11="IL",$E198="AMEREN"),"NA",TEXT((SUMPRODUCT(((LMPMain!$H$9:$H$1000)=$E198)*((LMPMain!$J$9:$J$1000)=$F198)*((LMPMain!$O$9:$O$1000)=$C198)*(LMPMain!R$9:R$1000))+(SUMPRODUCT(((Adders!$D$13:$D$101)=$E198)*((Adders!$E$13:$E$101)=$F198)*(Adders!G$13:G$101))+VLOOKUP($H198,Adders!$B$5:$G$8,L$11,FALSE)+Matrix!$D$2)*IF($D198="NJ",1.07,1))/$L$10,CHOOSE($M$10,$L$9,$M$9)))</f>
        <v xml:space="preserve"> 35.17 </v>
      </c>
      <c r="M198" s="173" t="str">
        <f>IF(AND($D$11="IL",$E198="AMEREN"),"NA",TEXT((SUMPRODUCT(((LMPMain!$H$9:$H$1000)=$E198)*((LMPMain!$J$9:$J$1000)=$F198)*((LMPMain!$O$9:$O$1000)=$C198)*(LMPMain!S$9:S$1000))+(SUMPRODUCT(((Adders!$D$13:$D$101)=$E198)*((Adders!$E$13:$E$101)=$F198)*(Adders!H$13:H$101))+VLOOKUP($H198,Adders!$B$5:$G$8,M$11,FALSE)+Matrix!$D$2)*IF($D198="NJ",1.07,1))/$L$10,CHOOSE($M$10,$L$9,$M$9)))</f>
        <v xml:space="preserve"> 33.79 </v>
      </c>
      <c r="N198" s="174" t="str">
        <f>IF(AND($D$11="IL",$E198="AMEREN"),"NA",TEXT((SUMPRODUCT(((LMPMain!$H$9:$H$1000)=$E198)*((LMPMain!$J$9:$J$1000)=$F198)*((LMPMain!$O$9:$O$1000)=$C198)*(LMPMain!T$9:T$1000))+(SUMPRODUCT(((Adders!$D$13:$D$101)=$E198)*((Adders!$E$13:$E$101)=$F198)*(Adders!G$13:G$101))+VLOOKUP($H198,Adders!$B$5:$G$8,N$11,FALSE)+Matrix!$D$2)*IF($D198="NJ",1.07,1))/$L$10,CHOOSE($M$10,$L$9,$M$9)))</f>
        <v xml:space="preserve"> 33.36 </v>
      </c>
      <c r="O198" s="112"/>
    </row>
    <row r="199" spans="2:15" x14ac:dyDescent="0.25">
      <c r="B199" s="160" t="s">
        <v>669</v>
      </c>
      <c r="C199" s="135">
        <f t="shared" si="5"/>
        <v>42186</v>
      </c>
      <c r="D199" s="136" t="s">
        <v>6</v>
      </c>
      <c r="E199" s="137" t="s">
        <v>12</v>
      </c>
      <c r="F199" s="136" t="s">
        <v>10</v>
      </c>
      <c r="G199" s="137" t="str">
        <f t="shared" si="6"/>
        <v>General Service Medium</v>
      </c>
      <c r="H199" s="138" t="s">
        <v>690</v>
      </c>
      <c r="I199" s="176" t="str">
        <f>TEXT(   (SUMPRODUCT( ((Main!$H$9:$H$1000)=$E199)*((Main!$J$9:$J$1000)=$F199)*((Main!$O$9:$O$1000)=$C199)*(Main!R$9:R$1000) ) +  ( SUMPRODUCT( ((Adders!$D$13:$D$101)=$E199)*((Adders!$E$13:$E$101)=$F199)*(Adders!G$13:G$101)) + VLOOKUP($H199,Adders!$B$5:$G$8,L$11,FALSE)  +  PA!$D$2 ) * IF($D199="NJ",1.07,1))/$L$10, CHOOSE($M$10,$L$9,$M$9) )</f>
        <v xml:space="preserve"> 76.12 </v>
      </c>
      <c r="J199" s="176" t="str">
        <f>TEXT(   (SUMPRODUCT( ((Main!$H$9:$H$1000)=$E199)*((Main!$J$9:$J$1000)=$F199)*((Main!$O$9:$O$1000)=$C199)*(Main!S$9:S$1000) ) +  ( SUMPRODUCT( ((Adders!$D$13:$D$101)=$E199)*((Adders!$E$13:$E$101)=$F199)*(Adders!H$13:H$101)) + VLOOKUP($H199,Adders!$B$5:$G$8,M$11,FALSE)  +  PA!$D$2 ) * IF($D199="NJ",1.07,1))/$L$10, CHOOSE($M$10,$L$9,$M$9) )</f>
        <v xml:space="preserve"> 73.85 </v>
      </c>
      <c r="K199" s="177" t="str">
        <f>TEXT(   (SUMPRODUCT( ((Main!$H$9:$H$1000)=$E199)*((Main!$J$9:$J$1000)=$F199)*((Main!$O$9:$O$1000)=$C199)*(Main!T$9:T$1000) ) +  ( SUMPRODUCT( ((Adders!$D$13:$D$101)=$E199)*((Adders!$E$13:$E$101)=$F199)*(Adders!I$13:I$101)) + VLOOKUP($H199,Adders!$B$5:$G$8,N$11,FALSE)  +  PA!$D$2 ) * IF($D199="NJ",1.07,1))/$L$10, CHOOSE($M$10,$L$9,$M$9) )</f>
        <v xml:space="preserve"> 74.16 </v>
      </c>
      <c r="L199" s="176" t="str">
        <f>IF(AND($D$11="IL",$E199="AMEREN"),"NA",TEXT((SUMPRODUCT(((LMPMain!$H$9:$H$1000)=$E199)*((LMPMain!$J$9:$J$1000)=$F199)*((LMPMain!$O$9:$O$1000)=$C199)*(LMPMain!R$9:R$1000))+(SUMPRODUCT(((Adders!$D$13:$D$101)=$E199)*((Adders!$E$13:$E$101)=$F199)*(Adders!G$13:G$101))+VLOOKUP($H199,Adders!$B$5:$G$8,L$11,FALSE)+Matrix!$D$2)*IF($D199="NJ",1.07,1))/$L$10,CHOOSE($M$10,$L$9,$M$9)))</f>
        <v xml:space="preserve"> 34.12 </v>
      </c>
      <c r="M199" s="176" t="str">
        <f>IF(AND($D$11="IL",$E199="AMEREN"),"NA",TEXT((SUMPRODUCT(((LMPMain!$H$9:$H$1000)=$E199)*((LMPMain!$J$9:$J$1000)=$F199)*((LMPMain!$O$9:$O$1000)=$C199)*(LMPMain!S$9:S$1000))+(SUMPRODUCT(((Adders!$D$13:$D$101)=$E199)*((Adders!$E$13:$E$101)=$F199)*(Adders!H$13:H$101))+VLOOKUP($H199,Adders!$B$5:$G$8,M$11,FALSE)+Matrix!$D$2)*IF($D199="NJ",1.07,1))/$L$10,CHOOSE($M$10,$L$9,$M$9)))</f>
        <v xml:space="preserve"> 32.74 </v>
      </c>
      <c r="N199" s="177" t="str">
        <f>IF(AND($D$11="IL",$E199="AMEREN"),"NA",TEXT((SUMPRODUCT(((LMPMain!$H$9:$H$1000)=$E199)*((LMPMain!$J$9:$J$1000)=$F199)*((LMPMain!$O$9:$O$1000)=$C199)*(LMPMain!T$9:T$1000))+(SUMPRODUCT(((Adders!$D$13:$D$101)=$E199)*((Adders!$E$13:$E$101)=$F199)*(Adders!G$13:G$101))+VLOOKUP($H199,Adders!$B$5:$G$8,N$11,FALSE)+Matrix!$D$2)*IF($D199="NJ",1.07,1))/$L$10,CHOOSE($M$10,$L$9,$M$9)))</f>
        <v xml:space="preserve"> 32.31 </v>
      </c>
      <c r="O199" s="112"/>
    </row>
    <row r="200" spans="2:15" x14ac:dyDescent="0.25">
      <c r="B200" s="160" t="s">
        <v>669</v>
      </c>
      <c r="C200" s="127">
        <f t="shared" si="5"/>
        <v>42217</v>
      </c>
      <c r="D200" s="128" t="s">
        <v>6</v>
      </c>
      <c r="E200" s="129" t="s">
        <v>12</v>
      </c>
      <c r="F200" s="128" t="s">
        <v>10</v>
      </c>
      <c r="G200" s="129" t="str">
        <f t="shared" si="6"/>
        <v>General Service Medium</v>
      </c>
      <c r="H200" s="130" t="s">
        <v>61</v>
      </c>
      <c r="I200" s="178" t="str">
        <f>TEXT(   (SUMPRODUCT( ((Main!$H$9:$H$1000)=$E200)*((Main!$J$9:$J$1000)=$F200)*((Main!$O$9:$O$1000)=$C200)*(Main!R$9:R$1000) ) +  ( SUMPRODUCT( ((Adders!$D$13:$D$101)=$E200)*((Adders!$E$13:$E$101)=$F200)*(Adders!G$13:G$101)) + VLOOKUP($H200,Adders!$B$5:$G$8,L$11,FALSE)  +  PA!$D$2 ) * IF($D200="NJ",1.07,1))/$L$10, CHOOSE($M$10,$L$9,$M$9) )</f>
        <v xml:space="preserve"> 78.31 </v>
      </c>
      <c r="J200" s="178" t="str">
        <f>TEXT(   (SUMPRODUCT( ((Main!$H$9:$H$1000)=$E200)*((Main!$J$9:$J$1000)=$F200)*((Main!$O$9:$O$1000)=$C200)*(Main!S$9:S$1000) ) +  ( SUMPRODUCT( ((Adders!$D$13:$D$101)=$E200)*((Adders!$E$13:$E$101)=$F200)*(Adders!H$13:H$101)) + VLOOKUP($H200,Adders!$B$5:$G$8,M$11,FALSE)  +  PA!$D$2 ) * IF($D200="NJ",1.07,1))/$L$10, CHOOSE($M$10,$L$9,$M$9) )</f>
        <v xml:space="preserve"> 76.55 </v>
      </c>
      <c r="K200" s="179" t="str">
        <f>TEXT(   (SUMPRODUCT( ((Main!$H$9:$H$1000)=$E200)*((Main!$J$9:$J$1000)=$F200)*((Main!$O$9:$O$1000)=$C200)*(Main!T$9:T$1000) ) +  ( SUMPRODUCT( ((Adders!$D$13:$D$101)=$E200)*((Adders!$E$13:$E$101)=$F200)*(Adders!I$13:I$101)) + VLOOKUP($H200,Adders!$B$5:$G$8,N$11,FALSE)  +  PA!$D$2 ) * IF($D200="NJ",1.07,1))/$L$10, CHOOSE($M$10,$L$9,$M$9) )</f>
        <v xml:space="preserve"> 76.69 </v>
      </c>
      <c r="L200" s="178" t="str">
        <f>IF(AND($D$11="IL",$E200="AMEREN"),"NA",TEXT((SUMPRODUCT(((LMPMain!$H$9:$H$1000)=$E200)*((LMPMain!$J$9:$J$1000)=$F200)*((LMPMain!$O$9:$O$1000)=$C200)*(LMPMain!R$9:R$1000))+(SUMPRODUCT(((Adders!$D$13:$D$101)=$E200)*((Adders!$E$13:$E$101)=$F200)*(Adders!G$13:G$101))+VLOOKUP($H200,Adders!$B$5:$G$8,L$11,FALSE)+Matrix!$D$2)*IF($D200="NJ",1.07,1))/$L$10,CHOOSE($M$10,$L$9,$M$9)))</f>
        <v xml:space="preserve"> 36.47 </v>
      </c>
      <c r="M200" s="178" t="str">
        <f>IF(AND($D$11="IL",$E200="AMEREN"),"NA",TEXT((SUMPRODUCT(((LMPMain!$H$9:$H$1000)=$E200)*((LMPMain!$J$9:$J$1000)=$F200)*((LMPMain!$O$9:$O$1000)=$C200)*(LMPMain!S$9:S$1000))+(SUMPRODUCT(((Adders!$D$13:$D$101)=$E200)*((Adders!$E$13:$E$101)=$F200)*(Adders!H$13:H$101))+VLOOKUP($H200,Adders!$B$5:$G$8,M$11,FALSE)+Matrix!$D$2)*IF($D200="NJ",1.07,1))/$L$10,CHOOSE($M$10,$L$9,$M$9)))</f>
        <v xml:space="preserve"> 35.23 </v>
      </c>
      <c r="N200" s="179" t="str">
        <f>IF(AND($D$11="IL",$E200="AMEREN"),"NA",TEXT((SUMPRODUCT(((LMPMain!$H$9:$H$1000)=$E200)*((LMPMain!$J$9:$J$1000)=$F200)*((LMPMain!$O$9:$O$1000)=$C200)*(LMPMain!T$9:T$1000))+(SUMPRODUCT(((Adders!$D$13:$D$101)=$E200)*((Adders!$E$13:$E$101)=$F200)*(Adders!G$13:G$101))+VLOOKUP($H200,Adders!$B$5:$G$8,N$11,FALSE)+Matrix!$D$2)*IF($D200="NJ",1.07,1))/$L$10,CHOOSE($M$10,$L$9,$M$9)))</f>
        <v xml:space="preserve"> 34.85 </v>
      </c>
      <c r="O200" s="112"/>
    </row>
    <row r="201" spans="2:15" x14ac:dyDescent="0.25">
      <c r="B201" s="160" t="s">
        <v>669</v>
      </c>
      <c r="C201" s="131">
        <f t="shared" si="5"/>
        <v>42217</v>
      </c>
      <c r="D201" s="132" t="s">
        <v>6</v>
      </c>
      <c r="E201" s="133" t="s">
        <v>12</v>
      </c>
      <c r="F201" s="132" t="s">
        <v>10</v>
      </c>
      <c r="G201" s="133" t="str">
        <f t="shared" si="6"/>
        <v>General Service Medium</v>
      </c>
      <c r="H201" s="134" t="s">
        <v>62</v>
      </c>
      <c r="I201" s="173" t="str">
        <f>TEXT(   (SUMPRODUCT( ((Main!$H$9:$H$1000)=$E201)*((Main!$J$9:$J$1000)=$F201)*((Main!$O$9:$O$1000)=$C201)*(Main!R$9:R$1000) ) +  ( SUMPRODUCT( ((Adders!$D$13:$D$101)=$E201)*((Adders!$E$13:$E$101)=$F201)*(Adders!G$13:G$101)) + VLOOKUP($H201,Adders!$B$5:$G$8,L$11,FALSE)  +  PA!$D$2 ) * IF($D201="NJ",1.07,1))/$L$10, CHOOSE($M$10,$L$9,$M$9) )</f>
        <v xml:space="preserve"> 76.71 </v>
      </c>
      <c r="J201" s="173" t="str">
        <f>TEXT(   (SUMPRODUCT( ((Main!$H$9:$H$1000)=$E201)*((Main!$J$9:$J$1000)=$F201)*((Main!$O$9:$O$1000)=$C201)*(Main!S$9:S$1000) ) +  ( SUMPRODUCT( ((Adders!$D$13:$D$101)=$E201)*((Adders!$E$13:$E$101)=$F201)*(Adders!H$13:H$101)) + VLOOKUP($H201,Adders!$B$5:$G$8,M$11,FALSE)  +  PA!$D$2 ) * IF($D201="NJ",1.07,1))/$L$10, CHOOSE($M$10,$L$9,$M$9) )</f>
        <v xml:space="preserve"> 74.95 </v>
      </c>
      <c r="K201" s="174" t="str">
        <f>TEXT(   (SUMPRODUCT( ((Main!$H$9:$H$1000)=$E201)*((Main!$J$9:$J$1000)=$F201)*((Main!$O$9:$O$1000)=$C201)*(Main!T$9:T$1000) ) +  ( SUMPRODUCT( ((Adders!$D$13:$D$101)=$E201)*((Adders!$E$13:$E$101)=$F201)*(Adders!I$13:I$101)) + VLOOKUP($H201,Adders!$B$5:$G$8,N$11,FALSE)  +  PA!$D$2 ) * IF($D201="NJ",1.07,1))/$L$10, CHOOSE($M$10,$L$9,$M$9) )</f>
        <v xml:space="preserve"> 75.09 </v>
      </c>
      <c r="L201" s="173" t="str">
        <f>IF(AND($D$11="IL",$E201="AMEREN"),"NA",TEXT((SUMPRODUCT(((LMPMain!$H$9:$H$1000)=$E201)*((LMPMain!$J$9:$J$1000)=$F201)*((LMPMain!$O$9:$O$1000)=$C201)*(LMPMain!R$9:R$1000))+(SUMPRODUCT(((Adders!$D$13:$D$101)=$E201)*((Adders!$E$13:$E$101)=$F201)*(Adders!G$13:G$101))+VLOOKUP($H201,Adders!$B$5:$G$8,L$11,FALSE)+Matrix!$D$2)*IF($D201="NJ",1.07,1))/$L$10,CHOOSE($M$10,$L$9,$M$9)))</f>
        <v xml:space="preserve"> 34.87 </v>
      </c>
      <c r="M201" s="173" t="str">
        <f>IF(AND($D$11="IL",$E201="AMEREN"),"NA",TEXT((SUMPRODUCT(((LMPMain!$H$9:$H$1000)=$E201)*((LMPMain!$J$9:$J$1000)=$F201)*((LMPMain!$O$9:$O$1000)=$C201)*(LMPMain!S$9:S$1000))+(SUMPRODUCT(((Adders!$D$13:$D$101)=$E201)*((Adders!$E$13:$E$101)=$F201)*(Adders!H$13:H$101))+VLOOKUP($H201,Adders!$B$5:$G$8,M$11,FALSE)+Matrix!$D$2)*IF($D201="NJ",1.07,1))/$L$10,CHOOSE($M$10,$L$9,$M$9)))</f>
        <v xml:space="preserve"> 33.63 </v>
      </c>
      <c r="N201" s="174" t="str">
        <f>IF(AND($D$11="IL",$E201="AMEREN"),"NA",TEXT((SUMPRODUCT(((LMPMain!$H$9:$H$1000)=$E201)*((LMPMain!$J$9:$J$1000)=$F201)*((LMPMain!$O$9:$O$1000)=$C201)*(LMPMain!T$9:T$1000))+(SUMPRODUCT(((Adders!$D$13:$D$101)=$E201)*((Adders!$E$13:$E$101)=$F201)*(Adders!G$13:G$101))+VLOOKUP($H201,Adders!$B$5:$G$8,N$11,FALSE)+Matrix!$D$2)*IF($D201="NJ",1.07,1))/$L$10,CHOOSE($M$10,$L$9,$M$9)))</f>
        <v xml:space="preserve"> 33.25 </v>
      </c>
      <c r="O201" s="112"/>
    </row>
    <row r="202" spans="2:15" x14ac:dyDescent="0.25">
      <c r="B202" s="160" t="s">
        <v>669</v>
      </c>
      <c r="C202" s="135">
        <f t="shared" si="5"/>
        <v>42217</v>
      </c>
      <c r="D202" s="136" t="s">
        <v>6</v>
      </c>
      <c r="E202" s="137" t="s">
        <v>12</v>
      </c>
      <c r="F202" s="136" t="s">
        <v>10</v>
      </c>
      <c r="G202" s="137" t="str">
        <f t="shared" si="6"/>
        <v>General Service Medium</v>
      </c>
      <c r="H202" s="138" t="s">
        <v>690</v>
      </c>
      <c r="I202" s="176" t="str">
        <f>TEXT(   (SUMPRODUCT( ((Main!$H$9:$H$1000)=$E202)*((Main!$J$9:$J$1000)=$F202)*((Main!$O$9:$O$1000)=$C202)*(Main!R$9:R$1000) ) +  ( SUMPRODUCT( ((Adders!$D$13:$D$101)=$E202)*((Adders!$E$13:$E$101)=$F202)*(Adders!G$13:G$101)) + VLOOKUP($H202,Adders!$B$5:$G$8,L$11,FALSE)  +  PA!$D$2 ) * IF($D202="NJ",1.07,1))/$L$10, CHOOSE($M$10,$L$9,$M$9) )</f>
        <v xml:space="preserve"> 75.66 </v>
      </c>
      <c r="J202" s="176" t="str">
        <f>TEXT(   (SUMPRODUCT( ((Main!$H$9:$H$1000)=$E202)*((Main!$J$9:$J$1000)=$F202)*((Main!$O$9:$O$1000)=$C202)*(Main!S$9:S$1000) ) +  ( SUMPRODUCT( ((Adders!$D$13:$D$101)=$E202)*((Adders!$E$13:$E$101)=$F202)*(Adders!H$13:H$101)) + VLOOKUP($H202,Adders!$B$5:$G$8,M$11,FALSE)  +  PA!$D$2 ) * IF($D202="NJ",1.07,1))/$L$10, CHOOSE($M$10,$L$9,$M$9) )</f>
        <v xml:space="preserve"> 73.90 </v>
      </c>
      <c r="K202" s="177" t="str">
        <f>TEXT(   (SUMPRODUCT( ((Main!$H$9:$H$1000)=$E202)*((Main!$J$9:$J$1000)=$F202)*((Main!$O$9:$O$1000)=$C202)*(Main!T$9:T$1000) ) +  ( SUMPRODUCT( ((Adders!$D$13:$D$101)=$E202)*((Adders!$E$13:$E$101)=$F202)*(Adders!I$13:I$101)) + VLOOKUP($H202,Adders!$B$5:$G$8,N$11,FALSE)  +  PA!$D$2 ) * IF($D202="NJ",1.07,1))/$L$10, CHOOSE($M$10,$L$9,$M$9) )</f>
        <v xml:space="preserve"> 74.04 </v>
      </c>
      <c r="L202" s="176" t="str">
        <f>IF(AND($D$11="IL",$E202="AMEREN"),"NA",TEXT((SUMPRODUCT(((LMPMain!$H$9:$H$1000)=$E202)*((LMPMain!$J$9:$J$1000)=$F202)*((LMPMain!$O$9:$O$1000)=$C202)*(LMPMain!R$9:R$1000))+(SUMPRODUCT(((Adders!$D$13:$D$101)=$E202)*((Adders!$E$13:$E$101)=$F202)*(Adders!G$13:G$101))+VLOOKUP($H202,Adders!$B$5:$G$8,L$11,FALSE)+Matrix!$D$2)*IF($D202="NJ",1.07,1))/$L$10,CHOOSE($M$10,$L$9,$M$9)))</f>
        <v xml:space="preserve"> 33.82 </v>
      </c>
      <c r="M202" s="176" t="str">
        <f>IF(AND($D$11="IL",$E202="AMEREN"),"NA",TEXT((SUMPRODUCT(((LMPMain!$H$9:$H$1000)=$E202)*((LMPMain!$J$9:$J$1000)=$F202)*((LMPMain!$O$9:$O$1000)=$C202)*(LMPMain!S$9:S$1000))+(SUMPRODUCT(((Adders!$D$13:$D$101)=$E202)*((Adders!$E$13:$E$101)=$F202)*(Adders!H$13:H$101))+VLOOKUP($H202,Adders!$B$5:$G$8,M$11,FALSE)+Matrix!$D$2)*IF($D202="NJ",1.07,1))/$L$10,CHOOSE($M$10,$L$9,$M$9)))</f>
        <v xml:space="preserve"> 32.58 </v>
      </c>
      <c r="N202" s="177" t="str">
        <f>IF(AND($D$11="IL",$E202="AMEREN"),"NA",TEXT((SUMPRODUCT(((LMPMain!$H$9:$H$1000)=$E202)*((LMPMain!$J$9:$J$1000)=$F202)*((LMPMain!$O$9:$O$1000)=$C202)*(LMPMain!T$9:T$1000))+(SUMPRODUCT(((Adders!$D$13:$D$101)=$E202)*((Adders!$E$13:$E$101)=$F202)*(Adders!G$13:G$101))+VLOOKUP($H202,Adders!$B$5:$G$8,N$11,FALSE)+Matrix!$D$2)*IF($D202="NJ",1.07,1))/$L$10,CHOOSE($M$10,$L$9,$M$9)))</f>
        <v xml:space="preserve"> 32.20 </v>
      </c>
      <c r="O202" s="112"/>
    </row>
    <row r="203" spans="2:15" x14ac:dyDescent="0.25">
      <c r="B203" s="160" t="s">
        <v>669</v>
      </c>
      <c r="C203" s="127">
        <f t="shared" si="5"/>
        <v>42248</v>
      </c>
      <c r="D203" s="128" t="s">
        <v>6</v>
      </c>
      <c r="E203" s="129" t="s">
        <v>12</v>
      </c>
      <c r="F203" s="128" t="s">
        <v>10</v>
      </c>
      <c r="G203" s="129" t="str">
        <f t="shared" si="6"/>
        <v>General Service Medium</v>
      </c>
      <c r="H203" s="130" t="s">
        <v>61</v>
      </c>
      <c r="I203" s="178" t="str">
        <f>TEXT(   (SUMPRODUCT( ((Main!$H$9:$H$1000)=$E203)*((Main!$J$9:$J$1000)=$F203)*((Main!$O$9:$O$1000)=$C203)*(Main!R$9:R$1000) ) +  ( SUMPRODUCT( ((Adders!$D$13:$D$101)=$E203)*((Adders!$E$13:$E$101)=$F203)*(Adders!G$13:G$101)) + VLOOKUP($H203,Adders!$B$5:$G$8,L$11,FALSE)  +  PA!$D$2 ) * IF($D203="NJ",1.07,1))/$L$10, CHOOSE($M$10,$L$9,$M$9) )</f>
        <v xml:space="preserve"> 78.00 </v>
      </c>
      <c r="J203" s="178" t="str">
        <f>TEXT(   (SUMPRODUCT( ((Main!$H$9:$H$1000)=$E203)*((Main!$J$9:$J$1000)=$F203)*((Main!$O$9:$O$1000)=$C203)*(Main!S$9:S$1000) ) +  ( SUMPRODUCT( ((Adders!$D$13:$D$101)=$E203)*((Adders!$E$13:$E$101)=$F203)*(Adders!H$13:H$101)) + VLOOKUP($H203,Adders!$B$5:$G$8,M$11,FALSE)  +  PA!$D$2 ) * IF($D203="NJ",1.07,1))/$L$10, CHOOSE($M$10,$L$9,$M$9) )</f>
        <v xml:space="preserve"> 76.74 </v>
      </c>
      <c r="K203" s="179" t="str">
        <f>TEXT(   (SUMPRODUCT( ((Main!$H$9:$H$1000)=$E203)*((Main!$J$9:$J$1000)=$F203)*((Main!$O$9:$O$1000)=$C203)*(Main!T$9:T$1000) ) +  ( SUMPRODUCT( ((Adders!$D$13:$D$101)=$E203)*((Adders!$E$13:$E$101)=$F203)*(Adders!I$13:I$101)) + VLOOKUP($H203,Adders!$B$5:$G$8,N$11,FALSE)  +  PA!$D$2 ) * IF($D203="NJ",1.07,1))/$L$10, CHOOSE($M$10,$L$9,$M$9) )</f>
        <v xml:space="preserve"> 76.63 </v>
      </c>
      <c r="L203" s="178" t="str">
        <f>IF(AND($D$11="IL",$E203="AMEREN"),"NA",TEXT((SUMPRODUCT(((LMPMain!$H$9:$H$1000)=$E203)*((LMPMain!$J$9:$J$1000)=$F203)*((LMPMain!$O$9:$O$1000)=$C203)*(LMPMain!R$9:R$1000))+(SUMPRODUCT(((Adders!$D$13:$D$101)=$E203)*((Adders!$E$13:$E$101)=$F203)*(Adders!G$13:G$101))+VLOOKUP($H203,Adders!$B$5:$G$8,L$11,FALSE)+Matrix!$D$2)*IF($D203="NJ",1.07,1))/$L$10,CHOOSE($M$10,$L$9,$M$9)))</f>
        <v xml:space="preserve"> 36.10 </v>
      </c>
      <c r="M203" s="178" t="str">
        <f>IF(AND($D$11="IL",$E203="AMEREN"),"NA",TEXT((SUMPRODUCT(((LMPMain!$H$9:$H$1000)=$E203)*((LMPMain!$J$9:$J$1000)=$F203)*((LMPMain!$O$9:$O$1000)=$C203)*(LMPMain!S$9:S$1000))+(SUMPRODUCT(((Adders!$D$13:$D$101)=$E203)*((Adders!$E$13:$E$101)=$F203)*(Adders!H$13:H$101))+VLOOKUP($H203,Adders!$B$5:$G$8,M$11,FALSE)+Matrix!$D$2)*IF($D203="NJ",1.07,1))/$L$10,CHOOSE($M$10,$L$9,$M$9)))</f>
        <v xml:space="preserve"> 35.10 </v>
      </c>
      <c r="N203" s="179" t="str">
        <f>IF(AND($D$11="IL",$E203="AMEREN"),"NA",TEXT((SUMPRODUCT(((LMPMain!$H$9:$H$1000)=$E203)*((LMPMain!$J$9:$J$1000)=$F203)*((LMPMain!$O$9:$O$1000)=$C203)*(LMPMain!T$9:T$1000))+(SUMPRODUCT(((Adders!$D$13:$D$101)=$E203)*((Adders!$E$13:$E$101)=$F203)*(Adders!G$13:G$101))+VLOOKUP($H203,Adders!$B$5:$G$8,N$11,FALSE)+Matrix!$D$2)*IF($D203="NJ",1.07,1))/$L$10,CHOOSE($M$10,$L$9,$M$9)))</f>
        <v xml:space="preserve"> 34.71 </v>
      </c>
      <c r="O203" s="112"/>
    </row>
    <row r="204" spans="2:15" x14ac:dyDescent="0.25">
      <c r="B204" s="160" t="s">
        <v>669</v>
      </c>
      <c r="C204" s="131">
        <f t="shared" si="5"/>
        <v>42248</v>
      </c>
      <c r="D204" s="132" t="s">
        <v>6</v>
      </c>
      <c r="E204" s="133" t="s">
        <v>12</v>
      </c>
      <c r="F204" s="132" t="s">
        <v>10</v>
      </c>
      <c r="G204" s="133" t="str">
        <f t="shared" si="6"/>
        <v>General Service Medium</v>
      </c>
      <c r="H204" s="134" t="s">
        <v>62</v>
      </c>
      <c r="I204" s="173" t="str">
        <f>TEXT(   (SUMPRODUCT( ((Main!$H$9:$H$1000)=$E204)*((Main!$J$9:$J$1000)=$F204)*((Main!$O$9:$O$1000)=$C204)*(Main!R$9:R$1000) ) +  ( SUMPRODUCT( ((Adders!$D$13:$D$101)=$E204)*((Adders!$E$13:$E$101)=$F204)*(Adders!G$13:G$101)) + VLOOKUP($H204,Adders!$B$5:$G$8,L$11,FALSE)  +  PA!$D$2 ) * IF($D204="NJ",1.07,1))/$L$10, CHOOSE($M$10,$L$9,$M$9) )</f>
        <v xml:space="preserve"> 76.40 </v>
      </c>
      <c r="J204" s="173" t="str">
        <f>TEXT(   (SUMPRODUCT( ((Main!$H$9:$H$1000)=$E204)*((Main!$J$9:$J$1000)=$F204)*((Main!$O$9:$O$1000)=$C204)*(Main!S$9:S$1000) ) +  ( SUMPRODUCT( ((Adders!$D$13:$D$101)=$E204)*((Adders!$E$13:$E$101)=$F204)*(Adders!H$13:H$101)) + VLOOKUP($H204,Adders!$B$5:$G$8,M$11,FALSE)  +  PA!$D$2 ) * IF($D204="NJ",1.07,1))/$L$10, CHOOSE($M$10,$L$9,$M$9) )</f>
        <v xml:space="preserve"> 75.14 </v>
      </c>
      <c r="K204" s="174" t="str">
        <f>TEXT(   (SUMPRODUCT( ((Main!$H$9:$H$1000)=$E204)*((Main!$J$9:$J$1000)=$F204)*((Main!$O$9:$O$1000)=$C204)*(Main!T$9:T$1000) ) +  ( SUMPRODUCT( ((Adders!$D$13:$D$101)=$E204)*((Adders!$E$13:$E$101)=$F204)*(Adders!I$13:I$101)) + VLOOKUP($H204,Adders!$B$5:$G$8,N$11,FALSE)  +  PA!$D$2 ) * IF($D204="NJ",1.07,1))/$L$10, CHOOSE($M$10,$L$9,$M$9) )</f>
        <v xml:space="preserve"> 75.03 </v>
      </c>
      <c r="L204" s="173" t="str">
        <f>IF(AND($D$11="IL",$E204="AMEREN"),"NA",TEXT((SUMPRODUCT(((LMPMain!$H$9:$H$1000)=$E204)*((LMPMain!$J$9:$J$1000)=$F204)*((LMPMain!$O$9:$O$1000)=$C204)*(LMPMain!R$9:R$1000))+(SUMPRODUCT(((Adders!$D$13:$D$101)=$E204)*((Adders!$E$13:$E$101)=$F204)*(Adders!G$13:G$101))+VLOOKUP($H204,Adders!$B$5:$G$8,L$11,FALSE)+Matrix!$D$2)*IF($D204="NJ",1.07,1))/$L$10,CHOOSE($M$10,$L$9,$M$9)))</f>
        <v xml:space="preserve"> 34.50 </v>
      </c>
      <c r="M204" s="173" t="str">
        <f>IF(AND($D$11="IL",$E204="AMEREN"),"NA",TEXT((SUMPRODUCT(((LMPMain!$H$9:$H$1000)=$E204)*((LMPMain!$J$9:$J$1000)=$F204)*((LMPMain!$O$9:$O$1000)=$C204)*(LMPMain!S$9:S$1000))+(SUMPRODUCT(((Adders!$D$13:$D$101)=$E204)*((Adders!$E$13:$E$101)=$F204)*(Adders!H$13:H$101))+VLOOKUP($H204,Adders!$B$5:$G$8,M$11,FALSE)+Matrix!$D$2)*IF($D204="NJ",1.07,1))/$L$10,CHOOSE($M$10,$L$9,$M$9)))</f>
        <v xml:space="preserve"> 33.50 </v>
      </c>
      <c r="N204" s="174" t="str">
        <f>IF(AND($D$11="IL",$E204="AMEREN"),"NA",TEXT((SUMPRODUCT(((LMPMain!$H$9:$H$1000)=$E204)*((LMPMain!$J$9:$J$1000)=$F204)*((LMPMain!$O$9:$O$1000)=$C204)*(LMPMain!T$9:T$1000))+(SUMPRODUCT(((Adders!$D$13:$D$101)=$E204)*((Adders!$E$13:$E$101)=$F204)*(Adders!G$13:G$101))+VLOOKUP($H204,Adders!$B$5:$G$8,N$11,FALSE)+Matrix!$D$2)*IF($D204="NJ",1.07,1))/$L$10,CHOOSE($M$10,$L$9,$M$9)))</f>
        <v xml:space="preserve"> 33.11 </v>
      </c>
      <c r="O204" s="112"/>
    </row>
    <row r="205" spans="2:15" x14ac:dyDescent="0.25">
      <c r="B205" s="160" t="s">
        <v>669</v>
      </c>
      <c r="C205" s="135">
        <f t="shared" si="5"/>
        <v>42248</v>
      </c>
      <c r="D205" s="136" t="s">
        <v>6</v>
      </c>
      <c r="E205" s="137" t="s">
        <v>12</v>
      </c>
      <c r="F205" s="136" t="s">
        <v>10</v>
      </c>
      <c r="G205" s="137" t="str">
        <f t="shared" si="6"/>
        <v>General Service Medium</v>
      </c>
      <c r="H205" s="138" t="s">
        <v>690</v>
      </c>
      <c r="I205" s="176" t="str">
        <f>TEXT(   (SUMPRODUCT( ((Main!$H$9:$H$1000)=$E205)*((Main!$J$9:$J$1000)=$F205)*((Main!$O$9:$O$1000)=$C205)*(Main!R$9:R$1000) ) +  ( SUMPRODUCT( ((Adders!$D$13:$D$101)=$E205)*((Adders!$E$13:$E$101)=$F205)*(Adders!G$13:G$101)) + VLOOKUP($H205,Adders!$B$5:$G$8,L$11,FALSE)  +  PA!$D$2 ) * IF($D205="NJ",1.07,1))/$L$10, CHOOSE($M$10,$L$9,$M$9) )</f>
        <v xml:space="preserve"> 75.35 </v>
      </c>
      <c r="J205" s="176" t="str">
        <f>TEXT(   (SUMPRODUCT( ((Main!$H$9:$H$1000)=$E205)*((Main!$J$9:$J$1000)=$F205)*((Main!$O$9:$O$1000)=$C205)*(Main!S$9:S$1000) ) +  ( SUMPRODUCT( ((Adders!$D$13:$D$101)=$E205)*((Adders!$E$13:$E$101)=$F205)*(Adders!H$13:H$101)) + VLOOKUP($H205,Adders!$B$5:$G$8,M$11,FALSE)  +  PA!$D$2 ) * IF($D205="NJ",1.07,1))/$L$10, CHOOSE($M$10,$L$9,$M$9) )</f>
        <v xml:space="preserve"> 74.09 </v>
      </c>
      <c r="K205" s="177" t="str">
        <f>TEXT(   (SUMPRODUCT( ((Main!$H$9:$H$1000)=$E205)*((Main!$J$9:$J$1000)=$F205)*((Main!$O$9:$O$1000)=$C205)*(Main!T$9:T$1000) ) +  ( SUMPRODUCT( ((Adders!$D$13:$D$101)=$E205)*((Adders!$E$13:$E$101)=$F205)*(Adders!I$13:I$101)) + VLOOKUP($H205,Adders!$B$5:$G$8,N$11,FALSE)  +  PA!$D$2 ) * IF($D205="NJ",1.07,1))/$L$10, CHOOSE($M$10,$L$9,$M$9) )</f>
        <v xml:space="preserve"> 73.98 </v>
      </c>
      <c r="L205" s="176" t="str">
        <f>IF(AND($D$11="IL",$E205="AMEREN"),"NA",TEXT((SUMPRODUCT(((LMPMain!$H$9:$H$1000)=$E205)*((LMPMain!$J$9:$J$1000)=$F205)*((LMPMain!$O$9:$O$1000)=$C205)*(LMPMain!R$9:R$1000))+(SUMPRODUCT(((Adders!$D$13:$D$101)=$E205)*((Adders!$E$13:$E$101)=$F205)*(Adders!G$13:G$101))+VLOOKUP($H205,Adders!$B$5:$G$8,L$11,FALSE)+Matrix!$D$2)*IF($D205="NJ",1.07,1))/$L$10,CHOOSE($M$10,$L$9,$M$9)))</f>
        <v xml:space="preserve"> 33.45 </v>
      </c>
      <c r="M205" s="176" t="str">
        <f>IF(AND($D$11="IL",$E205="AMEREN"),"NA",TEXT((SUMPRODUCT(((LMPMain!$H$9:$H$1000)=$E205)*((LMPMain!$J$9:$J$1000)=$F205)*((LMPMain!$O$9:$O$1000)=$C205)*(LMPMain!S$9:S$1000))+(SUMPRODUCT(((Adders!$D$13:$D$101)=$E205)*((Adders!$E$13:$E$101)=$F205)*(Adders!H$13:H$101))+VLOOKUP($H205,Adders!$B$5:$G$8,M$11,FALSE)+Matrix!$D$2)*IF($D205="NJ",1.07,1))/$L$10,CHOOSE($M$10,$L$9,$M$9)))</f>
        <v xml:space="preserve"> 32.45 </v>
      </c>
      <c r="N205" s="177" t="str">
        <f>IF(AND($D$11="IL",$E205="AMEREN"),"NA",TEXT((SUMPRODUCT(((LMPMain!$H$9:$H$1000)=$E205)*((LMPMain!$J$9:$J$1000)=$F205)*((LMPMain!$O$9:$O$1000)=$C205)*(LMPMain!T$9:T$1000))+(SUMPRODUCT(((Adders!$D$13:$D$101)=$E205)*((Adders!$E$13:$E$101)=$F205)*(Adders!G$13:G$101))+VLOOKUP($H205,Adders!$B$5:$G$8,N$11,FALSE)+Matrix!$D$2)*IF($D205="NJ",1.07,1))/$L$10,CHOOSE($M$10,$L$9,$M$9)))</f>
        <v xml:space="preserve"> 32.06 </v>
      </c>
      <c r="O205" s="112"/>
    </row>
    <row r="206" spans="2:15" x14ac:dyDescent="0.25">
      <c r="B206" s="160" t="s">
        <v>669</v>
      </c>
      <c r="C206" s="127">
        <f t="shared" si="5"/>
        <v>42278</v>
      </c>
      <c r="D206" s="128" t="s">
        <v>6</v>
      </c>
      <c r="E206" s="129" t="s">
        <v>12</v>
      </c>
      <c r="F206" s="128" t="s">
        <v>10</v>
      </c>
      <c r="G206" s="129" t="str">
        <f t="shared" si="6"/>
        <v>General Service Medium</v>
      </c>
      <c r="H206" s="130" t="s">
        <v>61</v>
      </c>
      <c r="I206" s="178" t="str">
        <f>TEXT(   (SUMPRODUCT( ((Main!$H$9:$H$1000)=$E206)*((Main!$J$9:$J$1000)=$F206)*((Main!$O$9:$O$1000)=$C206)*(Main!R$9:R$1000) ) +  ( SUMPRODUCT( ((Adders!$D$13:$D$101)=$E206)*((Adders!$E$13:$E$101)=$F206)*(Adders!G$13:G$101)) + VLOOKUP($H206,Adders!$B$5:$G$8,L$11,FALSE)  +  PA!$D$2 ) * IF($D206="NJ",1.07,1))/$L$10, CHOOSE($M$10,$L$9,$M$9) )</f>
        <v xml:space="preserve"> 77.59 </v>
      </c>
      <c r="J206" s="178" t="str">
        <f>TEXT(   (SUMPRODUCT( ((Main!$H$9:$H$1000)=$E206)*((Main!$J$9:$J$1000)=$F206)*((Main!$O$9:$O$1000)=$C206)*(Main!S$9:S$1000) ) +  ( SUMPRODUCT( ((Adders!$D$13:$D$101)=$E206)*((Adders!$E$13:$E$101)=$F206)*(Adders!H$13:H$101)) + VLOOKUP($H206,Adders!$B$5:$G$8,M$11,FALSE)  +  PA!$D$2 ) * IF($D206="NJ",1.07,1))/$L$10, CHOOSE($M$10,$L$9,$M$9) )</f>
        <v xml:space="preserve"> 76.90 </v>
      </c>
      <c r="K206" s="179" t="str">
        <f>TEXT(   (SUMPRODUCT( ((Main!$H$9:$H$1000)=$E206)*((Main!$J$9:$J$1000)=$F206)*((Main!$O$9:$O$1000)=$C206)*(Main!T$9:T$1000) ) +  ( SUMPRODUCT( ((Adders!$D$13:$D$101)=$E206)*((Adders!$E$13:$E$101)=$F206)*(Adders!I$13:I$101)) + VLOOKUP($H206,Adders!$B$5:$G$8,N$11,FALSE)  +  PA!$D$2 ) * IF($D206="NJ",1.07,1))/$L$10, CHOOSE($M$10,$L$9,$M$9) )</f>
        <v xml:space="preserve"> 76.44 </v>
      </c>
      <c r="L206" s="178" t="str">
        <f>IF(AND($D$11="IL",$E206="AMEREN"),"NA",TEXT((SUMPRODUCT(((LMPMain!$H$9:$H$1000)=$E206)*((LMPMain!$J$9:$J$1000)=$F206)*((LMPMain!$O$9:$O$1000)=$C206)*(LMPMain!R$9:R$1000))+(SUMPRODUCT(((Adders!$D$13:$D$101)=$E206)*((Adders!$E$13:$E$101)=$F206)*(Adders!G$13:G$101))+VLOOKUP($H206,Adders!$B$5:$G$8,L$11,FALSE)+Matrix!$D$2)*IF($D206="NJ",1.07,1))/$L$10,CHOOSE($M$10,$L$9,$M$9)))</f>
        <v xml:space="preserve"> 35.77 </v>
      </c>
      <c r="M206" s="178" t="str">
        <f>IF(AND($D$11="IL",$E206="AMEREN"),"NA",TEXT((SUMPRODUCT(((LMPMain!$H$9:$H$1000)=$E206)*((LMPMain!$J$9:$J$1000)=$F206)*((LMPMain!$O$9:$O$1000)=$C206)*(LMPMain!S$9:S$1000))+(SUMPRODUCT(((Adders!$D$13:$D$101)=$E206)*((Adders!$E$13:$E$101)=$F206)*(Adders!H$13:H$101))+VLOOKUP($H206,Adders!$B$5:$G$8,M$11,FALSE)+Matrix!$D$2)*IF($D206="NJ",1.07,1))/$L$10,CHOOSE($M$10,$L$9,$M$9)))</f>
        <v xml:space="preserve"> 34.91 </v>
      </c>
      <c r="N206" s="179" t="str">
        <f>IF(AND($D$11="IL",$E206="AMEREN"),"NA",TEXT((SUMPRODUCT(((LMPMain!$H$9:$H$1000)=$E206)*((LMPMain!$J$9:$J$1000)=$F206)*((LMPMain!$O$9:$O$1000)=$C206)*(LMPMain!T$9:T$1000))+(SUMPRODUCT(((Adders!$D$13:$D$101)=$E206)*((Adders!$E$13:$E$101)=$F206)*(Adders!G$13:G$101))+VLOOKUP($H206,Adders!$B$5:$G$8,N$11,FALSE)+Matrix!$D$2)*IF($D206="NJ",1.07,1))/$L$10,CHOOSE($M$10,$L$9,$M$9)))</f>
        <v xml:space="preserve"> 34.58 </v>
      </c>
      <c r="O206" s="112"/>
    </row>
    <row r="207" spans="2:15" x14ac:dyDescent="0.25">
      <c r="B207" s="160" t="s">
        <v>669</v>
      </c>
      <c r="C207" s="131">
        <f t="shared" si="5"/>
        <v>42278</v>
      </c>
      <c r="D207" s="132" t="s">
        <v>6</v>
      </c>
      <c r="E207" s="133" t="s">
        <v>12</v>
      </c>
      <c r="F207" s="132" t="s">
        <v>10</v>
      </c>
      <c r="G207" s="133" t="str">
        <f t="shared" si="6"/>
        <v>General Service Medium</v>
      </c>
      <c r="H207" s="134" t="s">
        <v>62</v>
      </c>
      <c r="I207" s="173" t="str">
        <f>TEXT(   (SUMPRODUCT( ((Main!$H$9:$H$1000)=$E207)*((Main!$J$9:$J$1000)=$F207)*((Main!$O$9:$O$1000)=$C207)*(Main!R$9:R$1000) ) +  ( SUMPRODUCT( ((Adders!$D$13:$D$101)=$E207)*((Adders!$E$13:$E$101)=$F207)*(Adders!G$13:G$101)) + VLOOKUP($H207,Adders!$B$5:$G$8,L$11,FALSE)  +  PA!$D$2 ) * IF($D207="NJ",1.07,1))/$L$10, CHOOSE($M$10,$L$9,$M$9) )</f>
        <v xml:space="preserve"> 75.99 </v>
      </c>
      <c r="J207" s="173" t="str">
        <f>TEXT(   (SUMPRODUCT( ((Main!$H$9:$H$1000)=$E207)*((Main!$J$9:$J$1000)=$F207)*((Main!$O$9:$O$1000)=$C207)*(Main!S$9:S$1000) ) +  ( SUMPRODUCT( ((Adders!$D$13:$D$101)=$E207)*((Adders!$E$13:$E$101)=$F207)*(Adders!H$13:H$101)) + VLOOKUP($H207,Adders!$B$5:$G$8,M$11,FALSE)  +  PA!$D$2 ) * IF($D207="NJ",1.07,1))/$L$10, CHOOSE($M$10,$L$9,$M$9) )</f>
        <v xml:space="preserve"> 75.30 </v>
      </c>
      <c r="K207" s="174" t="str">
        <f>TEXT(   (SUMPRODUCT( ((Main!$H$9:$H$1000)=$E207)*((Main!$J$9:$J$1000)=$F207)*((Main!$O$9:$O$1000)=$C207)*(Main!T$9:T$1000) ) +  ( SUMPRODUCT( ((Adders!$D$13:$D$101)=$E207)*((Adders!$E$13:$E$101)=$F207)*(Adders!I$13:I$101)) + VLOOKUP($H207,Adders!$B$5:$G$8,N$11,FALSE)  +  PA!$D$2 ) * IF($D207="NJ",1.07,1))/$L$10, CHOOSE($M$10,$L$9,$M$9) )</f>
        <v xml:space="preserve"> 74.84 </v>
      </c>
      <c r="L207" s="173" t="str">
        <f>IF(AND($D$11="IL",$E207="AMEREN"),"NA",TEXT((SUMPRODUCT(((LMPMain!$H$9:$H$1000)=$E207)*((LMPMain!$J$9:$J$1000)=$F207)*((LMPMain!$O$9:$O$1000)=$C207)*(LMPMain!R$9:R$1000))+(SUMPRODUCT(((Adders!$D$13:$D$101)=$E207)*((Adders!$E$13:$E$101)=$F207)*(Adders!G$13:G$101))+VLOOKUP($H207,Adders!$B$5:$G$8,L$11,FALSE)+Matrix!$D$2)*IF($D207="NJ",1.07,1))/$L$10,CHOOSE($M$10,$L$9,$M$9)))</f>
        <v xml:space="preserve"> 34.17 </v>
      </c>
      <c r="M207" s="173" t="str">
        <f>IF(AND($D$11="IL",$E207="AMEREN"),"NA",TEXT((SUMPRODUCT(((LMPMain!$H$9:$H$1000)=$E207)*((LMPMain!$J$9:$J$1000)=$F207)*((LMPMain!$O$9:$O$1000)=$C207)*(LMPMain!S$9:S$1000))+(SUMPRODUCT(((Adders!$D$13:$D$101)=$E207)*((Adders!$E$13:$E$101)=$F207)*(Adders!H$13:H$101))+VLOOKUP($H207,Adders!$B$5:$G$8,M$11,FALSE)+Matrix!$D$2)*IF($D207="NJ",1.07,1))/$L$10,CHOOSE($M$10,$L$9,$M$9)))</f>
        <v xml:space="preserve"> 33.31 </v>
      </c>
      <c r="N207" s="174" t="str">
        <f>IF(AND($D$11="IL",$E207="AMEREN"),"NA",TEXT((SUMPRODUCT(((LMPMain!$H$9:$H$1000)=$E207)*((LMPMain!$J$9:$J$1000)=$F207)*((LMPMain!$O$9:$O$1000)=$C207)*(LMPMain!T$9:T$1000))+(SUMPRODUCT(((Adders!$D$13:$D$101)=$E207)*((Adders!$E$13:$E$101)=$F207)*(Adders!G$13:G$101))+VLOOKUP($H207,Adders!$B$5:$G$8,N$11,FALSE)+Matrix!$D$2)*IF($D207="NJ",1.07,1))/$L$10,CHOOSE($M$10,$L$9,$M$9)))</f>
        <v xml:space="preserve"> 32.98 </v>
      </c>
      <c r="O207" s="112"/>
    </row>
    <row r="208" spans="2:15" x14ac:dyDescent="0.25">
      <c r="B208" s="160" t="s">
        <v>669</v>
      </c>
      <c r="C208" s="135">
        <f t="shared" si="5"/>
        <v>42278</v>
      </c>
      <c r="D208" s="136" t="s">
        <v>6</v>
      </c>
      <c r="E208" s="137" t="s">
        <v>12</v>
      </c>
      <c r="F208" s="136" t="s">
        <v>10</v>
      </c>
      <c r="G208" s="137" t="str">
        <f t="shared" si="6"/>
        <v>General Service Medium</v>
      </c>
      <c r="H208" s="138" t="s">
        <v>690</v>
      </c>
      <c r="I208" s="176" t="str">
        <f>TEXT(   (SUMPRODUCT( ((Main!$H$9:$H$1000)=$E208)*((Main!$J$9:$J$1000)=$F208)*((Main!$O$9:$O$1000)=$C208)*(Main!R$9:R$1000) ) +  ( SUMPRODUCT( ((Adders!$D$13:$D$101)=$E208)*((Adders!$E$13:$E$101)=$F208)*(Adders!G$13:G$101)) + VLOOKUP($H208,Adders!$B$5:$G$8,L$11,FALSE)  +  PA!$D$2 ) * IF($D208="NJ",1.07,1))/$L$10, CHOOSE($M$10,$L$9,$M$9) )</f>
        <v xml:space="preserve"> 74.94 </v>
      </c>
      <c r="J208" s="176" t="str">
        <f>TEXT(   (SUMPRODUCT( ((Main!$H$9:$H$1000)=$E208)*((Main!$J$9:$J$1000)=$F208)*((Main!$O$9:$O$1000)=$C208)*(Main!S$9:S$1000) ) +  ( SUMPRODUCT( ((Adders!$D$13:$D$101)=$E208)*((Adders!$E$13:$E$101)=$F208)*(Adders!H$13:H$101)) + VLOOKUP($H208,Adders!$B$5:$G$8,M$11,FALSE)  +  PA!$D$2 ) * IF($D208="NJ",1.07,1))/$L$10, CHOOSE($M$10,$L$9,$M$9) )</f>
        <v xml:space="preserve"> 74.25 </v>
      </c>
      <c r="K208" s="177" t="str">
        <f>TEXT(   (SUMPRODUCT( ((Main!$H$9:$H$1000)=$E208)*((Main!$J$9:$J$1000)=$F208)*((Main!$O$9:$O$1000)=$C208)*(Main!T$9:T$1000) ) +  ( SUMPRODUCT( ((Adders!$D$13:$D$101)=$E208)*((Adders!$E$13:$E$101)=$F208)*(Adders!I$13:I$101)) + VLOOKUP($H208,Adders!$B$5:$G$8,N$11,FALSE)  +  PA!$D$2 ) * IF($D208="NJ",1.07,1))/$L$10, CHOOSE($M$10,$L$9,$M$9) )</f>
        <v xml:space="preserve"> 73.79 </v>
      </c>
      <c r="L208" s="176" t="str">
        <f>IF(AND($D$11="IL",$E208="AMEREN"),"NA",TEXT((SUMPRODUCT(((LMPMain!$H$9:$H$1000)=$E208)*((LMPMain!$J$9:$J$1000)=$F208)*((LMPMain!$O$9:$O$1000)=$C208)*(LMPMain!R$9:R$1000))+(SUMPRODUCT(((Adders!$D$13:$D$101)=$E208)*((Adders!$E$13:$E$101)=$F208)*(Adders!G$13:G$101))+VLOOKUP($H208,Adders!$B$5:$G$8,L$11,FALSE)+Matrix!$D$2)*IF($D208="NJ",1.07,1))/$L$10,CHOOSE($M$10,$L$9,$M$9)))</f>
        <v xml:space="preserve"> 33.12 </v>
      </c>
      <c r="M208" s="176" t="str">
        <f>IF(AND($D$11="IL",$E208="AMEREN"),"NA",TEXT((SUMPRODUCT(((LMPMain!$H$9:$H$1000)=$E208)*((LMPMain!$J$9:$J$1000)=$F208)*((LMPMain!$O$9:$O$1000)=$C208)*(LMPMain!S$9:S$1000))+(SUMPRODUCT(((Adders!$D$13:$D$101)=$E208)*((Adders!$E$13:$E$101)=$F208)*(Adders!H$13:H$101))+VLOOKUP($H208,Adders!$B$5:$G$8,M$11,FALSE)+Matrix!$D$2)*IF($D208="NJ",1.07,1))/$L$10,CHOOSE($M$10,$L$9,$M$9)))</f>
        <v xml:space="preserve"> 32.26 </v>
      </c>
      <c r="N208" s="177" t="str">
        <f>IF(AND($D$11="IL",$E208="AMEREN"),"NA",TEXT((SUMPRODUCT(((LMPMain!$H$9:$H$1000)=$E208)*((LMPMain!$J$9:$J$1000)=$F208)*((LMPMain!$O$9:$O$1000)=$C208)*(LMPMain!T$9:T$1000))+(SUMPRODUCT(((Adders!$D$13:$D$101)=$E208)*((Adders!$E$13:$E$101)=$F208)*(Adders!G$13:G$101))+VLOOKUP($H208,Adders!$B$5:$G$8,N$11,FALSE)+Matrix!$D$2)*IF($D208="NJ",1.07,1))/$L$10,CHOOSE($M$10,$L$9,$M$9)))</f>
        <v xml:space="preserve"> 31.93 </v>
      </c>
      <c r="O208" s="112"/>
    </row>
    <row r="209" spans="2:15" x14ac:dyDescent="0.25">
      <c r="B209" s="160" t="s">
        <v>669</v>
      </c>
      <c r="C209" s="127">
        <f t="shared" si="5"/>
        <v>42309</v>
      </c>
      <c r="D209" s="128" t="s">
        <v>6</v>
      </c>
      <c r="E209" s="129" t="s">
        <v>12</v>
      </c>
      <c r="F209" s="128" t="s">
        <v>10</v>
      </c>
      <c r="G209" s="129" t="str">
        <f t="shared" si="6"/>
        <v>General Service Medium</v>
      </c>
      <c r="H209" s="130" t="s">
        <v>61</v>
      </c>
      <c r="I209" s="178" t="str">
        <f>TEXT(   (SUMPRODUCT( ((Main!$H$9:$H$1000)=$E209)*((Main!$J$9:$J$1000)=$F209)*((Main!$O$9:$O$1000)=$C209)*(Main!R$9:R$1000) ) +  ( SUMPRODUCT( ((Adders!$D$13:$D$101)=$E209)*((Adders!$E$13:$E$101)=$F209)*(Adders!G$13:G$101)) + VLOOKUP($H209,Adders!$B$5:$G$8,L$11,FALSE)  +  PA!$D$2 ) * IF($D209="NJ",1.07,1))/$L$10, CHOOSE($M$10,$L$9,$M$9) )</f>
        <v xml:space="preserve"> 77.21 </v>
      </c>
      <c r="J209" s="178" t="str">
        <f>TEXT(   (SUMPRODUCT( ((Main!$H$9:$H$1000)=$E209)*((Main!$J$9:$J$1000)=$F209)*((Main!$O$9:$O$1000)=$C209)*(Main!S$9:S$1000) ) +  ( SUMPRODUCT( ((Adders!$D$13:$D$101)=$E209)*((Adders!$E$13:$E$101)=$F209)*(Adders!H$13:H$101)) + VLOOKUP($H209,Adders!$B$5:$G$8,M$11,FALSE)  +  PA!$D$2 ) * IF($D209="NJ",1.07,1))/$L$10, CHOOSE($M$10,$L$9,$M$9) )</f>
        <v xml:space="preserve"> 76.96 </v>
      </c>
      <c r="K209" s="179" t="str">
        <f>TEXT(   (SUMPRODUCT( ((Main!$H$9:$H$1000)=$E209)*((Main!$J$9:$J$1000)=$F209)*((Main!$O$9:$O$1000)=$C209)*(Main!T$9:T$1000) ) +  ( SUMPRODUCT( ((Adders!$D$13:$D$101)=$E209)*((Adders!$E$13:$E$101)=$F209)*(Adders!I$13:I$101)) + VLOOKUP($H209,Adders!$B$5:$G$8,N$11,FALSE)  +  PA!$D$2 ) * IF($D209="NJ",1.07,1))/$L$10, CHOOSE($M$10,$L$9,$M$9) )</f>
        <v xml:space="preserve"> 76.29 </v>
      </c>
      <c r="L209" s="178" t="str">
        <f>IF(AND($D$11="IL",$E209="AMEREN"),"NA",TEXT((SUMPRODUCT(((LMPMain!$H$9:$H$1000)=$E209)*((LMPMain!$J$9:$J$1000)=$F209)*((LMPMain!$O$9:$O$1000)=$C209)*(LMPMain!R$9:R$1000))+(SUMPRODUCT(((Adders!$D$13:$D$101)=$E209)*((Adders!$E$13:$E$101)=$F209)*(Adders!G$13:G$101))+VLOOKUP($H209,Adders!$B$5:$G$8,L$11,FALSE)+Matrix!$D$2)*IF($D209="NJ",1.07,1))/$L$10,CHOOSE($M$10,$L$9,$M$9)))</f>
        <v xml:space="preserve"> 35.44 </v>
      </c>
      <c r="M209" s="178" t="str">
        <f>IF(AND($D$11="IL",$E209="AMEREN"),"NA",TEXT((SUMPRODUCT(((LMPMain!$H$9:$H$1000)=$E209)*((LMPMain!$J$9:$J$1000)=$F209)*((LMPMain!$O$9:$O$1000)=$C209)*(LMPMain!S$9:S$1000))+(SUMPRODUCT(((Adders!$D$13:$D$101)=$E209)*((Adders!$E$13:$E$101)=$F209)*(Adders!H$13:H$101))+VLOOKUP($H209,Adders!$B$5:$G$8,M$11,FALSE)+Matrix!$D$2)*IF($D209="NJ",1.07,1))/$L$10,CHOOSE($M$10,$L$9,$M$9)))</f>
        <v xml:space="preserve"> 34.72 </v>
      </c>
      <c r="N209" s="179" t="str">
        <f>IF(AND($D$11="IL",$E209="AMEREN"),"NA",TEXT((SUMPRODUCT(((LMPMain!$H$9:$H$1000)=$E209)*((LMPMain!$J$9:$J$1000)=$F209)*((LMPMain!$O$9:$O$1000)=$C209)*(LMPMain!T$9:T$1000))+(SUMPRODUCT(((Adders!$D$13:$D$101)=$E209)*((Adders!$E$13:$E$101)=$F209)*(Adders!G$13:G$101))+VLOOKUP($H209,Adders!$B$5:$G$8,N$11,FALSE)+Matrix!$D$2)*IF($D209="NJ",1.07,1))/$L$10,CHOOSE($M$10,$L$9,$M$9)))</f>
        <v xml:space="preserve"> 34.44 </v>
      </c>
      <c r="O209" s="112"/>
    </row>
    <row r="210" spans="2:15" x14ac:dyDescent="0.25">
      <c r="B210" s="160" t="s">
        <v>669</v>
      </c>
      <c r="C210" s="131">
        <f t="shared" si="5"/>
        <v>42309</v>
      </c>
      <c r="D210" s="132" t="s">
        <v>6</v>
      </c>
      <c r="E210" s="133" t="s">
        <v>12</v>
      </c>
      <c r="F210" s="132" t="s">
        <v>10</v>
      </c>
      <c r="G210" s="133" t="str">
        <f t="shared" si="6"/>
        <v>General Service Medium</v>
      </c>
      <c r="H210" s="134" t="s">
        <v>62</v>
      </c>
      <c r="I210" s="173" t="str">
        <f>TEXT(   (SUMPRODUCT( ((Main!$H$9:$H$1000)=$E210)*((Main!$J$9:$J$1000)=$F210)*((Main!$O$9:$O$1000)=$C210)*(Main!R$9:R$1000) ) +  ( SUMPRODUCT( ((Adders!$D$13:$D$101)=$E210)*((Adders!$E$13:$E$101)=$F210)*(Adders!G$13:G$101)) + VLOOKUP($H210,Adders!$B$5:$G$8,L$11,FALSE)  +  PA!$D$2 ) * IF($D210="NJ",1.07,1))/$L$10, CHOOSE($M$10,$L$9,$M$9) )</f>
        <v xml:space="preserve"> 75.61 </v>
      </c>
      <c r="J210" s="173" t="str">
        <f>TEXT(   (SUMPRODUCT( ((Main!$H$9:$H$1000)=$E210)*((Main!$J$9:$J$1000)=$F210)*((Main!$O$9:$O$1000)=$C210)*(Main!S$9:S$1000) ) +  ( SUMPRODUCT( ((Adders!$D$13:$D$101)=$E210)*((Adders!$E$13:$E$101)=$F210)*(Adders!H$13:H$101)) + VLOOKUP($H210,Adders!$B$5:$G$8,M$11,FALSE)  +  PA!$D$2 ) * IF($D210="NJ",1.07,1))/$L$10, CHOOSE($M$10,$L$9,$M$9) )</f>
        <v xml:space="preserve"> 75.36 </v>
      </c>
      <c r="K210" s="174" t="str">
        <f>TEXT(   (SUMPRODUCT( ((Main!$H$9:$H$1000)=$E210)*((Main!$J$9:$J$1000)=$F210)*((Main!$O$9:$O$1000)=$C210)*(Main!T$9:T$1000) ) +  ( SUMPRODUCT( ((Adders!$D$13:$D$101)=$E210)*((Adders!$E$13:$E$101)=$F210)*(Adders!I$13:I$101)) + VLOOKUP($H210,Adders!$B$5:$G$8,N$11,FALSE)  +  PA!$D$2 ) * IF($D210="NJ",1.07,1))/$L$10, CHOOSE($M$10,$L$9,$M$9) )</f>
        <v xml:space="preserve"> 74.69 </v>
      </c>
      <c r="L210" s="173" t="str">
        <f>IF(AND($D$11="IL",$E210="AMEREN"),"NA",TEXT((SUMPRODUCT(((LMPMain!$H$9:$H$1000)=$E210)*((LMPMain!$J$9:$J$1000)=$F210)*((LMPMain!$O$9:$O$1000)=$C210)*(LMPMain!R$9:R$1000))+(SUMPRODUCT(((Adders!$D$13:$D$101)=$E210)*((Adders!$E$13:$E$101)=$F210)*(Adders!G$13:G$101))+VLOOKUP($H210,Adders!$B$5:$G$8,L$11,FALSE)+Matrix!$D$2)*IF($D210="NJ",1.07,1))/$L$10,CHOOSE($M$10,$L$9,$M$9)))</f>
        <v xml:space="preserve"> 33.84 </v>
      </c>
      <c r="M210" s="173" t="str">
        <f>IF(AND($D$11="IL",$E210="AMEREN"),"NA",TEXT((SUMPRODUCT(((LMPMain!$H$9:$H$1000)=$E210)*((LMPMain!$J$9:$J$1000)=$F210)*((LMPMain!$O$9:$O$1000)=$C210)*(LMPMain!S$9:S$1000))+(SUMPRODUCT(((Adders!$D$13:$D$101)=$E210)*((Adders!$E$13:$E$101)=$F210)*(Adders!H$13:H$101))+VLOOKUP($H210,Adders!$B$5:$G$8,M$11,FALSE)+Matrix!$D$2)*IF($D210="NJ",1.07,1))/$L$10,CHOOSE($M$10,$L$9,$M$9)))</f>
        <v xml:space="preserve"> 33.12 </v>
      </c>
      <c r="N210" s="174" t="str">
        <f>IF(AND($D$11="IL",$E210="AMEREN"),"NA",TEXT((SUMPRODUCT(((LMPMain!$H$9:$H$1000)=$E210)*((LMPMain!$J$9:$J$1000)=$F210)*((LMPMain!$O$9:$O$1000)=$C210)*(LMPMain!T$9:T$1000))+(SUMPRODUCT(((Adders!$D$13:$D$101)=$E210)*((Adders!$E$13:$E$101)=$F210)*(Adders!G$13:G$101))+VLOOKUP($H210,Adders!$B$5:$G$8,N$11,FALSE)+Matrix!$D$2)*IF($D210="NJ",1.07,1))/$L$10,CHOOSE($M$10,$L$9,$M$9)))</f>
        <v xml:space="preserve"> 32.84 </v>
      </c>
      <c r="O210" s="112"/>
    </row>
    <row r="211" spans="2:15" x14ac:dyDescent="0.25">
      <c r="B211" s="160" t="s">
        <v>669</v>
      </c>
      <c r="C211" s="135">
        <f t="shared" si="5"/>
        <v>42309</v>
      </c>
      <c r="D211" s="136" t="s">
        <v>6</v>
      </c>
      <c r="E211" s="137" t="s">
        <v>12</v>
      </c>
      <c r="F211" s="136" t="s">
        <v>10</v>
      </c>
      <c r="G211" s="137" t="str">
        <f t="shared" si="6"/>
        <v>General Service Medium</v>
      </c>
      <c r="H211" s="138" t="s">
        <v>690</v>
      </c>
      <c r="I211" s="176" t="str">
        <f>TEXT(   (SUMPRODUCT( ((Main!$H$9:$H$1000)=$E211)*((Main!$J$9:$J$1000)=$F211)*((Main!$O$9:$O$1000)=$C211)*(Main!R$9:R$1000) ) +  ( SUMPRODUCT( ((Adders!$D$13:$D$101)=$E211)*((Adders!$E$13:$E$101)=$F211)*(Adders!G$13:G$101)) + VLOOKUP($H211,Adders!$B$5:$G$8,L$11,FALSE)  +  PA!$D$2 ) * IF($D211="NJ",1.07,1))/$L$10, CHOOSE($M$10,$L$9,$M$9) )</f>
        <v xml:space="preserve"> 74.56 </v>
      </c>
      <c r="J211" s="176" t="str">
        <f>TEXT(   (SUMPRODUCT( ((Main!$H$9:$H$1000)=$E211)*((Main!$J$9:$J$1000)=$F211)*((Main!$O$9:$O$1000)=$C211)*(Main!S$9:S$1000) ) +  ( SUMPRODUCT( ((Adders!$D$13:$D$101)=$E211)*((Adders!$E$13:$E$101)=$F211)*(Adders!H$13:H$101)) + VLOOKUP($H211,Adders!$B$5:$G$8,M$11,FALSE)  +  PA!$D$2 ) * IF($D211="NJ",1.07,1))/$L$10, CHOOSE($M$10,$L$9,$M$9) )</f>
        <v xml:space="preserve"> 74.31 </v>
      </c>
      <c r="K211" s="177" t="str">
        <f>TEXT(   (SUMPRODUCT( ((Main!$H$9:$H$1000)=$E211)*((Main!$J$9:$J$1000)=$F211)*((Main!$O$9:$O$1000)=$C211)*(Main!T$9:T$1000) ) +  ( SUMPRODUCT( ((Adders!$D$13:$D$101)=$E211)*((Adders!$E$13:$E$101)=$F211)*(Adders!I$13:I$101)) + VLOOKUP($H211,Adders!$B$5:$G$8,N$11,FALSE)  +  PA!$D$2 ) * IF($D211="NJ",1.07,1))/$L$10, CHOOSE($M$10,$L$9,$M$9) )</f>
        <v xml:space="preserve"> 73.64 </v>
      </c>
      <c r="L211" s="176" t="str">
        <f>IF(AND($D$11="IL",$E211="AMEREN"),"NA",TEXT((SUMPRODUCT(((LMPMain!$H$9:$H$1000)=$E211)*((LMPMain!$J$9:$J$1000)=$F211)*((LMPMain!$O$9:$O$1000)=$C211)*(LMPMain!R$9:R$1000))+(SUMPRODUCT(((Adders!$D$13:$D$101)=$E211)*((Adders!$E$13:$E$101)=$F211)*(Adders!G$13:G$101))+VLOOKUP($H211,Adders!$B$5:$G$8,L$11,FALSE)+Matrix!$D$2)*IF($D211="NJ",1.07,1))/$L$10,CHOOSE($M$10,$L$9,$M$9)))</f>
        <v xml:space="preserve"> 32.79 </v>
      </c>
      <c r="M211" s="176" t="str">
        <f>IF(AND($D$11="IL",$E211="AMEREN"),"NA",TEXT((SUMPRODUCT(((LMPMain!$H$9:$H$1000)=$E211)*((LMPMain!$J$9:$J$1000)=$F211)*((LMPMain!$O$9:$O$1000)=$C211)*(LMPMain!S$9:S$1000))+(SUMPRODUCT(((Adders!$D$13:$D$101)=$E211)*((Adders!$E$13:$E$101)=$F211)*(Adders!H$13:H$101))+VLOOKUP($H211,Adders!$B$5:$G$8,M$11,FALSE)+Matrix!$D$2)*IF($D211="NJ",1.07,1))/$L$10,CHOOSE($M$10,$L$9,$M$9)))</f>
        <v xml:space="preserve"> 32.07 </v>
      </c>
      <c r="N211" s="177" t="str">
        <f>IF(AND($D$11="IL",$E211="AMEREN"),"NA",TEXT((SUMPRODUCT(((LMPMain!$H$9:$H$1000)=$E211)*((LMPMain!$J$9:$J$1000)=$F211)*((LMPMain!$O$9:$O$1000)=$C211)*(LMPMain!T$9:T$1000))+(SUMPRODUCT(((Adders!$D$13:$D$101)=$E211)*((Adders!$E$13:$E$101)=$F211)*(Adders!G$13:G$101))+VLOOKUP($H211,Adders!$B$5:$G$8,N$11,FALSE)+Matrix!$D$2)*IF($D211="NJ",1.07,1))/$L$10,CHOOSE($M$10,$L$9,$M$9)))</f>
        <v xml:space="preserve"> 31.79 </v>
      </c>
      <c r="O211" s="112"/>
    </row>
    <row r="212" spans="2:15" x14ac:dyDescent="0.25">
      <c r="B212" s="160" t="s">
        <v>669</v>
      </c>
      <c r="C212" s="127">
        <f t="shared" si="5"/>
        <v>42339</v>
      </c>
      <c r="D212" s="128" t="s">
        <v>6</v>
      </c>
      <c r="E212" s="129" t="s">
        <v>12</v>
      </c>
      <c r="F212" s="128" t="s">
        <v>10</v>
      </c>
      <c r="G212" s="129" t="str">
        <f t="shared" si="6"/>
        <v>General Service Medium</v>
      </c>
      <c r="H212" s="130" t="s">
        <v>61</v>
      </c>
      <c r="I212" s="178" t="str">
        <f>TEXT(   (SUMPRODUCT( ((Main!$H$9:$H$1000)=$E212)*((Main!$J$9:$J$1000)=$F212)*((Main!$O$9:$O$1000)=$C212)*(Main!R$9:R$1000) ) +  ( SUMPRODUCT( ((Adders!$D$13:$D$101)=$E212)*((Adders!$E$13:$E$101)=$F212)*(Adders!G$13:G$101)) + VLOOKUP($H212,Adders!$B$5:$G$8,L$11,FALSE)  +  PA!$D$2 ) * IF($D212="NJ",1.07,1))/$L$10, CHOOSE($M$10,$L$9,$M$9) )</f>
        <v xml:space="preserve"> 76.85 </v>
      </c>
      <c r="J212" s="178" t="str">
        <f>TEXT(   (SUMPRODUCT( ((Main!$H$9:$H$1000)=$E212)*((Main!$J$9:$J$1000)=$F212)*((Main!$O$9:$O$1000)=$C212)*(Main!S$9:S$1000) ) +  ( SUMPRODUCT( ((Adders!$D$13:$D$101)=$E212)*((Adders!$E$13:$E$101)=$F212)*(Adders!H$13:H$101)) + VLOOKUP($H212,Adders!$B$5:$G$8,M$11,FALSE)  +  PA!$D$2 ) * IF($D212="NJ",1.07,1))/$L$10, CHOOSE($M$10,$L$9,$M$9) )</f>
        <v xml:space="preserve"> 76.99 </v>
      </c>
      <c r="K212" s="179" t="str">
        <f>TEXT(   (SUMPRODUCT( ((Main!$H$9:$H$1000)=$E212)*((Main!$J$9:$J$1000)=$F212)*((Main!$O$9:$O$1000)=$C212)*(Main!T$9:T$1000) ) +  ( SUMPRODUCT( ((Adders!$D$13:$D$101)=$E212)*((Adders!$E$13:$E$101)=$F212)*(Adders!I$13:I$101)) + VLOOKUP($H212,Adders!$B$5:$G$8,N$11,FALSE)  +  PA!$D$2 ) * IF($D212="NJ",1.07,1))/$L$10, CHOOSE($M$10,$L$9,$M$9) )</f>
        <v xml:space="preserve"> 76.17 </v>
      </c>
      <c r="L212" s="178" t="str">
        <f>IF(AND($D$11="IL",$E212="AMEREN"),"NA",TEXT((SUMPRODUCT(((LMPMain!$H$9:$H$1000)=$E212)*((LMPMain!$J$9:$J$1000)=$F212)*((LMPMain!$O$9:$O$1000)=$C212)*(LMPMain!R$9:R$1000))+(SUMPRODUCT(((Adders!$D$13:$D$101)=$E212)*((Adders!$E$13:$E$101)=$F212)*(Adders!G$13:G$101))+VLOOKUP($H212,Adders!$B$5:$G$8,L$11,FALSE)+Matrix!$D$2)*IF($D212="NJ",1.07,1))/$L$10,CHOOSE($M$10,$L$9,$M$9)))</f>
        <v xml:space="preserve"> 35.08 </v>
      </c>
      <c r="M212" s="178" t="str">
        <f>IF(AND($D$11="IL",$E212="AMEREN"),"NA",TEXT((SUMPRODUCT(((LMPMain!$H$9:$H$1000)=$E212)*((LMPMain!$J$9:$J$1000)=$F212)*((LMPMain!$O$9:$O$1000)=$C212)*(LMPMain!S$9:S$1000))+(SUMPRODUCT(((Adders!$D$13:$D$101)=$E212)*((Adders!$E$13:$E$101)=$F212)*(Adders!H$13:H$101))+VLOOKUP($H212,Adders!$B$5:$G$8,M$11,FALSE)+Matrix!$D$2)*IF($D212="NJ",1.07,1))/$L$10,CHOOSE($M$10,$L$9,$M$9)))</f>
        <v xml:space="preserve"> 34.57 </v>
      </c>
      <c r="N212" s="179" t="str">
        <f>IF(AND($D$11="IL",$E212="AMEREN"),"NA",TEXT((SUMPRODUCT(((LMPMain!$H$9:$H$1000)=$E212)*((LMPMain!$J$9:$J$1000)=$F212)*((LMPMain!$O$9:$O$1000)=$C212)*(LMPMain!T$9:T$1000))+(SUMPRODUCT(((Adders!$D$13:$D$101)=$E212)*((Adders!$E$13:$E$101)=$F212)*(Adders!G$13:G$101))+VLOOKUP($H212,Adders!$B$5:$G$8,N$11,FALSE)+Matrix!$D$2)*IF($D212="NJ",1.07,1))/$L$10,CHOOSE($M$10,$L$9,$M$9)))</f>
        <v xml:space="preserve"> 34.28 </v>
      </c>
      <c r="O212" s="112"/>
    </row>
    <row r="213" spans="2:15" x14ac:dyDescent="0.25">
      <c r="B213" s="160" t="s">
        <v>669</v>
      </c>
      <c r="C213" s="131">
        <f t="shared" si="5"/>
        <v>42339</v>
      </c>
      <c r="D213" s="132" t="s">
        <v>6</v>
      </c>
      <c r="E213" s="133" t="s">
        <v>12</v>
      </c>
      <c r="F213" s="132" t="s">
        <v>10</v>
      </c>
      <c r="G213" s="133" t="str">
        <f t="shared" si="6"/>
        <v>General Service Medium</v>
      </c>
      <c r="H213" s="134" t="s">
        <v>62</v>
      </c>
      <c r="I213" s="173" t="str">
        <f>TEXT(   (SUMPRODUCT( ((Main!$H$9:$H$1000)=$E213)*((Main!$J$9:$J$1000)=$F213)*((Main!$O$9:$O$1000)=$C213)*(Main!R$9:R$1000) ) +  ( SUMPRODUCT( ((Adders!$D$13:$D$101)=$E213)*((Adders!$E$13:$E$101)=$F213)*(Adders!G$13:G$101)) + VLOOKUP($H213,Adders!$B$5:$G$8,L$11,FALSE)  +  PA!$D$2 ) * IF($D213="NJ",1.07,1))/$L$10, CHOOSE($M$10,$L$9,$M$9) )</f>
        <v xml:space="preserve"> 75.25 </v>
      </c>
      <c r="J213" s="173" t="str">
        <f>TEXT(   (SUMPRODUCT( ((Main!$H$9:$H$1000)=$E213)*((Main!$J$9:$J$1000)=$F213)*((Main!$O$9:$O$1000)=$C213)*(Main!S$9:S$1000) ) +  ( SUMPRODUCT( ((Adders!$D$13:$D$101)=$E213)*((Adders!$E$13:$E$101)=$F213)*(Adders!H$13:H$101)) + VLOOKUP($H213,Adders!$B$5:$G$8,M$11,FALSE)  +  PA!$D$2 ) * IF($D213="NJ",1.07,1))/$L$10, CHOOSE($M$10,$L$9,$M$9) )</f>
        <v xml:space="preserve"> 75.39 </v>
      </c>
      <c r="K213" s="174" t="str">
        <f>TEXT(   (SUMPRODUCT( ((Main!$H$9:$H$1000)=$E213)*((Main!$J$9:$J$1000)=$F213)*((Main!$O$9:$O$1000)=$C213)*(Main!T$9:T$1000) ) +  ( SUMPRODUCT( ((Adders!$D$13:$D$101)=$E213)*((Adders!$E$13:$E$101)=$F213)*(Adders!I$13:I$101)) + VLOOKUP($H213,Adders!$B$5:$G$8,N$11,FALSE)  +  PA!$D$2 ) * IF($D213="NJ",1.07,1))/$L$10, CHOOSE($M$10,$L$9,$M$9) )</f>
        <v xml:space="preserve"> 74.57 </v>
      </c>
      <c r="L213" s="173" t="str">
        <f>IF(AND($D$11="IL",$E213="AMEREN"),"NA",TEXT((SUMPRODUCT(((LMPMain!$H$9:$H$1000)=$E213)*((LMPMain!$J$9:$J$1000)=$F213)*((LMPMain!$O$9:$O$1000)=$C213)*(LMPMain!R$9:R$1000))+(SUMPRODUCT(((Adders!$D$13:$D$101)=$E213)*((Adders!$E$13:$E$101)=$F213)*(Adders!G$13:G$101))+VLOOKUP($H213,Adders!$B$5:$G$8,L$11,FALSE)+Matrix!$D$2)*IF($D213="NJ",1.07,1))/$L$10,CHOOSE($M$10,$L$9,$M$9)))</f>
        <v xml:space="preserve"> 33.48 </v>
      </c>
      <c r="M213" s="173" t="str">
        <f>IF(AND($D$11="IL",$E213="AMEREN"),"NA",TEXT((SUMPRODUCT(((LMPMain!$H$9:$H$1000)=$E213)*((LMPMain!$J$9:$J$1000)=$F213)*((LMPMain!$O$9:$O$1000)=$C213)*(LMPMain!S$9:S$1000))+(SUMPRODUCT(((Adders!$D$13:$D$101)=$E213)*((Adders!$E$13:$E$101)=$F213)*(Adders!H$13:H$101))+VLOOKUP($H213,Adders!$B$5:$G$8,M$11,FALSE)+Matrix!$D$2)*IF($D213="NJ",1.07,1))/$L$10,CHOOSE($M$10,$L$9,$M$9)))</f>
        <v xml:space="preserve"> 32.97 </v>
      </c>
      <c r="N213" s="174" t="str">
        <f>IF(AND($D$11="IL",$E213="AMEREN"),"NA",TEXT((SUMPRODUCT(((LMPMain!$H$9:$H$1000)=$E213)*((LMPMain!$J$9:$J$1000)=$F213)*((LMPMain!$O$9:$O$1000)=$C213)*(LMPMain!T$9:T$1000))+(SUMPRODUCT(((Adders!$D$13:$D$101)=$E213)*((Adders!$E$13:$E$101)=$F213)*(Adders!G$13:G$101))+VLOOKUP($H213,Adders!$B$5:$G$8,N$11,FALSE)+Matrix!$D$2)*IF($D213="NJ",1.07,1))/$L$10,CHOOSE($M$10,$L$9,$M$9)))</f>
        <v xml:space="preserve"> 32.68 </v>
      </c>
      <c r="O213" s="112"/>
    </row>
    <row r="214" spans="2:15" x14ac:dyDescent="0.25">
      <c r="B214" s="160" t="s">
        <v>669</v>
      </c>
      <c r="C214" s="135">
        <f t="shared" si="5"/>
        <v>42339</v>
      </c>
      <c r="D214" s="136" t="s">
        <v>6</v>
      </c>
      <c r="E214" s="137" t="s">
        <v>12</v>
      </c>
      <c r="F214" s="136" t="s">
        <v>10</v>
      </c>
      <c r="G214" s="137" t="str">
        <f t="shared" si="6"/>
        <v>General Service Medium</v>
      </c>
      <c r="H214" s="138" t="s">
        <v>690</v>
      </c>
      <c r="I214" s="176" t="str">
        <f>TEXT(   (SUMPRODUCT( ((Main!$H$9:$H$1000)=$E214)*((Main!$J$9:$J$1000)=$F214)*((Main!$O$9:$O$1000)=$C214)*(Main!R$9:R$1000) ) +  ( SUMPRODUCT( ((Adders!$D$13:$D$101)=$E214)*((Adders!$E$13:$E$101)=$F214)*(Adders!G$13:G$101)) + VLOOKUP($H214,Adders!$B$5:$G$8,L$11,FALSE)  +  PA!$D$2 ) * IF($D214="NJ",1.07,1))/$L$10, CHOOSE($M$10,$L$9,$M$9) )</f>
        <v xml:space="preserve"> 74.20 </v>
      </c>
      <c r="J214" s="176" t="str">
        <f>TEXT(   (SUMPRODUCT( ((Main!$H$9:$H$1000)=$E214)*((Main!$J$9:$J$1000)=$F214)*((Main!$O$9:$O$1000)=$C214)*(Main!S$9:S$1000) ) +  ( SUMPRODUCT( ((Adders!$D$13:$D$101)=$E214)*((Adders!$E$13:$E$101)=$F214)*(Adders!H$13:H$101)) + VLOOKUP($H214,Adders!$B$5:$G$8,M$11,FALSE)  +  PA!$D$2 ) * IF($D214="NJ",1.07,1))/$L$10, CHOOSE($M$10,$L$9,$M$9) )</f>
        <v xml:space="preserve"> 74.34 </v>
      </c>
      <c r="K214" s="177" t="str">
        <f>TEXT(   (SUMPRODUCT( ((Main!$H$9:$H$1000)=$E214)*((Main!$J$9:$J$1000)=$F214)*((Main!$O$9:$O$1000)=$C214)*(Main!T$9:T$1000) ) +  ( SUMPRODUCT( ((Adders!$D$13:$D$101)=$E214)*((Adders!$E$13:$E$101)=$F214)*(Adders!I$13:I$101)) + VLOOKUP($H214,Adders!$B$5:$G$8,N$11,FALSE)  +  PA!$D$2 ) * IF($D214="NJ",1.07,1))/$L$10, CHOOSE($M$10,$L$9,$M$9) )</f>
        <v xml:space="preserve"> 73.52 </v>
      </c>
      <c r="L214" s="176" t="str">
        <f>IF(AND($D$11="IL",$E214="AMEREN"),"NA",TEXT((SUMPRODUCT(((LMPMain!$H$9:$H$1000)=$E214)*((LMPMain!$J$9:$J$1000)=$F214)*((LMPMain!$O$9:$O$1000)=$C214)*(LMPMain!R$9:R$1000))+(SUMPRODUCT(((Adders!$D$13:$D$101)=$E214)*((Adders!$E$13:$E$101)=$F214)*(Adders!G$13:G$101))+VLOOKUP($H214,Adders!$B$5:$G$8,L$11,FALSE)+Matrix!$D$2)*IF($D214="NJ",1.07,1))/$L$10,CHOOSE($M$10,$L$9,$M$9)))</f>
        <v xml:space="preserve"> 32.43 </v>
      </c>
      <c r="M214" s="176" t="str">
        <f>IF(AND($D$11="IL",$E214="AMEREN"),"NA",TEXT((SUMPRODUCT(((LMPMain!$H$9:$H$1000)=$E214)*((LMPMain!$J$9:$J$1000)=$F214)*((LMPMain!$O$9:$O$1000)=$C214)*(LMPMain!S$9:S$1000))+(SUMPRODUCT(((Adders!$D$13:$D$101)=$E214)*((Adders!$E$13:$E$101)=$F214)*(Adders!H$13:H$101))+VLOOKUP($H214,Adders!$B$5:$G$8,M$11,FALSE)+Matrix!$D$2)*IF($D214="NJ",1.07,1))/$L$10,CHOOSE($M$10,$L$9,$M$9)))</f>
        <v xml:space="preserve"> 31.92 </v>
      </c>
      <c r="N214" s="177" t="str">
        <f>IF(AND($D$11="IL",$E214="AMEREN"),"NA",TEXT((SUMPRODUCT(((LMPMain!$H$9:$H$1000)=$E214)*((LMPMain!$J$9:$J$1000)=$F214)*((LMPMain!$O$9:$O$1000)=$C214)*(LMPMain!T$9:T$1000))+(SUMPRODUCT(((Adders!$D$13:$D$101)=$E214)*((Adders!$E$13:$E$101)=$F214)*(Adders!G$13:G$101))+VLOOKUP($H214,Adders!$B$5:$G$8,N$11,FALSE)+Matrix!$D$2)*IF($D214="NJ",1.07,1))/$L$10,CHOOSE($M$10,$L$9,$M$9)))</f>
        <v xml:space="preserve"> 31.63 </v>
      </c>
      <c r="O214" s="112"/>
    </row>
    <row r="215" spans="2:15" x14ac:dyDescent="0.25">
      <c r="B215" s="160" t="s">
        <v>669</v>
      </c>
      <c r="C215" s="127">
        <f t="shared" si="5"/>
        <v>42370</v>
      </c>
      <c r="D215" s="128" t="s">
        <v>6</v>
      </c>
      <c r="E215" s="129" t="s">
        <v>12</v>
      </c>
      <c r="F215" s="128" t="s">
        <v>10</v>
      </c>
      <c r="G215" s="129" t="str">
        <f t="shared" si="6"/>
        <v>General Service Medium</v>
      </c>
      <c r="H215" s="130" t="s">
        <v>61</v>
      </c>
      <c r="I215" s="178" t="str">
        <f>TEXT(   (SUMPRODUCT( ((Main!$H$9:$H$1000)=$E215)*((Main!$J$9:$J$1000)=$F215)*((Main!$O$9:$O$1000)=$C215)*(Main!R$9:R$1000) ) +  ( SUMPRODUCT( ((Adders!$D$13:$D$101)=$E215)*((Adders!$E$13:$E$101)=$F215)*(Adders!G$13:G$101)) + VLOOKUP($H215,Adders!$B$5:$G$8,L$11,FALSE)  +  PA!$D$2 ) * IF($D215="NJ",1.07,1))/$L$10, CHOOSE($M$10,$L$9,$M$9) )</f>
        <v xml:space="preserve"> 76.33 </v>
      </c>
      <c r="J215" s="178" t="str">
        <f>TEXT(   (SUMPRODUCT( ((Main!$H$9:$H$1000)=$E215)*((Main!$J$9:$J$1000)=$F215)*((Main!$O$9:$O$1000)=$C215)*(Main!S$9:S$1000) ) +  ( SUMPRODUCT( ((Adders!$D$13:$D$101)=$E215)*((Adders!$E$13:$E$101)=$F215)*(Adders!H$13:H$101)) + VLOOKUP($H215,Adders!$B$5:$G$8,M$11,FALSE)  +  PA!$D$2 ) * IF($D215="NJ",1.07,1))/$L$10, CHOOSE($M$10,$L$9,$M$9) )</f>
        <v xml:space="preserve"> 76.80 </v>
      </c>
      <c r="K215" s="179" t="str">
        <f>TEXT(   (SUMPRODUCT( ((Main!$H$9:$H$1000)=$E215)*((Main!$J$9:$J$1000)=$F215)*((Main!$O$9:$O$1000)=$C215)*(Main!T$9:T$1000) ) +  ( SUMPRODUCT( ((Adders!$D$13:$D$101)=$E215)*((Adders!$E$13:$E$101)=$F215)*(Adders!I$13:I$101)) + VLOOKUP($H215,Adders!$B$5:$G$8,N$11,FALSE)  +  PA!$D$2 ) * IF($D215="NJ",1.07,1))/$L$10, CHOOSE($M$10,$L$9,$M$9) )</f>
        <v xml:space="preserve"> 75.94 </v>
      </c>
      <c r="L215" s="178" t="str">
        <f>IF(AND($D$11="IL",$E215="AMEREN"),"NA",TEXT((SUMPRODUCT(((LMPMain!$H$9:$H$1000)=$E215)*((LMPMain!$J$9:$J$1000)=$F215)*((LMPMain!$O$9:$O$1000)=$C215)*(LMPMain!R$9:R$1000))+(SUMPRODUCT(((Adders!$D$13:$D$101)=$E215)*((Adders!$E$13:$E$101)=$F215)*(Adders!G$13:G$101))+VLOOKUP($H215,Adders!$B$5:$G$8,L$11,FALSE)+Matrix!$D$2)*IF($D215="NJ",1.07,1))/$L$10,CHOOSE($M$10,$L$9,$M$9)))</f>
        <v xml:space="preserve"> 34.74 </v>
      </c>
      <c r="M215" s="178" t="str">
        <f>IF(AND($D$11="IL",$E215="AMEREN"),"NA",TEXT((SUMPRODUCT(((LMPMain!$H$9:$H$1000)=$E215)*((LMPMain!$J$9:$J$1000)=$F215)*((LMPMain!$O$9:$O$1000)=$C215)*(LMPMain!S$9:S$1000))+(SUMPRODUCT(((Adders!$D$13:$D$101)=$E215)*((Adders!$E$13:$E$101)=$F215)*(Adders!H$13:H$101))+VLOOKUP($H215,Adders!$B$5:$G$8,M$11,FALSE)+Matrix!$D$2)*IF($D215="NJ",1.07,1))/$L$10,CHOOSE($M$10,$L$9,$M$9)))</f>
        <v xml:space="preserve"> 34.39 </v>
      </c>
      <c r="N215" s="179" t="str">
        <f>IF(AND($D$11="IL",$E215="AMEREN"),"NA",TEXT((SUMPRODUCT(((LMPMain!$H$9:$H$1000)=$E215)*((LMPMain!$J$9:$J$1000)=$F215)*((LMPMain!$O$9:$O$1000)=$C215)*(LMPMain!T$9:T$1000))+(SUMPRODUCT(((Adders!$D$13:$D$101)=$E215)*((Adders!$E$13:$E$101)=$F215)*(Adders!G$13:G$101))+VLOOKUP($H215,Adders!$B$5:$G$8,N$11,FALSE)+Matrix!$D$2)*IF($D215="NJ",1.07,1))/$L$10,CHOOSE($M$10,$L$9,$M$9)))</f>
        <v xml:space="preserve"> 34.14 </v>
      </c>
      <c r="O215" s="112"/>
    </row>
    <row r="216" spans="2:15" x14ac:dyDescent="0.25">
      <c r="B216" s="160" t="s">
        <v>669</v>
      </c>
      <c r="C216" s="131">
        <f t="shared" si="5"/>
        <v>42370</v>
      </c>
      <c r="D216" s="132" t="s">
        <v>6</v>
      </c>
      <c r="E216" s="133" t="s">
        <v>12</v>
      </c>
      <c r="F216" s="132" t="s">
        <v>10</v>
      </c>
      <c r="G216" s="133" t="str">
        <f t="shared" si="6"/>
        <v>General Service Medium</v>
      </c>
      <c r="H216" s="134" t="s">
        <v>62</v>
      </c>
      <c r="I216" s="173" t="str">
        <f>TEXT(   (SUMPRODUCT( ((Main!$H$9:$H$1000)=$E216)*((Main!$J$9:$J$1000)=$F216)*((Main!$O$9:$O$1000)=$C216)*(Main!R$9:R$1000) ) +  ( SUMPRODUCT( ((Adders!$D$13:$D$101)=$E216)*((Adders!$E$13:$E$101)=$F216)*(Adders!G$13:G$101)) + VLOOKUP($H216,Adders!$B$5:$G$8,L$11,FALSE)  +  PA!$D$2 ) * IF($D216="NJ",1.07,1))/$L$10, CHOOSE($M$10,$L$9,$M$9) )</f>
        <v xml:space="preserve"> 74.73 </v>
      </c>
      <c r="J216" s="173" t="str">
        <f>TEXT(   (SUMPRODUCT( ((Main!$H$9:$H$1000)=$E216)*((Main!$J$9:$J$1000)=$F216)*((Main!$O$9:$O$1000)=$C216)*(Main!S$9:S$1000) ) +  ( SUMPRODUCT( ((Adders!$D$13:$D$101)=$E216)*((Adders!$E$13:$E$101)=$F216)*(Adders!H$13:H$101)) + VLOOKUP($H216,Adders!$B$5:$G$8,M$11,FALSE)  +  PA!$D$2 ) * IF($D216="NJ",1.07,1))/$L$10, CHOOSE($M$10,$L$9,$M$9) )</f>
        <v xml:space="preserve"> 75.20 </v>
      </c>
      <c r="K216" s="174" t="str">
        <f>TEXT(   (SUMPRODUCT( ((Main!$H$9:$H$1000)=$E216)*((Main!$J$9:$J$1000)=$F216)*((Main!$O$9:$O$1000)=$C216)*(Main!T$9:T$1000) ) +  ( SUMPRODUCT( ((Adders!$D$13:$D$101)=$E216)*((Adders!$E$13:$E$101)=$F216)*(Adders!I$13:I$101)) + VLOOKUP($H216,Adders!$B$5:$G$8,N$11,FALSE)  +  PA!$D$2 ) * IF($D216="NJ",1.07,1))/$L$10, CHOOSE($M$10,$L$9,$M$9) )</f>
        <v xml:space="preserve"> 74.34 </v>
      </c>
      <c r="L216" s="173" t="str">
        <f>IF(AND($D$11="IL",$E216="AMEREN"),"NA",TEXT((SUMPRODUCT(((LMPMain!$H$9:$H$1000)=$E216)*((LMPMain!$J$9:$J$1000)=$F216)*((LMPMain!$O$9:$O$1000)=$C216)*(LMPMain!R$9:R$1000))+(SUMPRODUCT(((Adders!$D$13:$D$101)=$E216)*((Adders!$E$13:$E$101)=$F216)*(Adders!G$13:G$101))+VLOOKUP($H216,Adders!$B$5:$G$8,L$11,FALSE)+Matrix!$D$2)*IF($D216="NJ",1.07,1))/$L$10,CHOOSE($M$10,$L$9,$M$9)))</f>
        <v xml:space="preserve"> 33.14 </v>
      </c>
      <c r="M216" s="173" t="str">
        <f>IF(AND($D$11="IL",$E216="AMEREN"),"NA",TEXT((SUMPRODUCT(((LMPMain!$H$9:$H$1000)=$E216)*((LMPMain!$J$9:$J$1000)=$F216)*((LMPMain!$O$9:$O$1000)=$C216)*(LMPMain!S$9:S$1000))+(SUMPRODUCT(((Adders!$D$13:$D$101)=$E216)*((Adders!$E$13:$E$101)=$F216)*(Adders!H$13:H$101))+VLOOKUP($H216,Adders!$B$5:$G$8,M$11,FALSE)+Matrix!$D$2)*IF($D216="NJ",1.07,1))/$L$10,CHOOSE($M$10,$L$9,$M$9)))</f>
        <v xml:space="preserve"> 32.79 </v>
      </c>
      <c r="N216" s="174" t="str">
        <f>IF(AND($D$11="IL",$E216="AMEREN"),"NA",TEXT((SUMPRODUCT(((LMPMain!$H$9:$H$1000)=$E216)*((LMPMain!$J$9:$J$1000)=$F216)*((LMPMain!$O$9:$O$1000)=$C216)*(LMPMain!T$9:T$1000))+(SUMPRODUCT(((Adders!$D$13:$D$101)=$E216)*((Adders!$E$13:$E$101)=$F216)*(Adders!G$13:G$101))+VLOOKUP($H216,Adders!$B$5:$G$8,N$11,FALSE)+Matrix!$D$2)*IF($D216="NJ",1.07,1))/$L$10,CHOOSE($M$10,$L$9,$M$9)))</f>
        <v xml:space="preserve"> 32.54 </v>
      </c>
      <c r="O216" s="112"/>
    </row>
    <row r="217" spans="2:15" x14ac:dyDescent="0.25">
      <c r="B217" s="160" t="s">
        <v>669</v>
      </c>
      <c r="C217" s="135">
        <f t="shared" si="5"/>
        <v>42370</v>
      </c>
      <c r="D217" s="136" t="s">
        <v>6</v>
      </c>
      <c r="E217" s="137" t="s">
        <v>12</v>
      </c>
      <c r="F217" s="136" t="s">
        <v>10</v>
      </c>
      <c r="G217" s="137" t="str">
        <f t="shared" si="6"/>
        <v>General Service Medium</v>
      </c>
      <c r="H217" s="138" t="s">
        <v>690</v>
      </c>
      <c r="I217" s="176" t="str">
        <f>TEXT(   (SUMPRODUCT( ((Main!$H$9:$H$1000)=$E217)*((Main!$J$9:$J$1000)=$F217)*((Main!$O$9:$O$1000)=$C217)*(Main!R$9:R$1000) ) +  ( SUMPRODUCT( ((Adders!$D$13:$D$101)=$E217)*((Adders!$E$13:$E$101)=$F217)*(Adders!G$13:G$101)) + VLOOKUP($H217,Adders!$B$5:$G$8,L$11,FALSE)  +  PA!$D$2 ) * IF($D217="NJ",1.07,1))/$L$10, CHOOSE($M$10,$L$9,$M$9) )</f>
        <v xml:space="preserve"> 73.68 </v>
      </c>
      <c r="J217" s="176" t="str">
        <f>TEXT(   (SUMPRODUCT( ((Main!$H$9:$H$1000)=$E217)*((Main!$J$9:$J$1000)=$F217)*((Main!$O$9:$O$1000)=$C217)*(Main!S$9:S$1000) ) +  ( SUMPRODUCT( ((Adders!$D$13:$D$101)=$E217)*((Adders!$E$13:$E$101)=$F217)*(Adders!H$13:H$101)) + VLOOKUP($H217,Adders!$B$5:$G$8,M$11,FALSE)  +  PA!$D$2 ) * IF($D217="NJ",1.07,1))/$L$10, CHOOSE($M$10,$L$9,$M$9) )</f>
        <v xml:space="preserve"> 74.15 </v>
      </c>
      <c r="K217" s="177" t="str">
        <f>TEXT(   (SUMPRODUCT( ((Main!$H$9:$H$1000)=$E217)*((Main!$J$9:$J$1000)=$F217)*((Main!$O$9:$O$1000)=$C217)*(Main!T$9:T$1000) ) +  ( SUMPRODUCT( ((Adders!$D$13:$D$101)=$E217)*((Adders!$E$13:$E$101)=$F217)*(Adders!I$13:I$101)) + VLOOKUP($H217,Adders!$B$5:$G$8,N$11,FALSE)  +  PA!$D$2 ) * IF($D217="NJ",1.07,1))/$L$10, CHOOSE($M$10,$L$9,$M$9) )</f>
        <v xml:space="preserve"> 73.29 </v>
      </c>
      <c r="L217" s="176" t="str">
        <f>IF(AND($D$11="IL",$E217="AMEREN"),"NA",TEXT((SUMPRODUCT(((LMPMain!$H$9:$H$1000)=$E217)*((LMPMain!$J$9:$J$1000)=$F217)*((LMPMain!$O$9:$O$1000)=$C217)*(LMPMain!R$9:R$1000))+(SUMPRODUCT(((Adders!$D$13:$D$101)=$E217)*((Adders!$E$13:$E$101)=$F217)*(Adders!G$13:G$101))+VLOOKUP($H217,Adders!$B$5:$G$8,L$11,FALSE)+Matrix!$D$2)*IF($D217="NJ",1.07,1))/$L$10,CHOOSE($M$10,$L$9,$M$9)))</f>
        <v xml:space="preserve"> 32.09 </v>
      </c>
      <c r="M217" s="176" t="str">
        <f>IF(AND($D$11="IL",$E217="AMEREN"),"NA",TEXT((SUMPRODUCT(((LMPMain!$H$9:$H$1000)=$E217)*((LMPMain!$J$9:$J$1000)=$F217)*((LMPMain!$O$9:$O$1000)=$C217)*(LMPMain!S$9:S$1000))+(SUMPRODUCT(((Adders!$D$13:$D$101)=$E217)*((Adders!$E$13:$E$101)=$F217)*(Adders!H$13:H$101))+VLOOKUP($H217,Adders!$B$5:$G$8,M$11,FALSE)+Matrix!$D$2)*IF($D217="NJ",1.07,1))/$L$10,CHOOSE($M$10,$L$9,$M$9)))</f>
        <v xml:space="preserve"> 31.74 </v>
      </c>
      <c r="N217" s="177" t="str">
        <f>IF(AND($D$11="IL",$E217="AMEREN"),"NA",TEXT((SUMPRODUCT(((LMPMain!$H$9:$H$1000)=$E217)*((LMPMain!$J$9:$J$1000)=$F217)*((LMPMain!$O$9:$O$1000)=$C217)*(LMPMain!T$9:T$1000))+(SUMPRODUCT(((Adders!$D$13:$D$101)=$E217)*((Adders!$E$13:$E$101)=$F217)*(Adders!G$13:G$101))+VLOOKUP($H217,Adders!$B$5:$G$8,N$11,FALSE)+Matrix!$D$2)*IF($D217="NJ",1.07,1))/$L$10,CHOOSE($M$10,$L$9,$M$9)))</f>
        <v xml:space="preserve"> 31.49 </v>
      </c>
      <c r="O217" s="112"/>
    </row>
    <row r="218" spans="2:15" x14ac:dyDescent="0.25">
      <c r="B218" s="160" t="s">
        <v>669</v>
      </c>
      <c r="C218" s="127">
        <f t="shared" si="5"/>
        <v>42401</v>
      </c>
      <c r="D218" s="128" t="s">
        <v>6</v>
      </c>
      <c r="E218" s="129" t="s">
        <v>12</v>
      </c>
      <c r="F218" s="128" t="s">
        <v>10</v>
      </c>
      <c r="G218" s="129" t="str">
        <f t="shared" si="6"/>
        <v>General Service Medium</v>
      </c>
      <c r="H218" s="130" t="s">
        <v>61</v>
      </c>
      <c r="I218" s="178" t="str">
        <f>TEXT(   (SUMPRODUCT( ((Main!$H$9:$H$1000)=$E218)*((Main!$J$9:$J$1000)=$F218)*((Main!$O$9:$O$1000)=$C218)*(Main!R$9:R$1000) ) +  ( SUMPRODUCT( ((Adders!$D$13:$D$101)=$E218)*((Adders!$E$13:$E$101)=$F218)*(Adders!G$13:G$101)) + VLOOKUP($H218,Adders!$B$5:$G$8,L$11,FALSE)  +  PA!$D$2 ) * IF($D218="NJ",1.07,1))/$L$10, CHOOSE($M$10,$L$9,$M$9) )</f>
        <v xml:space="preserve"> 76.10 </v>
      </c>
      <c r="J218" s="178" t="str">
        <f>TEXT(   (SUMPRODUCT( ((Main!$H$9:$H$1000)=$E218)*((Main!$J$9:$J$1000)=$F218)*((Main!$O$9:$O$1000)=$C218)*(Main!S$9:S$1000) ) +  ( SUMPRODUCT( ((Adders!$D$13:$D$101)=$E218)*((Adders!$E$13:$E$101)=$F218)*(Adders!H$13:H$101)) + VLOOKUP($H218,Adders!$B$5:$G$8,M$11,FALSE)  +  PA!$D$2 ) * IF($D218="NJ",1.07,1))/$L$10, CHOOSE($M$10,$L$9,$M$9) )</f>
        <v xml:space="preserve"> 76.44 </v>
      </c>
      <c r="K218" s="179" t="str">
        <f>TEXT(   (SUMPRODUCT( ((Main!$H$9:$H$1000)=$E218)*((Main!$J$9:$J$1000)=$F218)*((Main!$O$9:$O$1000)=$C218)*(Main!T$9:T$1000) ) +  ( SUMPRODUCT( ((Adders!$D$13:$D$101)=$E218)*((Adders!$E$13:$E$101)=$F218)*(Adders!I$13:I$101)) + VLOOKUP($H218,Adders!$B$5:$G$8,N$11,FALSE)  +  PA!$D$2 ) * IF($D218="NJ",1.07,1))/$L$10, CHOOSE($M$10,$L$9,$M$9) )</f>
        <v xml:space="preserve"> 75.92 </v>
      </c>
      <c r="L218" s="178" t="str">
        <f>IF(AND($D$11="IL",$E218="AMEREN"),"NA",TEXT((SUMPRODUCT(((LMPMain!$H$9:$H$1000)=$E218)*((LMPMain!$J$9:$J$1000)=$F218)*((LMPMain!$O$9:$O$1000)=$C218)*(LMPMain!R$9:R$1000))+(SUMPRODUCT(((Adders!$D$13:$D$101)=$E218)*((Adders!$E$13:$E$101)=$F218)*(Adders!G$13:G$101))+VLOOKUP($H218,Adders!$B$5:$G$8,L$11,FALSE)+Matrix!$D$2)*IF($D218="NJ",1.07,1))/$L$10,CHOOSE($M$10,$L$9,$M$9)))</f>
        <v xml:space="preserve"> 34.39 </v>
      </c>
      <c r="M218" s="178" t="str">
        <f>IF(AND($D$11="IL",$E218="AMEREN"),"NA",TEXT((SUMPRODUCT(((LMPMain!$H$9:$H$1000)=$E218)*((LMPMain!$J$9:$J$1000)=$F218)*((LMPMain!$O$9:$O$1000)=$C218)*(LMPMain!S$9:S$1000))+(SUMPRODUCT(((Adders!$D$13:$D$101)=$E218)*((Adders!$E$13:$E$101)=$F218)*(Adders!H$13:H$101))+VLOOKUP($H218,Adders!$B$5:$G$8,M$11,FALSE)+Matrix!$D$2)*IF($D218="NJ",1.07,1))/$L$10,CHOOSE($M$10,$L$9,$M$9)))</f>
        <v xml:space="preserve"> 34.16 </v>
      </c>
      <c r="N218" s="179" t="str">
        <f>IF(AND($D$11="IL",$E218="AMEREN"),"NA",TEXT((SUMPRODUCT(((LMPMain!$H$9:$H$1000)=$E218)*((LMPMain!$J$9:$J$1000)=$F218)*((LMPMain!$O$9:$O$1000)=$C218)*(LMPMain!T$9:T$1000))+(SUMPRODUCT(((Adders!$D$13:$D$101)=$E218)*((Adders!$E$13:$E$101)=$F218)*(Adders!G$13:G$101))+VLOOKUP($H218,Adders!$B$5:$G$8,N$11,FALSE)+Matrix!$D$2)*IF($D218="NJ",1.07,1))/$L$10,CHOOSE($M$10,$L$9,$M$9)))</f>
        <v xml:space="preserve"> 34.00 </v>
      </c>
      <c r="O218" s="112"/>
    </row>
    <row r="219" spans="2:15" x14ac:dyDescent="0.25">
      <c r="B219" s="160" t="s">
        <v>669</v>
      </c>
      <c r="C219" s="131">
        <f t="shared" si="5"/>
        <v>42401</v>
      </c>
      <c r="D219" s="132" t="s">
        <v>6</v>
      </c>
      <c r="E219" s="133" t="s">
        <v>12</v>
      </c>
      <c r="F219" s="132" t="s">
        <v>10</v>
      </c>
      <c r="G219" s="133" t="str">
        <f t="shared" si="6"/>
        <v>General Service Medium</v>
      </c>
      <c r="H219" s="134" t="s">
        <v>62</v>
      </c>
      <c r="I219" s="173" t="str">
        <f>TEXT(   (SUMPRODUCT( ((Main!$H$9:$H$1000)=$E219)*((Main!$J$9:$J$1000)=$F219)*((Main!$O$9:$O$1000)=$C219)*(Main!R$9:R$1000) ) +  ( SUMPRODUCT( ((Adders!$D$13:$D$101)=$E219)*((Adders!$E$13:$E$101)=$F219)*(Adders!G$13:G$101)) + VLOOKUP($H219,Adders!$B$5:$G$8,L$11,FALSE)  +  PA!$D$2 ) * IF($D219="NJ",1.07,1))/$L$10, CHOOSE($M$10,$L$9,$M$9) )</f>
        <v xml:space="preserve"> 74.50 </v>
      </c>
      <c r="J219" s="173" t="str">
        <f>TEXT(   (SUMPRODUCT( ((Main!$H$9:$H$1000)=$E219)*((Main!$J$9:$J$1000)=$F219)*((Main!$O$9:$O$1000)=$C219)*(Main!S$9:S$1000) ) +  ( SUMPRODUCT( ((Adders!$D$13:$D$101)=$E219)*((Adders!$E$13:$E$101)=$F219)*(Adders!H$13:H$101)) + VLOOKUP($H219,Adders!$B$5:$G$8,M$11,FALSE)  +  PA!$D$2 ) * IF($D219="NJ",1.07,1))/$L$10, CHOOSE($M$10,$L$9,$M$9) )</f>
        <v xml:space="preserve"> 74.84 </v>
      </c>
      <c r="K219" s="174" t="str">
        <f>TEXT(   (SUMPRODUCT( ((Main!$H$9:$H$1000)=$E219)*((Main!$J$9:$J$1000)=$F219)*((Main!$O$9:$O$1000)=$C219)*(Main!T$9:T$1000) ) +  ( SUMPRODUCT( ((Adders!$D$13:$D$101)=$E219)*((Adders!$E$13:$E$101)=$F219)*(Adders!I$13:I$101)) + VLOOKUP($H219,Adders!$B$5:$G$8,N$11,FALSE)  +  PA!$D$2 ) * IF($D219="NJ",1.07,1))/$L$10, CHOOSE($M$10,$L$9,$M$9) )</f>
        <v xml:space="preserve"> 74.32 </v>
      </c>
      <c r="L219" s="173" t="str">
        <f>IF(AND($D$11="IL",$E219="AMEREN"),"NA",TEXT((SUMPRODUCT(((LMPMain!$H$9:$H$1000)=$E219)*((LMPMain!$J$9:$J$1000)=$F219)*((LMPMain!$O$9:$O$1000)=$C219)*(LMPMain!R$9:R$1000))+(SUMPRODUCT(((Adders!$D$13:$D$101)=$E219)*((Adders!$E$13:$E$101)=$F219)*(Adders!G$13:G$101))+VLOOKUP($H219,Adders!$B$5:$G$8,L$11,FALSE)+Matrix!$D$2)*IF($D219="NJ",1.07,1))/$L$10,CHOOSE($M$10,$L$9,$M$9)))</f>
        <v xml:space="preserve"> 32.79 </v>
      </c>
      <c r="M219" s="173" t="str">
        <f>IF(AND($D$11="IL",$E219="AMEREN"),"NA",TEXT((SUMPRODUCT(((LMPMain!$H$9:$H$1000)=$E219)*((LMPMain!$J$9:$J$1000)=$F219)*((LMPMain!$O$9:$O$1000)=$C219)*(LMPMain!S$9:S$1000))+(SUMPRODUCT(((Adders!$D$13:$D$101)=$E219)*((Adders!$E$13:$E$101)=$F219)*(Adders!H$13:H$101))+VLOOKUP($H219,Adders!$B$5:$G$8,M$11,FALSE)+Matrix!$D$2)*IF($D219="NJ",1.07,1))/$L$10,CHOOSE($M$10,$L$9,$M$9)))</f>
        <v xml:space="preserve"> 32.56 </v>
      </c>
      <c r="N219" s="174" t="str">
        <f>IF(AND($D$11="IL",$E219="AMEREN"),"NA",TEXT((SUMPRODUCT(((LMPMain!$H$9:$H$1000)=$E219)*((LMPMain!$J$9:$J$1000)=$F219)*((LMPMain!$O$9:$O$1000)=$C219)*(LMPMain!T$9:T$1000))+(SUMPRODUCT(((Adders!$D$13:$D$101)=$E219)*((Adders!$E$13:$E$101)=$F219)*(Adders!G$13:G$101))+VLOOKUP($H219,Adders!$B$5:$G$8,N$11,FALSE)+Matrix!$D$2)*IF($D219="NJ",1.07,1))/$L$10,CHOOSE($M$10,$L$9,$M$9)))</f>
        <v xml:space="preserve"> 32.40 </v>
      </c>
      <c r="O219" s="112"/>
    </row>
    <row r="220" spans="2:15" x14ac:dyDescent="0.25">
      <c r="B220" s="160" t="s">
        <v>669</v>
      </c>
      <c r="C220" s="135">
        <f t="shared" si="5"/>
        <v>42401</v>
      </c>
      <c r="D220" s="136" t="s">
        <v>6</v>
      </c>
      <c r="E220" s="137" t="s">
        <v>12</v>
      </c>
      <c r="F220" s="136" t="s">
        <v>10</v>
      </c>
      <c r="G220" s="137" t="str">
        <f t="shared" si="6"/>
        <v>General Service Medium</v>
      </c>
      <c r="H220" s="138" t="s">
        <v>690</v>
      </c>
      <c r="I220" s="176" t="str">
        <f>TEXT(   (SUMPRODUCT( ((Main!$H$9:$H$1000)=$E220)*((Main!$J$9:$J$1000)=$F220)*((Main!$O$9:$O$1000)=$C220)*(Main!R$9:R$1000) ) +  ( SUMPRODUCT( ((Adders!$D$13:$D$101)=$E220)*((Adders!$E$13:$E$101)=$F220)*(Adders!G$13:G$101)) + VLOOKUP($H220,Adders!$B$5:$G$8,L$11,FALSE)  +  PA!$D$2 ) * IF($D220="NJ",1.07,1))/$L$10, CHOOSE($M$10,$L$9,$M$9) )</f>
        <v xml:space="preserve"> 73.45 </v>
      </c>
      <c r="J220" s="176" t="str">
        <f>TEXT(   (SUMPRODUCT( ((Main!$H$9:$H$1000)=$E220)*((Main!$J$9:$J$1000)=$F220)*((Main!$O$9:$O$1000)=$C220)*(Main!S$9:S$1000) ) +  ( SUMPRODUCT( ((Adders!$D$13:$D$101)=$E220)*((Adders!$E$13:$E$101)=$F220)*(Adders!H$13:H$101)) + VLOOKUP($H220,Adders!$B$5:$G$8,M$11,FALSE)  +  PA!$D$2 ) * IF($D220="NJ",1.07,1))/$L$10, CHOOSE($M$10,$L$9,$M$9) )</f>
        <v xml:space="preserve"> 73.79 </v>
      </c>
      <c r="K220" s="177" t="str">
        <f>TEXT(   (SUMPRODUCT( ((Main!$H$9:$H$1000)=$E220)*((Main!$J$9:$J$1000)=$F220)*((Main!$O$9:$O$1000)=$C220)*(Main!T$9:T$1000) ) +  ( SUMPRODUCT( ((Adders!$D$13:$D$101)=$E220)*((Adders!$E$13:$E$101)=$F220)*(Adders!I$13:I$101)) + VLOOKUP($H220,Adders!$B$5:$G$8,N$11,FALSE)  +  PA!$D$2 ) * IF($D220="NJ",1.07,1))/$L$10, CHOOSE($M$10,$L$9,$M$9) )</f>
        <v xml:space="preserve"> 73.27 </v>
      </c>
      <c r="L220" s="176" t="str">
        <f>IF(AND($D$11="IL",$E220="AMEREN"),"NA",TEXT((SUMPRODUCT(((LMPMain!$H$9:$H$1000)=$E220)*((LMPMain!$J$9:$J$1000)=$F220)*((LMPMain!$O$9:$O$1000)=$C220)*(LMPMain!R$9:R$1000))+(SUMPRODUCT(((Adders!$D$13:$D$101)=$E220)*((Adders!$E$13:$E$101)=$F220)*(Adders!G$13:G$101))+VLOOKUP($H220,Adders!$B$5:$G$8,L$11,FALSE)+Matrix!$D$2)*IF($D220="NJ",1.07,1))/$L$10,CHOOSE($M$10,$L$9,$M$9)))</f>
        <v xml:space="preserve"> 31.74 </v>
      </c>
      <c r="M220" s="176" t="str">
        <f>IF(AND($D$11="IL",$E220="AMEREN"),"NA",TEXT((SUMPRODUCT(((LMPMain!$H$9:$H$1000)=$E220)*((LMPMain!$J$9:$J$1000)=$F220)*((LMPMain!$O$9:$O$1000)=$C220)*(LMPMain!S$9:S$1000))+(SUMPRODUCT(((Adders!$D$13:$D$101)=$E220)*((Adders!$E$13:$E$101)=$F220)*(Adders!H$13:H$101))+VLOOKUP($H220,Adders!$B$5:$G$8,M$11,FALSE)+Matrix!$D$2)*IF($D220="NJ",1.07,1))/$L$10,CHOOSE($M$10,$L$9,$M$9)))</f>
        <v xml:space="preserve"> 31.51 </v>
      </c>
      <c r="N220" s="177" t="str">
        <f>IF(AND($D$11="IL",$E220="AMEREN"),"NA",TEXT((SUMPRODUCT(((LMPMain!$H$9:$H$1000)=$E220)*((LMPMain!$J$9:$J$1000)=$F220)*((LMPMain!$O$9:$O$1000)=$C220)*(LMPMain!T$9:T$1000))+(SUMPRODUCT(((Adders!$D$13:$D$101)=$E220)*((Adders!$E$13:$E$101)=$F220)*(Adders!G$13:G$101))+VLOOKUP($H220,Adders!$B$5:$G$8,N$11,FALSE)+Matrix!$D$2)*IF($D220="NJ",1.07,1))/$L$10,CHOOSE($M$10,$L$9,$M$9)))</f>
        <v xml:space="preserve"> 31.35 </v>
      </c>
      <c r="O220" s="112"/>
    </row>
    <row r="221" spans="2:15" x14ac:dyDescent="0.25">
      <c r="B221" s="160" t="s">
        <v>669</v>
      </c>
      <c r="C221" s="127">
        <f t="shared" si="5"/>
        <v>42430</v>
      </c>
      <c r="D221" s="128" t="s">
        <v>6</v>
      </c>
      <c r="E221" s="129" t="s">
        <v>12</v>
      </c>
      <c r="F221" s="128" t="s">
        <v>10</v>
      </c>
      <c r="G221" s="129" t="str">
        <f t="shared" si="6"/>
        <v>General Service Medium</v>
      </c>
      <c r="H221" s="130" t="s">
        <v>61</v>
      </c>
      <c r="I221" s="178" t="str">
        <f>TEXT(   (SUMPRODUCT( ((Main!$H$9:$H$1000)=$E221)*((Main!$J$9:$J$1000)=$F221)*((Main!$O$9:$O$1000)=$C221)*(Main!R$9:R$1000) ) +  ( SUMPRODUCT( ((Adders!$D$13:$D$101)=$E221)*((Adders!$E$13:$E$101)=$F221)*(Adders!G$13:G$101)) + VLOOKUP($H221,Adders!$B$5:$G$8,L$11,FALSE)  +  PA!$D$2 ) * IF($D221="NJ",1.07,1))/$L$10, CHOOSE($M$10,$L$9,$M$9) )</f>
        <v xml:space="preserve"> 75.87 </v>
      </c>
      <c r="J221" s="178" t="str">
        <f>TEXT(   (SUMPRODUCT( ((Main!$H$9:$H$1000)=$E221)*((Main!$J$9:$J$1000)=$F221)*((Main!$O$9:$O$1000)=$C221)*(Main!S$9:S$1000) ) +  ( SUMPRODUCT( ((Adders!$D$13:$D$101)=$E221)*((Adders!$E$13:$E$101)=$F221)*(Adders!H$13:H$101)) + VLOOKUP($H221,Adders!$B$5:$G$8,M$11,FALSE)  +  PA!$D$2 ) * IF($D221="NJ",1.07,1))/$L$10, CHOOSE($M$10,$L$9,$M$9) )</f>
        <v xml:space="preserve"> 76.02 </v>
      </c>
      <c r="K221" s="179" t="str">
        <f>TEXT(   (SUMPRODUCT( ((Main!$H$9:$H$1000)=$E221)*((Main!$J$9:$J$1000)=$F221)*((Main!$O$9:$O$1000)=$C221)*(Main!T$9:T$1000) ) +  ( SUMPRODUCT( ((Adders!$D$13:$D$101)=$E221)*((Adders!$E$13:$E$101)=$F221)*(Adders!I$13:I$101)) + VLOOKUP($H221,Adders!$B$5:$G$8,N$11,FALSE)  +  PA!$D$2 ) * IF($D221="NJ",1.07,1))/$L$10, CHOOSE($M$10,$L$9,$M$9) )</f>
        <v xml:space="preserve"> 75.90 </v>
      </c>
      <c r="L221" s="178" t="str">
        <f>IF(AND($D$11="IL",$E221="AMEREN"),"NA",TEXT((SUMPRODUCT(((LMPMain!$H$9:$H$1000)=$E221)*((LMPMain!$J$9:$J$1000)=$F221)*((LMPMain!$O$9:$O$1000)=$C221)*(LMPMain!R$9:R$1000))+(SUMPRODUCT(((Adders!$D$13:$D$101)=$E221)*((Adders!$E$13:$E$101)=$F221)*(Adders!G$13:G$101))+VLOOKUP($H221,Adders!$B$5:$G$8,L$11,FALSE)+Matrix!$D$2)*IF($D221="NJ",1.07,1))/$L$10,CHOOSE($M$10,$L$9,$M$9)))</f>
        <v xml:space="preserve"> 34.07 </v>
      </c>
      <c r="M221" s="178" t="str">
        <f>IF(AND($D$11="IL",$E221="AMEREN"),"NA",TEXT((SUMPRODUCT(((LMPMain!$H$9:$H$1000)=$E221)*((LMPMain!$J$9:$J$1000)=$F221)*((LMPMain!$O$9:$O$1000)=$C221)*(LMPMain!S$9:S$1000))+(SUMPRODUCT(((Adders!$D$13:$D$101)=$E221)*((Adders!$E$13:$E$101)=$F221)*(Adders!H$13:H$101))+VLOOKUP($H221,Adders!$B$5:$G$8,M$11,FALSE)+Matrix!$D$2)*IF($D221="NJ",1.07,1))/$L$10,CHOOSE($M$10,$L$9,$M$9)))</f>
        <v xml:space="preserve"> 33.90 </v>
      </c>
      <c r="N221" s="179" t="str">
        <f>IF(AND($D$11="IL",$E221="AMEREN"),"NA",TEXT((SUMPRODUCT(((LMPMain!$H$9:$H$1000)=$E221)*((LMPMain!$J$9:$J$1000)=$F221)*((LMPMain!$O$9:$O$1000)=$C221)*(LMPMain!T$9:T$1000))+(SUMPRODUCT(((Adders!$D$13:$D$101)=$E221)*((Adders!$E$13:$E$101)=$F221)*(Adders!G$13:G$101))+VLOOKUP($H221,Adders!$B$5:$G$8,N$11,FALSE)+Matrix!$D$2)*IF($D221="NJ",1.07,1))/$L$10,CHOOSE($M$10,$L$9,$M$9)))</f>
        <v xml:space="preserve"> 33.88 </v>
      </c>
      <c r="O221" s="112"/>
    </row>
    <row r="222" spans="2:15" x14ac:dyDescent="0.25">
      <c r="B222" s="160" t="s">
        <v>669</v>
      </c>
      <c r="C222" s="131">
        <f t="shared" si="5"/>
        <v>42430</v>
      </c>
      <c r="D222" s="132" t="s">
        <v>6</v>
      </c>
      <c r="E222" s="133" t="s">
        <v>12</v>
      </c>
      <c r="F222" s="132" t="s">
        <v>10</v>
      </c>
      <c r="G222" s="133" t="str">
        <f t="shared" si="6"/>
        <v>General Service Medium</v>
      </c>
      <c r="H222" s="134" t="s">
        <v>62</v>
      </c>
      <c r="I222" s="173" t="str">
        <f>TEXT(   (SUMPRODUCT( ((Main!$H$9:$H$1000)=$E222)*((Main!$J$9:$J$1000)=$F222)*((Main!$O$9:$O$1000)=$C222)*(Main!R$9:R$1000) ) +  ( SUMPRODUCT( ((Adders!$D$13:$D$101)=$E222)*((Adders!$E$13:$E$101)=$F222)*(Adders!G$13:G$101)) + VLOOKUP($H222,Adders!$B$5:$G$8,L$11,FALSE)  +  PA!$D$2 ) * IF($D222="NJ",1.07,1))/$L$10, CHOOSE($M$10,$L$9,$M$9) )</f>
        <v xml:space="preserve"> 74.27 </v>
      </c>
      <c r="J222" s="173" t="str">
        <f>TEXT(   (SUMPRODUCT( ((Main!$H$9:$H$1000)=$E222)*((Main!$J$9:$J$1000)=$F222)*((Main!$O$9:$O$1000)=$C222)*(Main!S$9:S$1000) ) +  ( SUMPRODUCT( ((Adders!$D$13:$D$101)=$E222)*((Adders!$E$13:$E$101)=$F222)*(Adders!H$13:H$101)) + VLOOKUP($H222,Adders!$B$5:$G$8,M$11,FALSE)  +  PA!$D$2 ) * IF($D222="NJ",1.07,1))/$L$10, CHOOSE($M$10,$L$9,$M$9) )</f>
        <v xml:space="preserve"> 74.42 </v>
      </c>
      <c r="K222" s="174" t="str">
        <f>TEXT(   (SUMPRODUCT( ((Main!$H$9:$H$1000)=$E222)*((Main!$J$9:$J$1000)=$F222)*((Main!$O$9:$O$1000)=$C222)*(Main!T$9:T$1000) ) +  ( SUMPRODUCT( ((Adders!$D$13:$D$101)=$E222)*((Adders!$E$13:$E$101)=$F222)*(Adders!I$13:I$101)) + VLOOKUP($H222,Adders!$B$5:$G$8,N$11,FALSE)  +  PA!$D$2 ) * IF($D222="NJ",1.07,1))/$L$10, CHOOSE($M$10,$L$9,$M$9) )</f>
        <v xml:space="preserve"> 74.30 </v>
      </c>
      <c r="L222" s="173" t="str">
        <f>IF(AND($D$11="IL",$E222="AMEREN"),"NA",TEXT((SUMPRODUCT(((LMPMain!$H$9:$H$1000)=$E222)*((LMPMain!$J$9:$J$1000)=$F222)*((LMPMain!$O$9:$O$1000)=$C222)*(LMPMain!R$9:R$1000))+(SUMPRODUCT(((Adders!$D$13:$D$101)=$E222)*((Adders!$E$13:$E$101)=$F222)*(Adders!G$13:G$101))+VLOOKUP($H222,Adders!$B$5:$G$8,L$11,FALSE)+Matrix!$D$2)*IF($D222="NJ",1.07,1))/$L$10,CHOOSE($M$10,$L$9,$M$9)))</f>
        <v xml:space="preserve"> 32.47 </v>
      </c>
      <c r="M222" s="173" t="str">
        <f>IF(AND($D$11="IL",$E222="AMEREN"),"NA",TEXT((SUMPRODUCT(((LMPMain!$H$9:$H$1000)=$E222)*((LMPMain!$J$9:$J$1000)=$F222)*((LMPMain!$O$9:$O$1000)=$C222)*(LMPMain!S$9:S$1000))+(SUMPRODUCT(((Adders!$D$13:$D$101)=$E222)*((Adders!$E$13:$E$101)=$F222)*(Adders!H$13:H$101))+VLOOKUP($H222,Adders!$B$5:$G$8,M$11,FALSE)+Matrix!$D$2)*IF($D222="NJ",1.07,1))/$L$10,CHOOSE($M$10,$L$9,$M$9)))</f>
        <v xml:space="preserve"> 32.30 </v>
      </c>
      <c r="N222" s="174" t="str">
        <f>IF(AND($D$11="IL",$E222="AMEREN"),"NA",TEXT((SUMPRODUCT(((LMPMain!$H$9:$H$1000)=$E222)*((LMPMain!$J$9:$J$1000)=$F222)*((LMPMain!$O$9:$O$1000)=$C222)*(LMPMain!T$9:T$1000))+(SUMPRODUCT(((Adders!$D$13:$D$101)=$E222)*((Adders!$E$13:$E$101)=$F222)*(Adders!G$13:G$101))+VLOOKUP($H222,Adders!$B$5:$G$8,N$11,FALSE)+Matrix!$D$2)*IF($D222="NJ",1.07,1))/$L$10,CHOOSE($M$10,$L$9,$M$9)))</f>
        <v xml:space="preserve"> 32.28 </v>
      </c>
      <c r="O222" s="112"/>
    </row>
    <row r="223" spans="2:15" x14ac:dyDescent="0.25">
      <c r="B223" s="160" t="s">
        <v>669</v>
      </c>
      <c r="C223" s="135">
        <f t="shared" si="5"/>
        <v>42430</v>
      </c>
      <c r="D223" s="136" t="s">
        <v>6</v>
      </c>
      <c r="E223" s="137" t="s">
        <v>12</v>
      </c>
      <c r="F223" s="136" t="s">
        <v>10</v>
      </c>
      <c r="G223" s="137" t="str">
        <f t="shared" si="6"/>
        <v>General Service Medium</v>
      </c>
      <c r="H223" s="138" t="s">
        <v>690</v>
      </c>
      <c r="I223" s="176" t="str">
        <f>TEXT(   (SUMPRODUCT( ((Main!$H$9:$H$1000)=$E223)*((Main!$J$9:$J$1000)=$F223)*((Main!$O$9:$O$1000)=$C223)*(Main!R$9:R$1000) ) +  ( SUMPRODUCT( ((Adders!$D$13:$D$101)=$E223)*((Adders!$E$13:$E$101)=$F223)*(Adders!G$13:G$101)) + VLOOKUP($H223,Adders!$B$5:$G$8,L$11,FALSE)  +  PA!$D$2 ) * IF($D223="NJ",1.07,1))/$L$10, CHOOSE($M$10,$L$9,$M$9) )</f>
        <v xml:space="preserve"> 73.22 </v>
      </c>
      <c r="J223" s="176" t="str">
        <f>TEXT(   (SUMPRODUCT( ((Main!$H$9:$H$1000)=$E223)*((Main!$J$9:$J$1000)=$F223)*((Main!$O$9:$O$1000)=$C223)*(Main!S$9:S$1000) ) +  ( SUMPRODUCT( ((Adders!$D$13:$D$101)=$E223)*((Adders!$E$13:$E$101)=$F223)*(Adders!H$13:H$101)) + VLOOKUP($H223,Adders!$B$5:$G$8,M$11,FALSE)  +  PA!$D$2 ) * IF($D223="NJ",1.07,1))/$L$10, CHOOSE($M$10,$L$9,$M$9) )</f>
        <v xml:space="preserve"> 73.37 </v>
      </c>
      <c r="K223" s="177" t="str">
        <f>TEXT(   (SUMPRODUCT( ((Main!$H$9:$H$1000)=$E223)*((Main!$J$9:$J$1000)=$F223)*((Main!$O$9:$O$1000)=$C223)*(Main!T$9:T$1000) ) +  ( SUMPRODUCT( ((Adders!$D$13:$D$101)=$E223)*((Adders!$E$13:$E$101)=$F223)*(Adders!I$13:I$101)) + VLOOKUP($H223,Adders!$B$5:$G$8,N$11,FALSE)  +  PA!$D$2 ) * IF($D223="NJ",1.07,1))/$L$10, CHOOSE($M$10,$L$9,$M$9) )</f>
        <v xml:space="preserve"> 73.25 </v>
      </c>
      <c r="L223" s="176" t="str">
        <f>IF(AND($D$11="IL",$E223="AMEREN"),"NA",TEXT((SUMPRODUCT(((LMPMain!$H$9:$H$1000)=$E223)*((LMPMain!$J$9:$J$1000)=$F223)*((LMPMain!$O$9:$O$1000)=$C223)*(LMPMain!R$9:R$1000))+(SUMPRODUCT(((Adders!$D$13:$D$101)=$E223)*((Adders!$E$13:$E$101)=$F223)*(Adders!G$13:G$101))+VLOOKUP($H223,Adders!$B$5:$G$8,L$11,FALSE)+Matrix!$D$2)*IF($D223="NJ",1.07,1))/$L$10,CHOOSE($M$10,$L$9,$M$9)))</f>
        <v xml:space="preserve"> 31.42 </v>
      </c>
      <c r="M223" s="176" t="str">
        <f>IF(AND($D$11="IL",$E223="AMEREN"),"NA",TEXT((SUMPRODUCT(((LMPMain!$H$9:$H$1000)=$E223)*((LMPMain!$J$9:$J$1000)=$F223)*((LMPMain!$O$9:$O$1000)=$C223)*(LMPMain!S$9:S$1000))+(SUMPRODUCT(((Adders!$D$13:$D$101)=$E223)*((Adders!$E$13:$E$101)=$F223)*(Adders!H$13:H$101))+VLOOKUP($H223,Adders!$B$5:$G$8,M$11,FALSE)+Matrix!$D$2)*IF($D223="NJ",1.07,1))/$L$10,CHOOSE($M$10,$L$9,$M$9)))</f>
        <v xml:space="preserve"> 31.25 </v>
      </c>
      <c r="N223" s="177" t="str">
        <f>IF(AND($D$11="IL",$E223="AMEREN"),"NA",TEXT((SUMPRODUCT(((LMPMain!$H$9:$H$1000)=$E223)*((LMPMain!$J$9:$J$1000)=$F223)*((LMPMain!$O$9:$O$1000)=$C223)*(LMPMain!T$9:T$1000))+(SUMPRODUCT(((Adders!$D$13:$D$101)=$E223)*((Adders!$E$13:$E$101)=$F223)*(Adders!G$13:G$101))+VLOOKUP($H223,Adders!$B$5:$G$8,N$11,FALSE)+Matrix!$D$2)*IF($D223="NJ",1.07,1))/$L$10,CHOOSE($M$10,$L$9,$M$9)))</f>
        <v xml:space="preserve"> 31.23 </v>
      </c>
      <c r="O223" s="112"/>
    </row>
    <row r="224" spans="2:15" x14ac:dyDescent="0.25">
      <c r="B224" s="160" t="s">
        <v>669</v>
      </c>
      <c r="C224" s="127">
        <f t="shared" si="5"/>
        <v>42461</v>
      </c>
      <c r="D224" s="128" t="s">
        <v>6</v>
      </c>
      <c r="E224" s="129" t="s">
        <v>12</v>
      </c>
      <c r="F224" s="128" t="s">
        <v>10</v>
      </c>
      <c r="G224" s="129" t="str">
        <f t="shared" si="6"/>
        <v>General Service Medium</v>
      </c>
      <c r="H224" s="130" t="s">
        <v>61</v>
      </c>
      <c r="I224" s="178" t="str">
        <f>TEXT(   (SUMPRODUCT( ((Main!$H$9:$H$1000)=$E224)*((Main!$J$9:$J$1000)=$F224)*((Main!$O$9:$O$1000)=$C224)*(Main!R$9:R$1000) ) +  ( SUMPRODUCT( ((Adders!$D$13:$D$101)=$E224)*((Adders!$E$13:$E$101)=$F224)*(Adders!G$13:G$101)) + VLOOKUP($H224,Adders!$B$5:$G$8,L$11,FALSE)  +  PA!$D$2 ) * IF($D224="NJ",1.07,1))/$L$10, CHOOSE($M$10,$L$9,$M$9) )</f>
        <v xml:space="preserve"> 75.56 </v>
      </c>
      <c r="J224" s="178" t="str">
        <f>TEXT(   (SUMPRODUCT( ((Main!$H$9:$H$1000)=$E224)*((Main!$J$9:$J$1000)=$F224)*((Main!$O$9:$O$1000)=$C224)*(Main!S$9:S$1000) ) +  ( SUMPRODUCT( ((Adders!$D$13:$D$101)=$E224)*((Adders!$E$13:$E$101)=$F224)*(Adders!H$13:H$101)) + VLOOKUP($H224,Adders!$B$5:$G$8,M$11,FALSE)  +  PA!$D$2 ) * IF($D224="NJ",1.07,1))/$L$10, CHOOSE($M$10,$L$9,$M$9) )</f>
        <v xml:space="preserve"> 75.40 </v>
      </c>
      <c r="K224" s="179" t="str">
        <f>TEXT(   (SUMPRODUCT( ((Main!$H$9:$H$1000)=$E224)*((Main!$J$9:$J$1000)=$F224)*((Main!$O$9:$O$1000)=$C224)*(Main!T$9:T$1000) ) +  ( SUMPRODUCT( ((Adders!$D$13:$D$101)=$E224)*((Adders!$E$13:$E$101)=$F224)*(Adders!I$13:I$101)) + VLOOKUP($H224,Adders!$B$5:$G$8,N$11,FALSE)  +  PA!$D$2 ) * IF($D224="NJ",1.07,1))/$L$10, CHOOSE($M$10,$L$9,$M$9) )</f>
        <v xml:space="preserve"> 75.70 </v>
      </c>
      <c r="L224" s="178" t="str">
        <f>IF(AND($D$11="IL",$E224="AMEREN"),"NA",TEXT((SUMPRODUCT(((LMPMain!$H$9:$H$1000)=$E224)*((LMPMain!$J$9:$J$1000)=$F224)*((LMPMain!$O$9:$O$1000)=$C224)*(LMPMain!R$9:R$1000))+(SUMPRODUCT(((Adders!$D$13:$D$101)=$E224)*((Adders!$E$13:$E$101)=$F224)*(Adders!G$13:G$101))+VLOOKUP($H224,Adders!$B$5:$G$8,L$11,FALSE)+Matrix!$D$2)*IF($D224="NJ",1.07,1))/$L$10,CHOOSE($M$10,$L$9,$M$9)))</f>
        <v xml:space="preserve"> 33.74 </v>
      </c>
      <c r="M224" s="178" t="str">
        <f>IF(AND($D$11="IL",$E224="AMEREN"),"NA",TEXT((SUMPRODUCT(((LMPMain!$H$9:$H$1000)=$E224)*((LMPMain!$J$9:$J$1000)=$F224)*((LMPMain!$O$9:$O$1000)=$C224)*(LMPMain!S$9:S$1000))+(SUMPRODUCT(((Adders!$D$13:$D$101)=$E224)*((Adders!$E$13:$E$101)=$F224)*(Adders!H$13:H$101))+VLOOKUP($H224,Adders!$B$5:$G$8,M$11,FALSE)+Matrix!$D$2)*IF($D224="NJ",1.07,1))/$L$10,CHOOSE($M$10,$L$9,$M$9)))</f>
        <v xml:space="preserve"> 33.69 </v>
      </c>
      <c r="N224" s="179" t="str">
        <f>IF(AND($D$11="IL",$E224="AMEREN"),"NA",TEXT((SUMPRODUCT(((LMPMain!$H$9:$H$1000)=$E224)*((LMPMain!$J$9:$J$1000)=$F224)*((LMPMain!$O$9:$O$1000)=$C224)*(LMPMain!T$9:T$1000))+(SUMPRODUCT(((Adders!$D$13:$D$101)=$E224)*((Adders!$E$13:$E$101)=$F224)*(Adders!G$13:G$101))+VLOOKUP($H224,Adders!$B$5:$G$8,N$11,FALSE)+Matrix!$D$2)*IF($D224="NJ",1.07,1))/$L$10,CHOOSE($M$10,$L$9,$M$9)))</f>
        <v xml:space="preserve"> 33.74 </v>
      </c>
      <c r="O224" s="112"/>
    </row>
    <row r="225" spans="2:15" x14ac:dyDescent="0.25">
      <c r="B225" s="160" t="s">
        <v>669</v>
      </c>
      <c r="C225" s="131">
        <f t="shared" si="5"/>
        <v>42461</v>
      </c>
      <c r="D225" s="132" t="s">
        <v>6</v>
      </c>
      <c r="E225" s="133" t="s">
        <v>12</v>
      </c>
      <c r="F225" s="132" t="s">
        <v>10</v>
      </c>
      <c r="G225" s="133" t="str">
        <f t="shared" si="6"/>
        <v>General Service Medium</v>
      </c>
      <c r="H225" s="134" t="s">
        <v>62</v>
      </c>
      <c r="I225" s="173" t="str">
        <f>TEXT(   (SUMPRODUCT( ((Main!$H$9:$H$1000)=$E225)*((Main!$J$9:$J$1000)=$F225)*((Main!$O$9:$O$1000)=$C225)*(Main!R$9:R$1000) ) +  ( SUMPRODUCT( ((Adders!$D$13:$D$101)=$E225)*((Adders!$E$13:$E$101)=$F225)*(Adders!G$13:G$101)) + VLOOKUP($H225,Adders!$B$5:$G$8,L$11,FALSE)  +  PA!$D$2 ) * IF($D225="NJ",1.07,1))/$L$10, CHOOSE($M$10,$L$9,$M$9) )</f>
        <v xml:space="preserve"> 73.96 </v>
      </c>
      <c r="J225" s="173" t="str">
        <f>TEXT(   (SUMPRODUCT( ((Main!$H$9:$H$1000)=$E225)*((Main!$J$9:$J$1000)=$F225)*((Main!$O$9:$O$1000)=$C225)*(Main!S$9:S$1000) ) +  ( SUMPRODUCT( ((Adders!$D$13:$D$101)=$E225)*((Adders!$E$13:$E$101)=$F225)*(Adders!H$13:H$101)) + VLOOKUP($H225,Adders!$B$5:$G$8,M$11,FALSE)  +  PA!$D$2 ) * IF($D225="NJ",1.07,1))/$L$10, CHOOSE($M$10,$L$9,$M$9) )</f>
        <v xml:space="preserve"> 73.80 </v>
      </c>
      <c r="K225" s="174" t="str">
        <f>TEXT(   (SUMPRODUCT( ((Main!$H$9:$H$1000)=$E225)*((Main!$J$9:$J$1000)=$F225)*((Main!$O$9:$O$1000)=$C225)*(Main!T$9:T$1000) ) +  ( SUMPRODUCT( ((Adders!$D$13:$D$101)=$E225)*((Adders!$E$13:$E$101)=$F225)*(Adders!I$13:I$101)) + VLOOKUP($H225,Adders!$B$5:$G$8,N$11,FALSE)  +  PA!$D$2 ) * IF($D225="NJ",1.07,1))/$L$10, CHOOSE($M$10,$L$9,$M$9) )</f>
        <v xml:space="preserve"> 74.10 </v>
      </c>
      <c r="L225" s="173" t="str">
        <f>IF(AND($D$11="IL",$E225="AMEREN"),"NA",TEXT((SUMPRODUCT(((LMPMain!$H$9:$H$1000)=$E225)*((LMPMain!$J$9:$J$1000)=$F225)*((LMPMain!$O$9:$O$1000)=$C225)*(LMPMain!R$9:R$1000))+(SUMPRODUCT(((Adders!$D$13:$D$101)=$E225)*((Adders!$E$13:$E$101)=$F225)*(Adders!G$13:G$101))+VLOOKUP($H225,Adders!$B$5:$G$8,L$11,FALSE)+Matrix!$D$2)*IF($D225="NJ",1.07,1))/$L$10,CHOOSE($M$10,$L$9,$M$9)))</f>
        <v xml:space="preserve"> 32.14 </v>
      </c>
      <c r="M225" s="173" t="str">
        <f>IF(AND($D$11="IL",$E225="AMEREN"),"NA",TEXT((SUMPRODUCT(((LMPMain!$H$9:$H$1000)=$E225)*((LMPMain!$J$9:$J$1000)=$F225)*((LMPMain!$O$9:$O$1000)=$C225)*(LMPMain!S$9:S$1000))+(SUMPRODUCT(((Adders!$D$13:$D$101)=$E225)*((Adders!$E$13:$E$101)=$F225)*(Adders!H$13:H$101))+VLOOKUP($H225,Adders!$B$5:$G$8,M$11,FALSE)+Matrix!$D$2)*IF($D225="NJ",1.07,1))/$L$10,CHOOSE($M$10,$L$9,$M$9)))</f>
        <v xml:space="preserve"> 32.09 </v>
      </c>
      <c r="N225" s="174" t="str">
        <f>IF(AND($D$11="IL",$E225="AMEREN"),"NA",TEXT((SUMPRODUCT(((LMPMain!$H$9:$H$1000)=$E225)*((LMPMain!$J$9:$J$1000)=$F225)*((LMPMain!$O$9:$O$1000)=$C225)*(LMPMain!T$9:T$1000))+(SUMPRODUCT(((Adders!$D$13:$D$101)=$E225)*((Adders!$E$13:$E$101)=$F225)*(Adders!G$13:G$101))+VLOOKUP($H225,Adders!$B$5:$G$8,N$11,FALSE)+Matrix!$D$2)*IF($D225="NJ",1.07,1))/$L$10,CHOOSE($M$10,$L$9,$M$9)))</f>
        <v xml:space="preserve"> 32.14 </v>
      </c>
      <c r="O225" s="112"/>
    </row>
    <row r="226" spans="2:15" x14ac:dyDescent="0.25">
      <c r="B226" s="160" t="s">
        <v>669</v>
      </c>
      <c r="C226" s="135">
        <f t="shared" si="5"/>
        <v>42461</v>
      </c>
      <c r="D226" s="136" t="s">
        <v>6</v>
      </c>
      <c r="E226" s="137" t="s">
        <v>12</v>
      </c>
      <c r="F226" s="136" t="s">
        <v>10</v>
      </c>
      <c r="G226" s="137" t="str">
        <f t="shared" si="6"/>
        <v>General Service Medium</v>
      </c>
      <c r="H226" s="138" t="s">
        <v>690</v>
      </c>
      <c r="I226" s="176" t="str">
        <f>TEXT(   (SUMPRODUCT( ((Main!$H$9:$H$1000)=$E226)*((Main!$J$9:$J$1000)=$F226)*((Main!$O$9:$O$1000)=$C226)*(Main!R$9:R$1000) ) +  ( SUMPRODUCT( ((Adders!$D$13:$D$101)=$E226)*((Adders!$E$13:$E$101)=$F226)*(Adders!G$13:G$101)) + VLOOKUP($H226,Adders!$B$5:$G$8,L$11,FALSE)  +  PA!$D$2 ) * IF($D226="NJ",1.07,1))/$L$10, CHOOSE($M$10,$L$9,$M$9) )</f>
        <v xml:space="preserve"> 72.91 </v>
      </c>
      <c r="J226" s="176" t="str">
        <f>TEXT(   (SUMPRODUCT( ((Main!$H$9:$H$1000)=$E226)*((Main!$J$9:$J$1000)=$F226)*((Main!$O$9:$O$1000)=$C226)*(Main!S$9:S$1000) ) +  ( SUMPRODUCT( ((Adders!$D$13:$D$101)=$E226)*((Adders!$E$13:$E$101)=$F226)*(Adders!H$13:H$101)) + VLOOKUP($H226,Adders!$B$5:$G$8,M$11,FALSE)  +  PA!$D$2 ) * IF($D226="NJ",1.07,1))/$L$10, CHOOSE($M$10,$L$9,$M$9) )</f>
        <v xml:space="preserve"> 72.75 </v>
      </c>
      <c r="K226" s="177" t="str">
        <f>TEXT(   (SUMPRODUCT( ((Main!$H$9:$H$1000)=$E226)*((Main!$J$9:$J$1000)=$F226)*((Main!$O$9:$O$1000)=$C226)*(Main!T$9:T$1000) ) +  ( SUMPRODUCT( ((Adders!$D$13:$D$101)=$E226)*((Adders!$E$13:$E$101)=$F226)*(Adders!I$13:I$101)) + VLOOKUP($H226,Adders!$B$5:$G$8,N$11,FALSE)  +  PA!$D$2 ) * IF($D226="NJ",1.07,1))/$L$10, CHOOSE($M$10,$L$9,$M$9) )</f>
        <v xml:space="preserve"> 73.05 </v>
      </c>
      <c r="L226" s="176" t="str">
        <f>IF(AND($D$11="IL",$E226="AMEREN"),"NA",TEXT((SUMPRODUCT(((LMPMain!$H$9:$H$1000)=$E226)*((LMPMain!$J$9:$J$1000)=$F226)*((LMPMain!$O$9:$O$1000)=$C226)*(LMPMain!R$9:R$1000))+(SUMPRODUCT(((Adders!$D$13:$D$101)=$E226)*((Adders!$E$13:$E$101)=$F226)*(Adders!G$13:G$101))+VLOOKUP($H226,Adders!$B$5:$G$8,L$11,FALSE)+Matrix!$D$2)*IF($D226="NJ",1.07,1))/$L$10,CHOOSE($M$10,$L$9,$M$9)))</f>
        <v xml:space="preserve"> 31.09 </v>
      </c>
      <c r="M226" s="176" t="str">
        <f>IF(AND($D$11="IL",$E226="AMEREN"),"NA",TEXT((SUMPRODUCT(((LMPMain!$H$9:$H$1000)=$E226)*((LMPMain!$J$9:$J$1000)=$F226)*((LMPMain!$O$9:$O$1000)=$C226)*(LMPMain!S$9:S$1000))+(SUMPRODUCT(((Adders!$D$13:$D$101)=$E226)*((Adders!$E$13:$E$101)=$F226)*(Adders!H$13:H$101))+VLOOKUP($H226,Adders!$B$5:$G$8,M$11,FALSE)+Matrix!$D$2)*IF($D226="NJ",1.07,1))/$L$10,CHOOSE($M$10,$L$9,$M$9)))</f>
        <v xml:space="preserve"> 31.04 </v>
      </c>
      <c r="N226" s="177" t="str">
        <f>IF(AND($D$11="IL",$E226="AMEREN"),"NA",TEXT((SUMPRODUCT(((LMPMain!$H$9:$H$1000)=$E226)*((LMPMain!$J$9:$J$1000)=$F226)*((LMPMain!$O$9:$O$1000)=$C226)*(LMPMain!T$9:T$1000))+(SUMPRODUCT(((Adders!$D$13:$D$101)=$E226)*((Adders!$E$13:$E$101)=$F226)*(Adders!G$13:G$101))+VLOOKUP($H226,Adders!$B$5:$G$8,N$11,FALSE)+Matrix!$D$2)*IF($D226="NJ",1.07,1))/$L$10,CHOOSE($M$10,$L$9,$M$9)))</f>
        <v xml:space="preserve"> 31.09 </v>
      </c>
      <c r="O226" s="112"/>
    </row>
    <row r="227" spans="2:15" x14ac:dyDescent="0.25">
      <c r="B227" s="160" t="s">
        <v>669</v>
      </c>
      <c r="C227" s="127">
        <f t="shared" si="5"/>
        <v>42491</v>
      </c>
      <c r="D227" s="128" t="s">
        <v>6</v>
      </c>
      <c r="E227" s="129" t="s">
        <v>12</v>
      </c>
      <c r="F227" s="128" t="s">
        <v>10</v>
      </c>
      <c r="G227" s="129" t="str">
        <f t="shared" si="6"/>
        <v>General Service Medium</v>
      </c>
      <c r="H227" s="130" t="s">
        <v>61</v>
      </c>
      <c r="I227" s="178" t="str">
        <f>TEXT(   (SUMPRODUCT( ((Main!$H$9:$H$1000)=$E227)*((Main!$J$9:$J$1000)=$F227)*((Main!$O$9:$O$1000)=$C227)*(Main!R$9:R$1000) ) +  ( SUMPRODUCT( ((Adders!$D$13:$D$101)=$E227)*((Adders!$E$13:$E$101)=$F227)*(Adders!G$13:G$101)) + VLOOKUP($H227,Adders!$B$5:$G$8,L$11,FALSE)  +  PA!$D$2 ) * IF($D227="NJ",1.07,1))/$L$10, CHOOSE($M$10,$L$9,$M$9) )</f>
        <v xml:space="preserve"> 75.22 </v>
      </c>
      <c r="J227" s="178" t="str">
        <f>TEXT(   (SUMPRODUCT( ((Main!$H$9:$H$1000)=$E227)*((Main!$J$9:$J$1000)=$F227)*((Main!$O$9:$O$1000)=$C227)*(Main!S$9:S$1000) ) +  ( SUMPRODUCT( ((Adders!$D$13:$D$101)=$E227)*((Adders!$E$13:$E$101)=$F227)*(Adders!H$13:H$101)) + VLOOKUP($H227,Adders!$B$5:$G$8,M$11,FALSE)  +  PA!$D$2 ) * IF($D227="NJ",1.07,1))/$L$10, CHOOSE($M$10,$L$9,$M$9) )</f>
        <v xml:space="preserve"> 74.91 </v>
      </c>
      <c r="K227" s="179" t="str">
        <f>TEXT(   (SUMPRODUCT( ((Main!$H$9:$H$1000)=$E227)*((Main!$J$9:$J$1000)=$F227)*((Main!$O$9:$O$1000)=$C227)*(Main!T$9:T$1000) ) +  ( SUMPRODUCT( ((Adders!$D$13:$D$101)=$E227)*((Adders!$E$13:$E$101)=$F227)*(Adders!I$13:I$101)) + VLOOKUP($H227,Adders!$B$5:$G$8,N$11,FALSE)  +  PA!$D$2 ) * IF($D227="NJ",1.07,1))/$L$10, CHOOSE($M$10,$L$9,$M$9) )</f>
        <v xml:space="preserve"> 75.58 </v>
      </c>
      <c r="L227" s="178" t="str">
        <f>IF(AND($D$11="IL",$E227="AMEREN"),"NA",TEXT((SUMPRODUCT(((LMPMain!$H$9:$H$1000)=$E227)*((LMPMain!$J$9:$J$1000)=$F227)*((LMPMain!$O$9:$O$1000)=$C227)*(LMPMain!R$9:R$1000))+(SUMPRODUCT(((Adders!$D$13:$D$101)=$E227)*((Adders!$E$13:$E$101)=$F227)*(Adders!G$13:G$101))+VLOOKUP($H227,Adders!$B$5:$G$8,L$11,FALSE)+Matrix!$D$2)*IF($D227="NJ",1.07,1))/$L$10,CHOOSE($M$10,$L$9,$M$9)))</f>
        <v xml:space="preserve"> 33.43 </v>
      </c>
      <c r="M227" s="178" t="str">
        <f>IF(AND($D$11="IL",$E227="AMEREN"),"NA",TEXT((SUMPRODUCT(((LMPMain!$H$9:$H$1000)=$E227)*((LMPMain!$J$9:$J$1000)=$F227)*((LMPMain!$O$9:$O$1000)=$C227)*(LMPMain!S$9:S$1000))+(SUMPRODUCT(((Adders!$D$13:$D$101)=$E227)*((Adders!$E$13:$E$101)=$F227)*(Adders!H$13:H$101))+VLOOKUP($H227,Adders!$B$5:$G$8,M$11,FALSE)+Matrix!$D$2)*IF($D227="NJ",1.07,1))/$L$10,CHOOSE($M$10,$L$9,$M$9)))</f>
        <v xml:space="preserve"> 33.49 </v>
      </c>
      <c r="N227" s="179" t="str">
        <f>IF(AND($D$11="IL",$E227="AMEREN"),"NA",TEXT((SUMPRODUCT(((LMPMain!$H$9:$H$1000)=$E227)*((LMPMain!$J$9:$J$1000)=$F227)*((LMPMain!$O$9:$O$1000)=$C227)*(LMPMain!T$9:T$1000))+(SUMPRODUCT(((Adders!$D$13:$D$101)=$E227)*((Adders!$E$13:$E$101)=$F227)*(Adders!G$13:G$101))+VLOOKUP($H227,Adders!$B$5:$G$8,N$11,FALSE)+Matrix!$D$2)*IF($D227="NJ",1.07,1))/$L$10,CHOOSE($M$10,$L$9,$M$9)))</f>
        <v xml:space="preserve"> 33.62 </v>
      </c>
      <c r="O227" s="112"/>
    </row>
    <row r="228" spans="2:15" x14ac:dyDescent="0.25">
      <c r="B228" s="160" t="s">
        <v>669</v>
      </c>
      <c r="C228" s="131">
        <f t="shared" si="5"/>
        <v>42491</v>
      </c>
      <c r="D228" s="132" t="s">
        <v>6</v>
      </c>
      <c r="E228" s="133" t="s">
        <v>12</v>
      </c>
      <c r="F228" s="132" t="s">
        <v>10</v>
      </c>
      <c r="G228" s="133" t="str">
        <f t="shared" si="6"/>
        <v>General Service Medium</v>
      </c>
      <c r="H228" s="134" t="s">
        <v>62</v>
      </c>
      <c r="I228" s="173" t="str">
        <f>TEXT(   (SUMPRODUCT( ((Main!$H$9:$H$1000)=$E228)*((Main!$J$9:$J$1000)=$F228)*((Main!$O$9:$O$1000)=$C228)*(Main!R$9:R$1000) ) +  ( SUMPRODUCT( ((Adders!$D$13:$D$101)=$E228)*((Adders!$E$13:$E$101)=$F228)*(Adders!G$13:G$101)) + VLOOKUP($H228,Adders!$B$5:$G$8,L$11,FALSE)  +  PA!$D$2 ) * IF($D228="NJ",1.07,1))/$L$10, CHOOSE($M$10,$L$9,$M$9) )</f>
        <v xml:space="preserve"> 73.62 </v>
      </c>
      <c r="J228" s="173" t="str">
        <f>TEXT(   (SUMPRODUCT( ((Main!$H$9:$H$1000)=$E228)*((Main!$J$9:$J$1000)=$F228)*((Main!$O$9:$O$1000)=$C228)*(Main!S$9:S$1000) ) +  ( SUMPRODUCT( ((Adders!$D$13:$D$101)=$E228)*((Adders!$E$13:$E$101)=$F228)*(Adders!H$13:H$101)) + VLOOKUP($H228,Adders!$B$5:$G$8,M$11,FALSE)  +  PA!$D$2 ) * IF($D228="NJ",1.07,1))/$L$10, CHOOSE($M$10,$L$9,$M$9) )</f>
        <v xml:space="preserve"> 73.31 </v>
      </c>
      <c r="K228" s="174" t="str">
        <f>TEXT(   (SUMPRODUCT( ((Main!$H$9:$H$1000)=$E228)*((Main!$J$9:$J$1000)=$F228)*((Main!$O$9:$O$1000)=$C228)*(Main!T$9:T$1000) ) +  ( SUMPRODUCT( ((Adders!$D$13:$D$101)=$E228)*((Adders!$E$13:$E$101)=$F228)*(Adders!I$13:I$101)) + VLOOKUP($H228,Adders!$B$5:$G$8,N$11,FALSE)  +  PA!$D$2 ) * IF($D228="NJ",1.07,1))/$L$10, CHOOSE($M$10,$L$9,$M$9) )</f>
        <v xml:space="preserve"> 73.98 </v>
      </c>
      <c r="L228" s="173" t="str">
        <f>IF(AND($D$11="IL",$E228="AMEREN"),"NA",TEXT((SUMPRODUCT(((LMPMain!$H$9:$H$1000)=$E228)*((LMPMain!$J$9:$J$1000)=$F228)*((LMPMain!$O$9:$O$1000)=$C228)*(LMPMain!R$9:R$1000))+(SUMPRODUCT(((Adders!$D$13:$D$101)=$E228)*((Adders!$E$13:$E$101)=$F228)*(Adders!G$13:G$101))+VLOOKUP($H228,Adders!$B$5:$G$8,L$11,FALSE)+Matrix!$D$2)*IF($D228="NJ",1.07,1))/$L$10,CHOOSE($M$10,$L$9,$M$9)))</f>
        <v xml:space="preserve"> 31.83 </v>
      </c>
      <c r="M228" s="173" t="str">
        <f>IF(AND($D$11="IL",$E228="AMEREN"),"NA",TEXT((SUMPRODUCT(((LMPMain!$H$9:$H$1000)=$E228)*((LMPMain!$J$9:$J$1000)=$F228)*((LMPMain!$O$9:$O$1000)=$C228)*(LMPMain!S$9:S$1000))+(SUMPRODUCT(((Adders!$D$13:$D$101)=$E228)*((Adders!$E$13:$E$101)=$F228)*(Adders!H$13:H$101))+VLOOKUP($H228,Adders!$B$5:$G$8,M$11,FALSE)+Matrix!$D$2)*IF($D228="NJ",1.07,1))/$L$10,CHOOSE($M$10,$L$9,$M$9)))</f>
        <v xml:space="preserve"> 31.89 </v>
      </c>
      <c r="N228" s="174" t="str">
        <f>IF(AND($D$11="IL",$E228="AMEREN"),"NA",TEXT((SUMPRODUCT(((LMPMain!$H$9:$H$1000)=$E228)*((LMPMain!$J$9:$J$1000)=$F228)*((LMPMain!$O$9:$O$1000)=$C228)*(LMPMain!T$9:T$1000))+(SUMPRODUCT(((Adders!$D$13:$D$101)=$E228)*((Adders!$E$13:$E$101)=$F228)*(Adders!G$13:G$101))+VLOOKUP($H228,Adders!$B$5:$G$8,N$11,FALSE)+Matrix!$D$2)*IF($D228="NJ",1.07,1))/$L$10,CHOOSE($M$10,$L$9,$M$9)))</f>
        <v xml:space="preserve"> 32.02 </v>
      </c>
      <c r="O228" s="112"/>
    </row>
    <row r="229" spans="2:15" x14ac:dyDescent="0.25">
      <c r="B229" s="160" t="s">
        <v>669</v>
      </c>
      <c r="C229" s="135">
        <f t="shared" si="5"/>
        <v>42491</v>
      </c>
      <c r="D229" s="136" t="s">
        <v>6</v>
      </c>
      <c r="E229" s="137" t="s">
        <v>12</v>
      </c>
      <c r="F229" s="136" t="s">
        <v>10</v>
      </c>
      <c r="G229" s="137" t="str">
        <f t="shared" si="6"/>
        <v>General Service Medium</v>
      </c>
      <c r="H229" s="138" t="s">
        <v>690</v>
      </c>
      <c r="I229" s="176" t="str">
        <f>TEXT(   (SUMPRODUCT( ((Main!$H$9:$H$1000)=$E229)*((Main!$J$9:$J$1000)=$F229)*((Main!$O$9:$O$1000)=$C229)*(Main!R$9:R$1000) ) +  ( SUMPRODUCT( ((Adders!$D$13:$D$101)=$E229)*((Adders!$E$13:$E$101)=$F229)*(Adders!G$13:G$101)) + VLOOKUP($H229,Adders!$B$5:$G$8,L$11,FALSE)  +  PA!$D$2 ) * IF($D229="NJ",1.07,1))/$L$10, CHOOSE($M$10,$L$9,$M$9) )</f>
        <v xml:space="preserve"> 72.57 </v>
      </c>
      <c r="J229" s="176" t="str">
        <f>TEXT(   (SUMPRODUCT( ((Main!$H$9:$H$1000)=$E229)*((Main!$J$9:$J$1000)=$F229)*((Main!$O$9:$O$1000)=$C229)*(Main!S$9:S$1000) ) +  ( SUMPRODUCT( ((Adders!$D$13:$D$101)=$E229)*((Adders!$E$13:$E$101)=$F229)*(Adders!H$13:H$101)) + VLOOKUP($H229,Adders!$B$5:$G$8,M$11,FALSE)  +  PA!$D$2 ) * IF($D229="NJ",1.07,1))/$L$10, CHOOSE($M$10,$L$9,$M$9) )</f>
        <v xml:space="preserve"> 72.26 </v>
      </c>
      <c r="K229" s="177" t="str">
        <f>TEXT(   (SUMPRODUCT( ((Main!$H$9:$H$1000)=$E229)*((Main!$J$9:$J$1000)=$F229)*((Main!$O$9:$O$1000)=$C229)*(Main!T$9:T$1000) ) +  ( SUMPRODUCT( ((Adders!$D$13:$D$101)=$E229)*((Adders!$E$13:$E$101)=$F229)*(Adders!I$13:I$101)) + VLOOKUP($H229,Adders!$B$5:$G$8,N$11,FALSE)  +  PA!$D$2 ) * IF($D229="NJ",1.07,1))/$L$10, CHOOSE($M$10,$L$9,$M$9) )</f>
        <v xml:space="preserve"> 72.93 </v>
      </c>
      <c r="L229" s="176" t="str">
        <f>IF(AND($D$11="IL",$E229="AMEREN"),"NA",TEXT((SUMPRODUCT(((LMPMain!$H$9:$H$1000)=$E229)*((LMPMain!$J$9:$J$1000)=$F229)*((LMPMain!$O$9:$O$1000)=$C229)*(LMPMain!R$9:R$1000))+(SUMPRODUCT(((Adders!$D$13:$D$101)=$E229)*((Adders!$E$13:$E$101)=$F229)*(Adders!G$13:G$101))+VLOOKUP($H229,Adders!$B$5:$G$8,L$11,FALSE)+Matrix!$D$2)*IF($D229="NJ",1.07,1))/$L$10,CHOOSE($M$10,$L$9,$M$9)))</f>
        <v xml:space="preserve"> 30.78 </v>
      </c>
      <c r="M229" s="176" t="str">
        <f>IF(AND($D$11="IL",$E229="AMEREN"),"NA",TEXT((SUMPRODUCT(((LMPMain!$H$9:$H$1000)=$E229)*((LMPMain!$J$9:$J$1000)=$F229)*((LMPMain!$O$9:$O$1000)=$C229)*(LMPMain!S$9:S$1000))+(SUMPRODUCT(((Adders!$D$13:$D$101)=$E229)*((Adders!$E$13:$E$101)=$F229)*(Adders!H$13:H$101))+VLOOKUP($H229,Adders!$B$5:$G$8,M$11,FALSE)+Matrix!$D$2)*IF($D229="NJ",1.07,1))/$L$10,CHOOSE($M$10,$L$9,$M$9)))</f>
        <v xml:space="preserve"> 30.84 </v>
      </c>
      <c r="N229" s="177" t="str">
        <f>IF(AND($D$11="IL",$E229="AMEREN"),"NA",TEXT((SUMPRODUCT(((LMPMain!$H$9:$H$1000)=$E229)*((LMPMain!$J$9:$J$1000)=$F229)*((LMPMain!$O$9:$O$1000)=$C229)*(LMPMain!T$9:T$1000))+(SUMPRODUCT(((Adders!$D$13:$D$101)=$E229)*((Adders!$E$13:$E$101)=$F229)*(Adders!G$13:G$101))+VLOOKUP($H229,Adders!$B$5:$G$8,N$11,FALSE)+Matrix!$D$2)*IF($D229="NJ",1.07,1))/$L$10,CHOOSE($M$10,$L$9,$M$9)))</f>
        <v xml:space="preserve"> 30.97 </v>
      </c>
      <c r="O229" s="112"/>
    </row>
    <row r="230" spans="2:15" x14ac:dyDescent="0.25">
      <c r="B230" s="160" t="s">
        <v>670</v>
      </c>
      <c r="C230" s="127">
        <f t="shared" si="5"/>
        <v>42156</v>
      </c>
      <c r="D230" s="128" t="s">
        <v>6</v>
      </c>
      <c r="E230" s="129" t="s">
        <v>12</v>
      </c>
      <c r="F230" s="128" t="s">
        <v>11</v>
      </c>
      <c r="G230" s="129" t="str">
        <f>VLOOKUP(SUMPRODUCT( ((LMPMain!$H$9:$H$1000)=$E230)*((LMPMain!$J$9:$J$1000)=$F230)*((LMPMain!$O$9:$O$1000)=$C230)*(LMPMain!A$9:A$1000)),LMPMain!$A$9:$K$1000,11,FALSE)</f>
        <v>General Service Small</v>
      </c>
      <c r="H230" s="130" t="s">
        <v>61</v>
      </c>
      <c r="I230" s="178" t="str">
        <f>TEXT(   (SUMPRODUCT( ((Main!$H$9:$H$1000)=$E230)*((Main!$J$9:$J$1000)=$F230)*((Main!$O$9:$O$1000)=$C230)*(Main!R$9:R$1000) ) +  ( SUMPRODUCT( ((Adders!$D$13:$D$101)=$E230)*((Adders!$E$13:$E$101)=$F230)*(Adders!G$13:G$101)) + VLOOKUP($H230,Adders!$B$5:$G$8,L$11,FALSE)  +  PA!$D$2 ) * IF($D230="NJ",1.07,1))/$L$10, CHOOSE($M$10,$L$9,$M$9) )</f>
        <v xml:space="preserve"> 78.53 </v>
      </c>
      <c r="J230" s="178" t="str">
        <f>TEXT(   (SUMPRODUCT( ((Main!$H$9:$H$1000)=$E230)*((Main!$J$9:$J$1000)=$F230)*((Main!$O$9:$O$1000)=$C230)*(Main!S$9:S$1000) ) +  ( SUMPRODUCT( ((Adders!$D$13:$D$101)=$E230)*((Adders!$E$13:$E$101)=$F230)*(Adders!H$13:H$101)) + VLOOKUP($H230,Adders!$B$5:$G$8,M$11,FALSE)  +  PA!$D$2 ) * IF($D230="NJ",1.07,1))/$L$10, CHOOSE($M$10,$L$9,$M$9) )</f>
        <v xml:space="preserve"> 76.97 </v>
      </c>
      <c r="K230" s="179" t="str">
        <f>TEXT(   (SUMPRODUCT( ((Main!$H$9:$H$1000)=$E230)*((Main!$J$9:$J$1000)=$F230)*((Main!$O$9:$O$1000)=$C230)*(Main!T$9:T$1000) ) +  ( SUMPRODUCT( ((Adders!$D$13:$D$101)=$E230)*((Adders!$E$13:$E$101)=$F230)*(Adders!I$13:I$101)) + VLOOKUP($H230,Adders!$B$5:$G$8,N$11,FALSE)  +  PA!$D$2 ) * IF($D230="NJ",1.07,1))/$L$10, CHOOSE($M$10,$L$9,$M$9) )</f>
        <v xml:space="preserve"> 76.44 </v>
      </c>
      <c r="L230" s="178" t="str">
        <f>IF(AND($D$11="IL",$E230="AMEREN"),"NA",TEXT((SUMPRODUCT(((LMPMain!$H$9:$H$1000)=$E230)*((LMPMain!$J$9:$J$1000)=$F230)*((LMPMain!$O$9:$O$1000)=$C230)*(LMPMain!R$9:R$1000))+(SUMPRODUCT(((Adders!$D$13:$D$101)=$E230)*((Adders!$E$13:$E$101)=$F230)*(Adders!G$13:G$101))+VLOOKUP($H230,Adders!$B$5:$G$8,L$11,FALSE)+Matrix!$D$2)*IF($D230="NJ",1.07,1))/$L$10,CHOOSE($M$10,$L$9,$M$9)))</f>
        <v xml:space="preserve"> 37.20 </v>
      </c>
      <c r="M230" s="178" t="str">
        <f>IF(AND($D$11="IL",$E230="AMEREN"),"NA",TEXT((SUMPRODUCT(((LMPMain!$H$9:$H$1000)=$E230)*((LMPMain!$J$9:$J$1000)=$F230)*((LMPMain!$O$9:$O$1000)=$C230)*(LMPMain!S$9:S$1000))+(SUMPRODUCT(((Adders!$D$13:$D$101)=$E230)*((Adders!$E$13:$E$101)=$F230)*(Adders!H$13:H$101))+VLOOKUP($H230,Adders!$B$5:$G$8,M$11,FALSE)+Matrix!$D$2)*IF($D230="NJ",1.07,1))/$L$10,CHOOSE($M$10,$L$9,$M$9)))</f>
        <v xml:space="preserve"> 36.68 </v>
      </c>
      <c r="N230" s="179" t="str">
        <f>IF(AND($D$11="IL",$E230="AMEREN"),"NA",TEXT((SUMPRODUCT(((LMPMain!$H$9:$H$1000)=$E230)*((LMPMain!$J$9:$J$1000)=$F230)*((LMPMain!$O$9:$O$1000)=$C230)*(LMPMain!T$9:T$1000))+(SUMPRODUCT(((Adders!$D$13:$D$101)=$E230)*((Adders!$E$13:$E$101)=$F230)*(Adders!G$13:G$101))+VLOOKUP($H230,Adders!$B$5:$G$8,N$11,FALSE)+Matrix!$D$2)*IF($D230="NJ",1.07,1))/$L$10,CHOOSE($M$10,$L$9,$M$9)))</f>
        <v xml:space="preserve"> 35.16 </v>
      </c>
      <c r="O230" s="112"/>
    </row>
    <row r="231" spans="2:15" x14ac:dyDescent="0.25">
      <c r="B231" s="160" t="s">
        <v>670</v>
      </c>
      <c r="C231" s="131">
        <f t="shared" si="5"/>
        <v>42156</v>
      </c>
      <c r="D231" s="132" t="s">
        <v>6</v>
      </c>
      <c r="E231" s="133" t="s">
        <v>12</v>
      </c>
      <c r="F231" s="132" t="s">
        <v>11</v>
      </c>
      <c r="G231" s="133" t="str">
        <f>G230</f>
        <v>General Service Small</v>
      </c>
      <c r="H231" s="134" t="s">
        <v>62</v>
      </c>
      <c r="I231" s="173" t="str">
        <f>TEXT(   (SUMPRODUCT( ((Main!$H$9:$H$1000)=$E231)*((Main!$J$9:$J$1000)=$F231)*((Main!$O$9:$O$1000)=$C231)*(Main!R$9:R$1000) ) +  ( SUMPRODUCT( ((Adders!$D$13:$D$101)=$E231)*((Adders!$E$13:$E$101)=$F231)*(Adders!G$13:G$101)) + VLOOKUP($H231,Adders!$B$5:$G$8,L$11,FALSE)  +  PA!$D$2 ) * IF($D231="NJ",1.07,1))/$L$10, CHOOSE($M$10,$L$9,$M$9) )</f>
        <v xml:space="preserve"> 76.93 </v>
      </c>
      <c r="J231" s="173" t="str">
        <f>TEXT(   (SUMPRODUCT( ((Main!$H$9:$H$1000)=$E231)*((Main!$J$9:$J$1000)=$F231)*((Main!$O$9:$O$1000)=$C231)*(Main!S$9:S$1000) ) +  ( SUMPRODUCT( ((Adders!$D$13:$D$101)=$E231)*((Adders!$E$13:$E$101)=$F231)*(Adders!H$13:H$101)) + VLOOKUP($H231,Adders!$B$5:$G$8,M$11,FALSE)  +  PA!$D$2 ) * IF($D231="NJ",1.07,1))/$L$10, CHOOSE($M$10,$L$9,$M$9) )</f>
        <v xml:space="preserve"> 75.37 </v>
      </c>
      <c r="K231" s="174" t="str">
        <f>TEXT(   (SUMPRODUCT( ((Main!$H$9:$H$1000)=$E231)*((Main!$J$9:$J$1000)=$F231)*((Main!$O$9:$O$1000)=$C231)*(Main!T$9:T$1000) ) +  ( SUMPRODUCT( ((Adders!$D$13:$D$101)=$E231)*((Adders!$E$13:$E$101)=$F231)*(Adders!I$13:I$101)) + VLOOKUP($H231,Adders!$B$5:$G$8,N$11,FALSE)  +  PA!$D$2 ) * IF($D231="NJ",1.07,1))/$L$10, CHOOSE($M$10,$L$9,$M$9) )</f>
        <v xml:space="preserve"> 74.84 </v>
      </c>
      <c r="L231" s="173" t="str">
        <f>IF(AND($D$11="IL",$E231="AMEREN"),"NA",TEXT((SUMPRODUCT(((LMPMain!$H$9:$H$1000)=$E231)*((LMPMain!$J$9:$J$1000)=$F231)*((LMPMain!$O$9:$O$1000)=$C231)*(LMPMain!R$9:R$1000))+(SUMPRODUCT(((Adders!$D$13:$D$101)=$E231)*((Adders!$E$13:$E$101)=$F231)*(Adders!G$13:G$101))+VLOOKUP($H231,Adders!$B$5:$G$8,L$11,FALSE)+Matrix!$D$2)*IF($D231="NJ",1.07,1))/$L$10,CHOOSE($M$10,$L$9,$M$9)))</f>
        <v xml:space="preserve"> 35.60 </v>
      </c>
      <c r="M231" s="173" t="str">
        <f>IF(AND($D$11="IL",$E231="AMEREN"),"NA",TEXT((SUMPRODUCT(((LMPMain!$H$9:$H$1000)=$E231)*((LMPMain!$J$9:$J$1000)=$F231)*((LMPMain!$O$9:$O$1000)=$C231)*(LMPMain!S$9:S$1000))+(SUMPRODUCT(((Adders!$D$13:$D$101)=$E231)*((Adders!$E$13:$E$101)=$F231)*(Adders!H$13:H$101))+VLOOKUP($H231,Adders!$B$5:$G$8,M$11,FALSE)+Matrix!$D$2)*IF($D231="NJ",1.07,1))/$L$10,CHOOSE($M$10,$L$9,$M$9)))</f>
        <v xml:space="preserve"> 35.08 </v>
      </c>
      <c r="N231" s="174" t="str">
        <f>IF(AND($D$11="IL",$E231="AMEREN"),"NA",TEXT((SUMPRODUCT(((LMPMain!$H$9:$H$1000)=$E231)*((LMPMain!$J$9:$J$1000)=$F231)*((LMPMain!$O$9:$O$1000)=$C231)*(LMPMain!T$9:T$1000))+(SUMPRODUCT(((Adders!$D$13:$D$101)=$E231)*((Adders!$E$13:$E$101)=$F231)*(Adders!G$13:G$101))+VLOOKUP($H231,Adders!$B$5:$G$8,N$11,FALSE)+Matrix!$D$2)*IF($D231="NJ",1.07,1))/$L$10,CHOOSE($M$10,$L$9,$M$9)))</f>
        <v xml:space="preserve"> 33.56 </v>
      </c>
      <c r="O231" s="112"/>
    </row>
    <row r="232" spans="2:15" x14ac:dyDescent="0.25">
      <c r="B232" s="160" t="s">
        <v>670</v>
      </c>
      <c r="C232" s="135">
        <f t="shared" si="5"/>
        <v>42156</v>
      </c>
      <c r="D232" s="136" t="s">
        <v>6</v>
      </c>
      <c r="E232" s="137" t="s">
        <v>12</v>
      </c>
      <c r="F232" s="136" t="s">
        <v>11</v>
      </c>
      <c r="G232" s="137" t="str">
        <f>G231</f>
        <v>General Service Small</v>
      </c>
      <c r="H232" s="138" t="s">
        <v>690</v>
      </c>
      <c r="I232" s="176" t="str">
        <f>TEXT(   (SUMPRODUCT( ((Main!$H$9:$H$1000)=$E232)*((Main!$J$9:$J$1000)=$F232)*((Main!$O$9:$O$1000)=$C232)*(Main!R$9:R$1000) ) +  ( SUMPRODUCT( ((Adders!$D$13:$D$101)=$E232)*((Adders!$E$13:$E$101)=$F232)*(Adders!G$13:G$101)) + VLOOKUP($H232,Adders!$B$5:$G$8,L$11,FALSE)  +  PA!$D$2 ) * IF($D232="NJ",1.07,1))/$L$10, CHOOSE($M$10,$L$9,$M$9) )</f>
        <v xml:space="preserve"> 75.88 </v>
      </c>
      <c r="J232" s="176" t="str">
        <f>TEXT(   (SUMPRODUCT( ((Main!$H$9:$H$1000)=$E232)*((Main!$J$9:$J$1000)=$F232)*((Main!$O$9:$O$1000)=$C232)*(Main!S$9:S$1000) ) +  ( SUMPRODUCT( ((Adders!$D$13:$D$101)=$E232)*((Adders!$E$13:$E$101)=$F232)*(Adders!H$13:H$101)) + VLOOKUP($H232,Adders!$B$5:$G$8,M$11,FALSE)  +  PA!$D$2 ) * IF($D232="NJ",1.07,1))/$L$10, CHOOSE($M$10,$L$9,$M$9) )</f>
        <v xml:space="preserve"> 74.32 </v>
      </c>
      <c r="K232" s="177" t="str">
        <f>TEXT(   (SUMPRODUCT( ((Main!$H$9:$H$1000)=$E232)*((Main!$J$9:$J$1000)=$F232)*((Main!$O$9:$O$1000)=$C232)*(Main!T$9:T$1000) ) +  ( SUMPRODUCT( ((Adders!$D$13:$D$101)=$E232)*((Adders!$E$13:$E$101)=$F232)*(Adders!I$13:I$101)) + VLOOKUP($H232,Adders!$B$5:$G$8,N$11,FALSE)  +  PA!$D$2 ) * IF($D232="NJ",1.07,1))/$L$10, CHOOSE($M$10,$L$9,$M$9) )</f>
        <v xml:space="preserve"> 73.79 </v>
      </c>
      <c r="L232" s="176" t="str">
        <f>IF(AND($D$11="IL",$E232="AMEREN"),"NA",TEXT((SUMPRODUCT(((LMPMain!$H$9:$H$1000)=$E232)*((LMPMain!$J$9:$J$1000)=$F232)*((LMPMain!$O$9:$O$1000)=$C232)*(LMPMain!R$9:R$1000))+(SUMPRODUCT(((Adders!$D$13:$D$101)=$E232)*((Adders!$E$13:$E$101)=$F232)*(Adders!G$13:G$101))+VLOOKUP($H232,Adders!$B$5:$G$8,L$11,FALSE)+Matrix!$D$2)*IF($D232="NJ",1.07,1))/$L$10,CHOOSE($M$10,$L$9,$M$9)))</f>
        <v xml:space="preserve"> 34.55 </v>
      </c>
      <c r="M232" s="176" t="str">
        <f>IF(AND($D$11="IL",$E232="AMEREN"),"NA",TEXT((SUMPRODUCT(((LMPMain!$H$9:$H$1000)=$E232)*((LMPMain!$J$9:$J$1000)=$F232)*((LMPMain!$O$9:$O$1000)=$C232)*(LMPMain!S$9:S$1000))+(SUMPRODUCT(((Adders!$D$13:$D$101)=$E232)*((Adders!$E$13:$E$101)=$F232)*(Adders!H$13:H$101))+VLOOKUP($H232,Adders!$B$5:$G$8,M$11,FALSE)+Matrix!$D$2)*IF($D232="NJ",1.07,1))/$L$10,CHOOSE($M$10,$L$9,$M$9)))</f>
        <v xml:space="preserve"> 34.03 </v>
      </c>
      <c r="N232" s="177" t="str">
        <f>IF(AND($D$11="IL",$E232="AMEREN"),"NA",TEXT((SUMPRODUCT(((LMPMain!$H$9:$H$1000)=$E232)*((LMPMain!$J$9:$J$1000)=$F232)*((LMPMain!$O$9:$O$1000)=$C232)*(LMPMain!T$9:T$1000))+(SUMPRODUCT(((Adders!$D$13:$D$101)=$E232)*((Adders!$E$13:$E$101)=$F232)*(Adders!G$13:G$101))+VLOOKUP($H232,Adders!$B$5:$G$8,N$11,FALSE)+Matrix!$D$2)*IF($D232="NJ",1.07,1))/$L$10,CHOOSE($M$10,$L$9,$M$9)))</f>
        <v xml:space="preserve"> 32.51 </v>
      </c>
      <c r="O232" s="112"/>
    </row>
    <row r="233" spans="2:15" x14ac:dyDescent="0.25">
      <c r="B233" s="160" t="s">
        <v>670</v>
      </c>
      <c r="C233" s="127">
        <f t="shared" si="5"/>
        <v>42186</v>
      </c>
      <c r="D233" s="128" t="s">
        <v>6</v>
      </c>
      <c r="E233" s="129" t="s">
        <v>12</v>
      </c>
      <c r="F233" s="128" t="s">
        <v>11</v>
      </c>
      <c r="G233" s="129" t="str">
        <f t="shared" si="6"/>
        <v>General Service Small</v>
      </c>
      <c r="H233" s="130" t="s">
        <v>61</v>
      </c>
      <c r="I233" s="178" t="str">
        <f>TEXT(   (SUMPRODUCT( ((Main!$H$9:$H$1000)=$E233)*((Main!$J$9:$J$1000)=$F233)*((Main!$O$9:$O$1000)=$C233)*(Main!R$9:R$1000) ) +  ( SUMPRODUCT( ((Adders!$D$13:$D$101)=$E233)*((Adders!$E$13:$E$101)=$F233)*(Adders!G$13:G$101)) + VLOOKUP($H233,Adders!$B$5:$G$8,L$11,FALSE)  +  PA!$D$2 ) * IF($D233="NJ",1.07,1))/$L$10, CHOOSE($M$10,$L$9,$M$9) )</f>
        <v xml:space="preserve"> 78.21 </v>
      </c>
      <c r="J233" s="178" t="str">
        <f>TEXT(   (SUMPRODUCT( ((Main!$H$9:$H$1000)=$E233)*((Main!$J$9:$J$1000)=$F233)*((Main!$O$9:$O$1000)=$C233)*(Main!S$9:S$1000) ) +  ( SUMPRODUCT( ((Adders!$D$13:$D$101)=$E233)*((Adders!$E$13:$E$101)=$F233)*(Adders!H$13:H$101)) + VLOOKUP($H233,Adders!$B$5:$G$8,M$11,FALSE)  +  PA!$D$2 ) * IF($D233="NJ",1.07,1))/$L$10, CHOOSE($M$10,$L$9,$M$9) )</f>
        <v xml:space="preserve"> 75.83 </v>
      </c>
      <c r="K233" s="179" t="str">
        <f>TEXT(   (SUMPRODUCT( ((Main!$H$9:$H$1000)=$E233)*((Main!$J$9:$J$1000)=$F233)*((Main!$O$9:$O$1000)=$C233)*(Main!T$9:T$1000) ) +  ( SUMPRODUCT( ((Adders!$D$13:$D$101)=$E233)*((Adders!$E$13:$E$101)=$F233)*(Adders!I$13:I$101)) + VLOOKUP($H233,Adders!$B$5:$G$8,N$11,FALSE)  +  PA!$D$2 ) * IF($D233="NJ",1.07,1))/$L$10, CHOOSE($M$10,$L$9,$M$9) )</f>
        <v xml:space="preserve"> 76.29 </v>
      </c>
      <c r="L233" s="178" t="str">
        <f>IF(AND($D$11="IL",$E233="AMEREN"),"NA",TEXT((SUMPRODUCT(((LMPMain!$H$9:$H$1000)=$E233)*((LMPMain!$J$9:$J$1000)=$F233)*((LMPMain!$O$9:$O$1000)=$C233)*(LMPMain!R$9:R$1000))+(SUMPRODUCT(((Adders!$D$13:$D$101)=$E233)*((Adders!$E$13:$E$101)=$F233)*(Adders!G$13:G$101))+VLOOKUP($H233,Adders!$B$5:$G$8,L$11,FALSE)+Matrix!$D$2)*IF($D233="NJ",1.07,1))/$L$10,CHOOSE($M$10,$L$9,$M$9)))</f>
        <v xml:space="preserve"> 36.85 </v>
      </c>
      <c r="M233" s="178" t="str">
        <f>IF(AND($D$11="IL",$E233="AMEREN"),"NA",TEXT((SUMPRODUCT(((LMPMain!$H$9:$H$1000)=$E233)*((LMPMain!$J$9:$J$1000)=$F233)*((LMPMain!$O$9:$O$1000)=$C233)*(LMPMain!S$9:S$1000))+(SUMPRODUCT(((Adders!$D$13:$D$101)=$E233)*((Adders!$E$13:$E$101)=$F233)*(Adders!H$13:H$101))+VLOOKUP($H233,Adders!$B$5:$G$8,M$11,FALSE)+Matrix!$D$2)*IF($D233="NJ",1.07,1))/$L$10,CHOOSE($M$10,$L$9,$M$9)))</f>
        <v xml:space="preserve"> 35.74 </v>
      </c>
      <c r="N233" s="179" t="str">
        <f>IF(AND($D$11="IL",$E233="AMEREN"),"NA",TEXT((SUMPRODUCT(((LMPMain!$H$9:$H$1000)=$E233)*((LMPMain!$J$9:$J$1000)=$F233)*((LMPMain!$O$9:$O$1000)=$C233)*(LMPMain!T$9:T$1000))+(SUMPRODUCT(((Adders!$D$13:$D$101)=$E233)*((Adders!$E$13:$E$101)=$F233)*(Adders!G$13:G$101))+VLOOKUP($H233,Adders!$B$5:$G$8,N$11,FALSE)+Matrix!$D$2)*IF($D233="NJ",1.07,1))/$L$10,CHOOSE($M$10,$L$9,$M$9)))</f>
        <v xml:space="preserve"> 35.02 </v>
      </c>
      <c r="O233" s="112"/>
    </row>
    <row r="234" spans="2:15" x14ac:dyDescent="0.25">
      <c r="B234" s="160" t="s">
        <v>670</v>
      </c>
      <c r="C234" s="131">
        <f t="shared" si="5"/>
        <v>42186</v>
      </c>
      <c r="D234" s="132" t="s">
        <v>6</v>
      </c>
      <c r="E234" s="133" t="s">
        <v>12</v>
      </c>
      <c r="F234" s="132" t="s">
        <v>11</v>
      </c>
      <c r="G234" s="133" t="str">
        <f t="shared" si="6"/>
        <v>General Service Small</v>
      </c>
      <c r="H234" s="134" t="s">
        <v>62</v>
      </c>
      <c r="I234" s="173" t="str">
        <f>TEXT(   (SUMPRODUCT( ((Main!$H$9:$H$1000)=$E234)*((Main!$J$9:$J$1000)=$F234)*((Main!$O$9:$O$1000)=$C234)*(Main!R$9:R$1000) ) +  ( SUMPRODUCT( ((Adders!$D$13:$D$101)=$E234)*((Adders!$E$13:$E$101)=$F234)*(Adders!G$13:G$101)) + VLOOKUP($H234,Adders!$B$5:$G$8,L$11,FALSE)  +  PA!$D$2 ) * IF($D234="NJ",1.07,1))/$L$10, CHOOSE($M$10,$L$9,$M$9) )</f>
        <v xml:space="preserve"> 76.61 </v>
      </c>
      <c r="J234" s="173" t="str">
        <f>TEXT(   (SUMPRODUCT( ((Main!$H$9:$H$1000)=$E234)*((Main!$J$9:$J$1000)=$F234)*((Main!$O$9:$O$1000)=$C234)*(Main!S$9:S$1000) ) +  ( SUMPRODUCT( ((Adders!$D$13:$D$101)=$E234)*((Adders!$E$13:$E$101)=$F234)*(Adders!H$13:H$101)) + VLOOKUP($H234,Adders!$B$5:$G$8,M$11,FALSE)  +  PA!$D$2 ) * IF($D234="NJ",1.07,1))/$L$10, CHOOSE($M$10,$L$9,$M$9) )</f>
        <v xml:space="preserve"> 74.23 </v>
      </c>
      <c r="K234" s="174" t="str">
        <f>TEXT(   (SUMPRODUCT( ((Main!$H$9:$H$1000)=$E234)*((Main!$J$9:$J$1000)=$F234)*((Main!$O$9:$O$1000)=$C234)*(Main!T$9:T$1000) ) +  ( SUMPRODUCT( ((Adders!$D$13:$D$101)=$E234)*((Adders!$E$13:$E$101)=$F234)*(Adders!I$13:I$101)) + VLOOKUP($H234,Adders!$B$5:$G$8,N$11,FALSE)  +  PA!$D$2 ) * IF($D234="NJ",1.07,1))/$L$10, CHOOSE($M$10,$L$9,$M$9) )</f>
        <v xml:space="preserve"> 74.69 </v>
      </c>
      <c r="L234" s="173" t="str">
        <f>IF(AND($D$11="IL",$E234="AMEREN"),"NA",TEXT((SUMPRODUCT(((LMPMain!$H$9:$H$1000)=$E234)*((LMPMain!$J$9:$J$1000)=$F234)*((LMPMain!$O$9:$O$1000)=$C234)*(LMPMain!R$9:R$1000))+(SUMPRODUCT(((Adders!$D$13:$D$101)=$E234)*((Adders!$E$13:$E$101)=$F234)*(Adders!G$13:G$101))+VLOOKUP($H234,Adders!$B$5:$G$8,L$11,FALSE)+Matrix!$D$2)*IF($D234="NJ",1.07,1))/$L$10,CHOOSE($M$10,$L$9,$M$9)))</f>
        <v xml:space="preserve"> 35.25 </v>
      </c>
      <c r="M234" s="173" t="str">
        <f>IF(AND($D$11="IL",$E234="AMEREN"),"NA",TEXT((SUMPRODUCT(((LMPMain!$H$9:$H$1000)=$E234)*((LMPMain!$J$9:$J$1000)=$F234)*((LMPMain!$O$9:$O$1000)=$C234)*(LMPMain!S$9:S$1000))+(SUMPRODUCT(((Adders!$D$13:$D$101)=$E234)*((Adders!$E$13:$E$101)=$F234)*(Adders!H$13:H$101))+VLOOKUP($H234,Adders!$B$5:$G$8,M$11,FALSE)+Matrix!$D$2)*IF($D234="NJ",1.07,1))/$L$10,CHOOSE($M$10,$L$9,$M$9)))</f>
        <v xml:space="preserve"> 34.14 </v>
      </c>
      <c r="N234" s="174" t="str">
        <f>IF(AND($D$11="IL",$E234="AMEREN"),"NA",TEXT((SUMPRODUCT(((LMPMain!$H$9:$H$1000)=$E234)*((LMPMain!$J$9:$J$1000)=$F234)*((LMPMain!$O$9:$O$1000)=$C234)*(LMPMain!T$9:T$1000))+(SUMPRODUCT(((Adders!$D$13:$D$101)=$E234)*((Adders!$E$13:$E$101)=$F234)*(Adders!G$13:G$101))+VLOOKUP($H234,Adders!$B$5:$G$8,N$11,FALSE)+Matrix!$D$2)*IF($D234="NJ",1.07,1))/$L$10,CHOOSE($M$10,$L$9,$M$9)))</f>
        <v xml:space="preserve"> 33.42 </v>
      </c>
      <c r="O234" s="112"/>
    </row>
    <row r="235" spans="2:15" x14ac:dyDescent="0.25">
      <c r="B235" s="160" t="s">
        <v>670</v>
      </c>
      <c r="C235" s="135">
        <f t="shared" si="5"/>
        <v>42186</v>
      </c>
      <c r="D235" s="136" t="s">
        <v>6</v>
      </c>
      <c r="E235" s="137" t="s">
        <v>12</v>
      </c>
      <c r="F235" s="136" t="s">
        <v>11</v>
      </c>
      <c r="G235" s="137" t="str">
        <f t="shared" si="6"/>
        <v>General Service Small</v>
      </c>
      <c r="H235" s="138" t="s">
        <v>690</v>
      </c>
      <c r="I235" s="176" t="str">
        <f>TEXT(   (SUMPRODUCT( ((Main!$H$9:$H$1000)=$E235)*((Main!$J$9:$J$1000)=$F235)*((Main!$O$9:$O$1000)=$C235)*(Main!R$9:R$1000) ) +  ( SUMPRODUCT( ((Adders!$D$13:$D$101)=$E235)*((Adders!$E$13:$E$101)=$F235)*(Adders!G$13:G$101)) + VLOOKUP($H235,Adders!$B$5:$G$8,L$11,FALSE)  +  PA!$D$2 ) * IF($D235="NJ",1.07,1))/$L$10, CHOOSE($M$10,$L$9,$M$9) )</f>
        <v xml:space="preserve"> 75.56 </v>
      </c>
      <c r="J235" s="176" t="str">
        <f>TEXT(   (SUMPRODUCT( ((Main!$H$9:$H$1000)=$E235)*((Main!$J$9:$J$1000)=$F235)*((Main!$O$9:$O$1000)=$C235)*(Main!S$9:S$1000) ) +  ( SUMPRODUCT( ((Adders!$D$13:$D$101)=$E235)*((Adders!$E$13:$E$101)=$F235)*(Adders!H$13:H$101)) + VLOOKUP($H235,Adders!$B$5:$G$8,M$11,FALSE)  +  PA!$D$2 ) * IF($D235="NJ",1.07,1))/$L$10, CHOOSE($M$10,$L$9,$M$9) )</f>
        <v xml:space="preserve"> 73.18 </v>
      </c>
      <c r="K235" s="177" t="str">
        <f>TEXT(   (SUMPRODUCT( ((Main!$H$9:$H$1000)=$E235)*((Main!$J$9:$J$1000)=$F235)*((Main!$O$9:$O$1000)=$C235)*(Main!T$9:T$1000) ) +  ( SUMPRODUCT( ((Adders!$D$13:$D$101)=$E235)*((Adders!$E$13:$E$101)=$F235)*(Adders!I$13:I$101)) + VLOOKUP($H235,Adders!$B$5:$G$8,N$11,FALSE)  +  PA!$D$2 ) * IF($D235="NJ",1.07,1))/$L$10, CHOOSE($M$10,$L$9,$M$9) )</f>
        <v xml:space="preserve"> 73.64 </v>
      </c>
      <c r="L235" s="176" t="str">
        <f>IF(AND($D$11="IL",$E235="AMEREN"),"NA",TEXT((SUMPRODUCT(((LMPMain!$H$9:$H$1000)=$E235)*((LMPMain!$J$9:$J$1000)=$F235)*((LMPMain!$O$9:$O$1000)=$C235)*(LMPMain!R$9:R$1000))+(SUMPRODUCT(((Adders!$D$13:$D$101)=$E235)*((Adders!$E$13:$E$101)=$F235)*(Adders!G$13:G$101))+VLOOKUP($H235,Adders!$B$5:$G$8,L$11,FALSE)+Matrix!$D$2)*IF($D235="NJ",1.07,1))/$L$10,CHOOSE($M$10,$L$9,$M$9)))</f>
        <v xml:space="preserve"> 34.20 </v>
      </c>
      <c r="M235" s="176" t="str">
        <f>IF(AND($D$11="IL",$E235="AMEREN"),"NA",TEXT((SUMPRODUCT(((LMPMain!$H$9:$H$1000)=$E235)*((LMPMain!$J$9:$J$1000)=$F235)*((LMPMain!$O$9:$O$1000)=$C235)*(LMPMain!S$9:S$1000))+(SUMPRODUCT(((Adders!$D$13:$D$101)=$E235)*((Adders!$E$13:$E$101)=$F235)*(Adders!H$13:H$101))+VLOOKUP($H235,Adders!$B$5:$G$8,M$11,FALSE)+Matrix!$D$2)*IF($D235="NJ",1.07,1))/$L$10,CHOOSE($M$10,$L$9,$M$9)))</f>
        <v xml:space="preserve"> 33.09 </v>
      </c>
      <c r="N235" s="177" t="str">
        <f>IF(AND($D$11="IL",$E235="AMEREN"),"NA",TEXT((SUMPRODUCT(((LMPMain!$H$9:$H$1000)=$E235)*((LMPMain!$J$9:$J$1000)=$F235)*((LMPMain!$O$9:$O$1000)=$C235)*(LMPMain!T$9:T$1000))+(SUMPRODUCT(((Adders!$D$13:$D$101)=$E235)*((Adders!$E$13:$E$101)=$F235)*(Adders!G$13:G$101))+VLOOKUP($H235,Adders!$B$5:$G$8,N$11,FALSE)+Matrix!$D$2)*IF($D235="NJ",1.07,1))/$L$10,CHOOSE($M$10,$L$9,$M$9)))</f>
        <v xml:space="preserve"> 32.37 </v>
      </c>
      <c r="O235" s="112"/>
    </row>
    <row r="236" spans="2:15" x14ac:dyDescent="0.25">
      <c r="B236" s="160" t="s">
        <v>670</v>
      </c>
      <c r="C236" s="127">
        <f t="shared" si="5"/>
        <v>42217</v>
      </c>
      <c r="D236" s="128" t="s">
        <v>6</v>
      </c>
      <c r="E236" s="129" t="s">
        <v>12</v>
      </c>
      <c r="F236" s="128" t="s">
        <v>11</v>
      </c>
      <c r="G236" s="129" t="str">
        <f t="shared" si="6"/>
        <v>General Service Small</v>
      </c>
      <c r="H236" s="130" t="s">
        <v>61</v>
      </c>
      <c r="I236" s="178" t="str">
        <f>TEXT(   (SUMPRODUCT( ((Main!$H$9:$H$1000)=$E236)*((Main!$J$9:$J$1000)=$F236)*((Main!$O$9:$O$1000)=$C236)*(Main!R$9:R$1000) ) +  ( SUMPRODUCT( ((Adders!$D$13:$D$101)=$E236)*((Adders!$E$13:$E$101)=$F236)*(Adders!G$13:G$101)) + VLOOKUP($H236,Adders!$B$5:$G$8,L$11,FALSE)  +  PA!$D$2 ) * IF($D236="NJ",1.07,1))/$L$10, CHOOSE($M$10,$L$9,$M$9) )</f>
        <v xml:space="preserve"> 77.75 </v>
      </c>
      <c r="J236" s="178" t="str">
        <f>TEXT(   (SUMPRODUCT( ((Main!$H$9:$H$1000)=$E236)*((Main!$J$9:$J$1000)=$F236)*((Main!$O$9:$O$1000)=$C236)*(Main!S$9:S$1000) ) +  ( SUMPRODUCT( ((Adders!$D$13:$D$101)=$E236)*((Adders!$E$13:$E$101)=$F236)*(Adders!H$13:H$101)) + VLOOKUP($H236,Adders!$B$5:$G$8,M$11,FALSE)  +  PA!$D$2 ) * IF($D236="NJ",1.07,1))/$L$10, CHOOSE($M$10,$L$9,$M$9) )</f>
        <v xml:space="preserve"> 75.68 </v>
      </c>
      <c r="K236" s="179" t="str">
        <f>TEXT(   (SUMPRODUCT( ((Main!$H$9:$H$1000)=$E236)*((Main!$J$9:$J$1000)=$F236)*((Main!$O$9:$O$1000)=$C236)*(Main!T$9:T$1000) ) +  ( SUMPRODUCT( ((Adders!$D$13:$D$101)=$E236)*((Adders!$E$13:$E$101)=$F236)*(Adders!I$13:I$101)) + VLOOKUP($H236,Adders!$B$5:$G$8,N$11,FALSE)  +  PA!$D$2 ) * IF($D236="NJ",1.07,1))/$L$10, CHOOSE($M$10,$L$9,$M$9) )</f>
        <v xml:space="preserve"> 76.13 </v>
      </c>
      <c r="L236" s="178" t="str">
        <f>IF(AND($D$11="IL",$E236="AMEREN"),"NA",TEXT((SUMPRODUCT(((LMPMain!$H$9:$H$1000)=$E236)*((LMPMain!$J$9:$J$1000)=$F236)*((LMPMain!$O$9:$O$1000)=$C236)*(LMPMain!R$9:R$1000))+(SUMPRODUCT(((Adders!$D$13:$D$101)=$E236)*((Adders!$E$13:$E$101)=$F236)*(Adders!G$13:G$101))+VLOOKUP($H236,Adders!$B$5:$G$8,L$11,FALSE)+Matrix!$D$2)*IF($D236="NJ",1.07,1))/$L$10,CHOOSE($M$10,$L$9,$M$9)))</f>
        <v xml:space="preserve"> 36.51 </v>
      </c>
      <c r="M236" s="178" t="str">
        <f>IF(AND($D$11="IL",$E236="AMEREN"),"NA",TEXT((SUMPRODUCT(((LMPMain!$H$9:$H$1000)=$E236)*((LMPMain!$J$9:$J$1000)=$F236)*((LMPMain!$O$9:$O$1000)=$C236)*(LMPMain!S$9:S$1000))+(SUMPRODUCT(((Adders!$D$13:$D$101)=$E236)*((Adders!$E$13:$E$101)=$F236)*(Adders!H$13:H$101))+VLOOKUP($H236,Adders!$B$5:$G$8,M$11,FALSE)+Matrix!$D$2)*IF($D236="NJ",1.07,1))/$L$10,CHOOSE($M$10,$L$9,$M$9)))</f>
        <v xml:space="preserve"> 34.88 </v>
      </c>
      <c r="N236" s="179" t="str">
        <f>IF(AND($D$11="IL",$E236="AMEREN"),"NA",TEXT((SUMPRODUCT(((LMPMain!$H$9:$H$1000)=$E236)*((LMPMain!$J$9:$J$1000)=$F236)*((LMPMain!$O$9:$O$1000)=$C236)*(LMPMain!T$9:T$1000))+(SUMPRODUCT(((Adders!$D$13:$D$101)=$E236)*((Adders!$E$13:$E$101)=$F236)*(Adders!G$13:G$101))+VLOOKUP($H236,Adders!$B$5:$G$8,N$11,FALSE)+Matrix!$D$2)*IF($D236="NJ",1.07,1))/$L$10,CHOOSE($M$10,$L$9,$M$9)))</f>
        <v xml:space="preserve"> 34.88 </v>
      </c>
      <c r="O236" s="112"/>
    </row>
    <row r="237" spans="2:15" x14ac:dyDescent="0.25">
      <c r="B237" s="160" t="s">
        <v>670</v>
      </c>
      <c r="C237" s="131">
        <f t="shared" si="5"/>
        <v>42217</v>
      </c>
      <c r="D237" s="132" t="s">
        <v>6</v>
      </c>
      <c r="E237" s="133" t="s">
        <v>12</v>
      </c>
      <c r="F237" s="132" t="s">
        <v>11</v>
      </c>
      <c r="G237" s="133" t="str">
        <f t="shared" si="6"/>
        <v>General Service Small</v>
      </c>
      <c r="H237" s="134" t="s">
        <v>62</v>
      </c>
      <c r="I237" s="173" t="str">
        <f>TEXT(   (SUMPRODUCT( ((Main!$H$9:$H$1000)=$E237)*((Main!$J$9:$J$1000)=$F237)*((Main!$O$9:$O$1000)=$C237)*(Main!R$9:R$1000) ) +  ( SUMPRODUCT( ((Adders!$D$13:$D$101)=$E237)*((Adders!$E$13:$E$101)=$F237)*(Adders!G$13:G$101)) + VLOOKUP($H237,Adders!$B$5:$G$8,L$11,FALSE)  +  PA!$D$2 ) * IF($D237="NJ",1.07,1))/$L$10, CHOOSE($M$10,$L$9,$M$9) )</f>
        <v xml:space="preserve"> 76.15 </v>
      </c>
      <c r="J237" s="173" t="str">
        <f>TEXT(   (SUMPRODUCT( ((Main!$H$9:$H$1000)=$E237)*((Main!$J$9:$J$1000)=$F237)*((Main!$O$9:$O$1000)=$C237)*(Main!S$9:S$1000) ) +  ( SUMPRODUCT( ((Adders!$D$13:$D$101)=$E237)*((Adders!$E$13:$E$101)=$F237)*(Adders!H$13:H$101)) + VLOOKUP($H237,Adders!$B$5:$G$8,M$11,FALSE)  +  PA!$D$2 ) * IF($D237="NJ",1.07,1))/$L$10, CHOOSE($M$10,$L$9,$M$9) )</f>
        <v xml:space="preserve"> 74.08 </v>
      </c>
      <c r="K237" s="174" t="str">
        <f>TEXT(   (SUMPRODUCT( ((Main!$H$9:$H$1000)=$E237)*((Main!$J$9:$J$1000)=$F237)*((Main!$O$9:$O$1000)=$C237)*(Main!T$9:T$1000) ) +  ( SUMPRODUCT( ((Adders!$D$13:$D$101)=$E237)*((Adders!$E$13:$E$101)=$F237)*(Adders!I$13:I$101)) + VLOOKUP($H237,Adders!$B$5:$G$8,N$11,FALSE)  +  PA!$D$2 ) * IF($D237="NJ",1.07,1))/$L$10, CHOOSE($M$10,$L$9,$M$9) )</f>
        <v xml:space="preserve"> 74.53 </v>
      </c>
      <c r="L237" s="173" t="str">
        <f>IF(AND($D$11="IL",$E237="AMEREN"),"NA",TEXT((SUMPRODUCT(((LMPMain!$H$9:$H$1000)=$E237)*((LMPMain!$J$9:$J$1000)=$F237)*((LMPMain!$O$9:$O$1000)=$C237)*(LMPMain!R$9:R$1000))+(SUMPRODUCT(((Adders!$D$13:$D$101)=$E237)*((Adders!$E$13:$E$101)=$F237)*(Adders!G$13:G$101))+VLOOKUP($H237,Adders!$B$5:$G$8,L$11,FALSE)+Matrix!$D$2)*IF($D237="NJ",1.07,1))/$L$10,CHOOSE($M$10,$L$9,$M$9)))</f>
        <v xml:space="preserve"> 34.91 </v>
      </c>
      <c r="M237" s="173" t="str">
        <f>IF(AND($D$11="IL",$E237="AMEREN"),"NA",TEXT((SUMPRODUCT(((LMPMain!$H$9:$H$1000)=$E237)*((LMPMain!$J$9:$J$1000)=$F237)*((LMPMain!$O$9:$O$1000)=$C237)*(LMPMain!S$9:S$1000))+(SUMPRODUCT(((Adders!$D$13:$D$101)=$E237)*((Adders!$E$13:$E$101)=$F237)*(Adders!H$13:H$101))+VLOOKUP($H237,Adders!$B$5:$G$8,M$11,FALSE)+Matrix!$D$2)*IF($D237="NJ",1.07,1))/$L$10,CHOOSE($M$10,$L$9,$M$9)))</f>
        <v xml:space="preserve"> 33.28 </v>
      </c>
      <c r="N237" s="174" t="str">
        <f>IF(AND($D$11="IL",$E237="AMEREN"),"NA",TEXT((SUMPRODUCT(((LMPMain!$H$9:$H$1000)=$E237)*((LMPMain!$J$9:$J$1000)=$F237)*((LMPMain!$O$9:$O$1000)=$C237)*(LMPMain!T$9:T$1000))+(SUMPRODUCT(((Adders!$D$13:$D$101)=$E237)*((Adders!$E$13:$E$101)=$F237)*(Adders!G$13:G$101))+VLOOKUP($H237,Adders!$B$5:$G$8,N$11,FALSE)+Matrix!$D$2)*IF($D237="NJ",1.07,1))/$L$10,CHOOSE($M$10,$L$9,$M$9)))</f>
        <v xml:space="preserve"> 33.28 </v>
      </c>
      <c r="O237" s="112"/>
    </row>
    <row r="238" spans="2:15" x14ac:dyDescent="0.25">
      <c r="B238" s="160" t="s">
        <v>670</v>
      </c>
      <c r="C238" s="135">
        <f t="shared" si="5"/>
        <v>42217</v>
      </c>
      <c r="D238" s="136" t="s">
        <v>6</v>
      </c>
      <c r="E238" s="137" t="s">
        <v>12</v>
      </c>
      <c r="F238" s="136" t="s">
        <v>11</v>
      </c>
      <c r="G238" s="137" t="str">
        <f t="shared" si="6"/>
        <v>General Service Small</v>
      </c>
      <c r="H238" s="138" t="s">
        <v>690</v>
      </c>
      <c r="I238" s="176" t="str">
        <f>TEXT(   (SUMPRODUCT( ((Main!$H$9:$H$1000)=$E238)*((Main!$J$9:$J$1000)=$F238)*((Main!$O$9:$O$1000)=$C238)*(Main!R$9:R$1000) ) +  ( SUMPRODUCT( ((Adders!$D$13:$D$101)=$E238)*((Adders!$E$13:$E$101)=$F238)*(Adders!G$13:G$101)) + VLOOKUP($H238,Adders!$B$5:$G$8,L$11,FALSE)  +  PA!$D$2 ) * IF($D238="NJ",1.07,1))/$L$10, CHOOSE($M$10,$L$9,$M$9) )</f>
        <v xml:space="preserve"> 75.10 </v>
      </c>
      <c r="J238" s="176" t="str">
        <f>TEXT(   (SUMPRODUCT( ((Main!$H$9:$H$1000)=$E238)*((Main!$J$9:$J$1000)=$F238)*((Main!$O$9:$O$1000)=$C238)*(Main!S$9:S$1000) ) +  ( SUMPRODUCT( ((Adders!$D$13:$D$101)=$E238)*((Adders!$E$13:$E$101)=$F238)*(Adders!H$13:H$101)) + VLOOKUP($H238,Adders!$B$5:$G$8,M$11,FALSE)  +  PA!$D$2 ) * IF($D238="NJ",1.07,1))/$L$10, CHOOSE($M$10,$L$9,$M$9) )</f>
        <v xml:space="preserve"> 73.03 </v>
      </c>
      <c r="K238" s="177" t="str">
        <f>TEXT(   (SUMPRODUCT( ((Main!$H$9:$H$1000)=$E238)*((Main!$J$9:$J$1000)=$F238)*((Main!$O$9:$O$1000)=$C238)*(Main!T$9:T$1000) ) +  ( SUMPRODUCT( ((Adders!$D$13:$D$101)=$E238)*((Adders!$E$13:$E$101)=$F238)*(Adders!I$13:I$101)) + VLOOKUP($H238,Adders!$B$5:$G$8,N$11,FALSE)  +  PA!$D$2 ) * IF($D238="NJ",1.07,1))/$L$10, CHOOSE($M$10,$L$9,$M$9) )</f>
        <v xml:space="preserve"> 73.48 </v>
      </c>
      <c r="L238" s="176" t="str">
        <f>IF(AND($D$11="IL",$E238="AMEREN"),"NA",TEXT((SUMPRODUCT(((LMPMain!$H$9:$H$1000)=$E238)*((LMPMain!$J$9:$J$1000)=$F238)*((LMPMain!$O$9:$O$1000)=$C238)*(LMPMain!R$9:R$1000))+(SUMPRODUCT(((Adders!$D$13:$D$101)=$E238)*((Adders!$E$13:$E$101)=$F238)*(Adders!G$13:G$101))+VLOOKUP($H238,Adders!$B$5:$G$8,L$11,FALSE)+Matrix!$D$2)*IF($D238="NJ",1.07,1))/$L$10,CHOOSE($M$10,$L$9,$M$9)))</f>
        <v xml:space="preserve"> 33.86 </v>
      </c>
      <c r="M238" s="176" t="str">
        <f>IF(AND($D$11="IL",$E238="AMEREN"),"NA",TEXT((SUMPRODUCT(((LMPMain!$H$9:$H$1000)=$E238)*((LMPMain!$J$9:$J$1000)=$F238)*((LMPMain!$O$9:$O$1000)=$C238)*(LMPMain!S$9:S$1000))+(SUMPRODUCT(((Adders!$D$13:$D$101)=$E238)*((Adders!$E$13:$E$101)=$F238)*(Adders!H$13:H$101))+VLOOKUP($H238,Adders!$B$5:$G$8,M$11,FALSE)+Matrix!$D$2)*IF($D238="NJ",1.07,1))/$L$10,CHOOSE($M$10,$L$9,$M$9)))</f>
        <v xml:space="preserve"> 32.23 </v>
      </c>
      <c r="N238" s="177" t="str">
        <f>IF(AND($D$11="IL",$E238="AMEREN"),"NA",TEXT((SUMPRODUCT(((LMPMain!$H$9:$H$1000)=$E238)*((LMPMain!$J$9:$J$1000)=$F238)*((LMPMain!$O$9:$O$1000)=$C238)*(LMPMain!T$9:T$1000))+(SUMPRODUCT(((Adders!$D$13:$D$101)=$E238)*((Adders!$E$13:$E$101)=$F238)*(Adders!G$13:G$101))+VLOOKUP($H238,Adders!$B$5:$G$8,N$11,FALSE)+Matrix!$D$2)*IF($D238="NJ",1.07,1))/$L$10,CHOOSE($M$10,$L$9,$M$9)))</f>
        <v xml:space="preserve"> 32.23 </v>
      </c>
      <c r="O238" s="112"/>
    </row>
    <row r="239" spans="2:15" x14ac:dyDescent="0.25">
      <c r="B239" s="160" t="s">
        <v>670</v>
      </c>
      <c r="C239" s="127">
        <f t="shared" si="5"/>
        <v>42248</v>
      </c>
      <c r="D239" s="128" t="s">
        <v>6</v>
      </c>
      <c r="E239" s="129" t="s">
        <v>12</v>
      </c>
      <c r="F239" s="128" t="s">
        <v>11</v>
      </c>
      <c r="G239" s="129" t="str">
        <f t="shared" si="6"/>
        <v>General Service Small</v>
      </c>
      <c r="H239" s="130" t="s">
        <v>61</v>
      </c>
      <c r="I239" s="178" t="str">
        <f>TEXT(   (SUMPRODUCT( ((Main!$H$9:$H$1000)=$E239)*((Main!$J$9:$J$1000)=$F239)*((Main!$O$9:$O$1000)=$C239)*(Main!R$9:R$1000) ) +  ( SUMPRODUCT( ((Adders!$D$13:$D$101)=$E239)*((Adders!$E$13:$E$101)=$F239)*(Adders!G$13:G$101)) + VLOOKUP($H239,Adders!$B$5:$G$8,L$11,FALSE)  +  PA!$D$2 ) * IF($D239="NJ",1.07,1))/$L$10, CHOOSE($M$10,$L$9,$M$9) )</f>
        <v xml:space="preserve"> 77.44 </v>
      </c>
      <c r="J239" s="178" t="str">
        <f>TEXT(   (SUMPRODUCT( ((Main!$H$9:$H$1000)=$E239)*((Main!$J$9:$J$1000)=$F239)*((Main!$O$9:$O$1000)=$C239)*(Main!S$9:S$1000) ) +  ( SUMPRODUCT( ((Adders!$D$13:$D$101)=$E239)*((Adders!$E$13:$E$101)=$F239)*(Adders!H$13:H$101)) + VLOOKUP($H239,Adders!$B$5:$G$8,M$11,FALSE)  +  PA!$D$2 ) * IF($D239="NJ",1.07,1))/$L$10, CHOOSE($M$10,$L$9,$M$9) )</f>
        <v xml:space="preserve"> 75.54 </v>
      </c>
      <c r="K239" s="179" t="str">
        <f>TEXT(   (SUMPRODUCT( ((Main!$H$9:$H$1000)=$E239)*((Main!$J$9:$J$1000)=$F239)*((Main!$O$9:$O$1000)=$C239)*(Main!T$9:T$1000) ) +  ( SUMPRODUCT( ((Adders!$D$13:$D$101)=$E239)*((Adders!$E$13:$E$101)=$F239)*(Adders!I$13:I$101)) + VLOOKUP($H239,Adders!$B$5:$G$8,N$11,FALSE)  +  PA!$D$2 ) * IF($D239="NJ",1.07,1))/$L$10, CHOOSE($M$10,$L$9,$M$9) )</f>
        <v xml:space="preserve"> 76.05 </v>
      </c>
      <c r="L239" s="178" t="str">
        <f>IF(AND($D$11="IL",$E239="AMEREN"),"NA",TEXT((SUMPRODUCT(((LMPMain!$H$9:$H$1000)=$E239)*((LMPMain!$J$9:$J$1000)=$F239)*((LMPMain!$O$9:$O$1000)=$C239)*(LMPMain!R$9:R$1000))+(SUMPRODUCT(((Adders!$D$13:$D$101)=$E239)*((Adders!$E$13:$E$101)=$F239)*(Adders!G$13:G$101))+VLOOKUP($H239,Adders!$B$5:$G$8,L$11,FALSE)+Matrix!$D$2)*IF($D239="NJ",1.07,1))/$L$10,CHOOSE($M$10,$L$9,$M$9)))</f>
        <v xml:space="preserve"> 36.15 </v>
      </c>
      <c r="M239" s="178" t="str">
        <f>IF(AND($D$11="IL",$E239="AMEREN"),"NA",TEXT((SUMPRODUCT(((LMPMain!$H$9:$H$1000)=$E239)*((LMPMain!$J$9:$J$1000)=$F239)*((LMPMain!$O$9:$O$1000)=$C239)*(LMPMain!S$9:S$1000))+(SUMPRODUCT(((Adders!$D$13:$D$101)=$E239)*((Adders!$E$13:$E$101)=$F239)*(Adders!H$13:H$101))+VLOOKUP($H239,Adders!$B$5:$G$8,M$11,FALSE)+Matrix!$D$2)*IF($D239="NJ",1.07,1))/$L$10,CHOOSE($M$10,$L$9,$M$9)))</f>
        <v xml:space="preserve"> 34.16 </v>
      </c>
      <c r="N239" s="179" t="str">
        <f>IF(AND($D$11="IL",$E239="AMEREN"),"NA",TEXT((SUMPRODUCT(((LMPMain!$H$9:$H$1000)=$E239)*((LMPMain!$J$9:$J$1000)=$F239)*((LMPMain!$O$9:$O$1000)=$C239)*(LMPMain!T$9:T$1000))+(SUMPRODUCT(((Adders!$D$13:$D$101)=$E239)*((Adders!$E$13:$E$101)=$F239)*(Adders!G$13:G$101))+VLOOKUP($H239,Adders!$B$5:$G$8,N$11,FALSE)+Matrix!$D$2)*IF($D239="NJ",1.07,1))/$L$10,CHOOSE($M$10,$L$9,$M$9)))</f>
        <v xml:space="preserve"> 34.73 </v>
      </c>
      <c r="O239" s="112"/>
    </row>
    <row r="240" spans="2:15" x14ac:dyDescent="0.25">
      <c r="B240" s="160" t="s">
        <v>670</v>
      </c>
      <c r="C240" s="131">
        <f t="shared" si="5"/>
        <v>42248</v>
      </c>
      <c r="D240" s="132" t="s">
        <v>6</v>
      </c>
      <c r="E240" s="133" t="s">
        <v>12</v>
      </c>
      <c r="F240" s="132" t="s">
        <v>11</v>
      </c>
      <c r="G240" s="133" t="str">
        <f t="shared" si="6"/>
        <v>General Service Small</v>
      </c>
      <c r="H240" s="134" t="s">
        <v>62</v>
      </c>
      <c r="I240" s="173" t="str">
        <f>TEXT(   (SUMPRODUCT( ((Main!$H$9:$H$1000)=$E240)*((Main!$J$9:$J$1000)=$F240)*((Main!$O$9:$O$1000)=$C240)*(Main!R$9:R$1000) ) +  ( SUMPRODUCT( ((Adders!$D$13:$D$101)=$E240)*((Adders!$E$13:$E$101)=$F240)*(Adders!G$13:G$101)) + VLOOKUP($H240,Adders!$B$5:$G$8,L$11,FALSE)  +  PA!$D$2 ) * IF($D240="NJ",1.07,1))/$L$10, CHOOSE($M$10,$L$9,$M$9) )</f>
        <v xml:space="preserve"> 75.84 </v>
      </c>
      <c r="J240" s="173" t="str">
        <f>TEXT(   (SUMPRODUCT( ((Main!$H$9:$H$1000)=$E240)*((Main!$J$9:$J$1000)=$F240)*((Main!$O$9:$O$1000)=$C240)*(Main!S$9:S$1000) ) +  ( SUMPRODUCT( ((Adders!$D$13:$D$101)=$E240)*((Adders!$E$13:$E$101)=$F240)*(Adders!H$13:H$101)) + VLOOKUP($H240,Adders!$B$5:$G$8,M$11,FALSE)  +  PA!$D$2 ) * IF($D240="NJ",1.07,1))/$L$10, CHOOSE($M$10,$L$9,$M$9) )</f>
        <v xml:space="preserve"> 73.94 </v>
      </c>
      <c r="K240" s="174" t="str">
        <f>TEXT(   (SUMPRODUCT( ((Main!$H$9:$H$1000)=$E240)*((Main!$J$9:$J$1000)=$F240)*((Main!$O$9:$O$1000)=$C240)*(Main!T$9:T$1000) ) +  ( SUMPRODUCT( ((Adders!$D$13:$D$101)=$E240)*((Adders!$E$13:$E$101)=$F240)*(Adders!I$13:I$101)) + VLOOKUP($H240,Adders!$B$5:$G$8,N$11,FALSE)  +  PA!$D$2 ) * IF($D240="NJ",1.07,1))/$L$10, CHOOSE($M$10,$L$9,$M$9) )</f>
        <v xml:space="preserve"> 74.45 </v>
      </c>
      <c r="L240" s="173" t="str">
        <f>IF(AND($D$11="IL",$E240="AMEREN"),"NA",TEXT((SUMPRODUCT(((LMPMain!$H$9:$H$1000)=$E240)*((LMPMain!$J$9:$J$1000)=$F240)*((LMPMain!$O$9:$O$1000)=$C240)*(LMPMain!R$9:R$1000))+(SUMPRODUCT(((Adders!$D$13:$D$101)=$E240)*((Adders!$E$13:$E$101)=$F240)*(Adders!G$13:G$101))+VLOOKUP($H240,Adders!$B$5:$G$8,L$11,FALSE)+Matrix!$D$2)*IF($D240="NJ",1.07,1))/$L$10,CHOOSE($M$10,$L$9,$M$9)))</f>
        <v xml:space="preserve"> 34.55 </v>
      </c>
      <c r="M240" s="173" t="str">
        <f>IF(AND($D$11="IL",$E240="AMEREN"),"NA",TEXT((SUMPRODUCT(((LMPMain!$H$9:$H$1000)=$E240)*((LMPMain!$J$9:$J$1000)=$F240)*((LMPMain!$O$9:$O$1000)=$C240)*(LMPMain!S$9:S$1000))+(SUMPRODUCT(((Adders!$D$13:$D$101)=$E240)*((Adders!$E$13:$E$101)=$F240)*(Adders!H$13:H$101))+VLOOKUP($H240,Adders!$B$5:$G$8,M$11,FALSE)+Matrix!$D$2)*IF($D240="NJ",1.07,1))/$L$10,CHOOSE($M$10,$L$9,$M$9)))</f>
        <v xml:space="preserve"> 32.56 </v>
      </c>
      <c r="N240" s="174" t="str">
        <f>IF(AND($D$11="IL",$E240="AMEREN"),"NA",TEXT((SUMPRODUCT(((LMPMain!$H$9:$H$1000)=$E240)*((LMPMain!$J$9:$J$1000)=$F240)*((LMPMain!$O$9:$O$1000)=$C240)*(LMPMain!T$9:T$1000))+(SUMPRODUCT(((Adders!$D$13:$D$101)=$E240)*((Adders!$E$13:$E$101)=$F240)*(Adders!G$13:G$101))+VLOOKUP($H240,Adders!$B$5:$G$8,N$11,FALSE)+Matrix!$D$2)*IF($D240="NJ",1.07,1))/$L$10,CHOOSE($M$10,$L$9,$M$9)))</f>
        <v xml:space="preserve"> 33.13 </v>
      </c>
      <c r="O240" s="112"/>
    </row>
    <row r="241" spans="2:15" x14ac:dyDescent="0.25">
      <c r="B241" s="160" t="s">
        <v>670</v>
      </c>
      <c r="C241" s="135">
        <f t="shared" si="5"/>
        <v>42248</v>
      </c>
      <c r="D241" s="136" t="s">
        <v>6</v>
      </c>
      <c r="E241" s="137" t="s">
        <v>12</v>
      </c>
      <c r="F241" s="136" t="s">
        <v>11</v>
      </c>
      <c r="G241" s="137" t="str">
        <f t="shared" si="6"/>
        <v>General Service Small</v>
      </c>
      <c r="H241" s="138" t="s">
        <v>690</v>
      </c>
      <c r="I241" s="176" t="str">
        <f>TEXT(   (SUMPRODUCT( ((Main!$H$9:$H$1000)=$E241)*((Main!$J$9:$J$1000)=$F241)*((Main!$O$9:$O$1000)=$C241)*(Main!R$9:R$1000) ) +  ( SUMPRODUCT( ((Adders!$D$13:$D$101)=$E241)*((Adders!$E$13:$E$101)=$F241)*(Adders!G$13:G$101)) + VLOOKUP($H241,Adders!$B$5:$G$8,L$11,FALSE)  +  PA!$D$2 ) * IF($D241="NJ",1.07,1))/$L$10, CHOOSE($M$10,$L$9,$M$9) )</f>
        <v xml:space="preserve"> 74.79 </v>
      </c>
      <c r="J241" s="176" t="str">
        <f>TEXT(   (SUMPRODUCT( ((Main!$H$9:$H$1000)=$E241)*((Main!$J$9:$J$1000)=$F241)*((Main!$O$9:$O$1000)=$C241)*(Main!S$9:S$1000) ) +  ( SUMPRODUCT( ((Adders!$D$13:$D$101)=$E241)*((Adders!$E$13:$E$101)=$F241)*(Adders!H$13:H$101)) + VLOOKUP($H241,Adders!$B$5:$G$8,M$11,FALSE)  +  PA!$D$2 ) * IF($D241="NJ",1.07,1))/$L$10, CHOOSE($M$10,$L$9,$M$9) )</f>
        <v xml:space="preserve"> 72.89 </v>
      </c>
      <c r="K241" s="177" t="str">
        <f>TEXT(   (SUMPRODUCT( ((Main!$H$9:$H$1000)=$E241)*((Main!$J$9:$J$1000)=$F241)*((Main!$O$9:$O$1000)=$C241)*(Main!T$9:T$1000) ) +  ( SUMPRODUCT( ((Adders!$D$13:$D$101)=$E241)*((Adders!$E$13:$E$101)=$F241)*(Adders!I$13:I$101)) + VLOOKUP($H241,Adders!$B$5:$G$8,N$11,FALSE)  +  PA!$D$2 ) * IF($D241="NJ",1.07,1))/$L$10, CHOOSE($M$10,$L$9,$M$9) )</f>
        <v xml:space="preserve"> 73.40 </v>
      </c>
      <c r="L241" s="176" t="str">
        <f>IF(AND($D$11="IL",$E241="AMEREN"),"NA",TEXT((SUMPRODUCT(((LMPMain!$H$9:$H$1000)=$E241)*((LMPMain!$J$9:$J$1000)=$F241)*((LMPMain!$O$9:$O$1000)=$C241)*(LMPMain!R$9:R$1000))+(SUMPRODUCT(((Adders!$D$13:$D$101)=$E241)*((Adders!$E$13:$E$101)=$F241)*(Adders!G$13:G$101))+VLOOKUP($H241,Adders!$B$5:$G$8,L$11,FALSE)+Matrix!$D$2)*IF($D241="NJ",1.07,1))/$L$10,CHOOSE($M$10,$L$9,$M$9)))</f>
        <v xml:space="preserve"> 33.50 </v>
      </c>
      <c r="M241" s="176" t="str">
        <f>IF(AND($D$11="IL",$E241="AMEREN"),"NA",TEXT((SUMPRODUCT(((LMPMain!$H$9:$H$1000)=$E241)*((LMPMain!$J$9:$J$1000)=$F241)*((LMPMain!$O$9:$O$1000)=$C241)*(LMPMain!S$9:S$1000))+(SUMPRODUCT(((Adders!$D$13:$D$101)=$E241)*((Adders!$E$13:$E$101)=$F241)*(Adders!H$13:H$101))+VLOOKUP($H241,Adders!$B$5:$G$8,M$11,FALSE)+Matrix!$D$2)*IF($D241="NJ",1.07,1))/$L$10,CHOOSE($M$10,$L$9,$M$9)))</f>
        <v xml:space="preserve"> 31.51 </v>
      </c>
      <c r="N241" s="177" t="str">
        <f>IF(AND($D$11="IL",$E241="AMEREN"),"NA",TEXT((SUMPRODUCT(((LMPMain!$H$9:$H$1000)=$E241)*((LMPMain!$J$9:$J$1000)=$F241)*((LMPMain!$O$9:$O$1000)=$C241)*(LMPMain!T$9:T$1000))+(SUMPRODUCT(((Adders!$D$13:$D$101)=$E241)*((Adders!$E$13:$E$101)=$F241)*(Adders!G$13:G$101))+VLOOKUP($H241,Adders!$B$5:$G$8,N$11,FALSE)+Matrix!$D$2)*IF($D241="NJ",1.07,1))/$L$10,CHOOSE($M$10,$L$9,$M$9)))</f>
        <v xml:space="preserve"> 32.08 </v>
      </c>
      <c r="O241" s="112"/>
    </row>
    <row r="242" spans="2:15" x14ac:dyDescent="0.25">
      <c r="B242" s="160" t="s">
        <v>670</v>
      </c>
      <c r="C242" s="127">
        <f t="shared" si="5"/>
        <v>42278</v>
      </c>
      <c r="D242" s="128" t="s">
        <v>6</v>
      </c>
      <c r="E242" s="129" t="s">
        <v>12</v>
      </c>
      <c r="F242" s="128" t="s">
        <v>11</v>
      </c>
      <c r="G242" s="129" t="str">
        <f t="shared" si="6"/>
        <v>General Service Small</v>
      </c>
      <c r="H242" s="130" t="s">
        <v>61</v>
      </c>
      <c r="I242" s="178" t="str">
        <f>TEXT(   (SUMPRODUCT( ((Main!$H$9:$H$1000)=$E242)*((Main!$J$9:$J$1000)=$F242)*((Main!$O$9:$O$1000)=$C242)*(Main!R$9:R$1000) ) +  ( SUMPRODUCT( ((Adders!$D$13:$D$101)=$E242)*((Adders!$E$13:$E$101)=$F242)*(Adders!G$13:G$101)) + VLOOKUP($H242,Adders!$B$5:$G$8,L$11,FALSE)  +  PA!$D$2 ) * IF($D242="NJ",1.07,1))/$L$10, CHOOSE($M$10,$L$9,$M$9) )</f>
        <v xml:space="preserve"> 77.03 </v>
      </c>
      <c r="J242" s="178" t="str">
        <f>TEXT(   (SUMPRODUCT( ((Main!$H$9:$H$1000)=$E242)*((Main!$J$9:$J$1000)=$F242)*((Main!$O$9:$O$1000)=$C242)*(Main!S$9:S$1000) ) +  ( SUMPRODUCT( ((Adders!$D$13:$D$101)=$E242)*((Adders!$E$13:$E$101)=$F242)*(Adders!H$13:H$101)) + VLOOKUP($H242,Adders!$B$5:$G$8,M$11,FALSE)  +  PA!$D$2 ) * IF($D242="NJ",1.07,1))/$L$10, CHOOSE($M$10,$L$9,$M$9) )</f>
        <v xml:space="preserve"> 75.48 </v>
      </c>
      <c r="K242" s="179" t="str">
        <f>TEXT(   (SUMPRODUCT( ((Main!$H$9:$H$1000)=$E242)*((Main!$J$9:$J$1000)=$F242)*((Main!$O$9:$O$1000)=$C242)*(Main!T$9:T$1000) ) +  ( SUMPRODUCT( ((Adders!$D$13:$D$101)=$E242)*((Adders!$E$13:$E$101)=$F242)*(Adders!I$13:I$101)) + VLOOKUP($H242,Adders!$B$5:$G$8,N$11,FALSE)  +  PA!$D$2 ) * IF($D242="NJ",1.07,1))/$L$10, CHOOSE($M$10,$L$9,$M$9) )</f>
        <v xml:space="preserve"> 75.85 </v>
      </c>
      <c r="L242" s="178" t="str">
        <f>IF(AND($D$11="IL",$E242="AMEREN"),"NA",TEXT((SUMPRODUCT(((LMPMain!$H$9:$H$1000)=$E242)*((LMPMain!$J$9:$J$1000)=$F242)*((LMPMain!$O$9:$O$1000)=$C242)*(LMPMain!R$9:R$1000))+(SUMPRODUCT(((Adders!$D$13:$D$101)=$E242)*((Adders!$E$13:$E$101)=$F242)*(Adders!G$13:G$101))+VLOOKUP($H242,Adders!$B$5:$G$8,L$11,FALSE)+Matrix!$D$2)*IF($D242="NJ",1.07,1))/$L$10,CHOOSE($M$10,$L$9,$M$9)))</f>
        <v xml:space="preserve"> 35.80 </v>
      </c>
      <c r="M242" s="178" t="str">
        <f>IF(AND($D$11="IL",$E242="AMEREN"),"NA",TEXT((SUMPRODUCT(((LMPMain!$H$9:$H$1000)=$E242)*((LMPMain!$J$9:$J$1000)=$F242)*((LMPMain!$O$9:$O$1000)=$C242)*(LMPMain!S$9:S$1000))+(SUMPRODUCT(((Adders!$D$13:$D$101)=$E242)*((Adders!$E$13:$E$101)=$F242)*(Adders!H$13:H$101))+VLOOKUP($H242,Adders!$B$5:$G$8,M$11,FALSE)+Matrix!$D$2)*IF($D242="NJ",1.07,1))/$L$10,CHOOSE($M$10,$L$9,$M$9)))</f>
        <v xml:space="preserve"> 33.82 </v>
      </c>
      <c r="N242" s="179" t="str">
        <f>IF(AND($D$11="IL",$E242="AMEREN"),"NA",TEXT((SUMPRODUCT(((LMPMain!$H$9:$H$1000)=$E242)*((LMPMain!$J$9:$J$1000)=$F242)*((LMPMain!$O$9:$O$1000)=$C242)*(LMPMain!T$9:T$1000))+(SUMPRODUCT(((Adders!$D$13:$D$101)=$E242)*((Adders!$E$13:$E$101)=$F242)*(Adders!G$13:G$101))+VLOOKUP($H242,Adders!$B$5:$G$8,N$11,FALSE)+Matrix!$D$2)*IF($D242="NJ",1.07,1))/$L$10,CHOOSE($M$10,$L$9,$M$9)))</f>
        <v xml:space="preserve"> 34.58 </v>
      </c>
      <c r="O242" s="112"/>
    </row>
    <row r="243" spans="2:15" x14ac:dyDescent="0.25">
      <c r="B243" s="160" t="s">
        <v>670</v>
      </c>
      <c r="C243" s="131">
        <f t="shared" ref="C243:C306" si="7">C207</f>
        <v>42278</v>
      </c>
      <c r="D243" s="132" t="s">
        <v>6</v>
      </c>
      <c r="E243" s="133" t="s">
        <v>12</v>
      </c>
      <c r="F243" s="132" t="s">
        <v>11</v>
      </c>
      <c r="G243" s="133" t="str">
        <f t="shared" ref="G243:G306" si="8">G242</f>
        <v>General Service Small</v>
      </c>
      <c r="H243" s="134" t="s">
        <v>62</v>
      </c>
      <c r="I243" s="173" t="str">
        <f>TEXT(   (SUMPRODUCT( ((Main!$H$9:$H$1000)=$E243)*((Main!$J$9:$J$1000)=$F243)*((Main!$O$9:$O$1000)=$C243)*(Main!R$9:R$1000) ) +  ( SUMPRODUCT( ((Adders!$D$13:$D$101)=$E243)*((Adders!$E$13:$E$101)=$F243)*(Adders!G$13:G$101)) + VLOOKUP($H243,Adders!$B$5:$G$8,L$11,FALSE)  +  PA!$D$2 ) * IF($D243="NJ",1.07,1))/$L$10, CHOOSE($M$10,$L$9,$M$9) )</f>
        <v xml:space="preserve"> 75.43 </v>
      </c>
      <c r="J243" s="173" t="str">
        <f>TEXT(   (SUMPRODUCT( ((Main!$H$9:$H$1000)=$E243)*((Main!$J$9:$J$1000)=$F243)*((Main!$O$9:$O$1000)=$C243)*(Main!S$9:S$1000) ) +  ( SUMPRODUCT( ((Adders!$D$13:$D$101)=$E243)*((Adders!$E$13:$E$101)=$F243)*(Adders!H$13:H$101)) + VLOOKUP($H243,Adders!$B$5:$G$8,M$11,FALSE)  +  PA!$D$2 ) * IF($D243="NJ",1.07,1))/$L$10, CHOOSE($M$10,$L$9,$M$9) )</f>
        <v xml:space="preserve"> 73.88 </v>
      </c>
      <c r="K243" s="174" t="str">
        <f>TEXT(   (SUMPRODUCT( ((Main!$H$9:$H$1000)=$E243)*((Main!$J$9:$J$1000)=$F243)*((Main!$O$9:$O$1000)=$C243)*(Main!T$9:T$1000) ) +  ( SUMPRODUCT( ((Adders!$D$13:$D$101)=$E243)*((Adders!$E$13:$E$101)=$F243)*(Adders!I$13:I$101)) + VLOOKUP($H243,Adders!$B$5:$G$8,N$11,FALSE)  +  PA!$D$2 ) * IF($D243="NJ",1.07,1))/$L$10, CHOOSE($M$10,$L$9,$M$9) )</f>
        <v xml:space="preserve"> 74.25 </v>
      </c>
      <c r="L243" s="173" t="str">
        <f>IF(AND($D$11="IL",$E243="AMEREN"),"NA",TEXT((SUMPRODUCT(((LMPMain!$H$9:$H$1000)=$E243)*((LMPMain!$J$9:$J$1000)=$F243)*((LMPMain!$O$9:$O$1000)=$C243)*(LMPMain!R$9:R$1000))+(SUMPRODUCT(((Adders!$D$13:$D$101)=$E243)*((Adders!$E$13:$E$101)=$F243)*(Adders!G$13:G$101))+VLOOKUP($H243,Adders!$B$5:$G$8,L$11,FALSE)+Matrix!$D$2)*IF($D243="NJ",1.07,1))/$L$10,CHOOSE($M$10,$L$9,$M$9)))</f>
        <v xml:space="preserve"> 34.20 </v>
      </c>
      <c r="M243" s="173" t="str">
        <f>IF(AND($D$11="IL",$E243="AMEREN"),"NA",TEXT((SUMPRODUCT(((LMPMain!$H$9:$H$1000)=$E243)*((LMPMain!$J$9:$J$1000)=$F243)*((LMPMain!$O$9:$O$1000)=$C243)*(LMPMain!S$9:S$1000))+(SUMPRODUCT(((Adders!$D$13:$D$101)=$E243)*((Adders!$E$13:$E$101)=$F243)*(Adders!H$13:H$101))+VLOOKUP($H243,Adders!$B$5:$G$8,M$11,FALSE)+Matrix!$D$2)*IF($D243="NJ",1.07,1))/$L$10,CHOOSE($M$10,$L$9,$M$9)))</f>
        <v xml:space="preserve"> 32.22 </v>
      </c>
      <c r="N243" s="174" t="str">
        <f>IF(AND($D$11="IL",$E243="AMEREN"),"NA",TEXT((SUMPRODUCT(((LMPMain!$H$9:$H$1000)=$E243)*((LMPMain!$J$9:$J$1000)=$F243)*((LMPMain!$O$9:$O$1000)=$C243)*(LMPMain!T$9:T$1000))+(SUMPRODUCT(((Adders!$D$13:$D$101)=$E243)*((Adders!$E$13:$E$101)=$F243)*(Adders!G$13:G$101))+VLOOKUP($H243,Adders!$B$5:$G$8,N$11,FALSE)+Matrix!$D$2)*IF($D243="NJ",1.07,1))/$L$10,CHOOSE($M$10,$L$9,$M$9)))</f>
        <v xml:space="preserve"> 32.98 </v>
      </c>
      <c r="O243" s="112"/>
    </row>
    <row r="244" spans="2:15" x14ac:dyDescent="0.25">
      <c r="B244" s="160" t="s">
        <v>670</v>
      </c>
      <c r="C244" s="135">
        <f t="shared" si="7"/>
        <v>42278</v>
      </c>
      <c r="D244" s="136" t="s">
        <v>6</v>
      </c>
      <c r="E244" s="137" t="s">
        <v>12</v>
      </c>
      <c r="F244" s="136" t="s">
        <v>11</v>
      </c>
      <c r="G244" s="137" t="str">
        <f t="shared" si="8"/>
        <v>General Service Small</v>
      </c>
      <c r="H244" s="138" t="s">
        <v>690</v>
      </c>
      <c r="I244" s="176" t="str">
        <f>TEXT(   (SUMPRODUCT( ((Main!$H$9:$H$1000)=$E244)*((Main!$J$9:$J$1000)=$F244)*((Main!$O$9:$O$1000)=$C244)*(Main!R$9:R$1000) ) +  ( SUMPRODUCT( ((Adders!$D$13:$D$101)=$E244)*((Adders!$E$13:$E$101)=$F244)*(Adders!G$13:G$101)) + VLOOKUP($H244,Adders!$B$5:$G$8,L$11,FALSE)  +  PA!$D$2 ) * IF($D244="NJ",1.07,1))/$L$10, CHOOSE($M$10,$L$9,$M$9) )</f>
        <v xml:space="preserve"> 74.38 </v>
      </c>
      <c r="J244" s="176" t="str">
        <f>TEXT(   (SUMPRODUCT( ((Main!$H$9:$H$1000)=$E244)*((Main!$J$9:$J$1000)=$F244)*((Main!$O$9:$O$1000)=$C244)*(Main!S$9:S$1000) ) +  ( SUMPRODUCT( ((Adders!$D$13:$D$101)=$E244)*((Adders!$E$13:$E$101)=$F244)*(Adders!H$13:H$101)) + VLOOKUP($H244,Adders!$B$5:$G$8,M$11,FALSE)  +  PA!$D$2 ) * IF($D244="NJ",1.07,1))/$L$10, CHOOSE($M$10,$L$9,$M$9) )</f>
        <v xml:space="preserve"> 72.83 </v>
      </c>
      <c r="K244" s="177" t="str">
        <f>TEXT(   (SUMPRODUCT( ((Main!$H$9:$H$1000)=$E244)*((Main!$J$9:$J$1000)=$F244)*((Main!$O$9:$O$1000)=$C244)*(Main!T$9:T$1000) ) +  ( SUMPRODUCT( ((Adders!$D$13:$D$101)=$E244)*((Adders!$E$13:$E$101)=$F244)*(Adders!I$13:I$101)) + VLOOKUP($H244,Adders!$B$5:$G$8,N$11,FALSE)  +  PA!$D$2 ) * IF($D244="NJ",1.07,1))/$L$10, CHOOSE($M$10,$L$9,$M$9) )</f>
        <v xml:space="preserve"> 73.20 </v>
      </c>
      <c r="L244" s="176" t="str">
        <f>IF(AND($D$11="IL",$E244="AMEREN"),"NA",TEXT((SUMPRODUCT(((LMPMain!$H$9:$H$1000)=$E244)*((LMPMain!$J$9:$J$1000)=$F244)*((LMPMain!$O$9:$O$1000)=$C244)*(LMPMain!R$9:R$1000))+(SUMPRODUCT(((Adders!$D$13:$D$101)=$E244)*((Adders!$E$13:$E$101)=$F244)*(Adders!G$13:G$101))+VLOOKUP($H244,Adders!$B$5:$G$8,L$11,FALSE)+Matrix!$D$2)*IF($D244="NJ",1.07,1))/$L$10,CHOOSE($M$10,$L$9,$M$9)))</f>
        <v xml:space="preserve"> 33.15 </v>
      </c>
      <c r="M244" s="176" t="str">
        <f>IF(AND($D$11="IL",$E244="AMEREN"),"NA",TEXT((SUMPRODUCT(((LMPMain!$H$9:$H$1000)=$E244)*((LMPMain!$J$9:$J$1000)=$F244)*((LMPMain!$O$9:$O$1000)=$C244)*(LMPMain!S$9:S$1000))+(SUMPRODUCT(((Adders!$D$13:$D$101)=$E244)*((Adders!$E$13:$E$101)=$F244)*(Adders!H$13:H$101))+VLOOKUP($H244,Adders!$B$5:$G$8,M$11,FALSE)+Matrix!$D$2)*IF($D244="NJ",1.07,1))/$L$10,CHOOSE($M$10,$L$9,$M$9)))</f>
        <v xml:space="preserve"> 31.17 </v>
      </c>
      <c r="N244" s="177" t="str">
        <f>IF(AND($D$11="IL",$E244="AMEREN"),"NA",TEXT((SUMPRODUCT(((LMPMain!$H$9:$H$1000)=$E244)*((LMPMain!$J$9:$J$1000)=$F244)*((LMPMain!$O$9:$O$1000)=$C244)*(LMPMain!T$9:T$1000))+(SUMPRODUCT(((Adders!$D$13:$D$101)=$E244)*((Adders!$E$13:$E$101)=$F244)*(Adders!G$13:G$101))+VLOOKUP($H244,Adders!$B$5:$G$8,N$11,FALSE)+Matrix!$D$2)*IF($D244="NJ",1.07,1))/$L$10,CHOOSE($M$10,$L$9,$M$9)))</f>
        <v xml:space="preserve"> 31.93 </v>
      </c>
      <c r="O244" s="112"/>
    </row>
    <row r="245" spans="2:15" x14ac:dyDescent="0.25">
      <c r="B245" s="160" t="s">
        <v>670</v>
      </c>
      <c r="C245" s="127">
        <f t="shared" si="7"/>
        <v>42309</v>
      </c>
      <c r="D245" s="128" t="s">
        <v>6</v>
      </c>
      <c r="E245" s="129" t="s">
        <v>12</v>
      </c>
      <c r="F245" s="128" t="s">
        <v>11</v>
      </c>
      <c r="G245" s="129" t="str">
        <f t="shared" si="8"/>
        <v>General Service Small</v>
      </c>
      <c r="H245" s="130" t="s">
        <v>61</v>
      </c>
      <c r="I245" s="178" t="str">
        <f>TEXT(   (SUMPRODUCT( ((Main!$H$9:$H$1000)=$E245)*((Main!$J$9:$J$1000)=$F245)*((Main!$O$9:$O$1000)=$C245)*(Main!R$9:R$1000) ) +  ( SUMPRODUCT( ((Adders!$D$13:$D$101)=$E245)*((Adders!$E$13:$E$101)=$F245)*(Adders!G$13:G$101)) + VLOOKUP($H245,Adders!$B$5:$G$8,L$11,FALSE)  +  PA!$D$2 ) * IF($D245="NJ",1.07,1))/$L$10, CHOOSE($M$10,$L$9,$M$9) )</f>
        <v xml:space="preserve"> 76.61 </v>
      </c>
      <c r="J245" s="178" t="str">
        <f>TEXT(   (SUMPRODUCT( ((Main!$H$9:$H$1000)=$E245)*((Main!$J$9:$J$1000)=$F245)*((Main!$O$9:$O$1000)=$C245)*(Main!S$9:S$1000) ) +  ( SUMPRODUCT( ((Adders!$D$13:$D$101)=$E245)*((Adders!$E$13:$E$101)=$F245)*(Adders!H$13:H$101)) + VLOOKUP($H245,Adders!$B$5:$G$8,M$11,FALSE)  +  PA!$D$2 ) * IF($D245="NJ",1.07,1))/$L$10, CHOOSE($M$10,$L$9,$M$9) )</f>
        <v xml:space="preserve"> 75.44 </v>
      </c>
      <c r="K245" s="179" t="str">
        <f>TEXT(   (SUMPRODUCT( ((Main!$H$9:$H$1000)=$E245)*((Main!$J$9:$J$1000)=$F245)*((Main!$O$9:$O$1000)=$C245)*(Main!T$9:T$1000) ) +  ( SUMPRODUCT( ((Adders!$D$13:$D$101)=$E245)*((Adders!$E$13:$E$101)=$F245)*(Adders!I$13:I$101)) + VLOOKUP($H245,Adders!$B$5:$G$8,N$11,FALSE)  +  PA!$D$2 ) * IF($D245="NJ",1.07,1))/$L$10, CHOOSE($M$10,$L$9,$M$9) )</f>
        <v xml:space="preserve"> 75.67 </v>
      </c>
      <c r="L245" s="178" t="str">
        <f>IF(AND($D$11="IL",$E245="AMEREN"),"NA",TEXT((SUMPRODUCT(((LMPMain!$H$9:$H$1000)=$E245)*((LMPMain!$J$9:$J$1000)=$F245)*((LMPMain!$O$9:$O$1000)=$C245)*(LMPMain!R$9:R$1000))+(SUMPRODUCT(((Adders!$D$13:$D$101)=$E245)*((Adders!$E$13:$E$101)=$F245)*(Adders!G$13:G$101))+VLOOKUP($H245,Adders!$B$5:$G$8,L$11,FALSE)+Matrix!$D$2)*IF($D245="NJ",1.07,1))/$L$10,CHOOSE($M$10,$L$9,$M$9)))</f>
        <v xml:space="preserve"> 35.43 </v>
      </c>
      <c r="M245" s="178" t="str">
        <f>IF(AND($D$11="IL",$E245="AMEREN"),"NA",TEXT((SUMPRODUCT(((LMPMain!$H$9:$H$1000)=$E245)*((LMPMain!$J$9:$J$1000)=$F245)*((LMPMain!$O$9:$O$1000)=$C245)*(LMPMain!S$9:S$1000))+(SUMPRODUCT(((Adders!$D$13:$D$101)=$E245)*((Adders!$E$13:$E$101)=$F245)*(Adders!H$13:H$101))+VLOOKUP($H245,Adders!$B$5:$G$8,M$11,FALSE)+Matrix!$D$2)*IF($D245="NJ",1.07,1))/$L$10,CHOOSE($M$10,$L$9,$M$9)))</f>
        <v xml:space="preserve"> 33.57 </v>
      </c>
      <c r="N245" s="179" t="str">
        <f>IF(AND($D$11="IL",$E245="AMEREN"),"NA",TEXT((SUMPRODUCT(((LMPMain!$H$9:$H$1000)=$E245)*((LMPMain!$J$9:$J$1000)=$F245)*((LMPMain!$O$9:$O$1000)=$C245)*(LMPMain!T$9:T$1000))+(SUMPRODUCT(((Adders!$D$13:$D$101)=$E245)*((Adders!$E$13:$E$101)=$F245)*(Adders!G$13:G$101))+VLOOKUP($H245,Adders!$B$5:$G$8,N$11,FALSE)+Matrix!$D$2)*IF($D245="NJ",1.07,1))/$L$10,CHOOSE($M$10,$L$9,$M$9)))</f>
        <v xml:space="preserve"> 34.42 </v>
      </c>
      <c r="O245" s="112"/>
    </row>
    <row r="246" spans="2:15" x14ac:dyDescent="0.25">
      <c r="B246" s="160" t="s">
        <v>670</v>
      </c>
      <c r="C246" s="131">
        <f t="shared" si="7"/>
        <v>42309</v>
      </c>
      <c r="D246" s="132" t="s">
        <v>6</v>
      </c>
      <c r="E246" s="133" t="s">
        <v>12</v>
      </c>
      <c r="F246" s="132" t="s">
        <v>11</v>
      </c>
      <c r="G246" s="133" t="str">
        <f t="shared" si="8"/>
        <v>General Service Small</v>
      </c>
      <c r="H246" s="134" t="s">
        <v>62</v>
      </c>
      <c r="I246" s="173" t="str">
        <f>TEXT(   (SUMPRODUCT( ((Main!$H$9:$H$1000)=$E246)*((Main!$J$9:$J$1000)=$F246)*((Main!$O$9:$O$1000)=$C246)*(Main!R$9:R$1000) ) +  ( SUMPRODUCT( ((Adders!$D$13:$D$101)=$E246)*((Adders!$E$13:$E$101)=$F246)*(Adders!G$13:G$101)) + VLOOKUP($H246,Adders!$B$5:$G$8,L$11,FALSE)  +  PA!$D$2 ) * IF($D246="NJ",1.07,1))/$L$10, CHOOSE($M$10,$L$9,$M$9) )</f>
        <v xml:space="preserve"> 75.01 </v>
      </c>
      <c r="J246" s="173" t="str">
        <f>TEXT(   (SUMPRODUCT( ((Main!$H$9:$H$1000)=$E246)*((Main!$J$9:$J$1000)=$F246)*((Main!$O$9:$O$1000)=$C246)*(Main!S$9:S$1000) ) +  ( SUMPRODUCT( ((Adders!$D$13:$D$101)=$E246)*((Adders!$E$13:$E$101)=$F246)*(Adders!H$13:H$101)) + VLOOKUP($H246,Adders!$B$5:$G$8,M$11,FALSE)  +  PA!$D$2 ) * IF($D246="NJ",1.07,1))/$L$10, CHOOSE($M$10,$L$9,$M$9) )</f>
        <v xml:space="preserve"> 73.84 </v>
      </c>
      <c r="K246" s="174" t="str">
        <f>TEXT(   (SUMPRODUCT( ((Main!$H$9:$H$1000)=$E246)*((Main!$J$9:$J$1000)=$F246)*((Main!$O$9:$O$1000)=$C246)*(Main!T$9:T$1000) ) +  ( SUMPRODUCT( ((Adders!$D$13:$D$101)=$E246)*((Adders!$E$13:$E$101)=$F246)*(Adders!I$13:I$101)) + VLOOKUP($H246,Adders!$B$5:$G$8,N$11,FALSE)  +  PA!$D$2 ) * IF($D246="NJ",1.07,1))/$L$10, CHOOSE($M$10,$L$9,$M$9) )</f>
        <v xml:space="preserve"> 74.07 </v>
      </c>
      <c r="L246" s="173" t="str">
        <f>IF(AND($D$11="IL",$E246="AMEREN"),"NA",TEXT((SUMPRODUCT(((LMPMain!$H$9:$H$1000)=$E246)*((LMPMain!$J$9:$J$1000)=$F246)*((LMPMain!$O$9:$O$1000)=$C246)*(LMPMain!R$9:R$1000))+(SUMPRODUCT(((Adders!$D$13:$D$101)=$E246)*((Adders!$E$13:$E$101)=$F246)*(Adders!G$13:G$101))+VLOOKUP($H246,Adders!$B$5:$G$8,L$11,FALSE)+Matrix!$D$2)*IF($D246="NJ",1.07,1))/$L$10,CHOOSE($M$10,$L$9,$M$9)))</f>
        <v xml:space="preserve"> 33.83 </v>
      </c>
      <c r="M246" s="173" t="str">
        <f>IF(AND($D$11="IL",$E246="AMEREN"),"NA",TEXT((SUMPRODUCT(((LMPMain!$H$9:$H$1000)=$E246)*((LMPMain!$J$9:$J$1000)=$F246)*((LMPMain!$O$9:$O$1000)=$C246)*(LMPMain!S$9:S$1000))+(SUMPRODUCT(((Adders!$D$13:$D$101)=$E246)*((Adders!$E$13:$E$101)=$F246)*(Adders!H$13:H$101))+VLOOKUP($H246,Adders!$B$5:$G$8,M$11,FALSE)+Matrix!$D$2)*IF($D246="NJ",1.07,1))/$L$10,CHOOSE($M$10,$L$9,$M$9)))</f>
        <v xml:space="preserve"> 31.97 </v>
      </c>
      <c r="N246" s="174" t="str">
        <f>IF(AND($D$11="IL",$E246="AMEREN"),"NA",TEXT((SUMPRODUCT(((LMPMain!$H$9:$H$1000)=$E246)*((LMPMain!$J$9:$J$1000)=$F246)*((LMPMain!$O$9:$O$1000)=$C246)*(LMPMain!T$9:T$1000))+(SUMPRODUCT(((Adders!$D$13:$D$101)=$E246)*((Adders!$E$13:$E$101)=$F246)*(Adders!G$13:G$101))+VLOOKUP($H246,Adders!$B$5:$G$8,N$11,FALSE)+Matrix!$D$2)*IF($D246="NJ",1.07,1))/$L$10,CHOOSE($M$10,$L$9,$M$9)))</f>
        <v xml:space="preserve"> 32.82 </v>
      </c>
      <c r="O246" s="112"/>
    </row>
    <row r="247" spans="2:15" x14ac:dyDescent="0.25">
      <c r="B247" s="160" t="s">
        <v>670</v>
      </c>
      <c r="C247" s="135">
        <f t="shared" si="7"/>
        <v>42309</v>
      </c>
      <c r="D247" s="136" t="s">
        <v>6</v>
      </c>
      <c r="E247" s="137" t="s">
        <v>12</v>
      </c>
      <c r="F247" s="136" t="s">
        <v>11</v>
      </c>
      <c r="G247" s="137" t="str">
        <f t="shared" si="8"/>
        <v>General Service Small</v>
      </c>
      <c r="H247" s="138" t="s">
        <v>690</v>
      </c>
      <c r="I247" s="176" t="str">
        <f>TEXT(   (SUMPRODUCT( ((Main!$H$9:$H$1000)=$E247)*((Main!$J$9:$J$1000)=$F247)*((Main!$O$9:$O$1000)=$C247)*(Main!R$9:R$1000) ) +  ( SUMPRODUCT( ((Adders!$D$13:$D$101)=$E247)*((Adders!$E$13:$E$101)=$F247)*(Adders!G$13:G$101)) + VLOOKUP($H247,Adders!$B$5:$G$8,L$11,FALSE)  +  PA!$D$2 ) * IF($D247="NJ",1.07,1))/$L$10, CHOOSE($M$10,$L$9,$M$9) )</f>
        <v xml:space="preserve"> 73.96 </v>
      </c>
      <c r="J247" s="176" t="str">
        <f>TEXT(   (SUMPRODUCT( ((Main!$H$9:$H$1000)=$E247)*((Main!$J$9:$J$1000)=$F247)*((Main!$O$9:$O$1000)=$C247)*(Main!S$9:S$1000) ) +  ( SUMPRODUCT( ((Adders!$D$13:$D$101)=$E247)*((Adders!$E$13:$E$101)=$F247)*(Adders!H$13:H$101)) + VLOOKUP($H247,Adders!$B$5:$G$8,M$11,FALSE)  +  PA!$D$2 ) * IF($D247="NJ",1.07,1))/$L$10, CHOOSE($M$10,$L$9,$M$9) )</f>
        <v xml:space="preserve"> 72.79 </v>
      </c>
      <c r="K247" s="177" t="str">
        <f>TEXT(   (SUMPRODUCT( ((Main!$H$9:$H$1000)=$E247)*((Main!$J$9:$J$1000)=$F247)*((Main!$O$9:$O$1000)=$C247)*(Main!T$9:T$1000) ) +  ( SUMPRODUCT( ((Adders!$D$13:$D$101)=$E247)*((Adders!$E$13:$E$101)=$F247)*(Adders!I$13:I$101)) + VLOOKUP($H247,Adders!$B$5:$G$8,N$11,FALSE)  +  PA!$D$2 ) * IF($D247="NJ",1.07,1))/$L$10, CHOOSE($M$10,$L$9,$M$9) )</f>
        <v xml:space="preserve"> 73.02 </v>
      </c>
      <c r="L247" s="176" t="str">
        <f>IF(AND($D$11="IL",$E247="AMEREN"),"NA",TEXT((SUMPRODUCT(((LMPMain!$H$9:$H$1000)=$E247)*((LMPMain!$J$9:$J$1000)=$F247)*((LMPMain!$O$9:$O$1000)=$C247)*(LMPMain!R$9:R$1000))+(SUMPRODUCT(((Adders!$D$13:$D$101)=$E247)*((Adders!$E$13:$E$101)=$F247)*(Adders!G$13:G$101))+VLOOKUP($H247,Adders!$B$5:$G$8,L$11,FALSE)+Matrix!$D$2)*IF($D247="NJ",1.07,1))/$L$10,CHOOSE($M$10,$L$9,$M$9)))</f>
        <v xml:space="preserve"> 32.78 </v>
      </c>
      <c r="M247" s="176" t="str">
        <f>IF(AND($D$11="IL",$E247="AMEREN"),"NA",TEXT((SUMPRODUCT(((LMPMain!$H$9:$H$1000)=$E247)*((LMPMain!$J$9:$J$1000)=$F247)*((LMPMain!$O$9:$O$1000)=$C247)*(LMPMain!S$9:S$1000))+(SUMPRODUCT(((Adders!$D$13:$D$101)=$E247)*((Adders!$E$13:$E$101)=$F247)*(Adders!H$13:H$101))+VLOOKUP($H247,Adders!$B$5:$G$8,M$11,FALSE)+Matrix!$D$2)*IF($D247="NJ",1.07,1))/$L$10,CHOOSE($M$10,$L$9,$M$9)))</f>
        <v xml:space="preserve"> 30.92 </v>
      </c>
      <c r="N247" s="177" t="str">
        <f>IF(AND($D$11="IL",$E247="AMEREN"),"NA",TEXT((SUMPRODUCT(((LMPMain!$H$9:$H$1000)=$E247)*((LMPMain!$J$9:$J$1000)=$F247)*((LMPMain!$O$9:$O$1000)=$C247)*(LMPMain!T$9:T$1000))+(SUMPRODUCT(((Adders!$D$13:$D$101)=$E247)*((Adders!$E$13:$E$101)=$F247)*(Adders!G$13:G$101))+VLOOKUP($H247,Adders!$B$5:$G$8,N$11,FALSE)+Matrix!$D$2)*IF($D247="NJ",1.07,1))/$L$10,CHOOSE($M$10,$L$9,$M$9)))</f>
        <v xml:space="preserve"> 31.77 </v>
      </c>
      <c r="O247" s="112"/>
    </row>
    <row r="248" spans="2:15" x14ac:dyDescent="0.25">
      <c r="B248" s="160" t="s">
        <v>670</v>
      </c>
      <c r="C248" s="127">
        <f t="shared" si="7"/>
        <v>42339</v>
      </c>
      <c r="D248" s="128" t="s">
        <v>6</v>
      </c>
      <c r="E248" s="129" t="s">
        <v>12</v>
      </c>
      <c r="F248" s="128" t="s">
        <v>11</v>
      </c>
      <c r="G248" s="129" t="str">
        <f t="shared" si="8"/>
        <v>General Service Small</v>
      </c>
      <c r="H248" s="130" t="s">
        <v>61</v>
      </c>
      <c r="I248" s="178" t="str">
        <f>TEXT(   (SUMPRODUCT( ((Main!$H$9:$H$1000)=$E248)*((Main!$J$9:$J$1000)=$F248)*((Main!$O$9:$O$1000)=$C248)*(Main!R$9:R$1000) ) +  ( SUMPRODUCT( ((Adders!$D$13:$D$101)=$E248)*((Adders!$E$13:$E$101)=$F248)*(Adders!G$13:G$101)) + VLOOKUP($H248,Adders!$B$5:$G$8,L$11,FALSE)  +  PA!$D$2 ) * IF($D248="NJ",1.07,1))/$L$10, CHOOSE($M$10,$L$9,$M$9) )</f>
        <v xml:space="preserve"> 76.27 </v>
      </c>
      <c r="J248" s="178" t="str">
        <f>TEXT(   (SUMPRODUCT( ((Main!$H$9:$H$1000)=$E248)*((Main!$J$9:$J$1000)=$F248)*((Main!$O$9:$O$1000)=$C248)*(Main!S$9:S$1000) ) +  ( SUMPRODUCT( ((Adders!$D$13:$D$101)=$E248)*((Adders!$E$13:$E$101)=$F248)*(Adders!H$13:H$101)) + VLOOKUP($H248,Adders!$B$5:$G$8,M$11,FALSE)  +  PA!$D$2 ) * IF($D248="NJ",1.07,1))/$L$10, CHOOSE($M$10,$L$9,$M$9) )</f>
        <v xml:space="preserve"> 75.84 </v>
      </c>
      <c r="K248" s="179" t="str">
        <f>TEXT(   (SUMPRODUCT( ((Main!$H$9:$H$1000)=$E248)*((Main!$J$9:$J$1000)=$F248)*((Main!$O$9:$O$1000)=$C248)*(Main!T$9:T$1000) ) +  ( SUMPRODUCT( ((Adders!$D$13:$D$101)=$E248)*((Adders!$E$13:$E$101)=$F248)*(Adders!I$13:I$101)) + VLOOKUP($H248,Adders!$B$5:$G$8,N$11,FALSE)  +  PA!$D$2 ) * IF($D248="NJ",1.07,1))/$L$10, CHOOSE($M$10,$L$9,$M$9) )</f>
        <v xml:space="preserve"> 75.52 </v>
      </c>
      <c r="L248" s="178" t="str">
        <f>IF(AND($D$11="IL",$E248="AMEREN"),"NA",TEXT((SUMPRODUCT(((LMPMain!$H$9:$H$1000)=$E248)*((LMPMain!$J$9:$J$1000)=$F248)*((LMPMain!$O$9:$O$1000)=$C248)*(LMPMain!R$9:R$1000))+(SUMPRODUCT(((Adders!$D$13:$D$101)=$E248)*((Adders!$E$13:$E$101)=$F248)*(Adders!G$13:G$101))+VLOOKUP($H248,Adders!$B$5:$G$8,L$11,FALSE)+Matrix!$D$2)*IF($D248="NJ",1.07,1))/$L$10,CHOOSE($M$10,$L$9,$M$9)))</f>
        <v xml:space="preserve"> 35.09 </v>
      </c>
      <c r="M248" s="178" t="str">
        <f>IF(AND($D$11="IL",$E248="AMEREN"),"NA",TEXT((SUMPRODUCT(((LMPMain!$H$9:$H$1000)=$E248)*((LMPMain!$J$9:$J$1000)=$F248)*((LMPMain!$O$9:$O$1000)=$C248)*(LMPMain!S$9:S$1000))+(SUMPRODUCT(((Adders!$D$13:$D$101)=$E248)*((Adders!$E$13:$E$101)=$F248)*(Adders!H$13:H$101))+VLOOKUP($H248,Adders!$B$5:$G$8,M$11,FALSE)+Matrix!$D$2)*IF($D248="NJ",1.07,1))/$L$10,CHOOSE($M$10,$L$9,$M$9)))</f>
        <v xml:space="preserve"> 33.74 </v>
      </c>
      <c r="N248" s="179" t="str">
        <f>IF(AND($D$11="IL",$E248="AMEREN"),"NA",TEXT((SUMPRODUCT(((LMPMain!$H$9:$H$1000)=$E248)*((LMPMain!$J$9:$J$1000)=$F248)*((LMPMain!$O$9:$O$1000)=$C248)*(LMPMain!T$9:T$1000))+(SUMPRODUCT(((Adders!$D$13:$D$101)=$E248)*((Adders!$E$13:$E$101)=$F248)*(Adders!G$13:G$101))+VLOOKUP($H248,Adders!$B$5:$G$8,N$11,FALSE)+Matrix!$D$2)*IF($D248="NJ",1.07,1))/$L$10,CHOOSE($M$10,$L$9,$M$9)))</f>
        <v xml:space="preserve"> 34.23 </v>
      </c>
      <c r="O248" s="112"/>
    </row>
    <row r="249" spans="2:15" x14ac:dyDescent="0.25">
      <c r="B249" s="160" t="s">
        <v>670</v>
      </c>
      <c r="C249" s="131">
        <f t="shared" si="7"/>
        <v>42339</v>
      </c>
      <c r="D249" s="132" t="s">
        <v>6</v>
      </c>
      <c r="E249" s="133" t="s">
        <v>12</v>
      </c>
      <c r="F249" s="132" t="s">
        <v>11</v>
      </c>
      <c r="G249" s="133" t="str">
        <f t="shared" si="8"/>
        <v>General Service Small</v>
      </c>
      <c r="H249" s="134" t="s">
        <v>62</v>
      </c>
      <c r="I249" s="173" t="str">
        <f>TEXT(   (SUMPRODUCT( ((Main!$H$9:$H$1000)=$E249)*((Main!$J$9:$J$1000)=$F249)*((Main!$O$9:$O$1000)=$C249)*(Main!R$9:R$1000) ) +  ( SUMPRODUCT( ((Adders!$D$13:$D$101)=$E249)*((Adders!$E$13:$E$101)=$F249)*(Adders!G$13:G$101)) + VLOOKUP($H249,Adders!$B$5:$G$8,L$11,FALSE)  +  PA!$D$2 ) * IF($D249="NJ",1.07,1))/$L$10, CHOOSE($M$10,$L$9,$M$9) )</f>
        <v xml:space="preserve"> 74.67 </v>
      </c>
      <c r="J249" s="173" t="str">
        <f>TEXT(   (SUMPRODUCT( ((Main!$H$9:$H$1000)=$E249)*((Main!$J$9:$J$1000)=$F249)*((Main!$O$9:$O$1000)=$C249)*(Main!S$9:S$1000) ) +  ( SUMPRODUCT( ((Adders!$D$13:$D$101)=$E249)*((Adders!$E$13:$E$101)=$F249)*(Adders!H$13:H$101)) + VLOOKUP($H249,Adders!$B$5:$G$8,M$11,FALSE)  +  PA!$D$2 ) * IF($D249="NJ",1.07,1))/$L$10, CHOOSE($M$10,$L$9,$M$9) )</f>
        <v xml:space="preserve"> 74.24 </v>
      </c>
      <c r="K249" s="174" t="str">
        <f>TEXT(   (SUMPRODUCT( ((Main!$H$9:$H$1000)=$E249)*((Main!$J$9:$J$1000)=$F249)*((Main!$O$9:$O$1000)=$C249)*(Main!T$9:T$1000) ) +  ( SUMPRODUCT( ((Adders!$D$13:$D$101)=$E249)*((Adders!$E$13:$E$101)=$F249)*(Adders!I$13:I$101)) + VLOOKUP($H249,Adders!$B$5:$G$8,N$11,FALSE)  +  PA!$D$2 ) * IF($D249="NJ",1.07,1))/$L$10, CHOOSE($M$10,$L$9,$M$9) )</f>
        <v xml:space="preserve"> 73.92 </v>
      </c>
      <c r="L249" s="173" t="str">
        <f>IF(AND($D$11="IL",$E249="AMEREN"),"NA",TEXT((SUMPRODUCT(((LMPMain!$H$9:$H$1000)=$E249)*((LMPMain!$J$9:$J$1000)=$F249)*((LMPMain!$O$9:$O$1000)=$C249)*(LMPMain!R$9:R$1000))+(SUMPRODUCT(((Adders!$D$13:$D$101)=$E249)*((Adders!$E$13:$E$101)=$F249)*(Adders!G$13:G$101))+VLOOKUP($H249,Adders!$B$5:$G$8,L$11,FALSE)+Matrix!$D$2)*IF($D249="NJ",1.07,1))/$L$10,CHOOSE($M$10,$L$9,$M$9)))</f>
        <v xml:space="preserve"> 33.49 </v>
      </c>
      <c r="M249" s="173" t="str">
        <f>IF(AND($D$11="IL",$E249="AMEREN"),"NA",TEXT((SUMPRODUCT(((LMPMain!$H$9:$H$1000)=$E249)*((LMPMain!$J$9:$J$1000)=$F249)*((LMPMain!$O$9:$O$1000)=$C249)*(LMPMain!S$9:S$1000))+(SUMPRODUCT(((Adders!$D$13:$D$101)=$E249)*((Adders!$E$13:$E$101)=$F249)*(Adders!H$13:H$101))+VLOOKUP($H249,Adders!$B$5:$G$8,M$11,FALSE)+Matrix!$D$2)*IF($D249="NJ",1.07,1))/$L$10,CHOOSE($M$10,$L$9,$M$9)))</f>
        <v xml:space="preserve"> 32.14 </v>
      </c>
      <c r="N249" s="174" t="str">
        <f>IF(AND($D$11="IL",$E249="AMEREN"),"NA",TEXT((SUMPRODUCT(((LMPMain!$H$9:$H$1000)=$E249)*((LMPMain!$J$9:$J$1000)=$F249)*((LMPMain!$O$9:$O$1000)=$C249)*(LMPMain!T$9:T$1000))+(SUMPRODUCT(((Adders!$D$13:$D$101)=$E249)*((Adders!$E$13:$E$101)=$F249)*(Adders!G$13:G$101))+VLOOKUP($H249,Adders!$B$5:$G$8,N$11,FALSE)+Matrix!$D$2)*IF($D249="NJ",1.07,1))/$L$10,CHOOSE($M$10,$L$9,$M$9)))</f>
        <v xml:space="preserve"> 32.63 </v>
      </c>
      <c r="O249" s="112"/>
    </row>
    <row r="250" spans="2:15" x14ac:dyDescent="0.25">
      <c r="B250" s="160" t="s">
        <v>670</v>
      </c>
      <c r="C250" s="135">
        <f t="shared" si="7"/>
        <v>42339</v>
      </c>
      <c r="D250" s="136" t="s">
        <v>6</v>
      </c>
      <c r="E250" s="137" t="s">
        <v>12</v>
      </c>
      <c r="F250" s="136" t="s">
        <v>11</v>
      </c>
      <c r="G250" s="137" t="str">
        <f t="shared" si="8"/>
        <v>General Service Small</v>
      </c>
      <c r="H250" s="138" t="s">
        <v>690</v>
      </c>
      <c r="I250" s="176" t="str">
        <f>TEXT(   (SUMPRODUCT( ((Main!$H$9:$H$1000)=$E250)*((Main!$J$9:$J$1000)=$F250)*((Main!$O$9:$O$1000)=$C250)*(Main!R$9:R$1000) ) +  ( SUMPRODUCT( ((Adders!$D$13:$D$101)=$E250)*((Adders!$E$13:$E$101)=$F250)*(Adders!G$13:G$101)) + VLOOKUP($H250,Adders!$B$5:$G$8,L$11,FALSE)  +  PA!$D$2 ) * IF($D250="NJ",1.07,1))/$L$10, CHOOSE($M$10,$L$9,$M$9) )</f>
        <v xml:space="preserve"> 73.62 </v>
      </c>
      <c r="J250" s="176" t="str">
        <f>TEXT(   (SUMPRODUCT( ((Main!$H$9:$H$1000)=$E250)*((Main!$J$9:$J$1000)=$F250)*((Main!$O$9:$O$1000)=$C250)*(Main!S$9:S$1000) ) +  ( SUMPRODUCT( ((Adders!$D$13:$D$101)=$E250)*((Adders!$E$13:$E$101)=$F250)*(Adders!H$13:H$101)) + VLOOKUP($H250,Adders!$B$5:$G$8,M$11,FALSE)  +  PA!$D$2 ) * IF($D250="NJ",1.07,1))/$L$10, CHOOSE($M$10,$L$9,$M$9) )</f>
        <v xml:space="preserve"> 73.19 </v>
      </c>
      <c r="K250" s="177" t="str">
        <f>TEXT(   (SUMPRODUCT( ((Main!$H$9:$H$1000)=$E250)*((Main!$J$9:$J$1000)=$F250)*((Main!$O$9:$O$1000)=$C250)*(Main!T$9:T$1000) ) +  ( SUMPRODUCT( ((Adders!$D$13:$D$101)=$E250)*((Adders!$E$13:$E$101)=$F250)*(Adders!I$13:I$101)) + VLOOKUP($H250,Adders!$B$5:$G$8,N$11,FALSE)  +  PA!$D$2 ) * IF($D250="NJ",1.07,1))/$L$10, CHOOSE($M$10,$L$9,$M$9) )</f>
        <v xml:space="preserve"> 72.87 </v>
      </c>
      <c r="L250" s="176" t="str">
        <f>IF(AND($D$11="IL",$E250="AMEREN"),"NA",TEXT((SUMPRODUCT(((LMPMain!$H$9:$H$1000)=$E250)*((LMPMain!$J$9:$J$1000)=$F250)*((LMPMain!$O$9:$O$1000)=$C250)*(LMPMain!R$9:R$1000))+(SUMPRODUCT(((Adders!$D$13:$D$101)=$E250)*((Adders!$E$13:$E$101)=$F250)*(Adders!G$13:G$101))+VLOOKUP($H250,Adders!$B$5:$G$8,L$11,FALSE)+Matrix!$D$2)*IF($D250="NJ",1.07,1))/$L$10,CHOOSE($M$10,$L$9,$M$9)))</f>
        <v xml:space="preserve"> 32.44 </v>
      </c>
      <c r="M250" s="176" t="str">
        <f>IF(AND($D$11="IL",$E250="AMEREN"),"NA",TEXT((SUMPRODUCT(((LMPMain!$H$9:$H$1000)=$E250)*((LMPMain!$J$9:$J$1000)=$F250)*((LMPMain!$O$9:$O$1000)=$C250)*(LMPMain!S$9:S$1000))+(SUMPRODUCT(((Adders!$D$13:$D$101)=$E250)*((Adders!$E$13:$E$101)=$F250)*(Adders!H$13:H$101))+VLOOKUP($H250,Adders!$B$5:$G$8,M$11,FALSE)+Matrix!$D$2)*IF($D250="NJ",1.07,1))/$L$10,CHOOSE($M$10,$L$9,$M$9)))</f>
        <v xml:space="preserve"> 31.09 </v>
      </c>
      <c r="N250" s="177" t="str">
        <f>IF(AND($D$11="IL",$E250="AMEREN"),"NA",TEXT((SUMPRODUCT(((LMPMain!$H$9:$H$1000)=$E250)*((LMPMain!$J$9:$J$1000)=$F250)*((LMPMain!$O$9:$O$1000)=$C250)*(LMPMain!T$9:T$1000))+(SUMPRODUCT(((Adders!$D$13:$D$101)=$E250)*((Adders!$E$13:$E$101)=$F250)*(Adders!G$13:G$101))+VLOOKUP($H250,Adders!$B$5:$G$8,N$11,FALSE)+Matrix!$D$2)*IF($D250="NJ",1.07,1))/$L$10,CHOOSE($M$10,$L$9,$M$9)))</f>
        <v xml:space="preserve"> 31.58 </v>
      </c>
      <c r="O250" s="112"/>
    </row>
    <row r="251" spans="2:15" x14ac:dyDescent="0.25">
      <c r="B251" s="160" t="s">
        <v>670</v>
      </c>
      <c r="C251" s="127">
        <f t="shared" si="7"/>
        <v>42370</v>
      </c>
      <c r="D251" s="128" t="s">
        <v>6</v>
      </c>
      <c r="E251" s="129" t="s">
        <v>12</v>
      </c>
      <c r="F251" s="128" t="s">
        <v>11</v>
      </c>
      <c r="G251" s="129" t="str">
        <f t="shared" si="8"/>
        <v>General Service Small</v>
      </c>
      <c r="H251" s="130" t="s">
        <v>61</v>
      </c>
      <c r="I251" s="178" t="str">
        <f>TEXT(   (SUMPRODUCT( ((Main!$H$9:$H$1000)=$E251)*((Main!$J$9:$J$1000)=$F251)*((Main!$O$9:$O$1000)=$C251)*(Main!R$9:R$1000) ) +  ( SUMPRODUCT( ((Adders!$D$13:$D$101)=$E251)*((Adders!$E$13:$E$101)=$F251)*(Adders!G$13:G$101)) + VLOOKUP($H251,Adders!$B$5:$G$8,L$11,FALSE)  +  PA!$D$2 ) * IF($D251="NJ",1.07,1))/$L$10, CHOOSE($M$10,$L$9,$M$9) )</f>
        <v xml:space="preserve"> 75.66 </v>
      </c>
      <c r="J251" s="178" t="str">
        <f>TEXT(   (SUMPRODUCT( ((Main!$H$9:$H$1000)=$E251)*((Main!$J$9:$J$1000)=$F251)*((Main!$O$9:$O$1000)=$C251)*(Main!S$9:S$1000) ) +  ( SUMPRODUCT( ((Adders!$D$13:$D$101)=$E251)*((Adders!$E$13:$E$101)=$F251)*(Adders!H$13:H$101)) + VLOOKUP($H251,Adders!$B$5:$G$8,M$11,FALSE)  +  PA!$D$2 ) * IF($D251="NJ",1.07,1))/$L$10, CHOOSE($M$10,$L$9,$M$9) )</f>
        <v xml:space="preserve"> 76.32 </v>
      </c>
      <c r="K251" s="179" t="str">
        <f>TEXT(   (SUMPRODUCT( ((Main!$H$9:$H$1000)=$E251)*((Main!$J$9:$J$1000)=$F251)*((Main!$O$9:$O$1000)=$C251)*(Main!T$9:T$1000) ) +  ( SUMPRODUCT( ((Adders!$D$13:$D$101)=$E251)*((Adders!$E$13:$E$101)=$F251)*(Adders!I$13:I$101)) + VLOOKUP($H251,Adders!$B$5:$G$8,N$11,FALSE)  +  PA!$D$2 ) * IF($D251="NJ",1.07,1))/$L$10, CHOOSE($M$10,$L$9,$M$9) )</f>
        <v xml:space="preserve"> 75.29 </v>
      </c>
      <c r="L251" s="178" t="str">
        <f>IF(AND($D$11="IL",$E251="AMEREN"),"NA",TEXT((SUMPRODUCT(((LMPMain!$H$9:$H$1000)=$E251)*((LMPMain!$J$9:$J$1000)=$F251)*((LMPMain!$O$9:$O$1000)=$C251)*(LMPMain!R$9:R$1000))+(SUMPRODUCT(((Adders!$D$13:$D$101)=$E251)*((Adders!$E$13:$E$101)=$F251)*(Adders!G$13:G$101))+VLOOKUP($H251,Adders!$B$5:$G$8,L$11,FALSE)+Matrix!$D$2)*IF($D251="NJ",1.07,1))/$L$10,CHOOSE($M$10,$L$9,$M$9)))</f>
        <v xml:space="preserve"> 34.73 </v>
      </c>
      <c r="M251" s="178" t="str">
        <f>IF(AND($D$11="IL",$E251="AMEREN"),"NA",TEXT((SUMPRODUCT(((LMPMain!$H$9:$H$1000)=$E251)*((LMPMain!$J$9:$J$1000)=$F251)*((LMPMain!$O$9:$O$1000)=$C251)*(LMPMain!S$9:S$1000))+(SUMPRODUCT(((Adders!$D$13:$D$101)=$E251)*((Adders!$E$13:$E$101)=$F251)*(Adders!H$13:H$101))+VLOOKUP($H251,Adders!$B$5:$G$8,M$11,FALSE)+Matrix!$D$2)*IF($D251="NJ",1.07,1))/$L$10,CHOOSE($M$10,$L$9,$M$9)))</f>
        <v xml:space="preserve"> 34.12 </v>
      </c>
      <c r="N251" s="179" t="str">
        <f>IF(AND($D$11="IL",$E251="AMEREN"),"NA",TEXT((SUMPRODUCT(((LMPMain!$H$9:$H$1000)=$E251)*((LMPMain!$J$9:$J$1000)=$F251)*((LMPMain!$O$9:$O$1000)=$C251)*(LMPMain!T$9:T$1000))+(SUMPRODUCT(((Adders!$D$13:$D$101)=$E251)*((Adders!$E$13:$E$101)=$F251)*(Adders!G$13:G$101))+VLOOKUP($H251,Adders!$B$5:$G$8,N$11,FALSE)+Matrix!$D$2)*IF($D251="NJ",1.07,1))/$L$10,CHOOSE($M$10,$L$9,$M$9)))</f>
        <v xml:space="preserve"> 34.12 </v>
      </c>
      <c r="O251" s="112"/>
    </row>
    <row r="252" spans="2:15" x14ac:dyDescent="0.25">
      <c r="B252" s="160" t="s">
        <v>670</v>
      </c>
      <c r="C252" s="131">
        <f t="shared" si="7"/>
        <v>42370</v>
      </c>
      <c r="D252" s="132" t="s">
        <v>6</v>
      </c>
      <c r="E252" s="133" t="s">
        <v>12</v>
      </c>
      <c r="F252" s="132" t="s">
        <v>11</v>
      </c>
      <c r="G252" s="133" t="str">
        <f t="shared" si="8"/>
        <v>General Service Small</v>
      </c>
      <c r="H252" s="134" t="s">
        <v>62</v>
      </c>
      <c r="I252" s="173" t="str">
        <f>TEXT(   (SUMPRODUCT( ((Main!$H$9:$H$1000)=$E252)*((Main!$J$9:$J$1000)=$F252)*((Main!$O$9:$O$1000)=$C252)*(Main!R$9:R$1000) ) +  ( SUMPRODUCT( ((Adders!$D$13:$D$101)=$E252)*((Adders!$E$13:$E$101)=$F252)*(Adders!G$13:G$101)) + VLOOKUP($H252,Adders!$B$5:$G$8,L$11,FALSE)  +  PA!$D$2 ) * IF($D252="NJ",1.07,1))/$L$10, CHOOSE($M$10,$L$9,$M$9) )</f>
        <v xml:space="preserve"> 74.06 </v>
      </c>
      <c r="J252" s="173" t="str">
        <f>TEXT(   (SUMPRODUCT( ((Main!$H$9:$H$1000)=$E252)*((Main!$J$9:$J$1000)=$F252)*((Main!$O$9:$O$1000)=$C252)*(Main!S$9:S$1000) ) +  ( SUMPRODUCT( ((Adders!$D$13:$D$101)=$E252)*((Adders!$E$13:$E$101)=$F252)*(Adders!H$13:H$101)) + VLOOKUP($H252,Adders!$B$5:$G$8,M$11,FALSE)  +  PA!$D$2 ) * IF($D252="NJ",1.07,1))/$L$10, CHOOSE($M$10,$L$9,$M$9) )</f>
        <v xml:space="preserve"> 74.72 </v>
      </c>
      <c r="K252" s="174" t="str">
        <f>TEXT(   (SUMPRODUCT( ((Main!$H$9:$H$1000)=$E252)*((Main!$J$9:$J$1000)=$F252)*((Main!$O$9:$O$1000)=$C252)*(Main!T$9:T$1000) ) +  ( SUMPRODUCT( ((Adders!$D$13:$D$101)=$E252)*((Adders!$E$13:$E$101)=$F252)*(Adders!I$13:I$101)) + VLOOKUP($H252,Adders!$B$5:$G$8,N$11,FALSE)  +  PA!$D$2 ) * IF($D252="NJ",1.07,1))/$L$10, CHOOSE($M$10,$L$9,$M$9) )</f>
        <v xml:space="preserve"> 73.69 </v>
      </c>
      <c r="L252" s="173" t="str">
        <f>IF(AND($D$11="IL",$E252="AMEREN"),"NA",TEXT((SUMPRODUCT(((LMPMain!$H$9:$H$1000)=$E252)*((LMPMain!$J$9:$J$1000)=$F252)*((LMPMain!$O$9:$O$1000)=$C252)*(LMPMain!R$9:R$1000))+(SUMPRODUCT(((Adders!$D$13:$D$101)=$E252)*((Adders!$E$13:$E$101)=$F252)*(Adders!G$13:G$101))+VLOOKUP($H252,Adders!$B$5:$G$8,L$11,FALSE)+Matrix!$D$2)*IF($D252="NJ",1.07,1))/$L$10,CHOOSE($M$10,$L$9,$M$9)))</f>
        <v xml:space="preserve"> 33.13 </v>
      </c>
      <c r="M252" s="173" t="str">
        <f>IF(AND($D$11="IL",$E252="AMEREN"),"NA",TEXT((SUMPRODUCT(((LMPMain!$H$9:$H$1000)=$E252)*((LMPMain!$J$9:$J$1000)=$F252)*((LMPMain!$O$9:$O$1000)=$C252)*(LMPMain!S$9:S$1000))+(SUMPRODUCT(((Adders!$D$13:$D$101)=$E252)*((Adders!$E$13:$E$101)=$F252)*(Adders!H$13:H$101))+VLOOKUP($H252,Adders!$B$5:$G$8,M$11,FALSE)+Matrix!$D$2)*IF($D252="NJ",1.07,1))/$L$10,CHOOSE($M$10,$L$9,$M$9)))</f>
        <v xml:space="preserve"> 32.52 </v>
      </c>
      <c r="N252" s="174" t="str">
        <f>IF(AND($D$11="IL",$E252="AMEREN"),"NA",TEXT((SUMPRODUCT(((LMPMain!$H$9:$H$1000)=$E252)*((LMPMain!$J$9:$J$1000)=$F252)*((LMPMain!$O$9:$O$1000)=$C252)*(LMPMain!T$9:T$1000))+(SUMPRODUCT(((Adders!$D$13:$D$101)=$E252)*((Adders!$E$13:$E$101)=$F252)*(Adders!G$13:G$101))+VLOOKUP($H252,Adders!$B$5:$G$8,N$11,FALSE)+Matrix!$D$2)*IF($D252="NJ",1.07,1))/$L$10,CHOOSE($M$10,$L$9,$M$9)))</f>
        <v xml:space="preserve"> 32.52 </v>
      </c>
      <c r="O252" s="112"/>
    </row>
    <row r="253" spans="2:15" x14ac:dyDescent="0.25">
      <c r="B253" s="160" t="s">
        <v>670</v>
      </c>
      <c r="C253" s="135">
        <f t="shared" si="7"/>
        <v>42370</v>
      </c>
      <c r="D253" s="136" t="s">
        <v>6</v>
      </c>
      <c r="E253" s="137" t="s">
        <v>12</v>
      </c>
      <c r="F253" s="136" t="s">
        <v>11</v>
      </c>
      <c r="G253" s="137" t="str">
        <f t="shared" si="8"/>
        <v>General Service Small</v>
      </c>
      <c r="H253" s="138" t="s">
        <v>690</v>
      </c>
      <c r="I253" s="176" t="str">
        <f>TEXT(   (SUMPRODUCT( ((Main!$H$9:$H$1000)=$E253)*((Main!$J$9:$J$1000)=$F253)*((Main!$O$9:$O$1000)=$C253)*(Main!R$9:R$1000) ) +  ( SUMPRODUCT( ((Adders!$D$13:$D$101)=$E253)*((Adders!$E$13:$E$101)=$F253)*(Adders!G$13:G$101)) + VLOOKUP($H253,Adders!$B$5:$G$8,L$11,FALSE)  +  PA!$D$2 ) * IF($D253="NJ",1.07,1))/$L$10, CHOOSE($M$10,$L$9,$M$9) )</f>
        <v xml:space="preserve"> 73.01 </v>
      </c>
      <c r="J253" s="176" t="str">
        <f>TEXT(   (SUMPRODUCT( ((Main!$H$9:$H$1000)=$E253)*((Main!$J$9:$J$1000)=$F253)*((Main!$O$9:$O$1000)=$C253)*(Main!S$9:S$1000) ) +  ( SUMPRODUCT( ((Adders!$D$13:$D$101)=$E253)*((Adders!$E$13:$E$101)=$F253)*(Adders!H$13:H$101)) + VLOOKUP($H253,Adders!$B$5:$G$8,M$11,FALSE)  +  PA!$D$2 ) * IF($D253="NJ",1.07,1))/$L$10, CHOOSE($M$10,$L$9,$M$9) )</f>
        <v xml:space="preserve"> 73.67 </v>
      </c>
      <c r="K253" s="177" t="str">
        <f>TEXT(   (SUMPRODUCT( ((Main!$H$9:$H$1000)=$E253)*((Main!$J$9:$J$1000)=$F253)*((Main!$O$9:$O$1000)=$C253)*(Main!T$9:T$1000) ) +  ( SUMPRODUCT( ((Adders!$D$13:$D$101)=$E253)*((Adders!$E$13:$E$101)=$F253)*(Adders!I$13:I$101)) + VLOOKUP($H253,Adders!$B$5:$G$8,N$11,FALSE)  +  PA!$D$2 ) * IF($D253="NJ",1.07,1))/$L$10, CHOOSE($M$10,$L$9,$M$9) )</f>
        <v xml:space="preserve"> 72.64 </v>
      </c>
      <c r="L253" s="176" t="str">
        <f>IF(AND($D$11="IL",$E253="AMEREN"),"NA",TEXT((SUMPRODUCT(((LMPMain!$H$9:$H$1000)=$E253)*((LMPMain!$J$9:$J$1000)=$F253)*((LMPMain!$O$9:$O$1000)=$C253)*(LMPMain!R$9:R$1000))+(SUMPRODUCT(((Adders!$D$13:$D$101)=$E253)*((Adders!$E$13:$E$101)=$F253)*(Adders!G$13:G$101))+VLOOKUP($H253,Adders!$B$5:$G$8,L$11,FALSE)+Matrix!$D$2)*IF($D253="NJ",1.07,1))/$L$10,CHOOSE($M$10,$L$9,$M$9)))</f>
        <v xml:space="preserve"> 32.08 </v>
      </c>
      <c r="M253" s="176" t="str">
        <f>IF(AND($D$11="IL",$E253="AMEREN"),"NA",TEXT((SUMPRODUCT(((LMPMain!$H$9:$H$1000)=$E253)*((LMPMain!$J$9:$J$1000)=$F253)*((LMPMain!$O$9:$O$1000)=$C253)*(LMPMain!S$9:S$1000))+(SUMPRODUCT(((Adders!$D$13:$D$101)=$E253)*((Adders!$E$13:$E$101)=$F253)*(Adders!H$13:H$101))+VLOOKUP($H253,Adders!$B$5:$G$8,M$11,FALSE)+Matrix!$D$2)*IF($D253="NJ",1.07,1))/$L$10,CHOOSE($M$10,$L$9,$M$9)))</f>
        <v xml:space="preserve"> 31.47 </v>
      </c>
      <c r="N253" s="177" t="str">
        <f>IF(AND($D$11="IL",$E253="AMEREN"),"NA",TEXT((SUMPRODUCT(((LMPMain!$H$9:$H$1000)=$E253)*((LMPMain!$J$9:$J$1000)=$F253)*((LMPMain!$O$9:$O$1000)=$C253)*(LMPMain!T$9:T$1000))+(SUMPRODUCT(((Adders!$D$13:$D$101)=$E253)*((Adders!$E$13:$E$101)=$F253)*(Adders!G$13:G$101))+VLOOKUP($H253,Adders!$B$5:$G$8,N$11,FALSE)+Matrix!$D$2)*IF($D253="NJ",1.07,1))/$L$10,CHOOSE($M$10,$L$9,$M$9)))</f>
        <v xml:space="preserve"> 31.47 </v>
      </c>
      <c r="O253" s="112"/>
    </row>
    <row r="254" spans="2:15" x14ac:dyDescent="0.25">
      <c r="B254" s="160" t="s">
        <v>670</v>
      </c>
      <c r="C254" s="127">
        <f t="shared" si="7"/>
        <v>42401</v>
      </c>
      <c r="D254" s="128" t="s">
        <v>6</v>
      </c>
      <c r="E254" s="129" t="s">
        <v>12</v>
      </c>
      <c r="F254" s="128" t="s">
        <v>11</v>
      </c>
      <c r="G254" s="129" t="str">
        <f t="shared" si="8"/>
        <v>General Service Small</v>
      </c>
      <c r="H254" s="130" t="s">
        <v>61</v>
      </c>
      <c r="I254" s="178" t="str">
        <f>TEXT(   (SUMPRODUCT( ((Main!$H$9:$H$1000)=$E254)*((Main!$J$9:$J$1000)=$F254)*((Main!$O$9:$O$1000)=$C254)*(Main!R$9:R$1000) ) +  ( SUMPRODUCT( ((Adders!$D$13:$D$101)=$E254)*((Adders!$E$13:$E$101)=$F254)*(Adders!G$13:G$101)) + VLOOKUP($H254,Adders!$B$5:$G$8,L$11,FALSE)  +  PA!$D$2 ) * IF($D254="NJ",1.07,1))/$L$10, CHOOSE($M$10,$L$9,$M$9) )</f>
        <v xml:space="preserve"> 75.50 </v>
      </c>
      <c r="J254" s="178" t="str">
        <f>TEXT(   (SUMPRODUCT( ((Main!$H$9:$H$1000)=$E254)*((Main!$J$9:$J$1000)=$F254)*((Main!$O$9:$O$1000)=$C254)*(Main!S$9:S$1000) ) +  ( SUMPRODUCT( ((Adders!$D$13:$D$101)=$E254)*((Adders!$E$13:$E$101)=$F254)*(Adders!H$13:H$101)) + VLOOKUP($H254,Adders!$B$5:$G$8,M$11,FALSE)  +  PA!$D$2 ) * IF($D254="NJ",1.07,1))/$L$10, CHOOSE($M$10,$L$9,$M$9) )</f>
        <v xml:space="preserve"> 76.17 </v>
      </c>
      <c r="K254" s="179" t="str">
        <f>TEXT(   (SUMPRODUCT( ((Main!$H$9:$H$1000)=$E254)*((Main!$J$9:$J$1000)=$F254)*((Main!$O$9:$O$1000)=$C254)*(Main!T$9:T$1000) ) +  ( SUMPRODUCT( ((Adders!$D$13:$D$101)=$E254)*((Adders!$E$13:$E$101)=$F254)*(Adders!I$13:I$101)) + VLOOKUP($H254,Adders!$B$5:$G$8,N$11,FALSE)  +  PA!$D$2 ) * IF($D254="NJ",1.07,1))/$L$10, CHOOSE($M$10,$L$9,$M$9) )</f>
        <v xml:space="preserve"> 75.36 </v>
      </c>
      <c r="L254" s="178" t="str">
        <f>IF(AND($D$11="IL",$E254="AMEREN"),"NA",TEXT((SUMPRODUCT(((LMPMain!$H$9:$H$1000)=$E254)*((LMPMain!$J$9:$J$1000)=$F254)*((LMPMain!$O$9:$O$1000)=$C254)*(LMPMain!R$9:R$1000))+(SUMPRODUCT(((Adders!$D$13:$D$101)=$E254)*((Adders!$E$13:$E$101)=$F254)*(Adders!G$13:G$101))+VLOOKUP($H254,Adders!$B$5:$G$8,L$11,FALSE)+Matrix!$D$2)*IF($D254="NJ",1.07,1))/$L$10,CHOOSE($M$10,$L$9,$M$9)))</f>
        <v xml:space="preserve"> 34.39 </v>
      </c>
      <c r="M254" s="178" t="str">
        <f>IF(AND($D$11="IL",$E254="AMEREN"),"NA",TEXT((SUMPRODUCT(((LMPMain!$H$9:$H$1000)=$E254)*((LMPMain!$J$9:$J$1000)=$F254)*((LMPMain!$O$9:$O$1000)=$C254)*(LMPMain!S$9:S$1000))+(SUMPRODUCT(((Adders!$D$13:$D$101)=$E254)*((Adders!$E$13:$E$101)=$F254)*(Adders!H$13:H$101))+VLOOKUP($H254,Adders!$B$5:$G$8,M$11,FALSE)+Matrix!$D$2)*IF($D254="NJ",1.07,1))/$L$10,CHOOSE($M$10,$L$9,$M$9)))</f>
        <v xml:space="preserve"> 34.55 </v>
      </c>
      <c r="N254" s="179" t="str">
        <f>IF(AND($D$11="IL",$E254="AMEREN"),"NA",TEXT((SUMPRODUCT(((LMPMain!$H$9:$H$1000)=$E254)*((LMPMain!$J$9:$J$1000)=$F254)*((LMPMain!$O$9:$O$1000)=$C254)*(LMPMain!T$9:T$1000))+(SUMPRODUCT(((Adders!$D$13:$D$101)=$E254)*((Adders!$E$13:$E$101)=$F254)*(Adders!G$13:G$101))+VLOOKUP($H254,Adders!$B$5:$G$8,N$11,FALSE)+Matrix!$D$2)*IF($D254="NJ",1.07,1))/$L$10,CHOOSE($M$10,$L$9,$M$9)))</f>
        <v xml:space="preserve"> 34.00 </v>
      </c>
      <c r="O254" s="112"/>
    </row>
    <row r="255" spans="2:15" x14ac:dyDescent="0.25">
      <c r="B255" s="160" t="s">
        <v>670</v>
      </c>
      <c r="C255" s="131">
        <f t="shared" si="7"/>
        <v>42401</v>
      </c>
      <c r="D255" s="132" t="s">
        <v>6</v>
      </c>
      <c r="E255" s="133" t="s">
        <v>12</v>
      </c>
      <c r="F255" s="132" t="s">
        <v>11</v>
      </c>
      <c r="G255" s="133" t="str">
        <f t="shared" si="8"/>
        <v>General Service Small</v>
      </c>
      <c r="H255" s="134" t="s">
        <v>62</v>
      </c>
      <c r="I255" s="173" t="str">
        <f>TEXT(   (SUMPRODUCT( ((Main!$H$9:$H$1000)=$E255)*((Main!$J$9:$J$1000)=$F255)*((Main!$O$9:$O$1000)=$C255)*(Main!R$9:R$1000) ) +  ( SUMPRODUCT( ((Adders!$D$13:$D$101)=$E255)*((Adders!$E$13:$E$101)=$F255)*(Adders!G$13:G$101)) + VLOOKUP($H255,Adders!$B$5:$G$8,L$11,FALSE)  +  PA!$D$2 ) * IF($D255="NJ",1.07,1))/$L$10, CHOOSE($M$10,$L$9,$M$9) )</f>
        <v xml:space="preserve"> 73.90 </v>
      </c>
      <c r="J255" s="173" t="str">
        <f>TEXT(   (SUMPRODUCT( ((Main!$H$9:$H$1000)=$E255)*((Main!$J$9:$J$1000)=$F255)*((Main!$O$9:$O$1000)=$C255)*(Main!S$9:S$1000) ) +  ( SUMPRODUCT( ((Adders!$D$13:$D$101)=$E255)*((Adders!$E$13:$E$101)=$F255)*(Adders!H$13:H$101)) + VLOOKUP($H255,Adders!$B$5:$G$8,M$11,FALSE)  +  PA!$D$2 ) * IF($D255="NJ",1.07,1))/$L$10, CHOOSE($M$10,$L$9,$M$9) )</f>
        <v xml:space="preserve"> 74.57 </v>
      </c>
      <c r="K255" s="174" t="str">
        <f>TEXT(   (SUMPRODUCT( ((Main!$H$9:$H$1000)=$E255)*((Main!$J$9:$J$1000)=$F255)*((Main!$O$9:$O$1000)=$C255)*(Main!T$9:T$1000) ) +  ( SUMPRODUCT( ((Adders!$D$13:$D$101)=$E255)*((Adders!$E$13:$E$101)=$F255)*(Adders!I$13:I$101)) + VLOOKUP($H255,Adders!$B$5:$G$8,N$11,FALSE)  +  PA!$D$2 ) * IF($D255="NJ",1.07,1))/$L$10, CHOOSE($M$10,$L$9,$M$9) )</f>
        <v xml:space="preserve"> 73.76 </v>
      </c>
      <c r="L255" s="173" t="str">
        <f>IF(AND($D$11="IL",$E255="AMEREN"),"NA",TEXT((SUMPRODUCT(((LMPMain!$H$9:$H$1000)=$E255)*((LMPMain!$J$9:$J$1000)=$F255)*((LMPMain!$O$9:$O$1000)=$C255)*(LMPMain!R$9:R$1000))+(SUMPRODUCT(((Adders!$D$13:$D$101)=$E255)*((Adders!$E$13:$E$101)=$F255)*(Adders!G$13:G$101))+VLOOKUP($H255,Adders!$B$5:$G$8,L$11,FALSE)+Matrix!$D$2)*IF($D255="NJ",1.07,1))/$L$10,CHOOSE($M$10,$L$9,$M$9)))</f>
        <v xml:space="preserve"> 32.79 </v>
      </c>
      <c r="M255" s="173" t="str">
        <f>IF(AND($D$11="IL",$E255="AMEREN"),"NA",TEXT((SUMPRODUCT(((LMPMain!$H$9:$H$1000)=$E255)*((LMPMain!$J$9:$J$1000)=$F255)*((LMPMain!$O$9:$O$1000)=$C255)*(LMPMain!S$9:S$1000))+(SUMPRODUCT(((Adders!$D$13:$D$101)=$E255)*((Adders!$E$13:$E$101)=$F255)*(Adders!H$13:H$101))+VLOOKUP($H255,Adders!$B$5:$G$8,M$11,FALSE)+Matrix!$D$2)*IF($D255="NJ",1.07,1))/$L$10,CHOOSE($M$10,$L$9,$M$9)))</f>
        <v xml:space="preserve"> 32.95 </v>
      </c>
      <c r="N255" s="174" t="str">
        <f>IF(AND($D$11="IL",$E255="AMEREN"),"NA",TEXT((SUMPRODUCT(((LMPMain!$H$9:$H$1000)=$E255)*((LMPMain!$J$9:$J$1000)=$F255)*((LMPMain!$O$9:$O$1000)=$C255)*(LMPMain!T$9:T$1000))+(SUMPRODUCT(((Adders!$D$13:$D$101)=$E255)*((Adders!$E$13:$E$101)=$F255)*(Adders!G$13:G$101))+VLOOKUP($H255,Adders!$B$5:$G$8,N$11,FALSE)+Matrix!$D$2)*IF($D255="NJ",1.07,1))/$L$10,CHOOSE($M$10,$L$9,$M$9)))</f>
        <v xml:space="preserve"> 32.40 </v>
      </c>
      <c r="O255" s="112"/>
    </row>
    <row r="256" spans="2:15" x14ac:dyDescent="0.25">
      <c r="B256" s="160" t="s">
        <v>670</v>
      </c>
      <c r="C256" s="135">
        <f t="shared" si="7"/>
        <v>42401</v>
      </c>
      <c r="D256" s="136" t="s">
        <v>6</v>
      </c>
      <c r="E256" s="137" t="s">
        <v>12</v>
      </c>
      <c r="F256" s="136" t="s">
        <v>11</v>
      </c>
      <c r="G256" s="137" t="str">
        <f t="shared" si="8"/>
        <v>General Service Small</v>
      </c>
      <c r="H256" s="138" t="s">
        <v>690</v>
      </c>
      <c r="I256" s="176" t="str">
        <f>TEXT(   (SUMPRODUCT( ((Main!$H$9:$H$1000)=$E256)*((Main!$J$9:$J$1000)=$F256)*((Main!$O$9:$O$1000)=$C256)*(Main!R$9:R$1000) ) +  ( SUMPRODUCT( ((Adders!$D$13:$D$101)=$E256)*((Adders!$E$13:$E$101)=$F256)*(Adders!G$13:G$101)) + VLOOKUP($H256,Adders!$B$5:$G$8,L$11,FALSE)  +  PA!$D$2 ) * IF($D256="NJ",1.07,1))/$L$10, CHOOSE($M$10,$L$9,$M$9) )</f>
        <v xml:space="preserve"> 72.85 </v>
      </c>
      <c r="J256" s="176" t="str">
        <f>TEXT(   (SUMPRODUCT( ((Main!$H$9:$H$1000)=$E256)*((Main!$J$9:$J$1000)=$F256)*((Main!$O$9:$O$1000)=$C256)*(Main!S$9:S$1000) ) +  ( SUMPRODUCT( ((Adders!$D$13:$D$101)=$E256)*((Adders!$E$13:$E$101)=$F256)*(Adders!H$13:H$101)) + VLOOKUP($H256,Adders!$B$5:$G$8,M$11,FALSE)  +  PA!$D$2 ) * IF($D256="NJ",1.07,1))/$L$10, CHOOSE($M$10,$L$9,$M$9) )</f>
        <v xml:space="preserve"> 73.52 </v>
      </c>
      <c r="K256" s="177" t="str">
        <f>TEXT(   (SUMPRODUCT( ((Main!$H$9:$H$1000)=$E256)*((Main!$J$9:$J$1000)=$F256)*((Main!$O$9:$O$1000)=$C256)*(Main!T$9:T$1000) ) +  ( SUMPRODUCT( ((Adders!$D$13:$D$101)=$E256)*((Adders!$E$13:$E$101)=$F256)*(Adders!I$13:I$101)) + VLOOKUP($H256,Adders!$B$5:$G$8,N$11,FALSE)  +  PA!$D$2 ) * IF($D256="NJ",1.07,1))/$L$10, CHOOSE($M$10,$L$9,$M$9) )</f>
        <v xml:space="preserve"> 72.71 </v>
      </c>
      <c r="L256" s="176" t="str">
        <f>IF(AND($D$11="IL",$E256="AMEREN"),"NA",TEXT((SUMPRODUCT(((LMPMain!$H$9:$H$1000)=$E256)*((LMPMain!$J$9:$J$1000)=$F256)*((LMPMain!$O$9:$O$1000)=$C256)*(LMPMain!R$9:R$1000))+(SUMPRODUCT(((Adders!$D$13:$D$101)=$E256)*((Adders!$E$13:$E$101)=$F256)*(Adders!G$13:G$101))+VLOOKUP($H256,Adders!$B$5:$G$8,L$11,FALSE)+Matrix!$D$2)*IF($D256="NJ",1.07,1))/$L$10,CHOOSE($M$10,$L$9,$M$9)))</f>
        <v xml:space="preserve"> 31.74 </v>
      </c>
      <c r="M256" s="176" t="str">
        <f>IF(AND($D$11="IL",$E256="AMEREN"),"NA",TEXT((SUMPRODUCT(((LMPMain!$H$9:$H$1000)=$E256)*((LMPMain!$J$9:$J$1000)=$F256)*((LMPMain!$O$9:$O$1000)=$C256)*(LMPMain!S$9:S$1000))+(SUMPRODUCT(((Adders!$D$13:$D$101)=$E256)*((Adders!$E$13:$E$101)=$F256)*(Adders!H$13:H$101))+VLOOKUP($H256,Adders!$B$5:$G$8,M$11,FALSE)+Matrix!$D$2)*IF($D256="NJ",1.07,1))/$L$10,CHOOSE($M$10,$L$9,$M$9)))</f>
        <v xml:space="preserve"> 31.90 </v>
      </c>
      <c r="N256" s="177" t="str">
        <f>IF(AND($D$11="IL",$E256="AMEREN"),"NA",TEXT((SUMPRODUCT(((LMPMain!$H$9:$H$1000)=$E256)*((LMPMain!$J$9:$J$1000)=$F256)*((LMPMain!$O$9:$O$1000)=$C256)*(LMPMain!T$9:T$1000))+(SUMPRODUCT(((Adders!$D$13:$D$101)=$E256)*((Adders!$E$13:$E$101)=$F256)*(Adders!G$13:G$101))+VLOOKUP($H256,Adders!$B$5:$G$8,N$11,FALSE)+Matrix!$D$2)*IF($D256="NJ",1.07,1))/$L$10,CHOOSE($M$10,$L$9,$M$9)))</f>
        <v xml:space="preserve"> 31.35 </v>
      </c>
      <c r="O256" s="112"/>
    </row>
    <row r="257" spans="2:15" x14ac:dyDescent="0.25">
      <c r="B257" s="160" t="s">
        <v>670</v>
      </c>
      <c r="C257" s="127">
        <f t="shared" si="7"/>
        <v>42430</v>
      </c>
      <c r="D257" s="128" t="s">
        <v>6</v>
      </c>
      <c r="E257" s="129" t="s">
        <v>12</v>
      </c>
      <c r="F257" s="128" t="s">
        <v>11</v>
      </c>
      <c r="G257" s="129" t="str">
        <f t="shared" si="8"/>
        <v>General Service Small</v>
      </c>
      <c r="H257" s="130" t="s">
        <v>61</v>
      </c>
      <c r="I257" s="178" t="str">
        <f>TEXT(   (SUMPRODUCT( ((Main!$H$9:$H$1000)=$E257)*((Main!$J$9:$J$1000)=$F257)*((Main!$O$9:$O$1000)=$C257)*(Main!R$9:R$1000) ) +  ( SUMPRODUCT( ((Adders!$D$13:$D$101)=$E257)*((Adders!$E$13:$E$101)=$F257)*(Adders!G$13:G$101)) + VLOOKUP($H257,Adders!$B$5:$G$8,L$11,FALSE)  +  PA!$D$2 ) * IF($D257="NJ",1.07,1))/$L$10, CHOOSE($M$10,$L$9,$M$9) )</f>
        <v xml:space="preserve"> 75.33 </v>
      </c>
      <c r="J257" s="178" t="str">
        <f>TEXT(   (SUMPRODUCT( ((Main!$H$9:$H$1000)=$E257)*((Main!$J$9:$J$1000)=$F257)*((Main!$O$9:$O$1000)=$C257)*(Main!S$9:S$1000) ) +  ( SUMPRODUCT( ((Adders!$D$13:$D$101)=$E257)*((Adders!$E$13:$E$101)=$F257)*(Adders!H$13:H$101)) + VLOOKUP($H257,Adders!$B$5:$G$8,M$11,FALSE)  +  PA!$D$2 ) * IF($D257="NJ",1.07,1))/$L$10, CHOOSE($M$10,$L$9,$M$9) )</f>
        <v xml:space="preserve"> 76.11 </v>
      </c>
      <c r="K257" s="179" t="str">
        <f>TEXT(   (SUMPRODUCT( ((Main!$H$9:$H$1000)=$E257)*((Main!$J$9:$J$1000)=$F257)*((Main!$O$9:$O$1000)=$C257)*(Main!T$9:T$1000) ) +  ( SUMPRODUCT( ((Adders!$D$13:$D$101)=$E257)*((Adders!$E$13:$E$101)=$F257)*(Adders!I$13:I$101)) + VLOOKUP($H257,Adders!$B$5:$G$8,N$11,FALSE)  +  PA!$D$2 ) * IF($D257="NJ",1.07,1))/$L$10, CHOOSE($M$10,$L$9,$M$9) )</f>
        <v xml:space="preserve"> 75.42 </v>
      </c>
      <c r="L257" s="178" t="str">
        <f>IF(AND($D$11="IL",$E257="AMEREN"),"NA",TEXT((SUMPRODUCT(((LMPMain!$H$9:$H$1000)=$E257)*((LMPMain!$J$9:$J$1000)=$F257)*((LMPMain!$O$9:$O$1000)=$C257)*(LMPMain!R$9:R$1000))+(SUMPRODUCT(((Adders!$D$13:$D$101)=$E257)*((Adders!$E$13:$E$101)=$F257)*(Adders!G$13:G$101))+VLOOKUP($H257,Adders!$B$5:$G$8,L$11,FALSE)+Matrix!$D$2)*IF($D257="NJ",1.07,1))/$L$10,CHOOSE($M$10,$L$9,$M$9)))</f>
        <v xml:space="preserve"> 34.10 </v>
      </c>
      <c r="M257" s="178" t="str">
        <f>IF(AND($D$11="IL",$E257="AMEREN"),"NA",TEXT((SUMPRODUCT(((LMPMain!$H$9:$H$1000)=$E257)*((LMPMain!$J$9:$J$1000)=$F257)*((LMPMain!$O$9:$O$1000)=$C257)*(LMPMain!S$9:S$1000))+(SUMPRODUCT(((Adders!$D$13:$D$101)=$E257)*((Adders!$E$13:$E$101)=$F257)*(Adders!H$13:H$101))+VLOOKUP($H257,Adders!$B$5:$G$8,M$11,FALSE)+Matrix!$D$2)*IF($D257="NJ",1.07,1))/$L$10,CHOOSE($M$10,$L$9,$M$9)))</f>
        <v xml:space="preserve"> 34.92 </v>
      </c>
      <c r="N257" s="179" t="str">
        <f>IF(AND($D$11="IL",$E257="AMEREN"),"NA",TEXT((SUMPRODUCT(((LMPMain!$H$9:$H$1000)=$E257)*((LMPMain!$J$9:$J$1000)=$F257)*((LMPMain!$O$9:$O$1000)=$C257)*(LMPMain!T$9:T$1000))+(SUMPRODUCT(((Adders!$D$13:$D$101)=$E257)*((Adders!$E$13:$E$101)=$F257)*(Adders!G$13:G$101))+VLOOKUP($H257,Adders!$B$5:$G$8,N$11,FALSE)+Matrix!$D$2)*IF($D257="NJ",1.07,1))/$L$10,CHOOSE($M$10,$L$9,$M$9)))</f>
        <v xml:space="preserve"> 33.89 </v>
      </c>
      <c r="O257" s="112"/>
    </row>
    <row r="258" spans="2:15" x14ac:dyDescent="0.25">
      <c r="B258" s="160" t="s">
        <v>670</v>
      </c>
      <c r="C258" s="131">
        <f t="shared" si="7"/>
        <v>42430</v>
      </c>
      <c r="D258" s="132" t="s">
        <v>6</v>
      </c>
      <c r="E258" s="133" t="s">
        <v>12</v>
      </c>
      <c r="F258" s="132" t="s">
        <v>11</v>
      </c>
      <c r="G258" s="133" t="str">
        <f t="shared" si="8"/>
        <v>General Service Small</v>
      </c>
      <c r="H258" s="134" t="s">
        <v>62</v>
      </c>
      <c r="I258" s="173" t="str">
        <f>TEXT(   (SUMPRODUCT( ((Main!$H$9:$H$1000)=$E258)*((Main!$J$9:$J$1000)=$F258)*((Main!$O$9:$O$1000)=$C258)*(Main!R$9:R$1000) ) +  ( SUMPRODUCT( ((Adders!$D$13:$D$101)=$E258)*((Adders!$E$13:$E$101)=$F258)*(Adders!G$13:G$101)) + VLOOKUP($H258,Adders!$B$5:$G$8,L$11,FALSE)  +  PA!$D$2 ) * IF($D258="NJ",1.07,1))/$L$10, CHOOSE($M$10,$L$9,$M$9) )</f>
        <v xml:space="preserve"> 73.73 </v>
      </c>
      <c r="J258" s="173" t="str">
        <f>TEXT(   (SUMPRODUCT( ((Main!$H$9:$H$1000)=$E258)*((Main!$J$9:$J$1000)=$F258)*((Main!$O$9:$O$1000)=$C258)*(Main!S$9:S$1000) ) +  ( SUMPRODUCT( ((Adders!$D$13:$D$101)=$E258)*((Adders!$E$13:$E$101)=$F258)*(Adders!H$13:H$101)) + VLOOKUP($H258,Adders!$B$5:$G$8,M$11,FALSE)  +  PA!$D$2 ) * IF($D258="NJ",1.07,1))/$L$10, CHOOSE($M$10,$L$9,$M$9) )</f>
        <v xml:space="preserve"> 74.51 </v>
      </c>
      <c r="K258" s="174" t="str">
        <f>TEXT(   (SUMPRODUCT( ((Main!$H$9:$H$1000)=$E258)*((Main!$J$9:$J$1000)=$F258)*((Main!$O$9:$O$1000)=$C258)*(Main!T$9:T$1000) ) +  ( SUMPRODUCT( ((Adders!$D$13:$D$101)=$E258)*((Adders!$E$13:$E$101)=$F258)*(Adders!I$13:I$101)) + VLOOKUP($H258,Adders!$B$5:$G$8,N$11,FALSE)  +  PA!$D$2 ) * IF($D258="NJ",1.07,1))/$L$10, CHOOSE($M$10,$L$9,$M$9) )</f>
        <v xml:space="preserve"> 73.82 </v>
      </c>
      <c r="L258" s="173" t="str">
        <f>IF(AND($D$11="IL",$E258="AMEREN"),"NA",TEXT((SUMPRODUCT(((LMPMain!$H$9:$H$1000)=$E258)*((LMPMain!$J$9:$J$1000)=$F258)*((LMPMain!$O$9:$O$1000)=$C258)*(LMPMain!R$9:R$1000))+(SUMPRODUCT(((Adders!$D$13:$D$101)=$E258)*((Adders!$E$13:$E$101)=$F258)*(Adders!G$13:G$101))+VLOOKUP($H258,Adders!$B$5:$G$8,L$11,FALSE)+Matrix!$D$2)*IF($D258="NJ",1.07,1))/$L$10,CHOOSE($M$10,$L$9,$M$9)))</f>
        <v xml:space="preserve"> 32.50 </v>
      </c>
      <c r="M258" s="173" t="str">
        <f>IF(AND($D$11="IL",$E258="AMEREN"),"NA",TEXT((SUMPRODUCT(((LMPMain!$H$9:$H$1000)=$E258)*((LMPMain!$J$9:$J$1000)=$F258)*((LMPMain!$O$9:$O$1000)=$C258)*(LMPMain!S$9:S$1000))+(SUMPRODUCT(((Adders!$D$13:$D$101)=$E258)*((Adders!$E$13:$E$101)=$F258)*(Adders!H$13:H$101))+VLOOKUP($H258,Adders!$B$5:$G$8,M$11,FALSE)+Matrix!$D$2)*IF($D258="NJ",1.07,1))/$L$10,CHOOSE($M$10,$L$9,$M$9)))</f>
        <v xml:space="preserve"> 33.32 </v>
      </c>
      <c r="N258" s="174" t="str">
        <f>IF(AND($D$11="IL",$E258="AMEREN"),"NA",TEXT((SUMPRODUCT(((LMPMain!$H$9:$H$1000)=$E258)*((LMPMain!$J$9:$J$1000)=$F258)*((LMPMain!$O$9:$O$1000)=$C258)*(LMPMain!T$9:T$1000))+(SUMPRODUCT(((Adders!$D$13:$D$101)=$E258)*((Adders!$E$13:$E$101)=$F258)*(Adders!G$13:G$101))+VLOOKUP($H258,Adders!$B$5:$G$8,N$11,FALSE)+Matrix!$D$2)*IF($D258="NJ",1.07,1))/$L$10,CHOOSE($M$10,$L$9,$M$9)))</f>
        <v xml:space="preserve"> 32.29 </v>
      </c>
      <c r="O258" s="112"/>
    </row>
    <row r="259" spans="2:15" x14ac:dyDescent="0.25">
      <c r="B259" s="160" t="s">
        <v>670</v>
      </c>
      <c r="C259" s="135">
        <f t="shared" si="7"/>
        <v>42430</v>
      </c>
      <c r="D259" s="136" t="s">
        <v>6</v>
      </c>
      <c r="E259" s="137" t="s">
        <v>12</v>
      </c>
      <c r="F259" s="136" t="s">
        <v>11</v>
      </c>
      <c r="G259" s="137" t="str">
        <f t="shared" si="8"/>
        <v>General Service Small</v>
      </c>
      <c r="H259" s="138" t="s">
        <v>690</v>
      </c>
      <c r="I259" s="176" t="str">
        <f>TEXT(   (SUMPRODUCT( ((Main!$H$9:$H$1000)=$E259)*((Main!$J$9:$J$1000)=$F259)*((Main!$O$9:$O$1000)=$C259)*(Main!R$9:R$1000) ) +  ( SUMPRODUCT( ((Adders!$D$13:$D$101)=$E259)*((Adders!$E$13:$E$101)=$F259)*(Adders!G$13:G$101)) + VLOOKUP($H259,Adders!$B$5:$G$8,L$11,FALSE)  +  PA!$D$2 ) * IF($D259="NJ",1.07,1))/$L$10, CHOOSE($M$10,$L$9,$M$9) )</f>
        <v xml:space="preserve"> 72.68 </v>
      </c>
      <c r="J259" s="176" t="str">
        <f>TEXT(   (SUMPRODUCT( ((Main!$H$9:$H$1000)=$E259)*((Main!$J$9:$J$1000)=$F259)*((Main!$O$9:$O$1000)=$C259)*(Main!S$9:S$1000) ) +  ( SUMPRODUCT( ((Adders!$D$13:$D$101)=$E259)*((Adders!$E$13:$E$101)=$F259)*(Adders!H$13:H$101)) + VLOOKUP($H259,Adders!$B$5:$G$8,M$11,FALSE)  +  PA!$D$2 ) * IF($D259="NJ",1.07,1))/$L$10, CHOOSE($M$10,$L$9,$M$9) )</f>
        <v xml:space="preserve"> 73.46 </v>
      </c>
      <c r="K259" s="177" t="str">
        <f>TEXT(   (SUMPRODUCT( ((Main!$H$9:$H$1000)=$E259)*((Main!$J$9:$J$1000)=$F259)*((Main!$O$9:$O$1000)=$C259)*(Main!T$9:T$1000) ) +  ( SUMPRODUCT( ((Adders!$D$13:$D$101)=$E259)*((Adders!$E$13:$E$101)=$F259)*(Adders!I$13:I$101)) + VLOOKUP($H259,Adders!$B$5:$G$8,N$11,FALSE)  +  PA!$D$2 ) * IF($D259="NJ",1.07,1))/$L$10, CHOOSE($M$10,$L$9,$M$9) )</f>
        <v xml:space="preserve"> 72.77 </v>
      </c>
      <c r="L259" s="176" t="str">
        <f>IF(AND($D$11="IL",$E259="AMEREN"),"NA",TEXT((SUMPRODUCT(((LMPMain!$H$9:$H$1000)=$E259)*((LMPMain!$J$9:$J$1000)=$F259)*((LMPMain!$O$9:$O$1000)=$C259)*(LMPMain!R$9:R$1000))+(SUMPRODUCT(((Adders!$D$13:$D$101)=$E259)*((Adders!$E$13:$E$101)=$F259)*(Adders!G$13:G$101))+VLOOKUP($H259,Adders!$B$5:$G$8,L$11,FALSE)+Matrix!$D$2)*IF($D259="NJ",1.07,1))/$L$10,CHOOSE($M$10,$L$9,$M$9)))</f>
        <v xml:space="preserve"> 31.45 </v>
      </c>
      <c r="M259" s="176" t="str">
        <f>IF(AND($D$11="IL",$E259="AMEREN"),"NA",TEXT((SUMPRODUCT(((LMPMain!$H$9:$H$1000)=$E259)*((LMPMain!$J$9:$J$1000)=$F259)*((LMPMain!$O$9:$O$1000)=$C259)*(LMPMain!S$9:S$1000))+(SUMPRODUCT(((Adders!$D$13:$D$101)=$E259)*((Adders!$E$13:$E$101)=$F259)*(Adders!H$13:H$101))+VLOOKUP($H259,Adders!$B$5:$G$8,M$11,FALSE)+Matrix!$D$2)*IF($D259="NJ",1.07,1))/$L$10,CHOOSE($M$10,$L$9,$M$9)))</f>
        <v xml:space="preserve"> 32.27 </v>
      </c>
      <c r="N259" s="177" t="str">
        <f>IF(AND($D$11="IL",$E259="AMEREN"),"NA",TEXT((SUMPRODUCT(((LMPMain!$H$9:$H$1000)=$E259)*((LMPMain!$J$9:$J$1000)=$F259)*((LMPMain!$O$9:$O$1000)=$C259)*(LMPMain!T$9:T$1000))+(SUMPRODUCT(((Adders!$D$13:$D$101)=$E259)*((Adders!$E$13:$E$101)=$F259)*(Adders!G$13:G$101))+VLOOKUP($H259,Adders!$B$5:$G$8,N$11,FALSE)+Matrix!$D$2)*IF($D259="NJ",1.07,1))/$L$10,CHOOSE($M$10,$L$9,$M$9)))</f>
        <v xml:space="preserve"> 31.24 </v>
      </c>
      <c r="O259" s="112"/>
    </row>
    <row r="260" spans="2:15" x14ac:dyDescent="0.25">
      <c r="B260" s="160" t="s">
        <v>670</v>
      </c>
      <c r="C260" s="127">
        <f t="shared" si="7"/>
        <v>42461</v>
      </c>
      <c r="D260" s="128" t="s">
        <v>6</v>
      </c>
      <c r="E260" s="129" t="s">
        <v>12</v>
      </c>
      <c r="F260" s="128" t="s">
        <v>11</v>
      </c>
      <c r="G260" s="129" t="str">
        <f t="shared" si="8"/>
        <v>General Service Small</v>
      </c>
      <c r="H260" s="130" t="s">
        <v>61</v>
      </c>
      <c r="I260" s="178" t="str">
        <f>TEXT(   (SUMPRODUCT( ((Main!$H$9:$H$1000)=$E260)*((Main!$J$9:$J$1000)=$F260)*((Main!$O$9:$O$1000)=$C260)*(Main!R$9:R$1000) ) +  ( SUMPRODUCT( ((Adders!$D$13:$D$101)=$E260)*((Adders!$E$13:$E$101)=$F260)*(Adders!G$13:G$101)) + VLOOKUP($H260,Adders!$B$5:$G$8,L$11,FALSE)  +  PA!$D$2 ) * IF($D260="NJ",1.07,1))/$L$10, CHOOSE($M$10,$L$9,$M$9) )</f>
        <v xml:space="preserve"> 75.03 </v>
      </c>
      <c r="J260" s="178" t="str">
        <f>TEXT(   (SUMPRODUCT( ((Main!$H$9:$H$1000)=$E260)*((Main!$J$9:$J$1000)=$F260)*((Main!$O$9:$O$1000)=$C260)*(Main!S$9:S$1000) ) +  ( SUMPRODUCT( ((Adders!$D$13:$D$101)=$E260)*((Adders!$E$13:$E$101)=$F260)*(Adders!H$13:H$101)) + VLOOKUP($H260,Adders!$B$5:$G$8,M$11,FALSE)  +  PA!$D$2 ) * IF($D260="NJ",1.07,1))/$L$10, CHOOSE($M$10,$L$9,$M$9) )</f>
        <v xml:space="preserve"> 75.68 </v>
      </c>
      <c r="K260" s="179" t="str">
        <f>TEXT(   (SUMPRODUCT( ((Main!$H$9:$H$1000)=$E260)*((Main!$J$9:$J$1000)=$F260)*((Main!$O$9:$O$1000)=$C260)*(Main!T$9:T$1000) ) +  ( SUMPRODUCT( ((Adders!$D$13:$D$101)=$E260)*((Adders!$E$13:$E$101)=$F260)*(Adders!I$13:I$101)) + VLOOKUP($H260,Adders!$B$5:$G$8,N$11,FALSE)  +  PA!$D$2 ) * IF($D260="NJ",1.07,1))/$L$10, CHOOSE($M$10,$L$9,$M$9) )</f>
        <v xml:space="preserve"> 75.24 </v>
      </c>
      <c r="L260" s="178" t="str">
        <f>IF(AND($D$11="IL",$E260="AMEREN"),"NA",TEXT((SUMPRODUCT(((LMPMain!$H$9:$H$1000)=$E260)*((LMPMain!$J$9:$J$1000)=$F260)*((LMPMain!$O$9:$O$1000)=$C260)*(LMPMain!R$9:R$1000))+(SUMPRODUCT(((Adders!$D$13:$D$101)=$E260)*((Adders!$E$13:$E$101)=$F260)*(Adders!G$13:G$101))+VLOOKUP($H260,Adders!$B$5:$G$8,L$11,FALSE)+Matrix!$D$2)*IF($D260="NJ",1.07,1))/$L$10,CHOOSE($M$10,$L$9,$M$9)))</f>
        <v xml:space="preserve"> 33.78 </v>
      </c>
      <c r="M260" s="178" t="str">
        <f>IF(AND($D$11="IL",$E260="AMEREN"),"NA",TEXT((SUMPRODUCT(((LMPMain!$H$9:$H$1000)=$E260)*((LMPMain!$J$9:$J$1000)=$F260)*((LMPMain!$O$9:$O$1000)=$C260)*(LMPMain!S$9:S$1000))+(SUMPRODUCT(((Adders!$D$13:$D$101)=$E260)*((Adders!$E$13:$E$101)=$F260)*(Adders!H$13:H$101))+VLOOKUP($H260,Adders!$B$5:$G$8,M$11,FALSE)+Matrix!$D$2)*IF($D260="NJ",1.07,1))/$L$10,CHOOSE($M$10,$L$9,$M$9)))</f>
        <v xml:space="preserve"> 34.88 </v>
      </c>
      <c r="N260" s="179" t="str">
        <f>IF(AND($D$11="IL",$E260="AMEREN"),"NA",TEXT((SUMPRODUCT(((LMPMain!$H$9:$H$1000)=$E260)*((LMPMain!$J$9:$J$1000)=$F260)*((LMPMain!$O$9:$O$1000)=$C260)*(LMPMain!T$9:T$1000))+(SUMPRODUCT(((Adders!$D$13:$D$101)=$E260)*((Adders!$E$13:$E$101)=$F260)*(Adders!G$13:G$101))+VLOOKUP($H260,Adders!$B$5:$G$8,N$11,FALSE)+Matrix!$D$2)*IF($D260="NJ",1.07,1))/$L$10,CHOOSE($M$10,$L$9,$M$9)))</f>
        <v xml:space="preserve"> 33.77 </v>
      </c>
      <c r="O260" s="112"/>
    </row>
    <row r="261" spans="2:15" x14ac:dyDescent="0.25">
      <c r="B261" s="160" t="s">
        <v>670</v>
      </c>
      <c r="C261" s="131">
        <f t="shared" si="7"/>
        <v>42461</v>
      </c>
      <c r="D261" s="132" t="s">
        <v>6</v>
      </c>
      <c r="E261" s="133" t="s">
        <v>12</v>
      </c>
      <c r="F261" s="132" t="s">
        <v>11</v>
      </c>
      <c r="G261" s="133" t="str">
        <f t="shared" si="8"/>
        <v>General Service Small</v>
      </c>
      <c r="H261" s="134" t="s">
        <v>62</v>
      </c>
      <c r="I261" s="173" t="str">
        <f>TEXT(   (SUMPRODUCT( ((Main!$H$9:$H$1000)=$E261)*((Main!$J$9:$J$1000)=$F261)*((Main!$O$9:$O$1000)=$C261)*(Main!R$9:R$1000) ) +  ( SUMPRODUCT( ((Adders!$D$13:$D$101)=$E261)*((Adders!$E$13:$E$101)=$F261)*(Adders!G$13:G$101)) + VLOOKUP($H261,Adders!$B$5:$G$8,L$11,FALSE)  +  PA!$D$2 ) * IF($D261="NJ",1.07,1))/$L$10, CHOOSE($M$10,$L$9,$M$9) )</f>
        <v xml:space="preserve"> 73.43 </v>
      </c>
      <c r="J261" s="173" t="str">
        <f>TEXT(   (SUMPRODUCT( ((Main!$H$9:$H$1000)=$E261)*((Main!$J$9:$J$1000)=$F261)*((Main!$O$9:$O$1000)=$C261)*(Main!S$9:S$1000) ) +  ( SUMPRODUCT( ((Adders!$D$13:$D$101)=$E261)*((Adders!$E$13:$E$101)=$F261)*(Adders!H$13:H$101)) + VLOOKUP($H261,Adders!$B$5:$G$8,M$11,FALSE)  +  PA!$D$2 ) * IF($D261="NJ",1.07,1))/$L$10, CHOOSE($M$10,$L$9,$M$9) )</f>
        <v xml:space="preserve"> 74.08 </v>
      </c>
      <c r="K261" s="174" t="str">
        <f>TEXT(   (SUMPRODUCT( ((Main!$H$9:$H$1000)=$E261)*((Main!$J$9:$J$1000)=$F261)*((Main!$O$9:$O$1000)=$C261)*(Main!T$9:T$1000) ) +  ( SUMPRODUCT( ((Adders!$D$13:$D$101)=$E261)*((Adders!$E$13:$E$101)=$F261)*(Adders!I$13:I$101)) + VLOOKUP($H261,Adders!$B$5:$G$8,N$11,FALSE)  +  PA!$D$2 ) * IF($D261="NJ",1.07,1))/$L$10, CHOOSE($M$10,$L$9,$M$9) )</f>
        <v xml:space="preserve"> 73.64 </v>
      </c>
      <c r="L261" s="173" t="str">
        <f>IF(AND($D$11="IL",$E261="AMEREN"),"NA",TEXT((SUMPRODUCT(((LMPMain!$H$9:$H$1000)=$E261)*((LMPMain!$J$9:$J$1000)=$F261)*((LMPMain!$O$9:$O$1000)=$C261)*(LMPMain!R$9:R$1000))+(SUMPRODUCT(((Adders!$D$13:$D$101)=$E261)*((Adders!$E$13:$E$101)=$F261)*(Adders!G$13:G$101))+VLOOKUP($H261,Adders!$B$5:$G$8,L$11,FALSE)+Matrix!$D$2)*IF($D261="NJ",1.07,1))/$L$10,CHOOSE($M$10,$L$9,$M$9)))</f>
        <v xml:space="preserve"> 32.18 </v>
      </c>
      <c r="M261" s="173" t="str">
        <f>IF(AND($D$11="IL",$E261="AMEREN"),"NA",TEXT((SUMPRODUCT(((LMPMain!$H$9:$H$1000)=$E261)*((LMPMain!$J$9:$J$1000)=$F261)*((LMPMain!$O$9:$O$1000)=$C261)*(LMPMain!S$9:S$1000))+(SUMPRODUCT(((Adders!$D$13:$D$101)=$E261)*((Adders!$E$13:$E$101)=$F261)*(Adders!H$13:H$101))+VLOOKUP($H261,Adders!$B$5:$G$8,M$11,FALSE)+Matrix!$D$2)*IF($D261="NJ",1.07,1))/$L$10,CHOOSE($M$10,$L$9,$M$9)))</f>
        <v xml:space="preserve"> 33.28 </v>
      </c>
      <c r="N261" s="174" t="str">
        <f>IF(AND($D$11="IL",$E261="AMEREN"),"NA",TEXT((SUMPRODUCT(((LMPMain!$H$9:$H$1000)=$E261)*((LMPMain!$J$9:$J$1000)=$F261)*((LMPMain!$O$9:$O$1000)=$C261)*(LMPMain!T$9:T$1000))+(SUMPRODUCT(((Adders!$D$13:$D$101)=$E261)*((Adders!$E$13:$E$101)=$F261)*(Adders!G$13:G$101))+VLOOKUP($H261,Adders!$B$5:$G$8,N$11,FALSE)+Matrix!$D$2)*IF($D261="NJ",1.07,1))/$L$10,CHOOSE($M$10,$L$9,$M$9)))</f>
        <v xml:space="preserve"> 32.17 </v>
      </c>
      <c r="O261" s="112"/>
    </row>
    <row r="262" spans="2:15" x14ac:dyDescent="0.25">
      <c r="B262" s="160" t="s">
        <v>670</v>
      </c>
      <c r="C262" s="135">
        <f t="shared" si="7"/>
        <v>42461</v>
      </c>
      <c r="D262" s="136" t="s">
        <v>6</v>
      </c>
      <c r="E262" s="137" t="s">
        <v>12</v>
      </c>
      <c r="F262" s="136" t="s">
        <v>11</v>
      </c>
      <c r="G262" s="137" t="str">
        <f t="shared" si="8"/>
        <v>General Service Small</v>
      </c>
      <c r="H262" s="138" t="s">
        <v>690</v>
      </c>
      <c r="I262" s="176" t="str">
        <f>TEXT(   (SUMPRODUCT( ((Main!$H$9:$H$1000)=$E262)*((Main!$J$9:$J$1000)=$F262)*((Main!$O$9:$O$1000)=$C262)*(Main!R$9:R$1000) ) +  ( SUMPRODUCT( ((Adders!$D$13:$D$101)=$E262)*((Adders!$E$13:$E$101)=$F262)*(Adders!G$13:G$101)) + VLOOKUP($H262,Adders!$B$5:$G$8,L$11,FALSE)  +  PA!$D$2 ) * IF($D262="NJ",1.07,1))/$L$10, CHOOSE($M$10,$L$9,$M$9) )</f>
        <v xml:space="preserve"> 72.38 </v>
      </c>
      <c r="J262" s="176" t="str">
        <f>TEXT(   (SUMPRODUCT( ((Main!$H$9:$H$1000)=$E262)*((Main!$J$9:$J$1000)=$F262)*((Main!$O$9:$O$1000)=$C262)*(Main!S$9:S$1000) ) +  ( SUMPRODUCT( ((Adders!$D$13:$D$101)=$E262)*((Adders!$E$13:$E$101)=$F262)*(Adders!H$13:H$101)) + VLOOKUP($H262,Adders!$B$5:$G$8,M$11,FALSE)  +  PA!$D$2 ) * IF($D262="NJ",1.07,1))/$L$10, CHOOSE($M$10,$L$9,$M$9) )</f>
        <v xml:space="preserve"> 73.03 </v>
      </c>
      <c r="K262" s="177" t="str">
        <f>TEXT(   (SUMPRODUCT( ((Main!$H$9:$H$1000)=$E262)*((Main!$J$9:$J$1000)=$F262)*((Main!$O$9:$O$1000)=$C262)*(Main!T$9:T$1000) ) +  ( SUMPRODUCT( ((Adders!$D$13:$D$101)=$E262)*((Adders!$E$13:$E$101)=$F262)*(Adders!I$13:I$101)) + VLOOKUP($H262,Adders!$B$5:$G$8,N$11,FALSE)  +  PA!$D$2 ) * IF($D262="NJ",1.07,1))/$L$10, CHOOSE($M$10,$L$9,$M$9) )</f>
        <v xml:space="preserve"> 72.59 </v>
      </c>
      <c r="L262" s="176" t="str">
        <f>IF(AND($D$11="IL",$E262="AMEREN"),"NA",TEXT((SUMPRODUCT(((LMPMain!$H$9:$H$1000)=$E262)*((LMPMain!$J$9:$J$1000)=$F262)*((LMPMain!$O$9:$O$1000)=$C262)*(LMPMain!R$9:R$1000))+(SUMPRODUCT(((Adders!$D$13:$D$101)=$E262)*((Adders!$E$13:$E$101)=$F262)*(Adders!G$13:G$101))+VLOOKUP($H262,Adders!$B$5:$G$8,L$11,FALSE)+Matrix!$D$2)*IF($D262="NJ",1.07,1))/$L$10,CHOOSE($M$10,$L$9,$M$9)))</f>
        <v xml:space="preserve"> 31.13 </v>
      </c>
      <c r="M262" s="176" t="str">
        <f>IF(AND($D$11="IL",$E262="AMEREN"),"NA",TEXT((SUMPRODUCT(((LMPMain!$H$9:$H$1000)=$E262)*((LMPMain!$J$9:$J$1000)=$F262)*((LMPMain!$O$9:$O$1000)=$C262)*(LMPMain!S$9:S$1000))+(SUMPRODUCT(((Adders!$D$13:$D$101)=$E262)*((Adders!$E$13:$E$101)=$F262)*(Adders!H$13:H$101))+VLOOKUP($H262,Adders!$B$5:$G$8,M$11,FALSE)+Matrix!$D$2)*IF($D262="NJ",1.07,1))/$L$10,CHOOSE($M$10,$L$9,$M$9)))</f>
        <v xml:space="preserve"> 32.23 </v>
      </c>
      <c r="N262" s="177" t="str">
        <f>IF(AND($D$11="IL",$E262="AMEREN"),"NA",TEXT((SUMPRODUCT(((LMPMain!$H$9:$H$1000)=$E262)*((LMPMain!$J$9:$J$1000)=$F262)*((LMPMain!$O$9:$O$1000)=$C262)*(LMPMain!T$9:T$1000))+(SUMPRODUCT(((Adders!$D$13:$D$101)=$E262)*((Adders!$E$13:$E$101)=$F262)*(Adders!G$13:G$101))+VLOOKUP($H262,Adders!$B$5:$G$8,N$11,FALSE)+Matrix!$D$2)*IF($D262="NJ",1.07,1))/$L$10,CHOOSE($M$10,$L$9,$M$9)))</f>
        <v xml:space="preserve"> 31.12 </v>
      </c>
      <c r="O262" s="112"/>
    </row>
    <row r="263" spans="2:15" x14ac:dyDescent="0.25">
      <c r="B263" s="160" t="s">
        <v>670</v>
      </c>
      <c r="C263" s="127">
        <f t="shared" si="7"/>
        <v>42491</v>
      </c>
      <c r="D263" s="128" t="s">
        <v>6</v>
      </c>
      <c r="E263" s="129" t="s">
        <v>12</v>
      </c>
      <c r="F263" s="128" t="s">
        <v>11</v>
      </c>
      <c r="G263" s="129" t="str">
        <f t="shared" si="8"/>
        <v>General Service Small</v>
      </c>
      <c r="H263" s="130" t="s">
        <v>61</v>
      </c>
      <c r="I263" s="178" t="str">
        <f>TEXT(   (SUMPRODUCT( ((Main!$H$9:$H$1000)=$E263)*((Main!$J$9:$J$1000)=$F263)*((Main!$O$9:$O$1000)=$C263)*(Main!R$9:R$1000) ) +  ( SUMPRODUCT( ((Adders!$D$13:$D$101)=$E263)*((Adders!$E$13:$E$101)=$F263)*(Adders!G$13:G$101)) + VLOOKUP($H263,Adders!$B$5:$G$8,L$11,FALSE)  +  PA!$D$2 ) * IF($D263="NJ",1.07,1))/$L$10, CHOOSE($M$10,$L$9,$M$9) )</f>
        <v xml:space="preserve"> 74.69 </v>
      </c>
      <c r="J263" s="178" t="str">
        <f>TEXT(   (SUMPRODUCT( ((Main!$H$9:$H$1000)=$E263)*((Main!$J$9:$J$1000)=$F263)*((Main!$O$9:$O$1000)=$C263)*(Main!S$9:S$1000) ) +  ( SUMPRODUCT( ((Adders!$D$13:$D$101)=$E263)*((Adders!$E$13:$E$101)=$F263)*(Adders!H$13:H$101)) + VLOOKUP($H263,Adders!$B$5:$G$8,M$11,FALSE)  +  PA!$D$2 ) * IF($D263="NJ",1.07,1))/$L$10, CHOOSE($M$10,$L$9,$M$9) )</f>
        <v xml:space="preserve"> 75.23 </v>
      </c>
      <c r="K263" s="179" t="str">
        <f>TEXT(   (SUMPRODUCT( ((Main!$H$9:$H$1000)=$E263)*((Main!$J$9:$J$1000)=$F263)*((Main!$O$9:$O$1000)=$C263)*(Main!T$9:T$1000) ) +  ( SUMPRODUCT( ((Adders!$D$13:$D$101)=$E263)*((Adders!$E$13:$E$101)=$F263)*(Adders!I$13:I$101)) + VLOOKUP($H263,Adders!$B$5:$G$8,N$11,FALSE)  +  PA!$D$2 ) * IF($D263="NJ",1.07,1))/$L$10, CHOOSE($M$10,$L$9,$M$9) )</f>
        <v xml:space="preserve"> 75.15 </v>
      </c>
      <c r="L263" s="178" t="str">
        <f>IF(AND($D$11="IL",$E263="AMEREN"),"NA",TEXT((SUMPRODUCT(((LMPMain!$H$9:$H$1000)=$E263)*((LMPMain!$J$9:$J$1000)=$F263)*((LMPMain!$O$9:$O$1000)=$C263)*(LMPMain!R$9:R$1000))+(SUMPRODUCT(((Adders!$D$13:$D$101)=$E263)*((Adders!$E$13:$E$101)=$F263)*(Adders!G$13:G$101))+VLOOKUP($H263,Adders!$B$5:$G$8,L$11,FALSE)+Matrix!$D$2)*IF($D263="NJ",1.07,1))/$L$10,CHOOSE($M$10,$L$9,$M$9)))</f>
        <v xml:space="preserve"> 33.46 </v>
      </c>
      <c r="M263" s="178" t="str">
        <f>IF(AND($D$11="IL",$E263="AMEREN"),"NA",TEXT((SUMPRODUCT(((LMPMain!$H$9:$H$1000)=$E263)*((LMPMain!$J$9:$J$1000)=$F263)*((LMPMain!$O$9:$O$1000)=$C263)*(LMPMain!S$9:S$1000))+(SUMPRODUCT(((Adders!$D$13:$D$101)=$E263)*((Adders!$E$13:$E$101)=$F263)*(Adders!H$13:H$101))+VLOOKUP($H263,Adders!$B$5:$G$8,M$11,FALSE)+Matrix!$D$2)*IF($D263="NJ",1.07,1))/$L$10,CHOOSE($M$10,$L$9,$M$9)))</f>
        <v xml:space="preserve"> 34.71 </v>
      </c>
      <c r="N263" s="179" t="str">
        <f>IF(AND($D$11="IL",$E263="AMEREN"),"NA",TEXT((SUMPRODUCT(((LMPMain!$H$9:$H$1000)=$E263)*((LMPMain!$J$9:$J$1000)=$F263)*((LMPMain!$O$9:$O$1000)=$C263)*(LMPMain!T$9:T$1000))+(SUMPRODUCT(((Adders!$D$13:$D$101)=$E263)*((Adders!$E$13:$E$101)=$F263)*(Adders!G$13:G$101))+VLOOKUP($H263,Adders!$B$5:$G$8,N$11,FALSE)+Matrix!$D$2)*IF($D263="NJ",1.07,1))/$L$10,CHOOSE($M$10,$L$9,$M$9)))</f>
        <v xml:space="preserve"> 33.65 </v>
      </c>
      <c r="O263" s="112"/>
    </row>
    <row r="264" spans="2:15" x14ac:dyDescent="0.25">
      <c r="B264" s="160" t="s">
        <v>670</v>
      </c>
      <c r="C264" s="131">
        <f t="shared" si="7"/>
        <v>42491</v>
      </c>
      <c r="D264" s="132" t="s">
        <v>6</v>
      </c>
      <c r="E264" s="133" t="s">
        <v>12</v>
      </c>
      <c r="F264" s="132" t="s">
        <v>11</v>
      </c>
      <c r="G264" s="133" t="str">
        <f t="shared" si="8"/>
        <v>General Service Small</v>
      </c>
      <c r="H264" s="134" t="s">
        <v>62</v>
      </c>
      <c r="I264" s="173" t="str">
        <f>TEXT(   (SUMPRODUCT( ((Main!$H$9:$H$1000)=$E264)*((Main!$J$9:$J$1000)=$F264)*((Main!$O$9:$O$1000)=$C264)*(Main!R$9:R$1000) ) +  ( SUMPRODUCT( ((Adders!$D$13:$D$101)=$E264)*((Adders!$E$13:$E$101)=$F264)*(Adders!G$13:G$101)) + VLOOKUP($H264,Adders!$B$5:$G$8,L$11,FALSE)  +  PA!$D$2 ) * IF($D264="NJ",1.07,1))/$L$10, CHOOSE($M$10,$L$9,$M$9) )</f>
        <v xml:space="preserve"> 73.09 </v>
      </c>
      <c r="J264" s="173" t="str">
        <f>TEXT(   (SUMPRODUCT( ((Main!$H$9:$H$1000)=$E264)*((Main!$J$9:$J$1000)=$F264)*((Main!$O$9:$O$1000)=$C264)*(Main!S$9:S$1000) ) +  ( SUMPRODUCT( ((Adders!$D$13:$D$101)=$E264)*((Adders!$E$13:$E$101)=$F264)*(Adders!H$13:H$101)) + VLOOKUP($H264,Adders!$B$5:$G$8,M$11,FALSE)  +  PA!$D$2 ) * IF($D264="NJ",1.07,1))/$L$10, CHOOSE($M$10,$L$9,$M$9) )</f>
        <v xml:space="preserve"> 73.63 </v>
      </c>
      <c r="K264" s="174" t="str">
        <f>TEXT(   (SUMPRODUCT( ((Main!$H$9:$H$1000)=$E264)*((Main!$J$9:$J$1000)=$F264)*((Main!$O$9:$O$1000)=$C264)*(Main!T$9:T$1000) ) +  ( SUMPRODUCT( ((Adders!$D$13:$D$101)=$E264)*((Adders!$E$13:$E$101)=$F264)*(Adders!I$13:I$101)) + VLOOKUP($H264,Adders!$B$5:$G$8,N$11,FALSE)  +  PA!$D$2 ) * IF($D264="NJ",1.07,1))/$L$10, CHOOSE($M$10,$L$9,$M$9) )</f>
        <v xml:space="preserve"> 73.55 </v>
      </c>
      <c r="L264" s="173" t="str">
        <f>IF(AND($D$11="IL",$E264="AMEREN"),"NA",TEXT((SUMPRODUCT(((LMPMain!$H$9:$H$1000)=$E264)*((LMPMain!$J$9:$J$1000)=$F264)*((LMPMain!$O$9:$O$1000)=$C264)*(LMPMain!R$9:R$1000))+(SUMPRODUCT(((Adders!$D$13:$D$101)=$E264)*((Adders!$E$13:$E$101)=$F264)*(Adders!G$13:G$101))+VLOOKUP($H264,Adders!$B$5:$G$8,L$11,FALSE)+Matrix!$D$2)*IF($D264="NJ",1.07,1))/$L$10,CHOOSE($M$10,$L$9,$M$9)))</f>
        <v xml:space="preserve"> 31.86 </v>
      </c>
      <c r="M264" s="173" t="str">
        <f>IF(AND($D$11="IL",$E264="AMEREN"),"NA",TEXT((SUMPRODUCT(((LMPMain!$H$9:$H$1000)=$E264)*((LMPMain!$J$9:$J$1000)=$F264)*((LMPMain!$O$9:$O$1000)=$C264)*(LMPMain!S$9:S$1000))+(SUMPRODUCT(((Adders!$D$13:$D$101)=$E264)*((Adders!$E$13:$E$101)=$F264)*(Adders!H$13:H$101))+VLOOKUP($H264,Adders!$B$5:$G$8,M$11,FALSE)+Matrix!$D$2)*IF($D264="NJ",1.07,1))/$L$10,CHOOSE($M$10,$L$9,$M$9)))</f>
        <v xml:space="preserve"> 33.11 </v>
      </c>
      <c r="N264" s="174" t="str">
        <f>IF(AND($D$11="IL",$E264="AMEREN"),"NA",TEXT((SUMPRODUCT(((LMPMain!$H$9:$H$1000)=$E264)*((LMPMain!$J$9:$J$1000)=$F264)*((LMPMain!$O$9:$O$1000)=$C264)*(LMPMain!T$9:T$1000))+(SUMPRODUCT(((Adders!$D$13:$D$101)=$E264)*((Adders!$E$13:$E$101)=$F264)*(Adders!G$13:G$101))+VLOOKUP($H264,Adders!$B$5:$G$8,N$11,FALSE)+Matrix!$D$2)*IF($D264="NJ",1.07,1))/$L$10,CHOOSE($M$10,$L$9,$M$9)))</f>
        <v xml:space="preserve"> 32.05 </v>
      </c>
      <c r="O264" s="112"/>
    </row>
    <row r="265" spans="2:15" x14ac:dyDescent="0.25">
      <c r="B265" s="160" t="s">
        <v>670</v>
      </c>
      <c r="C265" s="135">
        <f t="shared" si="7"/>
        <v>42491</v>
      </c>
      <c r="D265" s="136" t="s">
        <v>6</v>
      </c>
      <c r="E265" s="137" t="s">
        <v>12</v>
      </c>
      <c r="F265" s="136" t="s">
        <v>11</v>
      </c>
      <c r="G265" s="137" t="str">
        <f t="shared" si="8"/>
        <v>General Service Small</v>
      </c>
      <c r="H265" s="138" t="s">
        <v>690</v>
      </c>
      <c r="I265" s="176" t="str">
        <f>TEXT(   (SUMPRODUCT( ((Main!$H$9:$H$1000)=$E265)*((Main!$J$9:$J$1000)=$F265)*((Main!$O$9:$O$1000)=$C265)*(Main!R$9:R$1000) ) +  ( SUMPRODUCT( ((Adders!$D$13:$D$101)=$E265)*((Adders!$E$13:$E$101)=$F265)*(Adders!G$13:G$101)) + VLOOKUP($H265,Adders!$B$5:$G$8,L$11,FALSE)  +  PA!$D$2 ) * IF($D265="NJ",1.07,1))/$L$10, CHOOSE($M$10,$L$9,$M$9) )</f>
        <v xml:space="preserve"> 72.04 </v>
      </c>
      <c r="J265" s="176" t="str">
        <f>TEXT(   (SUMPRODUCT( ((Main!$H$9:$H$1000)=$E265)*((Main!$J$9:$J$1000)=$F265)*((Main!$O$9:$O$1000)=$C265)*(Main!S$9:S$1000) ) +  ( SUMPRODUCT( ((Adders!$D$13:$D$101)=$E265)*((Adders!$E$13:$E$101)=$F265)*(Adders!H$13:H$101)) + VLOOKUP($H265,Adders!$B$5:$G$8,M$11,FALSE)  +  PA!$D$2 ) * IF($D265="NJ",1.07,1))/$L$10, CHOOSE($M$10,$L$9,$M$9) )</f>
        <v xml:space="preserve"> 72.58 </v>
      </c>
      <c r="K265" s="177" t="str">
        <f>TEXT(   (SUMPRODUCT( ((Main!$H$9:$H$1000)=$E265)*((Main!$J$9:$J$1000)=$F265)*((Main!$O$9:$O$1000)=$C265)*(Main!T$9:T$1000) ) +  ( SUMPRODUCT( ((Adders!$D$13:$D$101)=$E265)*((Adders!$E$13:$E$101)=$F265)*(Adders!I$13:I$101)) + VLOOKUP($H265,Adders!$B$5:$G$8,N$11,FALSE)  +  PA!$D$2 ) * IF($D265="NJ",1.07,1))/$L$10, CHOOSE($M$10,$L$9,$M$9) )</f>
        <v xml:space="preserve"> 72.50 </v>
      </c>
      <c r="L265" s="176" t="str">
        <f>IF(AND($D$11="IL",$E265="AMEREN"),"NA",TEXT((SUMPRODUCT(((LMPMain!$H$9:$H$1000)=$E265)*((LMPMain!$J$9:$J$1000)=$F265)*((LMPMain!$O$9:$O$1000)=$C265)*(LMPMain!R$9:R$1000))+(SUMPRODUCT(((Adders!$D$13:$D$101)=$E265)*((Adders!$E$13:$E$101)=$F265)*(Adders!G$13:G$101))+VLOOKUP($H265,Adders!$B$5:$G$8,L$11,FALSE)+Matrix!$D$2)*IF($D265="NJ",1.07,1))/$L$10,CHOOSE($M$10,$L$9,$M$9)))</f>
        <v xml:space="preserve"> 30.81 </v>
      </c>
      <c r="M265" s="176" t="str">
        <f>IF(AND($D$11="IL",$E265="AMEREN"),"NA",TEXT((SUMPRODUCT(((LMPMain!$H$9:$H$1000)=$E265)*((LMPMain!$J$9:$J$1000)=$F265)*((LMPMain!$O$9:$O$1000)=$C265)*(LMPMain!S$9:S$1000))+(SUMPRODUCT(((Adders!$D$13:$D$101)=$E265)*((Adders!$E$13:$E$101)=$F265)*(Adders!H$13:H$101))+VLOOKUP($H265,Adders!$B$5:$G$8,M$11,FALSE)+Matrix!$D$2)*IF($D265="NJ",1.07,1))/$L$10,CHOOSE($M$10,$L$9,$M$9)))</f>
        <v xml:space="preserve"> 32.06 </v>
      </c>
      <c r="N265" s="177" t="str">
        <f>IF(AND($D$11="IL",$E265="AMEREN"),"NA",TEXT((SUMPRODUCT(((LMPMain!$H$9:$H$1000)=$E265)*((LMPMain!$J$9:$J$1000)=$F265)*((LMPMain!$O$9:$O$1000)=$C265)*(LMPMain!T$9:T$1000))+(SUMPRODUCT(((Adders!$D$13:$D$101)=$E265)*((Adders!$E$13:$E$101)=$F265)*(Adders!G$13:G$101))+VLOOKUP($H265,Adders!$B$5:$G$8,N$11,FALSE)+Matrix!$D$2)*IF($D265="NJ",1.07,1))/$L$10,CHOOSE($M$10,$L$9,$M$9)))</f>
        <v xml:space="preserve"> 31.00 </v>
      </c>
      <c r="O265" s="112"/>
    </row>
    <row r="266" spans="2:15" x14ac:dyDescent="0.25">
      <c r="B266" s="160" t="s">
        <v>671</v>
      </c>
      <c r="C266" s="127">
        <f t="shared" si="7"/>
        <v>42156</v>
      </c>
      <c r="D266" s="128" t="s">
        <v>6</v>
      </c>
      <c r="E266" s="129" t="s">
        <v>13</v>
      </c>
      <c r="F266" s="128" t="s">
        <v>7</v>
      </c>
      <c r="G266" s="129" t="str">
        <f>VLOOKUP(SUMPRODUCT( ((LMPMain!$H$9:$H$1000)=$E266)*((LMPMain!$J$9:$J$1000)=$F266)*((LMPMain!$O$9:$O$1000)=$C266)*(LMPMain!A$9:A$1000)),LMPMain!$A$9:$K$1000,11,FALSE)</f>
        <v>General Service</v>
      </c>
      <c r="H266" s="130" t="s">
        <v>61</v>
      </c>
      <c r="I266" s="178" t="str">
        <f>TEXT(   (SUMPRODUCT( ((Main!$H$9:$H$1000)=$E266)*((Main!$J$9:$J$1000)=$F266)*((Main!$O$9:$O$1000)=$C266)*(Main!R$9:R$1000) ) +  ( SUMPRODUCT( ((Adders!$D$13:$D$101)=$E266)*((Adders!$E$13:$E$101)=$F266)*(Adders!G$13:G$101)) + VLOOKUP($H266,Adders!$B$5:$G$8,L$11,FALSE)  +  PA!$D$2 ) * IF($D266="NJ",1.07,1))/$L$10, CHOOSE($M$10,$L$9,$M$9) )</f>
        <v xml:space="preserve"> 82.41 </v>
      </c>
      <c r="J266" s="178" t="str">
        <f>TEXT(   (SUMPRODUCT( ((Main!$H$9:$H$1000)=$E266)*((Main!$J$9:$J$1000)=$F266)*((Main!$O$9:$O$1000)=$C266)*(Main!S$9:S$1000) ) +  ( SUMPRODUCT( ((Adders!$D$13:$D$101)=$E266)*((Adders!$E$13:$E$101)=$F266)*(Adders!H$13:H$101)) + VLOOKUP($H266,Adders!$B$5:$G$8,M$11,FALSE)  +  PA!$D$2 ) * IF($D266="NJ",1.07,1))/$L$10, CHOOSE($M$10,$L$9,$M$9) )</f>
        <v xml:space="preserve"> 79.81 </v>
      </c>
      <c r="K266" s="179" t="str">
        <f>TEXT(   (SUMPRODUCT( ((Main!$H$9:$H$1000)=$E266)*((Main!$J$9:$J$1000)=$F266)*((Main!$O$9:$O$1000)=$C266)*(Main!T$9:T$1000) ) +  ( SUMPRODUCT( ((Adders!$D$13:$D$101)=$E266)*((Adders!$E$13:$E$101)=$F266)*(Adders!I$13:I$101)) + VLOOKUP($H266,Adders!$B$5:$G$8,N$11,FALSE)  +  PA!$D$2 ) * IF($D266="NJ",1.07,1))/$L$10, CHOOSE($M$10,$L$9,$M$9) )</f>
        <v xml:space="preserve"> 80.30 </v>
      </c>
      <c r="L266" s="178" t="str">
        <f>IF(AND($D$11="IL",$E266="AMEREN"),"NA",TEXT((SUMPRODUCT(((LMPMain!$H$9:$H$1000)=$E266)*((LMPMain!$J$9:$J$1000)=$F266)*((LMPMain!$O$9:$O$1000)=$C266)*(LMPMain!R$9:R$1000))+(SUMPRODUCT(((Adders!$D$13:$D$101)=$E266)*((Adders!$E$13:$E$101)=$F266)*(Adders!G$13:G$101))+VLOOKUP($H266,Adders!$B$5:$G$8,L$11,FALSE)+Matrix!$D$2)*IF($D266="NJ",1.07,1))/$L$10,CHOOSE($M$10,$L$9,$M$9)))</f>
        <v xml:space="preserve"> 37.59 </v>
      </c>
      <c r="M266" s="178" t="str">
        <f>IF(AND($D$11="IL",$E266="AMEREN"),"NA",TEXT((SUMPRODUCT(((LMPMain!$H$9:$H$1000)=$E266)*((LMPMain!$J$9:$J$1000)=$F266)*((LMPMain!$O$9:$O$1000)=$C266)*(LMPMain!S$9:S$1000))+(SUMPRODUCT(((Adders!$D$13:$D$101)=$E266)*((Adders!$E$13:$E$101)=$F266)*(Adders!H$13:H$101))+VLOOKUP($H266,Adders!$B$5:$G$8,M$11,FALSE)+Matrix!$D$2)*IF($D266="NJ",1.07,1))/$L$10,CHOOSE($M$10,$L$9,$M$9)))</f>
        <v xml:space="preserve"> 35.61 </v>
      </c>
      <c r="N266" s="179" t="str">
        <f>IF(AND($D$11="IL",$E266="AMEREN"),"NA",TEXT((SUMPRODUCT(((LMPMain!$H$9:$H$1000)=$E266)*((LMPMain!$J$9:$J$1000)=$F266)*((LMPMain!$O$9:$O$1000)=$C266)*(LMPMain!T$9:T$1000))+(SUMPRODUCT(((Adders!$D$13:$D$101)=$E266)*((Adders!$E$13:$E$101)=$F266)*(Adders!G$13:G$101))+VLOOKUP($H266,Adders!$B$5:$G$8,N$11,FALSE)+Matrix!$D$2)*IF($D266="NJ",1.07,1))/$L$10,CHOOSE($M$10,$L$9,$M$9)))</f>
        <v xml:space="preserve"> 35.39 </v>
      </c>
      <c r="O266" s="112"/>
    </row>
    <row r="267" spans="2:15" x14ac:dyDescent="0.25">
      <c r="B267" s="160" t="s">
        <v>671</v>
      </c>
      <c r="C267" s="131">
        <f t="shared" si="7"/>
        <v>42156</v>
      </c>
      <c r="D267" s="132" t="s">
        <v>6</v>
      </c>
      <c r="E267" s="133" t="s">
        <v>13</v>
      </c>
      <c r="F267" s="132" t="s">
        <v>7</v>
      </c>
      <c r="G267" s="133" t="str">
        <f>G266</f>
        <v>General Service</v>
      </c>
      <c r="H267" s="134" t="s">
        <v>62</v>
      </c>
      <c r="I267" s="173" t="str">
        <f>TEXT(   (SUMPRODUCT( ((Main!$H$9:$H$1000)=$E267)*((Main!$J$9:$J$1000)=$F267)*((Main!$O$9:$O$1000)=$C267)*(Main!R$9:R$1000) ) +  ( SUMPRODUCT( ((Adders!$D$13:$D$101)=$E267)*((Adders!$E$13:$E$101)=$F267)*(Adders!G$13:G$101)) + VLOOKUP($H267,Adders!$B$5:$G$8,L$11,FALSE)  +  PA!$D$2 ) * IF($D267="NJ",1.07,1))/$L$10, CHOOSE($M$10,$L$9,$M$9) )</f>
        <v xml:space="preserve"> 80.81 </v>
      </c>
      <c r="J267" s="173" t="str">
        <f>TEXT(   (SUMPRODUCT( ((Main!$H$9:$H$1000)=$E267)*((Main!$J$9:$J$1000)=$F267)*((Main!$O$9:$O$1000)=$C267)*(Main!S$9:S$1000) ) +  ( SUMPRODUCT( ((Adders!$D$13:$D$101)=$E267)*((Adders!$E$13:$E$101)=$F267)*(Adders!H$13:H$101)) + VLOOKUP($H267,Adders!$B$5:$G$8,M$11,FALSE)  +  PA!$D$2 ) * IF($D267="NJ",1.07,1))/$L$10, CHOOSE($M$10,$L$9,$M$9) )</f>
        <v xml:space="preserve"> 78.21 </v>
      </c>
      <c r="K267" s="174" t="str">
        <f>TEXT(   (SUMPRODUCT( ((Main!$H$9:$H$1000)=$E267)*((Main!$J$9:$J$1000)=$F267)*((Main!$O$9:$O$1000)=$C267)*(Main!T$9:T$1000) ) +  ( SUMPRODUCT( ((Adders!$D$13:$D$101)=$E267)*((Adders!$E$13:$E$101)=$F267)*(Adders!I$13:I$101)) + VLOOKUP($H267,Adders!$B$5:$G$8,N$11,FALSE)  +  PA!$D$2 ) * IF($D267="NJ",1.07,1))/$L$10, CHOOSE($M$10,$L$9,$M$9) )</f>
        <v xml:space="preserve"> 78.70 </v>
      </c>
      <c r="L267" s="173" t="str">
        <f>IF(AND($D$11="IL",$E267="AMEREN"),"NA",TEXT((SUMPRODUCT(((LMPMain!$H$9:$H$1000)=$E267)*((LMPMain!$J$9:$J$1000)=$F267)*((LMPMain!$O$9:$O$1000)=$C267)*(LMPMain!R$9:R$1000))+(SUMPRODUCT(((Adders!$D$13:$D$101)=$E267)*((Adders!$E$13:$E$101)=$F267)*(Adders!G$13:G$101))+VLOOKUP($H267,Adders!$B$5:$G$8,L$11,FALSE)+Matrix!$D$2)*IF($D267="NJ",1.07,1))/$L$10,CHOOSE($M$10,$L$9,$M$9)))</f>
        <v xml:space="preserve"> 35.99 </v>
      </c>
      <c r="M267" s="173" t="str">
        <f>IF(AND($D$11="IL",$E267="AMEREN"),"NA",TEXT((SUMPRODUCT(((LMPMain!$H$9:$H$1000)=$E267)*((LMPMain!$J$9:$J$1000)=$F267)*((LMPMain!$O$9:$O$1000)=$C267)*(LMPMain!S$9:S$1000))+(SUMPRODUCT(((Adders!$D$13:$D$101)=$E267)*((Adders!$E$13:$E$101)=$F267)*(Adders!H$13:H$101))+VLOOKUP($H267,Adders!$B$5:$G$8,M$11,FALSE)+Matrix!$D$2)*IF($D267="NJ",1.07,1))/$L$10,CHOOSE($M$10,$L$9,$M$9)))</f>
        <v xml:space="preserve"> 34.01 </v>
      </c>
      <c r="N267" s="174" t="str">
        <f>IF(AND($D$11="IL",$E267="AMEREN"),"NA",TEXT((SUMPRODUCT(((LMPMain!$H$9:$H$1000)=$E267)*((LMPMain!$J$9:$J$1000)=$F267)*((LMPMain!$O$9:$O$1000)=$C267)*(LMPMain!T$9:T$1000))+(SUMPRODUCT(((Adders!$D$13:$D$101)=$E267)*((Adders!$E$13:$E$101)=$F267)*(Adders!G$13:G$101))+VLOOKUP($H267,Adders!$B$5:$G$8,N$11,FALSE)+Matrix!$D$2)*IF($D267="NJ",1.07,1))/$L$10,CHOOSE($M$10,$L$9,$M$9)))</f>
        <v xml:space="preserve"> 33.79 </v>
      </c>
      <c r="O267" s="112"/>
    </row>
    <row r="268" spans="2:15" x14ac:dyDescent="0.25">
      <c r="B268" s="160" t="s">
        <v>671</v>
      </c>
      <c r="C268" s="135">
        <f t="shared" si="7"/>
        <v>42156</v>
      </c>
      <c r="D268" s="136" t="s">
        <v>6</v>
      </c>
      <c r="E268" s="137" t="s">
        <v>13</v>
      </c>
      <c r="F268" s="136" t="s">
        <v>7</v>
      </c>
      <c r="G268" s="137" t="str">
        <f>G267</f>
        <v>General Service</v>
      </c>
      <c r="H268" s="138" t="s">
        <v>690</v>
      </c>
      <c r="I268" s="176" t="str">
        <f>TEXT(   (SUMPRODUCT( ((Main!$H$9:$H$1000)=$E268)*((Main!$J$9:$J$1000)=$F268)*((Main!$O$9:$O$1000)=$C268)*(Main!R$9:R$1000) ) +  ( SUMPRODUCT( ((Adders!$D$13:$D$101)=$E268)*((Adders!$E$13:$E$101)=$F268)*(Adders!G$13:G$101)) + VLOOKUP($H268,Adders!$B$5:$G$8,L$11,FALSE)  +  PA!$D$2 ) * IF($D268="NJ",1.07,1))/$L$10, CHOOSE($M$10,$L$9,$M$9) )</f>
        <v xml:space="preserve"> 79.76 </v>
      </c>
      <c r="J268" s="176" t="str">
        <f>TEXT(   (SUMPRODUCT( ((Main!$H$9:$H$1000)=$E268)*((Main!$J$9:$J$1000)=$F268)*((Main!$O$9:$O$1000)=$C268)*(Main!S$9:S$1000) ) +  ( SUMPRODUCT( ((Adders!$D$13:$D$101)=$E268)*((Adders!$E$13:$E$101)=$F268)*(Adders!H$13:H$101)) + VLOOKUP($H268,Adders!$B$5:$G$8,M$11,FALSE)  +  PA!$D$2 ) * IF($D268="NJ",1.07,1))/$L$10, CHOOSE($M$10,$L$9,$M$9) )</f>
        <v xml:space="preserve"> 77.16 </v>
      </c>
      <c r="K268" s="177" t="str">
        <f>TEXT(   (SUMPRODUCT( ((Main!$H$9:$H$1000)=$E268)*((Main!$J$9:$J$1000)=$F268)*((Main!$O$9:$O$1000)=$C268)*(Main!T$9:T$1000) ) +  ( SUMPRODUCT( ((Adders!$D$13:$D$101)=$E268)*((Adders!$E$13:$E$101)=$F268)*(Adders!I$13:I$101)) + VLOOKUP($H268,Adders!$B$5:$G$8,N$11,FALSE)  +  PA!$D$2 ) * IF($D268="NJ",1.07,1))/$L$10, CHOOSE($M$10,$L$9,$M$9) )</f>
        <v xml:space="preserve"> 77.65 </v>
      </c>
      <c r="L268" s="176" t="str">
        <f>IF(AND($D$11="IL",$E268="AMEREN"),"NA",TEXT((SUMPRODUCT(((LMPMain!$H$9:$H$1000)=$E268)*((LMPMain!$J$9:$J$1000)=$F268)*((LMPMain!$O$9:$O$1000)=$C268)*(LMPMain!R$9:R$1000))+(SUMPRODUCT(((Adders!$D$13:$D$101)=$E268)*((Adders!$E$13:$E$101)=$F268)*(Adders!G$13:G$101))+VLOOKUP($H268,Adders!$B$5:$G$8,L$11,FALSE)+Matrix!$D$2)*IF($D268="NJ",1.07,1))/$L$10,CHOOSE($M$10,$L$9,$M$9)))</f>
        <v xml:space="preserve"> 34.94 </v>
      </c>
      <c r="M268" s="176" t="str">
        <f>IF(AND($D$11="IL",$E268="AMEREN"),"NA",TEXT((SUMPRODUCT(((LMPMain!$H$9:$H$1000)=$E268)*((LMPMain!$J$9:$J$1000)=$F268)*((LMPMain!$O$9:$O$1000)=$C268)*(LMPMain!S$9:S$1000))+(SUMPRODUCT(((Adders!$D$13:$D$101)=$E268)*((Adders!$E$13:$E$101)=$F268)*(Adders!H$13:H$101))+VLOOKUP($H268,Adders!$B$5:$G$8,M$11,FALSE)+Matrix!$D$2)*IF($D268="NJ",1.07,1))/$L$10,CHOOSE($M$10,$L$9,$M$9)))</f>
        <v xml:space="preserve"> 32.96 </v>
      </c>
      <c r="N268" s="177" t="str">
        <f>IF(AND($D$11="IL",$E268="AMEREN"),"NA",TEXT((SUMPRODUCT(((LMPMain!$H$9:$H$1000)=$E268)*((LMPMain!$J$9:$J$1000)=$F268)*((LMPMain!$O$9:$O$1000)=$C268)*(LMPMain!T$9:T$1000))+(SUMPRODUCT(((Adders!$D$13:$D$101)=$E268)*((Adders!$E$13:$E$101)=$F268)*(Adders!G$13:G$101))+VLOOKUP($H268,Adders!$B$5:$G$8,N$11,FALSE)+Matrix!$D$2)*IF($D268="NJ",1.07,1))/$L$10,CHOOSE($M$10,$L$9,$M$9)))</f>
        <v xml:space="preserve"> 32.74 </v>
      </c>
      <c r="O268" s="112"/>
    </row>
    <row r="269" spans="2:15" x14ac:dyDescent="0.25">
      <c r="B269" s="160" t="s">
        <v>671</v>
      </c>
      <c r="C269" s="127">
        <f t="shared" si="7"/>
        <v>42186</v>
      </c>
      <c r="D269" s="128" t="s">
        <v>6</v>
      </c>
      <c r="E269" s="129" t="s">
        <v>13</v>
      </c>
      <c r="F269" s="128" t="s">
        <v>7</v>
      </c>
      <c r="G269" s="129" t="str">
        <f t="shared" si="8"/>
        <v>General Service</v>
      </c>
      <c r="H269" s="130" t="s">
        <v>61</v>
      </c>
      <c r="I269" s="178" t="str">
        <f>TEXT(   (SUMPRODUCT( ((Main!$H$9:$H$1000)=$E269)*((Main!$J$9:$J$1000)=$F269)*((Main!$O$9:$O$1000)=$C269)*(Main!R$9:R$1000) ) +  ( SUMPRODUCT( ((Adders!$D$13:$D$101)=$E269)*((Adders!$E$13:$E$101)=$F269)*(Adders!G$13:G$101)) + VLOOKUP($H269,Adders!$B$5:$G$8,L$11,FALSE)  +  PA!$D$2 ) * IF($D269="NJ",1.07,1))/$L$10, CHOOSE($M$10,$L$9,$M$9) )</f>
        <v xml:space="preserve"> 82.12 </v>
      </c>
      <c r="J269" s="178" t="str">
        <f>TEXT(   (SUMPRODUCT( ((Main!$H$9:$H$1000)=$E269)*((Main!$J$9:$J$1000)=$F269)*((Main!$O$9:$O$1000)=$C269)*(Main!S$9:S$1000) ) +  ( SUMPRODUCT( ((Adders!$D$13:$D$101)=$E269)*((Adders!$E$13:$E$101)=$F269)*(Adders!H$13:H$101)) + VLOOKUP($H269,Adders!$B$5:$G$8,M$11,FALSE)  +  PA!$D$2 ) * IF($D269="NJ",1.07,1))/$L$10, CHOOSE($M$10,$L$9,$M$9) )</f>
        <v xml:space="preserve"> 79.77 </v>
      </c>
      <c r="K269" s="179" t="str">
        <f>TEXT(   (SUMPRODUCT( ((Main!$H$9:$H$1000)=$E269)*((Main!$J$9:$J$1000)=$F269)*((Main!$O$9:$O$1000)=$C269)*(Main!T$9:T$1000) ) +  ( SUMPRODUCT( ((Adders!$D$13:$D$101)=$E269)*((Adders!$E$13:$E$101)=$F269)*(Adders!I$13:I$101)) + VLOOKUP($H269,Adders!$B$5:$G$8,N$11,FALSE)  +  PA!$D$2 ) * IF($D269="NJ",1.07,1))/$L$10, CHOOSE($M$10,$L$9,$M$9) )</f>
        <v xml:space="preserve"> 80.18 </v>
      </c>
      <c r="L269" s="178" t="str">
        <f>IF(AND($D$11="IL",$E269="AMEREN"),"NA",TEXT((SUMPRODUCT(((LMPMain!$H$9:$H$1000)=$E269)*((LMPMain!$J$9:$J$1000)=$F269)*((LMPMain!$O$9:$O$1000)=$C269)*(LMPMain!R$9:R$1000))+(SUMPRODUCT(((Adders!$D$13:$D$101)=$E269)*((Adders!$E$13:$E$101)=$F269)*(Adders!G$13:G$101))+VLOOKUP($H269,Adders!$B$5:$G$8,L$11,FALSE)+Matrix!$D$2)*IF($D269="NJ",1.07,1))/$L$10,CHOOSE($M$10,$L$9,$M$9)))</f>
        <v xml:space="preserve"> 37.23 </v>
      </c>
      <c r="M269" s="178" t="str">
        <f>IF(AND($D$11="IL",$E269="AMEREN"),"NA",TEXT((SUMPRODUCT(((LMPMain!$H$9:$H$1000)=$E269)*((LMPMain!$J$9:$J$1000)=$F269)*((LMPMain!$O$9:$O$1000)=$C269)*(LMPMain!S$9:S$1000))+(SUMPRODUCT(((Adders!$D$13:$D$101)=$E269)*((Adders!$E$13:$E$101)=$F269)*(Adders!H$13:H$101))+VLOOKUP($H269,Adders!$B$5:$G$8,M$11,FALSE)+Matrix!$D$2)*IF($D269="NJ",1.07,1))/$L$10,CHOOSE($M$10,$L$9,$M$9)))</f>
        <v xml:space="preserve"> 35.57 </v>
      </c>
      <c r="N269" s="179" t="str">
        <f>IF(AND($D$11="IL",$E269="AMEREN"),"NA",TEXT((SUMPRODUCT(((LMPMain!$H$9:$H$1000)=$E269)*((LMPMain!$J$9:$J$1000)=$F269)*((LMPMain!$O$9:$O$1000)=$C269)*(LMPMain!T$9:T$1000))+(SUMPRODUCT(((Adders!$D$13:$D$101)=$E269)*((Adders!$E$13:$E$101)=$F269)*(Adders!G$13:G$101))+VLOOKUP($H269,Adders!$B$5:$G$8,N$11,FALSE)+Matrix!$D$2)*IF($D269="NJ",1.07,1))/$L$10,CHOOSE($M$10,$L$9,$M$9)))</f>
        <v xml:space="preserve"> 35.23 </v>
      </c>
      <c r="O269" s="112"/>
    </row>
    <row r="270" spans="2:15" x14ac:dyDescent="0.25">
      <c r="B270" s="160" t="s">
        <v>671</v>
      </c>
      <c r="C270" s="131">
        <f t="shared" si="7"/>
        <v>42186</v>
      </c>
      <c r="D270" s="132" t="s">
        <v>6</v>
      </c>
      <c r="E270" s="133" t="s">
        <v>13</v>
      </c>
      <c r="F270" s="132" t="s">
        <v>7</v>
      </c>
      <c r="G270" s="133" t="str">
        <f t="shared" si="8"/>
        <v>General Service</v>
      </c>
      <c r="H270" s="134" t="s">
        <v>62</v>
      </c>
      <c r="I270" s="173" t="str">
        <f>TEXT(   (SUMPRODUCT( ((Main!$H$9:$H$1000)=$E270)*((Main!$J$9:$J$1000)=$F270)*((Main!$O$9:$O$1000)=$C270)*(Main!R$9:R$1000) ) +  ( SUMPRODUCT( ((Adders!$D$13:$D$101)=$E270)*((Adders!$E$13:$E$101)=$F270)*(Adders!G$13:G$101)) + VLOOKUP($H270,Adders!$B$5:$G$8,L$11,FALSE)  +  PA!$D$2 ) * IF($D270="NJ",1.07,1))/$L$10, CHOOSE($M$10,$L$9,$M$9) )</f>
        <v xml:space="preserve"> 80.52 </v>
      </c>
      <c r="J270" s="173" t="str">
        <f>TEXT(   (SUMPRODUCT( ((Main!$H$9:$H$1000)=$E270)*((Main!$J$9:$J$1000)=$F270)*((Main!$O$9:$O$1000)=$C270)*(Main!S$9:S$1000) ) +  ( SUMPRODUCT( ((Adders!$D$13:$D$101)=$E270)*((Adders!$E$13:$E$101)=$F270)*(Adders!H$13:H$101)) + VLOOKUP($H270,Adders!$B$5:$G$8,M$11,FALSE)  +  PA!$D$2 ) * IF($D270="NJ",1.07,1))/$L$10, CHOOSE($M$10,$L$9,$M$9) )</f>
        <v xml:space="preserve"> 78.17 </v>
      </c>
      <c r="K270" s="174" t="str">
        <f>TEXT(   (SUMPRODUCT( ((Main!$H$9:$H$1000)=$E270)*((Main!$J$9:$J$1000)=$F270)*((Main!$O$9:$O$1000)=$C270)*(Main!T$9:T$1000) ) +  ( SUMPRODUCT( ((Adders!$D$13:$D$101)=$E270)*((Adders!$E$13:$E$101)=$F270)*(Adders!I$13:I$101)) + VLOOKUP($H270,Adders!$B$5:$G$8,N$11,FALSE)  +  PA!$D$2 ) * IF($D270="NJ",1.07,1))/$L$10, CHOOSE($M$10,$L$9,$M$9) )</f>
        <v xml:space="preserve"> 78.58 </v>
      </c>
      <c r="L270" s="173" t="str">
        <f>IF(AND($D$11="IL",$E270="AMEREN"),"NA",TEXT((SUMPRODUCT(((LMPMain!$H$9:$H$1000)=$E270)*((LMPMain!$J$9:$J$1000)=$F270)*((LMPMain!$O$9:$O$1000)=$C270)*(LMPMain!R$9:R$1000))+(SUMPRODUCT(((Adders!$D$13:$D$101)=$E270)*((Adders!$E$13:$E$101)=$F270)*(Adders!G$13:G$101))+VLOOKUP($H270,Adders!$B$5:$G$8,L$11,FALSE)+Matrix!$D$2)*IF($D270="NJ",1.07,1))/$L$10,CHOOSE($M$10,$L$9,$M$9)))</f>
        <v xml:space="preserve"> 35.63 </v>
      </c>
      <c r="M270" s="173" t="str">
        <f>IF(AND($D$11="IL",$E270="AMEREN"),"NA",TEXT((SUMPRODUCT(((LMPMain!$H$9:$H$1000)=$E270)*((LMPMain!$J$9:$J$1000)=$F270)*((LMPMain!$O$9:$O$1000)=$C270)*(LMPMain!S$9:S$1000))+(SUMPRODUCT(((Adders!$D$13:$D$101)=$E270)*((Adders!$E$13:$E$101)=$F270)*(Adders!H$13:H$101))+VLOOKUP($H270,Adders!$B$5:$G$8,M$11,FALSE)+Matrix!$D$2)*IF($D270="NJ",1.07,1))/$L$10,CHOOSE($M$10,$L$9,$M$9)))</f>
        <v xml:space="preserve"> 33.97 </v>
      </c>
      <c r="N270" s="174" t="str">
        <f>IF(AND($D$11="IL",$E270="AMEREN"),"NA",TEXT((SUMPRODUCT(((LMPMain!$H$9:$H$1000)=$E270)*((LMPMain!$J$9:$J$1000)=$F270)*((LMPMain!$O$9:$O$1000)=$C270)*(LMPMain!T$9:T$1000))+(SUMPRODUCT(((Adders!$D$13:$D$101)=$E270)*((Adders!$E$13:$E$101)=$F270)*(Adders!G$13:G$101))+VLOOKUP($H270,Adders!$B$5:$G$8,N$11,FALSE)+Matrix!$D$2)*IF($D270="NJ",1.07,1))/$L$10,CHOOSE($M$10,$L$9,$M$9)))</f>
        <v xml:space="preserve"> 33.63 </v>
      </c>
      <c r="O270" s="112"/>
    </row>
    <row r="271" spans="2:15" x14ac:dyDescent="0.25">
      <c r="B271" s="160" t="s">
        <v>671</v>
      </c>
      <c r="C271" s="135">
        <f t="shared" si="7"/>
        <v>42186</v>
      </c>
      <c r="D271" s="136" t="s">
        <v>6</v>
      </c>
      <c r="E271" s="137" t="s">
        <v>13</v>
      </c>
      <c r="F271" s="136" t="s">
        <v>7</v>
      </c>
      <c r="G271" s="137" t="str">
        <f t="shared" si="8"/>
        <v>General Service</v>
      </c>
      <c r="H271" s="138" t="s">
        <v>690</v>
      </c>
      <c r="I271" s="176" t="str">
        <f>TEXT(   (SUMPRODUCT( ((Main!$H$9:$H$1000)=$E271)*((Main!$J$9:$J$1000)=$F271)*((Main!$O$9:$O$1000)=$C271)*(Main!R$9:R$1000) ) +  ( SUMPRODUCT( ((Adders!$D$13:$D$101)=$E271)*((Adders!$E$13:$E$101)=$F271)*(Adders!G$13:G$101)) + VLOOKUP($H271,Adders!$B$5:$G$8,L$11,FALSE)  +  PA!$D$2 ) * IF($D271="NJ",1.07,1))/$L$10, CHOOSE($M$10,$L$9,$M$9) )</f>
        <v xml:space="preserve"> 79.47 </v>
      </c>
      <c r="J271" s="176" t="str">
        <f>TEXT(   (SUMPRODUCT( ((Main!$H$9:$H$1000)=$E271)*((Main!$J$9:$J$1000)=$F271)*((Main!$O$9:$O$1000)=$C271)*(Main!S$9:S$1000) ) +  ( SUMPRODUCT( ((Adders!$D$13:$D$101)=$E271)*((Adders!$E$13:$E$101)=$F271)*(Adders!H$13:H$101)) + VLOOKUP($H271,Adders!$B$5:$G$8,M$11,FALSE)  +  PA!$D$2 ) * IF($D271="NJ",1.07,1))/$L$10, CHOOSE($M$10,$L$9,$M$9) )</f>
        <v xml:space="preserve"> 77.12 </v>
      </c>
      <c r="K271" s="177" t="str">
        <f>TEXT(   (SUMPRODUCT( ((Main!$H$9:$H$1000)=$E271)*((Main!$J$9:$J$1000)=$F271)*((Main!$O$9:$O$1000)=$C271)*(Main!T$9:T$1000) ) +  ( SUMPRODUCT( ((Adders!$D$13:$D$101)=$E271)*((Adders!$E$13:$E$101)=$F271)*(Adders!I$13:I$101)) + VLOOKUP($H271,Adders!$B$5:$G$8,N$11,FALSE)  +  PA!$D$2 ) * IF($D271="NJ",1.07,1))/$L$10, CHOOSE($M$10,$L$9,$M$9) )</f>
        <v xml:space="preserve"> 77.53 </v>
      </c>
      <c r="L271" s="176" t="str">
        <f>IF(AND($D$11="IL",$E271="AMEREN"),"NA",TEXT((SUMPRODUCT(((LMPMain!$H$9:$H$1000)=$E271)*((LMPMain!$J$9:$J$1000)=$F271)*((LMPMain!$O$9:$O$1000)=$C271)*(LMPMain!R$9:R$1000))+(SUMPRODUCT(((Adders!$D$13:$D$101)=$E271)*((Adders!$E$13:$E$101)=$F271)*(Adders!G$13:G$101))+VLOOKUP($H271,Adders!$B$5:$G$8,L$11,FALSE)+Matrix!$D$2)*IF($D271="NJ",1.07,1))/$L$10,CHOOSE($M$10,$L$9,$M$9)))</f>
        <v xml:space="preserve"> 34.58 </v>
      </c>
      <c r="M271" s="176" t="str">
        <f>IF(AND($D$11="IL",$E271="AMEREN"),"NA",TEXT((SUMPRODUCT(((LMPMain!$H$9:$H$1000)=$E271)*((LMPMain!$J$9:$J$1000)=$F271)*((LMPMain!$O$9:$O$1000)=$C271)*(LMPMain!S$9:S$1000))+(SUMPRODUCT(((Adders!$D$13:$D$101)=$E271)*((Adders!$E$13:$E$101)=$F271)*(Adders!H$13:H$101))+VLOOKUP($H271,Adders!$B$5:$G$8,M$11,FALSE)+Matrix!$D$2)*IF($D271="NJ",1.07,1))/$L$10,CHOOSE($M$10,$L$9,$M$9)))</f>
        <v xml:space="preserve"> 32.92 </v>
      </c>
      <c r="N271" s="177" t="str">
        <f>IF(AND($D$11="IL",$E271="AMEREN"),"NA",TEXT((SUMPRODUCT(((LMPMain!$H$9:$H$1000)=$E271)*((LMPMain!$J$9:$J$1000)=$F271)*((LMPMain!$O$9:$O$1000)=$C271)*(LMPMain!T$9:T$1000))+(SUMPRODUCT(((Adders!$D$13:$D$101)=$E271)*((Adders!$E$13:$E$101)=$F271)*(Adders!G$13:G$101))+VLOOKUP($H271,Adders!$B$5:$G$8,N$11,FALSE)+Matrix!$D$2)*IF($D271="NJ",1.07,1))/$L$10,CHOOSE($M$10,$L$9,$M$9)))</f>
        <v xml:space="preserve"> 32.58 </v>
      </c>
      <c r="O271" s="112"/>
    </row>
    <row r="272" spans="2:15" x14ac:dyDescent="0.25">
      <c r="B272" s="160" t="s">
        <v>671</v>
      </c>
      <c r="C272" s="127">
        <f t="shared" si="7"/>
        <v>42217</v>
      </c>
      <c r="D272" s="128" t="s">
        <v>6</v>
      </c>
      <c r="E272" s="129" t="s">
        <v>13</v>
      </c>
      <c r="F272" s="128" t="s">
        <v>7</v>
      </c>
      <c r="G272" s="129" t="str">
        <f t="shared" si="8"/>
        <v>General Service</v>
      </c>
      <c r="H272" s="130" t="s">
        <v>61</v>
      </c>
      <c r="I272" s="178" t="str">
        <f>TEXT(   (SUMPRODUCT( ((Main!$H$9:$H$1000)=$E272)*((Main!$J$9:$J$1000)=$F272)*((Main!$O$9:$O$1000)=$C272)*(Main!R$9:R$1000) ) +  ( SUMPRODUCT( ((Adders!$D$13:$D$101)=$E272)*((Adders!$E$13:$E$101)=$F272)*(Adders!G$13:G$101)) + VLOOKUP($H272,Adders!$B$5:$G$8,L$11,FALSE)  +  PA!$D$2 ) * IF($D272="NJ",1.07,1))/$L$10, CHOOSE($M$10,$L$9,$M$9) )</f>
        <v xml:space="preserve"> 81.49 </v>
      </c>
      <c r="J272" s="178" t="str">
        <f>TEXT(   (SUMPRODUCT( ((Main!$H$9:$H$1000)=$E272)*((Main!$J$9:$J$1000)=$F272)*((Main!$O$9:$O$1000)=$C272)*(Main!S$9:S$1000) ) +  ( SUMPRODUCT( ((Adders!$D$13:$D$101)=$E272)*((Adders!$E$13:$E$101)=$F272)*(Adders!H$13:H$101)) + VLOOKUP($H272,Adders!$B$5:$G$8,M$11,FALSE)  +  PA!$D$2 ) * IF($D272="NJ",1.07,1))/$L$10, CHOOSE($M$10,$L$9,$M$9) )</f>
        <v xml:space="preserve"> 80.24 </v>
      </c>
      <c r="K272" s="179" t="str">
        <f>TEXT(   (SUMPRODUCT( ((Main!$H$9:$H$1000)=$E272)*((Main!$J$9:$J$1000)=$F272)*((Main!$O$9:$O$1000)=$C272)*(Main!T$9:T$1000) ) +  ( SUMPRODUCT( ((Adders!$D$13:$D$101)=$E272)*((Adders!$E$13:$E$101)=$F272)*(Adders!I$13:I$101)) + VLOOKUP($H272,Adders!$B$5:$G$8,N$11,FALSE)  +  PA!$D$2 ) * IF($D272="NJ",1.07,1))/$L$10, CHOOSE($M$10,$L$9,$M$9) )</f>
        <v xml:space="preserve"> 79.99 </v>
      </c>
      <c r="L272" s="178" t="str">
        <f>IF(AND($D$11="IL",$E272="AMEREN"),"NA",TEXT((SUMPRODUCT(((LMPMain!$H$9:$H$1000)=$E272)*((LMPMain!$J$9:$J$1000)=$F272)*((LMPMain!$O$9:$O$1000)=$C272)*(LMPMain!R$9:R$1000))+(SUMPRODUCT(((Adders!$D$13:$D$101)=$E272)*((Adders!$E$13:$E$101)=$F272)*(Adders!G$13:G$101))+VLOOKUP($H272,Adders!$B$5:$G$8,L$11,FALSE)+Matrix!$D$2)*IF($D272="NJ",1.07,1))/$L$10,CHOOSE($M$10,$L$9,$M$9)))</f>
        <v xml:space="preserve"> 36.85 </v>
      </c>
      <c r="M272" s="178" t="str">
        <f>IF(AND($D$11="IL",$E272="AMEREN"),"NA",TEXT((SUMPRODUCT(((LMPMain!$H$9:$H$1000)=$E272)*((LMPMain!$J$9:$J$1000)=$F272)*((LMPMain!$O$9:$O$1000)=$C272)*(LMPMain!S$9:S$1000))+(SUMPRODUCT(((Adders!$D$13:$D$101)=$E272)*((Adders!$E$13:$E$101)=$F272)*(Adders!H$13:H$101))+VLOOKUP($H272,Adders!$B$5:$G$8,M$11,FALSE)+Matrix!$D$2)*IF($D272="NJ",1.07,1))/$L$10,CHOOSE($M$10,$L$9,$M$9)))</f>
        <v xml:space="preserve"> 35.76 </v>
      </c>
      <c r="N272" s="179" t="str">
        <f>IF(AND($D$11="IL",$E272="AMEREN"),"NA",TEXT((SUMPRODUCT(((LMPMain!$H$9:$H$1000)=$E272)*((LMPMain!$J$9:$J$1000)=$F272)*((LMPMain!$O$9:$O$1000)=$C272)*(LMPMain!T$9:T$1000))+(SUMPRODUCT(((Adders!$D$13:$D$101)=$E272)*((Adders!$E$13:$E$101)=$F272)*(Adders!G$13:G$101))+VLOOKUP($H272,Adders!$B$5:$G$8,N$11,FALSE)+Matrix!$D$2)*IF($D272="NJ",1.07,1))/$L$10,CHOOSE($M$10,$L$9,$M$9)))</f>
        <v xml:space="preserve"> 35.07 </v>
      </c>
      <c r="O272" s="112"/>
    </row>
    <row r="273" spans="2:15" x14ac:dyDescent="0.25">
      <c r="B273" s="160" t="s">
        <v>671</v>
      </c>
      <c r="C273" s="131">
        <f t="shared" si="7"/>
        <v>42217</v>
      </c>
      <c r="D273" s="132" t="s">
        <v>6</v>
      </c>
      <c r="E273" s="133" t="s">
        <v>13</v>
      </c>
      <c r="F273" s="132" t="s">
        <v>7</v>
      </c>
      <c r="G273" s="133" t="str">
        <f t="shared" si="8"/>
        <v>General Service</v>
      </c>
      <c r="H273" s="134" t="s">
        <v>62</v>
      </c>
      <c r="I273" s="173" t="str">
        <f>TEXT(   (SUMPRODUCT( ((Main!$H$9:$H$1000)=$E273)*((Main!$J$9:$J$1000)=$F273)*((Main!$O$9:$O$1000)=$C273)*(Main!R$9:R$1000) ) +  ( SUMPRODUCT( ((Adders!$D$13:$D$101)=$E273)*((Adders!$E$13:$E$101)=$F273)*(Adders!G$13:G$101)) + VLOOKUP($H273,Adders!$B$5:$G$8,L$11,FALSE)  +  PA!$D$2 ) * IF($D273="NJ",1.07,1))/$L$10, CHOOSE($M$10,$L$9,$M$9) )</f>
        <v xml:space="preserve"> 79.89 </v>
      </c>
      <c r="J273" s="173" t="str">
        <f>TEXT(   (SUMPRODUCT( ((Main!$H$9:$H$1000)=$E273)*((Main!$J$9:$J$1000)=$F273)*((Main!$O$9:$O$1000)=$C273)*(Main!S$9:S$1000) ) +  ( SUMPRODUCT( ((Adders!$D$13:$D$101)=$E273)*((Adders!$E$13:$E$101)=$F273)*(Adders!H$13:H$101)) + VLOOKUP($H273,Adders!$B$5:$G$8,M$11,FALSE)  +  PA!$D$2 ) * IF($D273="NJ",1.07,1))/$L$10, CHOOSE($M$10,$L$9,$M$9) )</f>
        <v xml:space="preserve"> 78.64 </v>
      </c>
      <c r="K273" s="174" t="str">
        <f>TEXT(   (SUMPRODUCT( ((Main!$H$9:$H$1000)=$E273)*((Main!$J$9:$J$1000)=$F273)*((Main!$O$9:$O$1000)=$C273)*(Main!T$9:T$1000) ) +  ( SUMPRODUCT( ((Adders!$D$13:$D$101)=$E273)*((Adders!$E$13:$E$101)=$F273)*(Adders!I$13:I$101)) + VLOOKUP($H273,Adders!$B$5:$G$8,N$11,FALSE)  +  PA!$D$2 ) * IF($D273="NJ",1.07,1))/$L$10, CHOOSE($M$10,$L$9,$M$9) )</f>
        <v xml:space="preserve"> 78.39 </v>
      </c>
      <c r="L273" s="173" t="str">
        <f>IF(AND($D$11="IL",$E273="AMEREN"),"NA",TEXT((SUMPRODUCT(((LMPMain!$H$9:$H$1000)=$E273)*((LMPMain!$J$9:$J$1000)=$F273)*((LMPMain!$O$9:$O$1000)=$C273)*(LMPMain!R$9:R$1000))+(SUMPRODUCT(((Adders!$D$13:$D$101)=$E273)*((Adders!$E$13:$E$101)=$F273)*(Adders!G$13:G$101))+VLOOKUP($H273,Adders!$B$5:$G$8,L$11,FALSE)+Matrix!$D$2)*IF($D273="NJ",1.07,1))/$L$10,CHOOSE($M$10,$L$9,$M$9)))</f>
        <v xml:space="preserve"> 35.25 </v>
      </c>
      <c r="M273" s="173" t="str">
        <f>IF(AND($D$11="IL",$E273="AMEREN"),"NA",TEXT((SUMPRODUCT(((LMPMain!$H$9:$H$1000)=$E273)*((LMPMain!$J$9:$J$1000)=$F273)*((LMPMain!$O$9:$O$1000)=$C273)*(LMPMain!S$9:S$1000))+(SUMPRODUCT(((Adders!$D$13:$D$101)=$E273)*((Adders!$E$13:$E$101)=$F273)*(Adders!H$13:H$101))+VLOOKUP($H273,Adders!$B$5:$G$8,M$11,FALSE)+Matrix!$D$2)*IF($D273="NJ",1.07,1))/$L$10,CHOOSE($M$10,$L$9,$M$9)))</f>
        <v xml:space="preserve"> 34.16 </v>
      </c>
      <c r="N273" s="174" t="str">
        <f>IF(AND($D$11="IL",$E273="AMEREN"),"NA",TEXT((SUMPRODUCT(((LMPMain!$H$9:$H$1000)=$E273)*((LMPMain!$J$9:$J$1000)=$F273)*((LMPMain!$O$9:$O$1000)=$C273)*(LMPMain!T$9:T$1000))+(SUMPRODUCT(((Adders!$D$13:$D$101)=$E273)*((Adders!$E$13:$E$101)=$F273)*(Adders!G$13:G$101))+VLOOKUP($H273,Adders!$B$5:$G$8,N$11,FALSE)+Matrix!$D$2)*IF($D273="NJ",1.07,1))/$L$10,CHOOSE($M$10,$L$9,$M$9)))</f>
        <v xml:space="preserve"> 33.47 </v>
      </c>
      <c r="O273" s="112"/>
    </row>
    <row r="274" spans="2:15" x14ac:dyDescent="0.25">
      <c r="B274" s="160" t="s">
        <v>671</v>
      </c>
      <c r="C274" s="135">
        <f t="shared" si="7"/>
        <v>42217</v>
      </c>
      <c r="D274" s="136" t="s">
        <v>6</v>
      </c>
      <c r="E274" s="137" t="s">
        <v>13</v>
      </c>
      <c r="F274" s="136" t="s">
        <v>7</v>
      </c>
      <c r="G274" s="137" t="str">
        <f t="shared" si="8"/>
        <v>General Service</v>
      </c>
      <c r="H274" s="138" t="s">
        <v>690</v>
      </c>
      <c r="I274" s="176" t="str">
        <f>TEXT(   (SUMPRODUCT( ((Main!$H$9:$H$1000)=$E274)*((Main!$J$9:$J$1000)=$F274)*((Main!$O$9:$O$1000)=$C274)*(Main!R$9:R$1000) ) +  ( SUMPRODUCT( ((Adders!$D$13:$D$101)=$E274)*((Adders!$E$13:$E$101)=$F274)*(Adders!G$13:G$101)) + VLOOKUP($H274,Adders!$B$5:$G$8,L$11,FALSE)  +  PA!$D$2 ) * IF($D274="NJ",1.07,1))/$L$10, CHOOSE($M$10,$L$9,$M$9) )</f>
        <v xml:space="preserve"> 78.84 </v>
      </c>
      <c r="J274" s="176" t="str">
        <f>TEXT(   (SUMPRODUCT( ((Main!$H$9:$H$1000)=$E274)*((Main!$J$9:$J$1000)=$F274)*((Main!$O$9:$O$1000)=$C274)*(Main!S$9:S$1000) ) +  ( SUMPRODUCT( ((Adders!$D$13:$D$101)=$E274)*((Adders!$E$13:$E$101)=$F274)*(Adders!H$13:H$101)) + VLOOKUP($H274,Adders!$B$5:$G$8,M$11,FALSE)  +  PA!$D$2 ) * IF($D274="NJ",1.07,1))/$L$10, CHOOSE($M$10,$L$9,$M$9) )</f>
        <v xml:space="preserve"> 77.59 </v>
      </c>
      <c r="K274" s="177" t="str">
        <f>TEXT(   (SUMPRODUCT( ((Main!$H$9:$H$1000)=$E274)*((Main!$J$9:$J$1000)=$F274)*((Main!$O$9:$O$1000)=$C274)*(Main!T$9:T$1000) ) +  ( SUMPRODUCT( ((Adders!$D$13:$D$101)=$E274)*((Adders!$E$13:$E$101)=$F274)*(Adders!I$13:I$101)) + VLOOKUP($H274,Adders!$B$5:$G$8,N$11,FALSE)  +  PA!$D$2 ) * IF($D274="NJ",1.07,1))/$L$10, CHOOSE($M$10,$L$9,$M$9) )</f>
        <v xml:space="preserve"> 77.34 </v>
      </c>
      <c r="L274" s="176" t="str">
        <f>IF(AND($D$11="IL",$E274="AMEREN"),"NA",TEXT((SUMPRODUCT(((LMPMain!$H$9:$H$1000)=$E274)*((LMPMain!$J$9:$J$1000)=$F274)*((LMPMain!$O$9:$O$1000)=$C274)*(LMPMain!R$9:R$1000))+(SUMPRODUCT(((Adders!$D$13:$D$101)=$E274)*((Adders!$E$13:$E$101)=$F274)*(Adders!G$13:G$101))+VLOOKUP($H274,Adders!$B$5:$G$8,L$11,FALSE)+Matrix!$D$2)*IF($D274="NJ",1.07,1))/$L$10,CHOOSE($M$10,$L$9,$M$9)))</f>
        <v xml:space="preserve"> 34.20 </v>
      </c>
      <c r="M274" s="176" t="str">
        <f>IF(AND($D$11="IL",$E274="AMEREN"),"NA",TEXT((SUMPRODUCT(((LMPMain!$H$9:$H$1000)=$E274)*((LMPMain!$J$9:$J$1000)=$F274)*((LMPMain!$O$9:$O$1000)=$C274)*(LMPMain!S$9:S$1000))+(SUMPRODUCT(((Adders!$D$13:$D$101)=$E274)*((Adders!$E$13:$E$101)=$F274)*(Adders!H$13:H$101))+VLOOKUP($H274,Adders!$B$5:$G$8,M$11,FALSE)+Matrix!$D$2)*IF($D274="NJ",1.07,1))/$L$10,CHOOSE($M$10,$L$9,$M$9)))</f>
        <v xml:space="preserve"> 33.11 </v>
      </c>
      <c r="N274" s="177" t="str">
        <f>IF(AND($D$11="IL",$E274="AMEREN"),"NA",TEXT((SUMPRODUCT(((LMPMain!$H$9:$H$1000)=$E274)*((LMPMain!$J$9:$J$1000)=$F274)*((LMPMain!$O$9:$O$1000)=$C274)*(LMPMain!T$9:T$1000))+(SUMPRODUCT(((Adders!$D$13:$D$101)=$E274)*((Adders!$E$13:$E$101)=$F274)*(Adders!G$13:G$101))+VLOOKUP($H274,Adders!$B$5:$G$8,N$11,FALSE)+Matrix!$D$2)*IF($D274="NJ",1.07,1))/$L$10,CHOOSE($M$10,$L$9,$M$9)))</f>
        <v xml:space="preserve"> 32.42 </v>
      </c>
      <c r="O274" s="112"/>
    </row>
    <row r="275" spans="2:15" x14ac:dyDescent="0.25">
      <c r="B275" s="160" t="s">
        <v>671</v>
      </c>
      <c r="C275" s="127">
        <f t="shared" si="7"/>
        <v>42248</v>
      </c>
      <c r="D275" s="128" t="s">
        <v>6</v>
      </c>
      <c r="E275" s="129" t="s">
        <v>13</v>
      </c>
      <c r="F275" s="128" t="s">
        <v>7</v>
      </c>
      <c r="G275" s="129" t="str">
        <f t="shared" si="8"/>
        <v>General Service</v>
      </c>
      <c r="H275" s="130" t="s">
        <v>61</v>
      </c>
      <c r="I275" s="178" t="str">
        <f>TEXT(   (SUMPRODUCT( ((Main!$H$9:$H$1000)=$E275)*((Main!$J$9:$J$1000)=$F275)*((Main!$O$9:$O$1000)=$C275)*(Main!R$9:R$1000) ) +  ( SUMPRODUCT( ((Adders!$D$13:$D$101)=$E275)*((Adders!$E$13:$E$101)=$F275)*(Adders!G$13:G$101)) + VLOOKUP($H275,Adders!$B$5:$G$8,L$11,FALSE)  +  PA!$D$2 ) * IF($D275="NJ",1.07,1))/$L$10, CHOOSE($M$10,$L$9,$M$9) )</f>
        <v xml:space="preserve"> 81.17 </v>
      </c>
      <c r="J275" s="178" t="str">
        <f>TEXT(   (SUMPRODUCT( ((Main!$H$9:$H$1000)=$E275)*((Main!$J$9:$J$1000)=$F275)*((Main!$O$9:$O$1000)=$C275)*(Main!S$9:S$1000) ) +  ( SUMPRODUCT( ((Adders!$D$13:$D$101)=$E275)*((Adders!$E$13:$E$101)=$F275)*(Adders!H$13:H$101)) + VLOOKUP($H275,Adders!$B$5:$G$8,M$11,FALSE)  +  PA!$D$2 ) * IF($D275="NJ",1.07,1))/$L$10, CHOOSE($M$10,$L$9,$M$9) )</f>
        <v xml:space="preserve"> 80.69 </v>
      </c>
      <c r="K275" s="179" t="str">
        <f>TEXT(   (SUMPRODUCT( ((Main!$H$9:$H$1000)=$E275)*((Main!$J$9:$J$1000)=$F275)*((Main!$O$9:$O$1000)=$C275)*(Main!T$9:T$1000) ) +  ( SUMPRODUCT( ((Adders!$D$13:$D$101)=$E275)*((Adders!$E$13:$E$101)=$F275)*(Adders!I$13:I$101)) + VLOOKUP($H275,Adders!$B$5:$G$8,N$11,FALSE)  +  PA!$D$2 ) * IF($D275="NJ",1.07,1))/$L$10, CHOOSE($M$10,$L$9,$M$9) )</f>
        <v xml:space="preserve"> 79.95 </v>
      </c>
      <c r="L275" s="178" t="str">
        <f>IF(AND($D$11="IL",$E275="AMEREN"),"NA",TEXT((SUMPRODUCT(((LMPMain!$H$9:$H$1000)=$E275)*((LMPMain!$J$9:$J$1000)=$F275)*((LMPMain!$O$9:$O$1000)=$C275)*(LMPMain!R$9:R$1000))+(SUMPRODUCT(((Adders!$D$13:$D$101)=$E275)*((Adders!$E$13:$E$101)=$F275)*(Adders!G$13:G$101))+VLOOKUP($H275,Adders!$B$5:$G$8,L$11,FALSE)+Matrix!$D$2)*IF($D275="NJ",1.07,1))/$L$10,CHOOSE($M$10,$L$9,$M$9)))</f>
        <v xml:space="preserve"> 36.46 </v>
      </c>
      <c r="M275" s="178" t="str">
        <f>IF(AND($D$11="IL",$E275="AMEREN"),"NA",TEXT((SUMPRODUCT(((LMPMain!$H$9:$H$1000)=$E275)*((LMPMain!$J$9:$J$1000)=$F275)*((LMPMain!$O$9:$O$1000)=$C275)*(LMPMain!S$9:S$1000))+(SUMPRODUCT(((Adders!$D$13:$D$101)=$E275)*((Adders!$E$13:$E$101)=$F275)*(Adders!H$13:H$101))+VLOOKUP($H275,Adders!$B$5:$G$8,M$11,FALSE)+Matrix!$D$2)*IF($D275="NJ",1.07,1))/$L$10,CHOOSE($M$10,$L$9,$M$9)))</f>
        <v xml:space="preserve"> 35.78 </v>
      </c>
      <c r="N275" s="179" t="str">
        <f>IF(AND($D$11="IL",$E275="AMEREN"),"NA",TEXT((SUMPRODUCT(((LMPMain!$H$9:$H$1000)=$E275)*((LMPMain!$J$9:$J$1000)=$F275)*((LMPMain!$O$9:$O$1000)=$C275)*(LMPMain!T$9:T$1000))+(SUMPRODUCT(((Adders!$D$13:$D$101)=$E275)*((Adders!$E$13:$E$101)=$F275)*(Adders!G$13:G$101))+VLOOKUP($H275,Adders!$B$5:$G$8,N$11,FALSE)+Matrix!$D$2)*IF($D275="NJ",1.07,1))/$L$10,CHOOSE($M$10,$L$9,$M$9)))</f>
        <v xml:space="preserve"> 34.90 </v>
      </c>
      <c r="O275" s="112"/>
    </row>
    <row r="276" spans="2:15" x14ac:dyDescent="0.25">
      <c r="B276" s="160" t="s">
        <v>671</v>
      </c>
      <c r="C276" s="131">
        <f t="shared" si="7"/>
        <v>42248</v>
      </c>
      <c r="D276" s="132" t="s">
        <v>6</v>
      </c>
      <c r="E276" s="133" t="s">
        <v>13</v>
      </c>
      <c r="F276" s="132" t="s">
        <v>7</v>
      </c>
      <c r="G276" s="133" t="str">
        <f t="shared" si="8"/>
        <v>General Service</v>
      </c>
      <c r="H276" s="134" t="s">
        <v>62</v>
      </c>
      <c r="I276" s="173" t="str">
        <f>TEXT(   (SUMPRODUCT( ((Main!$H$9:$H$1000)=$E276)*((Main!$J$9:$J$1000)=$F276)*((Main!$O$9:$O$1000)=$C276)*(Main!R$9:R$1000) ) +  ( SUMPRODUCT( ((Adders!$D$13:$D$101)=$E276)*((Adders!$E$13:$E$101)=$F276)*(Adders!G$13:G$101)) + VLOOKUP($H276,Adders!$B$5:$G$8,L$11,FALSE)  +  PA!$D$2 ) * IF($D276="NJ",1.07,1))/$L$10, CHOOSE($M$10,$L$9,$M$9) )</f>
        <v xml:space="preserve"> 79.57 </v>
      </c>
      <c r="J276" s="173" t="str">
        <f>TEXT(   (SUMPRODUCT( ((Main!$H$9:$H$1000)=$E276)*((Main!$J$9:$J$1000)=$F276)*((Main!$O$9:$O$1000)=$C276)*(Main!S$9:S$1000) ) +  ( SUMPRODUCT( ((Adders!$D$13:$D$101)=$E276)*((Adders!$E$13:$E$101)=$F276)*(Adders!H$13:H$101)) + VLOOKUP($H276,Adders!$B$5:$G$8,M$11,FALSE)  +  PA!$D$2 ) * IF($D276="NJ",1.07,1))/$L$10, CHOOSE($M$10,$L$9,$M$9) )</f>
        <v xml:space="preserve"> 79.09 </v>
      </c>
      <c r="K276" s="174" t="str">
        <f>TEXT(   (SUMPRODUCT( ((Main!$H$9:$H$1000)=$E276)*((Main!$J$9:$J$1000)=$F276)*((Main!$O$9:$O$1000)=$C276)*(Main!T$9:T$1000) ) +  ( SUMPRODUCT( ((Adders!$D$13:$D$101)=$E276)*((Adders!$E$13:$E$101)=$F276)*(Adders!I$13:I$101)) + VLOOKUP($H276,Adders!$B$5:$G$8,N$11,FALSE)  +  PA!$D$2 ) * IF($D276="NJ",1.07,1))/$L$10, CHOOSE($M$10,$L$9,$M$9) )</f>
        <v xml:space="preserve"> 78.35 </v>
      </c>
      <c r="L276" s="173" t="str">
        <f>IF(AND($D$11="IL",$E276="AMEREN"),"NA",TEXT((SUMPRODUCT(((LMPMain!$H$9:$H$1000)=$E276)*((LMPMain!$J$9:$J$1000)=$F276)*((LMPMain!$O$9:$O$1000)=$C276)*(LMPMain!R$9:R$1000))+(SUMPRODUCT(((Adders!$D$13:$D$101)=$E276)*((Adders!$E$13:$E$101)=$F276)*(Adders!G$13:G$101))+VLOOKUP($H276,Adders!$B$5:$G$8,L$11,FALSE)+Matrix!$D$2)*IF($D276="NJ",1.07,1))/$L$10,CHOOSE($M$10,$L$9,$M$9)))</f>
        <v xml:space="preserve"> 34.86 </v>
      </c>
      <c r="M276" s="173" t="str">
        <f>IF(AND($D$11="IL",$E276="AMEREN"),"NA",TEXT((SUMPRODUCT(((LMPMain!$H$9:$H$1000)=$E276)*((LMPMain!$J$9:$J$1000)=$F276)*((LMPMain!$O$9:$O$1000)=$C276)*(LMPMain!S$9:S$1000))+(SUMPRODUCT(((Adders!$D$13:$D$101)=$E276)*((Adders!$E$13:$E$101)=$F276)*(Adders!H$13:H$101))+VLOOKUP($H276,Adders!$B$5:$G$8,M$11,FALSE)+Matrix!$D$2)*IF($D276="NJ",1.07,1))/$L$10,CHOOSE($M$10,$L$9,$M$9)))</f>
        <v xml:space="preserve"> 34.18 </v>
      </c>
      <c r="N276" s="174" t="str">
        <f>IF(AND($D$11="IL",$E276="AMEREN"),"NA",TEXT((SUMPRODUCT(((LMPMain!$H$9:$H$1000)=$E276)*((LMPMain!$J$9:$J$1000)=$F276)*((LMPMain!$O$9:$O$1000)=$C276)*(LMPMain!T$9:T$1000))+(SUMPRODUCT(((Adders!$D$13:$D$101)=$E276)*((Adders!$E$13:$E$101)=$F276)*(Adders!G$13:G$101))+VLOOKUP($H276,Adders!$B$5:$G$8,N$11,FALSE)+Matrix!$D$2)*IF($D276="NJ",1.07,1))/$L$10,CHOOSE($M$10,$L$9,$M$9)))</f>
        <v xml:space="preserve"> 33.30 </v>
      </c>
      <c r="O276" s="112"/>
    </row>
    <row r="277" spans="2:15" x14ac:dyDescent="0.25">
      <c r="B277" s="160" t="s">
        <v>671</v>
      </c>
      <c r="C277" s="135">
        <f t="shared" si="7"/>
        <v>42248</v>
      </c>
      <c r="D277" s="136" t="s">
        <v>6</v>
      </c>
      <c r="E277" s="137" t="s">
        <v>13</v>
      </c>
      <c r="F277" s="136" t="s">
        <v>7</v>
      </c>
      <c r="G277" s="137" t="str">
        <f t="shared" si="8"/>
        <v>General Service</v>
      </c>
      <c r="H277" s="138" t="s">
        <v>690</v>
      </c>
      <c r="I277" s="176" t="str">
        <f>TEXT(   (SUMPRODUCT( ((Main!$H$9:$H$1000)=$E277)*((Main!$J$9:$J$1000)=$F277)*((Main!$O$9:$O$1000)=$C277)*(Main!R$9:R$1000) ) +  ( SUMPRODUCT( ((Adders!$D$13:$D$101)=$E277)*((Adders!$E$13:$E$101)=$F277)*(Adders!G$13:G$101)) + VLOOKUP($H277,Adders!$B$5:$G$8,L$11,FALSE)  +  PA!$D$2 ) * IF($D277="NJ",1.07,1))/$L$10, CHOOSE($M$10,$L$9,$M$9) )</f>
        <v xml:space="preserve"> 78.52 </v>
      </c>
      <c r="J277" s="176" t="str">
        <f>TEXT(   (SUMPRODUCT( ((Main!$H$9:$H$1000)=$E277)*((Main!$J$9:$J$1000)=$F277)*((Main!$O$9:$O$1000)=$C277)*(Main!S$9:S$1000) ) +  ( SUMPRODUCT( ((Adders!$D$13:$D$101)=$E277)*((Adders!$E$13:$E$101)=$F277)*(Adders!H$13:H$101)) + VLOOKUP($H277,Adders!$B$5:$G$8,M$11,FALSE)  +  PA!$D$2 ) * IF($D277="NJ",1.07,1))/$L$10, CHOOSE($M$10,$L$9,$M$9) )</f>
        <v xml:space="preserve"> 78.04 </v>
      </c>
      <c r="K277" s="177" t="str">
        <f>TEXT(   (SUMPRODUCT( ((Main!$H$9:$H$1000)=$E277)*((Main!$J$9:$J$1000)=$F277)*((Main!$O$9:$O$1000)=$C277)*(Main!T$9:T$1000) ) +  ( SUMPRODUCT( ((Adders!$D$13:$D$101)=$E277)*((Adders!$E$13:$E$101)=$F277)*(Adders!I$13:I$101)) + VLOOKUP($H277,Adders!$B$5:$G$8,N$11,FALSE)  +  PA!$D$2 ) * IF($D277="NJ",1.07,1))/$L$10, CHOOSE($M$10,$L$9,$M$9) )</f>
        <v xml:space="preserve"> 77.30 </v>
      </c>
      <c r="L277" s="176" t="str">
        <f>IF(AND($D$11="IL",$E277="AMEREN"),"NA",TEXT((SUMPRODUCT(((LMPMain!$H$9:$H$1000)=$E277)*((LMPMain!$J$9:$J$1000)=$F277)*((LMPMain!$O$9:$O$1000)=$C277)*(LMPMain!R$9:R$1000))+(SUMPRODUCT(((Adders!$D$13:$D$101)=$E277)*((Adders!$E$13:$E$101)=$F277)*(Adders!G$13:G$101))+VLOOKUP($H277,Adders!$B$5:$G$8,L$11,FALSE)+Matrix!$D$2)*IF($D277="NJ",1.07,1))/$L$10,CHOOSE($M$10,$L$9,$M$9)))</f>
        <v xml:space="preserve"> 33.81 </v>
      </c>
      <c r="M277" s="176" t="str">
        <f>IF(AND($D$11="IL",$E277="AMEREN"),"NA",TEXT((SUMPRODUCT(((LMPMain!$H$9:$H$1000)=$E277)*((LMPMain!$J$9:$J$1000)=$F277)*((LMPMain!$O$9:$O$1000)=$C277)*(LMPMain!S$9:S$1000))+(SUMPRODUCT(((Adders!$D$13:$D$101)=$E277)*((Adders!$E$13:$E$101)=$F277)*(Adders!H$13:H$101))+VLOOKUP($H277,Adders!$B$5:$G$8,M$11,FALSE)+Matrix!$D$2)*IF($D277="NJ",1.07,1))/$L$10,CHOOSE($M$10,$L$9,$M$9)))</f>
        <v xml:space="preserve"> 33.13 </v>
      </c>
      <c r="N277" s="177" t="str">
        <f>IF(AND($D$11="IL",$E277="AMEREN"),"NA",TEXT((SUMPRODUCT(((LMPMain!$H$9:$H$1000)=$E277)*((LMPMain!$J$9:$J$1000)=$F277)*((LMPMain!$O$9:$O$1000)=$C277)*(LMPMain!T$9:T$1000))+(SUMPRODUCT(((Adders!$D$13:$D$101)=$E277)*((Adders!$E$13:$E$101)=$F277)*(Adders!G$13:G$101))+VLOOKUP($H277,Adders!$B$5:$G$8,N$11,FALSE)+Matrix!$D$2)*IF($D277="NJ",1.07,1))/$L$10,CHOOSE($M$10,$L$9,$M$9)))</f>
        <v xml:space="preserve"> 32.25 </v>
      </c>
      <c r="O277" s="112"/>
    </row>
    <row r="278" spans="2:15" x14ac:dyDescent="0.25">
      <c r="B278" s="160" t="s">
        <v>671</v>
      </c>
      <c r="C278" s="127">
        <f t="shared" si="7"/>
        <v>42278</v>
      </c>
      <c r="D278" s="128" t="s">
        <v>6</v>
      </c>
      <c r="E278" s="129" t="s">
        <v>13</v>
      </c>
      <c r="F278" s="128" t="s">
        <v>7</v>
      </c>
      <c r="G278" s="129" t="str">
        <f t="shared" si="8"/>
        <v>General Service</v>
      </c>
      <c r="H278" s="130" t="s">
        <v>61</v>
      </c>
      <c r="I278" s="178" t="str">
        <f>TEXT(   (SUMPRODUCT( ((Main!$H$9:$H$1000)=$E278)*((Main!$J$9:$J$1000)=$F278)*((Main!$O$9:$O$1000)=$C278)*(Main!R$9:R$1000) ) +  ( SUMPRODUCT( ((Adders!$D$13:$D$101)=$E278)*((Adders!$E$13:$E$101)=$F278)*(Adders!G$13:G$101)) + VLOOKUP($H278,Adders!$B$5:$G$8,L$11,FALSE)  +  PA!$D$2 ) * IF($D278="NJ",1.07,1))/$L$10, CHOOSE($M$10,$L$9,$M$9) )</f>
        <v xml:space="preserve"> 80.90 </v>
      </c>
      <c r="J278" s="178" t="str">
        <f>TEXT(   (SUMPRODUCT( ((Main!$H$9:$H$1000)=$E278)*((Main!$J$9:$J$1000)=$F278)*((Main!$O$9:$O$1000)=$C278)*(Main!S$9:S$1000) ) +  ( SUMPRODUCT( ((Adders!$D$13:$D$101)=$E278)*((Adders!$E$13:$E$101)=$F278)*(Adders!H$13:H$101)) + VLOOKUP($H278,Adders!$B$5:$G$8,M$11,FALSE)  +  PA!$D$2 ) * IF($D278="NJ",1.07,1))/$L$10, CHOOSE($M$10,$L$9,$M$9) )</f>
        <v xml:space="preserve"> 81.06 </v>
      </c>
      <c r="K278" s="179" t="str">
        <f>TEXT(   (SUMPRODUCT( ((Main!$H$9:$H$1000)=$E278)*((Main!$J$9:$J$1000)=$F278)*((Main!$O$9:$O$1000)=$C278)*(Main!T$9:T$1000) ) +  ( SUMPRODUCT( ((Adders!$D$13:$D$101)=$E278)*((Adders!$E$13:$E$101)=$F278)*(Adders!I$13:I$101)) + VLOOKUP($H278,Adders!$B$5:$G$8,N$11,FALSE)  +  PA!$D$2 ) * IF($D278="NJ",1.07,1))/$L$10, CHOOSE($M$10,$L$9,$M$9) )</f>
        <v xml:space="preserve"> 79.85 </v>
      </c>
      <c r="L278" s="178" t="str">
        <f>IF(AND($D$11="IL",$E278="AMEREN"),"NA",TEXT((SUMPRODUCT(((LMPMain!$H$9:$H$1000)=$E278)*((LMPMain!$J$9:$J$1000)=$F278)*((LMPMain!$O$9:$O$1000)=$C278)*(LMPMain!R$9:R$1000))+(SUMPRODUCT(((Adders!$D$13:$D$101)=$E278)*((Adders!$E$13:$E$101)=$F278)*(Adders!G$13:G$101))+VLOOKUP($H278,Adders!$B$5:$G$8,L$11,FALSE)+Matrix!$D$2)*IF($D278="NJ",1.07,1))/$L$10,CHOOSE($M$10,$L$9,$M$9)))</f>
        <v xml:space="preserve"> 36.11 </v>
      </c>
      <c r="M278" s="178" t="str">
        <f>IF(AND($D$11="IL",$E278="AMEREN"),"NA",TEXT((SUMPRODUCT(((LMPMain!$H$9:$H$1000)=$E278)*((LMPMain!$J$9:$J$1000)=$F278)*((LMPMain!$O$9:$O$1000)=$C278)*(LMPMain!S$9:S$1000))+(SUMPRODUCT(((Adders!$D$13:$D$101)=$E278)*((Adders!$E$13:$E$101)=$F278)*(Adders!H$13:H$101))+VLOOKUP($H278,Adders!$B$5:$G$8,M$11,FALSE)+Matrix!$D$2)*IF($D278="NJ",1.07,1))/$L$10,CHOOSE($M$10,$L$9,$M$9)))</f>
        <v xml:space="preserve"> 35.73 </v>
      </c>
      <c r="N278" s="179" t="str">
        <f>IF(AND($D$11="IL",$E278="AMEREN"),"NA",TEXT((SUMPRODUCT(((LMPMain!$H$9:$H$1000)=$E278)*((LMPMain!$J$9:$J$1000)=$F278)*((LMPMain!$O$9:$O$1000)=$C278)*(LMPMain!T$9:T$1000))+(SUMPRODUCT(((Adders!$D$13:$D$101)=$E278)*((Adders!$E$13:$E$101)=$F278)*(Adders!G$13:G$101))+VLOOKUP($H278,Adders!$B$5:$G$8,N$11,FALSE)+Matrix!$D$2)*IF($D278="NJ",1.07,1))/$L$10,CHOOSE($M$10,$L$9,$M$9)))</f>
        <v xml:space="preserve"> 34.76 </v>
      </c>
      <c r="O278" s="112"/>
    </row>
    <row r="279" spans="2:15" x14ac:dyDescent="0.25">
      <c r="B279" s="160" t="s">
        <v>671</v>
      </c>
      <c r="C279" s="131">
        <f t="shared" si="7"/>
        <v>42278</v>
      </c>
      <c r="D279" s="132" t="s">
        <v>6</v>
      </c>
      <c r="E279" s="133" t="s">
        <v>13</v>
      </c>
      <c r="F279" s="132" t="s">
        <v>7</v>
      </c>
      <c r="G279" s="133" t="str">
        <f t="shared" si="8"/>
        <v>General Service</v>
      </c>
      <c r="H279" s="134" t="s">
        <v>62</v>
      </c>
      <c r="I279" s="173" t="str">
        <f>TEXT(   (SUMPRODUCT( ((Main!$H$9:$H$1000)=$E279)*((Main!$J$9:$J$1000)=$F279)*((Main!$O$9:$O$1000)=$C279)*(Main!R$9:R$1000) ) +  ( SUMPRODUCT( ((Adders!$D$13:$D$101)=$E279)*((Adders!$E$13:$E$101)=$F279)*(Adders!G$13:G$101)) + VLOOKUP($H279,Adders!$B$5:$G$8,L$11,FALSE)  +  PA!$D$2 ) * IF($D279="NJ",1.07,1))/$L$10, CHOOSE($M$10,$L$9,$M$9) )</f>
        <v xml:space="preserve"> 79.30 </v>
      </c>
      <c r="J279" s="173" t="str">
        <f>TEXT(   (SUMPRODUCT( ((Main!$H$9:$H$1000)=$E279)*((Main!$J$9:$J$1000)=$F279)*((Main!$O$9:$O$1000)=$C279)*(Main!S$9:S$1000) ) +  ( SUMPRODUCT( ((Adders!$D$13:$D$101)=$E279)*((Adders!$E$13:$E$101)=$F279)*(Adders!H$13:H$101)) + VLOOKUP($H279,Adders!$B$5:$G$8,M$11,FALSE)  +  PA!$D$2 ) * IF($D279="NJ",1.07,1))/$L$10, CHOOSE($M$10,$L$9,$M$9) )</f>
        <v xml:space="preserve"> 79.46 </v>
      </c>
      <c r="K279" s="174" t="str">
        <f>TEXT(   (SUMPRODUCT( ((Main!$H$9:$H$1000)=$E279)*((Main!$J$9:$J$1000)=$F279)*((Main!$O$9:$O$1000)=$C279)*(Main!T$9:T$1000) ) +  ( SUMPRODUCT( ((Adders!$D$13:$D$101)=$E279)*((Adders!$E$13:$E$101)=$F279)*(Adders!I$13:I$101)) + VLOOKUP($H279,Adders!$B$5:$G$8,N$11,FALSE)  +  PA!$D$2 ) * IF($D279="NJ",1.07,1))/$L$10, CHOOSE($M$10,$L$9,$M$9) )</f>
        <v xml:space="preserve"> 78.25 </v>
      </c>
      <c r="L279" s="173" t="str">
        <f>IF(AND($D$11="IL",$E279="AMEREN"),"NA",TEXT((SUMPRODUCT(((LMPMain!$H$9:$H$1000)=$E279)*((LMPMain!$J$9:$J$1000)=$F279)*((LMPMain!$O$9:$O$1000)=$C279)*(LMPMain!R$9:R$1000))+(SUMPRODUCT(((Adders!$D$13:$D$101)=$E279)*((Adders!$E$13:$E$101)=$F279)*(Adders!G$13:G$101))+VLOOKUP($H279,Adders!$B$5:$G$8,L$11,FALSE)+Matrix!$D$2)*IF($D279="NJ",1.07,1))/$L$10,CHOOSE($M$10,$L$9,$M$9)))</f>
        <v xml:space="preserve"> 34.51 </v>
      </c>
      <c r="M279" s="173" t="str">
        <f>IF(AND($D$11="IL",$E279="AMEREN"),"NA",TEXT((SUMPRODUCT(((LMPMain!$H$9:$H$1000)=$E279)*((LMPMain!$J$9:$J$1000)=$F279)*((LMPMain!$O$9:$O$1000)=$C279)*(LMPMain!S$9:S$1000))+(SUMPRODUCT(((Adders!$D$13:$D$101)=$E279)*((Adders!$E$13:$E$101)=$F279)*(Adders!H$13:H$101))+VLOOKUP($H279,Adders!$B$5:$G$8,M$11,FALSE)+Matrix!$D$2)*IF($D279="NJ",1.07,1))/$L$10,CHOOSE($M$10,$L$9,$M$9)))</f>
        <v xml:space="preserve"> 34.13 </v>
      </c>
      <c r="N279" s="174" t="str">
        <f>IF(AND($D$11="IL",$E279="AMEREN"),"NA",TEXT((SUMPRODUCT(((LMPMain!$H$9:$H$1000)=$E279)*((LMPMain!$J$9:$J$1000)=$F279)*((LMPMain!$O$9:$O$1000)=$C279)*(LMPMain!T$9:T$1000))+(SUMPRODUCT(((Adders!$D$13:$D$101)=$E279)*((Adders!$E$13:$E$101)=$F279)*(Adders!G$13:G$101))+VLOOKUP($H279,Adders!$B$5:$G$8,N$11,FALSE)+Matrix!$D$2)*IF($D279="NJ",1.07,1))/$L$10,CHOOSE($M$10,$L$9,$M$9)))</f>
        <v xml:space="preserve"> 33.16 </v>
      </c>
      <c r="O279" s="112"/>
    </row>
    <row r="280" spans="2:15" x14ac:dyDescent="0.25">
      <c r="B280" s="160" t="s">
        <v>671</v>
      </c>
      <c r="C280" s="135">
        <f t="shared" si="7"/>
        <v>42278</v>
      </c>
      <c r="D280" s="136" t="s">
        <v>6</v>
      </c>
      <c r="E280" s="137" t="s">
        <v>13</v>
      </c>
      <c r="F280" s="136" t="s">
        <v>7</v>
      </c>
      <c r="G280" s="137" t="str">
        <f t="shared" si="8"/>
        <v>General Service</v>
      </c>
      <c r="H280" s="138" t="s">
        <v>690</v>
      </c>
      <c r="I280" s="176" t="str">
        <f>TEXT(   (SUMPRODUCT( ((Main!$H$9:$H$1000)=$E280)*((Main!$J$9:$J$1000)=$F280)*((Main!$O$9:$O$1000)=$C280)*(Main!R$9:R$1000) ) +  ( SUMPRODUCT( ((Adders!$D$13:$D$101)=$E280)*((Adders!$E$13:$E$101)=$F280)*(Adders!G$13:G$101)) + VLOOKUP($H280,Adders!$B$5:$G$8,L$11,FALSE)  +  PA!$D$2 ) * IF($D280="NJ",1.07,1))/$L$10, CHOOSE($M$10,$L$9,$M$9) )</f>
        <v xml:space="preserve"> 78.25 </v>
      </c>
      <c r="J280" s="176" t="str">
        <f>TEXT(   (SUMPRODUCT( ((Main!$H$9:$H$1000)=$E280)*((Main!$J$9:$J$1000)=$F280)*((Main!$O$9:$O$1000)=$C280)*(Main!S$9:S$1000) ) +  ( SUMPRODUCT( ((Adders!$D$13:$D$101)=$E280)*((Adders!$E$13:$E$101)=$F280)*(Adders!H$13:H$101)) + VLOOKUP($H280,Adders!$B$5:$G$8,M$11,FALSE)  +  PA!$D$2 ) * IF($D280="NJ",1.07,1))/$L$10, CHOOSE($M$10,$L$9,$M$9) )</f>
        <v xml:space="preserve"> 78.41 </v>
      </c>
      <c r="K280" s="177" t="str">
        <f>TEXT(   (SUMPRODUCT( ((Main!$H$9:$H$1000)=$E280)*((Main!$J$9:$J$1000)=$F280)*((Main!$O$9:$O$1000)=$C280)*(Main!T$9:T$1000) ) +  ( SUMPRODUCT( ((Adders!$D$13:$D$101)=$E280)*((Adders!$E$13:$E$101)=$F280)*(Adders!I$13:I$101)) + VLOOKUP($H280,Adders!$B$5:$G$8,N$11,FALSE)  +  PA!$D$2 ) * IF($D280="NJ",1.07,1))/$L$10, CHOOSE($M$10,$L$9,$M$9) )</f>
        <v xml:space="preserve"> 77.20 </v>
      </c>
      <c r="L280" s="176" t="str">
        <f>IF(AND($D$11="IL",$E280="AMEREN"),"NA",TEXT((SUMPRODUCT(((LMPMain!$H$9:$H$1000)=$E280)*((LMPMain!$J$9:$J$1000)=$F280)*((LMPMain!$O$9:$O$1000)=$C280)*(LMPMain!R$9:R$1000))+(SUMPRODUCT(((Adders!$D$13:$D$101)=$E280)*((Adders!$E$13:$E$101)=$F280)*(Adders!G$13:G$101))+VLOOKUP($H280,Adders!$B$5:$G$8,L$11,FALSE)+Matrix!$D$2)*IF($D280="NJ",1.07,1))/$L$10,CHOOSE($M$10,$L$9,$M$9)))</f>
        <v xml:space="preserve"> 33.46 </v>
      </c>
      <c r="M280" s="176" t="str">
        <f>IF(AND($D$11="IL",$E280="AMEREN"),"NA",TEXT((SUMPRODUCT(((LMPMain!$H$9:$H$1000)=$E280)*((LMPMain!$J$9:$J$1000)=$F280)*((LMPMain!$O$9:$O$1000)=$C280)*(LMPMain!S$9:S$1000))+(SUMPRODUCT(((Adders!$D$13:$D$101)=$E280)*((Adders!$E$13:$E$101)=$F280)*(Adders!H$13:H$101))+VLOOKUP($H280,Adders!$B$5:$G$8,M$11,FALSE)+Matrix!$D$2)*IF($D280="NJ",1.07,1))/$L$10,CHOOSE($M$10,$L$9,$M$9)))</f>
        <v xml:space="preserve"> 33.08 </v>
      </c>
      <c r="N280" s="177" t="str">
        <f>IF(AND($D$11="IL",$E280="AMEREN"),"NA",TEXT((SUMPRODUCT(((LMPMain!$H$9:$H$1000)=$E280)*((LMPMain!$J$9:$J$1000)=$F280)*((LMPMain!$O$9:$O$1000)=$C280)*(LMPMain!T$9:T$1000))+(SUMPRODUCT(((Adders!$D$13:$D$101)=$E280)*((Adders!$E$13:$E$101)=$F280)*(Adders!G$13:G$101))+VLOOKUP($H280,Adders!$B$5:$G$8,N$11,FALSE)+Matrix!$D$2)*IF($D280="NJ",1.07,1))/$L$10,CHOOSE($M$10,$L$9,$M$9)))</f>
        <v xml:space="preserve"> 32.11 </v>
      </c>
      <c r="O280" s="112"/>
    </row>
    <row r="281" spans="2:15" x14ac:dyDescent="0.25">
      <c r="B281" s="160" t="s">
        <v>671</v>
      </c>
      <c r="C281" s="127">
        <f t="shared" si="7"/>
        <v>42309</v>
      </c>
      <c r="D281" s="128" t="s">
        <v>6</v>
      </c>
      <c r="E281" s="129" t="s">
        <v>13</v>
      </c>
      <c r="F281" s="128" t="s">
        <v>7</v>
      </c>
      <c r="G281" s="129" t="str">
        <f t="shared" si="8"/>
        <v>General Service</v>
      </c>
      <c r="H281" s="130" t="s">
        <v>61</v>
      </c>
      <c r="I281" s="178" t="str">
        <f>TEXT(   (SUMPRODUCT( ((Main!$H$9:$H$1000)=$E281)*((Main!$J$9:$J$1000)=$F281)*((Main!$O$9:$O$1000)=$C281)*(Main!R$9:R$1000) ) +  ( SUMPRODUCT( ((Adders!$D$13:$D$101)=$E281)*((Adders!$E$13:$E$101)=$F281)*(Adders!G$13:G$101)) + VLOOKUP($H281,Adders!$B$5:$G$8,L$11,FALSE)  +  PA!$D$2 ) * IF($D281="NJ",1.07,1))/$L$10, CHOOSE($M$10,$L$9,$M$9) )</f>
        <v xml:space="preserve"> 80.57 </v>
      </c>
      <c r="J281" s="178" t="str">
        <f>TEXT(   (SUMPRODUCT( ((Main!$H$9:$H$1000)=$E281)*((Main!$J$9:$J$1000)=$F281)*((Main!$O$9:$O$1000)=$C281)*(Main!S$9:S$1000) ) +  ( SUMPRODUCT( ((Adders!$D$13:$D$101)=$E281)*((Adders!$E$13:$E$101)=$F281)*(Adders!H$13:H$101)) + VLOOKUP($H281,Adders!$B$5:$G$8,M$11,FALSE)  +  PA!$D$2 ) * IF($D281="NJ",1.07,1))/$L$10, CHOOSE($M$10,$L$9,$M$9) )</f>
        <v xml:space="preserve"> 81.01 </v>
      </c>
      <c r="K281" s="179" t="str">
        <f>TEXT(   (SUMPRODUCT( ((Main!$H$9:$H$1000)=$E281)*((Main!$J$9:$J$1000)=$F281)*((Main!$O$9:$O$1000)=$C281)*(Main!T$9:T$1000) ) +  ( SUMPRODUCT( ((Adders!$D$13:$D$101)=$E281)*((Adders!$E$13:$E$101)=$F281)*(Adders!I$13:I$101)) + VLOOKUP($H281,Adders!$B$5:$G$8,N$11,FALSE)  +  PA!$D$2 ) * IF($D281="NJ",1.07,1))/$L$10, CHOOSE($M$10,$L$9,$M$9) )</f>
        <v xml:space="preserve"> 79.70 </v>
      </c>
      <c r="L281" s="178" t="str">
        <f>IF(AND($D$11="IL",$E281="AMEREN"),"NA",TEXT((SUMPRODUCT(((LMPMain!$H$9:$H$1000)=$E281)*((LMPMain!$J$9:$J$1000)=$F281)*((LMPMain!$O$9:$O$1000)=$C281)*(LMPMain!R$9:R$1000))+(SUMPRODUCT(((Adders!$D$13:$D$101)=$E281)*((Adders!$E$13:$E$101)=$F281)*(Adders!G$13:G$101))+VLOOKUP($H281,Adders!$B$5:$G$8,L$11,FALSE)+Matrix!$D$2)*IF($D281="NJ",1.07,1))/$L$10,CHOOSE($M$10,$L$9,$M$9)))</f>
        <v xml:space="preserve"> 35.77 </v>
      </c>
      <c r="M281" s="178" t="str">
        <f>IF(AND($D$11="IL",$E281="AMEREN"),"NA",TEXT((SUMPRODUCT(((LMPMain!$H$9:$H$1000)=$E281)*((LMPMain!$J$9:$J$1000)=$F281)*((LMPMain!$O$9:$O$1000)=$C281)*(LMPMain!S$9:S$1000))+(SUMPRODUCT(((Adders!$D$13:$D$101)=$E281)*((Adders!$E$13:$E$101)=$F281)*(Adders!H$13:H$101))+VLOOKUP($H281,Adders!$B$5:$G$8,M$11,FALSE)+Matrix!$D$2)*IF($D281="NJ",1.07,1))/$L$10,CHOOSE($M$10,$L$9,$M$9)))</f>
        <v xml:space="preserve"> 35.51 </v>
      </c>
      <c r="N281" s="179" t="str">
        <f>IF(AND($D$11="IL",$E281="AMEREN"),"NA",TEXT((SUMPRODUCT(((LMPMain!$H$9:$H$1000)=$E281)*((LMPMain!$J$9:$J$1000)=$F281)*((LMPMain!$O$9:$O$1000)=$C281)*(LMPMain!T$9:T$1000))+(SUMPRODUCT(((Adders!$D$13:$D$101)=$E281)*((Adders!$E$13:$E$101)=$F281)*(Adders!G$13:G$101))+VLOOKUP($H281,Adders!$B$5:$G$8,N$11,FALSE)+Matrix!$D$2)*IF($D281="NJ",1.07,1))/$L$10,CHOOSE($M$10,$L$9,$M$9)))</f>
        <v xml:space="preserve"> 34.60 </v>
      </c>
      <c r="O281" s="112"/>
    </row>
    <row r="282" spans="2:15" x14ac:dyDescent="0.25">
      <c r="B282" s="160" t="s">
        <v>671</v>
      </c>
      <c r="C282" s="131">
        <f t="shared" si="7"/>
        <v>42309</v>
      </c>
      <c r="D282" s="132" t="s">
        <v>6</v>
      </c>
      <c r="E282" s="133" t="s">
        <v>13</v>
      </c>
      <c r="F282" s="132" t="s">
        <v>7</v>
      </c>
      <c r="G282" s="133" t="str">
        <f t="shared" si="8"/>
        <v>General Service</v>
      </c>
      <c r="H282" s="134" t="s">
        <v>62</v>
      </c>
      <c r="I282" s="173" t="str">
        <f>TEXT(   (SUMPRODUCT( ((Main!$H$9:$H$1000)=$E282)*((Main!$J$9:$J$1000)=$F282)*((Main!$O$9:$O$1000)=$C282)*(Main!R$9:R$1000) ) +  ( SUMPRODUCT( ((Adders!$D$13:$D$101)=$E282)*((Adders!$E$13:$E$101)=$F282)*(Adders!G$13:G$101)) + VLOOKUP($H282,Adders!$B$5:$G$8,L$11,FALSE)  +  PA!$D$2 ) * IF($D282="NJ",1.07,1))/$L$10, CHOOSE($M$10,$L$9,$M$9) )</f>
        <v xml:space="preserve"> 78.97 </v>
      </c>
      <c r="J282" s="173" t="str">
        <f>TEXT(   (SUMPRODUCT( ((Main!$H$9:$H$1000)=$E282)*((Main!$J$9:$J$1000)=$F282)*((Main!$O$9:$O$1000)=$C282)*(Main!S$9:S$1000) ) +  ( SUMPRODUCT( ((Adders!$D$13:$D$101)=$E282)*((Adders!$E$13:$E$101)=$F282)*(Adders!H$13:H$101)) + VLOOKUP($H282,Adders!$B$5:$G$8,M$11,FALSE)  +  PA!$D$2 ) * IF($D282="NJ",1.07,1))/$L$10, CHOOSE($M$10,$L$9,$M$9) )</f>
        <v xml:space="preserve"> 79.41 </v>
      </c>
      <c r="K282" s="174" t="str">
        <f>TEXT(   (SUMPRODUCT( ((Main!$H$9:$H$1000)=$E282)*((Main!$J$9:$J$1000)=$F282)*((Main!$O$9:$O$1000)=$C282)*(Main!T$9:T$1000) ) +  ( SUMPRODUCT( ((Adders!$D$13:$D$101)=$E282)*((Adders!$E$13:$E$101)=$F282)*(Adders!I$13:I$101)) + VLOOKUP($H282,Adders!$B$5:$G$8,N$11,FALSE)  +  PA!$D$2 ) * IF($D282="NJ",1.07,1))/$L$10, CHOOSE($M$10,$L$9,$M$9) )</f>
        <v xml:space="preserve"> 78.10 </v>
      </c>
      <c r="L282" s="173" t="str">
        <f>IF(AND($D$11="IL",$E282="AMEREN"),"NA",TEXT((SUMPRODUCT(((LMPMain!$H$9:$H$1000)=$E282)*((LMPMain!$J$9:$J$1000)=$F282)*((LMPMain!$O$9:$O$1000)=$C282)*(LMPMain!R$9:R$1000))+(SUMPRODUCT(((Adders!$D$13:$D$101)=$E282)*((Adders!$E$13:$E$101)=$F282)*(Adders!G$13:G$101))+VLOOKUP($H282,Adders!$B$5:$G$8,L$11,FALSE)+Matrix!$D$2)*IF($D282="NJ",1.07,1))/$L$10,CHOOSE($M$10,$L$9,$M$9)))</f>
        <v xml:space="preserve"> 34.17 </v>
      </c>
      <c r="M282" s="173" t="str">
        <f>IF(AND($D$11="IL",$E282="AMEREN"),"NA",TEXT((SUMPRODUCT(((LMPMain!$H$9:$H$1000)=$E282)*((LMPMain!$J$9:$J$1000)=$F282)*((LMPMain!$O$9:$O$1000)=$C282)*(LMPMain!S$9:S$1000))+(SUMPRODUCT(((Adders!$D$13:$D$101)=$E282)*((Adders!$E$13:$E$101)=$F282)*(Adders!H$13:H$101))+VLOOKUP($H282,Adders!$B$5:$G$8,M$11,FALSE)+Matrix!$D$2)*IF($D282="NJ",1.07,1))/$L$10,CHOOSE($M$10,$L$9,$M$9)))</f>
        <v xml:space="preserve"> 33.91 </v>
      </c>
      <c r="N282" s="174" t="str">
        <f>IF(AND($D$11="IL",$E282="AMEREN"),"NA",TEXT((SUMPRODUCT(((LMPMain!$H$9:$H$1000)=$E282)*((LMPMain!$J$9:$J$1000)=$F282)*((LMPMain!$O$9:$O$1000)=$C282)*(LMPMain!T$9:T$1000))+(SUMPRODUCT(((Adders!$D$13:$D$101)=$E282)*((Adders!$E$13:$E$101)=$F282)*(Adders!G$13:G$101))+VLOOKUP($H282,Adders!$B$5:$G$8,N$11,FALSE)+Matrix!$D$2)*IF($D282="NJ",1.07,1))/$L$10,CHOOSE($M$10,$L$9,$M$9)))</f>
        <v xml:space="preserve"> 33.00 </v>
      </c>
      <c r="O282" s="112"/>
    </row>
    <row r="283" spans="2:15" x14ac:dyDescent="0.25">
      <c r="B283" s="160" t="s">
        <v>671</v>
      </c>
      <c r="C283" s="135">
        <f t="shared" si="7"/>
        <v>42309</v>
      </c>
      <c r="D283" s="136" t="s">
        <v>6</v>
      </c>
      <c r="E283" s="137" t="s">
        <v>13</v>
      </c>
      <c r="F283" s="136" t="s">
        <v>7</v>
      </c>
      <c r="G283" s="137" t="str">
        <f t="shared" si="8"/>
        <v>General Service</v>
      </c>
      <c r="H283" s="138" t="s">
        <v>690</v>
      </c>
      <c r="I283" s="176" t="str">
        <f>TEXT(   (SUMPRODUCT( ((Main!$H$9:$H$1000)=$E283)*((Main!$J$9:$J$1000)=$F283)*((Main!$O$9:$O$1000)=$C283)*(Main!R$9:R$1000) ) +  ( SUMPRODUCT( ((Adders!$D$13:$D$101)=$E283)*((Adders!$E$13:$E$101)=$F283)*(Adders!G$13:G$101)) + VLOOKUP($H283,Adders!$B$5:$G$8,L$11,FALSE)  +  PA!$D$2 ) * IF($D283="NJ",1.07,1))/$L$10, CHOOSE($M$10,$L$9,$M$9) )</f>
        <v xml:space="preserve"> 77.92 </v>
      </c>
      <c r="J283" s="176" t="str">
        <f>TEXT(   (SUMPRODUCT( ((Main!$H$9:$H$1000)=$E283)*((Main!$J$9:$J$1000)=$F283)*((Main!$O$9:$O$1000)=$C283)*(Main!S$9:S$1000) ) +  ( SUMPRODUCT( ((Adders!$D$13:$D$101)=$E283)*((Adders!$E$13:$E$101)=$F283)*(Adders!H$13:H$101)) + VLOOKUP($H283,Adders!$B$5:$G$8,M$11,FALSE)  +  PA!$D$2 ) * IF($D283="NJ",1.07,1))/$L$10, CHOOSE($M$10,$L$9,$M$9) )</f>
        <v xml:space="preserve"> 78.36 </v>
      </c>
      <c r="K283" s="177" t="str">
        <f>TEXT(   (SUMPRODUCT( ((Main!$H$9:$H$1000)=$E283)*((Main!$J$9:$J$1000)=$F283)*((Main!$O$9:$O$1000)=$C283)*(Main!T$9:T$1000) ) +  ( SUMPRODUCT( ((Adders!$D$13:$D$101)=$E283)*((Adders!$E$13:$E$101)=$F283)*(Adders!I$13:I$101)) + VLOOKUP($H283,Adders!$B$5:$G$8,N$11,FALSE)  +  PA!$D$2 ) * IF($D283="NJ",1.07,1))/$L$10, CHOOSE($M$10,$L$9,$M$9) )</f>
        <v xml:space="preserve"> 77.05 </v>
      </c>
      <c r="L283" s="176" t="str">
        <f>IF(AND($D$11="IL",$E283="AMEREN"),"NA",TEXT((SUMPRODUCT(((LMPMain!$H$9:$H$1000)=$E283)*((LMPMain!$J$9:$J$1000)=$F283)*((LMPMain!$O$9:$O$1000)=$C283)*(LMPMain!R$9:R$1000))+(SUMPRODUCT(((Adders!$D$13:$D$101)=$E283)*((Adders!$E$13:$E$101)=$F283)*(Adders!G$13:G$101))+VLOOKUP($H283,Adders!$B$5:$G$8,L$11,FALSE)+Matrix!$D$2)*IF($D283="NJ",1.07,1))/$L$10,CHOOSE($M$10,$L$9,$M$9)))</f>
        <v xml:space="preserve"> 33.12 </v>
      </c>
      <c r="M283" s="176" t="str">
        <f>IF(AND($D$11="IL",$E283="AMEREN"),"NA",TEXT((SUMPRODUCT(((LMPMain!$H$9:$H$1000)=$E283)*((LMPMain!$J$9:$J$1000)=$F283)*((LMPMain!$O$9:$O$1000)=$C283)*(LMPMain!S$9:S$1000))+(SUMPRODUCT(((Adders!$D$13:$D$101)=$E283)*((Adders!$E$13:$E$101)=$F283)*(Adders!H$13:H$101))+VLOOKUP($H283,Adders!$B$5:$G$8,M$11,FALSE)+Matrix!$D$2)*IF($D283="NJ",1.07,1))/$L$10,CHOOSE($M$10,$L$9,$M$9)))</f>
        <v xml:space="preserve"> 32.86 </v>
      </c>
      <c r="N283" s="177" t="str">
        <f>IF(AND($D$11="IL",$E283="AMEREN"),"NA",TEXT((SUMPRODUCT(((LMPMain!$H$9:$H$1000)=$E283)*((LMPMain!$J$9:$J$1000)=$F283)*((LMPMain!$O$9:$O$1000)=$C283)*(LMPMain!T$9:T$1000))+(SUMPRODUCT(((Adders!$D$13:$D$101)=$E283)*((Adders!$E$13:$E$101)=$F283)*(Adders!G$13:G$101))+VLOOKUP($H283,Adders!$B$5:$G$8,N$11,FALSE)+Matrix!$D$2)*IF($D283="NJ",1.07,1))/$L$10,CHOOSE($M$10,$L$9,$M$9)))</f>
        <v xml:space="preserve"> 31.95 </v>
      </c>
      <c r="O283" s="112"/>
    </row>
    <row r="284" spans="2:15" x14ac:dyDescent="0.25">
      <c r="B284" s="160" t="s">
        <v>671</v>
      </c>
      <c r="C284" s="127">
        <f t="shared" si="7"/>
        <v>42339</v>
      </c>
      <c r="D284" s="128" t="s">
        <v>6</v>
      </c>
      <c r="E284" s="129" t="s">
        <v>13</v>
      </c>
      <c r="F284" s="128" t="s">
        <v>7</v>
      </c>
      <c r="G284" s="129" t="str">
        <f t="shared" si="8"/>
        <v>General Service</v>
      </c>
      <c r="H284" s="130" t="s">
        <v>61</v>
      </c>
      <c r="I284" s="178" t="str">
        <f>TEXT(   (SUMPRODUCT( ((Main!$H$9:$H$1000)=$E284)*((Main!$J$9:$J$1000)=$F284)*((Main!$O$9:$O$1000)=$C284)*(Main!R$9:R$1000) ) +  ( SUMPRODUCT( ((Adders!$D$13:$D$101)=$E284)*((Adders!$E$13:$E$101)=$F284)*(Adders!G$13:G$101)) + VLOOKUP($H284,Adders!$B$5:$G$8,L$11,FALSE)  +  PA!$D$2 ) * IF($D284="NJ",1.07,1))/$L$10, CHOOSE($M$10,$L$9,$M$9) )</f>
        <v xml:space="preserve"> 80.23 </v>
      </c>
      <c r="J284" s="178" t="str">
        <f>TEXT(   (SUMPRODUCT( ((Main!$H$9:$H$1000)=$E284)*((Main!$J$9:$J$1000)=$F284)*((Main!$O$9:$O$1000)=$C284)*(Main!S$9:S$1000) ) +  ( SUMPRODUCT( ((Adders!$D$13:$D$101)=$E284)*((Adders!$E$13:$E$101)=$F284)*(Adders!H$13:H$101)) + VLOOKUP($H284,Adders!$B$5:$G$8,M$11,FALSE)  +  PA!$D$2 ) * IF($D284="NJ",1.07,1))/$L$10, CHOOSE($M$10,$L$9,$M$9) )</f>
        <v xml:space="preserve"> 80.76 </v>
      </c>
      <c r="K284" s="179" t="str">
        <f>TEXT(   (SUMPRODUCT( ((Main!$H$9:$H$1000)=$E284)*((Main!$J$9:$J$1000)=$F284)*((Main!$O$9:$O$1000)=$C284)*(Main!T$9:T$1000) ) +  ( SUMPRODUCT( ((Adders!$D$13:$D$101)=$E284)*((Adders!$E$13:$E$101)=$F284)*(Adders!I$13:I$101)) + VLOOKUP($H284,Adders!$B$5:$G$8,N$11,FALSE)  +  PA!$D$2 ) * IF($D284="NJ",1.07,1))/$L$10, CHOOSE($M$10,$L$9,$M$9) )</f>
        <v xml:space="preserve"> 79.53 </v>
      </c>
      <c r="L284" s="178" t="str">
        <f>IF(AND($D$11="IL",$E284="AMEREN"),"NA",TEXT((SUMPRODUCT(((LMPMain!$H$9:$H$1000)=$E284)*((LMPMain!$J$9:$J$1000)=$F284)*((LMPMain!$O$9:$O$1000)=$C284)*(LMPMain!R$9:R$1000))+(SUMPRODUCT(((Adders!$D$13:$D$101)=$E284)*((Adders!$E$13:$E$101)=$F284)*(Adders!G$13:G$101))+VLOOKUP($H284,Adders!$B$5:$G$8,L$11,FALSE)+Matrix!$D$2)*IF($D284="NJ",1.07,1))/$L$10,CHOOSE($M$10,$L$9,$M$9)))</f>
        <v xml:space="preserve"> 35.38 </v>
      </c>
      <c r="M284" s="178" t="str">
        <f>IF(AND($D$11="IL",$E284="AMEREN"),"NA",TEXT((SUMPRODUCT(((LMPMain!$H$9:$H$1000)=$E284)*((LMPMain!$J$9:$J$1000)=$F284)*((LMPMain!$O$9:$O$1000)=$C284)*(LMPMain!S$9:S$1000))+(SUMPRODUCT(((Adders!$D$13:$D$101)=$E284)*((Adders!$E$13:$E$101)=$F284)*(Adders!H$13:H$101))+VLOOKUP($H284,Adders!$B$5:$G$8,M$11,FALSE)+Matrix!$D$2)*IF($D284="NJ",1.07,1))/$L$10,CHOOSE($M$10,$L$9,$M$9)))</f>
        <v xml:space="preserve"> 35.16 </v>
      </c>
      <c r="N284" s="179" t="str">
        <f>IF(AND($D$11="IL",$E284="AMEREN"),"NA",TEXT((SUMPRODUCT(((LMPMain!$H$9:$H$1000)=$E284)*((LMPMain!$J$9:$J$1000)=$F284)*((LMPMain!$O$9:$O$1000)=$C284)*(LMPMain!T$9:T$1000))+(SUMPRODUCT(((Adders!$D$13:$D$101)=$E284)*((Adders!$E$13:$E$101)=$F284)*(Adders!G$13:G$101))+VLOOKUP($H284,Adders!$B$5:$G$8,N$11,FALSE)+Matrix!$D$2)*IF($D284="NJ",1.07,1))/$L$10,CHOOSE($M$10,$L$9,$M$9)))</f>
        <v xml:space="preserve"> 34.41 </v>
      </c>
      <c r="O284" s="112"/>
    </row>
    <row r="285" spans="2:15" x14ac:dyDescent="0.25">
      <c r="B285" s="160" t="s">
        <v>671</v>
      </c>
      <c r="C285" s="131">
        <f t="shared" si="7"/>
        <v>42339</v>
      </c>
      <c r="D285" s="132" t="s">
        <v>6</v>
      </c>
      <c r="E285" s="133" t="s">
        <v>13</v>
      </c>
      <c r="F285" s="132" t="s">
        <v>7</v>
      </c>
      <c r="G285" s="133" t="str">
        <f t="shared" si="8"/>
        <v>General Service</v>
      </c>
      <c r="H285" s="134" t="s">
        <v>62</v>
      </c>
      <c r="I285" s="173" t="str">
        <f>TEXT(   (SUMPRODUCT( ((Main!$H$9:$H$1000)=$E285)*((Main!$J$9:$J$1000)=$F285)*((Main!$O$9:$O$1000)=$C285)*(Main!R$9:R$1000) ) +  ( SUMPRODUCT( ((Adders!$D$13:$D$101)=$E285)*((Adders!$E$13:$E$101)=$F285)*(Adders!G$13:G$101)) + VLOOKUP($H285,Adders!$B$5:$G$8,L$11,FALSE)  +  PA!$D$2 ) * IF($D285="NJ",1.07,1))/$L$10, CHOOSE($M$10,$L$9,$M$9) )</f>
        <v xml:space="preserve"> 78.63 </v>
      </c>
      <c r="J285" s="173" t="str">
        <f>TEXT(   (SUMPRODUCT( ((Main!$H$9:$H$1000)=$E285)*((Main!$J$9:$J$1000)=$F285)*((Main!$O$9:$O$1000)=$C285)*(Main!S$9:S$1000) ) +  ( SUMPRODUCT( ((Adders!$D$13:$D$101)=$E285)*((Adders!$E$13:$E$101)=$F285)*(Adders!H$13:H$101)) + VLOOKUP($H285,Adders!$B$5:$G$8,M$11,FALSE)  +  PA!$D$2 ) * IF($D285="NJ",1.07,1))/$L$10, CHOOSE($M$10,$L$9,$M$9) )</f>
        <v xml:space="preserve"> 79.16 </v>
      </c>
      <c r="K285" s="174" t="str">
        <f>TEXT(   (SUMPRODUCT( ((Main!$H$9:$H$1000)=$E285)*((Main!$J$9:$J$1000)=$F285)*((Main!$O$9:$O$1000)=$C285)*(Main!T$9:T$1000) ) +  ( SUMPRODUCT( ((Adders!$D$13:$D$101)=$E285)*((Adders!$E$13:$E$101)=$F285)*(Adders!I$13:I$101)) + VLOOKUP($H285,Adders!$B$5:$G$8,N$11,FALSE)  +  PA!$D$2 ) * IF($D285="NJ",1.07,1))/$L$10, CHOOSE($M$10,$L$9,$M$9) )</f>
        <v xml:space="preserve"> 77.93 </v>
      </c>
      <c r="L285" s="173" t="str">
        <f>IF(AND($D$11="IL",$E285="AMEREN"),"NA",TEXT((SUMPRODUCT(((LMPMain!$H$9:$H$1000)=$E285)*((LMPMain!$J$9:$J$1000)=$F285)*((LMPMain!$O$9:$O$1000)=$C285)*(LMPMain!R$9:R$1000))+(SUMPRODUCT(((Adders!$D$13:$D$101)=$E285)*((Adders!$E$13:$E$101)=$F285)*(Adders!G$13:G$101))+VLOOKUP($H285,Adders!$B$5:$G$8,L$11,FALSE)+Matrix!$D$2)*IF($D285="NJ",1.07,1))/$L$10,CHOOSE($M$10,$L$9,$M$9)))</f>
        <v xml:space="preserve"> 33.78 </v>
      </c>
      <c r="M285" s="173" t="str">
        <f>IF(AND($D$11="IL",$E285="AMEREN"),"NA",TEXT((SUMPRODUCT(((LMPMain!$H$9:$H$1000)=$E285)*((LMPMain!$J$9:$J$1000)=$F285)*((LMPMain!$O$9:$O$1000)=$C285)*(LMPMain!S$9:S$1000))+(SUMPRODUCT(((Adders!$D$13:$D$101)=$E285)*((Adders!$E$13:$E$101)=$F285)*(Adders!H$13:H$101))+VLOOKUP($H285,Adders!$B$5:$G$8,M$11,FALSE)+Matrix!$D$2)*IF($D285="NJ",1.07,1))/$L$10,CHOOSE($M$10,$L$9,$M$9)))</f>
        <v xml:space="preserve"> 33.56 </v>
      </c>
      <c r="N285" s="174" t="str">
        <f>IF(AND($D$11="IL",$E285="AMEREN"),"NA",TEXT((SUMPRODUCT(((LMPMain!$H$9:$H$1000)=$E285)*((LMPMain!$J$9:$J$1000)=$F285)*((LMPMain!$O$9:$O$1000)=$C285)*(LMPMain!T$9:T$1000))+(SUMPRODUCT(((Adders!$D$13:$D$101)=$E285)*((Adders!$E$13:$E$101)=$F285)*(Adders!G$13:G$101))+VLOOKUP($H285,Adders!$B$5:$G$8,N$11,FALSE)+Matrix!$D$2)*IF($D285="NJ",1.07,1))/$L$10,CHOOSE($M$10,$L$9,$M$9)))</f>
        <v xml:space="preserve"> 32.81 </v>
      </c>
      <c r="O285" s="112"/>
    </row>
    <row r="286" spans="2:15" x14ac:dyDescent="0.25">
      <c r="B286" s="160" t="s">
        <v>671</v>
      </c>
      <c r="C286" s="135">
        <f t="shared" si="7"/>
        <v>42339</v>
      </c>
      <c r="D286" s="136" t="s">
        <v>6</v>
      </c>
      <c r="E286" s="137" t="s">
        <v>13</v>
      </c>
      <c r="F286" s="136" t="s">
        <v>7</v>
      </c>
      <c r="G286" s="137" t="str">
        <f t="shared" si="8"/>
        <v>General Service</v>
      </c>
      <c r="H286" s="138" t="s">
        <v>690</v>
      </c>
      <c r="I286" s="176" t="str">
        <f>TEXT(   (SUMPRODUCT( ((Main!$H$9:$H$1000)=$E286)*((Main!$J$9:$J$1000)=$F286)*((Main!$O$9:$O$1000)=$C286)*(Main!R$9:R$1000) ) +  ( SUMPRODUCT( ((Adders!$D$13:$D$101)=$E286)*((Adders!$E$13:$E$101)=$F286)*(Adders!G$13:G$101)) + VLOOKUP($H286,Adders!$B$5:$G$8,L$11,FALSE)  +  PA!$D$2 ) * IF($D286="NJ",1.07,1))/$L$10, CHOOSE($M$10,$L$9,$M$9) )</f>
        <v xml:space="preserve"> 77.58 </v>
      </c>
      <c r="J286" s="176" t="str">
        <f>TEXT(   (SUMPRODUCT( ((Main!$H$9:$H$1000)=$E286)*((Main!$J$9:$J$1000)=$F286)*((Main!$O$9:$O$1000)=$C286)*(Main!S$9:S$1000) ) +  ( SUMPRODUCT( ((Adders!$D$13:$D$101)=$E286)*((Adders!$E$13:$E$101)=$F286)*(Adders!H$13:H$101)) + VLOOKUP($H286,Adders!$B$5:$G$8,M$11,FALSE)  +  PA!$D$2 ) * IF($D286="NJ",1.07,1))/$L$10, CHOOSE($M$10,$L$9,$M$9) )</f>
        <v xml:space="preserve"> 78.11 </v>
      </c>
      <c r="K286" s="177" t="str">
        <f>TEXT(   (SUMPRODUCT( ((Main!$H$9:$H$1000)=$E286)*((Main!$J$9:$J$1000)=$F286)*((Main!$O$9:$O$1000)=$C286)*(Main!T$9:T$1000) ) +  ( SUMPRODUCT( ((Adders!$D$13:$D$101)=$E286)*((Adders!$E$13:$E$101)=$F286)*(Adders!I$13:I$101)) + VLOOKUP($H286,Adders!$B$5:$G$8,N$11,FALSE)  +  PA!$D$2 ) * IF($D286="NJ",1.07,1))/$L$10, CHOOSE($M$10,$L$9,$M$9) )</f>
        <v xml:space="preserve"> 76.88 </v>
      </c>
      <c r="L286" s="176" t="str">
        <f>IF(AND($D$11="IL",$E286="AMEREN"),"NA",TEXT((SUMPRODUCT(((LMPMain!$H$9:$H$1000)=$E286)*((LMPMain!$J$9:$J$1000)=$F286)*((LMPMain!$O$9:$O$1000)=$C286)*(LMPMain!R$9:R$1000))+(SUMPRODUCT(((Adders!$D$13:$D$101)=$E286)*((Adders!$E$13:$E$101)=$F286)*(Adders!G$13:G$101))+VLOOKUP($H286,Adders!$B$5:$G$8,L$11,FALSE)+Matrix!$D$2)*IF($D286="NJ",1.07,1))/$L$10,CHOOSE($M$10,$L$9,$M$9)))</f>
        <v xml:space="preserve"> 32.73 </v>
      </c>
      <c r="M286" s="176" t="str">
        <f>IF(AND($D$11="IL",$E286="AMEREN"),"NA",TEXT((SUMPRODUCT(((LMPMain!$H$9:$H$1000)=$E286)*((LMPMain!$J$9:$J$1000)=$F286)*((LMPMain!$O$9:$O$1000)=$C286)*(LMPMain!S$9:S$1000))+(SUMPRODUCT(((Adders!$D$13:$D$101)=$E286)*((Adders!$E$13:$E$101)=$F286)*(Adders!H$13:H$101))+VLOOKUP($H286,Adders!$B$5:$G$8,M$11,FALSE)+Matrix!$D$2)*IF($D286="NJ",1.07,1))/$L$10,CHOOSE($M$10,$L$9,$M$9)))</f>
        <v xml:space="preserve"> 32.51 </v>
      </c>
      <c r="N286" s="177" t="str">
        <f>IF(AND($D$11="IL",$E286="AMEREN"),"NA",TEXT((SUMPRODUCT(((LMPMain!$H$9:$H$1000)=$E286)*((LMPMain!$J$9:$J$1000)=$F286)*((LMPMain!$O$9:$O$1000)=$C286)*(LMPMain!T$9:T$1000))+(SUMPRODUCT(((Adders!$D$13:$D$101)=$E286)*((Adders!$E$13:$E$101)=$F286)*(Adders!G$13:G$101))+VLOOKUP($H286,Adders!$B$5:$G$8,N$11,FALSE)+Matrix!$D$2)*IF($D286="NJ",1.07,1))/$L$10,CHOOSE($M$10,$L$9,$M$9)))</f>
        <v xml:space="preserve"> 31.76 </v>
      </c>
      <c r="O286" s="112"/>
    </row>
    <row r="287" spans="2:15" x14ac:dyDescent="0.25">
      <c r="B287" s="160" t="s">
        <v>671</v>
      </c>
      <c r="C287" s="127">
        <f t="shared" si="7"/>
        <v>42370</v>
      </c>
      <c r="D287" s="128" t="s">
        <v>6</v>
      </c>
      <c r="E287" s="129" t="s">
        <v>13</v>
      </c>
      <c r="F287" s="128" t="s">
        <v>7</v>
      </c>
      <c r="G287" s="129" t="str">
        <f t="shared" si="8"/>
        <v>General Service</v>
      </c>
      <c r="H287" s="130" t="s">
        <v>61</v>
      </c>
      <c r="I287" s="178" t="str">
        <f>TEXT(   (SUMPRODUCT( ((Main!$H$9:$H$1000)=$E287)*((Main!$J$9:$J$1000)=$F287)*((Main!$O$9:$O$1000)=$C287)*(Main!R$9:R$1000) ) +  ( SUMPRODUCT( ((Adders!$D$13:$D$101)=$E287)*((Adders!$E$13:$E$101)=$F287)*(Adders!G$13:G$101)) + VLOOKUP($H287,Adders!$B$5:$G$8,L$11,FALSE)  +  PA!$D$2 ) * IF($D287="NJ",1.07,1))/$L$10, CHOOSE($M$10,$L$9,$M$9) )</f>
        <v xml:space="preserve"> 79.79 </v>
      </c>
      <c r="J287" s="178" t="str">
        <f>TEXT(   (SUMPRODUCT( ((Main!$H$9:$H$1000)=$E287)*((Main!$J$9:$J$1000)=$F287)*((Main!$O$9:$O$1000)=$C287)*(Main!S$9:S$1000) ) +  ( SUMPRODUCT( ((Adders!$D$13:$D$101)=$E287)*((Adders!$E$13:$E$101)=$F287)*(Adders!H$13:H$101)) + VLOOKUP($H287,Adders!$B$5:$G$8,M$11,FALSE)  +  PA!$D$2 ) * IF($D287="NJ",1.07,1))/$L$10, CHOOSE($M$10,$L$9,$M$9) )</f>
        <v xml:space="preserve"> 80.34 </v>
      </c>
      <c r="K287" s="179" t="str">
        <f>TEXT(   (SUMPRODUCT( ((Main!$H$9:$H$1000)=$E287)*((Main!$J$9:$J$1000)=$F287)*((Main!$O$9:$O$1000)=$C287)*(Main!T$9:T$1000) ) +  ( SUMPRODUCT( ((Adders!$D$13:$D$101)=$E287)*((Adders!$E$13:$E$101)=$F287)*(Adders!I$13:I$101)) + VLOOKUP($H287,Adders!$B$5:$G$8,N$11,FALSE)  +  PA!$D$2 ) * IF($D287="NJ",1.07,1))/$L$10, CHOOSE($M$10,$L$9,$M$9) )</f>
        <v xml:space="preserve"> 79.34 </v>
      </c>
      <c r="L287" s="178" t="str">
        <f>IF(AND($D$11="IL",$E287="AMEREN"),"NA",TEXT((SUMPRODUCT(((LMPMain!$H$9:$H$1000)=$E287)*((LMPMain!$J$9:$J$1000)=$F287)*((LMPMain!$O$9:$O$1000)=$C287)*(LMPMain!R$9:R$1000))+(SUMPRODUCT(((Adders!$D$13:$D$101)=$E287)*((Adders!$E$13:$E$101)=$F287)*(Adders!G$13:G$101))+VLOOKUP($H287,Adders!$B$5:$G$8,L$11,FALSE)+Matrix!$D$2)*IF($D287="NJ",1.07,1))/$L$10,CHOOSE($M$10,$L$9,$M$9)))</f>
        <v xml:space="preserve"> 35.02 </v>
      </c>
      <c r="M287" s="178" t="str">
        <f>IF(AND($D$11="IL",$E287="AMEREN"),"NA",TEXT((SUMPRODUCT(((LMPMain!$H$9:$H$1000)=$E287)*((LMPMain!$J$9:$J$1000)=$F287)*((LMPMain!$O$9:$O$1000)=$C287)*(LMPMain!S$9:S$1000))+(SUMPRODUCT(((Adders!$D$13:$D$101)=$E287)*((Adders!$E$13:$E$101)=$F287)*(Adders!H$13:H$101))+VLOOKUP($H287,Adders!$B$5:$G$8,M$11,FALSE)+Matrix!$D$2)*IF($D287="NJ",1.07,1))/$L$10,CHOOSE($M$10,$L$9,$M$9)))</f>
        <v xml:space="preserve"> 34.74 </v>
      </c>
      <c r="N287" s="179" t="str">
        <f>IF(AND($D$11="IL",$E287="AMEREN"),"NA",TEXT((SUMPRODUCT(((LMPMain!$H$9:$H$1000)=$E287)*((LMPMain!$J$9:$J$1000)=$F287)*((LMPMain!$O$9:$O$1000)=$C287)*(LMPMain!T$9:T$1000))+(SUMPRODUCT(((Adders!$D$13:$D$101)=$E287)*((Adders!$E$13:$E$101)=$F287)*(Adders!G$13:G$101))+VLOOKUP($H287,Adders!$B$5:$G$8,N$11,FALSE)+Matrix!$D$2)*IF($D287="NJ",1.07,1))/$L$10,CHOOSE($M$10,$L$9,$M$9)))</f>
        <v xml:space="preserve"> 34.25 </v>
      </c>
      <c r="O287" s="112"/>
    </row>
    <row r="288" spans="2:15" x14ac:dyDescent="0.25">
      <c r="B288" s="160" t="s">
        <v>671</v>
      </c>
      <c r="C288" s="131">
        <f t="shared" si="7"/>
        <v>42370</v>
      </c>
      <c r="D288" s="132" t="s">
        <v>6</v>
      </c>
      <c r="E288" s="133" t="s">
        <v>13</v>
      </c>
      <c r="F288" s="132" t="s">
        <v>7</v>
      </c>
      <c r="G288" s="133" t="str">
        <f t="shared" si="8"/>
        <v>General Service</v>
      </c>
      <c r="H288" s="134" t="s">
        <v>62</v>
      </c>
      <c r="I288" s="173" t="str">
        <f>TEXT(   (SUMPRODUCT( ((Main!$H$9:$H$1000)=$E288)*((Main!$J$9:$J$1000)=$F288)*((Main!$O$9:$O$1000)=$C288)*(Main!R$9:R$1000) ) +  ( SUMPRODUCT( ((Adders!$D$13:$D$101)=$E288)*((Adders!$E$13:$E$101)=$F288)*(Adders!G$13:G$101)) + VLOOKUP($H288,Adders!$B$5:$G$8,L$11,FALSE)  +  PA!$D$2 ) * IF($D288="NJ",1.07,1))/$L$10, CHOOSE($M$10,$L$9,$M$9) )</f>
        <v xml:space="preserve"> 78.19 </v>
      </c>
      <c r="J288" s="173" t="str">
        <f>TEXT(   (SUMPRODUCT( ((Main!$H$9:$H$1000)=$E288)*((Main!$J$9:$J$1000)=$F288)*((Main!$O$9:$O$1000)=$C288)*(Main!S$9:S$1000) ) +  ( SUMPRODUCT( ((Adders!$D$13:$D$101)=$E288)*((Adders!$E$13:$E$101)=$F288)*(Adders!H$13:H$101)) + VLOOKUP($H288,Adders!$B$5:$G$8,M$11,FALSE)  +  PA!$D$2 ) * IF($D288="NJ",1.07,1))/$L$10, CHOOSE($M$10,$L$9,$M$9) )</f>
        <v xml:space="preserve"> 78.74 </v>
      </c>
      <c r="K288" s="174" t="str">
        <f>TEXT(   (SUMPRODUCT( ((Main!$H$9:$H$1000)=$E288)*((Main!$J$9:$J$1000)=$F288)*((Main!$O$9:$O$1000)=$C288)*(Main!T$9:T$1000) ) +  ( SUMPRODUCT( ((Adders!$D$13:$D$101)=$E288)*((Adders!$E$13:$E$101)=$F288)*(Adders!I$13:I$101)) + VLOOKUP($H288,Adders!$B$5:$G$8,N$11,FALSE)  +  PA!$D$2 ) * IF($D288="NJ",1.07,1))/$L$10, CHOOSE($M$10,$L$9,$M$9) )</f>
        <v xml:space="preserve"> 77.74 </v>
      </c>
      <c r="L288" s="173" t="str">
        <f>IF(AND($D$11="IL",$E288="AMEREN"),"NA",TEXT((SUMPRODUCT(((LMPMain!$H$9:$H$1000)=$E288)*((LMPMain!$J$9:$J$1000)=$F288)*((LMPMain!$O$9:$O$1000)=$C288)*(LMPMain!R$9:R$1000))+(SUMPRODUCT(((Adders!$D$13:$D$101)=$E288)*((Adders!$E$13:$E$101)=$F288)*(Adders!G$13:G$101))+VLOOKUP($H288,Adders!$B$5:$G$8,L$11,FALSE)+Matrix!$D$2)*IF($D288="NJ",1.07,1))/$L$10,CHOOSE($M$10,$L$9,$M$9)))</f>
        <v xml:space="preserve"> 33.42 </v>
      </c>
      <c r="M288" s="173" t="str">
        <f>IF(AND($D$11="IL",$E288="AMEREN"),"NA",TEXT((SUMPRODUCT(((LMPMain!$H$9:$H$1000)=$E288)*((LMPMain!$J$9:$J$1000)=$F288)*((LMPMain!$O$9:$O$1000)=$C288)*(LMPMain!S$9:S$1000))+(SUMPRODUCT(((Adders!$D$13:$D$101)=$E288)*((Adders!$E$13:$E$101)=$F288)*(Adders!H$13:H$101))+VLOOKUP($H288,Adders!$B$5:$G$8,M$11,FALSE)+Matrix!$D$2)*IF($D288="NJ",1.07,1))/$L$10,CHOOSE($M$10,$L$9,$M$9)))</f>
        <v xml:space="preserve"> 33.14 </v>
      </c>
      <c r="N288" s="174" t="str">
        <f>IF(AND($D$11="IL",$E288="AMEREN"),"NA",TEXT((SUMPRODUCT(((LMPMain!$H$9:$H$1000)=$E288)*((LMPMain!$J$9:$J$1000)=$F288)*((LMPMain!$O$9:$O$1000)=$C288)*(LMPMain!T$9:T$1000))+(SUMPRODUCT(((Adders!$D$13:$D$101)=$E288)*((Adders!$E$13:$E$101)=$F288)*(Adders!G$13:G$101))+VLOOKUP($H288,Adders!$B$5:$G$8,N$11,FALSE)+Matrix!$D$2)*IF($D288="NJ",1.07,1))/$L$10,CHOOSE($M$10,$L$9,$M$9)))</f>
        <v xml:space="preserve"> 32.65 </v>
      </c>
      <c r="O288" s="112"/>
    </row>
    <row r="289" spans="2:15" x14ac:dyDescent="0.25">
      <c r="B289" s="160" t="s">
        <v>671</v>
      </c>
      <c r="C289" s="135">
        <f t="shared" si="7"/>
        <v>42370</v>
      </c>
      <c r="D289" s="136" t="s">
        <v>6</v>
      </c>
      <c r="E289" s="137" t="s">
        <v>13</v>
      </c>
      <c r="F289" s="136" t="s">
        <v>7</v>
      </c>
      <c r="G289" s="137" t="str">
        <f t="shared" si="8"/>
        <v>General Service</v>
      </c>
      <c r="H289" s="138" t="s">
        <v>690</v>
      </c>
      <c r="I289" s="176" t="str">
        <f>TEXT(   (SUMPRODUCT( ((Main!$H$9:$H$1000)=$E289)*((Main!$J$9:$J$1000)=$F289)*((Main!$O$9:$O$1000)=$C289)*(Main!R$9:R$1000) ) +  ( SUMPRODUCT( ((Adders!$D$13:$D$101)=$E289)*((Adders!$E$13:$E$101)=$F289)*(Adders!G$13:G$101)) + VLOOKUP($H289,Adders!$B$5:$G$8,L$11,FALSE)  +  PA!$D$2 ) * IF($D289="NJ",1.07,1))/$L$10, CHOOSE($M$10,$L$9,$M$9) )</f>
        <v xml:space="preserve"> 77.14 </v>
      </c>
      <c r="J289" s="176" t="str">
        <f>TEXT(   (SUMPRODUCT( ((Main!$H$9:$H$1000)=$E289)*((Main!$J$9:$J$1000)=$F289)*((Main!$O$9:$O$1000)=$C289)*(Main!S$9:S$1000) ) +  ( SUMPRODUCT( ((Adders!$D$13:$D$101)=$E289)*((Adders!$E$13:$E$101)=$F289)*(Adders!H$13:H$101)) + VLOOKUP($H289,Adders!$B$5:$G$8,M$11,FALSE)  +  PA!$D$2 ) * IF($D289="NJ",1.07,1))/$L$10, CHOOSE($M$10,$L$9,$M$9) )</f>
        <v xml:space="preserve"> 77.69 </v>
      </c>
      <c r="K289" s="177" t="str">
        <f>TEXT(   (SUMPRODUCT( ((Main!$H$9:$H$1000)=$E289)*((Main!$J$9:$J$1000)=$F289)*((Main!$O$9:$O$1000)=$C289)*(Main!T$9:T$1000) ) +  ( SUMPRODUCT( ((Adders!$D$13:$D$101)=$E289)*((Adders!$E$13:$E$101)=$F289)*(Adders!I$13:I$101)) + VLOOKUP($H289,Adders!$B$5:$G$8,N$11,FALSE)  +  PA!$D$2 ) * IF($D289="NJ",1.07,1))/$L$10, CHOOSE($M$10,$L$9,$M$9) )</f>
        <v xml:space="preserve"> 76.69 </v>
      </c>
      <c r="L289" s="176" t="str">
        <f>IF(AND($D$11="IL",$E289="AMEREN"),"NA",TEXT((SUMPRODUCT(((LMPMain!$H$9:$H$1000)=$E289)*((LMPMain!$J$9:$J$1000)=$F289)*((LMPMain!$O$9:$O$1000)=$C289)*(LMPMain!R$9:R$1000))+(SUMPRODUCT(((Adders!$D$13:$D$101)=$E289)*((Adders!$E$13:$E$101)=$F289)*(Adders!G$13:G$101))+VLOOKUP($H289,Adders!$B$5:$G$8,L$11,FALSE)+Matrix!$D$2)*IF($D289="NJ",1.07,1))/$L$10,CHOOSE($M$10,$L$9,$M$9)))</f>
        <v xml:space="preserve"> 32.37 </v>
      </c>
      <c r="M289" s="176" t="str">
        <f>IF(AND($D$11="IL",$E289="AMEREN"),"NA",TEXT((SUMPRODUCT(((LMPMain!$H$9:$H$1000)=$E289)*((LMPMain!$J$9:$J$1000)=$F289)*((LMPMain!$O$9:$O$1000)=$C289)*(LMPMain!S$9:S$1000))+(SUMPRODUCT(((Adders!$D$13:$D$101)=$E289)*((Adders!$E$13:$E$101)=$F289)*(Adders!H$13:H$101))+VLOOKUP($H289,Adders!$B$5:$G$8,M$11,FALSE)+Matrix!$D$2)*IF($D289="NJ",1.07,1))/$L$10,CHOOSE($M$10,$L$9,$M$9)))</f>
        <v xml:space="preserve"> 32.09 </v>
      </c>
      <c r="N289" s="177" t="str">
        <f>IF(AND($D$11="IL",$E289="AMEREN"),"NA",TEXT((SUMPRODUCT(((LMPMain!$H$9:$H$1000)=$E289)*((LMPMain!$J$9:$J$1000)=$F289)*((LMPMain!$O$9:$O$1000)=$C289)*(LMPMain!T$9:T$1000))+(SUMPRODUCT(((Adders!$D$13:$D$101)=$E289)*((Adders!$E$13:$E$101)=$F289)*(Adders!G$13:G$101))+VLOOKUP($H289,Adders!$B$5:$G$8,N$11,FALSE)+Matrix!$D$2)*IF($D289="NJ",1.07,1))/$L$10,CHOOSE($M$10,$L$9,$M$9)))</f>
        <v xml:space="preserve"> 31.60 </v>
      </c>
      <c r="O289" s="112"/>
    </row>
    <row r="290" spans="2:15" x14ac:dyDescent="0.25">
      <c r="B290" s="160" t="s">
        <v>671</v>
      </c>
      <c r="C290" s="127">
        <f t="shared" si="7"/>
        <v>42401</v>
      </c>
      <c r="D290" s="128" t="s">
        <v>6</v>
      </c>
      <c r="E290" s="129" t="s">
        <v>13</v>
      </c>
      <c r="F290" s="128" t="s">
        <v>7</v>
      </c>
      <c r="G290" s="129" t="str">
        <f t="shared" si="8"/>
        <v>General Service</v>
      </c>
      <c r="H290" s="130" t="s">
        <v>61</v>
      </c>
      <c r="I290" s="178" t="str">
        <f>TEXT(   (SUMPRODUCT( ((Main!$H$9:$H$1000)=$E290)*((Main!$J$9:$J$1000)=$F290)*((Main!$O$9:$O$1000)=$C290)*(Main!R$9:R$1000) ) +  ( SUMPRODUCT( ((Adders!$D$13:$D$101)=$E290)*((Adders!$E$13:$E$101)=$F290)*(Adders!G$13:G$101)) + VLOOKUP($H290,Adders!$B$5:$G$8,L$11,FALSE)  +  PA!$D$2 ) * IF($D290="NJ",1.07,1))/$L$10, CHOOSE($M$10,$L$9,$M$9) )</f>
        <v xml:space="preserve"> 79.51 </v>
      </c>
      <c r="J290" s="178" t="str">
        <f>TEXT(   (SUMPRODUCT( ((Main!$H$9:$H$1000)=$E290)*((Main!$J$9:$J$1000)=$F290)*((Main!$O$9:$O$1000)=$C290)*(Main!S$9:S$1000) ) +  ( SUMPRODUCT( ((Adders!$D$13:$D$101)=$E290)*((Adders!$E$13:$E$101)=$F290)*(Adders!H$13:H$101)) + VLOOKUP($H290,Adders!$B$5:$G$8,M$11,FALSE)  +  PA!$D$2 ) * IF($D290="NJ",1.07,1))/$L$10, CHOOSE($M$10,$L$9,$M$9) )</f>
        <v xml:space="preserve"> 79.42 </v>
      </c>
      <c r="K290" s="179" t="str">
        <f>TEXT(   (SUMPRODUCT( ((Main!$H$9:$H$1000)=$E290)*((Main!$J$9:$J$1000)=$F290)*((Main!$O$9:$O$1000)=$C290)*(Main!T$9:T$1000) ) +  ( SUMPRODUCT( ((Adders!$D$13:$D$101)=$E290)*((Adders!$E$13:$E$101)=$F290)*(Adders!I$13:I$101)) + VLOOKUP($H290,Adders!$B$5:$G$8,N$11,FALSE)  +  PA!$D$2 ) * IF($D290="NJ",1.07,1))/$L$10, CHOOSE($M$10,$L$9,$M$9) )</f>
        <v xml:space="preserve"> 79.47 </v>
      </c>
      <c r="L290" s="178" t="str">
        <f>IF(AND($D$11="IL",$E290="AMEREN"),"NA",TEXT((SUMPRODUCT(((LMPMain!$H$9:$H$1000)=$E290)*((LMPMain!$J$9:$J$1000)=$F290)*((LMPMain!$O$9:$O$1000)=$C290)*(LMPMain!R$9:R$1000))+(SUMPRODUCT(((Adders!$D$13:$D$101)=$E290)*((Adders!$E$13:$E$101)=$F290)*(Adders!G$13:G$101))+VLOOKUP($H290,Adders!$B$5:$G$8,L$11,FALSE)+Matrix!$D$2)*IF($D290="NJ",1.07,1))/$L$10,CHOOSE($M$10,$L$9,$M$9)))</f>
        <v xml:space="preserve"> 34.64 </v>
      </c>
      <c r="M290" s="178" t="str">
        <f>IF(AND($D$11="IL",$E290="AMEREN"),"NA",TEXT((SUMPRODUCT(((LMPMain!$H$9:$H$1000)=$E290)*((LMPMain!$J$9:$J$1000)=$F290)*((LMPMain!$O$9:$O$1000)=$C290)*(LMPMain!S$9:S$1000))+(SUMPRODUCT(((Adders!$D$13:$D$101)=$E290)*((Adders!$E$13:$E$101)=$F290)*(Adders!H$13:H$101))+VLOOKUP($H290,Adders!$B$5:$G$8,M$11,FALSE)+Matrix!$D$2)*IF($D290="NJ",1.07,1))/$L$10,CHOOSE($M$10,$L$9,$M$9)))</f>
        <v xml:space="preserve"> 34.10 </v>
      </c>
      <c r="N290" s="179" t="str">
        <f>IF(AND($D$11="IL",$E290="AMEREN"),"NA",TEXT((SUMPRODUCT(((LMPMain!$H$9:$H$1000)=$E290)*((LMPMain!$J$9:$J$1000)=$F290)*((LMPMain!$O$9:$O$1000)=$C290)*(LMPMain!T$9:T$1000))+(SUMPRODUCT(((Adders!$D$13:$D$101)=$E290)*((Adders!$E$13:$E$101)=$F290)*(Adders!G$13:G$101))+VLOOKUP($H290,Adders!$B$5:$G$8,N$11,FALSE)+Matrix!$D$2)*IF($D290="NJ",1.07,1))/$L$10,CHOOSE($M$10,$L$9,$M$9)))</f>
        <v xml:space="preserve"> 34.07 </v>
      </c>
      <c r="O290" s="112"/>
    </row>
    <row r="291" spans="2:15" x14ac:dyDescent="0.25">
      <c r="B291" s="160" t="s">
        <v>671</v>
      </c>
      <c r="C291" s="131">
        <f t="shared" si="7"/>
        <v>42401</v>
      </c>
      <c r="D291" s="132" t="s">
        <v>6</v>
      </c>
      <c r="E291" s="133" t="s">
        <v>13</v>
      </c>
      <c r="F291" s="132" t="s">
        <v>7</v>
      </c>
      <c r="G291" s="133" t="str">
        <f t="shared" si="8"/>
        <v>General Service</v>
      </c>
      <c r="H291" s="134" t="s">
        <v>62</v>
      </c>
      <c r="I291" s="173" t="str">
        <f>TEXT(   (SUMPRODUCT( ((Main!$H$9:$H$1000)=$E291)*((Main!$J$9:$J$1000)=$F291)*((Main!$O$9:$O$1000)=$C291)*(Main!R$9:R$1000) ) +  ( SUMPRODUCT( ((Adders!$D$13:$D$101)=$E291)*((Adders!$E$13:$E$101)=$F291)*(Adders!G$13:G$101)) + VLOOKUP($H291,Adders!$B$5:$G$8,L$11,FALSE)  +  PA!$D$2 ) * IF($D291="NJ",1.07,1))/$L$10, CHOOSE($M$10,$L$9,$M$9) )</f>
        <v xml:space="preserve"> 77.91 </v>
      </c>
      <c r="J291" s="173" t="str">
        <f>TEXT(   (SUMPRODUCT( ((Main!$H$9:$H$1000)=$E291)*((Main!$J$9:$J$1000)=$F291)*((Main!$O$9:$O$1000)=$C291)*(Main!S$9:S$1000) ) +  ( SUMPRODUCT( ((Adders!$D$13:$D$101)=$E291)*((Adders!$E$13:$E$101)=$F291)*(Adders!H$13:H$101)) + VLOOKUP($H291,Adders!$B$5:$G$8,M$11,FALSE)  +  PA!$D$2 ) * IF($D291="NJ",1.07,1))/$L$10, CHOOSE($M$10,$L$9,$M$9) )</f>
        <v xml:space="preserve"> 77.82 </v>
      </c>
      <c r="K291" s="174" t="str">
        <f>TEXT(   (SUMPRODUCT( ((Main!$H$9:$H$1000)=$E291)*((Main!$J$9:$J$1000)=$F291)*((Main!$O$9:$O$1000)=$C291)*(Main!T$9:T$1000) ) +  ( SUMPRODUCT( ((Adders!$D$13:$D$101)=$E291)*((Adders!$E$13:$E$101)=$F291)*(Adders!I$13:I$101)) + VLOOKUP($H291,Adders!$B$5:$G$8,N$11,FALSE)  +  PA!$D$2 ) * IF($D291="NJ",1.07,1))/$L$10, CHOOSE($M$10,$L$9,$M$9) )</f>
        <v xml:space="preserve"> 77.87 </v>
      </c>
      <c r="L291" s="173" t="str">
        <f>IF(AND($D$11="IL",$E291="AMEREN"),"NA",TEXT((SUMPRODUCT(((LMPMain!$H$9:$H$1000)=$E291)*((LMPMain!$J$9:$J$1000)=$F291)*((LMPMain!$O$9:$O$1000)=$C291)*(LMPMain!R$9:R$1000))+(SUMPRODUCT(((Adders!$D$13:$D$101)=$E291)*((Adders!$E$13:$E$101)=$F291)*(Adders!G$13:G$101))+VLOOKUP($H291,Adders!$B$5:$G$8,L$11,FALSE)+Matrix!$D$2)*IF($D291="NJ",1.07,1))/$L$10,CHOOSE($M$10,$L$9,$M$9)))</f>
        <v xml:space="preserve"> 33.04 </v>
      </c>
      <c r="M291" s="173" t="str">
        <f>IF(AND($D$11="IL",$E291="AMEREN"),"NA",TEXT((SUMPRODUCT(((LMPMain!$H$9:$H$1000)=$E291)*((LMPMain!$J$9:$J$1000)=$F291)*((LMPMain!$O$9:$O$1000)=$C291)*(LMPMain!S$9:S$1000))+(SUMPRODUCT(((Adders!$D$13:$D$101)=$E291)*((Adders!$E$13:$E$101)=$F291)*(Adders!H$13:H$101))+VLOOKUP($H291,Adders!$B$5:$G$8,M$11,FALSE)+Matrix!$D$2)*IF($D291="NJ",1.07,1))/$L$10,CHOOSE($M$10,$L$9,$M$9)))</f>
        <v xml:space="preserve"> 32.50 </v>
      </c>
      <c r="N291" s="174" t="str">
        <f>IF(AND($D$11="IL",$E291="AMEREN"),"NA",TEXT((SUMPRODUCT(((LMPMain!$H$9:$H$1000)=$E291)*((LMPMain!$J$9:$J$1000)=$F291)*((LMPMain!$O$9:$O$1000)=$C291)*(LMPMain!T$9:T$1000))+(SUMPRODUCT(((Adders!$D$13:$D$101)=$E291)*((Adders!$E$13:$E$101)=$F291)*(Adders!G$13:G$101))+VLOOKUP($H291,Adders!$B$5:$G$8,N$11,FALSE)+Matrix!$D$2)*IF($D291="NJ",1.07,1))/$L$10,CHOOSE($M$10,$L$9,$M$9)))</f>
        <v xml:space="preserve"> 32.47 </v>
      </c>
      <c r="O291" s="112"/>
    </row>
    <row r="292" spans="2:15" x14ac:dyDescent="0.25">
      <c r="B292" s="160" t="s">
        <v>671</v>
      </c>
      <c r="C292" s="135">
        <f t="shared" si="7"/>
        <v>42401</v>
      </c>
      <c r="D292" s="136" t="s">
        <v>6</v>
      </c>
      <c r="E292" s="137" t="s">
        <v>13</v>
      </c>
      <c r="F292" s="136" t="s">
        <v>7</v>
      </c>
      <c r="G292" s="137" t="str">
        <f t="shared" si="8"/>
        <v>General Service</v>
      </c>
      <c r="H292" s="138" t="s">
        <v>690</v>
      </c>
      <c r="I292" s="176" t="str">
        <f>TEXT(   (SUMPRODUCT( ((Main!$H$9:$H$1000)=$E292)*((Main!$J$9:$J$1000)=$F292)*((Main!$O$9:$O$1000)=$C292)*(Main!R$9:R$1000) ) +  ( SUMPRODUCT( ((Adders!$D$13:$D$101)=$E292)*((Adders!$E$13:$E$101)=$F292)*(Adders!G$13:G$101)) + VLOOKUP($H292,Adders!$B$5:$G$8,L$11,FALSE)  +  PA!$D$2 ) * IF($D292="NJ",1.07,1))/$L$10, CHOOSE($M$10,$L$9,$M$9) )</f>
        <v xml:space="preserve"> 76.86 </v>
      </c>
      <c r="J292" s="176" t="str">
        <f>TEXT(   (SUMPRODUCT( ((Main!$H$9:$H$1000)=$E292)*((Main!$J$9:$J$1000)=$F292)*((Main!$O$9:$O$1000)=$C292)*(Main!S$9:S$1000) ) +  ( SUMPRODUCT( ((Adders!$D$13:$D$101)=$E292)*((Adders!$E$13:$E$101)=$F292)*(Adders!H$13:H$101)) + VLOOKUP($H292,Adders!$B$5:$G$8,M$11,FALSE)  +  PA!$D$2 ) * IF($D292="NJ",1.07,1))/$L$10, CHOOSE($M$10,$L$9,$M$9) )</f>
        <v xml:space="preserve"> 76.77 </v>
      </c>
      <c r="K292" s="177" t="str">
        <f>TEXT(   (SUMPRODUCT( ((Main!$H$9:$H$1000)=$E292)*((Main!$J$9:$J$1000)=$F292)*((Main!$O$9:$O$1000)=$C292)*(Main!T$9:T$1000) ) +  ( SUMPRODUCT( ((Adders!$D$13:$D$101)=$E292)*((Adders!$E$13:$E$101)=$F292)*(Adders!I$13:I$101)) + VLOOKUP($H292,Adders!$B$5:$G$8,N$11,FALSE)  +  PA!$D$2 ) * IF($D292="NJ",1.07,1))/$L$10, CHOOSE($M$10,$L$9,$M$9) )</f>
        <v xml:space="preserve"> 76.82 </v>
      </c>
      <c r="L292" s="176" t="str">
        <f>IF(AND($D$11="IL",$E292="AMEREN"),"NA",TEXT((SUMPRODUCT(((LMPMain!$H$9:$H$1000)=$E292)*((LMPMain!$J$9:$J$1000)=$F292)*((LMPMain!$O$9:$O$1000)=$C292)*(LMPMain!R$9:R$1000))+(SUMPRODUCT(((Adders!$D$13:$D$101)=$E292)*((Adders!$E$13:$E$101)=$F292)*(Adders!G$13:G$101))+VLOOKUP($H292,Adders!$B$5:$G$8,L$11,FALSE)+Matrix!$D$2)*IF($D292="NJ",1.07,1))/$L$10,CHOOSE($M$10,$L$9,$M$9)))</f>
        <v xml:space="preserve"> 31.99 </v>
      </c>
      <c r="M292" s="176" t="str">
        <f>IF(AND($D$11="IL",$E292="AMEREN"),"NA",TEXT((SUMPRODUCT(((LMPMain!$H$9:$H$1000)=$E292)*((LMPMain!$J$9:$J$1000)=$F292)*((LMPMain!$O$9:$O$1000)=$C292)*(LMPMain!S$9:S$1000))+(SUMPRODUCT(((Adders!$D$13:$D$101)=$E292)*((Adders!$E$13:$E$101)=$F292)*(Adders!H$13:H$101))+VLOOKUP($H292,Adders!$B$5:$G$8,M$11,FALSE)+Matrix!$D$2)*IF($D292="NJ",1.07,1))/$L$10,CHOOSE($M$10,$L$9,$M$9)))</f>
        <v xml:space="preserve"> 31.45 </v>
      </c>
      <c r="N292" s="177" t="str">
        <f>IF(AND($D$11="IL",$E292="AMEREN"),"NA",TEXT((SUMPRODUCT(((LMPMain!$H$9:$H$1000)=$E292)*((LMPMain!$J$9:$J$1000)=$F292)*((LMPMain!$O$9:$O$1000)=$C292)*(LMPMain!T$9:T$1000))+(SUMPRODUCT(((Adders!$D$13:$D$101)=$E292)*((Adders!$E$13:$E$101)=$F292)*(Adders!G$13:G$101))+VLOOKUP($H292,Adders!$B$5:$G$8,N$11,FALSE)+Matrix!$D$2)*IF($D292="NJ",1.07,1))/$L$10,CHOOSE($M$10,$L$9,$M$9)))</f>
        <v xml:space="preserve"> 31.42 </v>
      </c>
      <c r="O292" s="112"/>
    </row>
    <row r="293" spans="2:15" x14ac:dyDescent="0.25">
      <c r="B293" s="160" t="s">
        <v>671</v>
      </c>
      <c r="C293" s="127">
        <f t="shared" si="7"/>
        <v>42430</v>
      </c>
      <c r="D293" s="128" t="s">
        <v>6</v>
      </c>
      <c r="E293" s="129" t="s">
        <v>13</v>
      </c>
      <c r="F293" s="128" t="s">
        <v>7</v>
      </c>
      <c r="G293" s="129" t="str">
        <f t="shared" si="8"/>
        <v>General Service</v>
      </c>
      <c r="H293" s="130" t="s">
        <v>61</v>
      </c>
      <c r="I293" s="178" t="str">
        <f>TEXT(   (SUMPRODUCT( ((Main!$H$9:$H$1000)=$E293)*((Main!$J$9:$J$1000)=$F293)*((Main!$O$9:$O$1000)=$C293)*(Main!R$9:R$1000) ) +  ( SUMPRODUCT( ((Adders!$D$13:$D$101)=$E293)*((Adders!$E$13:$E$101)=$F293)*(Adders!G$13:G$101)) + VLOOKUP($H293,Adders!$B$5:$G$8,L$11,FALSE)  +  PA!$D$2 ) * IF($D293="NJ",1.07,1))/$L$10, CHOOSE($M$10,$L$9,$M$9) )</f>
        <v xml:space="preserve"> 79.17 </v>
      </c>
      <c r="J293" s="178" t="str">
        <f>TEXT(   (SUMPRODUCT( ((Main!$H$9:$H$1000)=$E293)*((Main!$J$9:$J$1000)=$F293)*((Main!$O$9:$O$1000)=$C293)*(Main!S$9:S$1000) ) +  ( SUMPRODUCT( ((Adders!$D$13:$D$101)=$E293)*((Adders!$E$13:$E$101)=$F293)*(Adders!H$13:H$101)) + VLOOKUP($H293,Adders!$B$5:$G$8,M$11,FALSE)  +  PA!$D$2 ) * IF($D293="NJ",1.07,1))/$L$10, CHOOSE($M$10,$L$9,$M$9) )</f>
        <v xml:space="preserve"> 78.72 </v>
      </c>
      <c r="K293" s="179" t="str">
        <f>TEXT(   (SUMPRODUCT( ((Main!$H$9:$H$1000)=$E293)*((Main!$J$9:$J$1000)=$F293)*((Main!$O$9:$O$1000)=$C293)*(Main!T$9:T$1000) ) +  ( SUMPRODUCT( ((Adders!$D$13:$D$101)=$E293)*((Adders!$E$13:$E$101)=$F293)*(Adders!I$13:I$101)) + VLOOKUP($H293,Adders!$B$5:$G$8,N$11,FALSE)  +  PA!$D$2 ) * IF($D293="NJ",1.07,1))/$L$10, CHOOSE($M$10,$L$9,$M$9) )</f>
        <v xml:space="preserve"> 79.48 </v>
      </c>
      <c r="L293" s="178" t="str">
        <f>IF(AND($D$11="IL",$E293="AMEREN"),"NA",TEXT((SUMPRODUCT(((LMPMain!$H$9:$H$1000)=$E293)*((LMPMain!$J$9:$J$1000)=$F293)*((LMPMain!$O$9:$O$1000)=$C293)*(LMPMain!R$9:R$1000))+(SUMPRODUCT(((Adders!$D$13:$D$101)=$E293)*((Adders!$E$13:$E$101)=$F293)*(Adders!G$13:G$101))+VLOOKUP($H293,Adders!$B$5:$G$8,L$11,FALSE)+Matrix!$D$2)*IF($D293="NJ",1.07,1))/$L$10,CHOOSE($M$10,$L$9,$M$9)))</f>
        <v xml:space="preserve"> 34.29 </v>
      </c>
      <c r="M293" s="178" t="str">
        <f>IF(AND($D$11="IL",$E293="AMEREN"),"NA",TEXT((SUMPRODUCT(((LMPMain!$H$9:$H$1000)=$E293)*((LMPMain!$J$9:$J$1000)=$F293)*((LMPMain!$O$9:$O$1000)=$C293)*(LMPMain!S$9:S$1000))+(SUMPRODUCT(((Adders!$D$13:$D$101)=$E293)*((Adders!$E$13:$E$101)=$F293)*(Adders!H$13:H$101))+VLOOKUP($H293,Adders!$B$5:$G$8,M$11,FALSE)+Matrix!$D$2)*IF($D293="NJ",1.07,1))/$L$10,CHOOSE($M$10,$L$9,$M$9)))</f>
        <v xml:space="preserve"> 33.65 </v>
      </c>
      <c r="N293" s="179" t="str">
        <f>IF(AND($D$11="IL",$E293="AMEREN"),"NA",TEXT((SUMPRODUCT(((LMPMain!$H$9:$H$1000)=$E293)*((LMPMain!$J$9:$J$1000)=$F293)*((LMPMain!$O$9:$O$1000)=$C293)*(LMPMain!T$9:T$1000))+(SUMPRODUCT(((Adders!$D$13:$D$101)=$E293)*((Adders!$E$13:$E$101)=$F293)*(Adders!G$13:G$101))+VLOOKUP($H293,Adders!$B$5:$G$8,N$11,FALSE)+Matrix!$D$2)*IF($D293="NJ",1.07,1))/$L$10,CHOOSE($M$10,$L$9,$M$9)))</f>
        <v xml:space="preserve"> 33.92 </v>
      </c>
      <c r="O293" s="112"/>
    </row>
    <row r="294" spans="2:15" x14ac:dyDescent="0.25">
      <c r="B294" s="160" t="s">
        <v>671</v>
      </c>
      <c r="C294" s="131">
        <f t="shared" si="7"/>
        <v>42430</v>
      </c>
      <c r="D294" s="132" t="s">
        <v>6</v>
      </c>
      <c r="E294" s="133" t="s">
        <v>13</v>
      </c>
      <c r="F294" s="132" t="s">
        <v>7</v>
      </c>
      <c r="G294" s="133" t="str">
        <f t="shared" si="8"/>
        <v>General Service</v>
      </c>
      <c r="H294" s="134" t="s">
        <v>62</v>
      </c>
      <c r="I294" s="173" t="str">
        <f>TEXT(   (SUMPRODUCT( ((Main!$H$9:$H$1000)=$E294)*((Main!$J$9:$J$1000)=$F294)*((Main!$O$9:$O$1000)=$C294)*(Main!R$9:R$1000) ) +  ( SUMPRODUCT( ((Adders!$D$13:$D$101)=$E294)*((Adders!$E$13:$E$101)=$F294)*(Adders!G$13:G$101)) + VLOOKUP($H294,Adders!$B$5:$G$8,L$11,FALSE)  +  PA!$D$2 ) * IF($D294="NJ",1.07,1))/$L$10, CHOOSE($M$10,$L$9,$M$9) )</f>
        <v xml:space="preserve"> 77.57 </v>
      </c>
      <c r="J294" s="173" t="str">
        <f>TEXT(   (SUMPRODUCT( ((Main!$H$9:$H$1000)=$E294)*((Main!$J$9:$J$1000)=$F294)*((Main!$O$9:$O$1000)=$C294)*(Main!S$9:S$1000) ) +  ( SUMPRODUCT( ((Adders!$D$13:$D$101)=$E294)*((Adders!$E$13:$E$101)=$F294)*(Adders!H$13:H$101)) + VLOOKUP($H294,Adders!$B$5:$G$8,M$11,FALSE)  +  PA!$D$2 ) * IF($D294="NJ",1.07,1))/$L$10, CHOOSE($M$10,$L$9,$M$9) )</f>
        <v xml:space="preserve"> 77.12 </v>
      </c>
      <c r="K294" s="174" t="str">
        <f>TEXT(   (SUMPRODUCT( ((Main!$H$9:$H$1000)=$E294)*((Main!$J$9:$J$1000)=$F294)*((Main!$O$9:$O$1000)=$C294)*(Main!T$9:T$1000) ) +  ( SUMPRODUCT( ((Adders!$D$13:$D$101)=$E294)*((Adders!$E$13:$E$101)=$F294)*(Adders!I$13:I$101)) + VLOOKUP($H294,Adders!$B$5:$G$8,N$11,FALSE)  +  PA!$D$2 ) * IF($D294="NJ",1.07,1))/$L$10, CHOOSE($M$10,$L$9,$M$9) )</f>
        <v xml:space="preserve"> 77.88 </v>
      </c>
      <c r="L294" s="173" t="str">
        <f>IF(AND($D$11="IL",$E294="AMEREN"),"NA",TEXT((SUMPRODUCT(((LMPMain!$H$9:$H$1000)=$E294)*((LMPMain!$J$9:$J$1000)=$F294)*((LMPMain!$O$9:$O$1000)=$C294)*(LMPMain!R$9:R$1000))+(SUMPRODUCT(((Adders!$D$13:$D$101)=$E294)*((Adders!$E$13:$E$101)=$F294)*(Adders!G$13:G$101))+VLOOKUP($H294,Adders!$B$5:$G$8,L$11,FALSE)+Matrix!$D$2)*IF($D294="NJ",1.07,1))/$L$10,CHOOSE($M$10,$L$9,$M$9)))</f>
        <v xml:space="preserve"> 32.69 </v>
      </c>
      <c r="M294" s="173" t="str">
        <f>IF(AND($D$11="IL",$E294="AMEREN"),"NA",TEXT((SUMPRODUCT(((LMPMain!$H$9:$H$1000)=$E294)*((LMPMain!$J$9:$J$1000)=$F294)*((LMPMain!$O$9:$O$1000)=$C294)*(LMPMain!S$9:S$1000))+(SUMPRODUCT(((Adders!$D$13:$D$101)=$E294)*((Adders!$E$13:$E$101)=$F294)*(Adders!H$13:H$101))+VLOOKUP($H294,Adders!$B$5:$G$8,M$11,FALSE)+Matrix!$D$2)*IF($D294="NJ",1.07,1))/$L$10,CHOOSE($M$10,$L$9,$M$9)))</f>
        <v xml:space="preserve"> 32.05 </v>
      </c>
      <c r="N294" s="174" t="str">
        <f>IF(AND($D$11="IL",$E294="AMEREN"),"NA",TEXT((SUMPRODUCT(((LMPMain!$H$9:$H$1000)=$E294)*((LMPMain!$J$9:$J$1000)=$F294)*((LMPMain!$O$9:$O$1000)=$C294)*(LMPMain!T$9:T$1000))+(SUMPRODUCT(((Adders!$D$13:$D$101)=$E294)*((Adders!$E$13:$E$101)=$F294)*(Adders!G$13:G$101))+VLOOKUP($H294,Adders!$B$5:$G$8,N$11,FALSE)+Matrix!$D$2)*IF($D294="NJ",1.07,1))/$L$10,CHOOSE($M$10,$L$9,$M$9)))</f>
        <v xml:space="preserve"> 32.32 </v>
      </c>
      <c r="O294" s="112"/>
    </row>
    <row r="295" spans="2:15" x14ac:dyDescent="0.25">
      <c r="B295" s="160" t="s">
        <v>671</v>
      </c>
      <c r="C295" s="135">
        <f t="shared" si="7"/>
        <v>42430</v>
      </c>
      <c r="D295" s="136" t="s">
        <v>6</v>
      </c>
      <c r="E295" s="137" t="s">
        <v>13</v>
      </c>
      <c r="F295" s="136" t="s">
        <v>7</v>
      </c>
      <c r="G295" s="137" t="str">
        <f t="shared" si="8"/>
        <v>General Service</v>
      </c>
      <c r="H295" s="138" t="s">
        <v>690</v>
      </c>
      <c r="I295" s="176" t="str">
        <f>TEXT(   (SUMPRODUCT( ((Main!$H$9:$H$1000)=$E295)*((Main!$J$9:$J$1000)=$F295)*((Main!$O$9:$O$1000)=$C295)*(Main!R$9:R$1000) ) +  ( SUMPRODUCT( ((Adders!$D$13:$D$101)=$E295)*((Adders!$E$13:$E$101)=$F295)*(Adders!G$13:G$101)) + VLOOKUP($H295,Adders!$B$5:$G$8,L$11,FALSE)  +  PA!$D$2 ) * IF($D295="NJ",1.07,1))/$L$10, CHOOSE($M$10,$L$9,$M$9) )</f>
        <v xml:space="preserve"> 76.52 </v>
      </c>
      <c r="J295" s="176" t="str">
        <f>TEXT(   (SUMPRODUCT( ((Main!$H$9:$H$1000)=$E295)*((Main!$J$9:$J$1000)=$F295)*((Main!$O$9:$O$1000)=$C295)*(Main!S$9:S$1000) ) +  ( SUMPRODUCT( ((Adders!$D$13:$D$101)=$E295)*((Adders!$E$13:$E$101)=$F295)*(Adders!H$13:H$101)) + VLOOKUP($H295,Adders!$B$5:$G$8,M$11,FALSE)  +  PA!$D$2 ) * IF($D295="NJ",1.07,1))/$L$10, CHOOSE($M$10,$L$9,$M$9) )</f>
        <v xml:space="preserve"> 76.07 </v>
      </c>
      <c r="K295" s="177" t="str">
        <f>TEXT(   (SUMPRODUCT( ((Main!$H$9:$H$1000)=$E295)*((Main!$J$9:$J$1000)=$F295)*((Main!$O$9:$O$1000)=$C295)*(Main!T$9:T$1000) ) +  ( SUMPRODUCT( ((Adders!$D$13:$D$101)=$E295)*((Adders!$E$13:$E$101)=$F295)*(Adders!I$13:I$101)) + VLOOKUP($H295,Adders!$B$5:$G$8,N$11,FALSE)  +  PA!$D$2 ) * IF($D295="NJ",1.07,1))/$L$10, CHOOSE($M$10,$L$9,$M$9) )</f>
        <v xml:space="preserve"> 76.83 </v>
      </c>
      <c r="L295" s="176" t="str">
        <f>IF(AND($D$11="IL",$E295="AMEREN"),"NA",TEXT((SUMPRODUCT(((LMPMain!$H$9:$H$1000)=$E295)*((LMPMain!$J$9:$J$1000)=$F295)*((LMPMain!$O$9:$O$1000)=$C295)*(LMPMain!R$9:R$1000))+(SUMPRODUCT(((Adders!$D$13:$D$101)=$E295)*((Adders!$E$13:$E$101)=$F295)*(Adders!G$13:G$101))+VLOOKUP($H295,Adders!$B$5:$G$8,L$11,FALSE)+Matrix!$D$2)*IF($D295="NJ",1.07,1))/$L$10,CHOOSE($M$10,$L$9,$M$9)))</f>
        <v xml:space="preserve"> 31.64 </v>
      </c>
      <c r="M295" s="176" t="str">
        <f>IF(AND($D$11="IL",$E295="AMEREN"),"NA",TEXT((SUMPRODUCT(((LMPMain!$H$9:$H$1000)=$E295)*((LMPMain!$J$9:$J$1000)=$F295)*((LMPMain!$O$9:$O$1000)=$C295)*(LMPMain!S$9:S$1000))+(SUMPRODUCT(((Adders!$D$13:$D$101)=$E295)*((Adders!$E$13:$E$101)=$F295)*(Adders!H$13:H$101))+VLOOKUP($H295,Adders!$B$5:$G$8,M$11,FALSE)+Matrix!$D$2)*IF($D295="NJ",1.07,1))/$L$10,CHOOSE($M$10,$L$9,$M$9)))</f>
        <v xml:space="preserve"> 31.00 </v>
      </c>
      <c r="N295" s="177" t="str">
        <f>IF(AND($D$11="IL",$E295="AMEREN"),"NA",TEXT((SUMPRODUCT(((LMPMain!$H$9:$H$1000)=$E295)*((LMPMain!$J$9:$J$1000)=$F295)*((LMPMain!$O$9:$O$1000)=$C295)*(LMPMain!T$9:T$1000))+(SUMPRODUCT(((Adders!$D$13:$D$101)=$E295)*((Adders!$E$13:$E$101)=$F295)*(Adders!G$13:G$101))+VLOOKUP($H295,Adders!$B$5:$G$8,N$11,FALSE)+Matrix!$D$2)*IF($D295="NJ",1.07,1))/$L$10,CHOOSE($M$10,$L$9,$M$9)))</f>
        <v xml:space="preserve"> 31.27 </v>
      </c>
      <c r="O295" s="112"/>
    </row>
    <row r="296" spans="2:15" x14ac:dyDescent="0.25">
      <c r="B296" s="160" t="s">
        <v>671</v>
      </c>
      <c r="C296" s="127">
        <f t="shared" si="7"/>
        <v>42461</v>
      </c>
      <c r="D296" s="128" t="s">
        <v>6</v>
      </c>
      <c r="E296" s="129" t="s">
        <v>13</v>
      </c>
      <c r="F296" s="128" t="s">
        <v>7</v>
      </c>
      <c r="G296" s="129" t="str">
        <f t="shared" si="8"/>
        <v>General Service</v>
      </c>
      <c r="H296" s="130" t="s">
        <v>61</v>
      </c>
      <c r="I296" s="178" t="str">
        <f>TEXT(   (SUMPRODUCT( ((Main!$H$9:$H$1000)=$E296)*((Main!$J$9:$J$1000)=$F296)*((Main!$O$9:$O$1000)=$C296)*(Main!R$9:R$1000) ) +  ( SUMPRODUCT( ((Adders!$D$13:$D$101)=$E296)*((Adders!$E$13:$E$101)=$F296)*(Adders!G$13:G$101)) + VLOOKUP($H296,Adders!$B$5:$G$8,L$11,FALSE)  +  PA!$D$2 ) * IF($D296="NJ",1.07,1))/$L$10, CHOOSE($M$10,$L$9,$M$9) )</f>
        <v xml:space="preserve"> 78.90 </v>
      </c>
      <c r="J296" s="178" t="str">
        <f>TEXT(   (SUMPRODUCT( ((Main!$H$9:$H$1000)=$E296)*((Main!$J$9:$J$1000)=$F296)*((Main!$O$9:$O$1000)=$C296)*(Main!S$9:S$1000) ) +  ( SUMPRODUCT( ((Adders!$D$13:$D$101)=$E296)*((Adders!$E$13:$E$101)=$F296)*(Adders!H$13:H$101)) + VLOOKUP($H296,Adders!$B$5:$G$8,M$11,FALSE)  +  PA!$D$2 ) * IF($D296="NJ",1.07,1))/$L$10, CHOOSE($M$10,$L$9,$M$9) )</f>
        <v xml:space="preserve"> 78.07 </v>
      </c>
      <c r="K296" s="179" t="str">
        <f>TEXT(   (SUMPRODUCT( ((Main!$H$9:$H$1000)=$E296)*((Main!$J$9:$J$1000)=$F296)*((Main!$O$9:$O$1000)=$C296)*(Main!T$9:T$1000) ) +  ( SUMPRODUCT( ((Adders!$D$13:$D$101)=$E296)*((Adders!$E$13:$E$101)=$F296)*(Adders!I$13:I$101)) + VLOOKUP($H296,Adders!$B$5:$G$8,N$11,FALSE)  +  PA!$D$2 ) * IF($D296="NJ",1.07,1))/$L$10, CHOOSE($M$10,$L$9,$M$9) )</f>
        <v xml:space="preserve"> 79.29 </v>
      </c>
      <c r="L296" s="178" t="str">
        <f>IF(AND($D$11="IL",$E296="AMEREN"),"NA",TEXT((SUMPRODUCT(((LMPMain!$H$9:$H$1000)=$E296)*((LMPMain!$J$9:$J$1000)=$F296)*((LMPMain!$O$9:$O$1000)=$C296)*(LMPMain!R$9:R$1000))+(SUMPRODUCT(((Adders!$D$13:$D$101)=$E296)*((Adders!$E$13:$E$101)=$F296)*(Adders!G$13:G$101))+VLOOKUP($H296,Adders!$B$5:$G$8,L$11,FALSE)+Matrix!$D$2)*IF($D296="NJ",1.07,1))/$L$10,CHOOSE($M$10,$L$9,$M$9)))</f>
        <v xml:space="preserve"> 33.94 </v>
      </c>
      <c r="M296" s="178" t="str">
        <f>IF(AND($D$11="IL",$E296="AMEREN"),"NA",TEXT((SUMPRODUCT(((LMPMain!$H$9:$H$1000)=$E296)*((LMPMain!$J$9:$J$1000)=$F296)*((LMPMain!$O$9:$O$1000)=$C296)*(LMPMain!S$9:S$1000))+(SUMPRODUCT(((Adders!$D$13:$D$101)=$E296)*((Adders!$E$13:$E$101)=$F296)*(Adders!H$13:H$101))+VLOOKUP($H296,Adders!$B$5:$G$8,M$11,FALSE)+Matrix!$D$2)*IF($D296="NJ",1.07,1))/$L$10,CHOOSE($M$10,$L$9,$M$9)))</f>
        <v xml:space="preserve"> 33.30 </v>
      </c>
      <c r="N296" s="179" t="str">
        <f>IF(AND($D$11="IL",$E296="AMEREN"),"NA",TEXT((SUMPRODUCT(((LMPMain!$H$9:$H$1000)=$E296)*((LMPMain!$J$9:$J$1000)=$F296)*((LMPMain!$O$9:$O$1000)=$C296)*(LMPMain!T$9:T$1000))+(SUMPRODUCT(((Adders!$D$13:$D$101)=$E296)*((Adders!$E$13:$E$101)=$F296)*(Adders!G$13:G$101))+VLOOKUP($H296,Adders!$B$5:$G$8,N$11,FALSE)+Matrix!$D$2)*IF($D296="NJ",1.07,1))/$L$10,CHOOSE($M$10,$L$9,$M$9)))</f>
        <v xml:space="preserve"> 33.76 </v>
      </c>
      <c r="O296" s="112"/>
    </row>
    <row r="297" spans="2:15" x14ac:dyDescent="0.25">
      <c r="B297" s="160" t="s">
        <v>671</v>
      </c>
      <c r="C297" s="131">
        <f t="shared" si="7"/>
        <v>42461</v>
      </c>
      <c r="D297" s="132" t="s">
        <v>6</v>
      </c>
      <c r="E297" s="133" t="s">
        <v>13</v>
      </c>
      <c r="F297" s="132" t="s">
        <v>7</v>
      </c>
      <c r="G297" s="133" t="str">
        <f t="shared" si="8"/>
        <v>General Service</v>
      </c>
      <c r="H297" s="134" t="s">
        <v>62</v>
      </c>
      <c r="I297" s="173" t="str">
        <f>TEXT(   (SUMPRODUCT( ((Main!$H$9:$H$1000)=$E297)*((Main!$J$9:$J$1000)=$F297)*((Main!$O$9:$O$1000)=$C297)*(Main!R$9:R$1000) ) +  ( SUMPRODUCT( ((Adders!$D$13:$D$101)=$E297)*((Adders!$E$13:$E$101)=$F297)*(Adders!G$13:G$101)) + VLOOKUP($H297,Adders!$B$5:$G$8,L$11,FALSE)  +  PA!$D$2 ) * IF($D297="NJ",1.07,1))/$L$10, CHOOSE($M$10,$L$9,$M$9) )</f>
        <v xml:space="preserve"> 77.30 </v>
      </c>
      <c r="J297" s="173" t="str">
        <f>TEXT(   (SUMPRODUCT( ((Main!$H$9:$H$1000)=$E297)*((Main!$J$9:$J$1000)=$F297)*((Main!$O$9:$O$1000)=$C297)*(Main!S$9:S$1000) ) +  ( SUMPRODUCT( ((Adders!$D$13:$D$101)=$E297)*((Adders!$E$13:$E$101)=$F297)*(Adders!H$13:H$101)) + VLOOKUP($H297,Adders!$B$5:$G$8,M$11,FALSE)  +  PA!$D$2 ) * IF($D297="NJ",1.07,1))/$L$10, CHOOSE($M$10,$L$9,$M$9) )</f>
        <v xml:space="preserve"> 76.47 </v>
      </c>
      <c r="K297" s="174" t="str">
        <f>TEXT(   (SUMPRODUCT( ((Main!$H$9:$H$1000)=$E297)*((Main!$J$9:$J$1000)=$F297)*((Main!$O$9:$O$1000)=$C297)*(Main!T$9:T$1000) ) +  ( SUMPRODUCT( ((Adders!$D$13:$D$101)=$E297)*((Adders!$E$13:$E$101)=$F297)*(Adders!I$13:I$101)) + VLOOKUP($H297,Adders!$B$5:$G$8,N$11,FALSE)  +  PA!$D$2 ) * IF($D297="NJ",1.07,1))/$L$10, CHOOSE($M$10,$L$9,$M$9) )</f>
        <v xml:space="preserve"> 77.69 </v>
      </c>
      <c r="L297" s="173" t="str">
        <f>IF(AND($D$11="IL",$E297="AMEREN"),"NA",TEXT((SUMPRODUCT(((LMPMain!$H$9:$H$1000)=$E297)*((LMPMain!$J$9:$J$1000)=$F297)*((LMPMain!$O$9:$O$1000)=$C297)*(LMPMain!R$9:R$1000))+(SUMPRODUCT(((Adders!$D$13:$D$101)=$E297)*((Adders!$E$13:$E$101)=$F297)*(Adders!G$13:G$101))+VLOOKUP($H297,Adders!$B$5:$G$8,L$11,FALSE)+Matrix!$D$2)*IF($D297="NJ",1.07,1))/$L$10,CHOOSE($M$10,$L$9,$M$9)))</f>
        <v xml:space="preserve"> 32.34 </v>
      </c>
      <c r="M297" s="173" t="str">
        <f>IF(AND($D$11="IL",$E297="AMEREN"),"NA",TEXT((SUMPRODUCT(((LMPMain!$H$9:$H$1000)=$E297)*((LMPMain!$J$9:$J$1000)=$F297)*((LMPMain!$O$9:$O$1000)=$C297)*(LMPMain!S$9:S$1000))+(SUMPRODUCT(((Adders!$D$13:$D$101)=$E297)*((Adders!$E$13:$E$101)=$F297)*(Adders!H$13:H$101))+VLOOKUP($H297,Adders!$B$5:$G$8,M$11,FALSE)+Matrix!$D$2)*IF($D297="NJ",1.07,1))/$L$10,CHOOSE($M$10,$L$9,$M$9)))</f>
        <v xml:space="preserve"> 31.70 </v>
      </c>
      <c r="N297" s="174" t="str">
        <f>IF(AND($D$11="IL",$E297="AMEREN"),"NA",TEXT((SUMPRODUCT(((LMPMain!$H$9:$H$1000)=$E297)*((LMPMain!$J$9:$J$1000)=$F297)*((LMPMain!$O$9:$O$1000)=$C297)*(LMPMain!T$9:T$1000))+(SUMPRODUCT(((Adders!$D$13:$D$101)=$E297)*((Adders!$E$13:$E$101)=$F297)*(Adders!G$13:G$101))+VLOOKUP($H297,Adders!$B$5:$G$8,N$11,FALSE)+Matrix!$D$2)*IF($D297="NJ",1.07,1))/$L$10,CHOOSE($M$10,$L$9,$M$9)))</f>
        <v xml:space="preserve"> 32.16 </v>
      </c>
      <c r="O297" s="112"/>
    </row>
    <row r="298" spans="2:15" x14ac:dyDescent="0.25">
      <c r="B298" s="160" t="s">
        <v>671</v>
      </c>
      <c r="C298" s="135">
        <f t="shared" si="7"/>
        <v>42461</v>
      </c>
      <c r="D298" s="136" t="s">
        <v>6</v>
      </c>
      <c r="E298" s="137" t="s">
        <v>13</v>
      </c>
      <c r="F298" s="136" t="s">
        <v>7</v>
      </c>
      <c r="G298" s="137" t="str">
        <f t="shared" si="8"/>
        <v>General Service</v>
      </c>
      <c r="H298" s="138" t="s">
        <v>690</v>
      </c>
      <c r="I298" s="176" t="str">
        <f>TEXT(   (SUMPRODUCT( ((Main!$H$9:$H$1000)=$E298)*((Main!$J$9:$J$1000)=$F298)*((Main!$O$9:$O$1000)=$C298)*(Main!R$9:R$1000) ) +  ( SUMPRODUCT( ((Adders!$D$13:$D$101)=$E298)*((Adders!$E$13:$E$101)=$F298)*(Adders!G$13:G$101)) + VLOOKUP($H298,Adders!$B$5:$G$8,L$11,FALSE)  +  PA!$D$2 ) * IF($D298="NJ",1.07,1))/$L$10, CHOOSE($M$10,$L$9,$M$9) )</f>
        <v xml:space="preserve"> 76.25 </v>
      </c>
      <c r="J298" s="176" t="str">
        <f>TEXT(   (SUMPRODUCT( ((Main!$H$9:$H$1000)=$E298)*((Main!$J$9:$J$1000)=$F298)*((Main!$O$9:$O$1000)=$C298)*(Main!S$9:S$1000) ) +  ( SUMPRODUCT( ((Adders!$D$13:$D$101)=$E298)*((Adders!$E$13:$E$101)=$F298)*(Adders!H$13:H$101)) + VLOOKUP($H298,Adders!$B$5:$G$8,M$11,FALSE)  +  PA!$D$2 ) * IF($D298="NJ",1.07,1))/$L$10, CHOOSE($M$10,$L$9,$M$9) )</f>
        <v xml:space="preserve"> 75.42 </v>
      </c>
      <c r="K298" s="177" t="str">
        <f>TEXT(   (SUMPRODUCT( ((Main!$H$9:$H$1000)=$E298)*((Main!$J$9:$J$1000)=$F298)*((Main!$O$9:$O$1000)=$C298)*(Main!T$9:T$1000) ) +  ( SUMPRODUCT( ((Adders!$D$13:$D$101)=$E298)*((Adders!$E$13:$E$101)=$F298)*(Adders!I$13:I$101)) + VLOOKUP($H298,Adders!$B$5:$G$8,N$11,FALSE)  +  PA!$D$2 ) * IF($D298="NJ",1.07,1))/$L$10, CHOOSE($M$10,$L$9,$M$9) )</f>
        <v xml:space="preserve"> 76.64 </v>
      </c>
      <c r="L298" s="176" t="str">
        <f>IF(AND($D$11="IL",$E298="AMEREN"),"NA",TEXT((SUMPRODUCT(((LMPMain!$H$9:$H$1000)=$E298)*((LMPMain!$J$9:$J$1000)=$F298)*((LMPMain!$O$9:$O$1000)=$C298)*(LMPMain!R$9:R$1000))+(SUMPRODUCT(((Adders!$D$13:$D$101)=$E298)*((Adders!$E$13:$E$101)=$F298)*(Adders!G$13:G$101))+VLOOKUP($H298,Adders!$B$5:$G$8,L$11,FALSE)+Matrix!$D$2)*IF($D298="NJ",1.07,1))/$L$10,CHOOSE($M$10,$L$9,$M$9)))</f>
        <v xml:space="preserve"> 31.29 </v>
      </c>
      <c r="M298" s="176" t="str">
        <f>IF(AND($D$11="IL",$E298="AMEREN"),"NA",TEXT((SUMPRODUCT(((LMPMain!$H$9:$H$1000)=$E298)*((LMPMain!$J$9:$J$1000)=$F298)*((LMPMain!$O$9:$O$1000)=$C298)*(LMPMain!S$9:S$1000))+(SUMPRODUCT(((Adders!$D$13:$D$101)=$E298)*((Adders!$E$13:$E$101)=$F298)*(Adders!H$13:H$101))+VLOOKUP($H298,Adders!$B$5:$G$8,M$11,FALSE)+Matrix!$D$2)*IF($D298="NJ",1.07,1))/$L$10,CHOOSE($M$10,$L$9,$M$9)))</f>
        <v xml:space="preserve"> 30.65 </v>
      </c>
      <c r="N298" s="177" t="str">
        <f>IF(AND($D$11="IL",$E298="AMEREN"),"NA",TEXT((SUMPRODUCT(((LMPMain!$H$9:$H$1000)=$E298)*((LMPMain!$J$9:$J$1000)=$F298)*((LMPMain!$O$9:$O$1000)=$C298)*(LMPMain!T$9:T$1000))+(SUMPRODUCT(((Adders!$D$13:$D$101)=$E298)*((Adders!$E$13:$E$101)=$F298)*(Adders!G$13:G$101))+VLOOKUP($H298,Adders!$B$5:$G$8,N$11,FALSE)+Matrix!$D$2)*IF($D298="NJ",1.07,1))/$L$10,CHOOSE($M$10,$L$9,$M$9)))</f>
        <v xml:space="preserve"> 31.11 </v>
      </c>
      <c r="O298" s="112"/>
    </row>
    <row r="299" spans="2:15" x14ac:dyDescent="0.25">
      <c r="B299" s="160" t="s">
        <v>671</v>
      </c>
      <c r="C299" s="127">
        <f t="shared" si="7"/>
        <v>42491</v>
      </c>
      <c r="D299" s="128" t="s">
        <v>6</v>
      </c>
      <c r="E299" s="129" t="s">
        <v>13</v>
      </c>
      <c r="F299" s="128" t="s">
        <v>7</v>
      </c>
      <c r="G299" s="129" t="str">
        <f t="shared" si="8"/>
        <v>General Service</v>
      </c>
      <c r="H299" s="130" t="s">
        <v>61</v>
      </c>
      <c r="I299" s="178" t="str">
        <f>TEXT(   (SUMPRODUCT( ((Main!$H$9:$H$1000)=$E299)*((Main!$J$9:$J$1000)=$F299)*((Main!$O$9:$O$1000)=$C299)*(Main!R$9:R$1000) ) +  ( SUMPRODUCT( ((Adders!$D$13:$D$101)=$E299)*((Adders!$E$13:$E$101)=$F299)*(Adders!G$13:G$101)) + VLOOKUP($H299,Adders!$B$5:$G$8,L$11,FALSE)  +  PA!$D$2 ) * IF($D299="NJ",1.07,1))/$L$10, CHOOSE($M$10,$L$9,$M$9) )</f>
        <v xml:space="preserve"> 78.56 </v>
      </c>
      <c r="J299" s="178" t="str">
        <f>TEXT(   (SUMPRODUCT( ((Main!$H$9:$H$1000)=$E299)*((Main!$J$9:$J$1000)=$F299)*((Main!$O$9:$O$1000)=$C299)*(Main!S$9:S$1000) ) +  ( SUMPRODUCT( ((Adders!$D$13:$D$101)=$E299)*((Adders!$E$13:$E$101)=$F299)*(Adders!H$13:H$101)) + VLOOKUP($H299,Adders!$B$5:$G$8,M$11,FALSE)  +  PA!$D$2 ) * IF($D299="NJ",1.07,1))/$L$10, CHOOSE($M$10,$L$9,$M$9) )</f>
        <v xml:space="preserve"> 77.71 </v>
      </c>
      <c r="K299" s="179" t="str">
        <f>TEXT(   (SUMPRODUCT( ((Main!$H$9:$H$1000)=$E299)*((Main!$J$9:$J$1000)=$F299)*((Main!$O$9:$O$1000)=$C299)*(Main!T$9:T$1000) ) +  ( SUMPRODUCT( ((Adders!$D$13:$D$101)=$E299)*((Adders!$E$13:$E$101)=$F299)*(Adders!I$13:I$101)) + VLOOKUP($H299,Adders!$B$5:$G$8,N$11,FALSE)  +  PA!$D$2 ) * IF($D299="NJ",1.07,1))/$L$10, CHOOSE($M$10,$L$9,$M$9) )</f>
        <v xml:space="preserve"> 79.15 </v>
      </c>
      <c r="L299" s="178" t="str">
        <f>IF(AND($D$11="IL",$E299="AMEREN"),"NA",TEXT((SUMPRODUCT(((LMPMain!$H$9:$H$1000)=$E299)*((LMPMain!$J$9:$J$1000)=$F299)*((LMPMain!$O$9:$O$1000)=$C299)*(LMPMain!R$9:R$1000))+(SUMPRODUCT(((Adders!$D$13:$D$101)=$E299)*((Adders!$E$13:$E$101)=$F299)*(Adders!G$13:G$101))+VLOOKUP($H299,Adders!$B$5:$G$8,L$11,FALSE)+Matrix!$D$2)*IF($D299="NJ",1.07,1))/$L$10,CHOOSE($M$10,$L$9,$M$9)))</f>
        <v xml:space="preserve"> 33.59 </v>
      </c>
      <c r="M299" s="178" t="str">
        <f>IF(AND($D$11="IL",$E299="AMEREN"),"NA",TEXT((SUMPRODUCT(((LMPMain!$H$9:$H$1000)=$E299)*((LMPMain!$J$9:$J$1000)=$F299)*((LMPMain!$O$9:$O$1000)=$C299)*(LMPMain!S$9:S$1000))+(SUMPRODUCT(((Adders!$D$13:$D$101)=$E299)*((Adders!$E$13:$E$101)=$F299)*(Adders!H$13:H$101))+VLOOKUP($H299,Adders!$B$5:$G$8,M$11,FALSE)+Matrix!$D$2)*IF($D299="NJ",1.07,1))/$L$10,CHOOSE($M$10,$L$9,$M$9)))</f>
        <v xml:space="preserve"> 33.07 </v>
      </c>
      <c r="N299" s="179" t="str">
        <f>IF(AND($D$11="IL",$E299="AMEREN"),"NA",TEXT((SUMPRODUCT(((LMPMain!$H$9:$H$1000)=$E299)*((LMPMain!$J$9:$J$1000)=$F299)*((LMPMain!$O$9:$O$1000)=$C299)*(LMPMain!T$9:T$1000))+(SUMPRODUCT(((Adders!$D$13:$D$101)=$E299)*((Adders!$E$13:$E$101)=$F299)*(Adders!G$13:G$101))+VLOOKUP($H299,Adders!$B$5:$G$8,N$11,FALSE)+Matrix!$D$2)*IF($D299="NJ",1.07,1))/$L$10,CHOOSE($M$10,$L$9,$M$9)))</f>
        <v xml:space="preserve"> 33.59 </v>
      </c>
      <c r="O299" s="112"/>
    </row>
    <row r="300" spans="2:15" x14ac:dyDescent="0.25">
      <c r="B300" s="160" t="s">
        <v>671</v>
      </c>
      <c r="C300" s="131">
        <f t="shared" si="7"/>
        <v>42491</v>
      </c>
      <c r="D300" s="132" t="s">
        <v>6</v>
      </c>
      <c r="E300" s="133" t="s">
        <v>13</v>
      </c>
      <c r="F300" s="132" t="s">
        <v>7</v>
      </c>
      <c r="G300" s="133" t="str">
        <f t="shared" si="8"/>
        <v>General Service</v>
      </c>
      <c r="H300" s="134" t="s">
        <v>62</v>
      </c>
      <c r="I300" s="173" t="str">
        <f>TEXT(   (SUMPRODUCT( ((Main!$H$9:$H$1000)=$E300)*((Main!$J$9:$J$1000)=$F300)*((Main!$O$9:$O$1000)=$C300)*(Main!R$9:R$1000) ) +  ( SUMPRODUCT( ((Adders!$D$13:$D$101)=$E300)*((Adders!$E$13:$E$101)=$F300)*(Adders!G$13:G$101)) + VLOOKUP($H300,Adders!$B$5:$G$8,L$11,FALSE)  +  PA!$D$2 ) * IF($D300="NJ",1.07,1))/$L$10, CHOOSE($M$10,$L$9,$M$9) )</f>
        <v xml:space="preserve"> 76.96 </v>
      </c>
      <c r="J300" s="173" t="str">
        <f>TEXT(   (SUMPRODUCT( ((Main!$H$9:$H$1000)=$E300)*((Main!$J$9:$J$1000)=$F300)*((Main!$O$9:$O$1000)=$C300)*(Main!S$9:S$1000) ) +  ( SUMPRODUCT( ((Adders!$D$13:$D$101)=$E300)*((Adders!$E$13:$E$101)=$F300)*(Adders!H$13:H$101)) + VLOOKUP($H300,Adders!$B$5:$G$8,M$11,FALSE)  +  PA!$D$2 ) * IF($D300="NJ",1.07,1))/$L$10, CHOOSE($M$10,$L$9,$M$9) )</f>
        <v xml:space="preserve"> 76.11 </v>
      </c>
      <c r="K300" s="174" t="str">
        <f>TEXT(   (SUMPRODUCT( ((Main!$H$9:$H$1000)=$E300)*((Main!$J$9:$J$1000)=$F300)*((Main!$O$9:$O$1000)=$C300)*(Main!T$9:T$1000) ) +  ( SUMPRODUCT( ((Adders!$D$13:$D$101)=$E300)*((Adders!$E$13:$E$101)=$F300)*(Adders!I$13:I$101)) + VLOOKUP($H300,Adders!$B$5:$G$8,N$11,FALSE)  +  PA!$D$2 ) * IF($D300="NJ",1.07,1))/$L$10, CHOOSE($M$10,$L$9,$M$9) )</f>
        <v xml:space="preserve"> 77.55 </v>
      </c>
      <c r="L300" s="173" t="str">
        <f>IF(AND($D$11="IL",$E300="AMEREN"),"NA",TEXT((SUMPRODUCT(((LMPMain!$H$9:$H$1000)=$E300)*((LMPMain!$J$9:$J$1000)=$F300)*((LMPMain!$O$9:$O$1000)=$C300)*(LMPMain!R$9:R$1000))+(SUMPRODUCT(((Adders!$D$13:$D$101)=$E300)*((Adders!$E$13:$E$101)=$F300)*(Adders!G$13:G$101))+VLOOKUP($H300,Adders!$B$5:$G$8,L$11,FALSE)+Matrix!$D$2)*IF($D300="NJ",1.07,1))/$L$10,CHOOSE($M$10,$L$9,$M$9)))</f>
        <v xml:space="preserve"> 31.99 </v>
      </c>
      <c r="M300" s="173" t="str">
        <f>IF(AND($D$11="IL",$E300="AMEREN"),"NA",TEXT((SUMPRODUCT(((LMPMain!$H$9:$H$1000)=$E300)*((LMPMain!$J$9:$J$1000)=$F300)*((LMPMain!$O$9:$O$1000)=$C300)*(LMPMain!S$9:S$1000))+(SUMPRODUCT(((Adders!$D$13:$D$101)=$E300)*((Adders!$E$13:$E$101)=$F300)*(Adders!H$13:H$101))+VLOOKUP($H300,Adders!$B$5:$G$8,M$11,FALSE)+Matrix!$D$2)*IF($D300="NJ",1.07,1))/$L$10,CHOOSE($M$10,$L$9,$M$9)))</f>
        <v xml:space="preserve"> 31.47 </v>
      </c>
      <c r="N300" s="174" t="str">
        <f>IF(AND($D$11="IL",$E300="AMEREN"),"NA",TEXT((SUMPRODUCT(((LMPMain!$H$9:$H$1000)=$E300)*((LMPMain!$J$9:$J$1000)=$F300)*((LMPMain!$O$9:$O$1000)=$C300)*(LMPMain!T$9:T$1000))+(SUMPRODUCT(((Adders!$D$13:$D$101)=$E300)*((Adders!$E$13:$E$101)=$F300)*(Adders!G$13:G$101))+VLOOKUP($H300,Adders!$B$5:$G$8,N$11,FALSE)+Matrix!$D$2)*IF($D300="NJ",1.07,1))/$L$10,CHOOSE($M$10,$L$9,$M$9)))</f>
        <v xml:space="preserve"> 31.99 </v>
      </c>
      <c r="O300" s="112"/>
    </row>
    <row r="301" spans="2:15" x14ac:dyDescent="0.25">
      <c r="B301" s="160" t="s">
        <v>671</v>
      </c>
      <c r="C301" s="135">
        <f t="shared" si="7"/>
        <v>42491</v>
      </c>
      <c r="D301" s="136" t="s">
        <v>6</v>
      </c>
      <c r="E301" s="137" t="s">
        <v>13</v>
      </c>
      <c r="F301" s="136" t="s">
        <v>7</v>
      </c>
      <c r="G301" s="137" t="str">
        <f t="shared" si="8"/>
        <v>General Service</v>
      </c>
      <c r="H301" s="138" t="s">
        <v>690</v>
      </c>
      <c r="I301" s="176" t="str">
        <f>TEXT(   (SUMPRODUCT( ((Main!$H$9:$H$1000)=$E301)*((Main!$J$9:$J$1000)=$F301)*((Main!$O$9:$O$1000)=$C301)*(Main!R$9:R$1000) ) +  ( SUMPRODUCT( ((Adders!$D$13:$D$101)=$E301)*((Adders!$E$13:$E$101)=$F301)*(Adders!G$13:G$101)) + VLOOKUP($H301,Adders!$B$5:$G$8,L$11,FALSE)  +  PA!$D$2 ) * IF($D301="NJ",1.07,1))/$L$10, CHOOSE($M$10,$L$9,$M$9) )</f>
        <v xml:space="preserve"> 75.91 </v>
      </c>
      <c r="J301" s="176" t="str">
        <f>TEXT(   (SUMPRODUCT( ((Main!$H$9:$H$1000)=$E301)*((Main!$J$9:$J$1000)=$F301)*((Main!$O$9:$O$1000)=$C301)*(Main!S$9:S$1000) ) +  ( SUMPRODUCT( ((Adders!$D$13:$D$101)=$E301)*((Adders!$E$13:$E$101)=$F301)*(Adders!H$13:H$101)) + VLOOKUP($H301,Adders!$B$5:$G$8,M$11,FALSE)  +  PA!$D$2 ) * IF($D301="NJ",1.07,1))/$L$10, CHOOSE($M$10,$L$9,$M$9) )</f>
        <v xml:space="preserve"> 75.06 </v>
      </c>
      <c r="K301" s="177" t="str">
        <f>TEXT(   (SUMPRODUCT( ((Main!$H$9:$H$1000)=$E301)*((Main!$J$9:$J$1000)=$F301)*((Main!$O$9:$O$1000)=$C301)*(Main!T$9:T$1000) ) +  ( SUMPRODUCT( ((Adders!$D$13:$D$101)=$E301)*((Adders!$E$13:$E$101)=$F301)*(Adders!I$13:I$101)) + VLOOKUP($H301,Adders!$B$5:$G$8,N$11,FALSE)  +  PA!$D$2 ) * IF($D301="NJ",1.07,1))/$L$10, CHOOSE($M$10,$L$9,$M$9) )</f>
        <v xml:space="preserve"> 76.50 </v>
      </c>
      <c r="L301" s="176" t="str">
        <f>IF(AND($D$11="IL",$E301="AMEREN"),"NA",TEXT((SUMPRODUCT(((LMPMain!$H$9:$H$1000)=$E301)*((LMPMain!$J$9:$J$1000)=$F301)*((LMPMain!$O$9:$O$1000)=$C301)*(LMPMain!R$9:R$1000))+(SUMPRODUCT(((Adders!$D$13:$D$101)=$E301)*((Adders!$E$13:$E$101)=$F301)*(Adders!G$13:G$101))+VLOOKUP($H301,Adders!$B$5:$G$8,L$11,FALSE)+Matrix!$D$2)*IF($D301="NJ",1.07,1))/$L$10,CHOOSE($M$10,$L$9,$M$9)))</f>
        <v xml:space="preserve"> 30.94 </v>
      </c>
      <c r="M301" s="176" t="str">
        <f>IF(AND($D$11="IL",$E301="AMEREN"),"NA",TEXT((SUMPRODUCT(((LMPMain!$H$9:$H$1000)=$E301)*((LMPMain!$J$9:$J$1000)=$F301)*((LMPMain!$O$9:$O$1000)=$C301)*(LMPMain!S$9:S$1000))+(SUMPRODUCT(((Adders!$D$13:$D$101)=$E301)*((Adders!$E$13:$E$101)=$F301)*(Adders!H$13:H$101))+VLOOKUP($H301,Adders!$B$5:$G$8,M$11,FALSE)+Matrix!$D$2)*IF($D301="NJ",1.07,1))/$L$10,CHOOSE($M$10,$L$9,$M$9)))</f>
        <v xml:space="preserve"> 30.42 </v>
      </c>
      <c r="N301" s="177" t="str">
        <f>IF(AND($D$11="IL",$E301="AMEREN"),"NA",TEXT((SUMPRODUCT(((LMPMain!$H$9:$H$1000)=$E301)*((LMPMain!$J$9:$J$1000)=$F301)*((LMPMain!$O$9:$O$1000)=$C301)*(LMPMain!T$9:T$1000))+(SUMPRODUCT(((Adders!$D$13:$D$101)=$E301)*((Adders!$E$13:$E$101)=$F301)*(Adders!G$13:G$101))+VLOOKUP($H301,Adders!$B$5:$G$8,N$11,FALSE)+Matrix!$D$2)*IF($D301="NJ",1.07,1))/$L$10,CHOOSE($M$10,$L$9,$M$9)))</f>
        <v xml:space="preserve"> 30.94 </v>
      </c>
      <c r="O301" s="112"/>
    </row>
    <row r="302" spans="2:15" x14ac:dyDescent="0.25">
      <c r="B302" s="160" t="s">
        <v>672</v>
      </c>
      <c r="C302" s="127">
        <f t="shared" si="7"/>
        <v>42156</v>
      </c>
      <c r="D302" s="128" t="s">
        <v>6</v>
      </c>
      <c r="E302" s="129" t="s">
        <v>100</v>
      </c>
      <c r="F302" s="128" t="s">
        <v>7</v>
      </c>
      <c r="G302" s="129" t="str">
        <f>VLOOKUP(SUMPRODUCT( ((LMPMain!$H$9:$H$1000)=$E302)*((LMPMain!$J$9:$J$1000)=$F302)*((LMPMain!$O$9:$O$1000)=$C302)*(LMPMain!A$9:A$1000)),LMPMain!$A$9:$K$1000,11,FALSE)</f>
        <v>General Service</v>
      </c>
      <c r="H302" s="130" t="s">
        <v>61</v>
      </c>
      <c r="I302" s="178" t="str">
        <f>TEXT(   (SUMPRODUCT( ((Main!$H$9:$H$1000)=$E302)*((Main!$J$9:$J$1000)=$F302)*((Main!$O$9:$O$1000)=$C302)*(Main!R$9:R$1000) ) +  ( SUMPRODUCT( ((Adders!$D$13:$D$101)=$E302)*((Adders!$E$13:$E$101)=$F302)*(Adders!G$13:G$101)) + VLOOKUP($H302,Adders!$B$5:$G$8,L$11,FALSE)  +  PA!$D$2 ) * IF($D302="NJ",1.07,1))/$L$10, CHOOSE($M$10,$L$9,$M$9) )</f>
        <v xml:space="preserve"> 93.16 </v>
      </c>
      <c r="J302" s="178" t="str">
        <f>TEXT(   (SUMPRODUCT( ((Main!$H$9:$H$1000)=$E302)*((Main!$J$9:$J$1000)=$F302)*((Main!$O$9:$O$1000)=$C302)*(Main!S$9:S$1000) ) +  ( SUMPRODUCT( ((Adders!$D$13:$D$101)=$E302)*((Adders!$E$13:$E$101)=$F302)*(Adders!H$13:H$101)) + VLOOKUP($H302,Adders!$B$5:$G$8,M$11,FALSE)  +  PA!$D$2 ) * IF($D302="NJ",1.07,1))/$L$10, CHOOSE($M$10,$L$9,$M$9) )</f>
        <v xml:space="preserve"> 86.76 </v>
      </c>
      <c r="K302" s="179" t="str">
        <f>TEXT(   (SUMPRODUCT( ((Main!$H$9:$H$1000)=$E302)*((Main!$J$9:$J$1000)=$F302)*((Main!$O$9:$O$1000)=$C302)*(Main!T$9:T$1000) ) +  ( SUMPRODUCT( ((Adders!$D$13:$D$101)=$E302)*((Adders!$E$13:$E$101)=$F302)*(Adders!I$13:I$101)) + VLOOKUP($H302,Adders!$B$5:$G$8,N$11,FALSE)  +  PA!$D$2 ) * IF($D302="NJ",1.07,1))/$L$10, CHOOSE($M$10,$L$9,$M$9) )</f>
        <v xml:space="preserve"> 82.97 </v>
      </c>
      <c r="L302" s="178" t="str">
        <f>IF(AND($D$11="IL",$E302="AMEREN"),"NA",TEXT((SUMPRODUCT(((LMPMain!$H$9:$H$1000)=$E302)*((LMPMain!$J$9:$J$1000)=$F302)*((LMPMain!$O$9:$O$1000)=$C302)*(LMPMain!R$9:R$1000))+(SUMPRODUCT(((Adders!$D$13:$D$101)=$E302)*((Adders!$E$13:$E$101)=$F302)*(Adders!G$13:G$101))+VLOOKUP($H302,Adders!$B$5:$G$8,L$11,FALSE)+Matrix!$D$2)*IF($D302="NJ",1.07,1))/$L$10,CHOOSE($M$10,$L$9,$M$9)))</f>
        <v xml:space="preserve"> 56.49 </v>
      </c>
      <c r="M302" s="178" t="str">
        <f>IF(AND($D$11="IL",$E302="AMEREN"),"NA",TEXT((SUMPRODUCT(((LMPMain!$H$9:$H$1000)=$E302)*((LMPMain!$J$9:$J$1000)=$F302)*((LMPMain!$O$9:$O$1000)=$C302)*(LMPMain!S$9:S$1000))+(SUMPRODUCT(((Adders!$D$13:$D$101)=$E302)*((Adders!$E$13:$E$101)=$F302)*(Adders!H$13:H$101))+VLOOKUP($H302,Adders!$B$5:$G$8,M$11,FALSE)+Matrix!$D$2)*IF($D302="NJ",1.07,1))/$L$10,CHOOSE($M$10,$L$9,$M$9)))</f>
        <v xml:space="preserve"> 49.73 </v>
      </c>
      <c r="N302" s="179" t="str">
        <f>IF(AND($D$11="IL",$E302="AMEREN"),"NA",TEXT((SUMPRODUCT(((LMPMain!$H$9:$H$1000)=$E302)*((LMPMain!$J$9:$J$1000)=$F302)*((LMPMain!$O$9:$O$1000)=$C302)*(LMPMain!T$9:T$1000))+(SUMPRODUCT(((Adders!$D$13:$D$101)=$E302)*((Adders!$E$13:$E$101)=$F302)*(Adders!G$13:G$101))+VLOOKUP($H302,Adders!$B$5:$G$8,N$11,FALSE)+Matrix!$D$2)*IF($D302="NJ",1.07,1))/$L$10,CHOOSE($M$10,$L$9,$M$9)))</f>
        <v xml:space="preserve"> 45.98 </v>
      </c>
      <c r="O302" s="112"/>
    </row>
    <row r="303" spans="2:15" x14ac:dyDescent="0.25">
      <c r="B303" s="160" t="s">
        <v>672</v>
      </c>
      <c r="C303" s="131">
        <f t="shared" si="7"/>
        <v>42156</v>
      </c>
      <c r="D303" s="132" t="s">
        <v>6</v>
      </c>
      <c r="E303" s="133" t="s">
        <v>100</v>
      </c>
      <c r="F303" s="132" t="s">
        <v>7</v>
      </c>
      <c r="G303" s="133" t="str">
        <f>G302</f>
        <v>General Service</v>
      </c>
      <c r="H303" s="134" t="s">
        <v>62</v>
      </c>
      <c r="I303" s="173" t="str">
        <f>TEXT(   (SUMPRODUCT( ((Main!$H$9:$H$1000)=$E303)*((Main!$J$9:$J$1000)=$F303)*((Main!$O$9:$O$1000)=$C303)*(Main!R$9:R$1000) ) +  ( SUMPRODUCT( ((Adders!$D$13:$D$101)=$E303)*((Adders!$E$13:$E$101)=$F303)*(Adders!G$13:G$101)) + VLOOKUP($H303,Adders!$B$5:$G$8,L$11,FALSE)  +  PA!$D$2 ) * IF($D303="NJ",1.07,1))/$L$10, CHOOSE($M$10,$L$9,$M$9) )</f>
        <v xml:space="preserve"> 91.56 </v>
      </c>
      <c r="J303" s="173" t="str">
        <f>TEXT(   (SUMPRODUCT( ((Main!$H$9:$H$1000)=$E303)*((Main!$J$9:$J$1000)=$F303)*((Main!$O$9:$O$1000)=$C303)*(Main!S$9:S$1000) ) +  ( SUMPRODUCT( ((Adders!$D$13:$D$101)=$E303)*((Adders!$E$13:$E$101)=$F303)*(Adders!H$13:H$101)) + VLOOKUP($H303,Adders!$B$5:$G$8,M$11,FALSE)  +  PA!$D$2 ) * IF($D303="NJ",1.07,1))/$L$10, CHOOSE($M$10,$L$9,$M$9) )</f>
        <v xml:space="preserve"> 85.16 </v>
      </c>
      <c r="K303" s="174" t="str">
        <f>TEXT(   (SUMPRODUCT( ((Main!$H$9:$H$1000)=$E303)*((Main!$J$9:$J$1000)=$F303)*((Main!$O$9:$O$1000)=$C303)*(Main!T$9:T$1000) ) +  ( SUMPRODUCT( ((Adders!$D$13:$D$101)=$E303)*((Adders!$E$13:$E$101)=$F303)*(Adders!I$13:I$101)) + VLOOKUP($H303,Adders!$B$5:$G$8,N$11,FALSE)  +  PA!$D$2 ) * IF($D303="NJ",1.07,1))/$L$10, CHOOSE($M$10,$L$9,$M$9) )</f>
        <v xml:space="preserve"> 81.37 </v>
      </c>
      <c r="L303" s="173" t="str">
        <f>IF(AND($D$11="IL",$E303="AMEREN"),"NA",TEXT((SUMPRODUCT(((LMPMain!$H$9:$H$1000)=$E303)*((LMPMain!$J$9:$J$1000)=$F303)*((LMPMain!$O$9:$O$1000)=$C303)*(LMPMain!R$9:R$1000))+(SUMPRODUCT(((Adders!$D$13:$D$101)=$E303)*((Adders!$E$13:$E$101)=$F303)*(Adders!G$13:G$101))+VLOOKUP($H303,Adders!$B$5:$G$8,L$11,FALSE)+Matrix!$D$2)*IF($D303="NJ",1.07,1))/$L$10,CHOOSE($M$10,$L$9,$M$9)))</f>
        <v xml:space="preserve"> 54.89 </v>
      </c>
      <c r="M303" s="173" t="str">
        <f>IF(AND($D$11="IL",$E303="AMEREN"),"NA",TEXT((SUMPRODUCT(((LMPMain!$H$9:$H$1000)=$E303)*((LMPMain!$J$9:$J$1000)=$F303)*((LMPMain!$O$9:$O$1000)=$C303)*(LMPMain!S$9:S$1000))+(SUMPRODUCT(((Adders!$D$13:$D$101)=$E303)*((Adders!$E$13:$E$101)=$F303)*(Adders!H$13:H$101))+VLOOKUP($H303,Adders!$B$5:$G$8,M$11,FALSE)+Matrix!$D$2)*IF($D303="NJ",1.07,1))/$L$10,CHOOSE($M$10,$L$9,$M$9)))</f>
        <v xml:space="preserve"> 48.13 </v>
      </c>
      <c r="N303" s="174" t="str">
        <f>IF(AND($D$11="IL",$E303="AMEREN"),"NA",TEXT((SUMPRODUCT(((LMPMain!$H$9:$H$1000)=$E303)*((LMPMain!$J$9:$J$1000)=$F303)*((LMPMain!$O$9:$O$1000)=$C303)*(LMPMain!T$9:T$1000))+(SUMPRODUCT(((Adders!$D$13:$D$101)=$E303)*((Adders!$E$13:$E$101)=$F303)*(Adders!G$13:G$101))+VLOOKUP($H303,Adders!$B$5:$G$8,N$11,FALSE)+Matrix!$D$2)*IF($D303="NJ",1.07,1))/$L$10,CHOOSE($M$10,$L$9,$M$9)))</f>
        <v xml:space="preserve"> 44.38 </v>
      </c>
      <c r="O303" s="112"/>
    </row>
    <row r="304" spans="2:15" x14ac:dyDescent="0.25">
      <c r="B304" s="160" t="s">
        <v>672</v>
      </c>
      <c r="C304" s="135">
        <f t="shared" si="7"/>
        <v>42156</v>
      </c>
      <c r="D304" s="136" t="s">
        <v>6</v>
      </c>
      <c r="E304" s="137" t="s">
        <v>100</v>
      </c>
      <c r="F304" s="136" t="s">
        <v>7</v>
      </c>
      <c r="G304" s="137" t="str">
        <f>G303</f>
        <v>General Service</v>
      </c>
      <c r="H304" s="138" t="s">
        <v>690</v>
      </c>
      <c r="I304" s="176" t="str">
        <f>TEXT(   (SUMPRODUCT( ((Main!$H$9:$H$1000)=$E304)*((Main!$J$9:$J$1000)=$F304)*((Main!$O$9:$O$1000)=$C304)*(Main!R$9:R$1000) ) +  ( SUMPRODUCT( ((Adders!$D$13:$D$101)=$E304)*((Adders!$E$13:$E$101)=$F304)*(Adders!G$13:G$101)) + VLOOKUP($H304,Adders!$B$5:$G$8,L$11,FALSE)  +  PA!$D$2 ) * IF($D304="NJ",1.07,1))/$L$10, CHOOSE($M$10,$L$9,$M$9) )</f>
        <v xml:space="preserve"> 90.51 </v>
      </c>
      <c r="J304" s="176" t="str">
        <f>TEXT(   (SUMPRODUCT( ((Main!$H$9:$H$1000)=$E304)*((Main!$J$9:$J$1000)=$F304)*((Main!$O$9:$O$1000)=$C304)*(Main!S$9:S$1000) ) +  ( SUMPRODUCT( ((Adders!$D$13:$D$101)=$E304)*((Adders!$E$13:$E$101)=$F304)*(Adders!H$13:H$101)) + VLOOKUP($H304,Adders!$B$5:$G$8,M$11,FALSE)  +  PA!$D$2 ) * IF($D304="NJ",1.07,1))/$L$10, CHOOSE($M$10,$L$9,$M$9) )</f>
        <v xml:space="preserve"> 84.11 </v>
      </c>
      <c r="K304" s="177" t="str">
        <f>TEXT(   (SUMPRODUCT( ((Main!$H$9:$H$1000)=$E304)*((Main!$J$9:$J$1000)=$F304)*((Main!$O$9:$O$1000)=$C304)*(Main!T$9:T$1000) ) +  ( SUMPRODUCT( ((Adders!$D$13:$D$101)=$E304)*((Adders!$E$13:$E$101)=$F304)*(Adders!I$13:I$101)) + VLOOKUP($H304,Adders!$B$5:$G$8,N$11,FALSE)  +  PA!$D$2 ) * IF($D304="NJ",1.07,1))/$L$10, CHOOSE($M$10,$L$9,$M$9) )</f>
        <v xml:space="preserve"> 80.32 </v>
      </c>
      <c r="L304" s="176" t="str">
        <f>IF(AND($D$11="IL",$E304="AMEREN"),"NA",TEXT((SUMPRODUCT(((LMPMain!$H$9:$H$1000)=$E304)*((LMPMain!$J$9:$J$1000)=$F304)*((LMPMain!$O$9:$O$1000)=$C304)*(LMPMain!R$9:R$1000))+(SUMPRODUCT(((Adders!$D$13:$D$101)=$E304)*((Adders!$E$13:$E$101)=$F304)*(Adders!G$13:G$101))+VLOOKUP($H304,Adders!$B$5:$G$8,L$11,FALSE)+Matrix!$D$2)*IF($D304="NJ",1.07,1))/$L$10,CHOOSE($M$10,$L$9,$M$9)))</f>
        <v xml:space="preserve"> 53.84 </v>
      </c>
      <c r="M304" s="176" t="str">
        <f>IF(AND($D$11="IL",$E304="AMEREN"),"NA",TEXT((SUMPRODUCT(((LMPMain!$H$9:$H$1000)=$E304)*((LMPMain!$J$9:$J$1000)=$F304)*((LMPMain!$O$9:$O$1000)=$C304)*(LMPMain!S$9:S$1000))+(SUMPRODUCT(((Adders!$D$13:$D$101)=$E304)*((Adders!$E$13:$E$101)=$F304)*(Adders!H$13:H$101))+VLOOKUP($H304,Adders!$B$5:$G$8,M$11,FALSE)+Matrix!$D$2)*IF($D304="NJ",1.07,1))/$L$10,CHOOSE($M$10,$L$9,$M$9)))</f>
        <v xml:space="preserve"> 47.08 </v>
      </c>
      <c r="N304" s="177" t="str">
        <f>IF(AND($D$11="IL",$E304="AMEREN"),"NA",TEXT((SUMPRODUCT(((LMPMain!$H$9:$H$1000)=$E304)*((LMPMain!$J$9:$J$1000)=$F304)*((LMPMain!$O$9:$O$1000)=$C304)*(LMPMain!T$9:T$1000))+(SUMPRODUCT(((Adders!$D$13:$D$101)=$E304)*((Adders!$E$13:$E$101)=$F304)*(Adders!G$13:G$101))+VLOOKUP($H304,Adders!$B$5:$G$8,N$11,FALSE)+Matrix!$D$2)*IF($D304="NJ",1.07,1))/$L$10,CHOOSE($M$10,$L$9,$M$9)))</f>
        <v xml:space="preserve"> 43.33 </v>
      </c>
      <c r="O304" s="112"/>
    </row>
    <row r="305" spans="2:15" x14ac:dyDescent="0.25">
      <c r="B305" s="160" t="s">
        <v>672</v>
      </c>
      <c r="C305" s="127">
        <f t="shared" si="7"/>
        <v>42186</v>
      </c>
      <c r="D305" s="128" t="s">
        <v>6</v>
      </c>
      <c r="E305" s="129" t="s">
        <v>100</v>
      </c>
      <c r="F305" s="128" t="s">
        <v>7</v>
      </c>
      <c r="G305" s="129" t="str">
        <f t="shared" si="8"/>
        <v>General Service</v>
      </c>
      <c r="H305" s="130" t="s">
        <v>61</v>
      </c>
      <c r="I305" s="178" t="str">
        <f>TEXT(   (SUMPRODUCT( ((Main!$H$9:$H$1000)=$E305)*((Main!$J$9:$J$1000)=$F305)*((Main!$O$9:$O$1000)=$C305)*(Main!R$9:R$1000) ) +  ( SUMPRODUCT( ((Adders!$D$13:$D$101)=$E305)*((Adders!$E$13:$E$101)=$F305)*(Adders!G$13:G$101)) + VLOOKUP($H305,Adders!$B$5:$G$8,L$11,FALSE)  +  PA!$D$2 ) * IF($D305="NJ",1.07,1))/$L$10, CHOOSE($M$10,$L$9,$M$9) )</f>
        <v xml:space="preserve"> 91.52 </v>
      </c>
      <c r="J305" s="178" t="str">
        <f>TEXT(   (SUMPRODUCT( ((Main!$H$9:$H$1000)=$E305)*((Main!$J$9:$J$1000)=$F305)*((Main!$O$9:$O$1000)=$C305)*(Main!S$9:S$1000) ) +  ( SUMPRODUCT( ((Adders!$D$13:$D$101)=$E305)*((Adders!$E$13:$E$101)=$F305)*(Adders!H$13:H$101)) + VLOOKUP($H305,Adders!$B$5:$G$8,M$11,FALSE)  +  PA!$D$2 ) * IF($D305="NJ",1.07,1))/$L$10, CHOOSE($M$10,$L$9,$M$9) )</f>
        <v xml:space="preserve"> 85.02 </v>
      </c>
      <c r="K305" s="179" t="str">
        <f>TEXT(   (SUMPRODUCT( ((Main!$H$9:$H$1000)=$E305)*((Main!$J$9:$J$1000)=$F305)*((Main!$O$9:$O$1000)=$C305)*(Main!T$9:T$1000) ) +  ( SUMPRODUCT( ((Adders!$D$13:$D$101)=$E305)*((Adders!$E$13:$E$101)=$F305)*(Adders!I$13:I$101)) + VLOOKUP($H305,Adders!$B$5:$G$8,N$11,FALSE)  +  PA!$D$2 ) * IF($D305="NJ",1.07,1))/$L$10, CHOOSE($M$10,$L$9,$M$9) )</f>
        <v xml:space="preserve"> 82.29 </v>
      </c>
      <c r="L305" s="178" t="str">
        <f>IF(AND($D$11="IL",$E305="AMEREN"),"NA",TEXT((SUMPRODUCT(((LMPMain!$H$9:$H$1000)=$E305)*((LMPMain!$J$9:$J$1000)=$F305)*((LMPMain!$O$9:$O$1000)=$C305)*(LMPMain!R$9:R$1000))+(SUMPRODUCT(((Adders!$D$13:$D$101)=$E305)*((Adders!$E$13:$E$101)=$F305)*(Adders!G$13:G$101))+VLOOKUP($H305,Adders!$B$5:$G$8,L$11,FALSE)+Matrix!$D$2)*IF($D305="NJ",1.07,1))/$L$10,CHOOSE($M$10,$L$9,$M$9)))</f>
        <v xml:space="preserve"> 54.72 </v>
      </c>
      <c r="M305" s="178" t="str">
        <f>IF(AND($D$11="IL",$E305="AMEREN"),"NA",TEXT((SUMPRODUCT(((LMPMain!$H$9:$H$1000)=$E305)*((LMPMain!$J$9:$J$1000)=$F305)*((LMPMain!$O$9:$O$1000)=$C305)*(LMPMain!S$9:S$1000))+(SUMPRODUCT(((Adders!$D$13:$D$101)=$E305)*((Adders!$E$13:$E$101)=$F305)*(Adders!H$13:H$101))+VLOOKUP($H305,Adders!$B$5:$G$8,M$11,FALSE)+Matrix!$D$2)*IF($D305="NJ",1.07,1))/$L$10,CHOOSE($M$10,$L$9,$M$9)))</f>
        <v xml:space="preserve"> 48.33 </v>
      </c>
      <c r="N305" s="179" t="str">
        <f>IF(AND($D$11="IL",$E305="AMEREN"),"NA",TEXT((SUMPRODUCT(((LMPMain!$H$9:$H$1000)=$E305)*((LMPMain!$J$9:$J$1000)=$F305)*((LMPMain!$O$9:$O$1000)=$C305)*(LMPMain!T$9:T$1000))+(SUMPRODUCT(((Adders!$D$13:$D$101)=$E305)*((Adders!$E$13:$E$101)=$F305)*(Adders!G$13:G$101))+VLOOKUP($H305,Adders!$B$5:$G$8,N$11,FALSE)+Matrix!$D$2)*IF($D305="NJ",1.07,1))/$L$10,CHOOSE($M$10,$L$9,$M$9)))</f>
        <v xml:space="preserve"> 45.23 </v>
      </c>
      <c r="O305" s="112"/>
    </row>
    <row r="306" spans="2:15" x14ac:dyDescent="0.25">
      <c r="B306" s="160" t="s">
        <v>672</v>
      </c>
      <c r="C306" s="131">
        <f t="shared" si="7"/>
        <v>42186</v>
      </c>
      <c r="D306" s="132" t="s">
        <v>6</v>
      </c>
      <c r="E306" s="133" t="s">
        <v>100</v>
      </c>
      <c r="F306" s="132" t="s">
        <v>7</v>
      </c>
      <c r="G306" s="133" t="str">
        <f t="shared" si="8"/>
        <v>General Service</v>
      </c>
      <c r="H306" s="134" t="s">
        <v>62</v>
      </c>
      <c r="I306" s="173" t="str">
        <f>TEXT(   (SUMPRODUCT( ((Main!$H$9:$H$1000)=$E306)*((Main!$J$9:$J$1000)=$F306)*((Main!$O$9:$O$1000)=$C306)*(Main!R$9:R$1000) ) +  ( SUMPRODUCT( ((Adders!$D$13:$D$101)=$E306)*((Adders!$E$13:$E$101)=$F306)*(Adders!G$13:G$101)) + VLOOKUP($H306,Adders!$B$5:$G$8,L$11,FALSE)  +  PA!$D$2 ) * IF($D306="NJ",1.07,1))/$L$10, CHOOSE($M$10,$L$9,$M$9) )</f>
        <v xml:space="preserve"> 89.92 </v>
      </c>
      <c r="J306" s="173" t="str">
        <f>TEXT(   (SUMPRODUCT( ((Main!$H$9:$H$1000)=$E306)*((Main!$J$9:$J$1000)=$F306)*((Main!$O$9:$O$1000)=$C306)*(Main!S$9:S$1000) ) +  ( SUMPRODUCT( ((Adders!$D$13:$D$101)=$E306)*((Adders!$E$13:$E$101)=$F306)*(Adders!H$13:H$101)) + VLOOKUP($H306,Adders!$B$5:$G$8,M$11,FALSE)  +  PA!$D$2 ) * IF($D306="NJ",1.07,1))/$L$10, CHOOSE($M$10,$L$9,$M$9) )</f>
        <v xml:space="preserve"> 83.42 </v>
      </c>
      <c r="K306" s="174" t="str">
        <f>TEXT(   (SUMPRODUCT( ((Main!$H$9:$H$1000)=$E306)*((Main!$J$9:$J$1000)=$F306)*((Main!$O$9:$O$1000)=$C306)*(Main!T$9:T$1000) ) +  ( SUMPRODUCT( ((Adders!$D$13:$D$101)=$E306)*((Adders!$E$13:$E$101)=$F306)*(Adders!I$13:I$101)) + VLOOKUP($H306,Adders!$B$5:$G$8,N$11,FALSE)  +  PA!$D$2 ) * IF($D306="NJ",1.07,1))/$L$10, CHOOSE($M$10,$L$9,$M$9) )</f>
        <v xml:space="preserve"> 80.69 </v>
      </c>
      <c r="L306" s="173" t="str">
        <f>IF(AND($D$11="IL",$E306="AMEREN"),"NA",TEXT((SUMPRODUCT(((LMPMain!$H$9:$H$1000)=$E306)*((LMPMain!$J$9:$J$1000)=$F306)*((LMPMain!$O$9:$O$1000)=$C306)*(LMPMain!R$9:R$1000))+(SUMPRODUCT(((Adders!$D$13:$D$101)=$E306)*((Adders!$E$13:$E$101)=$F306)*(Adders!G$13:G$101))+VLOOKUP($H306,Adders!$B$5:$G$8,L$11,FALSE)+Matrix!$D$2)*IF($D306="NJ",1.07,1))/$L$10,CHOOSE($M$10,$L$9,$M$9)))</f>
        <v xml:space="preserve"> 53.12 </v>
      </c>
      <c r="M306" s="173" t="str">
        <f>IF(AND($D$11="IL",$E306="AMEREN"),"NA",TEXT((SUMPRODUCT(((LMPMain!$H$9:$H$1000)=$E306)*((LMPMain!$J$9:$J$1000)=$F306)*((LMPMain!$O$9:$O$1000)=$C306)*(LMPMain!S$9:S$1000))+(SUMPRODUCT(((Adders!$D$13:$D$101)=$E306)*((Adders!$E$13:$E$101)=$F306)*(Adders!H$13:H$101))+VLOOKUP($H306,Adders!$B$5:$G$8,M$11,FALSE)+Matrix!$D$2)*IF($D306="NJ",1.07,1))/$L$10,CHOOSE($M$10,$L$9,$M$9)))</f>
        <v xml:space="preserve"> 46.73 </v>
      </c>
      <c r="N306" s="174" t="str">
        <f>IF(AND($D$11="IL",$E306="AMEREN"),"NA",TEXT((SUMPRODUCT(((LMPMain!$H$9:$H$1000)=$E306)*((LMPMain!$J$9:$J$1000)=$F306)*((LMPMain!$O$9:$O$1000)=$C306)*(LMPMain!T$9:T$1000))+(SUMPRODUCT(((Adders!$D$13:$D$101)=$E306)*((Adders!$E$13:$E$101)=$F306)*(Adders!G$13:G$101))+VLOOKUP($H306,Adders!$B$5:$G$8,N$11,FALSE)+Matrix!$D$2)*IF($D306="NJ",1.07,1))/$L$10,CHOOSE($M$10,$L$9,$M$9)))</f>
        <v xml:space="preserve"> 43.63 </v>
      </c>
      <c r="O306" s="112"/>
    </row>
    <row r="307" spans="2:15" x14ac:dyDescent="0.25">
      <c r="B307" s="160" t="s">
        <v>672</v>
      </c>
      <c r="C307" s="135">
        <f t="shared" ref="C307:C370" si="9">C271</f>
        <v>42186</v>
      </c>
      <c r="D307" s="136" t="s">
        <v>6</v>
      </c>
      <c r="E307" s="137" t="s">
        <v>100</v>
      </c>
      <c r="F307" s="136" t="s">
        <v>7</v>
      </c>
      <c r="G307" s="137" t="str">
        <f t="shared" ref="G307:G370" si="10">G306</f>
        <v>General Service</v>
      </c>
      <c r="H307" s="138" t="s">
        <v>690</v>
      </c>
      <c r="I307" s="176" t="str">
        <f>TEXT(   (SUMPRODUCT( ((Main!$H$9:$H$1000)=$E307)*((Main!$J$9:$J$1000)=$F307)*((Main!$O$9:$O$1000)=$C307)*(Main!R$9:R$1000) ) +  ( SUMPRODUCT( ((Adders!$D$13:$D$101)=$E307)*((Adders!$E$13:$E$101)=$F307)*(Adders!G$13:G$101)) + VLOOKUP($H307,Adders!$B$5:$G$8,L$11,FALSE)  +  PA!$D$2 ) * IF($D307="NJ",1.07,1))/$L$10, CHOOSE($M$10,$L$9,$M$9) )</f>
        <v xml:space="preserve"> 88.87 </v>
      </c>
      <c r="J307" s="176" t="str">
        <f>TEXT(   (SUMPRODUCT( ((Main!$H$9:$H$1000)=$E307)*((Main!$J$9:$J$1000)=$F307)*((Main!$O$9:$O$1000)=$C307)*(Main!S$9:S$1000) ) +  ( SUMPRODUCT( ((Adders!$D$13:$D$101)=$E307)*((Adders!$E$13:$E$101)=$F307)*(Adders!H$13:H$101)) + VLOOKUP($H307,Adders!$B$5:$G$8,M$11,FALSE)  +  PA!$D$2 ) * IF($D307="NJ",1.07,1))/$L$10, CHOOSE($M$10,$L$9,$M$9) )</f>
        <v xml:space="preserve"> 82.37 </v>
      </c>
      <c r="K307" s="177" t="str">
        <f>TEXT(   (SUMPRODUCT( ((Main!$H$9:$H$1000)=$E307)*((Main!$J$9:$J$1000)=$F307)*((Main!$O$9:$O$1000)=$C307)*(Main!T$9:T$1000) ) +  ( SUMPRODUCT( ((Adders!$D$13:$D$101)=$E307)*((Adders!$E$13:$E$101)=$F307)*(Adders!I$13:I$101)) + VLOOKUP($H307,Adders!$B$5:$G$8,N$11,FALSE)  +  PA!$D$2 ) * IF($D307="NJ",1.07,1))/$L$10, CHOOSE($M$10,$L$9,$M$9) )</f>
        <v xml:space="preserve"> 79.64 </v>
      </c>
      <c r="L307" s="176" t="str">
        <f>IF(AND($D$11="IL",$E307="AMEREN"),"NA",TEXT((SUMPRODUCT(((LMPMain!$H$9:$H$1000)=$E307)*((LMPMain!$J$9:$J$1000)=$F307)*((LMPMain!$O$9:$O$1000)=$C307)*(LMPMain!R$9:R$1000))+(SUMPRODUCT(((Adders!$D$13:$D$101)=$E307)*((Adders!$E$13:$E$101)=$F307)*(Adders!G$13:G$101))+VLOOKUP($H307,Adders!$B$5:$G$8,L$11,FALSE)+Matrix!$D$2)*IF($D307="NJ",1.07,1))/$L$10,CHOOSE($M$10,$L$9,$M$9)))</f>
        <v xml:space="preserve"> 52.07 </v>
      </c>
      <c r="M307" s="176" t="str">
        <f>IF(AND($D$11="IL",$E307="AMEREN"),"NA",TEXT((SUMPRODUCT(((LMPMain!$H$9:$H$1000)=$E307)*((LMPMain!$J$9:$J$1000)=$F307)*((LMPMain!$O$9:$O$1000)=$C307)*(LMPMain!S$9:S$1000))+(SUMPRODUCT(((Adders!$D$13:$D$101)=$E307)*((Adders!$E$13:$E$101)=$F307)*(Adders!H$13:H$101))+VLOOKUP($H307,Adders!$B$5:$G$8,M$11,FALSE)+Matrix!$D$2)*IF($D307="NJ",1.07,1))/$L$10,CHOOSE($M$10,$L$9,$M$9)))</f>
        <v xml:space="preserve"> 45.68 </v>
      </c>
      <c r="N307" s="177" t="str">
        <f>IF(AND($D$11="IL",$E307="AMEREN"),"NA",TEXT((SUMPRODUCT(((LMPMain!$H$9:$H$1000)=$E307)*((LMPMain!$J$9:$J$1000)=$F307)*((LMPMain!$O$9:$O$1000)=$C307)*(LMPMain!T$9:T$1000))+(SUMPRODUCT(((Adders!$D$13:$D$101)=$E307)*((Adders!$E$13:$E$101)=$F307)*(Adders!G$13:G$101))+VLOOKUP($H307,Adders!$B$5:$G$8,N$11,FALSE)+Matrix!$D$2)*IF($D307="NJ",1.07,1))/$L$10,CHOOSE($M$10,$L$9,$M$9)))</f>
        <v xml:space="preserve"> 42.58 </v>
      </c>
      <c r="O307" s="112"/>
    </row>
    <row r="308" spans="2:15" x14ac:dyDescent="0.25">
      <c r="B308" s="160" t="s">
        <v>672</v>
      </c>
      <c r="C308" s="127">
        <f t="shared" si="9"/>
        <v>42217</v>
      </c>
      <c r="D308" s="128" t="s">
        <v>6</v>
      </c>
      <c r="E308" s="129" t="s">
        <v>100</v>
      </c>
      <c r="F308" s="128" t="s">
        <v>7</v>
      </c>
      <c r="G308" s="129" t="str">
        <f t="shared" si="10"/>
        <v>General Service</v>
      </c>
      <c r="H308" s="130" t="s">
        <v>61</v>
      </c>
      <c r="I308" s="178" t="str">
        <f>TEXT(   (SUMPRODUCT( ((Main!$H$9:$H$1000)=$E308)*((Main!$J$9:$J$1000)=$F308)*((Main!$O$9:$O$1000)=$C308)*(Main!R$9:R$1000) ) +  ( SUMPRODUCT( ((Adders!$D$13:$D$101)=$E308)*((Adders!$E$13:$E$101)=$F308)*(Adders!G$13:G$101)) + VLOOKUP($H308,Adders!$B$5:$G$8,L$11,FALSE)  +  PA!$D$2 ) * IF($D308="NJ",1.07,1))/$L$10, CHOOSE($M$10,$L$9,$M$9) )</f>
        <v xml:space="preserve"> 89.76 </v>
      </c>
      <c r="J308" s="178" t="str">
        <f>TEXT(   (SUMPRODUCT( ((Main!$H$9:$H$1000)=$E308)*((Main!$J$9:$J$1000)=$F308)*((Main!$O$9:$O$1000)=$C308)*(Main!S$9:S$1000) ) +  ( SUMPRODUCT( ((Adders!$D$13:$D$101)=$E308)*((Adders!$E$13:$E$101)=$F308)*(Adders!H$13:H$101)) + VLOOKUP($H308,Adders!$B$5:$G$8,M$11,FALSE)  +  PA!$D$2 ) * IF($D308="NJ",1.07,1))/$L$10, CHOOSE($M$10,$L$9,$M$9) )</f>
        <v xml:space="preserve"> 82.94 </v>
      </c>
      <c r="K308" s="179" t="str">
        <f>TEXT(   (SUMPRODUCT( ((Main!$H$9:$H$1000)=$E308)*((Main!$J$9:$J$1000)=$F308)*((Main!$O$9:$O$1000)=$C308)*(Main!T$9:T$1000) ) +  ( SUMPRODUCT( ((Adders!$D$13:$D$101)=$E308)*((Adders!$E$13:$E$101)=$F308)*(Adders!I$13:I$101)) + VLOOKUP($H308,Adders!$B$5:$G$8,N$11,FALSE)  +  PA!$D$2 ) * IF($D308="NJ",1.07,1))/$L$10, CHOOSE($M$10,$L$9,$M$9) )</f>
        <v xml:space="preserve"> 81.68 </v>
      </c>
      <c r="L308" s="178" t="str">
        <f>IF(AND($D$11="IL",$E308="AMEREN"),"NA",TEXT((SUMPRODUCT(((LMPMain!$H$9:$H$1000)=$E308)*((LMPMain!$J$9:$J$1000)=$F308)*((LMPMain!$O$9:$O$1000)=$C308)*(LMPMain!R$9:R$1000))+(SUMPRODUCT(((Adders!$D$13:$D$101)=$E308)*((Adders!$E$13:$E$101)=$F308)*(Adders!G$13:G$101))+VLOOKUP($H308,Adders!$B$5:$G$8,L$11,FALSE)+Matrix!$D$2)*IF($D308="NJ",1.07,1))/$L$10,CHOOSE($M$10,$L$9,$M$9)))</f>
        <v xml:space="preserve"> 53.02 </v>
      </c>
      <c r="M308" s="178" t="str">
        <f>IF(AND($D$11="IL",$E308="AMEREN"),"NA",TEXT((SUMPRODUCT(((LMPMain!$H$9:$H$1000)=$E308)*((LMPMain!$J$9:$J$1000)=$F308)*((LMPMain!$O$9:$O$1000)=$C308)*(LMPMain!S$9:S$1000))+(SUMPRODUCT(((Adders!$D$13:$D$101)=$E308)*((Adders!$E$13:$E$101)=$F308)*(Adders!H$13:H$101))+VLOOKUP($H308,Adders!$B$5:$G$8,M$11,FALSE)+Matrix!$D$2)*IF($D308="NJ",1.07,1))/$L$10,CHOOSE($M$10,$L$9,$M$9)))</f>
        <v xml:space="preserve"> 47.02 </v>
      </c>
      <c r="N308" s="179" t="str">
        <f>IF(AND($D$11="IL",$E308="AMEREN"),"NA",TEXT((SUMPRODUCT(((LMPMain!$H$9:$H$1000)=$E308)*((LMPMain!$J$9:$J$1000)=$F308)*((LMPMain!$O$9:$O$1000)=$C308)*(LMPMain!T$9:T$1000))+(SUMPRODUCT(((Adders!$D$13:$D$101)=$E308)*((Adders!$E$13:$E$101)=$F308)*(Adders!G$13:G$101))+VLOOKUP($H308,Adders!$B$5:$G$8,N$11,FALSE)+Matrix!$D$2)*IF($D308="NJ",1.07,1))/$L$10,CHOOSE($M$10,$L$9,$M$9)))</f>
        <v xml:space="preserve"> 44.52 </v>
      </c>
      <c r="O308" s="112"/>
    </row>
    <row r="309" spans="2:15" x14ac:dyDescent="0.25">
      <c r="B309" s="160" t="s">
        <v>672</v>
      </c>
      <c r="C309" s="131">
        <f t="shared" si="9"/>
        <v>42217</v>
      </c>
      <c r="D309" s="132" t="s">
        <v>6</v>
      </c>
      <c r="E309" s="133" t="s">
        <v>100</v>
      </c>
      <c r="F309" s="132" t="s">
        <v>7</v>
      </c>
      <c r="G309" s="133" t="str">
        <f t="shared" si="10"/>
        <v>General Service</v>
      </c>
      <c r="H309" s="134" t="s">
        <v>62</v>
      </c>
      <c r="I309" s="173" t="str">
        <f>TEXT(   (SUMPRODUCT( ((Main!$H$9:$H$1000)=$E309)*((Main!$J$9:$J$1000)=$F309)*((Main!$O$9:$O$1000)=$C309)*(Main!R$9:R$1000) ) +  ( SUMPRODUCT( ((Adders!$D$13:$D$101)=$E309)*((Adders!$E$13:$E$101)=$F309)*(Adders!G$13:G$101)) + VLOOKUP($H309,Adders!$B$5:$G$8,L$11,FALSE)  +  PA!$D$2 ) * IF($D309="NJ",1.07,1))/$L$10, CHOOSE($M$10,$L$9,$M$9) )</f>
        <v xml:space="preserve"> 88.16 </v>
      </c>
      <c r="J309" s="173" t="str">
        <f>TEXT(   (SUMPRODUCT( ((Main!$H$9:$H$1000)=$E309)*((Main!$J$9:$J$1000)=$F309)*((Main!$O$9:$O$1000)=$C309)*(Main!S$9:S$1000) ) +  ( SUMPRODUCT( ((Adders!$D$13:$D$101)=$E309)*((Adders!$E$13:$E$101)=$F309)*(Adders!H$13:H$101)) + VLOOKUP($H309,Adders!$B$5:$G$8,M$11,FALSE)  +  PA!$D$2 ) * IF($D309="NJ",1.07,1))/$L$10, CHOOSE($M$10,$L$9,$M$9) )</f>
        <v xml:space="preserve"> 81.34 </v>
      </c>
      <c r="K309" s="174" t="str">
        <f>TEXT(   (SUMPRODUCT( ((Main!$H$9:$H$1000)=$E309)*((Main!$J$9:$J$1000)=$F309)*((Main!$O$9:$O$1000)=$C309)*(Main!T$9:T$1000) ) +  ( SUMPRODUCT( ((Adders!$D$13:$D$101)=$E309)*((Adders!$E$13:$E$101)=$F309)*(Adders!I$13:I$101)) + VLOOKUP($H309,Adders!$B$5:$G$8,N$11,FALSE)  +  PA!$D$2 ) * IF($D309="NJ",1.07,1))/$L$10, CHOOSE($M$10,$L$9,$M$9) )</f>
        <v xml:space="preserve"> 80.08 </v>
      </c>
      <c r="L309" s="173" t="str">
        <f>IF(AND($D$11="IL",$E309="AMEREN"),"NA",TEXT((SUMPRODUCT(((LMPMain!$H$9:$H$1000)=$E309)*((LMPMain!$J$9:$J$1000)=$F309)*((LMPMain!$O$9:$O$1000)=$C309)*(LMPMain!R$9:R$1000))+(SUMPRODUCT(((Adders!$D$13:$D$101)=$E309)*((Adders!$E$13:$E$101)=$F309)*(Adders!G$13:G$101))+VLOOKUP($H309,Adders!$B$5:$G$8,L$11,FALSE)+Matrix!$D$2)*IF($D309="NJ",1.07,1))/$L$10,CHOOSE($M$10,$L$9,$M$9)))</f>
        <v xml:space="preserve"> 51.42 </v>
      </c>
      <c r="M309" s="173" t="str">
        <f>IF(AND($D$11="IL",$E309="AMEREN"),"NA",TEXT((SUMPRODUCT(((LMPMain!$H$9:$H$1000)=$E309)*((LMPMain!$J$9:$J$1000)=$F309)*((LMPMain!$O$9:$O$1000)=$C309)*(LMPMain!S$9:S$1000))+(SUMPRODUCT(((Adders!$D$13:$D$101)=$E309)*((Adders!$E$13:$E$101)=$F309)*(Adders!H$13:H$101))+VLOOKUP($H309,Adders!$B$5:$G$8,M$11,FALSE)+Matrix!$D$2)*IF($D309="NJ",1.07,1))/$L$10,CHOOSE($M$10,$L$9,$M$9)))</f>
        <v xml:space="preserve"> 45.42 </v>
      </c>
      <c r="N309" s="174" t="str">
        <f>IF(AND($D$11="IL",$E309="AMEREN"),"NA",TEXT((SUMPRODUCT(((LMPMain!$H$9:$H$1000)=$E309)*((LMPMain!$J$9:$J$1000)=$F309)*((LMPMain!$O$9:$O$1000)=$C309)*(LMPMain!T$9:T$1000))+(SUMPRODUCT(((Adders!$D$13:$D$101)=$E309)*((Adders!$E$13:$E$101)=$F309)*(Adders!G$13:G$101))+VLOOKUP($H309,Adders!$B$5:$G$8,N$11,FALSE)+Matrix!$D$2)*IF($D309="NJ",1.07,1))/$L$10,CHOOSE($M$10,$L$9,$M$9)))</f>
        <v xml:space="preserve"> 42.92 </v>
      </c>
      <c r="O309" s="112"/>
    </row>
    <row r="310" spans="2:15" x14ac:dyDescent="0.25">
      <c r="B310" s="160" t="s">
        <v>672</v>
      </c>
      <c r="C310" s="135">
        <f t="shared" si="9"/>
        <v>42217</v>
      </c>
      <c r="D310" s="136" t="s">
        <v>6</v>
      </c>
      <c r="E310" s="137" t="s">
        <v>100</v>
      </c>
      <c r="F310" s="136" t="s">
        <v>7</v>
      </c>
      <c r="G310" s="137" t="str">
        <f t="shared" si="10"/>
        <v>General Service</v>
      </c>
      <c r="H310" s="138" t="s">
        <v>690</v>
      </c>
      <c r="I310" s="176" t="str">
        <f>TEXT(   (SUMPRODUCT( ((Main!$H$9:$H$1000)=$E310)*((Main!$J$9:$J$1000)=$F310)*((Main!$O$9:$O$1000)=$C310)*(Main!R$9:R$1000) ) +  ( SUMPRODUCT( ((Adders!$D$13:$D$101)=$E310)*((Adders!$E$13:$E$101)=$F310)*(Adders!G$13:G$101)) + VLOOKUP($H310,Adders!$B$5:$G$8,L$11,FALSE)  +  PA!$D$2 ) * IF($D310="NJ",1.07,1))/$L$10, CHOOSE($M$10,$L$9,$M$9) )</f>
        <v xml:space="preserve"> 87.11 </v>
      </c>
      <c r="J310" s="176" t="str">
        <f>TEXT(   (SUMPRODUCT( ((Main!$H$9:$H$1000)=$E310)*((Main!$J$9:$J$1000)=$F310)*((Main!$O$9:$O$1000)=$C310)*(Main!S$9:S$1000) ) +  ( SUMPRODUCT( ((Adders!$D$13:$D$101)=$E310)*((Adders!$E$13:$E$101)=$F310)*(Adders!H$13:H$101)) + VLOOKUP($H310,Adders!$B$5:$G$8,M$11,FALSE)  +  PA!$D$2 ) * IF($D310="NJ",1.07,1))/$L$10, CHOOSE($M$10,$L$9,$M$9) )</f>
        <v xml:space="preserve"> 80.29 </v>
      </c>
      <c r="K310" s="177" t="str">
        <f>TEXT(   (SUMPRODUCT( ((Main!$H$9:$H$1000)=$E310)*((Main!$J$9:$J$1000)=$F310)*((Main!$O$9:$O$1000)=$C310)*(Main!T$9:T$1000) ) +  ( SUMPRODUCT( ((Adders!$D$13:$D$101)=$E310)*((Adders!$E$13:$E$101)=$F310)*(Adders!I$13:I$101)) + VLOOKUP($H310,Adders!$B$5:$G$8,N$11,FALSE)  +  PA!$D$2 ) * IF($D310="NJ",1.07,1))/$L$10, CHOOSE($M$10,$L$9,$M$9) )</f>
        <v xml:space="preserve"> 79.03 </v>
      </c>
      <c r="L310" s="176" t="str">
        <f>IF(AND($D$11="IL",$E310="AMEREN"),"NA",TEXT((SUMPRODUCT(((LMPMain!$H$9:$H$1000)=$E310)*((LMPMain!$J$9:$J$1000)=$F310)*((LMPMain!$O$9:$O$1000)=$C310)*(LMPMain!R$9:R$1000))+(SUMPRODUCT(((Adders!$D$13:$D$101)=$E310)*((Adders!$E$13:$E$101)=$F310)*(Adders!G$13:G$101))+VLOOKUP($H310,Adders!$B$5:$G$8,L$11,FALSE)+Matrix!$D$2)*IF($D310="NJ",1.07,1))/$L$10,CHOOSE($M$10,$L$9,$M$9)))</f>
        <v xml:space="preserve"> 50.37 </v>
      </c>
      <c r="M310" s="176" t="str">
        <f>IF(AND($D$11="IL",$E310="AMEREN"),"NA",TEXT((SUMPRODUCT(((LMPMain!$H$9:$H$1000)=$E310)*((LMPMain!$J$9:$J$1000)=$F310)*((LMPMain!$O$9:$O$1000)=$C310)*(LMPMain!S$9:S$1000))+(SUMPRODUCT(((Adders!$D$13:$D$101)=$E310)*((Adders!$E$13:$E$101)=$F310)*(Adders!H$13:H$101))+VLOOKUP($H310,Adders!$B$5:$G$8,M$11,FALSE)+Matrix!$D$2)*IF($D310="NJ",1.07,1))/$L$10,CHOOSE($M$10,$L$9,$M$9)))</f>
        <v xml:space="preserve"> 44.37 </v>
      </c>
      <c r="N310" s="177" t="str">
        <f>IF(AND($D$11="IL",$E310="AMEREN"),"NA",TEXT((SUMPRODUCT(((LMPMain!$H$9:$H$1000)=$E310)*((LMPMain!$J$9:$J$1000)=$F310)*((LMPMain!$O$9:$O$1000)=$C310)*(LMPMain!T$9:T$1000))+(SUMPRODUCT(((Adders!$D$13:$D$101)=$E310)*((Adders!$E$13:$E$101)=$F310)*(Adders!G$13:G$101))+VLOOKUP($H310,Adders!$B$5:$G$8,N$11,FALSE)+Matrix!$D$2)*IF($D310="NJ",1.07,1))/$L$10,CHOOSE($M$10,$L$9,$M$9)))</f>
        <v xml:space="preserve"> 41.87 </v>
      </c>
      <c r="O310" s="112"/>
    </row>
    <row r="311" spans="2:15" x14ac:dyDescent="0.25">
      <c r="B311" s="160" t="s">
        <v>672</v>
      </c>
      <c r="C311" s="127">
        <f t="shared" si="9"/>
        <v>42248</v>
      </c>
      <c r="D311" s="128" t="s">
        <v>6</v>
      </c>
      <c r="E311" s="129" t="s">
        <v>100</v>
      </c>
      <c r="F311" s="128" t="s">
        <v>7</v>
      </c>
      <c r="G311" s="129" t="str">
        <f t="shared" si="10"/>
        <v>General Service</v>
      </c>
      <c r="H311" s="130" t="s">
        <v>61</v>
      </c>
      <c r="I311" s="178" t="str">
        <f>TEXT(   (SUMPRODUCT( ((Main!$H$9:$H$1000)=$E311)*((Main!$J$9:$J$1000)=$F311)*((Main!$O$9:$O$1000)=$C311)*(Main!R$9:R$1000) ) +  ( SUMPRODUCT( ((Adders!$D$13:$D$101)=$E311)*((Adders!$E$13:$E$101)=$F311)*(Adders!G$13:G$101)) + VLOOKUP($H311,Adders!$B$5:$G$8,L$11,FALSE)  +  PA!$D$2 ) * IF($D311="NJ",1.07,1))/$L$10, CHOOSE($M$10,$L$9,$M$9) )</f>
        <v xml:space="preserve"> 88.07 </v>
      </c>
      <c r="J311" s="178" t="str">
        <f>TEXT(   (SUMPRODUCT( ((Main!$H$9:$H$1000)=$E311)*((Main!$J$9:$J$1000)=$F311)*((Main!$O$9:$O$1000)=$C311)*(Main!S$9:S$1000) ) +  ( SUMPRODUCT( ((Adders!$D$13:$D$101)=$E311)*((Adders!$E$13:$E$101)=$F311)*(Adders!H$13:H$101)) + VLOOKUP($H311,Adders!$B$5:$G$8,M$11,FALSE)  +  PA!$D$2 ) * IF($D311="NJ",1.07,1))/$L$10, CHOOSE($M$10,$L$9,$M$9) )</f>
        <v xml:space="preserve"> 81.67 </v>
      </c>
      <c r="K311" s="179" t="str">
        <f>TEXT(   (SUMPRODUCT( ((Main!$H$9:$H$1000)=$E311)*((Main!$J$9:$J$1000)=$F311)*((Main!$O$9:$O$1000)=$C311)*(Main!T$9:T$1000) ) +  ( SUMPRODUCT( ((Adders!$D$13:$D$101)=$E311)*((Adders!$E$13:$E$101)=$F311)*(Adders!I$13:I$101)) + VLOOKUP($H311,Adders!$B$5:$G$8,N$11,FALSE)  +  PA!$D$2 ) * IF($D311="NJ",1.07,1))/$L$10, CHOOSE($M$10,$L$9,$M$9) )</f>
        <v xml:space="preserve"> 81.07 </v>
      </c>
      <c r="L311" s="178" t="str">
        <f>IF(AND($D$11="IL",$E311="AMEREN"),"NA",TEXT((SUMPRODUCT(((LMPMain!$H$9:$H$1000)=$E311)*((LMPMain!$J$9:$J$1000)=$F311)*((LMPMain!$O$9:$O$1000)=$C311)*(LMPMain!R$9:R$1000))+(SUMPRODUCT(((Adders!$D$13:$D$101)=$E311)*((Adders!$E$13:$E$101)=$F311)*(Adders!G$13:G$101))+VLOOKUP($H311,Adders!$B$5:$G$8,L$11,FALSE)+Matrix!$D$2)*IF($D311="NJ",1.07,1))/$L$10,CHOOSE($M$10,$L$9,$M$9)))</f>
        <v xml:space="preserve"> 51.19 </v>
      </c>
      <c r="M311" s="178" t="str">
        <f>IF(AND($D$11="IL",$E311="AMEREN"),"NA",TEXT((SUMPRODUCT(((LMPMain!$H$9:$H$1000)=$E311)*((LMPMain!$J$9:$J$1000)=$F311)*((LMPMain!$O$9:$O$1000)=$C311)*(LMPMain!S$9:S$1000))+(SUMPRODUCT(((Adders!$D$13:$D$101)=$E311)*((Adders!$E$13:$E$101)=$F311)*(Adders!H$13:H$101))+VLOOKUP($H311,Adders!$B$5:$G$8,M$11,FALSE)+Matrix!$D$2)*IF($D311="NJ",1.07,1))/$L$10,CHOOSE($M$10,$L$9,$M$9)))</f>
        <v xml:space="preserve"> 45.71 </v>
      </c>
      <c r="N311" s="179" t="str">
        <f>IF(AND($D$11="IL",$E311="AMEREN"),"NA",TEXT((SUMPRODUCT(((LMPMain!$H$9:$H$1000)=$E311)*((LMPMain!$J$9:$J$1000)=$F311)*((LMPMain!$O$9:$O$1000)=$C311)*(LMPMain!T$9:T$1000))+(SUMPRODUCT(((Adders!$D$13:$D$101)=$E311)*((Adders!$E$13:$E$101)=$F311)*(Adders!G$13:G$101))+VLOOKUP($H311,Adders!$B$5:$G$8,N$11,FALSE)+Matrix!$D$2)*IF($D311="NJ",1.07,1))/$L$10,CHOOSE($M$10,$L$9,$M$9)))</f>
        <v xml:space="preserve"> 43.75 </v>
      </c>
      <c r="O311" s="112"/>
    </row>
    <row r="312" spans="2:15" x14ac:dyDescent="0.25">
      <c r="B312" s="160" t="s">
        <v>672</v>
      </c>
      <c r="C312" s="131">
        <f t="shared" si="9"/>
        <v>42248</v>
      </c>
      <c r="D312" s="132" t="s">
        <v>6</v>
      </c>
      <c r="E312" s="133" t="s">
        <v>100</v>
      </c>
      <c r="F312" s="132" t="s">
        <v>7</v>
      </c>
      <c r="G312" s="133" t="str">
        <f t="shared" si="10"/>
        <v>General Service</v>
      </c>
      <c r="H312" s="134" t="s">
        <v>62</v>
      </c>
      <c r="I312" s="173" t="str">
        <f>TEXT(   (SUMPRODUCT( ((Main!$H$9:$H$1000)=$E312)*((Main!$J$9:$J$1000)=$F312)*((Main!$O$9:$O$1000)=$C312)*(Main!R$9:R$1000) ) +  ( SUMPRODUCT( ((Adders!$D$13:$D$101)=$E312)*((Adders!$E$13:$E$101)=$F312)*(Adders!G$13:G$101)) + VLOOKUP($H312,Adders!$B$5:$G$8,L$11,FALSE)  +  PA!$D$2 ) * IF($D312="NJ",1.07,1))/$L$10, CHOOSE($M$10,$L$9,$M$9) )</f>
        <v xml:space="preserve"> 86.47 </v>
      </c>
      <c r="J312" s="173" t="str">
        <f>TEXT(   (SUMPRODUCT( ((Main!$H$9:$H$1000)=$E312)*((Main!$J$9:$J$1000)=$F312)*((Main!$O$9:$O$1000)=$C312)*(Main!S$9:S$1000) ) +  ( SUMPRODUCT( ((Adders!$D$13:$D$101)=$E312)*((Adders!$E$13:$E$101)=$F312)*(Adders!H$13:H$101)) + VLOOKUP($H312,Adders!$B$5:$G$8,M$11,FALSE)  +  PA!$D$2 ) * IF($D312="NJ",1.07,1))/$L$10, CHOOSE($M$10,$L$9,$M$9) )</f>
        <v xml:space="preserve"> 80.07 </v>
      </c>
      <c r="K312" s="174" t="str">
        <f>TEXT(   (SUMPRODUCT( ((Main!$H$9:$H$1000)=$E312)*((Main!$J$9:$J$1000)=$F312)*((Main!$O$9:$O$1000)=$C312)*(Main!T$9:T$1000) ) +  ( SUMPRODUCT( ((Adders!$D$13:$D$101)=$E312)*((Adders!$E$13:$E$101)=$F312)*(Adders!I$13:I$101)) + VLOOKUP($H312,Adders!$B$5:$G$8,N$11,FALSE)  +  PA!$D$2 ) * IF($D312="NJ",1.07,1))/$L$10, CHOOSE($M$10,$L$9,$M$9) )</f>
        <v xml:space="preserve"> 79.47 </v>
      </c>
      <c r="L312" s="173" t="str">
        <f>IF(AND($D$11="IL",$E312="AMEREN"),"NA",TEXT((SUMPRODUCT(((LMPMain!$H$9:$H$1000)=$E312)*((LMPMain!$J$9:$J$1000)=$F312)*((LMPMain!$O$9:$O$1000)=$C312)*(LMPMain!R$9:R$1000))+(SUMPRODUCT(((Adders!$D$13:$D$101)=$E312)*((Adders!$E$13:$E$101)=$F312)*(Adders!G$13:G$101))+VLOOKUP($H312,Adders!$B$5:$G$8,L$11,FALSE)+Matrix!$D$2)*IF($D312="NJ",1.07,1))/$L$10,CHOOSE($M$10,$L$9,$M$9)))</f>
        <v xml:space="preserve"> 49.59 </v>
      </c>
      <c r="M312" s="173" t="str">
        <f>IF(AND($D$11="IL",$E312="AMEREN"),"NA",TEXT((SUMPRODUCT(((LMPMain!$H$9:$H$1000)=$E312)*((LMPMain!$J$9:$J$1000)=$F312)*((LMPMain!$O$9:$O$1000)=$C312)*(LMPMain!S$9:S$1000))+(SUMPRODUCT(((Adders!$D$13:$D$101)=$E312)*((Adders!$E$13:$E$101)=$F312)*(Adders!H$13:H$101))+VLOOKUP($H312,Adders!$B$5:$G$8,M$11,FALSE)+Matrix!$D$2)*IF($D312="NJ",1.07,1))/$L$10,CHOOSE($M$10,$L$9,$M$9)))</f>
        <v xml:space="preserve"> 44.11 </v>
      </c>
      <c r="N312" s="174" t="str">
        <f>IF(AND($D$11="IL",$E312="AMEREN"),"NA",TEXT((SUMPRODUCT(((LMPMain!$H$9:$H$1000)=$E312)*((LMPMain!$J$9:$J$1000)=$F312)*((LMPMain!$O$9:$O$1000)=$C312)*(LMPMain!T$9:T$1000))+(SUMPRODUCT(((Adders!$D$13:$D$101)=$E312)*((Adders!$E$13:$E$101)=$F312)*(Adders!G$13:G$101))+VLOOKUP($H312,Adders!$B$5:$G$8,N$11,FALSE)+Matrix!$D$2)*IF($D312="NJ",1.07,1))/$L$10,CHOOSE($M$10,$L$9,$M$9)))</f>
        <v xml:space="preserve"> 42.15 </v>
      </c>
      <c r="O312" s="112"/>
    </row>
    <row r="313" spans="2:15" x14ac:dyDescent="0.25">
      <c r="B313" s="160" t="s">
        <v>672</v>
      </c>
      <c r="C313" s="135">
        <f t="shared" si="9"/>
        <v>42248</v>
      </c>
      <c r="D313" s="136" t="s">
        <v>6</v>
      </c>
      <c r="E313" s="137" t="s">
        <v>100</v>
      </c>
      <c r="F313" s="136" t="s">
        <v>7</v>
      </c>
      <c r="G313" s="137" t="str">
        <f t="shared" si="10"/>
        <v>General Service</v>
      </c>
      <c r="H313" s="138" t="s">
        <v>690</v>
      </c>
      <c r="I313" s="176" t="str">
        <f>TEXT(   (SUMPRODUCT( ((Main!$H$9:$H$1000)=$E313)*((Main!$J$9:$J$1000)=$F313)*((Main!$O$9:$O$1000)=$C313)*(Main!R$9:R$1000) ) +  ( SUMPRODUCT( ((Adders!$D$13:$D$101)=$E313)*((Adders!$E$13:$E$101)=$F313)*(Adders!G$13:G$101)) + VLOOKUP($H313,Adders!$B$5:$G$8,L$11,FALSE)  +  PA!$D$2 ) * IF($D313="NJ",1.07,1))/$L$10, CHOOSE($M$10,$L$9,$M$9) )</f>
        <v xml:space="preserve"> 85.42 </v>
      </c>
      <c r="J313" s="176" t="str">
        <f>TEXT(   (SUMPRODUCT( ((Main!$H$9:$H$1000)=$E313)*((Main!$J$9:$J$1000)=$F313)*((Main!$O$9:$O$1000)=$C313)*(Main!S$9:S$1000) ) +  ( SUMPRODUCT( ((Adders!$D$13:$D$101)=$E313)*((Adders!$E$13:$E$101)=$F313)*(Adders!H$13:H$101)) + VLOOKUP($H313,Adders!$B$5:$G$8,M$11,FALSE)  +  PA!$D$2 ) * IF($D313="NJ",1.07,1))/$L$10, CHOOSE($M$10,$L$9,$M$9) )</f>
        <v xml:space="preserve"> 79.02 </v>
      </c>
      <c r="K313" s="177" t="str">
        <f>TEXT(   (SUMPRODUCT( ((Main!$H$9:$H$1000)=$E313)*((Main!$J$9:$J$1000)=$F313)*((Main!$O$9:$O$1000)=$C313)*(Main!T$9:T$1000) ) +  ( SUMPRODUCT( ((Adders!$D$13:$D$101)=$E313)*((Adders!$E$13:$E$101)=$F313)*(Adders!I$13:I$101)) + VLOOKUP($H313,Adders!$B$5:$G$8,N$11,FALSE)  +  PA!$D$2 ) * IF($D313="NJ",1.07,1))/$L$10, CHOOSE($M$10,$L$9,$M$9) )</f>
        <v xml:space="preserve"> 78.42 </v>
      </c>
      <c r="L313" s="176" t="str">
        <f>IF(AND($D$11="IL",$E313="AMEREN"),"NA",TEXT((SUMPRODUCT(((LMPMain!$H$9:$H$1000)=$E313)*((LMPMain!$J$9:$J$1000)=$F313)*((LMPMain!$O$9:$O$1000)=$C313)*(LMPMain!R$9:R$1000))+(SUMPRODUCT(((Adders!$D$13:$D$101)=$E313)*((Adders!$E$13:$E$101)=$F313)*(Adders!G$13:G$101))+VLOOKUP($H313,Adders!$B$5:$G$8,L$11,FALSE)+Matrix!$D$2)*IF($D313="NJ",1.07,1))/$L$10,CHOOSE($M$10,$L$9,$M$9)))</f>
        <v xml:space="preserve"> 48.54 </v>
      </c>
      <c r="M313" s="176" t="str">
        <f>IF(AND($D$11="IL",$E313="AMEREN"),"NA",TEXT((SUMPRODUCT(((LMPMain!$H$9:$H$1000)=$E313)*((LMPMain!$J$9:$J$1000)=$F313)*((LMPMain!$O$9:$O$1000)=$C313)*(LMPMain!S$9:S$1000))+(SUMPRODUCT(((Adders!$D$13:$D$101)=$E313)*((Adders!$E$13:$E$101)=$F313)*(Adders!H$13:H$101))+VLOOKUP($H313,Adders!$B$5:$G$8,M$11,FALSE)+Matrix!$D$2)*IF($D313="NJ",1.07,1))/$L$10,CHOOSE($M$10,$L$9,$M$9)))</f>
        <v xml:space="preserve"> 43.06 </v>
      </c>
      <c r="N313" s="177" t="str">
        <f>IF(AND($D$11="IL",$E313="AMEREN"),"NA",TEXT((SUMPRODUCT(((LMPMain!$H$9:$H$1000)=$E313)*((LMPMain!$J$9:$J$1000)=$F313)*((LMPMain!$O$9:$O$1000)=$C313)*(LMPMain!T$9:T$1000))+(SUMPRODUCT(((Adders!$D$13:$D$101)=$E313)*((Adders!$E$13:$E$101)=$F313)*(Adders!G$13:G$101))+VLOOKUP($H313,Adders!$B$5:$G$8,N$11,FALSE)+Matrix!$D$2)*IF($D313="NJ",1.07,1))/$L$10,CHOOSE($M$10,$L$9,$M$9)))</f>
        <v xml:space="preserve"> 41.10 </v>
      </c>
      <c r="O313" s="112"/>
    </row>
    <row r="314" spans="2:15" x14ac:dyDescent="0.25">
      <c r="B314" s="160" t="s">
        <v>672</v>
      </c>
      <c r="C314" s="127">
        <f t="shared" si="9"/>
        <v>42278</v>
      </c>
      <c r="D314" s="128" t="s">
        <v>6</v>
      </c>
      <c r="E314" s="129" t="s">
        <v>100</v>
      </c>
      <c r="F314" s="128" t="s">
        <v>7</v>
      </c>
      <c r="G314" s="129" t="str">
        <f t="shared" si="10"/>
        <v>General Service</v>
      </c>
      <c r="H314" s="130" t="s">
        <v>61</v>
      </c>
      <c r="I314" s="178" t="str">
        <f>TEXT(   (SUMPRODUCT( ((Main!$H$9:$H$1000)=$E314)*((Main!$J$9:$J$1000)=$F314)*((Main!$O$9:$O$1000)=$C314)*(Main!R$9:R$1000) ) +  ( SUMPRODUCT( ((Adders!$D$13:$D$101)=$E314)*((Adders!$E$13:$E$101)=$F314)*(Adders!G$13:G$101)) + VLOOKUP($H314,Adders!$B$5:$G$8,L$11,FALSE)  +  PA!$D$2 ) * IF($D314="NJ",1.07,1))/$L$10, CHOOSE($M$10,$L$9,$M$9) )</f>
        <v xml:space="preserve"> 86.31 </v>
      </c>
      <c r="J314" s="178" t="str">
        <f>TEXT(   (SUMPRODUCT( ((Main!$H$9:$H$1000)=$E314)*((Main!$J$9:$J$1000)=$F314)*((Main!$O$9:$O$1000)=$C314)*(Main!S$9:S$1000) ) +  ( SUMPRODUCT( ((Adders!$D$13:$D$101)=$E314)*((Adders!$E$13:$E$101)=$F314)*(Adders!H$13:H$101)) + VLOOKUP($H314,Adders!$B$5:$G$8,M$11,FALSE)  +  PA!$D$2 ) * IF($D314="NJ",1.07,1))/$L$10, CHOOSE($M$10,$L$9,$M$9) )</f>
        <v xml:space="preserve"> 80.86 </v>
      </c>
      <c r="K314" s="179" t="str">
        <f>TEXT(   (SUMPRODUCT( ((Main!$H$9:$H$1000)=$E314)*((Main!$J$9:$J$1000)=$F314)*((Main!$O$9:$O$1000)=$C314)*(Main!T$9:T$1000) ) +  ( SUMPRODUCT( ((Adders!$D$13:$D$101)=$E314)*((Adders!$E$13:$E$101)=$F314)*(Adders!I$13:I$101)) + VLOOKUP($H314,Adders!$B$5:$G$8,N$11,FALSE)  +  PA!$D$2 ) * IF($D314="NJ",1.07,1))/$L$10, CHOOSE($M$10,$L$9,$M$9) )</f>
        <v xml:space="preserve"> 80.35 </v>
      </c>
      <c r="L314" s="178" t="str">
        <f>IF(AND($D$11="IL",$E314="AMEREN"),"NA",TEXT((SUMPRODUCT(((LMPMain!$H$9:$H$1000)=$E314)*((LMPMain!$J$9:$J$1000)=$F314)*((LMPMain!$O$9:$O$1000)=$C314)*(LMPMain!R$9:R$1000))+(SUMPRODUCT(((Adders!$D$13:$D$101)=$E314)*((Adders!$E$13:$E$101)=$F314)*(Adders!G$13:G$101))+VLOOKUP($H314,Adders!$B$5:$G$8,L$11,FALSE)+Matrix!$D$2)*IF($D314="NJ",1.07,1))/$L$10,CHOOSE($M$10,$L$9,$M$9)))</f>
        <v xml:space="preserve"> 49.47 </v>
      </c>
      <c r="M314" s="178" t="str">
        <f>IF(AND($D$11="IL",$E314="AMEREN"),"NA",TEXT((SUMPRODUCT(((LMPMain!$H$9:$H$1000)=$E314)*((LMPMain!$J$9:$J$1000)=$F314)*((LMPMain!$O$9:$O$1000)=$C314)*(LMPMain!S$9:S$1000))+(SUMPRODUCT(((Adders!$D$13:$D$101)=$E314)*((Adders!$E$13:$E$101)=$F314)*(Adders!H$13:H$101))+VLOOKUP($H314,Adders!$B$5:$G$8,M$11,FALSE)+Matrix!$D$2)*IF($D314="NJ",1.07,1))/$L$10,CHOOSE($M$10,$L$9,$M$9)))</f>
        <v xml:space="preserve"> 44.53 </v>
      </c>
      <c r="N314" s="179" t="str">
        <f>IF(AND($D$11="IL",$E314="AMEREN"),"NA",TEXT((SUMPRODUCT(((LMPMain!$H$9:$H$1000)=$E314)*((LMPMain!$J$9:$J$1000)=$F314)*((LMPMain!$O$9:$O$1000)=$C314)*(LMPMain!T$9:T$1000))+(SUMPRODUCT(((Adders!$D$13:$D$101)=$E314)*((Adders!$E$13:$E$101)=$F314)*(Adders!G$13:G$101))+VLOOKUP($H314,Adders!$B$5:$G$8,N$11,FALSE)+Matrix!$D$2)*IF($D314="NJ",1.07,1))/$L$10,CHOOSE($M$10,$L$9,$M$9)))</f>
        <v xml:space="preserve"> 43.03 </v>
      </c>
      <c r="O314" s="112"/>
    </row>
    <row r="315" spans="2:15" x14ac:dyDescent="0.25">
      <c r="B315" s="160" t="s">
        <v>672</v>
      </c>
      <c r="C315" s="131">
        <f t="shared" si="9"/>
        <v>42278</v>
      </c>
      <c r="D315" s="132" t="s">
        <v>6</v>
      </c>
      <c r="E315" s="133" t="s">
        <v>100</v>
      </c>
      <c r="F315" s="132" t="s">
        <v>7</v>
      </c>
      <c r="G315" s="133" t="str">
        <f t="shared" si="10"/>
        <v>General Service</v>
      </c>
      <c r="H315" s="134" t="s">
        <v>62</v>
      </c>
      <c r="I315" s="173" t="str">
        <f>TEXT(   (SUMPRODUCT( ((Main!$H$9:$H$1000)=$E315)*((Main!$J$9:$J$1000)=$F315)*((Main!$O$9:$O$1000)=$C315)*(Main!R$9:R$1000) ) +  ( SUMPRODUCT( ((Adders!$D$13:$D$101)=$E315)*((Adders!$E$13:$E$101)=$F315)*(Adders!G$13:G$101)) + VLOOKUP($H315,Adders!$B$5:$G$8,L$11,FALSE)  +  PA!$D$2 ) * IF($D315="NJ",1.07,1))/$L$10, CHOOSE($M$10,$L$9,$M$9) )</f>
        <v xml:space="preserve"> 84.71 </v>
      </c>
      <c r="J315" s="173" t="str">
        <f>TEXT(   (SUMPRODUCT( ((Main!$H$9:$H$1000)=$E315)*((Main!$J$9:$J$1000)=$F315)*((Main!$O$9:$O$1000)=$C315)*(Main!S$9:S$1000) ) +  ( SUMPRODUCT( ((Adders!$D$13:$D$101)=$E315)*((Adders!$E$13:$E$101)=$F315)*(Adders!H$13:H$101)) + VLOOKUP($H315,Adders!$B$5:$G$8,M$11,FALSE)  +  PA!$D$2 ) * IF($D315="NJ",1.07,1))/$L$10, CHOOSE($M$10,$L$9,$M$9) )</f>
        <v xml:space="preserve"> 79.26 </v>
      </c>
      <c r="K315" s="174" t="str">
        <f>TEXT(   (SUMPRODUCT( ((Main!$H$9:$H$1000)=$E315)*((Main!$J$9:$J$1000)=$F315)*((Main!$O$9:$O$1000)=$C315)*(Main!T$9:T$1000) ) +  ( SUMPRODUCT( ((Adders!$D$13:$D$101)=$E315)*((Adders!$E$13:$E$101)=$F315)*(Adders!I$13:I$101)) + VLOOKUP($H315,Adders!$B$5:$G$8,N$11,FALSE)  +  PA!$D$2 ) * IF($D315="NJ",1.07,1))/$L$10, CHOOSE($M$10,$L$9,$M$9) )</f>
        <v xml:space="preserve"> 78.75 </v>
      </c>
      <c r="L315" s="173" t="str">
        <f>IF(AND($D$11="IL",$E315="AMEREN"),"NA",TEXT((SUMPRODUCT(((LMPMain!$H$9:$H$1000)=$E315)*((LMPMain!$J$9:$J$1000)=$F315)*((LMPMain!$O$9:$O$1000)=$C315)*(LMPMain!R$9:R$1000))+(SUMPRODUCT(((Adders!$D$13:$D$101)=$E315)*((Adders!$E$13:$E$101)=$F315)*(Adders!G$13:G$101))+VLOOKUP($H315,Adders!$B$5:$G$8,L$11,FALSE)+Matrix!$D$2)*IF($D315="NJ",1.07,1))/$L$10,CHOOSE($M$10,$L$9,$M$9)))</f>
        <v xml:space="preserve"> 47.87 </v>
      </c>
      <c r="M315" s="173" t="str">
        <f>IF(AND($D$11="IL",$E315="AMEREN"),"NA",TEXT((SUMPRODUCT(((LMPMain!$H$9:$H$1000)=$E315)*((LMPMain!$J$9:$J$1000)=$F315)*((LMPMain!$O$9:$O$1000)=$C315)*(LMPMain!S$9:S$1000))+(SUMPRODUCT(((Adders!$D$13:$D$101)=$E315)*((Adders!$E$13:$E$101)=$F315)*(Adders!H$13:H$101))+VLOOKUP($H315,Adders!$B$5:$G$8,M$11,FALSE)+Matrix!$D$2)*IF($D315="NJ",1.07,1))/$L$10,CHOOSE($M$10,$L$9,$M$9)))</f>
        <v xml:space="preserve"> 42.93 </v>
      </c>
      <c r="N315" s="174" t="str">
        <f>IF(AND($D$11="IL",$E315="AMEREN"),"NA",TEXT((SUMPRODUCT(((LMPMain!$H$9:$H$1000)=$E315)*((LMPMain!$J$9:$J$1000)=$F315)*((LMPMain!$O$9:$O$1000)=$C315)*(LMPMain!T$9:T$1000))+(SUMPRODUCT(((Adders!$D$13:$D$101)=$E315)*((Adders!$E$13:$E$101)=$F315)*(Adders!G$13:G$101))+VLOOKUP($H315,Adders!$B$5:$G$8,N$11,FALSE)+Matrix!$D$2)*IF($D315="NJ",1.07,1))/$L$10,CHOOSE($M$10,$L$9,$M$9)))</f>
        <v xml:space="preserve"> 41.43 </v>
      </c>
      <c r="O315" s="112"/>
    </row>
    <row r="316" spans="2:15" x14ac:dyDescent="0.25">
      <c r="B316" s="160" t="s">
        <v>672</v>
      </c>
      <c r="C316" s="135">
        <f t="shared" si="9"/>
        <v>42278</v>
      </c>
      <c r="D316" s="136" t="s">
        <v>6</v>
      </c>
      <c r="E316" s="137" t="s">
        <v>100</v>
      </c>
      <c r="F316" s="136" t="s">
        <v>7</v>
      </c>
      <c r="G316" s="137" t="str">
        <f t="shared" si="10"/>
        <v>General Service</v>
      </c>
      <c r="H316" s="138" t="s">
        <v>690</v>
      </c>
      <c r="I316" s="176" t="str">
        <f>TEXT(   (SUMPRODUCT( ((Main!$H$9:$H$1000)=$E316)*((Main!$J$9:$J$1000)=$F316)*((Main!$O$9:$O$1000)=$C316)*(Main!R$9:R$1000) ) +  ( SUMPRODUCT( ((Adders!$D$13:$D$101)=$E316)*((Adders!$E$13:$E$101)=$F316)*(Adders!G$13:G$101)) + VLOOKUP($H316,Adders!$B$5:$G$8,L$11,FALSE)  +  PA!$D$2 ) * IF($D316="NJ",1.07,1))/$L$10, CHOOSE($M$10,$L$9,$M$9) )</f>
        <v xml:space="preserve"> 83.66 </v>
      </c>
      <c r="J316" s="176" t="str">
        <f>TEXT(   (SUMPRODUCT( ((Main!$H$9:$H$1000)=$E316)*((Main!$J$9:$J$1000)=$F316)*((Main!$O$9:$O$1000)=$C316)*(Main!S$9:S$1000) ) +  ( SUMPRODUCT( ((Adders!$D$13:$D$101)=$E316)*((Adders!$E$13:$E$101)=$F316)*(Adders!H$13:H$101)) + VLOOKUP($H316,Adders!$B$5:$G$8,M$11,FALSE)  +  PA!$D$2 ) * IF($D316="NJ",1.07,1))/$L$10, CHOOSE($M$10,$L$9,$M$9) )</f>
        <v xml:space="preserve"> 78.21 </v>
      </c>
      <c r="K316" s="177" t="str">
        <f>TEXT(   (SUMPRODUCT( ((Main!$H$9:$H$1000)=$E316)*((Main!$J$9:$J$1000)=$F316)*((Main!$O$9:$O$1000)=$C316)*(Main!T$9:T$1000) ) +  ( SUMPRODUCT( ((Adders!$D$13:$D$101)=$E316)*((Adders!$E$13:$E$101)=$F316)*(Adders!I$13:I$101)) + VLOOKUP($H316,Adders!$B$5:$G$8,N$11,FALSE)  +  PA!$D$2 ) * IF($D316="NJ",1.07,1))/$L$10, CHOOSE($M$10,$L$9,$M$9) )</f>
        <v xml:space="preserve"> 77.70 </v>
      </c>
      <c r="L316" s="176" t="str">
        <f>IF(AND($D$11="IL",$E316="AMEREN"),"NA",TEXT((SUMPRODUCT(((LMPMain!$H$9:$H$1000)=$E316)*((LMPMain!$J$9:$J$1000)=$F316)*((LMPMain!$O$9:$O$1000)=$C316)*(LMPMain!R$9:R$1000))+(SUMPRODUCT(((Adders!$D$13:$D$101)=$E316)*((Adders!$E$13:$E$101)=$F316)*(Adders!G$13:G$101))+VLOOKUP($H316,Adders!$B$5:$G$8,L$11,FALSE)+Matrix!$D$2)*IF($D316="NJ",1.07,1))/$L$10,CHOOSE($M$10,$L$9,$M$9)))</f>
        <v xml:space="preserve"> 46.82 </v>
      </c>
      <c r="M316" s="176" t="str">
        <f>IF(AND($D$11="IL",$E316="AMEREN"),"NA",TEXT((SUMPRODUCT(((LMPMain!$H$9:$H$1000)=$E316)*((LMPMain!$J$9:$J$1000)=$F316)*((LMPMain!$O$9:$O$1000)=$C316)*(LMPMain!S$9:S$1000))+(SUMPRODUCT(((Adders!$D$13:$D$101)=$E316)*((Adders!$E$13:$E$101)=$F316)*(Adders!H$13:H$101))+VLOOKUP($H316,Adders!$B$5:$G$8,M$11,FALSE)+Matrix!$D$2)*IF($D316="NJ",1.07,1))/$L$10,CHOOSE($M$10,$L$9,$M$9)))</f>
        <v xml:space="preserve"> 41.88 </v>
      </c>
      <c r="N316" s="177" t="str">
        <f>IF(AND($D$11="IL",$E316="AMEREN"),"NA",TEXT((SUMPRODUCT(((LMPMain!$H$9:$H$1000)=$E316)*((LMPMain!$J$9:$J$1000)=$F316)*((LMPMain!$O$9:$O$1000)=$C316)*(LMPMain!T$9:T$1000))+(SUMPRODUCT(((Adders!$D$13:$D$101)=$E316)*((Adders!$E$13:$E$101)=$F316)*(Adders!G$13:G$101))+VLOOKUP($H316,Adders!$B$5:$G$8,N$11,FALSE)+Matrix!$D$2)*IF($D316="NJ",1.07,1))/$L$10,CHOOSE($M$10,$L$9,$M$9)))</f>
        <v xml:space="preserve"> 40.38 </v>
      </c>
      <c r="O316" s="112"/>
    </row>
    <row r="317" spans="2:15" x14ac:dyDescent="0.25">
      <c r="B317" s="160" t="s">
        <v>672</v>
      </c>
      <c r="C317" s="127">
        <f t="shared" si="9"/>
        <v>42309</v>
      </c>
      <c r="D317" s="128" t="s">
        <v>6</v>
      </c>
      <c r="E317" s="129" t="s">
        <v>100</v>
      </c>
      <c r="F317" s="128" t="s">
        <v>7</v>
      </c>
      <c r="G317" s="129" t="str">
        <f t="shared" si="10"/>
        <v>General Service</v>
      </c>
      <c r="H317" s="130" t="s">
        <v>61</v>
      </c>
      <c r="I317" s="178" t="str">
        <f>TEXT(   (SUMPRODUCT( ((Main!$H$9:$H$1000)=$E317)*((Main!$J$9:$J$1000)=$F317)*((Main!$O$9:$O$1000)=$C317)*(Main!R$9:R$1000) ) +  ( SUMPRODUCT( ((Adders!$D$13:$D$101)=$E317)*((Adders!$E$13:$E$101)=$F317)*(Adders!G$13:G$101)) + VLOOKUP($H317,Adders!$B$5:$G$8,L$11,FALSE)  +  PA!$D$2 ) * IF($D317="NJ",1.07,1))/$L$10, CHOOSE($M$10,$L$9,$M$9) )</f>
        <v xml:space="preserve"> 84.52 </v>
      </c>
      <c r="J317" s="178" t="str">
        <f>TEXT(   (SUMPRODUCT( ((Main!$H$9:$H$1000)=$E317)*((Main!$J$9:$J$1000)=$F317)*((Main!$O$9:$O$1000)=$C317)*(Main!S$9:S$1000) ) +  ( SUMPRODUCT( ((Adders!$D$13:$D$101)=$E317)*((Adders!$E$13:$E$101)=$F317)*(Adders!H$13:H$101)) + VLOOKUP($H317,Adders!$B$5:$G$8,M$11,FALSE)  +  PA!$D$2 ) * IF($D317="NJ",1.07,1))/$L$10, CHOOSE($M$10,$L$9,$M$9) )</f>
        <v xml:space="preserve"> 80.03 </v>
      </c>
      <c r="K317" s="179" t="str">
        <f>TEXT(   (SUMPRODUCT( ((Main!$H$9:$H$1000)=$E317)*((Main!$J$9:$J$1000)=$F317)*((Main!$O$9:$O$1000)=$C317)*(Main!T$9:T$1000) ) +  ( SUMPRODUCT( ((Adders!$D$13:$D$101)=$E317)*((Adders!$E$13:$E$101)=$F317)*(Adders!I$13:I$101)) + VLOOKUP($H317,Adders!$B$5:$G$8,N$11,FALSE)  +  PA!$D$2 ) * IF($D317="NJ",1.07,1))/$L$10, CHOOSE($M$10,$L$9,$M$9) )</f>
        <v xml:space="preserve"> 79.61 </v>
      </c>
      <c r="L317" s="178" t="str">
        <f>IF(AND($D$11="IL",$E317="AMEREN"),"NA",TEXT((SUMPRODUCT(((LMPMain!$H$9:$H$1000)=$E317)*((LMPMain!$J$9:$J$1000)=$F317)*((LMPMain!$O$9:$O$1000)=$C317)*(LMPMain!R$9:R$1000))+(SUMPRODUCT(((Adders!$D$13:$D$101)=$E317)*((Adders!$E$13:$E$101)=$F317)*(Adders!G$13:G$101))+VLOOKUP($H317,Adders!$B$5:$G$8,L$11,FALSE)+Matrix!$D$2)*IF($D317="NJ",1.07,1))/$L$10,CHOOSE($M$10,$L$9,$M$9)))</f>
        <v xml:space="preserve"> 47.69 </v>
      </c>
      <c r="M317" s="178" t="str">
        <f>IF(AND($D$11="IL",$E317="AMEREN"),"NA",TEXT((SUMPRODUCT(((LMPMain!$H$9:$H$1000)=$E317)*((LMPMain!$J$9:$J$1000)=$F317)*((LMPMain!$O$9:$O$1000)=$C317)*(LMPMain!S$9:S$1000))+(SUMPRODUCT(((Adders!$D$13:$D$101)=$E317)*((Adders!$E$13:$E$101)=$F317)*(Adders!H$13:H$101))+VLOOKUP($H317,Adders!$B$5:$G$8,M$11,FALSE)+Matrix!$D$2)*IF($D317="NJ",1.07,1))/$L$10,CHOOSE($M$10,$L$9,$M$9)))</f>
        <v xml:space="preserve"> 43.38 </v>
      </c>
      <c r="N317" s="179" t="str">
        <f>IF(AND($D$11="IL",$E317="AMEREN"),"NA",TEXT((SUMPRODUCT(((LMPMain!$H$9:$H$1000)=$E317)*((LMPMain!$J$9:$J$1000)=$F317)*((LMPMain!$O$9:$O$1000)=$C317)*(LMPMain!T$9:T$1000))+(SUMPRODUCT(((Adders!$D$13:$D$101)=$E317)*((Adders!$E$13:$E$101)=$F317)*(Adders!G$13:G$101))+VLOOKUP($H317,Adders!$B$5:$G$8,N$11,FALSE)+Matrix!$D$2)*IF($D317="NJ",1.07,1))/$L$10,CHOOSE($M$10,$L$9,$M$9)))</f>
        <v xml:space="preserve"> 42.28 </v>
      </c>
      <c r="O317" s="112"/>
    </row>
    <row r="318" spans="2:15" x14ac:dyDescent="0.25">
      <c r="B318" s="160" t="s">
        <v>672</v>
      </c>
      <c r="C318" s="131">
        <f t="shared" si="9"/>
        <v>42309</v>
      </c>
      <c r="D318" s="132" t="s">
        <v>6</v>
      </c>
      <c r="E318" s="133" t="s">
        <v>100</v>
      </c>
      <c r="F318" s="132" t="s">
        <v>7</v>
      </c>
      <c r="G318" s="133" t="str">
        <f t="shared" si="10"/>
        <v>General Service</v>
      </c>
      <c r="H318" s="134" t="s">
        <v>62</v>
      </c>
      <c r="I318" s="173" t="str">
        <f>TEXT(   (SUMPRODUCT( ((Main!$H$9:$H$1000)=$E318)*((Main!$J$9:$J$1000)=$F318)*((Main!$O$9:$O$1000)=$C318)*(Main!R$9:R$1000) ) +  ( SUMPRODUCT( ((Adders!$D$13:$D$101)=$E318)*((Adders!$E$13:$E$101)=$F318)*(Adders!G$13:G$101)) + VLOOKUP($H318,Adders!$B$5:$G$8,L$11,FALSE)  +  PA!$D$2 ) * IF($D318="NJ",1.07,1))/$L$10, CHOOSE($M$10,$L$9,$M$9) )</f>
        <v xml:space="preserve"> 82.92 </v>
      </c>
      <c r="J318" s="173" t="str">
        <f>TEXT(   (SUMPRODUCT( ((Main!$H$9:$H$1000)=$E318)*((Main!$J$9:$J$1000)=$F318)*((Main!$O$9:$O$1000)=$C318)*(Main!S$9:S$1000) ) +  ( SUMPRODUCT( ((Adders!$D$13:$D$101)=$E318)*((Adders!$E$13:$E$101)=$F318)*(Adders!H$13:H$101)) + VLOOKUP($H318,Adders!$B$5:$G$8,M$11,FALSE)  +  PA!$D$2 ) * IF($D318="NJ",1.07,1))/$L$10, CHOOSE($M$10,$L$9,$M$9) )</f>
        <v xml:space="preserve"> 78.43 </v>
      </c>
      <c r="K318" s="174" t="str">
        <f>TEXT(   (SUMPRODUCT( ((Main!$H$9:$H$1000)=$E318)*((Main!$J$9:$J$1000)=$F318)*((Main!$O$9:$O$1000)=$C318)*(Main!T$9:T$1000) ) +  ( SUMPRODUCT( ((Adders!$D$13:$D$101)=$E318)*((Adders!$E$13:$E$101)=$F318)*(Adders!I$13:I$101)) + VLOOKUP($H318,Adders!$B$5:$G$8,N$11,FALSE)  +  PA!$D$2 ) * IF($D318="NJ",1.07,1))/$L$10, CHOOSE($M$10,$L$9,$M$9) )</f>
        <v xml:space="preserve"> 78.01 </v>
      </c>
      <c r="L318" s="173" t="str">
        <f>IF(AND($D$11="IL",$E318="AMEREN"),"NA",TEXT((SUMPRODUCT(((LMPMain!$H$9:$H$1000)=$E318)*((LMPMain!$J$9:$J$1000)=$F318)*((LMPMain!$O$9:$O$1000)=$C318)*(LMPMain!R$9:R$1000))+(SUMPRODUCT(((Adders!$D$13:$D$101)=$E318)*((Adders!$E$13:$E$101)=$F318)*(Adders!G$13:G$101))+VLOOKUP($H318,Adders!$B$5:$G$8,L$11,FALSE)+Matrix!$D$2)*IF($D318="NJ",1.07,1))/$L$10,CHOOSE($M$10,$L$9,$M$9)))</f>
        <v xml:space="preserve"> 46.09 </v>
      </c>
      <c r="M318" s="173" t="str">
        <f>IF(AND($D$11="IL",$E318="AMEREN"),"NA",TEXT((SUMPRODUCT(((LMPMain!$H$9:$H$1000)=$E318)*((LMPMain!$J$9:$J$1000)=$F318)*((LMPMain!$O$9:$O$1000)=$C318)*(LMPMain!S$9:S$1000))+(SUMPRODUCT(((Adders!$D$13:$D$101)=$E318)*((Adders!$E$13:$E$101)=$F318)*(Adders!H$13:H$101))+VLOOKUP($H318,Adders!$B$5:$G$8,M$11,FALSE)+Matrix!$D$2)*IF($D318="NJ",1.07,1))/$L$10,CHOOSE($M$10,$L$9,$M$9)))</f>
        <v xml:space="preserve"> 41.78 </v>
      </c>
      <c r="N318" s="174" t="str">
        <f>IF(AND($D$11="IL",$E318="AMEREN"),"NA",TEXT((SUMPRODUCT(((LMPMain!$H$9:$H$1000)=$E318)*((LMPMain!$J$9:$J$1000)=$F318)*((LMPMain!$O$9:$O$1000)=$C318)*(LMPMain!T$9:T$1000))+(SUMPRODUCT(((Adders!$D$13:$D$101)=$E318)*((Adders!$E$13:$E$101)=$F318)*(Adders!G$13:G$101))+VLOOKUP($H318,Adders!$B$5:$G$8,N$11,FALSE)+Matrix!$D$2)*IF($D318="NJ",1.07,1))/$L$10,CHOOSE($M$10,$L$9,$M$9)))</f>
        <v xml:space="preserve"> 40.68 </v>
      </c>
      <c r="O318" s="112"/>
    </row>
    <row r="319" spans="2:15" x14ac:dyDescent="0.25">
      <c r="B319" s="160" t="s">
        <v>672</v>
      </c>
      <c r="C319" s="135">
        <f t="shared" si="9"/>
        <v>42309</v>
      </c>
      <c r="D319" s="136" t="s">
        <v>6</v>
      </c>
      <c r="E319" s="137" t="s">
        <v>100</v>
      </c>
      <c r="F319" s="136" t="s">
        <v>7</v>
      </c>
      <c r="G319" s="137" t="str">
        <f t="shared" si="10"/>
        <v>General Service</v>
      </c>
      <c r="H319" s="138" t="s">
        <v>690</v>
      </c>
      <c r="I319" s="176" t="str">
        <f>TEXT(   (SUMPRODUCT( ((Main!$H$9:$H$1000)=$E319)*((Main!$J$9:$J$1000)=$F319)*((Main!$O$9:$O$1000)=$C319)*(Main!R$9:R$1000) ) +  ( SUMPRODUCT( ((Adders!$D$13:$D$101)=$E319)*((Adders!$E$13:$E$101)=$F319)*(Adders!G$13:G$101)) + VLOOKUP($H319,Adders!$B$5:$G$8,L$11,FALSE)  +  PA!$D$2 ) * IF($D319="NJ",1.07,1))/$L$10, CHOOSE($M$10,$L$9,$M$9) )</f>
        <v xml:space="preserve"> 81.87 </v>
      </c>
      <c r="J319" s="176" t="str">
        <f>TEXT(   (SUMPRODUCT( ((Main!$H$9:$H$1000)=$E319)*((Main!$J$9:$J$1000)=$F319)*((Main!$O$9:$O$1000)=$C319)*(Main!S$9:S$1000) ) +  ( SUMPRODUCT( ((Adders!$D$13:$D$101)=$E319)*((Adders!$E$13:$E$101)=$F319)*(Adders!H$13:H$101)) + VLOOKUP($H319,Adders!$B$5:$G$8,M$11,FALSE)  +  PA!$D$2 ) * IF($D319="NJ",1.07,1))/$L$10, CHOOSE($M$10,$L$9,$M$9) )</f>
        <v xml:space="preserve"> 77.38 </v>
      </c>
      <c r="K319" s="177" t="str">
        <f>TEXT(   (SUMPRODUCT( ((Main!$H$9:$H$1000)=$E319)*((Main!$J$9:$J$1000)=$F319)*((Main!$O$9:$O$1000)=$C319)*(Main!T$9:T$1000) ) +  ( SUMPRODUCT( ((Adders!$D$13:$D$101)=$E319)*((Adders!$E$13:$E$101)=$F319)*(Adders!I$13:I$101)) + VLOOKUP($H319,Adders!$B$5:$G$8,N$11,FALSE)  +  PA!$D$2 ) * IF($D319="NJ",1.07,1))/$L$10, CHOOSE($M$10,$L$9,$M$9) )</f>
        <v xml:space="preserve"> 76.96 </v>
      </c>
      <c r="L319" s="176" t="str">
        <f>IF(AND($D$11="IL",$E319="AMEREN"),"NA",TEXT((SUMPRODUCT(((LMPMain!$H$9:$H$1000)=$E319)*((LMPMain!$J$9:$J$1000)=$F319)*((LMPMain!$O$9:$O$1000)=$C319)*(LMPMain!R$9:R$1000))+(SUMPRODUCT(((Adders!$D$13:$D$101)=$E319)*((Adders!$E$13:$E$101)=$F319)*(Adders!G$13:G$101))+VLOOKUP($H319,Adders!$B$5:$G$8,L$11,FALSE)+Matrix!$D$2)*IF($D319="NJ",1.07,1))/$L$10,CHOOSE($M$10,$L$9,$M$9)))</f>
        <v xml:space="preserve"> 45.04 </v>
      </c>
      <c r="M319" s="176" t="str">
        <f>IF(AND($D$11="IL",$E319="AMEREN"),"NA",TEXT((SUMPRODUCT(((LMPMain!$H$9:$H$1000)=$E319)*((LMPMain!$J$9:$J$1000)=$F319)*((LMPMain!$O$9:$O$1000)=$C319)*(LMPMain!S$9:S$1000))+(SUMPRODUCT(((Adders!$D$13:$D$101)=$E319)*((Adders!$E$13:$E$101)=$F319)*(Adders!H$13:H$101))+VLOOKUP($H319,Adders!$B$5:$G$8,M$11,FALSE)+Matrix!$D$2)*IF($D319="NJ",1.07,1))/$L$10,CHOOSE($M$10,$L$9,$M$9)))</f>
        <v xml:space="preserve"> 40.73 </v>
      </c>
      <c r="N319" s="177" t="str">
        <f>IF(AND($D$11="IL",$E319="AMEREN"),"NA",TEXT((SUMPRODUCT(((LMPMain!$H$9:$H$1000)=$E319)*((LMPMain!$J$9:$J$1000)=$F319)*((LMPMain!$O$9:$O$1000)=$C319)*(LMPMain!T$9:T$1000))+(SUMPRODUCT(((Adders!$D$13:$D$101)=$E319)*((Adders!$E$13:$E$101)=$F319)*(Adders!G$13:G$101))+VLOOKUP($H319,Adders!$B$5:$G$8,N$11,FALSE)+Matrix!$D$2)*IF($D319="NJ",1.07,1))/$L$10,CHOOSE($M$10,$L$9,$M$9)))</f>
        <v xml:space="preserve"> 39.63 </v>
      </c>
      <c r="O319" s="112"/>
    </row>
    <row r="320" spans="2:15" x14ac:dyDescent="0.25">
      <c r="B320" s="160" t="s">
        <v>672</v>
      </c>
      <c r="C320" s="127">
        <f t="shared" si="9"/>
        <v>42339</v>
      </c>
      <c r="D320" s="128" t="s">
        <v>6</v>
      </c>
      <c r="E320" s="129" t="s">
        <v>100</v>
      </c>
      <c r="F320" s="128" t="s">
        <v>7</v>
      </c>
      <c r="G320" s="129" t="str">
        <f t="shared" si="10"/>
        <v>General Service</v>
      </c>
      <c r="H320" s="130" t="s">
        <v>61</v>
      </c>
      <c r="I320" s="178" t="str">
        <f>TEXT(   (SUMPRODUCT( ((Main!$H$9:$H$1000)=$E320)*((Main!$J$9:$J$1000)=$F320)*((Main!$O$9:$O$1000)=$C320)*(Main!R$9:R$1000) ) +  ( SUMPRODUCT( ((Adders!$D$13:$D$101)=$E320)*((Adders!$E$13:$E$101)=$F320)*(Adders!G$13:G$101)) + VLOOKUP($H320,Adders!$B$5:$G$8,L$11,FALSE)  +  PA!$D$2 ) * IF($D320="NJ",1.07,1))/$L$10, CHOOSE($M$10,$L$9,$M$9) )</f>
        <v xml:space="preserve"> 82.82 </v>
      </c>
      <c r="J320" s="178" t="str">
        <f>TEXT(   (SUMPRODUCT( ((Main!$H$9:$H$1000)=$E320)*((Main!$J$9:$J$1000)=$F320)*((Main!$O$9:$O$1000)=$C320)*(Main!S$9:S$1000) ) +  ( SUMPRODUCT( ((Adders!$D$13:$D$101)=$E320)*((Adders!$E$13:$E$101)=$F320)*(Adders!H$13:H$101)) + VLOOKUP($H320,Adders!$B$5:$G$8,M$11,FALSE)  +  PA!$D$2 ) * IF($D320="NJ",1.07,1))/$L$10, CHOOSE($M$10,$L$9,$M$9) )</f>
        <v xml:space="preserve"> 79.15 </v>
      </c>
      <c r="K320" s="179" t="str">
        <f>TEXT(   (SUMPRODUCT( ((Main!$H$9:$H$1000)=$E320)*((Main!$J$9:$J$1000)=$F320)*((Main!$O$9:$O$1000)=$C320)*(Main!T$9:T$1000) ) +  ( SUMPRODUCT( ((Adders!$D$13:$D$101)=$E320)*((Adders!$E$13:$E$101)=$F320)*(Adders!I$13:I$101)) + VLOOKUP($H320,Adders!$B$5:$G$8,N$11,FALSE)  +  PA!$D$2 ) * IF($D320="NJ",1.07,1))/$L$10, CHOOSE($M$10,$L$9,$M$9) )</f>
        <v xml:space="preserve"> 78.89 </v>
      </c>
      <c r="L320" s="178" t="str">
        <f>IF(AND($D$11="IL",$E320="AMEREN"),"NA",TEXT((SUMPRODUCT(((LMPMain!$H$9:$H$1000)=$E320)*((LMPMain!$J$9:$J$1000)=$F320)*((LMPMain!$O$9:$O$1000)=$C320)*(LMPMain!R$9:R$1000))+(SUMPRODUCT(((Adders!$D$13:$D$101)=$E320)*((Adders!$E$13:$E$101)=$F320)*(Adders!G$13:G$101))+VLOOKUP($H320,Adders!$B$5:$G$8,L$11,FALSE)+Matrix!$D$2)*IF($D320="NJ",1.07,1))/$L$10,CHOOSE($M$10,$L$9,$M$9)))</f>
        <v xml:space="preserve"> 45.94 </v>
      </c>
      <c r="M320" s="178" t="str">
        <f>IF(AND($D$11="IL",$E320="AMEREN"),"NA",TEXT((SUMPRODUCT(((LMPMain!$H$9:$H$1000)=$E320)*((LMPMain!$J$9:$J$1000)=$F320)*((LMPMain!$O$9:$O$1000)=$C320)*(LMPMain!S$9:S$1000))+(SUMPRODUCT(((Adders!$D$13:$D$101)=$E320)*((Adders!$E$13:$E$101)=$F320)*(Adders!H$13:H$101))+VLOOKUP($H320,Adders!$B$5:$G$8,M$11,FALSE)+Matrix!$D$2)*IF($D320="NJ",1.07,1))/$L$10,CHOOSE($M$10,$L$9,$M$9)))</f>
        <v xml:space="preserve"> 42.26 </v>
      </c>
      <c r="N320" s="179" t="str">
        <f>IF(AND($D$11="IL",$E320="AMEREN"),"NA",TEXT((SUMPRODUCT(((LMPMain!$H$9:$H$1000)=$E320)*((LMPMain!$J$9:$J$1000)=$F320)*((LMPMain!$O$9:$O$1000)=$C320)*(LMPMain!T$9:T$1000))+(SUMPRODUCT(((Adders!$D$13:$D$101)=$E320)*((Adders!$E$13:$E$101)=$F320)*(Adders!G$13:G$101))+VLOOKUP($H320,Adders!$B$5:$G$8,N$11,FALSE)+Matrix!$D$2)*IF($D320="NJ",1.07,1))/$L$10,CHOOSE($M$10,$L$9,$M$9)))</f>
        <v xml:space="preserve"> 41.53 </v>
      </c>
      <c r="O320" s="112"/>
    </row>
    <row r="321" spans="2:15" x14ac:dyDescent="0.25">
      <c r="B321" s="160" t="s">
        <v>672</v>
      </c>
      <c r="C321" s="131">
        <f t="shared" si="9"/>
        <v>42339</v>
      </c>
      <c r="D321" s="132" t="s">
        <v>6</v>
      </c>
      <c r="E321" s="133" t="s">
        <v>100</v>
      </c>
      <c r="F321" s="132" t="s">
        <v>7</v>
      </c>
      <c r="G321" s="133" t="str">
        <f t="shared" si="10"/>
        <v>General Service</v>
      </c>
      <c r="H321" s="134" t="s">
        <v>62</v>
      </c>
      <c r="I321" s="173" t="str">
        <f>TEXT(   (SUMPRODUCT( ((Main!$H$9:$H$1000)=$E321)*((Main!$J$9:$J$1000)=$F321)*((Main!$O$9:$O$1000)=$C321)*(Main!R$9:R$1000) ) +  ( SUMPRODUCT( ((Adders!$D$13:$D$101)=$E321)*((Adders!$E$13:$E$101)=$F321)*(Adders!G$13:G$101)) + VLOOKUP($H321,Adders!$B$5:$G$8,L$11,FALSE)  +  PA!$D$2 ) * IF($D321="NJ",1.07,1))/$L$10, CHOOSE($M$10,$L$9,$M$9) )</f>
        <v xml:space="preserve"> 81.22 </v>
      </c>
      <c r="J321" s="173" t="str">
        <f>TEXT(   (SUMPRODUCT( ((Main!$H$9:$H$1000)=$E321)*((Main!$J$9:$J$1000)=$F321)*((Main!$O$9:$O$1000)=$C321)*(Main!S$9:S$1000) ) +  ( SUMPRODUCT( ((Adders!$D$13:$D$101)=$E321)*((Adders!$E$13:$E$101)=$F321)*(Adders!H$13:H$101)) + VLOOKUP($H321,Adders!$B$5:$G$8,M$11,FALSE)  +  PA!$D$2 ) * IF($D321="NJ",1.07,1))/$L$10, CHOOSE($M$10,$L$9,$M$9) )</f>
        <v xml:space="preserve"> 77.55 </v>
      </c>
      <c r="K321" s="174" t="str">
        <f>TEXT(   (SUMPRODUCT( ((Main!$H$9:$H$1000)=$E321)*((Main!$J$9:$J$1000)=$F321)*((Main!$O$9:$O$1000)=$C321)*(Main!T$9:T$1000) ) +  ( SUMPRODUCT( ((Adders!$D$13:$D$101)=$E321)*((Adders!$E$13:$E$101)=$F321)*(Adders!I$13:I$101)) + VLOOKUP($H321,Adders!$B$5:$G$8,N$11,FALSE)  +  PA!$D$2 ) * IF($D321="NJ",1.07,1))/$L$10, CHOOSE($M$10,$L$9,$M$9) )</f>
        <v xml:space="preserve"> 77.29 </v>
      </c>
      <c r="L321" s="173" t="str">
        <f>IF(AND($D$11="IL",$E321="AMEREN"),"NA",TEXT((SUMPRODUCT(((LMPMain!$H$9:$H$1000)=$E321)*((LMPMain!$J$9:$J$1000)=$F321)*((LMPMain!$O$9:$O$1000)=$C321)*(LMPMain!R$9:R$1000))+(SUMPRODUCT(((Adders!$D$13:$D$101)=$E321)*((Adders!$E$13:$E$101)=$F321)*(Adders!G$13:G$101))+VLOOKUP($H321,Adders!$B$5:$G$8,L$11,FALSE)+Matrix!$D$2)*IF($D321="NJ",1.07,1))/$L$10,CHOOSE($M$10,$L$9,$M$9)))</f>
        <v xml:space="preserve"> 44.34 </v>
      </c>
      <c r="M321" s="173" t="str">
        <f>IF(AND($D$11="IL",$E321="AMEREN"),"NA",TEXT((SUMPRODUCT(((LMPMain!$H$9:$H$1000)=$E321)*((LMPMain!$J$9:$J$1000)=$F321)*((LMPMain!$O$9:$O$1000)=$C321)*(LMPMain!S$9:S$1000))+(SUMPRODUCT(((Adders!$D$13:$D$101)=$E321)*((Adders!$E$13:$E$101)=$F321)*(Adders!H$13:H$101))+VLOOKUP($H321,Adders!$B$5:$G$8,M$11,FALSE)+Matrix!$D$2)*IF($D321="NJ",1.07,1))/$L$10,CHOOSE($M$10,$L$9,$M$9)))</f>
        <v xml:space="preserve"> 40.66 </v>
      </c>
      <c r="N321" s="174" t="str">
        <f>IF(AND($D$11="IL",$E321="AMEREN"),"NA",TEXT((SUMPRODUCT(((LMPMain!$H$9:$H$1000)=$E321)*((LMPMain!$J$9:$J$1000)=$F321)*((LMPMain!$O$9:$O$1000)=$C321)*(LMPMain!T$9:T$1000))+(SUMPRODUCT(((Adders!$D$13:$D$101)=$E321)*((Adders!$E$13:$E$101)=$F321)*(Adders!G$13:G$101))+VLOOKUP($H321,Adders!$B$5:$G$8,N$11,FALSE)+Matrix!$D$2)*IF($D321="NJ",1.07,1))/$L$10,CHOOSE($M$10,$L$9,$M$9)))</f>
        <v xml:space="preserve"> 39.93 </v>
      </c>
      <c r="O321" s="112"/>
    </row>
    <row r="322" spans="2:15" x14ac:dyDescent="0.25">
      <c r="B322" s="160" t="s">
        <v>672</v>
      </c>
      <c r="C322" s="135">
        <f t="shared" si="9"/>
        <v>42339</v>
      </c>
      <c r="D322" s="136" t="s">
        <v>6</v>
      </c>
      <c r="E322" s="137" t="s">
        <v>100</v>
      </c>
      <c r="F322" s="136" t="s">
        <v>7</v>
      </c>
      <c r="G322" s="137" t="str">
        <f t="shared" si="10"/>
        <v>General Service</v>
      </c>
      <c r="H322" s="138" t="s">
        <v>690</v>
      </c>
      <c r="I322" s="176" t="str">
        <f>TEXT(   (SUMPRODUCT( ((Main!$H$9:$H$1000)=$E322)*((Main!$J$9:$J$1000)=$F322)*((Main!$O$9:$O$1000)=$C322)*(Main!R$9:R$1000) ) +  ( SUMPRODUCT( ((Adders!$D$13:$D$101)=$E322)*((Adders!$E$13:$E$101)=$F322)*(Adders!G$13:G$101)) + VLOOKUP($H322,Adders!$B$5:$G$8,L$11,FALSE)  +  PA!$D$2 ) * IF($D322="NJ",1.07,1))/$L$10, CHOOSE($M$10,$L$9,$M$9) )</f>
        <v xml:space="preserve"> 80.17 </v>
      </c>
      <c r="J322" s="176" t="str">
        <f>TEXT(   (SUMPRODUCT( ((Main!$H$9:$H$1000)=$E322)*((Main!$J$9:$J$1000)=$F322)*((Main!$O$9:$O$1000)=$C322)*(Main!S$9:S$1000) ) +  ( SUMPRODUCT( ((Adders!$D$13:$D$101)=$E322)*((Adders!$E$13:$E$101)=$F322)*(Adders!H$13:H$101)) + VLOOKUP($H322,Adders!$B$5:$G$8,M$11,FALSE)  +  PA!$D$2 ) * IF($D322="NJ",1.07,1))/$L$10, CHOOSE($M$10,$L$9,$M$9) )</f>
        <v xml:space="preserve"> 76.50 </v>
      </c>
      <c r="K322" s="177" t="str">
        <f>TEXT(   (SUMPRODUCT( ((Main!$H$9:$H$1000)=$E322)*((Main!$J$9:$J$1000)=$F322)*((Main!$O$9:$O$1000)=$C322)*(Main!T$9:T$1000) ) +  ( SUMPRODUCT( ((Adders!$D$13:$D$101)=$E322)*((Adders!$E$13:$E$101)=$F322)*(Adders!I$13:I$101)) + VLOOKUP($H322,Adders!$B$5:$G$8,N$11,FALSE)  +  PA!$D$2 ) * IF($D322="NJ",1.07,1))/$L$10, CHOOSE($M$10,$L$9,$M$9) )</f>
        <v xml:space="preserve"> 76.24 </v>
      </c>
      <c r="L322" s="176" t="str">
        <f>IF(AND($D$11="IL",$E322="AMEREN"),"NA",TEXT((SUMPRODUCT(((LMPMain!$H$9:$H$1000)=$E322)*((LMPMain!$J$9:$J$1000)=$F322)*((LMPMain!$O$9:$O$1000)=$C322)*(LMPMain!R$9:R$1000))+(SUMPRODUCT(((Adders!$D$13:$D$101)=$E322)*((Adders!$E$13:$E$101)=$F322)*(Adders!G$13:G$101))+VLOOKUP($H322,Adders!$B$5:$G$8,L$11,FALSE)+Matrix!$D$2)*IF($D322="NJ",1.07,1))/$L$10,CHOOSE($M$10,$L$9,$M$9)))</f>
        <v xml:space="preserve"> 43.29 </v>
      </c>
      <c r="M322" s="176" t="str">
        <f>IF(AND($D$11="IL",$E322="AMEREN"),"NA",TEXT((SUMPRODUCT(((LMPMain!$H$9:$H$1000)=$E322)*((LMPMain!$J$9:$J$1000)=$F322)*((LMPMain!$O$9:$O$1000)=$C322)*(LMPMain!S$9:S$1000))+(SUMPRODUCT(((Adders!$D$13:$D$101)=$E322)*((Adders!$E$13:$E$101)=$F322)*(Adders!H$13:H$101))+VLOOKUP($H322,Adders!$B$5:$G$8,M$11,FALSE)+Matrix!$D$2)*IF($D322="NJ",1.07,1))/$L$10,CHOOSE($M$10,$L$9,$M$9)))</f>
        <v xml:space="preserve"> 39.61 </v>
      </c>
      <c r="N322" s="177" t="str">
        <f>IF(AND($D$11="IL",$E322="AMEREN"),"NA",TEXT((SUMPRODUCT(((LMPMain!$H$9:$H$1000)=$E322)*((LMPMain!$J$9:$J$1000)=$F322)*((LMPMain!$O$9:$O$1000)=$C322)*(LMPMain!T$9:T$1000))+(SUMPRODUCT(((Adders!$D$13:$D$101)=$E322)*((Adders!$E$13:$E$101)=$F322)*(Adders!G$13:G$101))+VLOOKUP($H322,Adders!$B$5:$G$8,N$11,FALSE)+Matrix!$D$2)*IF($D322="NJ",1.07,1))/$L$10,CHOOSE($M$10,$L$9,$M$9)))</f>
        <v xml:space="preserve"> 38.88 </v>
      </c>
      <c r="O322" s="112"/>
    </row>
    <row r="323" spans="2:15" x14ac:dyDescent="0.25">
      <c r="B323" s="160" t="s">
        <v>672</v>
      </c>
      <c r="C323" s="127">
        <f t="shared" si="9"/>
        <v>42370</v>
      </c>
      <c r="D323" s="128" t="s">
        <v>6</v>
      </c>
      <c r="E323" s="129" t="s">
        <v>100</v>
      </c>
      <c r="F323" s="128" t="s">
        <v>7</v>
      </c>
      <c r="G323" s="129" t="str">
        <f t="shared" si="10"/>
        <v>General Service</v>
      </c>
      <c r="H323" s="130" t="s">
        <v>61</v>
      </c>
      <c r="I323" s="178" t="str">
        <f>TEXT(   (SUMPRODUCT( ((Main!$H$9:$H$1000)=$E323)*((Main!$J$9:$J$1000)=$F323)*((Main!$O$9:$O$1000)=$C323)*(Main!R$9:R$1000) ) +  ( SUMPRODUCT( ((Adders!$D$13:$D$101)=$E323)*((Adders!$E$13:$E$101)=$F323)*(Adders!G$13:G$101)) + VLOOKUP($H323,Adders!$B$5:$G$8,L$11,FALSE)  +  PA!$D$2 ) * IF($D323="NJ",1.07,1))/$L$10, CHOOSE($M$10,$L$9,$M$9) )</f>
        <v xml:space="preserve"> 80.92 </v>
      </c>
      <c r="J323" s="178" t="str">
        <f>TEXT(   (SUMPRODUCT( ((Main!$H$9:$H$1000)=$E323)*((Main!$J$9:$J$1000)=$F323)*((Main!$O$9:$O$1000)=$C323)*(Main!S$9:S$1000) ) +  ( SUMPRODUCT( ((Adders!$D$13:$D$101)=$E323)*((Adders!$E$13:$E$101)=$F323)*(Adders!H$13:H$101)) + VLOOKUP($H323,Adders!$B$5:$G$8,M$11,FALSE)  +  PA!$D$2 ) * IF($D323="NJ",1.07,1))/$L$10, CHOOSE($M$10,$L$9,$M$9) )</f>
        <v xml:space="preserve"> 78.65 </v>
      </c>
      <c r="K323" s="179" t="str">
        <f>TEXT(   (SUMPRODUCT( ((Main!$H$9:$H$1000)=$E323)*((Main!$J$9:$J$1000)=$F323)*((Main!$O$9:$O$1000)=$C323)*(Main!T$9:T$1000) ) +  ( SUMPRODUCT( ((Adders!$D$13:$D$101)=$E323)*((Adders!$E$13:$E$101)=$F323)*(Adders!I$13:I$101)) + VLOOKUP($H323,Adders!$B$5:$G$8,N$11,FALSE)  +  PA!$D$2 ) * IF($D323="NJ",1.07,1))/$L$10, CHOOSE($M$10,$L$9,$M$9) )</f>
        <v xml:space="preserve"> 78.12 </v>
      </c>
      <c r="L323" s="178" t="str">
        <f>IF(AND($D$11="IL",$E323="AMEREN"),"NA",TEXT((SUMPRODUCT(((LMPMain!$H$9:$H$1000)=$E323)*((LMPMain!$J$9:$J$1000)=$F323)*((LMPMain!$O$9:$O$1000)=$C323)*(LMPMain!R$9:R$1000))+(SUMPRODUCT(((Adders!$D$13:$D$101)=$E323)*((Adders!$E$13:$E$101)=$F323)*(Adders!G$13:G$101))+VLOOKUP($H323,Adders!$B$5:$G$8,L$11,FALSE)+Matrix!$D$2)*IF($D323="NJ",1.07,1))/$L$10,CHOOSE($M$10,$L$9,$M$9)))</f>
        <v xml:space="preserve"> 44.15 </v>
      </c>
      <c r="M323" s="178" t="str">
        <f>IF(AND($D$11="IL",$E323="AMEREN"),"NA",TEXT((SUMPRODUCT(((LMPMain!$H$9:$H$1000)=$E323)*((LMPMain!$J$9:$J$1000)=$F323)*((LMPMain!$O$9:$O$1000)=$C323)*(LMPMain!S$9:S$1000))+(SUMPRODUCT(((Adders!$D$13:$D$101)=$E323)*((Adders!$E$13:$E$101)=$F323)*(Adders!H$13:H$101))+VLOOKUP($H323,Adders!$B$5:$G$8,M$11,FALSE)+Matrix!$D$2)*IF($D323="NJ",1.07,1))/$L$10,CHOOSE($M$10,$L$9,$M$9)))</f>
        <v xml:space="preserve"> 41.40 </v>
      </c>
      <c r="N323" s="179" t="str">
        <f>IF(AND($D$11="IL",$E323="AMEREN"),"NA",TEXT((SUMPRODUCT(((LMPMain!$H$9:$H$1000)=$E323)*((LMPMain!$J$9:$J$1000)=$F323)*((LMPMain!$O$9:$O$1000)=$C323)*(LMPMain!T$9:T$1000))+(SUMPRODUCT(((Adders!$D$13:$D$101)=$E323)*((Adders!$E$13:$E$101)=$F323)*(Adders!G$13:G$101))+VLOOKUP($H323,Adders!$B$5:$G$8,N$11,FALSE)+Matrix!$D$2)*IF($D323="NJ",1.07,1))/$L$10,CHOOSE($M$10,$L$9,$M$9)))</f>
        <v xml:space="preserve"> 40.80 </v>
      </c>
      <c r="O323" s="112"/>
    </row>
    <row r="324" spans="2:15" x14ac:dyDescent="0.25">
      <c r="B324" s="160" t="s">
        <v>672</v>
      </c>
      <c r="C324" s="131">
        <f t="shared" si="9"/>
        <v>42370</v>
      </c>
      <c r="D324" s="132" t="s">
        <v>6</v>
      </c>
      <c r="E324" s="133" t="s">
        <v>100</v>
      </c>
      <c r="F324" s="132" t="s">
        <v>7</v>
      </c>
      <c r="G324" s="133" t="str">
        <f t="shared" si="10"/>
        <v>General Service</v>
      </c>
      <c r="H324" s="134" t="s">
        <v>62</v>
      </c>
      <c r="I324" s="173" t="str">
        <f>TEXT(   (SUMPRODUCT( ((Main!$H$9:$H$1000)=$E324)*((Main!$J$9:$J$1000)=$F324)*((Main!$O$9:$O$1000)=$C324)*(Main!R$9:R$1000) ) +  ( SUMPRODUCT( ((Adders!$D$13:$D$101)=$E324)*((Adders!$E$13:$E$101)=$F324)*(Adders!G$13:G$101)) + VLOOKUP($H324,Adders!$B$5:$G$8,L$11,FALSE)  +  PA!$D$2 ) * IF($D324="NJ",1.07,1))/$L$10, CHOOSE($M$10,$L$9,$M$9) )</f>
        <v xml:space="preserve"> 79.32 </v>
      </c>
      <c r="J324" s="173" t="str">
        <f>TEXT(   (SUMPRODUCT( ((Main!$H$9:$H$1000)=$E324)*((Main!$J$9:$J$1000)=$F324)*((Main!$O$9:$O$1000)=$C324)*(Main!S$9:S$1000) ) +  ( SUMPRODUCT( ((Adders!$D$13:$D$101)=$E324)*((Adders!$E$13:$E$101)=$F324)*(Adders!H$13:H$101)) + VLOOKUP($H324,Adders!$B$5:$G$8,M$11,FALSE)  +  PA!$D$2 ) * IF($D324="NJ",1.07,1))/$L$10, CHOOSE($M$10,$L$9,$M$9) )</f>
        <v xml:space="preserve"> 77.05 </v>
      </c>
      <c r="K324" s="174" t="str">
        <f>TEXT(   (SUMPRODUCT( ((Main!$H$9:$H$1000)=$E324)*((Main!$J$9:$J$1000)=$F324)*((Main!$O$9:$O$1000)=$C324)*(Main!T$9:T$1000) ) +  ( SUMPRODUCT( ((Adders!$D$13:$D$101)=$E324)*((Adders!$E$13:$E$101)=$F324)*(Adders!I$13:I$101)) + VLOOKUP($H324,Adders!$B$5:$G$8,N$11,FALSE)  +  PA!$D$2 ) * IF($D324="NJ",1.07,1))/$L$10, CHOOSE($M$10,$L$9,$M$9) )</f>
        <v xml:space="preserve"> 76.52 </v>
      </c>
      <c r="L324" s="173" t="str">
        <f>IF(AND($D$11="IL",$E324="AMEREN"),"NA",TEXT((SUMPRODUCT(((LMPMain!$H$9:$H$1000)=$E324)*((LMPMain!$J$9:$J$1000)=$F324)*((LMPMain!$O$9:$O$1000)=$C324)*(LMPMain!R$9:R$1000))+(SUMPRODUCT(((Adders!$D$13:$D$101)=$E324)*((Adders!$E$13:$E$101)=$F324)*(Adders!G$13:G$101))+VLOOKUP($H324,Adders!$B$5:$G$8,L$11,FALSE)+Matrix!$D$2)*IF($D324="NJ",1.07,1))/$L$10,CHOOSE($M$10,$L$9,$M$9)))</f>
        <v xml:space="preserve"> 42.55 </v>
      </c>
      <c r="M324" s="173" t="str">
        <f>IF(AND($D$11="IL",$E324="AMEREN"),"NA",TEXT((SUMPRODUCT(((LMPMain!$H$9:$H$1000)=$E324)*((LMPMain!$J$9:$J$1000)=$F324)*((LMPMain!$O$9:$O$1000)=$C324)*(LMPMain!S$9:S$1000))+(SUMPRODUCT(((Adders!$D$13:$D$101)=$E324)*((Adders!$E$13:$E$101)=$F324)*(Adders!H$13:H$101))+VLOOKUP($H324,Adders!$B$5:$G$8,M$11,FALSE)+Matrix!$D$2)*IF($D324="NJ",1.07,1))/$L$10,CHOOSE($M$10,$L$9,$M$9)))</f>
        <v xml:space="preserve"> 39.80 </v>
      </c>
      <c r="N324" s="174" t="str">
        <f>IF(AND($D$11="IL",$E324="AMEREN"),"NA",TEXT((SUMPRODUCT(((LMPMain!$H$9:$H$1000)=$E324)*((LMPMain!$J$9:$J$1000)=$F324)*((LMPMain!$O$9:$O$1000)=$C324)*(LMPMain!T$9:T$1000))+(SUMPRODUCT(((Adders!$D$13:$D$101)=$E324)*((Adders!$E$13:$E$101)=$F324)*(Adders!G$13:G$101))+VLOOKUP($H324,Adders!$B$5:$G$8,N$11,FALSE)+Matrix!$D$2)*IF($D324="NJ",1.07,1))/$L$10,CHOOSE($M$10,$L$9,$M$9)))</f>
        <v xml:space="preserve"> 39.20 </v>
      </c>
      <c r="O324" s="112"/>
    </row>
    <row r="325" spans="2:15" x14ac:dyDescent="0.25">
      <c r="B325" s="160" t="s">
        <v>672</v>
      </c>
      <c r="C325" s="135">
        <f t="shared" si="9"/>
        <v>42370</v>
      </c>
      <c r="D325" s="136" t="s">
        <v>6</v>
      </c>
      <c r="E325" s="137" t="s">
        <v>100</v>
      </c>
      <c r="F325" s="136" t="s">
        <v>7</v>
      </c>
      <c r="G325" s="137" t="str">
        <f t="shared" si="10"/>
        <v>General Service</v>
      </c>
      <c r="H325" s="138" t="s">
        <v>690</v>
      </c>
      <c r="I325" s="176" t="str">
        <f>TEXT(   (SUMPRODUCT( ((Main!$H$9:$H$1000)=$E325)*((Main!$J$9:$J$1000)=$F325)*((Main!$O$9:$O$1000)=$C325)*(Main!R$9:R$1000) ) +  ( SUMPRODUCT( ((Adders!$D$13:$D$101)=$E325)*((Adders!$E$13:$E$101)=$F325)*(Adders!G$13:G$101)) + VLOOKUP($H325,Adders!$B$5:$G$8,L$11,FALSE)  +  PA!$D$2 ) * IF($D325="NJ",1.07,1))/$L$10, CHOOSE($M$10,$L$9,$M$9) )</f>
        <v xml:space="preserve"> 78.27 </v>
      </c>
      <c r="J325" s="176" t="str">
        <f>TEXT(   (SUMPRODUCT( ((Main!$H$9:$H$1000)=$E325)*((Main!$J$9:$J$1000)=$F325)*((Main!$O$9:$O$1000)=$C325)*(Main!S$9:S$1000) ) +  ( SUMPRODUCT( ((Adders!$D$13:$D$101)=$E325)*((Adders!$E$13:$E$101)=$F325)*(Adders!H$13:H$101)) + VLOOKUP($H325,Adders!$B$5:$G$8,M$11,FALSE)  +  PA!$D$2 ) * IF($D325="NJ",1.07,1))/$L$10, CHOOSE($M$10,$L$9,$M$9) )</f>
        <v xml:space="preserve"> 76.00 </v>
      </c>
      <c r="K325" s="177" t="str">
        <f>TEXT(   (SUMPRODUCT( ((Main!$H$9:$H$1000)=$E325)*((Main!$J$9:$J$1000)=$F325)*((Main!$O$9:$O$1000)=$C325)*(Main!T$9:T$1000) ) +  ( SUMPRODUCT( ((Adders!$D$13:$D$101)=$E325)*((Adders!$E$13:$E$101)=$F325)*(Adders!I$13:I$101)) + VLOOKUP($H325,Adders!$B$5:$G$8,N$11,FALSE)  +  PA!$D$2 ) * IF($D325="NJ",1.07,1))/$L$10, CHOOSE($M$10,$L$9,$M$9) )</f>
        <v xml:space="preserve"> 75.47 </v>
      </c>
      <c r="L325" s="176" t="str">
        <f>IF(AND($D$11="IL",$E325="AMEREN"),"NA",TEXT((SUMPRODUCT(((LMPMain!$H$9:$H$1000)=$E325)*((LMPMain!$J$9:$J$1000)=$F325)*((LMPMain!$O$9:$O$1000)=$C325)*(LMPMain!R$9:R$1000))+(SUMPRODUCT(((Adders!$D$13:$D$101)=$E325)*((Adders!$E$13:$E$101)=$F325)*(Adders!G$13:G$101))+VLOOKUP($H325,Adders!$B$5:$G$8,L$11,FALSE)+Matrix!$D$2)*IF($D325="NJ",1.07,1))/$L$10,CHOOSE($M$10,$L$9,$M$9)))</f>
        <v xml:space="preserve"> 41.50 </v>
      </c>
      <c r="M325" s="176" t="str">
        <f>IF(AND($D$11="IL",$E325="AMEREN"),"NA",TEXT((SUMPRODUCT(((LMPMain!$H$9:$H$1000)=$E325)*((LMPMain!$J$9:$J$1000)=$F325)*((LMPMain!$O$9:$O$1000)=$C325)*(LMPMain!S$9:S$1000))+(SUMPRODUCT(((Adders!$D$13:$D$101)=$E325)*((Adders!$E$13:$E$101)=$F325)*(Adders!H$13:H$101))+VLOOKUP($H325,Adders!$B$5:$G$8,M$11,FALSE)+Matrix!$D$2)*IF($D325="NJ",1.07,1))/$L$10,CHOOSE($M$10,$L$9,$M$9)))</f>
        <v xml:space="preserve"> 38.75 </v>
      </c>
      <c r="N325" s="177" t="str">
        <f>IF(AND($D$11="IL",$E325="AMEREN"),"NA",TEXT((SUMPRODUCT(((LMPMain!$H$9:$H$1000)=$E325)*((LMPMain!$J$9:$J$1000)=$F325)*((LMPMain!$O$9:$O$1000)=$C325)*(LMPMain!T$9:T$1000))+(SUMPRODUCT(((Adders!$D$13:$D$101)=$E325)*((Adders!$E$13:$E$101)=$F325)*(Adders!G$13:G$101))+VLOOKUP($H325,Adders!$B$5:$G$8,N$11,FALSE)+Matrix!$D$2)*IF($D325="NJ",1.07,1))/$L$10,CHOOSE($M$10,$L$9,$M$9)))</f>
        <v xml:space="preserve"> 38.15 </v>
      </c>
      <c r="O325" s="112"/>
    </row>
    <row r="326" spans="2:15" x14ac:dyDescent="0.25">
      <c r="B326" s="160" t="s">
        <v>672</v>
      </c>
      <c r="C326" s="127">
        <f t="shared" si="9"/>
        <v>42401</v>
      </c>
      <c r="D326" s="128" t="s">
        <v>6</v>
      </c>
      <c r="E326" s="129" t="s">
        <v>100</v>
      </c>
      <c r="F326" s="128" t="s">
        <v>7</v>
      </c>
      <c r="G326" s="129" t="str">
        <f t="shared" si="10"/>
        <v>General Service</v>
      </c>
      <c r="H326" s="130" t="s">
        <v>61</v>
      </c>
      <c r="I326" s="178" t="str">
        <f>TEXT(   (SUMPRODUCT( ((Main!$H$9:$H$1000)=$E326)*((Main!$J$9:$J$1000)=$F326)*((Main!$O$9:$O$1000)=$C326)*(Main!R$9:R$1000) ) +  ( SUMPRODUCT( ((Adders!$D$13:$D$101)=$E326)*((Adders!$E$13:$E$101)=$F326)*(Adders!G$13:G$101)) + VLOOKUP($H326,Adders!$B$5:$G$8,L$11,FALSE)  +  PA!$D$2 ) * IF($D326="NJ",1.07,1))/$L$10, CHOOSE($M$10,$L$9,$M$9) )</f>
        <v xml:space="preserve"> 79.39 </v>
      </c>
      <c r="J326" s="178" t="str">
        <f>TEXT(   (SUMPRODUCT( ((Main!$H$9:$H$1000)=$E326)*((Main!$J$9:$J$1000)=$F326)*((Main!$O$9:$O$1000)=$C326)*(Main!S$9:S$1000) ) +  ( SUMPRODUCT( ((Adders!$D$13:$D$101)=$E326)*((Adders!$E$13:$E$101)=$F326)*(Adders!H$13:H$101)) + VLOOKUP($H326,Adders!$B$5:$G$8,M$11,FALSE)  +  PA!$D$2 ) * IF($D326="NJ",1.07,1))/$L$10, CHOOSE($M$10,$L$9,$M$9) )</f>
        <v xml:space="preserve"> 78.88 </v>
      </c>
      <c r="K326" s="179" t="str">
        <f>TEXT(   (SUMPRODUCT( ((Main!$H$9:$H$1000)=$E326)*((Main!$J$9:$J$1000)=$F326)*((Main!$O$9:$O$1000)=$C326)*(Main!T$9:T$1000) ) +  ( SUMPRODUCT( ((Adders!$D$13:$D$101)=$E326)*((Adders!$E$13:$E$101)=$F326)*(Adders!I$13:I$101)) + VLOOKUP($H326,Adders!$B$5:$G$8,N$11,FALSE)  +  PA!$D$2 ) * IF($D326="NJ",1.07,1))/$L$10, CHOOSE($M$10,$L$9,$M$9) )</f>
        <v xml:space="preserve"> 77.56 </v>
      </c>
      <c r="L326" s="178" t="str">
        <f>IF(AND($D$11="IL",$E326="AMEREN"),"NA",TEXT((SUMPRODUCT(((LMPMain!$H$9:$H$1000)=$E326)*((LMPMain!$J$9:$J$1000)=$F326)*((LMPMain!$O$9:$O$1000)=$C326)*(LMPMain!R$9:R$1000))+(SUMPRODUCT(((Adders!$D$13:$D$101)=$E326)*((Adders!$E$13:$E$101)=$F326)*(Adders!G$13:G$101))+VLOOKUP($H326,Adders!$B$5:$G$8,L$11,FALSE)+Matrix!$D$2)*IF($D326="NJ",1.07,1))/$L$10,CHOOSE($M$10,$L$9,$M$9)))</f>
        <v xml:space="preserve"> 42.36 </v>
      </c>
      <c r="M326" s="178" t="str">
        <f>IF(AND($D$11="IL",$E326="AMEREN"),"NA",TEXT((SUMPRODUCT(((LMPMain!$H$9:$H$1000)=$E326)*((LMPMain!$J$9:$J$1000)=$F326)*((LMPMain!$O$9:$O$1000)=$C326)*(LMPMain!S$9:S$1000))+(SUMPRODUCT(((Adders!$D$13:$D$101)=$E326)*((Adders!$E$13:$E$101)=$F326)*(Adders!H$13:H$101))+VLOOKUP($H326,Adders!$B$5:$G$8,M$11,FALSE)+Matrix!$D$2)*IF($D326="NJ",1.07,1))/$L$10,CHOOSE($M$10,$L$9,$M$9)))</f>
        <v xml:space="preserve"> 40.54 </v>
      </c>
      <c r="N326" s="179" t="str">
        <f>IF(AND($D$11="IL",$E326="AMEREN"),"NA",TEXT((SUMPRODUCT(((LMPMain!$H$9:$H$1000)=$E326)*((LMPMain!$J$9:$J$1000)=$F326)*((LMPMain!$O$9:$O$1000)=$C326)*(LMPMain!T$9:T$1000))+(SUMPRODUCT(((Adders!$D$13:$D$101)=$E326)*((Adders!$E$13:$E$101)=$F326)*(Adders!G$13:G$101))+VLOOKUP($H326,Adders!$B$5:$G$8,N$11,FALSE)+Matrix!$D$2)*IF($D326="NJ",1.07,1))/$L$10,CHOOSE($M$10,$L$9,$M$9)))</f>
        <v xml:space="preserve"> 40.06 </v>
      </c>
      <c r="O326" s="112"/>
    </row>
    <row r="327" spans="2:15" x14ac:dyDescent="0.25">
      <c r="B327" s="160" t="s">
        <v>672</v>
      </c>
      <c r="C327" s="131">
        <f t="shared" si="9"/>
        <v>42401</v>
      </c>
      <c r="D327" s="132" t="s">
        <v>6</v>
      </c>
      <c r="E327" s="133" t="s">
        <v>100</v>
      </c>
      <c r="F327" s="132" t="s">
        <v>7</v>
      </c>
      <c r="G327" s="133" t="str">
        <f t="shared" si="10"/>
        <v>General Service</v>
      </c>
      <c r="H327" s="134" t="s">
        <v>62</v>
      </c>
      <c r="I327" s="173" t="str">
        <f>TEXT(   (SUMPRODUCT( ((Main!$H$9:$H$1000)=$E327)*((Main!$J$9:$J$1000)=$F327)*((Main!$O$9:$O$1000)=$C327)*(Main!R$9:R$1000) ) +  ( SUMPRODUCT( ((Adders!$D$13:$D$101)=$E327)*((Adders!$E$13:$E$101)=$F327)*(Adders!G$13:G$101)) + VLOOKUP($H327,Adders!$B$5:$G$8,L$11,FALSE)  +  PA!$D$2 ) * IF($D327="NJ",1.07,1))/$L$10, CHOOSE($M$10,$L$9,$M$9) )</f>
        <v xml:space="preserve"> 77.79 </v>
      </c>
      <c r="J327" s="173" t="str">
        <f>TEXT(   (SUMPRODUCT( ((Main!$H$9:$H$1000)=$E327)*((Main!$J$9:$J$1000)=$F327)*((Main!$O$9:$O$1000)=$C327)*(Main!S$9:S$1000) ) +  ( SUMPRODUCT( ((Adders!$D$13:$D$101)=$E327)*((Adders!$E$13:$E$101)=$F327)*(Adders!H$13:H$101)) + VLOOKUP($H327,Adders!$B$5:$G$8,M$11,FALSE)  +  PA!$D$2 ) * IF($D327="NJ",1.07,1))/$L$10, CHOOSE($M$10,$L$9,$M$9) )</f>
        <v xml:space="preserve"> 77.28 </v>
      </c>
      <c r="K327" s="174" t="str">
        <f>TEXT(   (SUMPRODUCT( ((Main!$H$9:$H$1000)=$E327)*((Main!$J$9:$J$1000)=$F327)*((Main!$O$9:$O$1000)=$C327)*(Main!T$9:T$1000) ) +  ( SUMPRODUCT( ((Adders!$D$13:$D$101)=$E327)*((Adders!$E$13:$E$101)=$F327)*(Adders!I$13:I$101)) + VLOOKUP($H327,Adders!$B$5:$G$8,N$11,FALSE)  +  PA!$D$2 ) * IF($D327="NJ",1.07,1))/$L$10, CHOOSE($M$10,$L$9,$M$9) )</f>
        <v xml:space="preserve"> 75.96 </v>
      </c>
      <c r="L327" s="173" t="str">
        <f>IF(AND($D$11="IL",$E327="AMEREN"),"NA",TEXT((SUMPRODUCT(((LMPMain!$H$9:$H$1000)=$E327)*((LMPMain!$J$9:$J$1000)=$F327)*((LMPMain!$O$9:$O$1000)=$C327)*(LMPMain!R$9:R$1000))+(SUMPRODUCT(((Adders!$D$13:$D$101)=$E327)*((Adders!$E$13:$E$101)=$F327)*(Adders!G$13:G$101))+VLOOKUP($H327,Adders!$B$5:$G$8,L$11,FALSE)+Matrix!$D$2)*IF($D327="NJ",1.07,1))/$L$10,CHOOSE($M$10,$L$9,$M$9)))</f>
        <v xml:space="preserve"> 40.76 </v>
      </c>
      <c r="M327" s="173" t="str">
        <f>IF(AND($D$11="IL",$E327="AMEREN"),"NA",TEXT((SUMPRODUCT(((LMPMain!$H$9:$H$1000)=$E327)*((LMPMain!$J$9:$J$1000)=$F327)*((LMPMain!$O$9:$O$1000)=$C327)*(LMPMain!S$9:S$1000))+(SUMPRODUCT(((Adders!$D$13:$D$101)=$E327)*((Adders!$E$13:$E$101)=$F327)*(Adders!H$13:H$101))+VLOOKUP($H327,Adders!$B$5:$G$8,M$11,FALSE)+Matrix!$D$2)*IF($D327="NJ",1.07,1))/$L$10,CHOOSE($M$10,$L$9,$M$9)))</f>
        <v xml:space="preserve"> 38.94 </v>
      </c>
      <c r="N327" s="174" t="str">
        <f>IF(AND($D$11="IL",$E327="AMEREN"),"NA",TEXT((SUMPRODUCT(((LMPMain!$H$9:$H$1000)=$E327)*((LMPMain!$J$9:$J$1000)=$F327)*((LMPMain!$O$9:$O$1000)=$C327)*(LMPMain!T$9:T$1000))+(SUMPRODUCT(((Adders!$D$13:$D$101)=$E327)*((Adders!$E$13:$E$101)=$F327)*(Adders!G$13:G$101))+VLOOKUP($H327,Adders!$B$5:$G$8,N$11,FALSE)+Matrix!$D$2)*IF($D327="NJ",1.07,1))/$L$10,CHOOSE($M$10,$L$9,$M$9)))</f>
        <v xml:space="preserve"> 38.46 </v>
      </c>
      <c r="O327" s="112"/>
    </row>
    <row r="328" spans="2:15" x14ac:dyDescent="0.25">
      <c r="B328" s="160" t="s">
        <v>672</v>
      </c>
      <c r="C328" s="135">
        <f t="shared" si="9"/>
        <v>42401</v>
      </c>
      <c r="D328" s="136" t="s">
        <v>6</v>
      </c>
      <c r="E328" s="137" t="s">
        <v>100</v>
      </c>
      <c r="F328" s="136" t="s">
        <v>7</v>
      </c>
      <c r="G328" s="137" t="str">
        <f t="shared" si="10"/>
        <v>General Service</v>
      </c>
      <c r="H328" s="138" t="s">
        <v>690</v>
      </c>
      <c r="I328" s="176" t="str">
        <f>TEXT(   (SUMPRODUCT( ((Main!$H$9:$H$1000)=$E328)*((Main!$J$9:$J$1000)=$F328)*((Main!$O$9:$O$1000)=$C328)*(Main!R$9:R$1000) ) +  ( SUMPRODUCT( ((Adders!$D$13:$D$101)=$E328)*((Adders!$E$13:$E$101)=$F328)*(Adders!G$13:G$101)) + VLOOKUP($H328,Adders!$B$5:$G$8,L$11,FALSE)  +  PA!$D$2 ) * IF($D328="NJ",1.07,1))/$L$10, CHOOSE($M$10,$L$9,$M$9) )</f>
        <v xml:space="preserve"> 76.74 </v>
      </c>
      <c r="J328" s="176" t="str">
        <f>TEXT(   (SUMPRODUCT( ((Main!$H$9:$H$1000)=$E328)*((Main!$J$9:$J$1000)=$F328)*((Main!$O$9:$O$1000)=$C328)*(Main!S$9:S$1000) ) +  ( SUMPRODUCT( ((Adders!$D$13:$D$101)=$E328)*((Adders!$E$13:$E$101)=$F328)*(Adders!H$13:H$101)) + VLOOKUP($H328,Adders!$B$5:$G$8,M$11,FALSE)  +  PA!$D$2 ) * IF($D328="NJ",1.07,1))/$L$10, CHOOSE($M$10,$L$9,$M$9) )</f>
        <v xml:space="preserve"> 76.23 </v>
      </c>
      <c r="K328" s="177" t="str">
        <f>TEXT(   (SUMPRODUCT( ((Main!$H$9:$H$1000)=$E328)*((Main!$J$9:$J$1000)=$F328)*((Main!$O$9:$O$1000)=$C328)*(Main!T$9:T$1000) ) +  ( SUMPRODUCT( ((Adders!$D$13:$D$101)=$E328)*((Adders!$E$13:$E$101)=$F328)*(Adders!I$13:I$101)) + VLOOKUP($H328,Adders!$B$5:$G$8,N$11,FALSE)  +  PA!$D$2 ) * IF($D328="NJ",1.07,1))/$L$10, CHOOSE($M$10,$L$9,$M$9) )</f>
        <v xml:space="preserve"> 74.91 </v>
      </c>
      <c r="L328" s="176" t="str">
        <f>IF(AND($D$11="IL",$E328="AMEREN"),"NA",TEXT((SUMPRODUCT(((LMPMain!$H$9:$H$1000)=$E328)*((LMPMain!$J$9:$J$1000)=$F328)*((LMPMain!$O$9:$O$1000)=$C328)*(LMPMain!R$9:R$1000))+(SUMPRODUCT(((Adders!$D$13:$D$101)=$E328)*((Adders!$E$13:$E$101)=$F328)*(Adders!G$13:G$101))+VLOOKUP($H328,Adders!$B$5:$G$8,L$11,FALSE)+Matrix!$D$2)*IF($D328="NJ",1.07,1))/$L$10,CHOOSE($M$10,$L$9,$M$9)))</f>
        <v xml:space="preserve"> 39.71 </v>
      </c>
      <c r="M328" s="176" t="str">
        <f>IF(AND($D$11="IL",$E328="AMEREN"),"NA",TEXT((SUMPRODUCT(((LMPMain!$H$9:$H$1000)=$E328)*((LMPMain!$J$9:$J$1000)=$F328)*((LMPMain!$O$9:$O$1000)=$C328)*(LMPMain!S$9:S$1000))+(SUMPRODUCT(((Adders!$D$13:$D$101)=$E328)*((Adders!$E$13:$E$101)=$F328)*(Adders!H$13:H$101))+VLOOKUP($H328,Adders!$B$5:$G$8,M$11,FALSE)+Matrix!$D$2)*IF($D328="NJ",1.07,1))/$L$10,CHOOSE($M$10,$L$9,$M$9)))</f>
        <v xml:space="preserve"> 37.89 </v>
      </c>
      <c r="N328" s="177" t="str">
        <f>IF(AND($D$11="IL",$E328="AMEREN"),"NA",TEXT((SUMPRODUCT(((LMPMain!$H$9:$H$1000)=$E328)*((LMPMain!$J$9:$J$1000)=$F328)*((LMPMain!$O$9:$O$1000)=$C328)*(LMPMain!T$9:T$1000))+(SUMPRODUCT(((Adders!$D$13:$D$101)=$E328)*((Adders!$E$13:$E$101)=$F328)*(Adders!G$13:G$101))+VLOOKUP($H328,Adders!$B$5:$G$8,N$11,FALSE)+Matrix!$D$2)*IF($D328="NJ",1.07,1))/$L$10,CHOOSE($M$10,$L$9,$M$9)))</f>
        <v xml:space="preserve"> 37.41 </v>
      </c>
      <c r="O328" s="112"/>
    </row>
    <row r="329" spans="2:15" x14ac:dyDescent="0.25">
      <c r="B329" s="160" t="s">
        <v>672</v>
      </c>
      <c r="C329" s="127">
        <f t="shared" si="9"/>
        <v>42430</v>
      </c>
      <c r="D329" s="128" t="s">
        <v>6</v>
      </c>
      <c r="E329" s="129" t="s">
        <v>100</v>
      </c>
      <c r="F329" s="128" t="s">
        <v>7</v>
      </c>
      <c r="G329" s="129" t="str">
        <f t="shared" si="10"/>
        <v>General Service</v>
      </c>
      <c r="H329" s="130" t="s">
        <v>61</v>
      </c>
      <c r="I329" s="178" t="str">
        <f>TEXT(   (SUMPRODUCT( ((Main!$H$9:$H$1000)=$E329)*((Main!$J$9:$J$1000)=$F329)*((Main!$O$9:$O$1000)=$C329)*(Main!R$9:R$1000) ) +  ( SUMPRODUCT( ((Adders!$D$13:$D$101)=$E329)*((Adders!$E$13:$E$101)=$F329)*(Adders!G$13:G$101)) + VLOOKUP($H329,Adders!$B$5:$G$8,L$11,FALSE)  +  PA!$D$2 ) * IF($D329="NJ",1.07,1))/$L$10, CHOOSE($M$10,$L$9,$M$9) )</f>
        <v xml:space="preserve"> 77.96 </v>
      </c>
      <c r="J329" s="178" t="str">
        <f>TEXT(   (SUMPRODUCT( ((Main!$H$9:$H$1000)=$E329)*((Main!$J$9:$J$1000)=$F329)*((Main!$O$9:$O$1000)=$C329)*(Main!S$9:S$1000) ) +  ( SUMPRODUCT( ((Adders!$D$13:$D$101)=$E329)*((Adders!$E$13:$E$101)=$F329)*(Adders!H$13:H$101)) + VLOOKUP($H329,Adders!$B$5:$G$8,M$11,FALSE)  +  PA!$D$2 ) * IF($D329="NJ",1.07,1))/$L$10, CHOOSE($M$10,$L$9,$M$9) )</f>
        <v xml:space="preserve"> 78.38 </v>
      </c>
      <c r="K329" s="179" t="str">
        <f>TEXT(   (SUMPRODUCT( ((Main!$H$9:$H$1000)=$E329)*((Main!$J$9:$J$1000)=$F329)*((Main!$O$9:$O$1000)=$C329)*(Main!T$9:T$1000) ) +  ( SUMPRODUCT( ((Adders!$D$13:$D$101)=$E329)*((Adders!$E$13:$E$101)=$F329)*(Adders!I$13:I$101)) + VLOOKUP($H329,Adders!$B$5:$G$8,N$11,FALSE)  +  PA!$D$2 ) * IF($D329="NJ",1.07,1))/$L$10, CHOOSE($M$10,$L$9,$M$9) )</f>
        <v xml:space="preserve"> 77.06 </v>
      </c>
      <c r="L329" s="178" t="str">
        <f>IF(AND($D$11="IL",$E329="AMEREN"),"NA",TEXT((SUMPRODUCT(((LMPMain!$H$9:$H$1000)=$E329)*((LMPMain!$J$9:$J$1000)=$F329)*((LMPMain!$O$9:$O$1000)=$C329)*(LMPMain!R$9:R$1000))+(SUMPRODUCT(((Adders!$D$13:$D$101)=$E329)*((Adders!$E$13:$E$101)=$F329)*(Adders!G$13:G$101))+VLOOKUP($H329,Adders!$B$5:$G$8,L$11,FALSE)+Matrix!$D$2)*IF($D329="NJ",1.07,1))/$L$10,CHOOSE($M$10,$L$9,$M$9)))</f>
        <v xml:space="preserve"> 40.71 </v>
      </c>
      <c r="M329" s="178" t="str">
        <f>IF(AND($D$11="IL",$E329="AMEREN"),"NA",TEXT((SUMPRODUCT(((LMPMain!$H$9:$H$1000)=$E329)*((LMPMain!$J$9:$J$1000)=$F329)*((LMPMain!$O$9:$O$1000)=$C329)*(LMPMain!S$9:S$1000))+(SUMPRODUCT(((Adders!$D$13:$D$101)=$E329)*((Adders!$E$13:$E$101)=$F329)*(Adders!H$13:H$101))+VLOOKUP($H329,Adders!$B$5:$G$8,M$11,FALSE)+Matrix!$D$2)*IF($D329="NJ",1.07,1))/$L$10,CHOOSE($M$10,$L$9,$M$9)))</f>
        <v xml:space="preserve"> 39.72 </v>
      </c>
      <c r="N329" s="179" t="str">
        <f>IF(AND($D$11="IL",$E329="AMEREN"),"NA",TEXT((SUMPRODUCT(((LMPMain!$H$9:$H$1000)=$E329)*((LMPMain!$J$9:$J$1000)=$F329)*((LMPMain!$O$9:$O$1000)=$C329)*(LMPMain!T$9:T$1000))+(SUMPRODUCT(((Adders!$D$13:$D$101)=$E329)*((Adders!$E$13:$E$101)=$F329)*(Adders!G$13:G$101))+VLOOKUP($H329,Adders!$B$5:$G$8,N$11,FALSE)+Matrix!$D$2)*IF($D329="NJ",1.07,1))/$L$10,CHOOSE($M$10,$L$9,$M$9)))</f>
        <v xml:space="preserve"> 39.38 </v>
      </c>
      <c r="O329" s="112"/>
    </row>
    <row r="330" spans="2:15" x14ac:dyDescent="0.25">
      <c r="B330" s="160" t="s">
        <v>672</v>
      </c>
      <c r="C330" s="131">
        <f t="shared" si="9"/>
        <v>42430</v>
      </c>
      <c r="D330" s="132" t="s">
        <v>6</v>
      </c>
      <c r="E330" s="133" t="s">
        <v>100</v>
      </c>
      <c r="F330" s="132" t="s">
        <v>7</v>
      </c>
      <c r="G330" s="133" t="str">
        <f t="shared" si="10"/>
        <v>General Service</v>
      </c>
      <c r="H330" s="134" t="s">
        <v>62</v>
      </c>
      <c r="I330" s="173" t="str">
        <f>TEXT(   (SUMPRODUCT( ((Main!$H$9:$H$1000)=$E330)*((Main!$J$9:$J$1000)=$F330)*((Main!$O$9:$O$1000)=$C330)*(Main!R$9:R$1000) ) +  ( SUMPRODUCT( ((Adders!$D$13:$D$101)=$E330)*((Adders!$E$13:$E$101)=$F330)*(Adders!G$13:G$101)) + VLOOKUP($H330,Adders!$B$5:$G$8,L$11,FALSE)  +  PA!$D$2 ) * IF($D330="NJ",1.07,1))/$L$10, CHOOSE($M$10,$L$9,$M$9) )</f>
        <v xml:space="preserve"> 76.36 </v>
      </c>
      <c r="J330" s="173" t="str">
        <f>TEXT(   (SUMPRODUCT( ((Main!$H$9:$H$1000)=$E330)*((Main!$J$9:$J$1000)=$F330)*((Main!$O$9:$O$1000)=$C330)*(Main!S$9:S$1000) ) +  ( SUMPRODUCT( ((Adders!$D$13:$D$101)=$E330)*((Adders!$E$13:$E$101)=$F330)*(Adders!H$13:H$101)) + VLOOKUP($H330,Adders!$B$5:$G$8,M$11,FALSE)  +  PA!$D$2 ) * IF($D330="NJ",1.07,1))/$L$10, CHOOSE($M$10,$L$9,$M$9) )</f>
        <v xml:space="preserve"> 76.78 </v>
      </c>
      <c r="K330" s="174" t="str">
        <f>TEXT(   (SUMPRODUCT( ((Main!$H$9:$H$1000)=$E330)*((Main!$J$9:$J$1000)=$F330)*((Main!$O$9:$O$1000)=$C330)*(Main!T$9:T$1000) ) +  ( SUMPRODUCT( ((Adders!$D$13:$D$101)=$E330)*((Adders!$E$13:$E$101)=$F330)*(Adders!I$13:I$101)) + VLOOKUP($H330,Adders!$B$5:$G$8,N$11,FALSE)  +  PA!$D$2 ) * IF($D330="NJ",1.07,1))/$L$10, CHOOSE($M$10,$L$9,$M$9) )</f>
        <v xml:space="preserve"> 75.46 </v>
      </c>
      <c r="L330" s="173" t="str">
        <f>IF(AND($D$11="IL",$E330="AMEREN"),"NA",TEXT((SUMPRODUCT(((LMPMain!$H$9:$H$1000)=$E330)*((LMPMain!$J$9:$J$1000)=$F330)*((LMPMain!$O$9:$O$1000)=$C330)*(LMPMain!R$9:R$1000))+(SUMPRODUCT(((Adders!$D$13:$D$101)=$E330)*((Adders!$E$13:$E$101)=$F330)*(Adders!G$13:G$101))+VLOOKUP($H330,Adders!$B$5:$G$8,L$11,FALSE)+Matrix!$D$2)*IF($D330="NJ",1.07,1))/$L$10,CHOOSE($M$10,$L$9,$M$9)))</f>
        <v xml:space="preserve"> 39.11 </v>
      </c>
      <c r="M330" s="173" t="str">
        <f>IF(AND($D$11="IL",$E330="AMEREN"),"NA",TEXT((SUMPRODUCT(((LMPMain!$H$9:$H$1000)=$E330)*((LMPMain!$J$9:$J$1000)=$F330)*((LMPMain!$O$9:$O$1000)=$C330)*(LMPMain!S$9:S$1000))+(SUMPRODUCT(((Adders!$D$13:$D$101)=$E330)*((Adders!$E$13:$E$101)=$F330)*(Adders!H$13:H$101))+VLOOKUP($H330,Adders!$B$5:$G$8,M$11,FALSE)+Matrix!$D$2)*IF($D330="NJ",1.07,1))/$L$10,CHOOSE($M$10,$L$9,$M$9)))</f>
        <v xml:space="preserve"> 38.12 </v>
      </c>
      <c r="N330" s="174" t="str">
        <f>IF(AND($D$11="IL",$E330="AMEREN"),"NA",TEXT((SUMPRODUCT(((LMPMain!$H$9:$H$1000)=$E330)*((LMPMain!$J$9:$J$1000)=$F330)*((LMPMain!$O$9:$O$1000)=$C330)*(LMPMain!T$9:T$1000))+(SUMPRODUCT(((Adders!$D$13:$D$101)=$E330)*((Adders!$E$13:$E$101)=$F330)*(Adders!G$13:G$101))+VLOOKUP($H330,Adders!$B$5:$G$8,N$11,FALSE)+Matrix!$D$2)*IF($D330="NJ",1.07,1))/$L$10,CHOOSE($M$10,$L$9,$M$9)))</f>
        <v xml:space="preserve"> 37.78 </v>
      </c>
      <c r="O330" s="112"/>
    </row>
    <row r="331" spans="2:15" x14ac:dyDescent="0.25">
      <c r="B331" s="160" t="s">
        <v>672</v>
      </c>
      <c r="C331" s="135">
        <f t="shared" si="9"/>
        <v>42430</v>
      </c>
      <c r="D331" s="136" t="s">
        <v>6</v>
      </c>
      <c r="E331" s="137" t="s">
        <v>100</v>
      </c>
      <c r="F331" s="136" t="s">
        <v>7</v>
      </c>
      <c r="G331" s="137" t="str">
        <f t="shared" si="10"/>
        <v>General Service</v>
      </c>
      <c r="H331" s="138" t="s">
        <v>690</v>
      </c>
      <c r="I331" s="176" t="str">
        <f>TEXT(   (SUMPRODUCT( ((Main!$H$9:$H$1000)=$E331)*((Main!$J$9:$J$1000)=$F331)*((Main!$O$9:$O$1000)=$C331)*(Main!R$9:R$1000) ) +  ( SUMPRODUCT( ((Adders!$D$13:$D$101)=$E331)*((Adders!$E$13:$E$101)=$F331)*(Adders!G$13:G$101)) + VLOOKUP($H331,Adders!$B$5:$G$8,L$11,FALSE)  +  PA!$D$2 ) * IF($D331="NJ",1.07,1))/$L$10, CHOOSE($M$10,$L$9,$M$9) )</f>
        <v xml:space="preserve"> 75.31 </v>
      </c>
      <c r="J331" s="176" t="str">
        <f>TEXT(   (SUMPRODUCT( ((Main!$H$9:$H$1000)=$E331)*((Main!$J$9:$J$1000)=$F331)*((Main!$O$9:$O$1000)=$C331)*(Main!S$9:S$1000) ) +  ( SUMPRODUCT( ((Adders!$D$13:$D$101)=$E331)*((Adders!$E$13:$E$101)=$F331)*(Adders!H$13:H$101)) + VLOOKUP($H331,Adders!$B$5:$G$8,M$11,FALSE)  +  PA!$D$2 ) * IF($D331="NJ",1.07,1))/$L$10, CHOOSE($M$10,$L$9,$M$9) )</f>
        <v xml:space="preserve"> 75.73 </v>
      </c>
      <c r="K331" s="177" t="str">
        <f>TEXT(   (SUMPRODUCT( ((Main!$H$9:$H$1000)=$E331)*((Main!$J$9:$J$1000)=$F331)*((Main!$O$9:$O$1000)=$C331)*(Main!T$9:T$1000) ) +  ( SUMPRODUCT( ((Adders!$D$13:$D$101)=$E331)*((Adders!$E$13:$E$101)=$F331)*(Adders!I$13:I$101)) + VLOOKUP($H331,Adders!$B$5:$G$8,N$11,FALSE)  +  PA!$D$2 ) * IF($D331="NJ",1.07,1))/$L$10, CHOOSE($M$10,$L$9,$M$9) )</f>
        <v xml:space="preserve"> 74.41 </v>
      </c>
      <c r="L331" s="176" t="str">
        <f>IF(AND($D$11="IL",$E331="AMEREN"),"NA",TEXT((SUMPRODUCT(((LMPMain!$H$9:$H$1000)=$E331)*((LMPMain!$J$9:$J$1000)=$F331)*((LMPMain!$O$9:$O$1000)=$C331)*(LMPMain!R$9:R$1000))+(SUMPRODUCT(((Adders!$D$13:$D$101)=$E331)*((Adders!$E$13:$E$101)=$F331)*(Adders!G$13:G$101))+VLOOKUP($H331,Adders!$B$5:$G$8,L$11,FALSE)+Matrix!$D$2)*IF($D331="NJ",1.07,1))/$L$10,CHOOSE($M$10,$L$9,$M$9)))</f>
        <v xml:space="preserve"> 38.06 </v>
      </c>
      <c r="M331" s="176" t="str">
        <f>IF(AND($D$11="IL",$E331="AMEREN"),"NA",TEXT((SUMPRODUCT(((LMPMain!$H$9:$H$1000)=$E331)*((LMPMain!$J$9:$J$1000)=$F331)*((LMPMain!$O$9:$O$1000)=$C331)*(LMPMain!S$9:S$1000))+(SUMPRODUCT(((Adders!$D$13:$D$101)=$E331)*((Adders!$E$13:$E$101)=$F331)*(Adders!H$13:H$101))+VLOOKUP($H331,Adders!$B$5:$G$8,M$11,FALSE)+Matrix!$D$2)*IF($D331="NJ",1.07,1))/$L$10,CHOOSE($M$10,$L$9,$M$9)))</f>
        <v xml:space="preserve"> 37.07 </v>
      </c>
      <c r="N331" s="177" t="str">
        <f>IF(AND($D$11="IL",$E331="AMEREN"),"NA",TEXT((SUMPRODUCT(((LMPMain!$H$9:$H$1000)=$E331)*((LMPMain!$J$9:$J$1000)=$F331)*((LMPMain!$O$9:$O$1000)=$C331)*(LMPMain!T$9:T$1000))+(SUMPRODUCT(((Adders!$D$13:$D$101)=$E331)*((Adders!$E$13:$E$101)=$F331)*(Adders!G$13:G$101))+VLOOKUP($H331,Adders!$B$5:$G$8,N$11,FALSE)+Matrix!$D$2)*IF($D331="NJ",1.07,1))/$L$10,CHOOSE($M$10,$L$9,$M$9)))</f>
        <v xml:space="preserve"> 36.73 </v>
      </c>
      <c r="O331" s="112"/>
    </row>
    <row r="332" spans="2:15" x14ac:dyDescent="0.25">
      <c r="B332" s="160" t="s">
        <v>672</v>
      </c>
      <c r="C332" s="127">
        <f t="shared" si="9"/>
        <v>42461</v>
      </c>
      <c r="D332" s="128" t="s">
        <v>6</v>
      </c>
      <c r="E332" s="129" t="s">
        <v>100</v>
      </c>
      <c r="F332" s="128" t="s">
        <v>7</v>
      </c>
      <c r="G332" s="129" t="str">
        <f t="shared" si="10"/>
        <v>General Service</v>
      </c>
      <c r="H332" s="130" t="s">
        <v>61</v>
      </c>
      <c r="I332" s="178" t="str">
        <f>TEXT(   (SUMPRODUCT( ((Main!$H$9:$H$1000)=$E332)*((Main!$J$9:$J$1000)=$F332)*((Main!$O$9:$O$1000)=$C332)*(Main!R$9:R$1000) ) +  ( SUMPRODUCT( ((Adders!$D$13:$D$101)=$E332)*((Adders!$E$13:$E$101)=$F332)*(Adders!G$13:G$101)) + VLOOKUP($H332,Adders!$B$5:$G$8,L$11,FALSE)  +  PA!$D$2 ) * IF($D332="NJ",1.07,1))/$L$10, CHOOSE($M$10,$L$9,$M$9) )</f>
        <v xml:space="preserve"> 76.29 </v>
      </c>
      <c r="J332" s="178" t="str">
        <f>TEXT(   (SUMPRODUCT( ((Main!$H$9:$H$1000)=$E332)*((Main!$J$9:$J$1000)=$F332)*((Main!$O$9:$O$1000)=$C332)*(Main!S$9:S$1000) ) +  ( SUMPRODUCT( ((Adders!$D$13:$D$101)=$E332)*((Adders!$E$13:$E$101)=$F332)*(Adders!H$13:H$101)) + VLOOKUP($H332,Adders!$B$5:$G$8,M$11,FALSE)  +  PA!$D$2 ) * IF($D332="NJ",1.07,1))/$L$10, CHOOSE($M$10,$L$9,$M$9) )</f>
        <v xml:space="preserve"> 77.08 </v>
      </c>
      <c r="K332" s="179" t="str">
        <f>TEXT(   (SUMPRODUCT( ((Main!$H$9:$H$1000)=$E332)*((Main!$J$9:$J$1000)=$F332)*((Main!$O$9:$O$1000)=$C332)*(Main!T$9:T$1000) ) +  ( SUMPRODUCT( ((Adders!$D$13:$D$101)=$E332)*((Adders!$E$13:$E$101)=$F332)*(Adders!I$13:I$101)) + VLOOKUP($H332,Adders!$B$5:$G$8,N$11,FALSE)  +  PA!$D$2 ) * IF($D332="NJ",1.07,1))/$L$10, CHOOSE($M$10,$L$9,$M$9) )</f>
        <v xml:space="preserve"> 76.32 </v>
      </c>
      <c r="L332" s="178" t="str">
        <f>IF(AND($D$11="IL",$E332="AMEREN"),"NA",TEXT((SUMPRODUCT(((LMPMain!$H$9:$H$1000)=$E332)*((LMPMain!$J$9:$J$1000)=$F332)*((LMPMain!$O$9:$O$1000)=$C332)*(LMPMain!R$9:R$1000))+(SUMPRODUCT(((Adders!$D$13:$D$101)=$E332)*((Adders!$E$13:$E$101)=$F332)*(Adders!G$13:G$101))+VLOOKUP($H332,Adders!$B$5:$G$8,L$11,FALSE)+Matrix!$D$2)*IF($D332="NJ",1.07,1))/$L$10,CHOOSE($M$10,$L$9,$M$9)))</f>
        <v xml:space="preserve"> 38.95 </v>
      </c>
      <c r="M332" s="178" t="str">
        <f>IF(AND($D$11="IL",$E332="AMEREN"),"NA",TEXT((SUMPRODUCT(((LMPMain!$H$9:$H$1000)=$E332)*((LMPMain!$J$9:$J$1000)=$F332)*((LMPMain!$O$9:$O$1000)=$C332)*(LMPMain!S$9:S$1000))+(SUMPRODUCT(((Adders!$D$13:$D$101)=$E332)*((Adders!$E$13:$E$101)=$F332)*(Adders!H$13:H$101))+VLOOKUP($H332,Adders!$B$5:$G$8,M$11,FALSE)+Matrix!$D$2)*IF($D332="NJ",1.07,1))/$L$10,CHOOSE($M$10,$L$9,$M$9)))</f>
        <v xml:space="preserve"> 38.75 </v>
      </c>
      <c r="N332" s="179" t="str">
        <f>IF(AND($D$11="IL",$E332="AMEREN"),"NA",TEXT((SUMPRODUCT(((LMPMain!$H$9:$H$1000)=$E332)*((LMPMain!$J$9:$J$1000)=$F332)*((LMPMain!$O$9:$O$1000)=$C332)*(LMPMain!T$9:T$1000))+(SUMPRODUCT(((Adders!$D$13:$D$101)=$E332)*((Adders!$E$13:$E$101)=$F332)*(Adders!G$13:G$101))+VLOOKUP($H332,Adders!$B$5:$G$8,N$11,FALSE)+Matrix!$D$2)*IF($D332="NJ",1.07,1))/$L$10,CHOOSE($M$10,$L$9,$M$9)))</f>
        <v xml:space="preserve"> 38.65 </v>
      </c>
      <c r="O332" s="112"/>
    </row>
    <row r="333" spans="2:15" x14ac:dyDescent="0.25">
      <c r="B333" s="160" t="s">
        <v>672</v>
      </c>
      <c r="C333" s="131">
        <f t="shared" si="9"/>
        <v>42461</v>
      </c>
      <c r="D333" s="132" t="s">
        <v>6</v>
      </c>
      <c r="E333" s="133" t="s">
        <v>100</v>
      </c>
      <c r="F333" s="132" t="s">
        <v>7</v>
      </c>
      <c r="G333" s="133" t="str">
        <f t="shared" si="10"/>
        <v>General Service</v>
      </c>
      <c r="H333" s="134" t="s">
        <v>62</v>
      </c>
      <c r="I333" s="173" t="str">
        <f>TEXT(   (SUMPRODUCT( ((Main!$H$9:$H$1000)=$E333)*((Main!$J$9:$J$1000)=$F333)*((Main!$O$9:$O$1000)=$C333)*(Main!R$9:R$1000) ) +  ( SUMPRODUCT( ((Adders!$D$13:$D$101)=$E333)*((Adders!$E$13:$E$101)=$F333)*(Adders!G$13:G$101)) + VLOOKUP($H333,Adders!$B$5:$G$8,L$11,FALSE)  +  PA!$D$2 ) * IF($D333="NJ",1.07,1))/$L$10, CHOOSE($M$10,$L$9,$M$9) )</f>
        <v xml:space="preserve"> 74.69 </v>
      </c>
      <c r="J333" s="173" t="str">
        <f>TEXT(   (SUMPRODUCT( ((Main!$H$9:$H$1000)=$E333)*((Main!$J$9:$J$1000)=$F333)*((Main!$O$9:$O$1000)=$C333)*(Main!S$9:S$1000) ) +  ( SUMPRODUCT( ((Adders!$D$13:$D$101)=$E333)*((Adders!$E$13:$E$101)=$F333)*(Adders!H$13:H$101)) + VLOOKUP($H333,Adders!$B$5:$G$8,M$11,FALSE)  +  PA!$D$2 ) * IF($D333="NJ",1.07,1))/$L$10, CHOOSE($M$10,$L$9,$M$9) )</f>
        <v xml:space="preserve"> 75.48 </v>
      </c>
      <c r="K333" s="174" t="str">
        <f>TEXT(   (SUMPRODUCT( ((Main!$H$9:$H$1000)=$E333)*((Main!$J$9:$J$1000)=$F333)*((Main!$O$9:$O$1000)=$C333)*(Main!T$9:T$1000) ) +  ( SUMPRODUCT( ((Adders!$D$13:$D$101)=$E333)*((Adders!$E$13:$E$101)=$F333)*(Adders!I$13:I$101)) + VLOOKUP($H333,Adders!$B$5:$G$8,N$11,FALSE)  +  PA!$D$2 ) * IF($D333="NJ",1.07,1))/$L$10, CHOOSE($M$10,$L$9,$M$9) )</f>
        <v xml:space="preserve"> 74.72 </v>
      </c>
      <c r="L333" s="173" t="str">
        <f>IF(AND($D$11="IL",$E333="AMEREN"),"NA",TEXT((SUMPRODUCT(((LMPMain!$H$9:$H$1000)=$E333)*((LMPMain!$J$9:$J$1000)=$F333)*((LMPMain!$O$9:$O$1000)=$C333)*(LMPMain!R$9:R$1000))+(SUMPRODUCT(((Adders!$D$13:$D$101)=$E333)*((Adders!$E$13:$E$101)=$F333)*(Adders!G$13:G$101))+VLOOKUP($H333,Adders!$B$5:$G$8,L$11,FALSE)+Matrix!$D$2)*IF($D333="NJ",1.07,1))/$L$10,CHOOSE($M$10,$L$9,$M$9)))</f>
        <v xml:space="preserve"> 37.35 </v>
      </c>
      <c r="M333" s="173" t="str">
        <f>IF(AND($D$11="IL",$E333="AMEREN"),"NA",TEXT((SUMPRODUCT(((LMPMain!$H$9:$H$1000)=$E333)*((LMPMain!$J$9:$J$1000)=$F333)*((LMPMain!$O$9:$O$1000)=$C333)*(LMPMain!S$9:S$1000))+(SUMPRODUCT(((Adders!$D$13:$D$101)=$E333)*((Adders!$E$13:$E$101)=$F333)*(Adders!H$13:H$101))+VLOOKUP($H333,Adders!$B$5:$G$8,M$11,FALSE)+Matrix!$D$2)*IF($D333="NJ",1.07,1))/$L$10,CHOOSE($M$10,$L$9,$M$9)))</f>
        <v xml:space="preserve"> 37.15 </v>
      </c>
      <c r="N333" s="174" t="str">
        <f>IF(AND($D$11="IL",$E333="AMEREN"),"NA",TEXT((SUMPRODUCT(((LMPMain!$H$9:$H$1000)=$E333)*((LMPMain!$J$9:$J$1000)=$F333)*((LMPMain!$O$9:$O$1000)=$C333)*(LMPMain!T$9:T$1000))+(SUMPRODUCT(((Adders!$D$13:$D$101)=$E333)*((Adders!$E$13:$E$101)=$F333)*(Adders!G$13:G$101))+VLOOKUP($H333,Adders!$B$5:$G$8,N$11,FALSE)+Matrix!$D$2)*IF($D333="NJ",1.07,1))/$L$10,CHOOSE($M$10,$L$9,$M$9)))</f>
        <v xml:space="preserve"> 37.05 </v>
      </c>
      <c r="O333" s="112"/>
    </row>
    <row r="334" spans="2:15" x14ac:dyDescent="0.25">
      <c r="B334" s="160" t="s">
        <v>672</v>
      </c>
      <c r="C334" s="135">
        <f t="shared" si="9"/>
        <v>42461</v>
      </c>
      <c r="D334" s="136" t="s">
        <v>6</v>
      </c>
      <c r="E334" s="137" t="s">
        <v>100</v>
      </c>
      <c r="F334" s="136" t="s">
        <v>7</v>
      </c>
      <c r="G334" s="137" t="str">
        <f t="shared" si="10"/>
        <v>General Service</v>
      </c>
      <c r="H334" s="138" t="s">
        <v>690</v>
      </c>
      <c r="I334" s="176" t="str">
        <f>TEXT(   (SUMPRODUCT( ((Main!$H$9:$H$1000)=$E334)*((Main!$J$9:$J$1000)=$F334)*((Main!$O$9:$O$1000)=$C334)*(Main!R$9:R$1000) ) +  ( SUMPRODUCT( ((Adders!$D$13:$D$101)=$E334)*((Adders!$E$13:$E$101)=$F334)*(Adders!G$13:G$101)) + VLOOKUP($H334,Adders!$B$5:$G$8,L$11,FALSE)  +  PA!$D$2 ) * IF($D334="NJ",1.07,1))/$L$10, CHOOSE($M$10,$L$9,$M$9) )</f>
        <v xml:space="preserve"> 73.64 </v>
      </c>
      <c r="J334" s="176" t="str">
        <f>TEXT(   (SUMPRODUCT( ((Main!$H$9:$H$1000)=$E334)*((Main!$J$9:$J$1000)=$F334)*((Main!$O$9:$O$1000)=$C334)*(Main!S$9:S$1000) ) +  ( SUMPRODUCT( ((Adders!$D$13:$D$101)=$E334)*((Adders!$E$13:$E$101)=$F334)*(Adders!H$13:H$101)) + VLOOKUP($H334,Adders!$B$5:$G$8,M$11,FALSE)  +  PA!$D$2 ) * IF($D334="NJ",1.07,1))/$L$10, CHOOSE($M$10,$L$9,$M$9) )</f>
        <v xml:space="preserve"> 74.43 </v>
      </c>
      <c r="K334" s="177" t="str">
        <f>TEXT(   (SUMPRODUCT( ((Main!$H$9:$H$1000)=$E334)*((Main!$J$9:$J$1000)=$F334)*((Main!$O$9:$O$1000)=$C334)*(Main!T$9:T$1000) ) +  ( SUMPRODUCT( ((Adders!$D$13:$D$101)=$E334)*((Adders!$E$13:$E$101)=$F334)*(Adders!I$13:I$101)) + VLOOKUP($H334,Adders!$B$5:$G$8,N$11,FALSE)  +  PA!$D$2 ) * IF($D334="NJ",1.07,1))/$L$10, CHOOSE($M$10,$L$9,$M$9) )</f>
        <v xml:space="preserve"> 73.67 </v>
      </c>
      <c r="L334" s="176" t="str">
        <f>IF(AND($D$11="IL",$E334="AMEREN"),"NA",TEXT((SUMPRODUCT(((LMPMain!$H$9:$H$1000)=$E334)*((LMPMain!$J$9:$J$1000)=$F334)*((LMPMain!$O$9:$O$1000)=$C334)*(LMPMain!R$9:R$1000))+(SUMPRODUCT(((Adders!$D$13:$D$101)=$E334)*((Adders!$E$13:$E$101)=$F334)*(Adders!G$13:G$101))+VLOOKUP($H334,Adders!$B$5:$G$8,L$11,FALSE)+Matrix!$D$2)*IF($D334="NJ",1.07,1))/$L$10,CHOOSE($M$10,$L$9,$M$9)))</f>
        <v xml:space="preserve"> 36.30 </v>
      </c>
      <c r="M334" s="176" t="str">
        <f>IF(AND($D$11="IL",$E334="AMEREN"),"NA",TEXT((SUMPRODUCT(((LMPMain!$H$9:$H$1000)=$E334)*((LMPMain!$J$9:$J$1000)=$F334)*((LMPMain!$O$9:$O$1000)=$C334)*(LMPMain!S$9:S$1000))+(SUMPRODUCT(((Adders!$D$13:$D$101)=$E334)*((Adders!$E$13:$E$101)=$F334)*(Adders!H$13:H$101))+VLOOKUP($H334,Adders!$B$5:$G$8,M$11,FALSE)+Matrix!$D$2)*IF($D334="NJ",1.07,1))/$L$10,CHOOSE($M$10,$L$9,$M$9)))</f>
        <v xml:space="preserve"> 36.10 </v>
      </c>
      <c r="N334" s="177" t="str">
        <f>IF(AND($D$11="IL",$E334="AMEREN"),"NA",TEXT((SUMPRODUCT(((LMPMain!$H$9:$H$1000)=$E334)*((LMPMain!$J$9:$J$1000)=$F334)*((LMPMain!$O$9:$O$1000)=$C334)*(LMPMain!T$9:T$1000))+(SUMPRODUCT(((Adders!$D$13:$D$101)=$E334)*((Adders!$E$13:$E$101)=$F334)*(Adders!G$13:G$101))+VLOOKUP($H334,Adders!$B$5:$G$8,N$11,FALSE)+Matrix!$D$2)*IF($D334="NJ",1.07,1))/$L$10,CHOOSE($M$10,$L$9,$M$9)))</f>
        <v xml:space="preserve"> 36.00 </v>
      </c>
      <c r="O334" s="112"/>
    </row>
    <row r="335" spans="2:15" x14ac:dyDescent="0.25">
      <c r="B335" s="160" t="s">
        <v>672</v>
      </c>
      <c r="C335" s="127">
        <f t="shared" si="9"/>
        <v>42491</v>
      </c>
      <c r="D335" s="128" t="s">
        <v>6</v>
      </c>
      <c r="E335" s="129" t="s">
        <v>100</v>
      </c>
      <c r="F335" s="128" t="s">
        <v>7</v>
      </c>
      <c r="G335" s="129" t="str">
        <f t="shared" si="10"/>
        <v>General Service</v>
      </c>
      <c r="H335" s="130" t="s">
        <v>61</v>
      </c>
      <c r="I335" s="178" t="str">
        <f>TEXT(   (SUMPRODUCT( ((Main!$H$9:$H$1000)=$E335)*((Main!$J$9:$J$1000)=$F335)*((Main!$O$9:$O$1000)=$C335)*(Main!R$9:R$1000) ) +  ( SUMPRODUCT( ((Adders!$D$13:$D$101)=$E335)*((Adders!$E$13:$E$101)=$F335)*(Adders!G$13:G$101)) + VLOOKUP($H335,Adders!$B$5:$G$8,L$11,FALSE)  +  PA!$D$2 ) * IF($D335="NJ",1.07,1))/$L$10, CHOOSE($M$10,$L$9,$M$9) )</f>
        <v xml:space="preserve"> 74.58 </v>
      </c>
      <c r="J335" s="178" t="str">
        <f>TEXT(   (SUMPRODUCT( ((Main!$H$9:$H$1000)=$E335)*((Main!$J$9:$J$1000)=$F335)*((Main!$O$9:$O$1000)=$C335)*(Main!S$9:S$1000) ) +  ( SUMPRODUCT( ((Adders!$D$13:$D$101)=$E335)*((Adders!$E$13:$E$101)=$F335)*(Adders!H$13:H$101)) + VLOOKUP($H335,Adders!$B$5:$G$8,M$11,FALSE)  +  PA!$D$2 ) * IF($D335="NJ",1.07,1))/$L$10, CHOOSE($M$10,$L$9,$M$9) )</f>
        <v xml:space="preserve"> 75.80 </v>
      </c>
      <c r="K335" s="179" t="str">
        <f>TEXT(   (SUMPRODUCT( ((Main!$H$9:$H$1000)=$E335)*((Main!$J$9:$J$1000)=$F335)*((Main!$O$9:$O$1000)=$C335)*(Main!T$9:T$1000) ) +  ( SUMPRODUCT( ((Adders!$D$13:$D$101)=$E335)*((Adders!$E$13:$E$101)=$F335)*(Adders!I$13:I$101)) + VLOOKUP($H335,Adders!$B$5:$G$8,N$11,FALSE)  +  PA!$D$2 ) * IF($D335="NJ",1.07,1))/$L$10, CHOOSE($M$10,$L$9,$M$9) )</f>
        <v xml:space="preserve"> 75.63 </v>
      </c>
      <c r="L335" s="178" t="str">
        <f>IF(AND($D$11="IL",$E335="AMEREN"),"NA",TEXT((SUMPRODUCT(((LMPMain!$H$9:$H$1000)=$E335)*((LMPMain!$J$9:$J$1000)=$F335)*((LMPMain!$O$9:$O$1000)=$C335)*(LMPMain!R$9:R$1000))+(SUMPRODUCT(((Adders!$D$13:$D$101)=$E335)*((Adders!$E$13:$E$101)=$F335)*(Adders!G$13:G$101))+VLOOKUP($H335,Adders!$B$5:$G$8,L$11,FALSE)+Matrix!$D$2)*IF($D335="NJ",1.07,1))/$L$10,CHOOSE($M$10,$L$9,$M$9)))</f>
        <v xml:space="preserve"> 37.23 </v>
      </c>
      <c r="M335" s="178" t="str">
        <f>IF(AND($D$11="IL",$E335="AMEREN"),"NA",TEXT((SUMPRODUCT(((LMPMain!$H$9:$H$1000)=$E335)*((LMPMain!$J$9:$J$1000)=$F335)*((LMPMain!$O$9:$O$1000)=$C335)*(LMPMain!S$9:S$1000))+(SUMPRODUCT(((Adders!$D$13:$D$101)=$E335)*((Adders!$E$13:$E$101)=$F335)*(Adders!H$13:H$101))+VLOOKUP($H335,Adders!$B$5:$G$8,M$11,FALSE)+Matrix!$D$2)*IF($D335="NJ",1.07,1))/$L$10,CHOOSE($M$10,$L$9,$M$9)))</f>
        <v xml:space="preserve"> 37.77 </v>
      </c>
      <c r="N335" s="179" t="str">
        <f>IF(AND($D$11="IL",$E335="AMEREN"),"NA",TEXT((SUMPRODUCT(((LMPMain!$H$9:$H$1000)=$E335)*((LMPMain!$J$9:$J$1000)=$F335)*((LMPMain!$O$9:$O$1000)=$C335)*(LMPMain!T$9:T$1000))+(SUMPRODUCT(((Adders!$D$13:$D$101)=$E335)*((Adders!$E$13:$E$101)=$F335)*(Adders!G$13:G$101))+VLOOKUP($H335,Adders!$B$5:$G$8,N$11,FALSE)+Matrix!$D$2)*IF($D335="NJ",1.07,1))/$L$10,CHOOSE($M$10,$L$9,$M$9)))</f>
        <v xml:space="preserve"> 37.93 </v>
      </c>
      <c r="O335" s="112"/>
    </row>
    <row r="336" spans="2:15" x14ac:dyDescent="0.25">
      <c r="B336" s="160" t="s">
        <v>672</v>
      </c>
      <c r="C336" s="131">
        <f t="shared" si="9"/>
        <v>42491</v>
      </c>
      <c r="D336" s="132" t="s">
        <v>6</v>
      </c>
      <c r="E336" s="133" t="s">
        <v>100</v>
      </c>
      <c r="F336" s="132" t="s">
        <v>7</v>
      </c>
      <c r="G336" s="133" t="str">
        <f t="shared" si="10"/>
        <v>General Service</v>
      </c>
      <c r="H336" s="134" t="s">
        <v>62</v>
      </c>
      <c r="I336" s="173" t="str">
        <f>TEXT(   (SUMPRODUCT( ((Main!$H$9:$H$1000)=$E336)*((Main!$J$9:$J$1000)=$F336)*((Main!$O$9:$O$1000)=$C336)*(Main!R$9:R$1000) ) +  ( SUMPRODUCT( ((Adders!$D$13:$D$101)=$E336)*((Adders!$E$13:$E$101)=$F336)*(Adders!G$13:G$101)) + VLOOKUP($H336,Adders!$B$5:$G$8,L$11,FALSE)  +  PA!$D$2 ) * IF($D336="NJ",1.07,1))/$L$10, CHOOSE($M$10,$L$9,$M$9) )</f>
        <v xml:space="preserve"> 72.98 </v>
      </c>
      <c r="J336" s="173" t="str">
        <f>TEXT(   (SUMPRODUCT( ((Main!$H$9:$H$1000)=$E336)*((Main!$J$9:$J$1000)=$F336)*((Main!$O$9:$O$1000)=$C336)*(Main!S$9:S$1000) ) +  ( SUMPRODUCT( ((Adders!$D$13:$D$101)=$E336)*((Adders!$E$13:$E$101)=$F336)*(Adders!H$13:H$101)) + VLOOKUP($H336,Adders!$B$5:$G$8,M$11,FALSE)  +  PA!$D$2 ) * IF($D336="NJ",1.07,1))/$L$10, CHOOSE($M$10,$L$9,$M$9) )</f>
        <v xml:space="preserve"> 74.20 </v>
      </c>
      <c r="K336" s="174" t="str">
        <f>TEXT(   (SUMPRODUCT( ((Main!$H$9:$H$1000)=$E336)*((Main!$J$9:$J$1000)=$F336)*((Main!$O$9:$O$1000)=$C336)*(Main!T$9:T$1000) ) +  ( SUMPRODUCT( ((Adders!$D$13:$D$101)=$E336)*((Adders!$E$13:$E$101)=$F336)*(Adders!I$13:I$101)) + VLOOKUP($H336,Adders!$B$5:$G$8,N$11,FALSE)  +  PA!$D$2 ) * IF($D336="NJ",1.07,1))/$L$10, CHOOSE($M$10,$L$9,$M$9) )</f>
        <v xml:space="preserve"> 74.03 </v>
      </c>
      <c r="L336" s="173" t="str">
        <f>IF(AND($D$11="IL",$E336="AMEREN"),"NA",TEXT((SUMPRODUCT(((LMPMain!$H$9:$H$1000)=$E336)*((LMPMain!$J$9:$J$1000)=$F336)*((LMPMain!$O$9:$O$1000)=$C336)*(LMPMain!R$9:R$1000))+(SUMPRODUCT(((Adders!$D$13:$D$101)=$E336)*((Adders!$E$13:$E$101)=$F336)*(Adders!G$13:G$101))+VLOOKUP($H336,Adders!$B$5:$G$8,L$11,FALSE)+Matrix!$D$2)*IF($D336="NJ",1.07,1))/$L$10,CHOOSE($M$10,$L$9,$M$9)))</f>
        <v xml:space="preserve"> 35.63 </v>
      </c>
      <c r="M336" s="173" t="str">
        <f>IF(AND($D$11="IL",$E336="AMEREN"),"NA",TEXT((SUMPRODUCT(((LMPMain!$H$9:$H$1000)=$E336)*((LMPMain!$J$9:$J$1000)=$F336)*((LMPMain!$O$9:$O$1000)=$C336)*(LMPMain!S$9:S$1000))+(SUMPRODUCT(((Adders!$D$13:$D$101)=$E336)*((Adders!$E$13:$E$101)=$F336)*(Adders!H$13:H$101))+VLOOKUP($H336,Adders!$B$5:$G$8,M$11,FALSE)+Matrix!$D$2)*IF($D336="NJ",1.07,1))/$L$10,CHOOSE($M$10,$L$9,$M$9)))</f>
        <v xml:space="preserve"> 36.17 </v>
      </c>
      <c r="N336" s="174" t="str">
        <f>IF(AND($D$11="IL",$E336="AMEREN"),"NA",TEXT((SUMPRODUCT(((LMPMain!$H$9:$H$1000)=$E336)*((LMPMain!$J$9:$J$1000)=$F336)*((LMPMain!$O$9:$O$1000)=$C336)*(LMPMain!T$9:T$1000))+(SUMPRODUCT(((Adders!$D$13:$D$101)=$E336)*((Adders!$E$13:$E$101)=$F336)*(Adders!G$13:G$101))+VLOOKUP($H336,Adders!$B$5:$G$8,N$11,FALSE)+Matrix!$D$2)*IF($D336="NJ",1.07,1))/$L$10,CHOOSE($M$10,$L$9,$M$9)))</f>
        <v xml:space="preserve"> 36.33 </v>
      </c>
      <c r="O336" s="112"/>
    </row>
    <row r="337" spans="2:15" x14ac:dyDescent="0.25">
      <c r="B337" s="160" t="s">
        <v>672</v>
      </c>
      <c r="C337" s="135">
        <f t="shared" si="9"/>
        <v>42491</v>
      </c>
      <c r="D337" s="136" t="s">
        <v>6</v>
      </c>
      <c r="E337" s="137" t="s">
        <v>100</v>
      </c>
      <c r="F337" s="136" t="s">
        <v>7</v>
      </c>
      <c r="G337" s="137" t="str">
        <f t="shared" si="10"/>
        <v>General Service</v>
      </c>
      <c r="H337" s="138" t="s">
        <v>690</v>
      </c>
      <c r="I337" s="176" t="str">
        <f>TEXT(   (SUMPRODUCT( ((Main!$H$9:$H$1000)=$E337)*((Main!$J$9:$J$1000)=$F337)*((Main!$O$9:$O$1000)=$C337)*(Main!R$9:R$1000) ) +  ( SUMPRODUCT( ((Adders!$D$13:$D$101)=$E337)*((Adders!$E$13:$E$101)=$F337)*(Adders!G$13:G$101)) + VLOOKUP($H337,Adders!$B$5:$G$8,L$11,FALSE)  +  PA!$D$2 ) * IF($D337="NJ",1.07,1))/$L$10, CHOOSE($M$10,$L$9,$M$9) )</f>
        <v xml:space="preserve"> 71.93 </v>
      </c>
      <c r="J337" s="176" t="str">
        <f>TEXT(   (SUMPRODUCT( ((Main!$H$9:$H$1000)=$E337)*((Main!$J$9:$J$1000)=$F337)*((Main!$O$9:$O$1000)=$C337)*(Main!S$9:S$1000) ) +  ( SUMPRODUCT( ((Adders!$D$13:$D$101)=$E337)*((Adders!$E$13:$E$101)=$F337)*(Adders!H$13:H$101)) + VLOOKUP($H337,Adders!$B$5:$G$8,M$11,FALSE)  +  PA!$D$2 ) * IF($D337="NJ",1.07,1))/$L$10, CHOOSE($M$10,$L$9,$M$9) )</f>
        <v xml:space="preserve"> 73.15 </v>
      </c>
      <c r="K337" s="177" t="str">
        <f>TEXT(   (SUMPRODUCT( ((Main!$H$9:$H$1000)=$E337)*((Main!$J$9:$J$1000)=$F337)*((Main!$O$9:$O$1000)=$C337)*(Main!T$9:T$1000) ) +  ( SUMPRODUCT( ((Adders!$D$13:$D$101)=$E337)*((Adders!$E$13:$E$101)=$F337)*(Adders!I$13:I$101)) + VLOOKUP($H337,Adders!$B$5:$G$8,N$11,FALSE)  +  PA!$D$2 ) * IF($D337="NJ",1.07,1))/$L$10, CHOOSE($M$10,$L$9,$M$9) )</f>
        <v xml:space="preserve"> 72.98 </v>
      </c>
      <c r="L337" s="176" t="str">
        <f>IF(AND($D$11="IL",$E337="AMEREN"),"NA",TEXT((SUMPRODUCT(((LMPMain!$H$9:$H$1000)=$E337)*((LMPMain!$J$9:$J$1000)=$F337)*((LMPMain!$O$9:$O$1000)=$C337)*(LMPMain!R$9:R$1000))+(SUMPRODUCT(((Adders!$D$13:$D$101)=$E337)*((Adders!$E$13:$E$101)=$F337)*(Adders!G$13:G$101))+VLOOKUP($H337,Adders!$B$5:$G$8,L$11,FALSE)+Matrix!$D$2)*IF($D337="NJ",1.07,1))/$L$10,CHOOSE($M$10,$L$9,$M$9)))</f>
        <v xml:space="preserve"> 34.58 </v>
      </c>
      <c r="M337" s="176" t="str">
        <f>IF(AND($D$11="IL",$E337="AMEREN"),"NA",TEXT((SUMPRODUCT(((LMPMain!$H$9:$H$1000)=$E337)*((LMPMain!$J$9:$J$1000)=$F337)*((LMPMain!$O$9:$O$1000)=$C337)*(LMPMain!S$9:S$1000))+(SUMPRODUCT(((Adders!$D$13:$D$101)=$E337)*((Adders!$E$13:$E$101)=$F337)*(Adders!H$13:H$101))+VLOOKUP($H337,Adders!$B$5:$G$8,M$11,FALSE)+Matrix!$D$2)*IF($D337="NJ",1.07,1))/$L$10,CHOOSE($M$10,$L$9,$M$9)))</f>
        <v xml:space="preserve"> 35.12 </v>
      </c>
      <c r="N337" s="177" t="str">
        <f>IF(AND($D$11="IL",$E337="AMEREN"),"NA",TEXT((SUMPRODUCT(((LMPMain!$H$9:$H$1000)=$E337)*((LMPMain!$J$9:$J$1000)=$F337)*((LMPMain!$O$9:$O$1000)=$C337)*(LMPMain!T$9:T$1000))+(SUMPRODUCT(((Adders!$D$13:$D$101)=$E337)*((Adders!$E$13:$E$101)=$F337)*(Adders!G$13:G$101))+VLOOKUP($H337,Adders!$B$5:$G$8,N$11,FALSE)+Matrix!$D$2)*IF($D337="NJ",1.07,1))/$L$10,CHOOSE($M$10,$L$9,$M$9)))</f>
        <v xml:space="preserve"> 35.28 </v>
      </c>
      <c r="O337" s="112"/>
    </row>
    <row r="338" spans="2:15" x14ac:dyDescent="0.25">
      <c r="B338" s="160" t="s">
        <v>673</v>
      </c>
      <c r="C338" s="127">
        <f t="shared" si="9"/>
        <v>42156</v>
      </c>
      <c r="D338" s="128" t="s">
        <v>6</v>
      </c>
      <c r="E338" s="129" t="s">
        <v>14</v>
      </c>
      <c r="F338" s="128" t="s">
        <v>15</v>
      </c>
      <c r="G338" s="129" t="str">
        <f>VLOOKUP(SUMPRODUCT( ((LMPMain!$H$9:$H$1000)=$E338)*((LMPMain!$J$9:$J$1000)=$F338)*((LMPMain!$O$9:$O$1000)=$C338)*(LMPMain!A$9:A$1000)),LMPMain!$A$9:$K$1000,11,FALSE)</f>
        <v>General Service Small</v>
      </c>
      <c r="H338" s="130" t="s">
        <v>61</v>
      </c>
      <c r="I338" s="178" t="str">
        <f>TEXT(   (SUMPRODUCT( ((Main!$H$9:$H$1000)=$E338)*((Main!$J$9:$J$1000)=$F338)*((Main!$O$9:$O$1000)=$C338)*(Main!R$9:R$1000) ) +  ( SUMPRODUCT( ((Adders!$D$13:$D$101)=$E338)*((Adders!$E$13:$E$101)=$F338)*(Adders!G$13:G$101)) + VLOOKUP($H338,Adders!$B$5:$G$8,L$11,FALSE)  +  PA!$D$2 ) * IF($D338="NJ",1.07,1))/$L$10, CHOOSE($M$10,$L$9,$M$9) )</f>
        <v xml:space="preserve"> 84.70 </v>
      </c>
      <c r="J338" s="178" t="str">
        <f>TEXT(   (SUMPRODUCT( ((Main!$H$9:$H$1000)=$E338)*((Main!$J$9:$J$1000)=$F338)*((Main!$O$9:$O$1000)=$C338)*(Main!S$9:S$1000) ) +  ( SUMPRODUCT( ((Adders!$D$13:$D$101)=$E338)*((Adders!$E$13:$E$101)=$F338)*(Adders!H$13:H$101)) + VLOOKUP($H338,Adders!$B$5:$G$8,M$11,FALSE)  +  PA!$D$2 ) * IF($D338="NJ",1.07,1))/$L$10, CHOOSE($M$10,$L$9,$M$9) )</f>
        <v xml:space="preserve"> 82.45 </v>
      </c>
      <c r="K338" s="179" t="str">
        <f>TEXT(   (SUMPRODUCT( ((Main!$H$9:$H$1000)=$E338)*((Main!$J$9:$J$1000)=$F338)*((Main!$O$9:$O$1000)=$C338)*(Main!T$9:T$1000) ) +  ( SUMPRODUCT( ((Adders!$D$13:$D$101)=$E338)*((Adders!$E$13:$E$101)=$F338)*(Adders!I$13:I$101)) + VLOOKUP($H338,Adders!$B$5:$G$8,N$11,FALSE)  +  PA!$D$2 ) * IF($D338="NJ",1.07,1))/$L$10, CHOOSE($M$10,$L$9,$M$9) )</f>
        <v xml:space="preserve"> 82.50 </v>
      </c>
      <c r="L338" s="178" t="str">
        <f>IF(AND($D$11="IL",$E338="AMEREN"),"NA",TEXT((SUMPRODUCT(((LMPMain!$H$9:$H$1000)=$E338)*((LMPMain!$J$9:$J$1000)=$F338)*((LMPMain!$O$9:$O$1000)=$C338)*(LMPMain!R$9:R$1000))+(SUMPRODUCT(((Adders!$D$13:$D$101)=$E338)*((Adders!$E$13:$E$101)=$F338)*(Adders!G$13:G$101))+VLOOKUP($H338,Adders!$B$5:$G$8,L$11,FALSE)+Matrix!$D$2)*IF($D338="NJ",1.07,1))/$L$10,CHOOSE($M$10,$L$9,$M$9)))</f>
        <v xml:space="preserve"> 43.09 </v>
      </c>
      <c r="M338" s="178" t="str">
        <f>IF(AND($D$11="IL",$E338="AMEREN"),"NA",TEXT((SUMPRODUCT(((LMPMain!$H$9:$H$1000)=$E338)*((LMPMain!$J$9:$J$1000)=$F338)*((LMPMain!$O$9:$O$1000)=$C338)*(LMPMain!S$9:S$1000))+(SUMPRODUCT(((Adders!$D$13:$D$101)=$E338)*((Adders!$E$13:$E$101)=$F338)*(Adders!H$13:H$101))+VLOOKUP($H338,Adders!$B$5:$G$8,M$11,FALSE)+Matrix!$D$2)*IF($D338="NJ",1.07,1))/$L$10,CHOOSE($M$10,$L$9,$M$9)))</f>
        <v xml:space="preserve"> 41.68 </v>
      </c>
      <c r="N338" s="179" t="str">
        <f>IF(AND($D$11="IL",$E338="AMEREN"),"NA",TEXT((SUMPRODUCT(((LMPMain!$H$9:$H$1000)=$E338)*((LMPMain!$J$9:$J$1000)=$F338)*((LMPMain!$O$9:$O$1000)=$C338)*(LMPMain!T$9:T$1000))+(SUMPRODUCT(((Adders!$D$13:$D$101)=$E338)*((Adders!$E$13:$E$101)=$F338)*(Adders!G$13:G$101))+VLOOKUP($H338,Adders!$B$5:$G$8,N$11,FALSE)+Matrix!$D$2)*IF($D338="NJ",1.07,1))/$L$10,CHOOSE($M$10,$L$9,$M$9)))</f>
        <v xml:space="preserve"> 40.90 </v>
      </c>
      <c r="O338" s="112"/>
    </row>
    <row r="339" spans="2:15" x14ac:dyDescent="0.25">
      <c r="B339" s="160" t="s">
        <v>673</v>
      </c>
      <c r="C339" s="131">
        <f t="shared" si="9"/>
        <v>42156</v>
      </c>
      <c r="D339" s="132" t="s">
        <v>6</v>
      </c>
      <c r="E339" s="133" t="s">
        <v>14</v>
      </c>
      <c r="F339" s="132" t="s">
        <v>15</v>
      </c>
      <c r="G339" s="133" t="str">
        <f>G338</f>
        <v>General Service Small</v>
      </c>
      <c r="H339" s="134" t="s">
        <v>62</v>
      </c>
      <c r="I339" s="173" t="str">
        <f>TEXT(   (SUMPRODUCT( ((Main!$H$9:$H$1000)=$E339)*((Main!$J$9:$J$1000)=$F339)*((Main!$O$9:$O$1000)=$C339)*(Main!R$9:R$1000) ) +  ( SUMPRODUCT( ((Adders!$D$13:$D$101)=$E339)*((Adders!$E$13:$E$101)=$F339)*(Adders!G$13:G$101)) + VLOOKUP($H339,Adders!$B$5:$G$8,L$11,FALSE)  +  PA!$D$2 ) * IF($D339="NJ",1.07,1))/$L$10, CHOOSE($M$10,$L$9,$M$9) )</f>
        <v xml:space="preserve"> 83.10 </v>
      </c>
      <c r="J339" s="173" t="str">
        <f>TEXT(   (SUMPRODUCT( ((Main!$H$9:$H$1000)=$E339)*((Main!$J$9:$J$1000)=$F339)*((Main!$O$9:$O$1000)=$C339)*(Main!S$9:S$1000) ) +  ( SUMPRODUCT( ((Adders!$D$13:$D$101)=$E339)*((Adders!$E$13:$E$101)=$F339)*(Adders!H$13:H$101)) + VLOOKUP($H339,Adders!$B$5:$G$8,M$11,FALSE)  +  PA!$D$2 ) * IF($D339="NJ",1.07,1))/$L$10, CHOOSE($M$10,$L$9,$M$9) )</f>
        <v xml:space="preserve"> 80.85 </v>
      </c>
      <c r="K339" s="174" t="str">
        <f>TEXT(   (SUMPRODUCT( ((Main!$H$9:$H$1000)=$E339)*((Main!$J$9:$J$1000)=$F339)*((Main!$O$9:$O$1000)=$C339)*(Main!T$9:T$1000) ) +  ( SUMPRODUCT( ((Adders!$D$13:$D$101)=$E339)*((Adders!$E$13:$E$101)=$F339)*(Adders!I$13:I$101)) + VLOOKUP($H339,Adders!$B$5:$G$8,N$11,FALSE)  +  PA!$D$2 ) * IF($D339="NJ",1.07,1))/$L$10, CHOOSE($M$10,$L$9,$M$9) )</f>
        <v xml:space="preserve"> 80.90 </v>
      </c>
      <c r="L339" s="173" t="str">
        <f>IF(AND($D$11="IL",$E339="AMEREN"),"NA",TEXT((SUMPRODUCT(((LMPMain!$H$9:$H$1000)=$E339)*((LMPMain!$J$9:$J$1000)=$F339)*((LMPMain!$O$9:$O$1000)=$C339)*(LMPMain!R$9:R$1000))+(SUMPRODUCT(((Adders!$D$13:$D$101)=$E339)*((Adders!$E$13:$E$101)=$F339)*(Adders!G$13:G$101))+VLOOKUP($H339,Adders!$B$5:$G$8,L$11,FALSE)+Matrix!$D$2)*IF($D339="NJ",1.07,1))/$L$10,CHOOSE($M$10,$L$9,$M$9)))</f>
        <v xml:space="preserve"> 41.49 </v>
      </c>
      <c r="M339" s="173" t="str">
        <f>IF(AND($D$11="IL",$E339="AMEREN"),"NA",TEXT((SUMPRODUCT(((LMPMain!$H$9:$H$1000)=$E339)*((LMPMain!$J$9:$J$1000)=$F339)*((LMPMain!$O$9:$O$1000)=$C339)*(LMPMain!S$9:S$1000))+(SUMPRODUCT(((Adders!$D$13:$D$101)=$E339)*((Adders!$E$13:$E$101)=$F339)*(Adders!H$13:H$101))+VLOOKUP($H339,Adders!$B$5:$G$8,M$11,FALSE)+Matrix!$D$2)*IF($D339="NJ",1.07,1))/$L$10,CHOOSE($M$10,$L$9,$M$9)))</f>
        <v xml:space="preserve"> 40.08 </v>
      </c>
      <c r="N339" s="174" t="str">
        <f>IF(AND($D$11="IL",$E339="AMEREN"),"NA",TEXT((SUMPRODUCT(((LMPMain!$H$9:$H$1000)=$E339)*((LMPMain!$J$9:$J$1000)=$F339)*((LMPMain!$O$9:$O$1000)=$C339)*(LMPMain!T$9:T$1000))+(SUMPRODUCT(((Adders!$D$13:$D$101)=$E339)*((Adders!$E$13:$E$101)=$F339)*(Adders!G$13:G$101))+VLOOKUP($H339,Adders!$B$5:$G$8,N$11,FALSE)+Matrix!$D$2)*IF($D339="NJ",1.07,1))/$L$10,CHOOSE($M$10,$L$9,$M$9)))</f>
        <v xml:space="preserve"> 39.30 </v>
      </c>
      <c r="O339" s="112"/>
    </row>
    <row r="340" spans="2:15" x14ac:dyDescent="0.25">
      <c r="B340" s="160" t="s">
        <v>673</v>
      </c>
      <c r="C340" s="135">
        <f t="shared" si="9"/>
        <v>42156</v>
      </c>
      <c r="D340" s="136" t="s">
        <v>6</v>
      </c>
      <c r="E340" s="137" t="s">
        <v>14</v>
      </c>
      <c r="F340" s="136" t="s">
        <v>15</v>
      </c>
      <c r="G340" s="137" t="str">
        <f>G339</f>
        <v>General Service Small</v>
      </c>
      <c r="H340" s="138" t="s">
        <v>690</v>
      </c>
      <c r="I340" s="176" t="str">
        <f>TEXT(   (SUMPRODUCT( ((Main!$H$9:$H$1000)=$E340)*((Main!$J$9:$J$1000)=$F340)*((Main!$O$9:$O$1000)=$C340)*(Main!R$9:R$1000) ) +  ( SUMPRODUCT( ((Adders!$D$13:$D$101)=$E340)*((Adders!$E$13:$E$101)=$F340)*(Adders!G$13:G$101)) + VLOOKUP($H340,Adders!$B$5:$G$8,L$11,FALSE)  +  PA!$D$2 ) * IF($D340="NJ",1.07,1))/$L$10, CHOOSE($M$10,$L$9,$M$9) )</f>
        <v xml:space="preserve"> 82.05 </v>
      </c>
      <c r="J340" s="176" t="str">
        <f>TEXT(   (SUMPRODUCT( ((Main!$H$9:$H$1000)=$E340)*((Main!$J$9:$J$1000)=$F340)*((Main!$O$9:$O$1000)=$C340)*(Main!S$9:S$1000) ) +  ( SUMPRODUCT( ((Adders!$D$13:$D$101)=$E340)*((Adders!$E$13:$E$101)=$F340)*(Adders!H$13:H$101)) + VLOOKUP($H340,Adders!$B$5:$G$8,M$11,FALSE)  +  PA!$D$2 ) * IF($D340="NJ",1.07,1))/$L$10, CHOOSE($M$10,$L$9,$M$9) )</f>
        <v xml:space="preserve"> 79.80 </v>
      </c>
      <c r="K340" s="177" t="str">
        <f>TEXT(   (SUMPRODUCT( ((Main!$H$9:$H$1000)=$E340)*((Main!$J$9:$J$1000)=$F340)*((Main!$O$9:$O$1000)=$C340)*(Main!T$9:T$1000) ) +  ( SUMPRODUCT( ((Adders!$D$13:$D$101)=$E340)*((Adders!$E$13:$E$101)=$F340)*(Adders!I$13:I$101)) + VLOOKUP($H340,Adders!$B$5:$G$8,N$11,FALSE)  +  PA!$D$2 ) * IF($D340="NJ",1.07,1))/$L$10, CHOOSE($M$10,$L$9,$M$9) )</f>
        <v xml:space="preserve"> 79.85 </v>
      </c>
      <c r="L340" s="176" t="str">
        <f>IF(AND($D$11="IL",$E340="AMEREN"),"NA",TEXT((SUMPRODUCT(((LMPMain!$H$9:$H$1000)=$E340)*((LMPMain!$J$9:$J$1000)=$F340)*((LMPMain!$O$9:$O$1000)=$C340)*(LMPMain!R$9:R$1000))+(SUMPRODUCT(((Adders!$D$13:$D$101)=$E340)*((Adders!$E$13:$E$101)=$F340)*(Adders!G$13:G$101))+VLOOKUP($H340,Adders!$B$5:$G$8,L$11,FALSE)+Matrix!$D$2)*IF($D340="NJ",1.07,1))/$L$10,CHOOSE($M$10,$L$9,$M$9)))</f>
        <v xml:space="preserve"> 40.44 </v>
      </c>
      <c r="M340" s="176" t="str">
        <f>IF(AND($D$11="IL",$E340="AMEREN"),"NA",TEXT((SUMPRODUCT(((LMPMain!$H$9:$H$1000)=$E340)*((LMPMain!$J$9:$J$1000)=$F340)*((LMPMain!$O$9:$O$1000)=$C340)*(LMPMain!S$9:S$1000))+(SUMPRODUCT(((Adders!$D$13:$D$101)=$E340)*((Adders!$E$13:$E$101)=$F340)*(Adders!H$13:H$101))+VLOOKUP($H340,Adders!$B$5:$G$8,M$11,FALSE)+Matrix!$D$2)*IF($D340="NJ",1.07,1))/$L$10,CHOOSE($M$10,$L$9,$M$9)))</f>
        <v xml:space="preserve"> 39.03 </v>
      </c>
      <c r="N340" s="177" t="str">
        <f>IF(AND($D$11="IL",$E340="AMEREN"),"NA",TEXT((SUMPRODUCT(((LMPMain!$H$9:$H$1000)=$E340)*((LMPMain!$J$9:$J$1000)=$F340)*((LMPMain!$O$9:$O$1000)=$C340)*(LMPMain!T$9:T$1000))+(SUMPRODUCT(((Adders!$D$13:$D$101)=$E340)*((Adders!$E$13:$E$101)=$F340)*(Adders!G$13:G$101))+VLOOKUP($H340,Adders!$B$5:$G$8,N$11,FALSE)+Matrix!$D$2)*IF($D340="NJ",1.07,1))/$L$10,CHOOSE($M$10,$L$9,$M$9)))</f>
        <v xml:space="preserve"> 38.25 </v>
      </c>
      <c r="O340" s="112"/>
    </row>
    <row r="341" spans="2:15" x14ac:dyDescent="0.25">
      <c r="B341" s="160" t="s">
        <v>673</v>
      </c>
      <c r="C341" s="127">
        <f t="shared" si="9"/>
        <v>42186</v>
      </c>
      <c r="D341" s="128" t="s">
        <v>6</v>
      </c>
      <c r="E341" s="129" t="s">
        <v>14</v>
      </c>
      <c r="F341" s="128" t="s">
        <v>15</v>
      </c>
      <c r="G341" s="129" t="str">
        <f t="shared" si="10"/>
        <v>General Service Small</v>
      </c>
      <c r="H341" s="130" t="s">
        <v>61</v>
      </c>
      <c r="I341" s="178" t="str">
        <f>TEXT(   (SUMPRODUCT( ((Main!$H$9:$H$1000)=$E341)*((Main!$J$9:$J$1000)=$F341)*((Main!$O$9:$O$1000)=$C341)*(Main!R$9:R$1000) ) +  ( SUMPRODUCT( ((Adders!$D$13:$D$101)=$E341)*((Adders!$E$13:$E$101)=$F341)*(Adders!G$13:G$101)) + VLOOKUP($H341,Adders!$B$5:$G$8,L$11,FALSE)  +  PA!$D$2 ) * IF($D341="NJ",1.07,1))/$L$10, CHOOSE($M$10,$L$9,$M$9) )</f>
        <v xml:space="preserve"> 84.44 </v>
      </c>
      <c r="J341" s="178" t="str">
        <f>TEXT(   (SUMPRODUCT( ((Main!$H$9:$H$1000)=$E341)*((Main!$J$9:$J$1000)=$F341)*((Main!$O$9:$O$1000)=$C341)*(Main!S$9:S$1000) ) +  ( SUMPRODUCT( ((Adders!$D$13:$D$101)=$E341)*((Adders!$E$13:$E$101)=$F341)*(Adders!H$13:H$101)) + VLOOKUP($H341,Adders!$B$5:$G$8,M$11,FALSE)  +  PA!$D$2 ) * IF($D341="NJ",1.07,1))/$L$10, CHOOSE($M$10,$L$9,$M$9) )</f>
        <v xml:space="preserve"> 82.04 </v>
      </c>
      <c r="K341" s="179" t="str">
        <f>TEXT(   (SUMPRODUCT( ((Main!$H$9:$H$1000)=$E341)*((Main!$J$9:$J$1000)=$F341)*((Main!$O$9:$O$1000)=$C341)*(Main!T$9:T$1000) ) +  ( SUMPRODUCT( ((Adders!$D$13:$D$101)=$E341)*((Adders!$E$13:$E$101)=$F341)*(Adders!I$13:I$101)) + VLOOKUP($H341,Adders!$B$5:$G$8,N$11,FALSE)  +  PA!$D$2 ) * IF($D341="NJ",1.07,1))/$L$10, CHOOSE($M$10,$L$9,$M$9) )</f>
        <v xml:space="preserve"> 82.38 </v>
      </c>
      <c r="L341" s="178" t="str">
        <f>IF(AND($D$11="IL",$E341="AMEREN"),"NA",TEXT((SUMPRODUCT(((LMPMain!$H$9:$H$1000)=$E341)*((LMPMain!$J$9:$J$1000)=$F341)*((LMPMain!$O$9:$O$1000)=$C341)*(LMPMain!R$9:R$1000))+(SUMPRODUCT(((Adders!$D$13:$D$101)=$E341)*((Adders!$E$13:$E$101)=$F341)*(Adders!G$13:G$101))+VLOOKUP($H341,Adders!$B$5:$G$8,L$11,FALSE)+Matrix!$D$2)*IF($D341="NJ",1.07,1))/$L$10,CHOOSE($M$10,$L$9,$M$9)))</f>
        <v xml:space="preserve"> 42.72 </v>
      </c>
      <c r="M341" s="178" t="str">
        <f>IF(AND($D$11="IL",$E341="AMEREN"),"NA",TEXT((SUMPRODUCT(((LMPMain!$H$9:$H$1000)=$E341)*((LMPMain!$J$9:$J$1000)=$F341)*((LMPMain!$O$9:$O$1000)=$C341)*(LMPMain!S$9:S$1000))+(SUMPRODUCT(((Adders!$D$13:$D$101)=$E341)*((Adders!$E$13:$E$101)=$F341)*(Adders!H$13:H$101))+VLOOKUP($H341,Adders!$B$5:$G$8,M$11,FALSE)+Matrix!$D$2)*IF($D341="NJ",1.07,1))/$L$10,CHOOSE($M$10,$L$9,$M$9)))</f>
        <v xml:space="preserve"> 41.25 </v>
      </c>
      <c r="N341" s="179" t="str">
        <f>IF(AND($D$11="IL",$E341="AMEREN"),"NA",TEXT((SUMPRODUCT(((LMPMain!$H$9:$H$1000)=$E341)*((LMPMain!$J$9:$J$1000)=$F341)*((LMPMain!$O$9:$O$1000)=$C341)*(LMPMain!T$9:T$1000))+(SUMPRODUCT(((Adders!$D$13:$D$101)=$E341)*((Adders!$E$13:$E$101)=$F341)*(Adders!G$13:G$101))+VLOOKUP($H341,Adders!$B$5:$G$8,N$11,FALSE)+Matrix!$D$2)*IF($D341="NJ",1.07,1))/$L$10,CHOOSE($M$10,$L$9,$M$9)))</f>
        <v xml:space="preserve"> 40.73 </v>
      </c>
      <c r="O341" s="112"/>
    </row>
    <row r="342" spans="2:15" x14ac:dyDescent="0.25">
      <c r="B342" s="160" t="s">
        <v>673</v>
      </c>
      <c r="C342" s="131">
        <f t="shared" si="9"/>
        <v>42186</v>
      </c>
      <c r="D342" s="132" t="s">
        <v>6</v>
      </c>
      <c r="E342" s="133" t="s">
        <v>14</v>
      </c>
      <c r="F342" s="132" t="s">
        <v>15</v>
      </c>
      <c r="G342" s="133" t="str">
        <f t="shared" si="10"/>
        <v>General Service Small</v>
      </c>
      <c r="H342" s="134" t="s">
        <v>62</v>
      </c>
      <c r="I342" s="173" t="str">
        <f>TEXT(   (SUMPRODUCT( ((Main!$H$9:$H$1000)=$E342)*((Main!$J$9:$J$1000)=$F342)*((Main!$O$9:$O$1000)=$C342)*(Main!R$9:R$1000) ) +  ( SUMPRODUCT( ((Adders!$D$13:$D$101)=$E342)*((Adders!$E$13:$E$101)=$F342)*(Adders!G$13:G$101)) + VLOOKUP($H342,Adders!$B$5:$G$8,L$11,FALSE)  +  PA!$D$2 ) * IF($D342="NJ",1.07,1))/$L$10, CHOOSE($M$10,$L$9,$M$9) )</f>
        <v xml:space="preserve"> 82.84 </v>
      </c>
      <c r="J342" s="173" t="str">
        <f>TEXT(   (SUMPRODUCT( ((Main!$H$9:$H$1000)=$E342)*((Main!$J$9:$J$1000)=$F342)*((Main!$O$9:$O$1000)=$C342)*(Main!S$9:S$1000) ) +  ( SUMPRODUCT( ((Adders!$D$13:$D$101)=$E342)*((Adders!$E$13:$E$101)=$F342)*(Adders!H$13:H$101)) + VLOOKUP($H342,Adders!$B$5:$G$8,M$11,FALSE)  +  PA!$D$2 ) * IF($D342="NJ",1.07,1))/$L$10, CHOOSE($M$10,$L$9,$M$9) )</f>
        <v xml:space="preserve"> 80.44 </v>
      </c>
      <c r="K342" s="174" t="str">
        <f>TEXT(   (SUMPRODUCT( ((Main!$H$9:$H$1000)=$E342)*((Main!$J$9:$J$1000)=$F342)*((Main!$O$9:$O$1000)=$C342)*(Main!T$9:T$1000) ) +  ( SUMPRODUCT( ((Adders!$D$13:$D$101)=$E342)*((Adders!$E$13:$E$101)=$F342)*(Adders!I$13:I$101)) + VLOOKUP($H342,Adders!$B$5:$G$8,N$11,FALSE)  +  PA!$D$2 ) * IF($D342="NJ",1.07,1))/$L$10, CHOOSE($M$10,$L$9,$M$9) )</f>
        <v xml:space="preserve"> 80.78 </v>
      </c>
      <c r="L342" s="173" t="str">
        <f>IF(AND($D$11="IL",$E342="AMEREN"),"NA",TEXT((SUMPRODUCT(((LMPMain!$H$9:$H$1000)=$E342)*((LMPMain!$J$9:$J$1000)=$F342)*((LMPMain!$O$9:$O$1000)=$C342)*(LMPMain!R$9:R$1000))+(SUMPRODUCT(((Adders!$D$13:$D$101)=$E342)*((Adders!$E$13:$E$101)=$F342)*(Adders!G$13:G$101))+VLOOKUP($H342,Adders!$B$5:$G$8,L$11,FALSE)+Matrix!$D$2)*IF($D342="NJ",1.07,1))/$L$10,CHOOSE($M$10,$L$9,$M$9)))</f>
        <v xml:space="preserve"> 41.12 </v>
      </c>
      <c r="M342" s="173" t="str">
        <f>IF(AND($D$11="IL",$E342="AMEREN"),"NA",TEXT((SUMPRODUCT(((LMPMain!$H$9:$H$1000)=$E342)*((LMPMain!$J$9:$J$1000)=$F342)*((LMPMain!$O$9:$O$1000)=$C342)*(LMPMain!S$9:S$1000))+(SUMPRODUCT(((Adders!$D$13:$D$101)=$E342)*((Adders!$E$13:$E$101)=$F342)*(Adders!H$13:H$101))+VLOOKUP($H342,Adders!$B$5:$G$8,M$11,FALSE)+Matrix!$D$2)*IF($D342="NJ",1.07,1))/$L$10,CHOOSE($M$10,$L$9,$M$9)))</f>
        <v xml:space="preserve"> 39.65 </v>
      </c>
      <c r="N342" s="174" t="str">
        <f>IF(AND($D$11="IL",$E342="AMEREN"),"NA",TEXT((SUMPRODUCT(((LMPMain!$H$9:$H$1000)=$E342)*((LMPMain!$J$9:$J$1000)=$F342)*((LMPMain!$O$9:$O$1000)=$C342)*(LMPMain!T$9:T$1000))+(SUMPRODUCT(((Adders!$D$13:$D$101)=$E342)*((Adders!$E$13:$E$101)=$F342)*(Adders!G$13:G$101))+VLOOKUP($H342,Adders!$B$5:$G$8,N$11,FALSE)+Matrix!$D$2)*IF($D342="NJ",1.07,1))/$L$10,CHOOSE($M$10,$L$9,$M$9)))</f>
        <v xml:space="preserve"> 39.13 </v>
      </c>
      <c r="O342" s="112"/>
    </row>
    <row r="343" spans="2:15" x14ac:dyDescent="0.25">
      <c r="B343" s="160" t="s">
        <v>673</v>
      </c>
      <c r="C343" s="135">
        <f t="shared" si="9"/>
        <v>42186</v>
      </c>
      <c r="D343" s="136" t="s">
        <v>6</v>
      </c>
      <c r="E343" s="137" t="s">
        <v>14</v>
      </c>
      <c r="F343" s="136" t="s">
        <v>15</v>
      </c>
      <c r="G343" s="137" t="str">
        <f t="shared" si="10"/>
        <v>General Service Small</v>
      </c>
      <c r="H343" s="138" t="s">
        <v>690</v>
      </c>
      <c r="I343" s="176" t="str">
        <f>TEXT(   (SUMPRODUCT( ((Main!$H$9:$H$1000)=$E343)*((Main!$J$9:$J$1000)=$F343)*((Main!$O$9:$O$1000)=$C343)*(Main!R$9:R$1000) ) +  ( SUMPRODUCT( ((Adders!$D$13:$D$101)=$E343)*((Adders!$E$13:$E$101)=$F343)*(Adders!G$13:G$101)) + VLOOKUP($H343,Adders!$B$5:$G$8,L$11,FALSE)  +  PA!$D$2 ) * IF($D343="NJ",1.07,1))/$L$10, CHOOSE($M$10,$L$9,$M$9) )</f>
        <v xml:space="preserve"> 81.79 </v>
      </c>
      <c r="J343" s="176" t="str">
        <f>TEXT(   (SUMPRODUCT( ((Main!$H$9:$H$1000)=$E343)*((Main!$J$9:$J$1000)=$F343)*((Main!$O$9:$O$1000)=$C343)*(Main!S$9:S$1000) ) +  ( SUMPRODUCT( ((Adders!$D$13:$D$101)=$E343)*((Adders!$E$13:$E$101)=$F343)*(Adders!H$13:H$101)) + VLOOKUP($H343,Adders!$B$5:$G$8,M$11,FALSE)  +  PA!$D$2 ) * IF($D343="NJ",1.07,1))/$L$10, CHOOSE($M$10,$L$9,$M$9) )</f>
        <v xml:space="preserve"> 79.39 </v>
      </c>
      <c r="K343" s="177" t="str">
        <f>TEXT(   (SUMPRODUCT( ((Main!$H$9:$H$1000)=$E343)*((Main!$J$9:$J$1000)=$F343)*((Main!$O$9:$O$1000)=$C343)*(Main!T$9:T$1000) ) +  ( SUMPRODUCT( ((Adders!$D$13:$D$101)=$E343)*((Adders!$E$13:$E$101)=$F343)*(Adders!I$13:I$101)) + VLOOKUP($H343,Adders!$B$5:$G$8,N$11,FALSE)  +  PA!$D$2 ) * IF($D343="NJ",1.07,1))/$L$10, CHOOSE($M$10,$L$9,$M$9) )</f>
        <v xml:space="preserve"> 79.73 </v>
      </c>
      <c r="L343" s="176" t="str">
        <f>IF(AND($D$11="IL",$E343="AMEREN"),"NA",TEXT((SUMPRODUCT(((LMPMain!$H$9:$H$1000)=$E343)*((LMPMain!$J$9:$J$1000)=$F343)*((LMPMain!$O$9:$O$1000)=$C343)*(LMPMain!R$9:R$1000))+(SUMPRODUCT(((Adders!$D$13:$D$101)=$E343)*((Adders!$E$13:$E$101)=$F343)*(Adders!G$13:G$101))+VLOOKUP($H343,Adders!$B$5:$G$8,L$11,FALSE)+Matrix!$D$2)*IF($D343="NJ",1.07,1))/$L$10,CHOOSE($M$10,$L$9,$M$9)))</f>
        <v xml:space="preserve"> 40.07 </v>
      </c>
      <c r="M343" s="176" t="str">
        <f>IF(AND($D$11="IL",$E343="AMEREN"),"NA",TEXT((SUMPRODUCT(((LMPMain!$H$9:$H$1000)=$E343)*((LMPMain!$J$9:$J$1000)=$F343)*((LMPMain!$O$9:$O$1000)=$C343)*(LMPMain!S$9:S$1000))+(SUMPRODUCT(((Adders!$D$13:$D$101)=$E343)*((Adders!$E$13:$E$101)=$F343)*(Adders!H$13:H$101))+VLOOKUP($H343,Adders!$B$5:$G$8,M$11,FALSE)+Matrix!$D$2)*IF($D343="NJ",1.07,1))/$L$10,CHOOSE($M$10,$L$9,$M$9)))</f>
        <v xml:space="preserve"> 38.60 </v>
      </c>
      <c r="N343" s="177" t="str">
        <f>IF(AND($D$11="IL",$E343="AMEREN"),"NA",TEXT((SUMPRODUCT(((LMPMain!$H$9:$H$1000)=$E343)*((LMPMain!$J$9:$J$1000)=$F343)*((LMPMain!$O$9:$O$1000)=$C343)*(LMPMain!T$9:T$1000))+(SUMPRODUCT(((Adders!$D$13:$D$101)=$E343)*((Adders!$E$13:$E$101)=$F343)*(Adders!G$13:G$101))+VLOOKUP($H343,Adders!$B$5:$G$8,N$11,FALSE)+Matrix!$D$2)*IF($D343="NJ",1.07,1))/$L$10,CHOOSE($M$10,$L$9,$M$9)))</f>
        <v xml:space="preserve"> 38.08 </v>
      </c>
      <c r="O343" s="112"/>
    </row>
    <row r="344" spans="2:15" x14ac:dyDescent="0.25">
      <c r="B344" s="160" t="s">
        <v>673</v>
      </c>
      <c r="C344" s="127">
        <f t="shared" si="9"/>
        <v>42217</v>
      </c>
      <c r="D344" s="128" t="s">
        <v>6</v>
      </c>
      <c r="E344" s="129" t="s">
        <v>14</v>
      </c>
      <c r="F344" s="128" t="s">
        <v>15</v>
      </c>
      <c r="G344" s="129" t="str">
        <f t="shared" si="10"/>
        <v>General Service Small</v>
      </c>
      <c r="H344" s="130" t="s">
        <v>61</v>
      </c>
      <c r="I344" s="178" t="str">
        <f>TEXT(   (SUMPRODUCT( ((Main!$H$9:$H$1000)=$E344)*((Main!$J$9:$J$1000)=$F344)*((Main!$O$9:$O$1000)=$C344)*(Main!R$9:R$1000) ) +  ( SUMPRODUCT( ((Adders!$D$13:$D$101)=$E344)*((Adders!$E$13:$E$101)=$F344)*(Adders!G$13:G$101)) + VLOOKUP($H344,Adders!$B$5:$G$8,L$11,FALSE)  +  PA!$D$2 ) * IF($D344="NJ",1.07,1))/$L$10, CHOOSE($M$10,$L$9,$M$9) )</f>
        <v xml:space="preserve"> 83.89 </v>
      </c>
      <c r="J344" s="178" t="str">
        <f>TEXT(   (SUMPRODUCT( ((Main!$H$9:$H$1000)=$E344)*((Main!$J$9:$J$1000)=$F344)*((Main!$O$9:$O$1000)=$C344)*(Main!S$9:S$1000) ) +  ( SUMPRODUCT( ((Adders!$D$13:$D$101)=$E344)*((Adders!$E$13:$E$101)=$F344)*(Adders!H$13:H$101)) + VLOOKUP($H344,Adders!$B$5:$G$8,M$11,FALSE)  +  PA!$D$2 ) * IF($D344="NJ",1.07,1))/$L$10, CHOOSE($M$10,$L$9,$M$9) )</f>
        <v xml:space="preserve"> 82.36 </v>
      </c>
      <c r="K344" s="179" t="str">
        <f>TEXT(   (SUMPRODUCT( ((Main!$H$9:$H$1000)=$E344)*((Main!$J$9:$J$1000)=$F344)*((Main!$O$9:$O$1000)=$C344)*(Main!T$9:T$1000) ) +  ( SUMPRODUCT( ((Adders!$D$13:$D$101)=$E344)*((Adders!$E$13:$E$101)=$F344)*(Adders!I$13:I$101)) + VLOOKUP($H344,Adders!$B$5:$G$8,N$11,FALSE)  +  PA!$D$2 ) * IF($D344="NJ",1.07,1))/$L$10, CHOOSE($M$10,$L$9,$M$9) )</f>
        <v xml:space="preserve"> 82.23 </v>
      </c>
      <c r="L344" s="178" t="str">
        <f>IF(AND($D$11="IL",$E344="AMEREN"),"NA",TEXT((SUMPRODUCT(((LMPMain!$H$9:$H$1000)=$E344)*((LMPMain!$J$9:$J$1000)=$F344)*((LMPMain!$O$9:$O$1000)=$C344)*(LMPMain!R$9:R$1000))+(SUMPRODUCT(((Adders!$D$13:$D$101)=$E344)*((Adders!$E$13:$E$101)=$F344)*(Adders!G$13:G$101))+VLOOKUP($H344,Adders!$B$5:$G$8,L$11,FALSE)+Matrix!$D$2)*IF($D344="NJ",1.07,1))/$L$10,CHOOSE($M$10,$L$9,$M$9)))</f>
        <v xml:space="preserve"> 42.35 </v>
      </c>
      <c r="M344" s="178" t="str">
        <f>IF(AND($D$11="IL",$E344="AMEREN"),"NA",TEXT((SUMPRODUCT(((LMPMain!$H$9:$H$1000)=$E344)*((LMPMain!$J$9:$J$1000)=$F344)*((LMPMain!$O$9:$O$1000)=$C344)*(LMPMain!S$9:S$1000))+(SUMPRODUCT(((Adders!$D$13:$D$101)=$E344)*((Adders!$E$13:$E$101)=$F344)*(Adders!H$13:H$101))+VLOOKUP($H344,Adders!$B$5:$G$8,M$11,FALSE)+Matrix!$D$2)*IF($D344="NJ",1.07,1))/$L$10,CHOOSE($M$10,$L$9,$M$9)))</f>
        <v xml:space="preserve"> 40.95 </v>
      </c>
      <c r="N344" s="179" t="str">
        <f>IF(AND($D$11="IL",$E344="AMEREN"),"NA",TEXT((SUMPRODUCT(((LMPMain!$H$9:$H$1000)=$E344)*((LMPMain!$J$9:$J$1000)=$F344)*((LMPMain!$O$9:$O$1000)=$C344)*(LMPMain!T$9:T$1000))+(SUMPRODUCT(((Adders!$D$13:$D$101)=$E344)*((Adders!$E$13:$E$101)=$F344)*(Adders!G$13:G$101))+VLOOKUP($H344,Adders!$B$5:$G$8,N$11,FALSE)+Matrix!$D$2)*IF($D344="NJ",1.07,1))/$L$10,CHOOSE($M$10,$L$9,$M$9)))</f>
        <v xml:space="preserve"> 40.57 </v>
      </c>
      <c r="O344" s="112"/>
    </row>
    <row r="345" spans="2:15" x14ac:dyDescent="0.25">
      <c r="B345" s="160" t="s">
        <v>673</v>
      </c>
      <c r="C345" s="131">
        <f t="shared" si="9"/>
        <v>42217</v>
      </c>
      <c r="D345" s="132" t="s">
        <v>6</v>
      </c>
      <c r="E345" s="133" t="s">
        <v>14</v>
      </c>
      <c r="F345" s="132" t="s">
        <v>15</v>
      </c>
      <c r="G345" s="133" t="str">
        <f t="shared" si="10"/>
        <v>General Service Small</v>
      </c>
      <c r="H345" s="134" t="s">
        <v>62</v>
      </c>
      <c r="I345" s="173" t="str">
        <f>TEXT(   (SUMPRODUCT( ((Main!$H$9:$H$1000)=$E345)*((Main!$J$9:$J$1000)=$F345)*((Main!$O$9:$O$1000)=$C345)*(Main!R$9:R$1000) ) +  ( SUMPRODUCT( ((Adders!$D$13:$D$101)=$E345)*((Adders!$E$13:$E$101)=$F345)*(Adders!G$13:G$101)) + VLOOKUP($H345,Adders!$B$5:$G$8,L$11,FALSE)  +  PA!$D$2 ) * IF($D345="NJ",1.07,1))/$L$10, CHOOSE($M$10,$L$9,$M$9) )</f>
        <v xml:space="preserve"> 82.29 </v>
      </c>
      <c r="J345" s="173" t="str">
        <f>TEXT(   (SUMPRODUCT( ((Main!$H$9:$H$1000)=$E345)*((Main!$J$9:$J$1000)=$F345)*((Main!$O$9:$O$1000)=$C345)*(Main!S$9:S$1000) ) +  ( SUMPRODUCT( ((Adders!$D$13:$D$101)=$E345)*((Adders!$E$13:$E$101)=$F345)*(Adders!H$13:H$101)) + VLOOKUP($H345,Adders!$B$5:$G$8,M$11,FALSE)  +  PA!$D$2 ) * IF($D345="NJ",1.07,1))/$L$10, CHOOSE($M$10,$L$9,$M$9) )</f>
        <v xml:space="preserve"> 80.76 </v>
      </c>
      <c r="K345" s="174" t="str">
        <f>TEXT(   (SUMPRODUCT( ((Main!$H$9:$H$1000)=$E345)*((Main!$J$9:$J$1000)=$F345)*((Main!$O$9:$O$1000)=$C345)*(Main!T$9:T$1000) ) +  ( SUMPRODUCT( ((Adders!$D$13:$D$101)=$E345)*((Adders!$E$13:$E$101)=$F345)*(Adders!I$13:I$101)) + VLOOKUP($H345,Adders!$B$5:$G$8,N$11,FALSE)  +  PA!$D$2 ) * IF($D345="NJ",1.07,1))/$L$10, CHOOSE($M$10,$L$9,$M$9) )</f>
        <v xml:space="preserve"> 80.63 </v>
      </c>
      <c r="L345" s="173" t="str">
        <f>IF(AND($D$11="IL",$E345="AMEREN"),"NA",TEXT((SUMPRODUCT(((LMPMain!$H$9:$H$1000)=$E345)*((LMPMain!$J$9:$J$1000)=$F345)*((LMPMain!$O$9:$O$1000)=$C345)*(LMPMain!R$9:R$1000))+(SUMPRODUCT(((Adders!$D$13:$D$101)=$E345)*((Adders!$E$13:$E$101)=$F345)*(Adders!G$13:G$101))+VLOOKUP($H345,Adders!$B$5:$G$8,L$11,FALSE)+Matrix!$D$2)*IF($D345="NJ",1.07,1))/$L$10,CHOOSE($M$10,$L$9,$M$9)))</f>
        <v xml:space="preserve"> 40.75 </v>
      </c>
      <c r="M345" s="173" t="str">
        <f>IF(AND($D$11="IL",$E345="AMEREN"),"NA",TEXT((SUMPRODUCT(((LMPMain!$H$9:$H$1000)=$E345)*((LMPMain!$J$9:$J$1000)=$F345)*((LMPMain!$O$9:$O$1000)=$C345)*(LMPMain!S$9:S$1000))+(SUMPRODUCT(((Adders!$D$13:$D$101)=$E345)*((Adders!$E$13:$E$101)=$F345)*(Adders!H$13:H$101))+VLOOKUP($H345,Adders!$B$5:$G$8,M$11,FALSE)+Matrix!$D$2)*IF($D345="NJ",1.07,1))/$L$10,CHOOSE($M$10,$L$9,$M$9)))</f>
        <v xml:space="preserve"> 39.35 </v>
      </c>
      <c r="N345" s="174" t="str">
        <f>IF(AND($D$11="IL",$E345="AMEREN"),"NA",TEXT((SUMPRODUCT(((LMPMain!$H$9:$H$1000)=$E345)*((LMPMain!$J$9:$J$1000)=$F345)*((LMPMain!$O$9:$O$1000)=$C345)*(LMPMain!T$9:T$1000))+(SUMPRODUCT(((Adders!$D$13:$D$101)=$E345)*((Adders!$E$13:$E$101)=$F345)*(Adders!G$13:G$101))+VLOOKUP($H345,Adders!$B$5:$G$8,N$11,FALSE)+Matrix!$D$2)*IF($D345="NJ",1.07,1))/$L$10,CHOOSE($M$10,$L$9,$M$9)))</f>
        <v xml:space="preserve"> 38.97 </v>
      </c>
      <c r="O345" s="112"/>
    </row>
    <row r="346" spans="2:15" x14ac:dyDescent="0.25">
      <c r="B346" s="160" t="s">
        <v>673</v>
      </c>
      <c r="C346" s="135">
        <f t="shared" si="9"/>
        <v>42217</v>
      </c>
      <c r="D346" s="136" t="s">
        <v>6</v>
      </c>
      <c r="E346" s="137" t="s">
        <v>14</v>
      </c>
      <c r="F346" s="136" t="s">
        <v>15</v>
      </c>
      <c r="G346" s="137" t="str">
        <f t="shared" si="10"/>
        <v>General Service Small</v>
      </c>
      <c r="H346" s="138" t="s">
        <v>690</v>
      </c>
      <c r="I346" s="176" t="str">
        <f>TEXT(   (SUMPRODUCT( ((Main!$H$9:$H$1000)=$E346)*((Main!$J$9:$J$1000)=$F346)*((Main!$O$9:$O$1000)=$C346)*(Main!R$9:R$1000) ) +  ( SUMPRODUCT( ((Adders!$D$13:$D$101)=$E346)*((Adders!$E$13:$E$101)=$F346)*(Adders!G$13:G$101)) + VLOOKUP($H346,Adders!$B$5:$G$8,L$11,FALSE)  +  PA!$D$2 ) * IF($D346="NJ",1.07,1))/$L$10, CHOOSE($M$10,$L$9,$M$9) )</f>
        <v xml:space="preserve"> 81.24 </v>
      </c>
      <c r="J346" s="176" t="str">
        <f>TEXT(   (SUMPRODUCT( ((Main!$H$9:$H$1000)=$E346)*((Main!$J$9:$J$1000)=$F346)*((Main!$O$9:$O$1000)=$C346)*(Main!S$9:S$1000) ) +  ( SUMPRODUCT( ((Adders!$D$13:$D$101)=$E346)*((Adders!$E$13:$E$101)=$F346)*(Adders!H$13:H$101)) + VLOOKUP($H346,Adders!$B$5:$G$8,M$11,FALSE)  +  PA!$D$2 ) * IF($D346="NJ",1.07,1))/$L$10, CHOOSE($M$10,$L$9,$M$9) )</f>
        <v xml:space="preserve"> 79.71 </v>
      </c>
      <c r="K346" s="177" t="str">
        <f>TEXT(   (SUMPRODUCT( ((Main!$H$9:$H$1000)=$E346)*((Main!$J$9:$J$1000)=$F346)*((Main!$O$9:$O$1000)=$C346)*(Main!T$9:T$1000) ) +  ( SUMPRODUCT( ((Adders!$D$13:$D$101)=$E346)*((Adders!$E$13:$E$101)=$F346)*(Adders!I$13:I$101)) + VLOOKUP($H346,Adders!$B$5:$G$8,N$11,FALSE)  +  PA!$D$2 ) * IF($D346="NJ",1.07,1))/$L$10, CHOOSE($M$10,$L$9,$M$9) )</f>
        <v xml:space="preserve"> 79.58 </v>
      </c>
      <c r="L346" s="176" t="str">
        <f>IF(AND($D$11="IL",$E346="AMEREN"),"NA",TEXT((SUMPRODUCT(((LMPMain!$H$9:$H$1000)=$E346)*((LMPMain!$J$9:$J$1000)=$F346)*((LMPMain!$O$9:$O$1000)=$C346)*(LMPMain!R$9:R$1000))+(SUMPRODUCT(((Adders!$D$13:$D$101)=$E346)*((Adders!$E$13:$E$101)=$F346)*(Adders!G$13:G$101))+VLOOKUP($H346,Adders!$B$5:$G$8,L$11,FALSE)+Matrix!$D$2)*IF($D346="NJ",1.07,1))/$L$10,CHOOSE($M$10,$L$9,$M$9)))</f>
        <v xml:space="preserve"> 39.70 </v>
      </c>
      <c r="M346" s="176" t="str">
        <f>IF(AND($D$11="IL",$E346="AMEREN"),"NA",TEXT((SUMPRODUCT(((LMPMain!$H$9:$H$1000)=$E346)*((LMPMain!$J$9:$J$1000)=$F346)*((LMPMain!$O$9:$O$1000)=$C346)*(LMPMain!S$9:S$1000))+(SUMPRODUCT(((Adders!$D$13:$D$101)=$E346)*((Adders!$E$13:$E$101)=$F346)*(Adders!H$13:H$101))+VLOOKUP($H346,Adders!$B$5:$G$8,M$11,FALSE)+Matrix!$D$2)*IF($D346="NJ",1.07,1))/$L$10,CHOOSE($M$10,$L$9,$M$9)))</f>
        <v xml:space="preserve"> 38.30 </v>
      </c>
      <c r="N346" s="177" t="str">
        <f>IF(AND($D$11="IL",$E346="AMEREN"),"NA",TEXT((SUMPRODUCT(((LMPMain!$H$9:$H$1000)=$E346)*((LMPMain!$J$9:$J$1000)=$F346)*((LMPMain!$O$9:$O$1000)=$C346)*(LMPMain!T$9:T$1000))+(SUMPRODUCT(((Adders!$D$13:$D$101)=$E346)*((Adders!$E$13:$E$101)=$F346)*(Adders!G$13:G$101))+VLOOKUP($H346,Adders!$B$5:$G$8,N$11,FALSE)+Matrix!$D$2)*IF($D346="NJ",1.07,1))/$L$10,CHOOSE($M$10,$L$9,$M$9)))</f>
        <v xml:space="preserve"> 37.92 </v>
      </c>
      <c r="O346" s="112"/>
    </row>
    <row r="347" spans="2:15" x14ac:dyDescent="0.25">
      <c r="B347" s="160" t="s">
        <v>673</v>
      </c>
      <c r="C347" s="127">
        <f t="shared" si="9"/>
        <v>42248</v>
      </c>
      <c r="D347" s="128" t="s">
        <v>6</v>
      </c>
      <c r="E347" s="129" t="s">
        <v>14</v>
      </c>
      <c r="F347" s="128" t="s">
        <v>15</v>
      </c>
      <c r="G347" s="129" t="str">
        <f t="shared" si="10"/>
        <v>General Service Small</v>
      </c>
      <c r="H347" s="130" t="s">
        <v>61</v>
      </c>
      <c r="I347" s="178" t="str">
        <f>TEXT(   (SUMPRODUCT( ((Main!$H$9:$H$1000)=$E347)*((Main!$J$9:$J$1000)=$F347)*((Main!$O$9:$O$1000)=$C347)*(Main!R$9:R$1000) ) +  ( SUMPRODUCT( ((Adders!$D$13:$D$101)=$E347)*((Adders!$E$13:$E$101)=$F347)*(Adders!G$13:G$101)) + VLOOKUP($H347,Adders!$B$5:$G$8,L$11,FALSE)  +  PA!$D$2 ) * IF($D347="NJ",1.07,1))/$L$10, CHOOSE($M$10,$L$9,$M$9) )</f>
        <v xml:space="preserve"> 83.62 </v>
      </c>
      <c r="J347" s="178" t="str">
        <f>TEXT(   (SUMPRODUCT( ((Main!$H$9:$H$1000)=$E347)*((Main!$J$9:$J$1000)=$F347)*((Main!$O$9:$O$1000)=$C347)*(Main!S$9:S$1000) ) +  ( SUMPRODUCT( ((Adders!$D$13:$D$101)=$E347)*((Adders!$E$13:$E$101)=$F347)*(Adders!H$13:H$101)) + VLOOKUP($H347,Adders!$B$5:$G$8,M$11,FALSE)  +  PA!$D$2 ) * IF($D347="NJ",1.07,1))/$L$10, CHOOSE($M$10,$L$9,$M$9) )</f>
        <v xml:space="preserve"> 82.74 </v>
      </c>
      <c r="K347" s="179" t="str">
        <f>TEXT(   (SUMPRODUCT( ((Main!$H$9:$H$1000)=$E347)*((Main!$J$9:$J$1000)=$F347)*((Main!$O$9:$O$1000)=$C347)*(Main!T$9:T$1000) ) +  ( SUMPRODUCT( ((Adders!$D$13:$D$101)=$E347)*((Adders!$E$13:$E$101)=$F347)*(Adders!I$13:I$101)) + VLOOKUP($H347,Adders!$B$5:$G$8,N$11,FALSE)  +  PA!$D$2 ) * IF($D347="NJ",1.07,1))/$L$10, CHOOSE($M$10,$L$9,$M$9) )</f>
        <v xml:space="preserve"> 82.21 </v>
      </c>
      <c r="L347" s="178" t="str">
        <f>IF(AND($D$11="IL",$E347="AMEREN"),"NA",TEXT((SUMPRODUCT(((LMPMain!$H$9:$H$1000)=$E347)*((LMPMain!$J$9:$J$1000)=$F347)*((LMPMain!$O$9:$O$1000)=$C347)*(LMPMain!R$9:R$1000))+(SUMPRODUCT(((Adders!$D$13:$D$101)=$E347)*((Adders!$E$13:$E$101)=$F347)*(Adders!G$13:G$101))+VLOOKUP($H347,Adders!$B$5:$G$8,L$11,FALSE)+Matrix!$D$2)*IF($D347="NJ",1.07,1))/$L$10,CHOOSE($M$10,$L$9,$M$9)))</f>
        <v xml:space="preserve"> 41.96 </v>
      </c>
      <c r="M347" s="178" t="str">
        <f>IF(AND($D$11="IL",$E347="AMEREN"),"NA",TEXT((SUMPRODUCT(((LMPMain!$H$9:$H$1000)=$E347)*((LMPMain!$J$9:$J$1000)=$F347)*((LMPMain!$O$9:$O$1000)=$C347)*(LMPMain!S$9:S$1000))+(SUMPRODUCT(((Adders!$D$13:$D$101)=$E347)*((Adders!$E$13:$E$101)=$F347)*(Adders!H$13:H$101))+VLOOKUP($H347,Adders!$B$5:$G$8,M$11,FALSE)+Matrix!$D$2)*IF($D347="NJ",1.07,1))/$L$10,CHOOSE($M$10,$L$9,$M$9)))</f>
        <v xml:space="preserve"> 40.66 </v>
      </c>
      <c r="N347" s="179" t="str">
        <f>IF(AND($D$11="IL",$E347="AMEREN"),"NA",TEXT((SUMPRODUCT(((LMPMain!$H$9:$H$1000)=$E347)*((LMPMain!$J$9:$J$1000)=$F347)*((LMPMain!$O$9:$O$1000)=$C347)*(LMPMain!T$9:T$1000))+(SUMPRODUCT(((Adders!$D$13:$D$101)=$E347)*((Adders!$E$13:$E$101)=$F347)*(Adders!G$13:G$101))+VLOOKUP($H347,Adders!$B$5:$G$8,N$11,FALSE)+Matrix!$D$2)*IF($D347="NJ",1.07,1))/$L$10,CHOOSE($M$10,$L$9,$M$9)))</f>
        <v xml:space="preserve"> 40.39 </v>
      </c>
      <c r="O347" s="112"/>
    </row>
    <row r="348" spans="2:15" x14ac:dyDescent="0.25">
      <c r="B348" s="160" t="s">
        <v>673</v>
      </c>
      <c r="C348" s="131">
        <f t="shared" si="9"/>
        <v>42248</v>
      </c>
      <c r="D348" s="132" t="s">
        <v>6</v>
      </c>
      <c r="E348" s="133" t="s">
        <v>14</v>
      </c>
      <c r="F348" s="132" t="s">
        <v>15</v>
      </c>
      <c r="G348" s="133" t="str">
        <f t="shared" si="10"/>
        <v>General Service Small</v>
      </c>
      <c r="H348" s="134" t="s">
        <v>62</v>
      </c>
      <c r="I348" s="173" t="str">
        <f>TEXT(   (SUMPRODUCT( ((Main!$H$9:$H$1000)=$E348)*((Main!$J$9:$J$1000)=$F348)*((Main!$O$9:$O$1000)=$C348)*(Main!R$9:R$1000) ) +  ( SUMPRODUCT( ((Adders!$D$13:$D$101)=$E348)*((Adders!$E$13:$E$101)=$F348)*(Adders!G$13:G$101)) + VLOOKUP($H348,Adders!$B$5:$G$8,L$11,FALSE)  +  PA!$D$2 ) * IF($D348="NJ",1.07,1))/$L$10, CHOOSE($M$10,$L$9,$M$9) )</f>
        <v xml:space="preserve"> 82.02 </v>
      </c>
      <c r="J348" s="173" t="str">
        <f>TEXT(   (SUMPRODUCT( ((Main!$H$9:$H$1000)=$E348)*((Main!$J$9:$J$1000)=$F348)*((Main!$O$9:$O$1000)=$C348)*(Main!S$9:S$1000) ) +  ( SUMPRODUCT( ((Adders!$D$13:$D$101)=$E348)*((Adders!$E$13:$E$101)=$F348)*(Adders!H$13:H$101)) + VLOOKUP($H348,Adders!$B$5:$G$8,M$11,FALSE)  +  PA!$D$2 ) * IF($D348="NJ",1.07,1))/$L$10, CHOOSE($M$10,$L$9,$M$9) )</f>
        <v xml:space="preserve"> 81.14 </v>
      </c>
      <c r="K348" s="174" t="str">
        <f>TEXT(   (SUMPRODUCT( ((Main!$H$9:$H$1000)=$E348)*((Main!$J$9:$J$1000)=$F348)*((Main!$O$9:$O$1000)=$C348)*(Main!T$9:T$1000) ) +  ( SUMPRODUCT( ((Adders!$D$13:$D$101)=$E348)*((Adders!$E$13:$E$101)=$F348)*(Adders!I$13:I$101)) + VLOOKUP($H348,Adders!$B$5:$G$8,N$11,FALSE)  +  PA!$D$2 ) * IF($D348="NJ",1.07,1))/$L$10, CHOOSE($M$10,$L$9,$M$9) )</f>
        <v xml:space="preserve"> 80.61 </v>
      </c>
      <c r="L348" s="173" t="str">
        <f>IF(AND($D$11="IL",$E348="AMEREN"),"NA",TEXT((SUMPRODUCT(((LMPMain!$H$9:$H$1000)=$E348)*((LMPMain!$J$9:$J$1000)=$F348)*((LMPMain!$O$9:$O$1000)=$C348)*(LMPMain!R$9:R$1000))+(SUMPRODUCT(((Adders!$D$13:$D$101)=$E348)*((Adders!$E$13:$E$101)=$F348)*(Adders!G$13:G$101))+VLOOKUP($H348,Adders!$B$5:$G$8,L$11,FALSE)+Matrix!$D$2)*IF($D348="NJ",1.07,1))/$L$10,CHOOSE($M$10,$L$9,$M$9)))</f>
        <v xml:space="preserve"> 40.36 </v>
      </c>
      <c r="M348" s="173" t="str">
        <f>IF(AND($D$11="IL",$E348="AMEREN"),"NA",TEXT((SUMPRODUCT(((LMPMain!$H$9:$H$1000)=$E348)*((LMPMain!$J$9:$J$1000)=$F348)*((LMPMain!$O$9:$O$1000)=$C348)*(LMPMain!S$9:S$1000))+(SUMPRODUCT(((Adders!$D$13:$D$101)=$E348)*((Adders!$E$13:$E$101)=$F348)*(Adders!H$13:H$101))+VLOOKUP($H348,Adders!$B$5:$G$8,M$11,FALSE)+Matrix!$D$2)*IF($D348="NJ",1.07,1))/$L$10,CHOOSE($M$10,$L$9,$M$9)))</f>
        <v xml:space="preserve"> 39.06 </v>
      </c>
      <c r="N348" s="174" t="str">
        <f>IF(AND($D$11="IL",$E348="AMEREN"),"NA",TEXT((SUMPRODUCT(((LMPMain!$H$9:$H$1000)=$E348)*((LMPMain!$J$9:$J$1000)=$F348)*((LMPMain!$O$9:$O$1000)=$C348)*(LMPMain!T$9:T$1000))+(SUMPRODUCT(((Adders!$D$13:$D$101)=$E348)*((Adders!$E$13:$E$101)=$F348)*(Adders!G$13:G$101))+VLOOKUP($H348,Adders!$B$5:$G$8,N$11,FALSE)+Matrix!$D$2)*IF($D348="NJ",1.07,1))/$L$10,CHOOSE($M$10,$L$9,$M$9)))</f>
        <v xml:space="preserve"> 38.79 </v>
      </c>
      <c r="O348" s="112"/>
    </row>
    <row r="349" spans="2:15" x14ac:dyDescent="0.25">
      <c r="B349" s="160" t="s">
        <v>673</v>
      </c>
      <c r="C349" s="135">
        <f t="shared" si="9"/>
        <v>42248</v>
      </c>
      <c r="D349" s="136" t="s">
        <v>6</v>
      </c>
      <c r="E349" s="137" t="s">
        <v>14</v>
      </c>
      <c r="F349" s="136" t="s">
        <v>15</v>
      </c>
      <c r="G349" s="137" t="str">
        <f t="shared" si="10"/>
        <v>General Service Small</v>
      </c>
      <c r="H349" s="138" t="s">
        <v>690</v>
      </c>
      <c r="I349" s="176" t="str">
        <f>TEXT(   (SUMPRODUCT( ((Main!$H$9:$H$1000)=$E349)*((Main!$J$9:$J$1000)=$F349)*((Main!$O$9:$O$1000)=$C349)*(Main!R$9:R$1000) ) +  ( SUMPRODUCT( ((Adders!$D$13:$D$101)=$E349)*((Adders!$E$13:$E$101)=$F349)*(Adders!G$13:G$101)) + VLOOKUP($H349,Adders!$B$5:$G$8,L$11,FALSE)  +  PA!$D$2 ) * IF($D349="NJ",1.07,1))/$L$10, CHOOSE($M$10,$L$9,$M$9) )</f>
        <v xml:space="preserve"> 80.97 </v>
      </c>
      <c r="J349" s="176" t="str">
        <f>TEXT(   (SUMPRODUCT( ((Main!$H$9:$H$1000)=$E349)*((Main!$J$9:$J$1000)=$F349)*((Main!$O$9:$O$1000)=$C349)*(Main!S$9:S$1000) ) +  ( SUMPRODUCT( ((Adders!$D$13:$D$101)=$E349)*((Adders!$E$13:$E$101)=$F349)*(Adders!H$13:H$101)) + VLOOKUP($H349,Adders!$B$5:$G$8,M$11,FALSE)  +  PA!$D$2 ) * IF($D349="NJ",1.07,1))/$L$10, CHOOSE($M$10,$L$9,$M$9) )</f>
        <v xml:space="preserve"> 80.09 </v>
      </c>
      <c r="K349" s="177" t="str">
        <f>TEXT(   (SUMPRODUCT( ((Main!$H$9:$H$1000)=$E349)*((Main!$J$9:$J$1000)=$F349)*((Main!$O$9:$O$1000)=$C349)*(Main!T$9:T$1000) ) +  ( SUMPRODUCT( ((Adders!$D$13:$D$101)=$E349)*((Adders!$E$13:$E$101)=$F349)*(Adders!I$13:I$101)) + VLOOKUP($H349,Adders!$B$5:$G$8,N$11,FALSE)  +  PA!$D$2 ) * IF($D349="NJ",1.07,1))/$L$10, CHOOSE($M$10,$L$9,$M$9) )</f>
        <v xml:space="preserve"> 79.56 </v>
      </c>
      <c r="L349" s="176" t="str">
        <f>IF(AND($D$11="IL",$E349="AMEREN"),"NA",TEXT((SUMPRODUCT(((LMPMain!$H$9:$H$1000)=$E349)*((LMPMain!$J$9:$J$1000)=$F349)*((LMPMain!$O$9:$O$1000)=$C349)*(LMPMain!R$9:R$1000))+(SUMPRODUCT(((Adders!$D$13:$D$101)=$E349)*((Adders!$E$13:$E$101)=$F349)*(Adders!G$13:G$101))+VLOOKUP($H349,Adders!$B$5:$G$8,L$11,FALSE)+Matrix!$D$2)*IF($D349="NJ",1.07,1))/$L$10,CHOOSE($M$10,$L$9,$M$9)))</f>
        <v xml:space="preserve"> 39.31 </v>
      </c>
      <c r="M349" s="176" t="str">
        <f>IF(AND($D$11="IL",$E349="AMEREN"),"NA",TEXT((SUMPRODUCT(((LMPMain!$H$9:$H$1000)=$E349)*((LMPMain!$J$9:$J$1000)=$F349)*((LMPMain!$O$9:$O$1000)=$C349)*(LMPMain!S$9:S$1000))+(SUMPRODUCT(((Adders!$D$13:$D$101)=$E349)*((Adders!$E$13:$E$101)=$F349)*(Adders!H$13:H$101))+VLOOKUP($H349,Adders!$B$5:$G$8,M$11,FALSE)+Matrix!$D$2)*IF($D349="NJ",1.07,1))/$L$10,CHOOSE($M$10,$L$9,$M$9)))</f>
        <v xml:space="preserve"> 38.01 </v>
      </c>
      <c r="N349" s="177" t="str">
        <f>IF(AND($D$11="IL",$E349="AMEREN"),"NA",TEXT((SUMPRODUCT(((LMPMain!$H$9:$H$1000)=$E349)*((LMPMain!$J$9:$J$1000)=$F349)*((LMPMain!$O$9:$O$1000)=$C349)*(LMPMain!T$9:T$1000))+(SUMPRODUCT(((Adders!$D$13:$D$101)=$E349)*((Adders!$E$13:$E$101)=$F349)*(Adders!G$13:G$101))+VLOOKUP($H349,Adders!$B$5:$G$8,N$11,FALSE)+Matrix!$D$2)*IF($D349="NJ",1.07,1))/$L$10,CHOOSE($M$10,$L$9,$M$9)))</f>
        <v xml:space="preserve"> 37.74 </v>
      </c>
      <c r="O349" s="112"/>
    </row>
    <row r="350" spans="2:15" x14ac:dyDescent="0.25">
      <c r="B350" s="160" t="s">
        <v>673</v>
      </c>
      <c r="C350" s="127">
        <f t="shared" si="9"/>
        <v>42278</v>
      </c>
      <c r="D350" s="128" t="s">
        <v>6</v>
      </c>
      <c r="E350" s="129" t="s">
        <v>14</v>
      </c>
      <c r="F350" s="128" t="s">
        <v>15</v>
      </c>
      <c r="G350" s="129" t="str">
        <f t="shared" si="10"/>
        <v>General Service Small</v>
      </c>
      <c r="H350" s="130" t="s">
        <v>61</v>
      </c>
      <c r="I350" s="178" t="str">
        <f>TEXT(   (SUMPRODUCT( ((Main!$H$9:$H$1000)=$E350)*((Main!$J$9:$J$1000)=$F350)*((Main!$O$9:$O$1000)=$C350)*(Main!R$9:R$1000) ) +  ( SUMPRODUCT( ((Adders!$D$13:$D$101)=$E350)*((Adders!$E$13:$E$101)=$F350)*(Adders!G$13:G$101)) + VLOOKUP($H350,Adders!$B$5:$G$8,L$11,FALSE)  +  PA!$D$2 ) * IF($D350="NJ",1.07,1))/$L$10, CHOOSE($M$10,$L$9,$M$9) )</f>
        <v xml:space="preserve"> 83.30 </v>
      </c>
      <c r="J350" s="178" t="str">
        <f>TEXT(   (SUMPRODUCT( ((Main!$H$9:$H$1000)=$E350)*((Main!$J$9:$J$1000)=$F350)*((Main!$O$9:$O$1000)=$C350)*(Main!S$9:S$1000) ) +  ( SUMPRODUCT( ((Adders!$D$13:$D$101)=$E350)*((Adders!$E$13:$E$101)=$F350)*(Adders!H$13:H$101)) + VLOOKUP($H350,Adders!$B$5:$G$8,M$11,FALSE)  +  PA!$D$2 ) * IF($D350="NJ",1.07,1))/$L$10, CHOOSE($M$10,$L$9,$M$9) )</f>
        <v xml:space="preserve"> 82.83 </v>
      </c>
      <c r="K350" s="179" t="str">
        <f>TEXT(   (SUMPRODUCT( ((Main!$H$9:$H$1000)=$E350)*((Main!$J$9:$J$1000)=$F350)*((Main!$O$9:$O$1000)=$C350)*(Main!T$9:T$1000) ) +  ( SUMPRODUCT( ((Adders!$D$13:$D$101)=$E350)*((Adders!$E$13:$E$101)=$F350)*(Adders!I$13:I$101)) + VLOOKUP($H350,Adders!$B$5:$G$8,N$11,FALSE)  +  PA!$D$2 ) * IF($D350="NJ",1.07,1))/$L$10, CHOOSE($M$10,$L$9,$M$9) )</f>
        <v xml:space="preserve"> 82.09 </v>
      </c>
      <c r="L350" s="178" t="str">
        <f>IF(AND($D$11="IL",$E350="AMEREN"),"NA",TEXT((SUMPRODUCT(((LMPMain!$H$9:$H$1000)=$E350)*((LMPMain!$J$9:$J$1000)=$F350)*((LMPMain!$O$9:$O$1000)=$C350)*(LMPMain!R$9:R$1000))+(SUMPRODUCT(((Adders!$D$13:$D$101)=$E350)*((Adders!$E$13:$E$101)=$F350)*(Adders!G$13:G$101))+VLOOKUP($H350,Adders!$B$5:$G$8,L$11,FALSE)+Matrix!$D$2)*IF($D350="NJ",1.07,1))/$L$10,CHOOSE($M$10,$L$9,$M$9)))</f>
        <v xml:space="preserve"> 41.62 </v>
      </c>
      <c r="M350" s="178" t="str">
        <f>IF(AND($D$11="IL",$E350="AMEREN"),"NA",TEXT((SUMPRODUCT(((LMPMain!$H$9:$H$1000)=$E350)*((LMPMain!$J$9:$J$1000)=$F350)*((LMPMain!$O$9:$O$1000)=$C350)*(LMPMain!S$9:S$1000))+(SUMPRODUCT(((Adders!$D$13:$D$101)=$E350)*((Adders!$E$13:$E$101)=$F350)*(Adders!H$13:H$101))+VLOOKUP($H350,Adders!$B$5:$G$8,M$11,FALSE)+Matrix!$D$2)*IF($D350="NJ",1.07,1))/$L$10,CHOOSE($M$10,$L$9,$M$9)))</f>
        <v xml:space="preserve"> 40.46 </v>
      </c>
      <c r="N350" s="179" t="str">
        <f>IF(AND($D$11="IL",$E350="AMEREN"),"NA",TEXT((SUMPRODUCT(((LMPMain!$H$9:$H$1000)=$E350)*((LMPMain!$J$9:$J$1000)=$F350)*((LMPMain!$O$9:$O$1000)=$C350)*(LMPMain!T$9:T$1000))+(SUMPRODUCT(((Adders!$D$13:$D$101)=$E350)*((Adders!$E$13:$E$101)=$F350)*(Adders!G$13:G$101))+VLOOKUP($H350,Adders!$B$5:$G$8,N$11,FALSE)+Matrix!$D$2)*IF($D350="NJ",1.07,1))/$L$10,CHOOSE($M$10,$L$9,$M$9)))</f>
        <v xml:space="preserve"> 40.24 </v>
      </c>
      <c r="O350" s="112"/>
    </row>
    <row r="351" spans="2:15" x14ac:dyDescent="0.25">
      <c r="B351" s="160" t="s">
        <v>673</v>
      </c>
      <c r="C351" s="131">
        <f t="shared" si="9"/>
        <v>42278</v>
      </c>
      <c r="D351" s="132" t="s">
        <v>6</v>
      </c>
      <c r="E351" s="133" t="s">
        <v>14</v>
      </c>
      <c r="F351" s="132" t="s">
        <v>15</v>
      </c>
      <c r="G351" s="133" t="str">
        <f t="shared" si="10"/>
        <v>General Service Small</v>
      </c>
      <c r="H351" s="134" t="s">
        <v>62</v>
      </c>
      <c r="I351" s="173" t="str">
        <f>TEXT(   (SUMPRODUCT( ((Main!$H$9:$H$1000)=$E351)*((Main!$J$9:$J$1000)=$F351)*((Main!$O$9:$O$1000)=$C351)*(Main!R$9:R$1000) ) +  ( SUMPRODUCT( ((Adders!$D$13:$D$101)=$E351)*((Adders!$E$13:$E$101)=$F351)*(Adders!G$13:G$101)) + VLOOKUP($H351,Adders!$B$5:$G$8,L$11,FALSE)  +  PA!$D$2 ) * IF($D351="NJ",1.07,1))/$L$10, CHOOSE($M$10,$L$9,$M$9) )</f>
        <v xml:space="preserve"> 81.70 </v>
      </c>
      <c r="J351" s="173" t="str">
        <f>TEXT(   (SUMPRODUCT( ((Main!$H$9:$H$1000)=$E351)*((Main!$J$9:$J$1000)=$F351)*((Main!$O$9:$O$1000)=$C351)*(Main!S$9:S$1000) ) +  ( SUMPRODUCT( ((Adders!$D$13:$D$101)=$E351)*((Adders!$E$13:$E$101)=$F351)*(Adders!H$13:H$101)) + VLOOKUP($H351,Adders!$B$5:$G$8,M$11,FALSE)  +  PA!$D$2 ) * IF($D351="NJ",1.07,1))/$L$10, CHOOSE($M$10,$L$9,$M$9) )</f>
        <v xml:space="preserve"> 81.23 </v>
      </c>
      <c r="K351" s="174" t="str">
        <f>TEXT(   (SUMPRODUCT( ((Main!$H$9:$H$1000)=$E351)*((Main!$J$9:$J$1000)=$F351)*((Main!$O$9:$O$1000)=$C351)*(Main!T$9:T$1000) ) +  ( SUMPRODUCT( ((Adders!$D$13:$D$101)=$E351)*((Adders!$E$13:$E$101)=$F351)*(Adders!I$13:I$101)) + VLOOKUP($H351,Adders!$B$5:$G$8,N$11,FALSE)  +  PA!$D$2 ) * IF($D351="NJ",1.07,1))/$L$10, CHOOSE($M$10,$L$9,$M$9) )</f>
        <v xml:space="preserve"> 80.49 </v>
      </c>
      <c r="L351" s="173" t="str">
        <f>IF(AND($D$11="IL",$E351="AMEREN"),"NA",TEXT((SUMPRODUCT(((LMPMain!$H$9:$H$1000)=$E351)*((LMPMain!$J$9:$J$1000)=$F351)*((LMPMain!$O$9:$O$1000)=$C351)*(LMPMain!R$9:R$1000))+(SUMPRODUCT(((Adders!$D$13:$D$101)=$E351)*((Adders!$E$13:$E$101)=$F351)*(Adders!G$13:G$101))+VLOOKUP($H351,Adders!$B$5:$G$8,L$11,FALSE)+Matrix!$D$2)*IF($D351="NJ",1.07,1))/$L$10,CHOOSE($M$10,$L$9,$M$9)))</f>
        <v xml:space="preserve"> 40.02 </v>
      </c>
      <c r="M351" s="173" t="str">
        <f>IF(AND($D$11="IL",$E351="AMEREN"),"NA",TEXT((SUMPRODUCT(((LMPMain!$H$9:$H$1000)=$E351)*((LMPMain!$J$9:$J$1000)=$F351)*((LMPMain!$O$9:$O$1000)=$C351)*(LMPMain!S$9:S$1000))+(SUMPRODUCT(((Adders!$D$13:$D$101)=$E351)*((Adders!$E$13:$E$101)=$F351)*(Adders!H$13:H$101))+VLOOKUP($H351,Adders!$B$5:$G$8,M$11,FALSE)+Matrix!$D$2)*IF($D351="NJ",1.07,1))/$L$10,CHOOSE($M$10,$L$9,$M$9)))</f>
        <v xml:space="preserve"> 38.86 </v>
      </c>
      <c r="N351" s="174" t="str">
        <f>IF(AND($D$11="IL",$E351="AMEREN"),"NA",TEXT((SUMPRODUCT(((LMPMain!$H$9:$H$1000)=$E351)*((LMPMain!$J$9:$J$1000)=$F351)*((LMPMain!$O$9:$O$1000)=$C351)*(LMPMain!T$9:T$1000))+(SUMPRODUCT(((Adders!$D$13:$D$101)=$E351)*((Adders!$E$13:$E$101)=$F351)*(Adders!G$13:G$101))+VLOOKUP($H351,Adders!$B$5:$G$8,N$11,FALSE)+Matrix!$D$2)*IF($D351="NJ",1.07,1))/$L$10,CHOOSE($M$10,$L$9,$M$9)))</f>
        <v xml:space="preserve"> 38.64 </v>
      </c>
      <c r="O351" s="112"/>
    </row>
    <row r="352" spans="2:15" x14ac:dyDescent="0.25">
      <c r="B352" s="160" t="s">
        <v>673</v>
      </c>
      <c r="C352" s="135">
        <f t="shared" si="9"/>
        <v>42278</v>
      </c>
      <c r="D352" s="136" t="s">
        <v>6</v>
      </c>
      <c r="E352" s="137" t="s">
        <v>14</v>
      </c>
      <c r="F352" s="136" t="s">
        <v>15</v>
      </c>
      <c r="G352" s="137" t="str">
        <f t="shared" si="10"/>
        <v>General Service Small</v>
      </c>
      <c r="H352" s="138" t="s">
        <v>690</v>
      </c>
      <c r="I352" s="176" t="str">
        <f>TEXT(   (SUMPRODUCT( ((Main!$H$9:$H$1000)=$E352)*((Main!$J$9:$J$1000)=$F352)*((Main!$O$9:$O$1000)=$C352)*(Main!R$9:R$1000) ) +  ( SUMPRODUCT( ((Adders!$D$13:$D$101)=$E352)*((Adders!$E$13:$E$101)=$F352)*(Adders!G$13:G$101)) + VLOOKUP($H352,Adders!$B$5:$G$8,L$11,FALSE)  +  PA!$D$2 ) * IF($D352="NJ",1.07,1))/$L$10, CHOOSE($M$10,$L$9,$M$9) )</f>
        <v xml:space="preserve"> 80.65 </v>
      </c>
      <c r="J352" s="176" t="str">
        <f>TEXT(   (SUMPRODUCT( ((Main!$H$9:$H$1000)=$E352)*((Main!$J$9:$J$1000)=$F352)*((Main!$O$9:$O$1000)=$C352)*(Main!S$9:S$1000) ) +  ( SUMPRODUCT( ((Adders!$D$13:$D$101)=$E352)*((Adders!$E$13:$E$101)=$F352)*(Adders!H$13:H$101)) + VLOOKUP($H352,Adders!$B$5:$G$8,M$11,FALSE)  +  PA!$D$2 ) * IF($D352="NJ",1.07,1))/$L$10, CHOOSE($M$10,$L$9,$M$9) )</f>
        <v xml:space="preserve"> 80.18 </v>
      </c>
      <c r="K352" s="177" t="str">
        <f>TEXT(   (SUMPRODUCT( ((Main!$H$9:$H$1000)=$E352)*((Main!$J$9:$J$1000)=$F352)*((Main!$O$9:$O$1000)=$C352)*(Main!T$9:T$1000) ) +  ( SUMPRODUCT( ((Adders!$D$13:$D$101)=$E352)*((Adders!$E$13:$E$101)=$F352)*(Adders!I$13:I$101)) + VLOOKUP($H352,Adders!$B$5:$G$8,N$11,FALSE)  +  PA!$D$2 ) * IF($D352="NJ",1.07,1))/$L$10, CHOOSE($M$10,$L$9,$M$9) )</f>
        <v xml:space="preserve"> 79.44 </v>
      </c>
      <c r="L352" s="176" t="str">
        <f>IF(AND($D$11="IL",$E352="AMEREN"),"NA",TEXT((SUMPRODUCT(((LMPMain!$H$9:$H$1000)=$E352)*((LMPMain!$J$9:$J$1000)=$F352)*((LMPMain!$O$9:$O$1000)=$C352)*(LMPMain!R$9:R$1000))+(SUMPRODUCT(((Adders!$D$13:$D$101)=$E352)*((Adders!$E$13:$E$101)=$F352)*(Adders!G$13:G$101))+VLOOKUP($H352,Adders!$B$5:$G$8,L$11,FALSE)+Matrix!$D$2)*IF($D352="NJ",1.07,1))/$L$10,CHOOSE($M$10,$L$9,$M$9)))</f>
        <v xml:space="preserve"> 38.97 </v>
      </c>
      <c r="M352" s="176" t="str">
        <f>IF(AND($D$11="IL",$E352="AMEREN"),"NA",TEXT((SUMPRODUCT(((LMPMain!$H$9:$H$1000)=$E352)*((LMPMain!$J$9:$J$1000)=$F352)*((LMPMain!$O$9:$O$1000)=$C352)*(LMPMain!S$9:S$1000))+(SUMPRODUCT(((Adders!$D$13:$D$101)=$E352)*((Adders!$E$13:$E$101)=$F352)*(Adders!H$13:H$101))+VLOOKUP($H352,Adders!$B$5:$G$8,M$11,FALSE)+Matrix!$D$2)*IF($D352="NJ",1.07,1))/$L$10,CHOOSE($M$10,$L$9,$M$9)))</f>
        <v xml:space="preserve"> 37.81 </v>
      </c>
      <c r="N352" s="177" t="str">
        <f>IF(AND($D$11="IL",$E352="AMEREN"),"NA",TEXT((SUMPRODUCT(((LMPMain!$H$9:$H$1000)=$E352)*((LMPMain!$J$9:$J$1000)=$F352)*((LMPMain!$O$9:$O$1000)=$C352)*(LMPMain!T$9:T$1000))+(SUMPRODUCT(((Adders!$D$13:$D$101)=$E352)*((Adders!$E$13:$E$101)=$F352)*(Adders!G$13:G$101))+VLOOKUP($H352,Adders!$B$5:$G$8,N$11,FALSE)+Matrix!$D$2)*IF($D352="NJ",1.07,1))/$L$10,CHOOSE($M$10,$L$9,$M$9)))</f>
        <v xml:space="preserve"> 37.59 </v>
      </c>
      <c r="O352" s="112"/>
    </row>
    <row r="353" spans="2:15" x14ac:dyDescent="0.25">
      <c r="B353" s="160" t="s">
        <v>673</v>
      </c>
      <c r="C353" s="127">
        <f t="shared" si="9"/>
        <v>42309</v>
      </c>
      <c r="D353" s="128" t="s">
        <v>6</v>
      </c>
      <c r="E353" s="129" t="s">
        <v>14</v>
      </c>
      <c r="F353" s="128" t="s">
        <v>15</v>
      </c>
      <c r="G353" s="129" t="str">
        <f t="shared" si="10"/>
        <v>General Service Small</v>
      </c>
      <c r="H353" s="130" t="s">
        <v>61</v>
      </c>
      <c r="I353" s="178" t="str">
        <f>TEXT(   (SUMPRODUCT( ((Main!$H$9:$H$1000)=$E353)*((Main!$J$9:$J$1000)=$F353)*((Main!$O$9:$O$1000)=$C353)*(Main!R$9:R$1000) ) +  ( SUMPRODUCT( ((Adders!$D$13:$D$101)=$E353)*((Adders!$E$13:$E$101)=$F353)*(Adders!G$13:G$101)) + VLOOKUP($H353,Adders!$B$5:$G$8,L$11,FALSE)  +  PA!$D$2 ) * IF($D353="NJ",1.07,1))/$L$10, CHOOSE($M$10,$L$9,$M$9) )</f>
        <v xml:space="preserve"> 82.94 </v>
      </c>
      <c r="J353" s="178" t="str">
        <f>TEXT(   (SUMPRODUCT( ((Main!$H$9:$H$1000)=$E353)*((Main!$J$9:$J$1000)=$F353)*((Main!$O$9:$O$1000)=$C353)*(Main!S$9:S$1000) ) +  ( SUMPRODUCT( ((Adders!$D$13:$D$101)=$E353)*((Adders!$E$13:$E$101)=$F353)*(Adders!H$13:H$101)) + VLOOKUP($H353,Adders!$B$5:$G$8,M$11,FALSE)  +  PA!$D$2 ) * IF($D353="NJ",1.07,1))/$L$10, CHOOSE($M$10,$L$9,$M$9) )</f>
        <v xml:space="preserve"> 82.74 </v>
      </c>
      <c r="K353" s="179" t="str">
        <f>TEXT(   (SUMPRODUCT( ((Main!$H$9:$H$1000)=$E353)*((Main!$J$9:$J$1000)=$F353)*((Main!$O$9:$O$1000)=$C353)*(Main!T$9:T$1000) ) +  ( SUMPRODUCT( ((Adders!$D$13:$D$101)=$E353)*((Adders!$E$13:$E$101)=$F353)*(Adders!I$13:I$101)) + VLOOKUP($H353,Adders!$B$5:$G$8,N$11,FALSE)  +  PA!$D$2 ) * IF($D353="NJ",1.07,1))/$L$10, CHOOSE($M$10,$L$9,$M$9) )</f>
        <v xml:space="preserve"> 81.95 </v>
      </c>
      <c r="L353" s="178" t="str">
        <f>IF(AND($D$11="IL",$E353="AMEREN"),"NA",TEXT((SUMPRODUCT(((LMPMain!$H$9:$H$1000)=$E353)*((LMPMain!$J$9:$J$1000)=$F353)*((LMPMain!$O$9:$O$1000)=$C353)*(LMPMain!R$9:R$1000))+(SUMPRODUCT(((Adders!$D$13:$D$101)=$E353)*((Adders!$E$13:$E$101)=$F353)*(Adders!G$13:G$101))+VLOOKUP($H353,Adders!$B$5:$G$8,L$11,FALSE)+Matrix!$D$2)*IF($D353="NJ",1.07,1))/$L$10,CHOOSE($M$10,$L$9,$M$9)))</f>
        <v xml:space="preserve"> 41.25 </v>
      </c>
      <c r="M353" s="178" t="str">
        <f>IF(AND($D$11="IL",$E353="AMEREN"),"NA",TEXT((SUMPRODUCT(((LMPMain!$H$9:$H$1000)=$E353)*((LMPMain!$J$9:$J$1000)=$F353)*((LMPMain!$O$9:$O$1000)=$C353)*(LMPMain!S$9:S$1000))+(SUMPRODUCT(((Adders!$D$13:$D$101)=$E353)*((Adders!$E$13:$E$101)=$F353)*(Adders!H$13:H$101))+VLOOKUP($H353,Adders!$B$5:$G$8,M$11,FALSE)+Matrix!$D$2)*IF($D353="NJ",1.07,1))/$L$10,CHOOSE($M$10,$L$9,$M$9)))</f>
        <v xml:space="preserve"> 40.24 </v>
      </c>
      <c r="N353" s="179" t="str">
        <f>IF(AND($D$11="IL",$E353="AMEREN"),"NA",TEXT((SUMPRODUCT(((LMPMain!$H$9:$H$1000)=$E353)*((LMPMain!$J$9:$J$1000)=$F353)*((LMPMain!$O$9:$O$1000)=$C353)*(LMPMain!T$9:T$1000))+(SUMPRODUCT(((Adders!$D$13:$D$101)=$E353)*((Adders!$E$13:$E$101)=$F353)*(Adders!G$13:G$101))+VLOOKUP($H353,Adders!$B$5:$G$8,N$11,FALSE)+Matrix!$D$2)*IF($D353="NJ",1.07,1))/$L$10,CHOOSE($M$10,$L$9,$M$9)))</f>
        <v xml:space="preserve"> 40.06 </v>
      </c>
      <c r="O353" s="112"/>
    </row>
    <row r="354" spans="2:15" x14ac:dyDescent="0.25">
      <c r="B354" s="160" t="s">
        <v>673</v>
      </c>
      <c r="C354" s="131">
        <f t="shared" si="9"/>
        <v>42309</v>
      </c>
      <c r="D354" s="132" t="s">
        <v>6</v>
      </c>
      <c r="E354" s="133" t="s">
        <v>14</v>
      </c>
      <c r="F354" s="132" t="s">
        <v>15</v>
      </c>
      <c r="G354" s="133" t="str">
        <f t="shared" si="10"/>
        <v>General Service Small</v>
      </c>
      <c r="H354" s="134" t="s">
        <v>62</v>
      </c>
      <c r="I354" s="173" t="str">
        <f>TEXT(   (SUMPRODUCT( ((Main!$H$9:$H$1000)=$E354)*((Main!$J$9:$J$1000)=$F354)*((Main!$O$9:$O$1000)=$C354)*(Main!R$9:R$1000) ) +  ( SUMPRODUCT( ((Adders!$D$13:$D$101)=$E354)*((Adders!$E$13:$E$101)=$F354)*(Adders!G$13:G$101)) + VLOOKUP($H354,Adders!$B$5:$G$8,L$11,FALSE)  +  PA!$D$2 ) * IF($D354="NJ",1.07,1))/$L$10, CHOOSE($M$10,$L$9,$M$9) )</f>
        <v xml:space="preserve"> 81.34 </v>
      </c>
      <c r="J354" s="173" t="str">
        <f>TEXT(   (SUMPRODUCT( ((Main!$H$9:$H$1000)=$E354)*((Main!$J$9:$J$1000)=$F354)*((Main!$O$9:$O$1000)=$C354)*(Main!S$9:S$1000) ) +  ( SUMPRODUCT( ((Adders!$D$13:$D$101)=$E354)*((Adders!$E$13:$E$101)=$F354)*(Adders!H$13:H$101)) + VLOOKUP($H354,Adders!$B$5:$G$8,M$11,FALSE)  +  PA!$D$2 ) * IF($D354="NJ",1.07,1))/$L$10, CHOOSE($M$10,$L$9,$M$9) )</f>
        <v xml:space="preserve"> 81.14 </v>
      </c>
      <c r="K354" s="174" t="str">
        <f>TEXT(   (SUMPRODUCT( ((Main!$H$9:$H$1000)=$E354)*((Main!$J$9:$J$1000)=$F354)*((Main!$O$9:$O$1000)=$C354)*(Main!T$9:T$1000) ) +  ( SUMPRODUCT( ((Adders!$D$13:$D$101)=$E354)*((Adders!$E$13:$E$101)=$F354)*(Adders!I$13:I$101)) + VLOOKUP($H354,Adders!$B$5:$G$8,N$11,FALSE)  +  PA!$D$2 ) * IF($D354="NJ",1.07,1))/$L$10, CHOOSE($M$10,$L$9,$M$9) )</f>
        <v xml:space="preserve"> 80.35 </v>
      </c>
      <c r="L354" s="173" t="str">
        <f>IF(AND($D$11="IL",$E354="AMEREN"),"NA",TEXT((SUMPRODUCT(((LMPMain!$H$9:$H$1000)=$E354)*((LMPMain!$J$9:$J$1000)=$F354)*((LMPMain!$O$9:$O$1000)=$C354)*(LMPMain!R$9:R$1000))+(SUMPRODUCT(((Adders!$D$13:$D$101)=$E354)*((Adders!$E$13:$E$101)=$F354)*(Adders!G$13:G$101))+VLOOKUP($H354,Adders!$B$5:$G$8,L$11,FALSE)+Matrix!$D$2)*IF($D354="NJ",1.07,1))/$L$10,CHOOSE($M$10,$L$9,$M$9)))</f>
        <v xml:space="preserve"> 39.65 </v>
      </c>
      <c r="M354" s="173" t="str">
        <f>IF(AND($D$11="IL",$E354="AMEREN"),"NA",TEXT((SUMPRODUCT(((LMPMain!$H$9:$H$1000)=$E354)*((LMPMain!$J$9:$J$1000)=$F354)*((LMPMain!$O$9:$O$1000)=$C354)*(LMPMain!S$9:S$1000))+(SUMPRODUCT(((Adders!$D$13:$D$101)=$E354)*((Adders!$E$13:$E$101)=$F354)*(Adders!H$13:H$101))+VLOOKUP($H354,Adders!$B$5:$G$8,M$11,FALSE)+Matrix!$D$2)*IF($D354="NJ",1.07,1))/$L$10,CHOOSE($M$10,$L$9,$M$9)))</f>
        <v xml:space="preserve"> 38.64 </v>
      </c>
      <c r="N354" s="174" t="str">
        <f>IF(AND($D$11="IL",$E354="AMEREN"),"NA",TEXT((SUMPRODUCT(((LMPMain!$H$9:$H$1000)=$E354)*((LMPMain!$J$9:$J$1000)=$F354)*((LMPMain!$O$9:$O$1000)=$C354)*(LMPMain!T$9:T$1000))+(SUMPRODUCT(((Adders!$D$13:$D$101)=$E354)*((Adders!$E$13:$E$101)=$F354)*(Adders!G$13:G$101))+VLOOKUP($H354,Adders!$B$5:$G$8,N$11,FALSE)+Matrix!$D$2)*IF($D354="NJ",1.07,1))/$L$10,CHOOSE($M$10,$L$9,$M$9)))</f>
        <v xml:space="preserve"> 38.46 </v>
      </c>
      <c r="O354" s="112"/>
    </row>
    <row r="355" spans="2:15" x14ac:dyDescent="0.25">
      <c r="B355" s="160" t="s">
        <v>673</v>
      </c>
      <c r="C355" s="135">
        <f t="shared" si="9"/>
        <v>42309</v>
      </c>
      <c r="D355" s="136" t="s">
        <v>6</v>
      </c>
      <c r="E355" s="137" t="s">
        <v>14</v>
      </c>
      <c r="F355" s="136" t="s">
        <v>15</v>
      </c>
      <c r="G355" s="137" t="str">
        <f t="shared" si="10"/>
        <v>General Service Small</v>
      </c>
      <c r="H355" s="138" t="s">
        <v>690</v>
      </c>
      <c r="I355" s="176" t="str">
        <f>TEXT(   (SUMPRODUCT( ((Main!$H$9:$H$1000)=$E355)*((Main!$J$9:$J$1000)=$F355)*((Main!$O$9:$O$1000)=$C355)*(Main!R$9:R$1000) ) +  ( SUMPRODUCT( ((Adders!$D$13:$D$101)=$E355)*((Adders!$E$13:$E$101)=$F355)*(Adders!G$13:G$101)) + VLOOKUP($H355,Adders!$B$5:$G$8,L$11,FALSE)  +  PA!$D$2 ) * IF($D355="NJ",1.07,1))/$L$10, CHOOSE($M$10,$L$9,$M$9) )</f>
        <v xml:space="preserve"> 80.29 </v>
      </c>
      <c r="J355" s="176" t="str">
        <f>TEXT(   (SUMPRODUCT( ((Main!$H$9:$H$1000)=$E355)*((Main!$J$9:$J$1000)=$F355)*((Main!$O$9:$O$1000)=$C355)*(Main!S$9:S$1000) ) +  ( SUMPRODUCT( ((Adders!$D$13:$D$101)=$E355)*((Adders!$E$13:$E$101)=$F355)*(Adders!H$13:H$101)) + VLOOKUP($H355,Adders!$B$5:$G$8,M$11,FALSE)  +  PA!$D$2 ) * IF($D355="NJ",1.07,1))/$L$10, CHOOSE($M$10,$L$9,$M$9) )</f>
        <v xml:space="preserve"> 80.09 </v>
      </c>
      <c r="K355" s="177" t="str">
        <f>TEXT(   (SUMPRODUCT( ((Main!$H$9:$H$1000)=$E355)*((Main!$J$9:$J$1000)=$F355)*((Main!$O$9:$O$1000)=$C355)*(Main!T$9:T$1000) ) +  ( SUMPRODUCT( ((Adders!$D$13:$D$101)=$E355)*((Adders!$E$13:$E$101)=$F355)*(Adders!I$13:I$101)) + VLOOKUP($H355,Adders!$B$5:$G$8,N$11,FALSE)  +  PA!$D$2 ) * IF($D355="NJ",1.07,1))/$L$10, CHOOSE($M$10,$L$9,$M$9) )</f>
        <v xml:space="preserve"> 79.30 </v>
      </c>
      <c r="L355" s="176" t="str">
        <f>IF(AND($D$11="IL",$E355="AMEREN"),"NA",TEXT((SUMPRODUCT(((LMPMain!$H$9:$H$1000)=$E355)*((LMPMain!$J$9:$J$1000)=$F355)*((LMPMain!$O$9:$O$1000)=$C355)*(LMPMain!R$9:R$1000))+(SUMPRODUCT(((Adders!$D$13:$D$101)=$E355)*((Adders!$E$13:$E$101)=$F355)*(Adders!G$13:G$101))+VLOOKUP($H355,Adders!$B$5:$G$8,L$11,FALSE)+Matrix!$D$2)*IF($D355="NJ",1.07,1))/$L$10,CHOOSE($M$10,$L$9,$M$9)))</f>
        <v xml:space="preserve"> 38.60 </v>
      </c>
      <c r="M355" s="176" t="str">
        <f>IF(AND($D$11="IL",$E355="AMEREN"),"NA",TEXT((SUMPRODUCT(((LMPMain!$H$9:$H$1000)=$E355)*((LMPMain!$J$9:$J$1000)=$F355)*((LMPMain!$O$9:$O$1000)=$C355)*(LMPMain!S$9:S$1000))+(SUMPRODUCT(((Adders!$D$13:$D$101)=$E355)*((Adders!$E$13:$E$101)=$F355)*(Adders!H$13:H$101))+VLOOKUP($H355,Adders!$B$5:$G$8,M$11,FALSE)+Matrix!$D$2)*IF($D355="NJ",1.07,1))/$L$10,CHOOSE($M$10,$L$9,$M$9)))</f>
        <v xml:space="preserve"> 37.59 </v>
      </c>
      <c r="N355" s="177" t="str">
        <f>IF(AND($D$11="IL",$E355="AMEREN"),"NA",TEXT((SUMPRODUCT(((LMPMain!$H$9:$H$1000)=$E355)*((LMPMain!$J$9:$J$1000)=$F355)*((LMPMain!$O$9:$O$1000)=$C355)*(LMPMain!T$9:T$1000))+(SUMPRODUCT(((Adders!$D$13:$D$101)=$E355)*((Adders!$E$13:$E$101)=$F355)*(Adders!G$13:G$101))+VLOOKUP($H355,Adders!$B$5:$G$8,N$11,FALSE)+Matrix!$D$2)*IF($D355="NJ",1.07,1))/$L$10,CHOOSE($M$10,$L$9,$M$9)))</f>
        <v xml:space="preserve"> 37.41 </v>
      </c>
      <c r="O355" s="112"/>
    </row>
    <row r="356" spans="2:15" x14ac:dyDescent="0.25">
      <c r="B356" s="160" t="s">
        <v>673</v>
      </c>
      <c r="C356" s="127">
        <f t="shared" si="9"/>
        <v>42339</v>
      </c>
      <c r="D356" s="128" t="s">
        <v>6</v>
      </c>
      <c r="E356" s="129" t="s">
        <v>14</v>
      </c>
      <c r="F356" s="128" t="s">
        <v>15</v>
      </c>
      <c r="G356" s="129" t="str">
        <f t="shared" si="10"/>
        <v>General Service Small</v>
      </c>
      <c r="H356" s="130" t="s">
        <v>61</v>
      </c>
      <c r="I356" s="178" t="str">
        <f>TEXT(   (SUMPRODUCT( ((Main!$H$9:$H$1000)=$E356)*((Main!$J$9:$J$1000)=$F356)*((Main!$O$9:$O$1000)=$C356)*(Main!R$9:R$1000) ) +  ( SUMPRODUCT( ((Adders!$D$13:$D$101)=$E356)*((Adders!$E$13:$E$101)=$F356)*(Adders!G$13:G$101)) + VLOOKUP($H356,Adders!$B$5:$G$8,L$11,FALSE)  +  PA!$D$2 ) * IF($D356="NJ",1.07,1))/$L$10, CHOOSE($M$10,$L$9,$M$9) )</f>
        <v xml:space="preserve"> 82.67 </v>
      </c>
      <c r="J356" s="178" t="str">
        <f>TEXT(   (SUMPRODUCT( ((Main!$H$9:$H$1000)=$E356)*((Main!$J$9:$J$1000)=$F356)*((Main!$O$9:$O$1000)=$C356)*(Main!S$9:S$1000) ) +  ( SUMPRODUCT( ((Adders!$D$13:$D$101)=$E356)*((Adders!$E$13:$E$101)=$F356)*(Adders!H$13:H$101)) + VLOOKUP($H356,Adders!$B$5:$G$8,M$11,FALSE)  +  PA!$D$2 ) * IF($D356="NJ",1.07,1))/$L$10, CHOOSE($M$10,$L$9,$M$9) )</f>
        <v xml:space="preserve"> 82.67 </v>
      </c>
      <c r="K356" s="179" t="str">
        <f>TEXT(   (SUMPRODUCT( ((Main!$H$9:$H$1000)=$E356)*((Main!$J$9:$J$1000)=$F356)*((Main!$O$9:$O$1000)=$C356)*(Main!T$9:T$1000) ) +  ( SUMPRODUCT( ((Adders!$D$13:$D$101)=$E356)*((Adders!$E$13:$E$101)=$F356)*(Adders!I$13:I$101)) + VLOOKUP($H356,Adders!$B$5:$G$8,N$11,FALSE)  +  PA!$D$2 ) * IF($D356="NJ",1.07,1))/$L$10, CHOOSE($M$10,$L$9,$M$9) )</f>
        <v xml:space="preserve"> 81.82 </v>
      </c>
      <c r="L356" s="178" t="str">
        <f>IF(AND($D$11="IL",$E356="AMEREN"),"NA",TEXT((SUMPRODUCT(((LMPMain!$H$9:$H$1000)=$E356)*((LMPMain!$J$9:$J$1000)=$F356)*((LMPMain!$O$9:$O$1000)=$C356)*(LMPMain!R$9:R$1000))+(SUMPRODUCT(((Adders!$D$13:$D$101)=$E356)*((Adders!$E$13:$E$101)=$F356)*(Adders!G$13:G$101))+VLOOKUP($H356,Adders!$B$5:$G$8,L$11,FALSE)+Matrix!$D$2)*IF($D356="NJ",1.07,1))/$L$10,CHOOSE($M$10,$L$9,$M$9)))</f>
        <v xml:space="preserve"> 40.88 </v>
      </c>
      <c r="M356" s="178" t="str">
        <f>IF(AND($D$11="IL",$E356="AMEREN"),"NA",TEXT((SUMPRODUCT(((LMPMain!$H$9:$H$1000)=$E356)*((LMPMain!$J$9:$J$1000)=$F356)*((LMPMain!$O$9:$O$1000)=$C356)*(LMPMain!S$9:S$1000))+(SUMPRODUCT(((Adders!$D$13:$D$101)=$E356)*((Adders!$E$13:$E$101)=$F356)*(Adders!H$13:H$101))+VLOOKUP($H356,Adders!$B$5:$G$8,M$11,FALSE)+Matrix!$D$2)*IF($D356="NJ",1.07,1))/$L$10,CHOOSE($M$10,$L$9,$M$9)))</f>
        <v xml:space="preserve"> 40.11 </v>
      </c>
      <c r="N356" s="179" t="str">
        <f>IF(AND($D$11="IL",$E356="AMEREN"),"NA",TEXT((SUMPRODUCT(((LMPMain!$H$9:$H$1000)=$E356)*((LMPMain!$J$9:$J$1000)=$F356)*((LMPMain!$O$9:$O$1000)=$C356)*(LMPMain!T$9:T$1000))+(SUMPRODUCT(((Adders!$D$13:$D$101)=$E356)*((Adders!$E$13:$E$101)=$F356)*(Adders!G$13:G$101))+VLOOKUP($H356,Adders!$B$5:$G$8,N$11,FALSE)+Matrix!$D$2)*IF($D356="NJ",1.07,1))/$L$10,CHOOSE($M$10,$L$9,$M$9)))</f>
        <v xml:space="preserve"> 39.85 </v>
      </c>
      <c r="O356" s="112"/>
    </row>
    <row r="357" spans="2:15" x14ac:dyDescent="0.25">
      <c r="B357" s="160" t="s">
        <v>673</v>
      </c>
      <c r="C357" s="131">
        <f t="shared" si="9"/>
        <v>42339</v>
      </c>
      <c r="D357" s="132" t="s">
        <v>6</v>
      </c>
      <c r="E357" s="133" t="s">
        <v>14</v>
      </c>
      <c r="F357" s="132" t="s">
        <v>15</v>
      </c>
      <c r="G357" s="133" t="str">
        <f t="shared" si="10"/>
        <v>General Service Small</v>
      </c>
      <c r="H357" s="134" t="s">
        <v>62</v>
      </c>
      <c r="I357" s="173" t="str">
        <f>TEXT(   (SUMPRODUCT( ((Main!$H$9:$H$1000)=$E357)*((Main!$J$9:$J$1000)=$F357)*((Main!$O$9:$O$1000)=$C357)*(Main!R$9:R$1000) ) +  ( SUMPRODUCT( ((Adders!$D$13:$D$101)=$E357)*((Adders!$E$13:$E$101)=$F357)*(Adders!G$13:G$101)) + VLOOKUP($H357,Adders!$B$5:$G$8,L$11,FALSE)  +  PA!$D$2 ) * IF($D357="NJ",1.07,1))/$L$10, CHOOSE($M$10,$L$9,$M$9) )</f>
        <v xml:space="preserve"> 81.07 </v>
      </c>
      <c r="J357" s="173" t="str">
        <f>TEXT(   (SUMPRODUCT( ((Main!$H$9:$H$1000)=$E357)*((Main!$J$9:$J$1000)=$F357)*((Main!$O$9:$O$1000)=$C357)*(Main!S$9:S$1000) ) +  ( SUMPRODUCT( ((Adders!$D$13:$D$101)=$E357)*((Adders!$E$13:$E$101)=$F357)*(Adders!H$13:H$101)) + VLOOKUP($H357,Adders!$B$5:$G$8,M$11,FALSE)  +  PA!$D$2 ) * IF($D357="NJ",1.07,1))/$L$10, CHOOSE($M$10,$L$9,$M$9) )</f>
        <v xml:space="preserve"> 81.07 </v>
      </c>
      <c r="K357" s="174" t="str">
        <f>TEXT(   (SUMPRODUCT( ((Main!$H$9:$H$1000)=$E357)*((Main!$J$9:$J$1000)=$F357)*((Main!$O$9:$O$1000)=$C357)*(Main!T$9:T$1000) ) +  ( SUMPRODUCT( ((Adders!$D$13:$D$101)=$E357)*((Adders!$E$13:$E$101)=$F357)*(Adders!I$13:I$101)) + VLOOKUP($H357,Adders!$B$5:$G$8,N$11,FALSE)  +  PA!$D$2 ) * IF($D357="NJ",1.07,1))/$L$10, CHOOSE($M$10,$L$9,$M$9) )</f>
        <v xml:space="preserve"> 80.22 </v>
      </c>
      <c r="L357" s="173" t="str">
        <f>IF(AND($D$11="IL",$E357="AMEREN"),"NA",TEXT((SUMPRODUCT(((LMPMain!$H$9:$H$1000)=$E357)*((LMPMain!$J$9:$J$1000)=$F357)*((LMPMain!$O$9:$O$1000)=$C357)*(LMPMain!R$9:R$1000))+(SUMPRODUCT(((Adders!$D$13:$D$101)=$E357)*((Adders!$E$13:$E$101)=$F357)*(Adders!G$13:G$101))+VLOOKUP($H357,Adders!$B$5:$G$8,L$11,FALSE)+Matrix!$D$2)*IF($D357="NJ",1.07,1))/$L$10,CHOOSE($M$10,$L$9,$M$9)))</f>
        <v xml:space="preserve"> 39.28 </v>
      </c>
      <c r="M357" s="173" t="str">
        <f>IF(AND($D$11="IL",$E357="AMEREN"),"NA",TEXT((SUMPRODUCT(((LMPMain!$H$9:$H$1000)=$E357)*((LMPMain!$J$9:$J$1000)=$F357)*((LMPMain!$O$9:$O$1000)=$C357)*(LMPMain!S$9:S$1000))+(SUMPRODUCT(((Adders!$D$13:$D$101)=$E357)*((Adders!$E$13:$E$101)=$F357)*(Adders!H$13:H$101))+VLOOKUP($H357,Adders!$B$5:$G$8,M$11,FALSE)+Matrix!$D$2)*IF($D357="NJ",1.07,1))/$L$10,CHOOSE($M$10,$L$9,$M$9)))</f>
        <v xml:space="preserve"> 38.51 </v>
      </c>
      <c r="N357" s="174" t="str">
        <f>IF(AND($D$11="IL",$E357="AMEREN"),"NA",TEXT((SUMPRODUCT(((LMPMain!$H$9:$H$1000)=$E357)*((LMPMain!$J$9:$J$1000)=$F357)*((LMPMain!$O$9:$O$1000)=$C357)*(LMPMain!T$9:T$1000))+(SUMPRODUCT(((Adders!$D$13:$D$101)=$E357)*((Adders!$E$13:$E$101)=$F357)*(Adders!G$13:G$101))+VLOOKUP($H357,Adders!$B$5:$G$8,N$11,FALSE)+Matrix!$D$2)*IF($D357="NJ",1.07,1))/$L$10,CHOOSE($M$10,$L$9,$M$9)))</f>
        <v xml:space="preserve"> 38.25 </v>
      </c>
      <c r="O357" s="112"/>
    </row>
    <row r="358" spans="2:15" x14ac:dyDescent="0.25">
      <c r="B358" s="160" t="s">
        <v>673</v>
      </c>
      <c r="C358" s="135">
        <f t="shared" si="9"/>
        <v>42339</v>
      </c>
      <c r="D358" s="136" t="s">
        <v>6</v>
      </c>
      <c r="E358" s="137" t="s">
        <v>14</v>
      </c>
      <c r="F358" s="136" t="s">
        <v>15</v>
      </c>
      <c r="G358" s="137" t="str">
        <f t="shared" si="10"/>
        <v>General Service Small</v>
      </c>
      <c r="H358" s="138" t="s">
        <v>690</v>
      </c>
      <c r="I358" s="176" t="str">
        <f>TEXT(   (SUMPRODUCT( ((Main!$H$9:$H$1000)=$E358)*((Main!$J$9:$J$1000)=$F358)*((Main!$O$9:$O$1000)=$C358)*(Main!R$9:R$1000) ) +  ( SUMPRODUCT( ((Adders!$D$13:$D$101)=$E358)*((Adders!$E$13:$E$101)=$F358)*(Adders!G$13:G$101)) + VLOOKUP($H358,Adders!$B$5:$G$8,L$11,FALSE)  +  PA!$D$2 ) * IF($D358="NJ",1.07,1))/$L$10, CHOOSE($M$10,$L$9,$M$9) )</f>
        <v xml:space="preserve"> 80.02 </v>
      </c>
      <c r="J358" s="176" t="str">
        <f>TEXT(   (SUMPRODUCT( ((Main!$H$9:$H$1000)=$E358)*((Main!$J$9:$J$1000)=$F358)*((Main!$O$9:$O$1000)=$C358)*(Main!S$9:S$1000) ) +  ( SUMPRODUCT( ((Adders!$D$13:$D$101)=$E358)*((Adders!$E$13:$E$101)=$F358)*(Adders!H$13:H$101)) + VLOOKUP($H358,Adders!$B$5:$G$8,M$11,FALSE)  +  PA!$D$2 ) * IF($D358="NJ",1.07,1))/$L$10, CHOOSE($M$10,$L$9,$M$9) )</f>
        <v xml:space="preserve"> 80.02 </v>
      </c>
      <c r="K358" s="177" t="str">
        <f>TEXT(   (SUMPRODUCT( ((Main!$H$9:$H$1000)=$E358)*((Main!$J$9:$J$1000)=$F358)*((Main!$O$9:$O$1000)=$C358)*(Main!T$9:T$1000) ) +  ( SUMPRODUCT( ((Adders!$D$13:$D$101)=$E358)*((Adders!$E$13:$E$101)=$F358)*(Adders!I$13:I$101)) + VLOOKUP($H358,Adders!$B$5:$G$8,N$11,FALSE)  +  PA!$D$2 ) * IF($D358="NJ",1.07,1))/$L$10, CHOOSE($M$10,$L$9,$M$9) )</f>
        <v xml:space="preserve"> 79.17 </v>
      </c>
      <c r="L358" s="176" t="str">
        <f>IF(AND($D$11="IL",$E358="AMEREN"),"NA",TEXT((SUMPRODUCT(((LMPMain!$H$9:$H$1000)=$E358)*((LMPMain!$J$9:$J$1000)=$F358)*((LMPMain!$O$9:$O$1000)=$C358)*(LMPMain!R$9:R$1000))+(SUMPRODUCT(((Adders!$D$13:$D$101)=$E358)*((Adders!$E$13:$E$101)=$F358)*(Adders!G$13:G$101))+VLOOKUP($H358,Adders!$B$5:$G$8,L$11,FALSE)+Matrix!$D$2)*IF($D358="NJ",1.07,1))/$L$10,CHOOSE($M$10,$L$9,$M$9)))</f>
        <v xml:space="preserve"> 38.23 </v>
      </c>
      <c r="M358" s="176" t="str">
        <f>IF(AND($D$11="IL",$E358="AMEREN"),"NA",TEXT((SUMPRODUCT(((LMPMain!$H$9:$H$1000)=$E358)*((LMPMain!$J$9:$J$1000)=$F358)*((LMPMain!$O$9:$O$1000)=$C358)*(LMPMain!S$9:S$1000))+(SUMPRODUCT(((Adders!$D$13:$D$101)=$E358)*((Adders!$E$13:$E$101)=$F358)*(Adders!H$13:H$101))+VLOOKUP($H358,Adders!$B$5:$G$8,M$11,FALSE)+Matrix!$D$2)*IF($D358="NJ",1.07,1))/$L$10,CHOOSE($M$10,$L$9,$M$9)))</f>
        <v xml:space="preserve"> 37.46 </v>
      </c>
      <c r="N358" s="177" t="str">
        <f>IF(AND($D$11="IL",$E358="AMEREN"),"NA",TEXT((SUMPRODUCT(((LMPMain!$H$9:$H$1000)=$E358)*((LMPMain!$J$9:$J$1000)=$F358)*((LMPMain!$O$9:$O$1000)=$C358)*(LMPMain!T$9:T$1000))+(SUMPRODUCT(((Adders!$D$13:$D$101)=$E358)*((Adders!$E$13:$E$101)=$F358)*(Adders!G$13:G$101))+VLOOKUP($H358,Adders!$B$5:$G$8,N$11,FALSE)+Matrix!$D$2)*IF($D358="NJ",1.07,1))/$L$10,CHOOSE($M$10,$L$9,$M$9)))</f>
        <v xml:space="preserve"> 37.20 </v>
      </c>
      <c r="O358" s="112"/>
    </row>
    <row r="359" spans="2:15" x14ac:dyDescent="0.25">
      <c r="B359" s="160" t="s">
        <v>673</v>
      </c>
      <c r="C359" s="127">
        <f t="shared" si="9"/>
        <v>42370</v>
      </c>
      <c r="D359" s="128" t="s">
        <v>6</v>
      </c>
      <c r="E359" s="129" t="s">
        <v>14</v>
      </c>
      <c r="F359" s="128" t="s">
        <v>15</v>
      </c>
      <c r="G359" s="129" t="str">
        <f t="shared" si="10"/>
        <v>General Service Small</v>
      </c>
      <c r="H359" s="130" t="s">
        <v>61</v>
      </c>
      <c r="I359" s="178" t="str">
        <f>TEXT(   (SUMPRODUCT( ((Main!$H$9:$H$1000)=$E359)*((Main!$J$9:$J$1000)=$F359)*((Main!$O$9:$O$1000)=$C359)*(Main!R$9:R$1000) ) +  ( SUMPRODUCT( ((Adders!$D$13:$D$101)=$E359)*((Adders!$E$13:$E$101)=$F359)*(Adders!G$13:G$101)) + VLOOKUP($H359,Adders!$B$5:$G$8,L$11,FALSE)  +  PA!$D$2 ) * IF($D359="NJ",1.07,1))/$L$10, CHOOSE($M$10,$L$9,$M$9) )</f>
        <v xml:space="preserve"> 82.18 </v>
      </c>
      <c r="J359" s="178" t="str">
        <f>TEXT(   (SUMPRODUCT( ((Main!$H$9:$H$1000)=$E359)*((Main!$J$9:$J$1000)=$F359)*((Main!$O$9:$O$1000)=$C359)*(Main!S$9:S$1000) ) +  ( SUMPRODUCT( ((Adders!$D$13:$D$101)=$E359)*((Adders!$E$13:$E$101)=$F359)*(Adders!H$13:H$101)) + VLOOKUP($H359,Adders!$B$5:$G$8,M$11,FALSE)  +  PA!$D$2 ) * IF($D359="NJ",1.07,1))/$L$10, CHOOSE($M$10,$L$9,$M$9) )</f>
        <v xml:space="preserve"> 82.58 </v>
      </c>
      <c r="K359" s="179" t="str">
        <f>TEXT(   (SUMPRODUCT( ((Main!$H$9:$H$1000)=$E359)*((Main!$J$9:$J$1000)=$F359)*((Main!$O$9:$O$1000)=$C359)*(Main!T$9:T$1000) ) +  ( SUMPRODUCT( ((Adders!$D$13:$D$101)=$E359)*((Adders!$E$13:$E$101)=$F359)*(Adders!I$13:I$101)) + VLOOKUP($H359,Adders!$B$5:$G$8,N$11,FALSE)  +  PA!$D$2 ) * IF($D359="NJ",1.07,1))/$L$10, CHOOSE($M$10,$L$9,$M$9) )</f>
        <v xml:space="preserve"> 81.64 </v>
      </c>
      <c r="L359" s="178" t="str">
        <f>IF(AND($D$11="IL",$E359="AMEREN"),"NA",TEXT((SUMPRODUCT(((LMPMain!$H$9:$H$1000)=$E359)*((LMPMain!$J$9:$J$1000)=$F359)*((LMPMain!$O$9:$O$1000)=$C359)*(LMPMain!R$9:R$1000))+(SUMPRODUCT(((Adders!$D$13:$D$101)=$E359)*((Adders!$E$13:$E$101)=$F359)*(Adders!G$13:G$101))+VLOOKUP($H359,Adders!$B$5:$G$8,L$11,FALSE)+Matrix!$D$2)*IF($D359="NJ",1.07,1))/$L$10,CHOOSE($M$10,$L$9,$M$9)))</f>
        <v xml:space="preserve"> 40.51 </v>
      </c>
      <c r="M359" s="178" t="str">
        <f>IF(AND($D$11="IL",$E359="AMEREN"),"NA",TEXT((SUMPRODUCT(((LMPMain!$H$9:$H$1000)=$E359)*((LMPMain!$J$9:$J$1000)=$F359)*((LMPMain!$O$9:$O$1000)=$C359)*(LMPMain!S$9:S$1000))+(SUMPRODUCT(((Adders!$D$13:$D$101)=$E359)*((Adders!$E$13:$E$101)=$F359)*(Adders!H$13:H$101))+VLOOKUP($H359,Adders!$B$5:$G$8,M$11,FALSE)+Matrix!$D$2)*IF($D359="NJ",1.07,1))/$L$10,CHOOSE($M$10,$L$9,$M$9)))</f>
        <v xml:space="preserve"> 40.06 </v>
      </c>
      <c r="N359" s="179" t="str">
        <f>IF(AND($D$11="IL",$E359="AMEREN"),"NA",TEXT((SUMPRODUCT(((LMPMain!$H$9:$H$1000)=$E359)*((LMPMain!$J$9:$J$1000)=$F359)*((LMPMain!$O$9:$O$1000)=$C359)*(LMPMain!T$9:T$1000))+(SUMPRODUCT(((Adders!$D$13:$D$101)=$E359)*((Adders!$E$13:$E$101)=$F359)*(Adders!G$13:G$101))+VLOOKUP($H359,Adders!$B$5:$G$8,N$11,FALSE)+Matrix!$D$2)*IF($D359="NJ",1.07,1))/$L$10,CHOOSE($M$10,$L$9,$M$9)))</f>
        <v xml:space="preserve"> 39.68 </v>
      </c>
      <c r="O359" s="112"/>
    </row>
    <row r="360" spans="2:15" x14ac:dyDescent="0.25">
      <c r="B360" s="160" t="s">
        <v>673</v>
      </c>
      <c r="C360" s="131">
        <f t="shared" si="9"/>
        <v>42370</v>
      </c>
      <c r="D360" s="132" t="s">
        <v>6</v>
      </c>
      <c r="E360" s="133" t="s">
        <v>14</v>
      </c>
      <c r="F360" s="132" t="s">
        <v>15</v>
      </c>
      <c r="G360" s="133" t="str">
        <f t="shared" si="10"/>
        <v>General Service Small</v>
      </c>
      <c r="H360" s="134" t="s">
        <v>62</v>
      </c>
      <c r="I360" s="173" t="str">
        <f>TEXT(   (SUMPRODUCT( ((Main!$H$9:$H$1000)=$E360)*((Main!$J$9:$J$1000)=$F360)*((Main!$O$9:$O$1000)=$C360)*(Main!R$9:R$1000) ) +  ( SUMPRODUCT( ((Adders!$D$13:$D$101)=$E360)*((Adders!$E$13:$E$101)=$F360)*(Adders!G$13:G$101)) + VLOOKUP($H360,Adders!$B$5:$G$8,L$11,FALSE)  +  PA!$D$2 ) * IF($D360="NJ",1.07,1))/$L$10, CHOOSE($M$10,$L$9,$M$9) )</f>
        <v xml:space="preserve"> 80.58 </v>
      </c>
      <c r="J360" s="173" t="str">
        <f>TEXT(   (SUMPRODUCT( ((Main!$H$9:$H$1000)=$E360)*((Main!$J$9:$J$1000)=$F360)*((Main!$O$9:$O$1000)=$C360)*(Main!S$9:S$1000) ) +  ( SUMPRODUCT( ((Adders!$D$13:$D$101)=$E360)*((Adders!$E$13:$E$101)=$F360)*(Adders!H$13:H$101)) + VLOOKUP($H360,Adders!$B$5:$G$8,M$11,FALSE)  +  PA!$D$2 ) * IF($D360="NJ",1.07,1))/$L$10, CHOOSE($M$10,$L$9,$M$9) )</f>
        <v xml:space="preserve"> 80.98 </v>
      </c>
      <c r="K360" s="174" t="str">
        <f>TEXT(   (SUMPRODUCT( ((Main!$H$9:$H$1000)=$E360)*((Main!$J$9:$J$1000)=$F360)*((Main!$O$9:$O$1000)=$C360)*(Main!T$9:T$1000) ) +  ( SUMPRODUCT( ((Adders!$D$13:$D$101)=$E360)*((Adders!$E$13:$E$101)=$F360)*(Adders!I$13:I$101)) + VLOOKUP($H360,Adders!$B$5:$G$8,N$11,FALSE)  +  PA!$D$2 ) * IF($D360="NJ",1.07,1))/$L$10, CHOOSE($M$10,$L$9,$M$9) )</f>
        <v xml:space="preserve"> 80.04 </v>
      </c>
      <c r="L360" s="173" t="str">
        <f>IF(AND($D$11="IL",$E360="AMEREN"),"NA",TEXT((SUMPRODUCT(((LMPMain!$H$9:$H$1000)=$E360)*((LMPMain!$J$9:$J$1000)=$F360)*((LMPMain!$O$9:$O$1000)=$C360)*(LMPMain!R$9:R$1000))+(SUMPRODUCT(((Adders!$D$13:$D$101)=$E360)*((Adders!$E$13:$E$101)=$F360)*(Adders!G$13:G$101))+VLOOKUP($H360,Adders!$B$5:$G$8,L$11,FALSE)+Matrix!$D$2)*IF($D360="NJ",1.07,1))/$L$10,CHOOSE($M$10,$L$9,$M$9)))</f>
        <v xml:space="preserve"> 38.91 </v>
      </c>
      <c r="M360" s="173" t="str">
        <f>IF(AND($D$11="IL",$E360="AMEREN"),"NA",TEXT((SUMPRODUCT(((LMPMain!$H$9:$H$1000)=$E360)*((LMPMain!$J$9:$J$1000)=$F360)*((LMPMain!$O$9:$O$1000)=$C360)*(LMPMain!S$9:S$1000))+(SUMPRODUCT(((Adders!$D$13:$D$101)=$E360)*((Adders!$E$13:$E$101)=$F360)*(Adders!H$13:H$101))+VLOOKUP($H360,Adders!$B$5:$G$8,M$11,FALSE)+Matrix!$D$2)*IF($D360="NJ",1.07,1))/$L$10,CHOOSE($M$10,$L$9,$M$9)))</f>
        <v xml:space="preserve"> 38.46 </v>
      </c>
      <c r="N360" s="174" t="str">
        <f>IF(AND($D$11="IL",$E360="AMEREN"),"NA",TEXT((SUMPRODUCT(((LMPMain!$H$9:$H$1000)=$E360)*((LMPMain!$J$9:$J$1000)=$F360)*((LMPMain!$O$9:$O$1000)=$C360)*(LMPMain!T$9:T$1000))+(SUMPRODUCT(((Adders!$D$13:$D$101)=$E360)*((Adders!$E$13:$E$101)=$F360)*(Adders!G$13:G$101))+VLOOKUP($H360,Adders!$B$5:$G$8,N$11,FALSE)+Matrix!$D$2)*IF($D360="NJ",1.07,1))/$L$10,CHOOSE($M$10,$L$9,$M$9)))</f>
        <v xml:space="preserve"> 38.08 </v>
      </c>
      <c r="O360" s="112"/>
    </row>
    <row r="361" spans="2:15" x14ac:dyDescent="0.25">
      <c r="B361" s="160" t="s">
        <v>673</v>
      </c>
      <c r="C361" s="135">
        <f t="shared" si="9"/>
        <v>42370</v>
      </c>
      <c r="D361" s="136" t="s">
        <v>6</v>
      </c>
      <c r="E361" s="137" t="s">
        <v>14</v>
      </c>
      <c r="F361" s="136" t="s">
        <v>15</v>
      </c>
      <c r="G361" s="137" t="str">
        <f t="shared" si="10"/>
        <v>General Service Small</v>
      </c>
      <c r="H361" s="138" t="s">
        <v>690</v>
      </c>
      <c r="I361" s="176" t="str">
        <f>TEXT(   (SUMPRODUCT( ((Main!$H$9:$H$1000)=$E361)*((Main!$J$9:$J$1000)=$F361)*((Main!$O$9:$O$1000)=$C361)*(Main!R$9:R$1000) ) +  ( SUMPRODUCT( ((Adders!$D$13:$D$101)=$E361)*((Adders!$E$13:$E$101)=$F361)*(Adders!G$13:G$101)) + VLOOKUP($H361,Adders!$B$5:$G$8,L$11,FALSE)  +  PA!$D$2 ) * IF($D361="NJ",1.07,1))/$L$10, CHOOSE($M$10,$L$9,$M$9) )</f>
        <v xml:space="preserve"> 79.53 </v>
      </c>
      <c r="J361" s="176" t="str">
        <f>TEXT(   (SUMPRODUCT( ((Main!$H$9:$H$1000)=$E361)*((Main!$J$9:$J$1000)=$F361)*((Main!$O$9:$O$1000)=$C361)*(Main!S$9:S$1000) ) +  ( SUMPRODUCT( ((Adders!$D$13:$D$101)=$E361)*((Adders!$E$13:$E$101)=$F361)*(Adders!H$13:H$101)) + VLOOKUP($H361,Adders!$B$5:$G$8,M$11,FALSE)  +  PA!$D$2 ) * IF($D361="NJ",1.07,1))/$L$10, CHOOSE($M$10,$L$9,$M$9) )</f>
        <v xml:space="preserve"> 79.93 </v>
      </c>
      <c r="K361" s="177" t="str">
        <f>TEXT(   (SUMPRODUCT( ((Main!$H$9:$H$1000)=$E361)*((Main!$J$9:$J$1000)=$F361)*((Main!$O$9:$O$1000)=$C361)*(Main!T$9:T$1000) ) +  ( SUMPRODUCT( ((Adders!$D$13:$D$101)=$E361)*((Adders!$E$13:$E$101)=$F361)*(Adders!I$13:I$101)) + VLOOKUP($H361,Adders!$B$5:$G$8,N$11,FALSE)  +  PA!$D$2 ) * IF($D361="NJ",1.07,1))/$L$10, CHOOSE($M$10,$L$9,$M$9) )</f>
        <v xml:space="preserve"> 78.99 </v>
      </c>
      <c r="L361" s="176" t="str">
        <f>IF(AND($D$11="IL",$E361="AMEREN"),"NA",TEXT((SUMPRODUCT(((LMPMain!$H$9:$H$1000)=$E361)*((LMPMain!$J$9:$J$1000)=$F361)*((LMPMain!$O$9:$O$1000)=$C361)*(LMPMain!R$9:R$1000))+(SUMPRODUCT(((Adders!$D$13:$D$101)=$E361)*((Adders!$E$13:$E$101)=$F361)*(Adders!G$13:G$101))+VLOOKUP($H361,Adders!$B$5:$G$8,L$11,FALSE)+Matrix!$D$2)*IF($D361="NJ",1.07,1))/$L$10,CHOOSE($M$10,$L$9,$M$9)))</f>
        <v xml:space="preserve"> 37.86 </v>
      </c>
      <c r="M361" s="176" t="str">
        <f>IF(AND($D$11="IL",$E361="AMEREN"),"NA",TEXT((SUMPRODUCT(((LMPMain!$H$9:$H$1000)=$E361)*((LMPMain!$J$9:$J$1000)=$F361)*((LMPMain!$O$9:$O$1000)=$C361)*(LMPMain!S$9:S$1000))+(SUMPRODUCT(((Adders!$D$13:$D$101)=$E361)*((Adders!$E$13:$E$101)=$F361)*(Adders!H$13:H$101))+VLOOKUP($H361,Adders!$B$5:$G$8,M$11,FALSE)+Matrix!$D$2)*IF($D361="NJ",1.07,1))/$L$10,CHOOSE($M$10,$L$9,$M$9)))</f>
        <v xml:space="preserve"> 37.41 </v>
      </c>
      <c r="N361" s="177" t="str">
        <f>IF(AND($D$11="IL",$E361="AMEREN"),"NA",TEXT((SUMPRODUCT(((LMPMain!$H$9:$H$1000)=$E361)*((LMPMain!$J$9:$J$1000)=$F361)*((LMPMain!$O$9:$O$1000)=$C361)*(LMPMain!T$9:T$1000))+(SUMPRODUCT(((Adders!$D$13:$D$101)=$E361)*((Adders!$E$13:$E$101)=$F361)*(Adders!G$13:G$101))+VLOOKUP($H361,Adders!$B$5:$G$8,N$11,FALSE)+Matrix!$D$2)*IF($D361="NJ",1.07,1))/$L$10,CHOOSE($M$10,$L$9,$M$9)))</f>
        <v xml:space="preserve"> 37.03 </v>
      </c>
      <c r="O361" s="112"/>
    </row>
    <row r="362" spans="2:15" x14ac:dyDescent="0.25">
      <c r="B362" s="160" t="s">
        <v>673</v>
      </c>
      <c r="C362" s="127">
        <f t="shared" si="9"/>
        <v>42401</v>
      </c>
      <c r="D362" s="128" t="s">
        <v>6</v>
      </c>
      <c r="E362" s="129" t="s">
        <v>14</v>
      </c>
      <c r="F362" s="128" t="s">
        <v>15</v>
      </c>
      <c r="G362" s="129" t="str">
        <f t="shared" si="10"/>
        <v>General Service Small</v>
      </c>
      <c r="H362" s="130" t="s">
        <v>61</v>
      </c>
      <c r="I362" s="178" t="str">
        <f>TEXT(   (SUMPRODUCT( ((Main!$H$9:$H$1000)=$E362)*((Main!$J$9:$J$1000)=$F362)*((Main!$O$9:$O$1000)=$C362)*(Main!R$9:R$1000) ) +  ( SUMPRODUCT( ((Adders!$D$13:$D$101)=$E362)*((Adders!$E$13:$E$101)=$F362)*(Adders!G$13:G$101)) + VLOOKUP($H362,Adders!$B$5:$G$8,L$11,FALSE)  +  PA!$D$2 ) * IF($D362="NJ",1.07,1))/$L$10, CHOOSE($M$10,$L$9,$M$9) )</f>
        <v xml:space="preserve"> 81.88 </v>
      </c>
      <c r="J362" s="178" t="str">
        <f>TEXT(   (SUMPRODUCT( ((Main!$H$9:$H$1000)=$E362)*((Main!$J$9:$J$1000)=$F362)*((Main!$O$9:$O$1000)=$C362)*(Main!S$9:S$1000) ) +  ( SUMPRODUCT( ((Adders!$D$13:$D$101)=$E362)*((Adders!$E$13:$E$101)=$F362)*(Adders!H$13:H$101)) + VLOOKUP($H362,Adders!$B$5:$G$8,M$11,FALSE)  +  PA!$D$2 ) * IF($D362="NJ",1.07,1))/$L$10, CHOOSE($M$10,$L$9,$M$9) )</f>
        <v xml:space="preserve"> 81.87 </v>
      </c>
      <c r="K362" s="179" t="str">
        <f>TEXT(   (SUMPRODUCT( ((Main!$H$9:$H$1000)=$E362)*((Main!$J$9:$J$1000)=$F362)*((Main!$O$9:$O$1000)=$C362)*(Main!T$9:T$1000) ) +  ( SUMPRODUCT( ((Adders!$D$13:$D$101)=$E362)*((Adders!$E$13:$E$101)=$F362)*(Adders!I$13:I$101)) + VLOOKUP($H362,Adders!$B$5:$G$8,N$11,FALSE)  +  PA!$D$2 ) * IF($D362="NJ",1.07,1))/$L$10, CHOOSE($M$10,$L$9,$M$9) )</f>
        <v xml:space="preserve"> 81.61 </v>
      </c>
      <c r="L362" s="178" t="str">
        <f>IF(AND($D$11="IL",$E362="AMEREN"),"NA",TEXT((SUMPRODUCT(((LMPMain!$H$9:$H$1000)=$E362)*((LMPMain!$J$9:$J$1000)=$F362)*((LMPMain!$O$9:$O$1000)=$C362)*(LMPMain!R$9:R$1000))+(SUMPRODUCT(((Adders!$D$13:$D$101)=$E362)*((Adders!$E$13:$E$101)=$F362)*(Adders!G$13:G$101))+VLOOKUP($H362,Adders!$B$5:$G$8,L$11,FALSE)+Matrix!$D$2)*IF($D362="NJ",1.07,1))/$L$10,CHOOSE($M$10,$L$9,$M$9)))</f>
        <v xml:space="preserve"> 40.13 </v>
      </c>
      <c r="M362" s="178" t="str">
        <f>IF(AND($D$11="IL",$E362="AMEREN"),"NA",TEXT((SUMPRODUCT(((LMPMain!$H$9:$H$1000)=$E362)*((LMPMain!$J$9:$J$1000)=$F362)*((LMPMain!$O$9:$O$1000)=$C362)*(LMPMain!S$9:S$1000))+(SUMPRODUCT(((Adders!$D$13:$D$101)=$E362)*((Adders!$E$13:$E$101)=$F362)*(Adders!H$13:H$101))+VLOOKUP($H362,Adders!$B$5:$G$8,M$11,FALSE)+Matrix!$D$2)*IF($D362="NJ",1.07,1))/$L$10,CHOOSE($M$10,$L$9,$M$9)))</f>
        <v xml:space="preserve"> 39.89 </v>
      </c>
      <c r="N362" s="179" t="str">
        <f>IF(AND($D$11="IL",$E362="AMEREN"),"NA",TEXT((SUMPRODUCT(((LMPMain!$H$9:$H$1000)=$E362)*((LMPMain!$J$9:$J$1000)=$F362)*((LMPMain!$O$9:$O$1000)=$C362)*(LMPMain!T$9:T$1000))+(SUMPRODUCT(((Adders!$D$13:$D$101)=$E362)*((Adders!$E$13:$E$101)=$F362)*(Adders!G$13:G$101))+VLOOKUP($H362,Adders!$B$5:$G$8,N$11,FALSE)+Matrix!$D$2)*IF($D362="NJ",1.07,1))/$L$10,CHOOSE($M$10,$L$9,$M$9)))</f>
        <v xml:space="preserve"> 39.51 </v>
      </c>
      <c r="O362" s="112"/>
    </row>
    <row r="363" spans="2:15" x14ac:dyDescent="0.25">
      <c r="B363" s="160" t="s">
        <v>673</v>
      </c>
      <c r="C363" s="131">
        <f t="shared" si="9"/>
        <v>42401</v>
      </c>
      <c r="D363" s="132" t="s">
        <v>6</v>
      </c>
      <c r="E363" s="133" t="s">
        <v>14</v>
      </c>
      <c r="F363" s="132" t="s">
        <v>15</v>
      </c>
      <c r="G363" s="133" t="str">
        <f t="shared" si="10"/>
        <v>General Service Small</v>
      </c>
      <c r="H363" s="134" t="s">
        <v>62</v>
      </c>
      <c r="I363" s="173" t="str">
        <f>TEXT(   (SUMPRODUCT( ((Main!$H$9:$H$1000)=$E363)*((Main!$J$9:$J$1000)=$F363)*((Main!$O$9:$O$1000)=$C363)*(Main!R$9:R$1000) ) +  ( SUMPRODUCT( ((Adders!$D$13:$D$101)=$E363)*((Adders!$E$13:$E$101)=$F363)*(Adders!G$13:G$101)) + VLOOKUP($H363,Adders!$B$5:$G$8,L$11,FALSE)  +  PA!$D$2 ) * IF($D363="NJ",1.07,1))/$L$10, CHOOSE($M$10,$L$9,$M$9) )</f>
        <v xml:space="preserve"> 80.28 </v>
      </c>
      <c r="J363" s="173" t="str">
        <f>TEXT(   (SUMPRODUCT( ((Main!$H$9:$H$1000)=$E363)*((Main!$J$9:$J$1000)=$F363)*((Main!$O$9:$O$1000)=$C363)*(Main!S$9:S$1000) ) +  ( SUMPRODUCT( ((Adders!$D$13:$D$101)=$E363)*((Adders!$E$13:$E$101)=$F363)*(Adders!H$13:H$101)) + VLOOKUP($H363,Adders!$B$5:$G$8,M$11,FALSE)  +  PA!$D$2 ) * IF($D363="NJ",1.07,1))/$L$10, CHOOSE($M$10,$L$9,$M$9) )</f>
        <v xml:space="preserve"> 80.27 </v>
      </c>
      <c r="K363" s="174" t="str">
        <f>TEXT(   (SUMPRODUCT( ((Main!$H$9:$H$1000)=$E363)*((Main!$J$9:$J$1000)=$F363)*((Main!$O$9:$O$1000)=$C363)*(Main!T$9:T$1000) ) +  ( SUMPRODUCT( ((Adders!$D$13:$D$101)=$E363)*((Adders!$E$13:$E$101)=$F363)*(Adders!I$13:I$101)) + VLOOKUP($H363,Adders!$B$5:$G$8,N$11,FALSE)  +  PA!$D$2 ) * IF($D363="NJ",1.07,1))/$L$10, CHOOSE($M$10,$L$9,$M$9) )</f>
        <v xml:space="preserve"> 80.01 </v>
      </c>
      <c r="L363" s="173" t="str">
        <f>IF(AND($D$11="IL",$E363="AMEREN"),"NA",TEXT((SUMPRODUCT(((LMPMain!$H$9:$H$1000)=$E363)*((LMPMain!$J$9:$J$1000)=$F363)*((LMPMain!$O$9:$O$1000)=$C363)*(LMPMain!R$9:R$1000))+(SUMPRODUCT(((Adders!$D$13:$D$101)=$E363)*((Adders!$E$13:$E$101)=$F363)*(Adders!G$13:G$101))+VLOOKUP($H363,Adders!$B$5:$G$8,L$11,FALSE)+Matrix!$D$2)*IF($D363="NJ",1.07,1))/$L$10,CHOOSE($M$10,$L$9,$M$9)))</f>
        <v xml:space="preserve"> 38.53 </v>
      </c>
      <c r="M363" s="173" t="str">
        <f>IF(AND($D$11="IL",$E363="AMEREN"),"NA",TEXT((SUMPRODUCT(((LMPMain!$H$9:$H$1000)=$E363)*((LMPMain!$J$9:$J$1000)=$F363)*((LMPMain!$O$9:$O$1000)=$C363)*(LMPMain!S$9:S$1000))+(SUMPRODUCT(((Adders!$D$13:$D$101)=$E363)*((Adders!$E$13:$E$101)=$F363)*(Adders!H$13:H$101))+VLOOKUP($H363,Adders!$B$5:$G$8,M$11,FALSE)+Matrix!$D$2)*IF($D363="NJ",1.07,1))/$L$10,CHOOSE($M$10,$L$9,$M$9)))</f>
        <v xml:space="preserve"> 38.29 </v>
      </c>
      <c r="N363" s="174" t="str">
        <f>IF(AND($D$11="IL",$E363="AMEREN"),"NA",TEXT((SUMPRODUCT(((LMPMain!$H$9:$H$1000)=$E363)*((LMPMain!$J$9:$J$1000)=$F363)*((LMPMain!$O$9:$O$1000)=$C363)*(LMPMain!T$9:T$1000))+(SUMPRODUCT(((Adders!$D$13:$D$101)=$E363)*((Adders!$E$13:$E$101)=$F363)*(Adders!G$13:G$101))+VLOOKUP($H363,Adders!$B$5:$G$8,N$11,FALSE)+Matrix!$D$2)*IF($D363="NJ",1.07,1))/$L$10,CHOOSE($M$10,$L$9,$M$9)))</f>
        <v xml:space="preserve"> 37.91 </v>
      </c>
      <c r="O363" s="112"/>
    </row>
    <row r="364" spans="2:15" x14ac:dyDescent="0.25">
      <c r="B364" s="160" t="s">
        <v>673</v>
      </c>
      <c r="C364" s="135">
        <f t="shared" si="9"/>
        <v>42401</v>
      </c>
      <c r="D364" s="136" t="s">
        <v>6</v>
      </c>
      <c r="E364" s="137" t="s">
        <v>14</v>
      </c>
      <c r="F364" s="136" t="s">
        <v>15</v>
      </c>
      <c r="G364" s="137" t="str">
        <f t="shared" si="10"/>
        <v>General Service Small</v>
      </c>
      <c r="H364" s="138" t="s">
        <v>690</v>
      </c>
      <c r="I364" s="176" t="str">
        <f>TEXT(   (SUMPRODUCT( ((Main!$H$9:$H$1000)=$E364)*((Main!$J$9:$J$1000)=$F364)*((Main!$O$9:$O$1000)=$C364)*(Main!R$9:R$1000) ) +  ( SUMPRODUCT( ((Adders!$D$13:$D$101)=$E364)*((Adders!$E$13:$E$101)=$F364)*(Adders!G$13:G$101)) + VLOOKUP($H364,Adders!$B$5:$G$8,L$11,FALSE)  +  PA!$D$2 ) * IF($D364="NJ",1.07,1))/$L$10, CHOOSE($M$10,$L$9,$M$9) )</f>
        <v xml:space="preserve"> 79.23 </v>
      </c>
      <c r="J364" s="176" t="str">
        <f>TEXT(   (SUMPRODUCT( ((Main!$H$9:$H$1000)=$E364)*((Main!$J$9:$J$1000)=$F364)*((Main!$O$9:$O$1000)=$C364)*(Main!S$9:S$1000) ) +  ( SUMPRODUCT( ((Adders!$D$13:$D$101)=$E364)*((Adders!$E$13:$E$101)=$F364)*(Adders!H$13:H$101)) + VLOOKUP($H364,Adders!$B$5:$G$8,M$11,FALSE)  +  PA!$D$2 ) * IF($D364="NJ",1.07,1))/$L$10, CHOOSE($M$10,$L$9,$M$9) )</f>
        <v xml:space="preserve"> 79.22 </v>
      </c>
      <c r="K364" s="177" t="str">
        <f>TEXT(   (SUMPRODUCT( ((Main!$H$9:$H$1000)=$E364)*((Main!$J$9:$J$1000)=$F364)*((Main!$O$9:$O$1000)=$C364)*(Main!T$9:T$1000) ) +  ( SUMPRODUCT( ((Adders!$D$13:$D$101)=$E364)*((Adders!$E$13:$E$101)=$F364)*(Adders!I$13:I$101)) + VLOOKUP($H364,Adders!$B$5:$G$8,N$11,FALSE)  +  PA!$D$2 ) * IF($D364="NJ",1.07,1))/$L$10, CHOOSE($M$10,$L$9,$M$9) )</f>
        <v xml:space="preserve"> 78.96 </v>
      </c>
      <c r="L364" s="176" t="str">
        <f>IF(AND($D$11="IL",$E364="AMEREN"),"NA",TEXT((SUMPRODUCT(((LMPMain!$H$9:$H$1000)=$E364)*((LMPMain!$J$9:$J$1000)=$F364)*((LMPMain!$O$9:$O$1000)=$C364)*(LMPMain!R$9:R$1000))+(SUMPRODUCT(((Adders!$D$13:$D$101)=$E364)*((Adders!$E$13:$E$101)=$F364)*(Adders!G$13:G$101))+VLOOKUP($H364,Adders!$B$5:$G$8,L$11,FALSE)+Matrix!$D$2)*IF($D364="NJ",1.07,1))/$L$10,CHOOSE($M$10,$L$9,$M$9)))</f>
        <v xml:space="preserve"> 37.48 </v>
      </c>
      <c r="M364" s="176" t="str">
        <f>IF(AND($D$11="IL",$E364="AMEREN"),"NA",TEXT((SUMPRODUCT(((LMPMain!$H$9:$H$1000)=$E364)*((LMPMain!$J$9:$J$1000)=$F364)*((LMPMain!$O$9:$O$1000)=$C364)*(LMPMain!S$9:S$1000))+(SUMPRODUCT(((Adders!$D$13:$D$101)=$E364)*((Adders!$E$13:$E$101)=$F364)*(Adders!H$13:H$101))+VLOOKUP($H364,Adders!$B$5:$G$8,M$11,FALSE)+Matrix!$D$2)*IF($D364="NJ",1.07,1))/$L$10,CHOOSE($M$10,$L$9,$M$9)))</f>
        <v xml:space="preserve"> 37.24 </v>
      </c>
      <c r="N364" s="177" t="str">
        <f>IF(AND($D$11="IL",$E364="AMEREN"),"NA",TEXT((SUMPRODUCT(((LMPMain!$H$9:$H$1000)=$E364)*((LMPMain!$J$9:$J$1000)=$F364)*((LMPMain!$O$9:$O$1000)=$C364)*(LMPMain!T$9:T$1000))+(SUMPRODUCT(((Adders!$D$13:$D$101)=$E364)*((Adders!$E$13:$E$101)=$F364)*(Adders!G$13:G$101))+VLOOKUP($H364,Adders!$B$5:$G$8,N$11,FALSE)+Matrix!$D$2)*IF($D364="NJ",1.07,1))/$L$10,CHOOSE($M$10,$L$9,$M$9)))</f>
        <v xml:space="preserve"> 36.86 </v>
      </c>
      <c r="O364" s="112"/>
    </row>
    <row r="365" spans="2:15" x14ac:dyDescent="0.25">
      <c r="B365" s="160" t="s">
        <v>673</v>
      </c>
      <c r="C365" s="127">
        <f t="shared" si="9"/>
        <v>42430</v>
      </c>
      <c r="D365" s="128" t="s">
        <v>6</v>
      </c>
      <c r="E365" s="129" t="s">
        <v>14</v>
      </c>
      <c r="F365" s="128" t="s">
        <v>15</v>
      </c>
      <c r="G365" s="129" t="str">
        <f t="shared" si="10"/>
        <v>General Service Small</v>
      </c>
      <c r="H365" s="130" t="s">
        <v>61</v>
      </c>
      <c r="I365" s="178" t="str">
        <f>TEXT(   (SUMPRODUCT( ((Main!$H$9:$H$1000)=$E365)*((Main!$J$9:$J$1000)=$F365)*((Main!$O$9:$O$1000)=$C365)*(Main!R$9:R$1000) ) +  ( SUMPRODUCT( ((Adders!$D$13:$D$101)=$E365)*((Adders!$E$13:$E$101)=$F365)*(Adders!G$13:G$101)) + VLOOKUP($H365,Adders!$B$5:$G$8,L$11,FALSE)  +  PA!$D$2 ) * IF($D365="NJ",1.07,1))/$L$10, CHOOSE($M$10,$L$9,$M$9) )</f>
        <v xml:space="preserve"> 81.66 </v>
      </c>
      <c r="J365" s="178" t="str">
        <f>TEXT(   (SUMPRODUCT( ((Main!$H$9:$H$1000)=$E365)*((Main!$J$9:$J$1000)=$F365)*((Main!$O$9:$O$1000)=$C365)*(Main!S$9:S$1000) ) +  ( SUMPRODUCT( ((Adders!$D$13:$D$101)=$E365)*((Adders!$E$13:$E$101)=$F365)*(Adders!H$13:H$101)) + VLOOKUP($H365,Adders!$B$5:$G$8,M$11,FALSE)  +  PA!$D$2 ) * IF($D365="NJ",1.07,1))/$L$10, CHOOSE($M$10,$L$9,$M$9) )</f>
        <v xml:space="preserve"> 81.30 </v>
      </c>
      <c r="K365" s="179" t="str">
        <f>TEXT(   (SUMPRODUCT( ((Main!$H$9:$H$1000)=$E365)*((Main!$J$9:$J$1000)=$F365)*((Main!$O$9:$O$1000)=$C365)*(Main!T$9:T$1000) ) +  ( SUMPRODUCT( ((Adders!$D$13:$D$101)=$E365)*((Adders!$E$13:$E$101)=$F365)*(Adders!I$13:I$101)) + VLOOKUP($H365,Adders!$B$5:$G$8,N$11,FALSE)  +  PA!$D$2 ) * IF($D365="NJ",1.07,1))/$L$10, CHOOSE($M$10,$L$9,$M$9) )</f>
        <v xml:space="preserve"> 81.64 </v>
      </c>
      <c r="L365" s="178" t="str">
        <f>IF(AND($D$11="IL",$E365="AMEREN"),"NA",TEXT((SUMPRODUCT(((LMPMain!$H$9:$H$1000)=$E365)*((LMPMain!$J$9:$J$1000)=$F365)*((LMPMain!$O$9:$O$1000)=$C365)*(LMPMain!R$9:R$1000))+(SUMPRODUCT(((Adders!$D$13:$D$101)=$E365)*((Adders!$E$13:$E$101)=$F365)*(Adders!G$13:G$101))+VLOOKUP($H365,Adders!$B$5:$G$8,L$11,FALSE)+Matrix!$D$2)*IF($D365="NJ",1.07,1))/$L$10,CHOOSE($M$10,$L$9,$M$9)))</f>
        <v xml:space="preserve"> 39.79 </v>
      </c>
      <c r="M365" s="178" t="str">
        <f>IF(AND($D$11="IL",$E365="AMEREN"),"NA",TEXT((SUMPRODUCT(((LMPMain!$H$9:$H$1000)=$E365)*((LMPMain!$J$9:$J$1000)=$F365)*((LMPMain!$O$9:$O$1000)=$C365)*(LMPMain!S$9:S$1000))+(SUMPRODUCT(((Adders!$D$13:$D$101)=$E365)*((Adders!$E$13:$E$101)=$F365)*(Adders!H$13:H$101))+VLOOKUP($H365,Adders!$B$5:$G$8,M$11,FALSE)+Matrix!$D$2)*IF($D365="NJ",1.07,1))/$L$10,CHOOSE($M$10,$L$9,$M$9)))</f>
        <v xml:space="preserve"> 39.71 </v>
      </c>
      <c r="N365" s="179" t="str">
        <f>IF(AND($D$11="IL",$E365="AMEREN"),"NA",TEXT((SUMPRODUCT(((LMPMain!$H$9:$H$1000)=$E365)*((LMPMain!$J$9:$J$1000)=$F365)*((LMPMain!$O$9:$O$1000)=$C365)*(LMPMain!T$9:T$1000))+(SUMPRODUCT(((Adders!$D$13:$D$101)=$E365)*((Adders!$E$13:$E$101)=$F365)*(Adders!G$13:G$101))+VLOOKUP($H365,Adders!$B$5:$G$8,N$11,FALSE)+Matrix!$D$2)*IF($D365="NJ",1.07,1))/$L$10,CHOOSE($M$10,$L$9,$M$9)))</f>
        <v xml:space="preserve"> 39.36 </v>
      </c>
      <c r="O365" s="112"/>
    </row>
    <row r="366" spans="2:15" x14ac:dyDescent="0.25">
      <c r="B366" s="160" t="s">
        <v>673</v>
      </c>
      <c r="C366" s="131">
        <f t="shared" si="9"/>
        <v>42430</v>
      </c>
      <c r="D366" s="132" t="s">
        <v>6</v>
      </c>
      <c r="E366" s="133" t="s">
        <v>14</v>
      </c>
      <c r="F366" s="132" t="s">
        <v>15</v>
      </c>
      <c r="G366" s="133" t="str">
        <f t="shared" si="10"/>
        <v>General Service Small</v>
      </c>
      <c r="H366" s="134" t="s">
        <v>62</v>
      </c>
      <c r="I366" s="173" t="str">
        <f>TEXT(   (SUMPRODUCT( ((Main!$H$9:$H$1000)=$E366)*((Main!$J$9:$J$1000)=$F366)*((Main!$O$9:$O$1000)=$C366)*(Main!R$9:R$1000) ) +  ( SUMPRODUCT( ((Adders!$D$13:$D$101)=$E366)*((Adders!$E$13:$E$101)=$F366)*(Adders!G$13:G$101)) + VLOOKUP($H366,Adders!$B$5:$G$8,L$11,FALSE)  +  PA!$D$2 ) * IF($D366="NJ",1.07,1))/$L$10, CHOOSE($M$10,$L$9,$M$9) )</f>
        <v xml:space="preserve"> 80.06 </v>
      </c>
      <c r="J366" s="173" t="str">
        <f>TEXT(   (SUMPRODUCT( ((Main!$H$9:$H$1000)=$E366)*((Main!$J$9:$J$1000)=$F366)*((Main!$O$9:$O$1000)=$C366)*(Main!S$9:S$1000) ) +  ( SUMPRODUCT( ((Adders!$D$13:$D$101)=$E366)*((Adders!$E$13:$E$101)=$F366)*(Adders!H$13:H$101)) + VLOOKUP($H366,Adders!$B$5:$G$8,M$11,FALSE)  +  PA!$D$2 ) * IF($D366="NJ",1.07,1))/$L$10, CHOOSE($M$10,$L$9,$M$9) )</f>
        <v xml:space="preserve"> 79.70 </v>
      </c>
      <c r="K366" s="174" t="str">
        <f>TEXT(   (SUMPRODUCT( ((Main!$H$9:$H$1000)=$E366)*((Main!$J$9:$J$1000)=$F366)*((Main!$O$9:$O$1000)=$C366)*(Main!T$9:T$1000) ) +  ( SUMPRODUCT( ((Adders!$D$13:$D$101)=$E366)*((Adders!$E$13:$E$101)=$F366)*(Adders!I$13:I$101)) + VLOOKUP($H366,Adders!$B$5:$G$8,N$11,FALSE)  +  PA!$D$2 ) * IF($D366="NJ",1.07,1))/$L$10, CHOOSE($M$10,$L$9,$M$9) )</f>
        <v xml:space="preserve"> 80.04 </v>
      </c>
      <c r="L366" s="173" t="str">
        <f>IF(AND($D$11="IL",$E366="AMEREN"),"NA",TEXT((SUMPRODUCT(((LMPMain!$H$9:$H$1000)=$E366)*((LMPMain!$J$9:$J$1000)=$F366)*((LMPMain!$O$9:$O$1000)=$C366)*(LMPMain!R$9:R$1000))+(SUMPRODUCT(((Adders!$D$13:$D$101)=$E366)*((Adders!$E$13:$E$101)=$F366)*(Adders!G$13:G$101))+VLOOKUP($H366,Adders!$B$5:$G$8,L$11,FALSE)+Matrix!$D$2)*IF($D366="NJ",1.07,1))/$L$10,CHOOSE($M$10,$L$9,$M$9)))</f>
        <v xml:space="preserve"> 38.19 </v>
      </c>
      <c r="M366" s="173" t="str">
        <f>IF(AND($D$11="IL",$E366="AMEREN"),"NA",TEXT((SUMPRODUCT(((LMPMain!$H$9:$H$1000)=$E366)*((LMPMain!$J$9:$J$1000)=$F366)*((LMPMain!$O$9:$O$1000)=$C366)*(LMPMain!S$9:S$1000))+(SUMPRODUCT(((Adders!$D$13:$D$101)=$E366)*((Adders!$E$13:$E$101)=$F366)*(Adders!H$13:H$101))+VLOOKUP($H366,Adders!$B$5:$G$8,M$11,FALSE)+Matrix!$D$2)*IF($D366="NJ",1.07,1))/$L$10,CHOOSE($M$10,$L$9,$M$9)))</f>
        <v xml:space="preserve"> 38.11 </v>
      </c>
      <c r="N366" s="174" t="str">
        <f>IF(AND($D$11="IL",$E366="AMEREN"),"NA",TEXT((SUMPRODUCT(((LMPMain!$H$9:$H$1000)=$E366)*((LMPMain!$J$9:$J$1000)=$F366)*((LMPMain!$O$9:$O$1000)=$C366)*(LMPMain!T$9:T$1000))+(SUMPRODUCT(((Adders!$D$13:$D$101)=$E366)*((Adders!$E$13:$E$101)=$F366)*(Adders!G$13:G$101))+VLOOKUP($H366,Adders!$B$5:$G$8,N$11,FALSE)+Matrix!$D$2)*IF($D366="NJ",1.07,1))/$L$10,CHOOSE($M$10,$L$9,$M$9)))</f>
        <v xml:space="preserve"> 37.76 </v>
      </c>
      <c r="O366" s="112"/>
    </row>
    <row r="367" spans="2:15" x14ac:dyDescent="0.25">
      <c r="B367" s="160" t="s">
        <v>673</v>
      </c>
      <c r="C367" s="135">
        <f t="shared" si="9"/>
        <v>42430</v>
      </c>
      <c r="D367" s="136" t="s">
        <v>6</v>
      </c>
      <c r="E367" s="137" t="s">
        <v>14</v>
      </c>
      <c r="F367" s="136" t="s">
        <v>15</v>
      </c>
      <c r="G367" s="137" t="str">
        <f t="shared" si="10"/>
        <v>General Service Small</v>
      </c>
      <c r="H367" s="138" t="s">
        <v>690</v>
      </c>
      <c r="I367" s="176" t="str">
        <f>TEXT(   (SUMPRODUCT( ((Main!$H$9:$H$1000)=$E367)*((Main!$J$9:$J$1000)=$F367)*((Main!$O$9:$O$1000)=$C367)*(Main!R$9:R$1000) ) +  ( SUMPRODUCT( ((Adders!$D$13:$D$101)=$E367)*((Adders!$E$13:$E$101)=$F367)*(Adders!G$13:G$101)) + VLOOKUP($H367,Adders!$B$5:$G$8,L$11,FALSE)  +  PA!$D$2 ) * IF($D367="NJ",1.07,1))/$L$10, CHOOSE($M$10,$L$9,$M$9) )</f>
        <v xml:space="preserve"> 79.01 </v>
      </c>
      <c r="J367" s="176" t="str">
        <f>TEXT(   (SUMPRODUCT( ((Main!$H$9:$H$1000)=$E367)*((Main!$J$9:$J$1000)=$F367)*((Main!$O$9:$O$1000)=$C367)*(Main!S$9:S$1000) ) +  ( SUMPRODUCT( ((Adders!$D$13:$D$101)=$E367)*((Adders!$E$13:$E$101)=$F367)*(Adders!H$13:H$101)) + VLOOKUP($H367,Adders!$B$5:$G$8,M$11,FALSE)  +  PA!$D$2 ) * IF($D367="NJ",1.07,1))/$L$10, CHOOSE($M$10,$L$9,$M$9) )</f>
        <v xml:space="preserve"> 78.65 </v>
      </c>
      <c r="K367" s="177" t="str">
        <f>TEXT(   (SUMPRODUCT( ((Main!$H$9:$H$1000)=$E367)*((Main!$J$9:$J$1000)=$F367)*((Main!$O$9:$O$1000)=$C367)*(Main!T$9:T$1000) ) +  ( SUMPRODUCT( ((Adders!$D$13:$D$101)=$E367)*((Adders!$E$13:$E$101)=$F367)*(Adders!I$13:I$101)) + VLOOKUP($H367,Adders!$B$5:$G$8,N$11,FALSE)  +  PA!$D$2 ) * IF($D367="NJ",1.07,1))/$L$10, CHOOSE($M$10,$L$9,$M$9) )</f>
        <v xml:space="preserve"> 78.99 </v>
      </c>
      <c r="L367" s="176" t="str">
        <f>IF(AND($D$11="IL",$E367="AMEREN"),"NA",TEXT((SUMPRODUCT(((LMPMain!$H$9:$H$1000)=$E367)*((LMPMain!$J$9:$J$1000)=$F367)*((LMPMain!$O$9:$O$1000)=$C367)*(LMPMain!R$9:R$1000))+(SUMPRODUCT(((Adders!$D$13:$D$101)=$E367)*((Adders!$E$13:$E$101)=$F367)*(Adders!G$13:G$101))+VLOOKUP($H367,Adders!$B$5:$G$8,L$11,FALSE)+Matrix!$D$2)*IF($D367="NJ",1.07,1))/$L$10,CHOOSE($M$10,$L$9,$M$9)))</f>
        <v xml:space="preserve"> 37.14 </v>
      </c>
      <c r="M367" s="176" t="str">
        <f>IF(AND($D$11="IL",$E367="AMEREN"),"NA",TEXT((SUMPRODUCT(((LMPMain!$H$9:$H$1000)=$E367)*((LMPMain!$J$9:$J$1000)=$F367)*((LMPMain!$O$9:$O$1000)=$C367)*(LMPMain!S$9:S$1000))+(SUMPRODUCT(((Adders!$D$13:$D$101)=$E367)*((Adders!$E$13:$E$101)=$F367)*(Adders!H$13:H$101))+VLOOKUP($H367,Adders!$B$5:$G$8,M$11,FALSE)+Matrix!$D$2)*IF($D367="NJ",1.07,1))/$L$10,CHOOSE($M$10,$L$9,$M$9)))</f>
        <v xml:space="preserve"> 37.06 </v>
      </c>
      <c r="N367" s="177" t="str">
        <f>IF(AND($D$11="IL",$E367="AMEREN"),"NA",TEXT((SUMPRODUCT(((LMPMain!$H$9:$H$1000)=$E367)*((LMPMain!$J$9:$J$1000)=$F367)*((LMPMain!$O$9:$O$1000)=$C367)*(LMPMain!T$9:T$1000))+(SUMPRODUCT(((Adders!$D$13:$D$101)=$E367)*((Adders!$E$13:$E$101)=$F367)*(Adders!G$13:G$101))+VLOOKUP($H367,Adders!$B$5:$G$8,N$11,FALSE)+Matrix!$D$2)*IF($D367="NJ",1.07,1))/$L$10,CHOOSE($M$10,$L$9,$M$9)))</f>
        <v xml:space="preserve"> 36.71 </v>
      </c>
      <c r="O367" s="112"/>
    </row>
    <row r="368" spans="2:15" x14ac:dyDescent="0.25">
      <c r="B368" s="160" t="s">
        <v>673</v>
      </c>
      <c r="C368" s="127">
        <f t="shared" si="9"/>
        <v>42461</v>
      </c>
      <c r="D368" s="128" t="s">
        <v>6</v>
      </c>
      <c r="E368" s="129" t="s">
        <v>14</v>
      </c>
      <c r="F368" s="128" t="s">
        <v>15</v>
      </c>
      <c r="G368" s="129" t="str">
        <f t="shared" si="10"/>
        <v>General Service Small</v>
      </c>
      <c r="H368" s="130" t="s">
        <v>61</v>
      </c>
      <c r="I368" s="178" t="str">
        <f>TEXT(   (SUMPRODUCT( ((Main!$H$9:$H$1000)=$E368)*((Main!$J$9:$J$1000)=$F368)*((Main!$O$9:$O$1000)=$C368)*(Main!R$9:R$1000) ) +  ( SUMPRODUCT( ((Adders!$D$13:$D$101)=$E368)*((Adders!$E$13:$E$101)=$F368)*(Adders!G$13:G$101)) + VLOOKUP($H368,Adders!$B$5:$G$8,L$11,FALSE)  +  PA!$D$2 ) * IF($D368="NJ",1.07,1))/$L$10, CHOOSE($M$10,$L$9,$M$9) )</f>
        <v xml:space="preserve"> 81.25 </v>
      </c>
      <c r="J368" s="178" t="str">
        <f>TEXT(   (SUMPRODUCT( ((Main!$H$9:$H$1000)=$E368)*((Main!$J$9:$J$1000)=$F368)*((Main!$O$9:$O$1000)=$C368)*(Main!S$9:S$1000) ) +  ( SUMPRODUCT( ((Adders!$D$13:$D$101)=$E368)*((Adders!$E$13:$E$101)=$F368)*(Adders!H$13:H$101)) + VLOOKUP($H368,Adders!$B$5:$G$8,M$11,FALSE)  +  PA!$D$2 ) * IF($D368="NJ",1.07,1))/$L$10, CHOOSE($M$10,$L$9,$M$9) )</f>
        <v xml:space="preserve"> 80.76 </v>
      </c>
      <c r="K368" s="179" t="str">
        <f>TEXT(   (SUMPRODUCT( ((Main!$H$9:$H$1000)=$E368)*((Main!$J$9:$J$1000)=$F368)*((Main!$O$9:$O$1000)=$C368)*(Main!T$9:T$1000) ) +  ( SUMPRODUCT( ((Adders!$D$13:$D$101)=$E368)*((Adders!$E$13:$E$101)=$F368)*(Adders!I$13:I$101)) + VLOOKUP($H368,Adders!$B$5:$G$8,N$11,FALSE)  +  PA!$D$2 ) * IF($D368="NJ",1.07,1))/$L$10, CHOOSE($M$10,$L$9,$M$9) )</f>
        <v xml:space="preserve"> 81.35 </v>
      </c>
      <c r="L368" s="178" t="str">
        <f>IF(AND($D$11="IL",$E368="AMEREN"),"NA",TEXT((SUMPRODUCT(((LMPMain!$H$9:$H$1000)=$E368)*((LMPMain!$J$9:$J$1000)=$F368)*((LMPMain!$O$9:$O$1000)=$C368)*(LMPMain!R$9:R$1000))+(SUMPRODUCT(((Adders!$D$13:$D$101)=$E368)*((Adders!$E$13:$E$101)=$F368)*(Adders!G$13:G$101))+VLOOKUP($H368,Adders!$B$5:$G$8,L$11,FALSE)+Matrix!$D$2)*IF($D368="NJ",1.07,1))/$L$10,CHOOSE($M$10,$L$9,$M$9)))</f>
        <v xml:space="preserve"> 39.43 </v>
      </c>
      <c r="M368" s="178" t="str">
        <f>IF(AND($D$11="IL",$E368="AMEREN"),"NA",TEXT((SUMPRODUCT(((LMPMain!$H$9:$H$1000)=$E368)*((LMPMain!$J$9:$J$1000)=$F368)*((LMPMain!$O$9:$O$1000)=$C368)*(LMPMain!S$9:S$1000))+(SUMPRODUCT(((Adders!$D$13:$D$101)=$E368)*((Adders!$E$13:$E$101)=$F368)*(Adders!H$13:H$101))+VLOOKUP($H368,Adders!$B$5:$G$8,M$11,FALSE)+Matrix!$D$2)*IF($D368="NJ",1.07,1))/$L$10,CHOOSE($M$10,$L$9,$M$9)))</f>
        <v xml:space="preserve"> 39.47 </v>
      </c>
      <c r="N368" s="179" t="str">
        <f>IF(AND($D$11="IL",$E368="AMEREN"),"NA",TEXT((SUMPRODUCT(((LMPMain!$H$9:$H$1000)=$E368)*((LMPMain!$J$9:$J$1000)=$F368)*((LMPMain!$O$9:$O$1000)=$C368)*(LMPMain!T$9:T$1000))+(SUMPRODUCT(((Adders!$D$13:$D$101)=$E368)*((Adders!$E$13:$E$101)=$F368)*(Adders!G$13:G$101))+VLOOKUP($H368,Adders!$B$5:$G$8,N$11,FALSE)+Matrix!$D$2)*IF($D368="NJ",1.07,1))/$L$10,CHOOSE($M$10,$L$9,$M$9)))</f>
        <v xml:space="preserve"> 39.20 </v>
      </c>
      <c r="O368" s="112"/>
    </row>
    <row r="369" spans="2:15" x14ac:dyDescent="0.25">
      <c r="B369" s="160" t="s">
        <v>673</v>
      </c>
      <c r="C369" s="131">
        <f t="shared" si="9"/>
        <v>42461</v>
      </c>
      <c r="D369" s="132" t="s">
        <v>6</v>
      </c>
      <c r="E369" s="133" t="s">
        <v>14</v>
      </c>
      <c r="F369" s="132" t="s">
        <v>15</v>
      </c>
      <c r="G369" s="133" t="str">
        <f t="shared" si="10"/>
        <v>General Service Small</v>
      </c>
      <c r="H369" s="134" t="s">
        <v>62</v>
      </c>
      <c r="I369" s="173" t="str">
        <f>TEXT(   (SUMPRODUCT( ((Main!$H$9:$H$1000)=$E369)*((Main!$J$9:$J$1000)=$F369)*((Main!$O$9:$O$1000)=$C369)*(Main!R$9:R$1000) ) +  ( SUMPRODUCT( ((Adders!$D$13:$D$101)=$E369)*((Adders!$E$13:$E$101)=$F369)*(Adders!G$13:G$101)) + VLOOKUP($H369,Adders!$B$5:$G$8,L$11,FALSE)  +  PA!$D$2 ) * IF($D369="NJ",1.07,1))/$L$10, CHOOSE($M$10,$L$9,$M$9) )</f>
        <v xml:space="preserve"> 79.65 </v>
      </c>
      <c r="J369" s="173" t="str">
        <f>TEXT(   (SUMPRODUCT( ((Main!$H$9:$H$1000)=$E369)*((Main!$J$9:$J$1000)=$F369)*((Main!$O$9:$O$1000)=$C369)*(Main!S$9:S$1000) ) +  ( SUMPRODUCT( ((Adders!$D$13:$D$101)=$E369)*((Adders!$E$13:$E$101)=$F369)*(Adders!H$13:H$101)) + VLOOKUP($H369,Adders!$B$5:$G$8,M$11,FALSE)  +  PA!$D$2 ) * IF($D369="NJ",1.07,1))/$L$10, CHOOSE($M$10,$L$9,$M$9) )</f>
        <v xml:space="preserve"> 79.16 </v>
      </c>
      <c r="K369" s="174" t="str">
        <f>TEXT(   (SUMPRODUCT( ((Main!$H$9:$H$1000)=$E369)*((Main!$J$9:$J$1000)=$F369)*((Main!$O$9:$O$1000)=$C369)*(Main!T$9:T$1000) ) +  ( SUMPRODUCT( ((Adders!$D$13:$D$101)=$E369)*((Adders!$E$13:$E$101)=$F369)*(Adders!I$13:I$101)) + VLOOKUP($H369,Adders!$B$5:$G$8,N$11,FALSE)  +  PA!$D$2 ) * IF($D369="NJ",1.07,1))/$L$10, CHOOSE($M$10,$L$9,$M$9) )</f>
        <v xml:space="preserve"> 79.75 </v>
      </c>
      <c r="L369" s="173" t="str">
        <f>IF(AND($D$11="IL",$E369="AMEREN"),"NA",TEXT((SUMPRODUCT(((LMPMain!$H$9:$H$1000)=$E369)*((LMPMain!$J$9:$J$1000)=$F369)*((LMPMain!$O$9:$O$1000)=$C369)*(LMPMain!R$9:R$1000))+(SUMPRODUCT(((Adders!$D$13:$D$101)=$E369)*((Adders!$E$13:$E$101)=$F369)*(Adders!G$13:G$101))+VLOOKUP($H369,Adders!$B$5:$G$8,L$11,FALSE)+Matrix!$D$2)*IF($D369="NJ",1.07,1))/$L$10,CHOOSE($M$10,$L$9,$M$9)))</f>
        <v xml:space="preserve"> 37.83 </v>
      </c>
      <c r="M369" s="173" t="str">
        <f>IF(AND($D$11="IL",$E369="AMEREN"),"NA",TEXT((SUMPRODUCT(((LMPMain!$H$9:$H$1000)=$E369)*((LMPMain!$J$9:$J$1000)=$F369)*((LMPMain!$O$9:$O$1000)=$C369)*(LMPMain!S$9:S$1000))+(SUMPRODUCT(((Adders!$D$13:$D$101)=$E369)*((Adders!$E$13:$E$101)=$F369)*(Adders!H$13:H$101))+VLOOKUP($H369,Adders!$B$5:$G$8,M$11,FALSE)+Matrix!$D$2)*IF($D369="NJ",1.07,1))/$L$10,CHOOSE($M$10,$L$9,$M$9)))</f>
        <v xml:space="preserve"> 37.87 </v>
      </c>
      <c r="N369" s="174" t="str">
        <f>IF(AND($D$11="IL",$E369="AMEREN"),"NA",TEXT((SUMPRODUCT(((LMPMain!$H$9:$H$1000)=$E369)*((LMPMain!$J$9:$J$1000)=$F369)*((LMPMain!$O$9:$O$1000)=$C369)*(LMPMain!T$9:T$1000))+(SUMPRODUCT(((Adders!$D$13:$D$101)=$E369)*((Adders!$E$13:$E$101)=$F369)*(Adders!G$13:G$101))+VLOOKUP($H369,Adders!$B$5:$G$8,N$11,FALSE)+Matrix!$D$2)*IF($D369="NJ",1.07,1))/$L$10,CHOOSE($M$10,$L$9,$M$9)))</f>
        <v xml:space="preserve"> 37.60 </v>
      </c>
      <c r="O369" s="112"/>
    </row>
    <row r="370" spans="2:15" x14ac:dyDescent="0.25">
      <c r="B370" s="160" t="s">
        <v>673</v>
      </c>
      <c r="C370" s="135">
        <f t="shared" si="9"/>
        <v>42461</v>
      </c>
      <c r="D370" s="136" t="s">
        <v>6</v>
      </c>
      <c r="E370" s="137" t="s">
        <v>14</v>
      </c>
      <c r="F370" s="136" t="s">
        <v>15</v>
      </c>
      <c r="G370" s="137" t="str">
        <f t="shared" si="10"/>
        <v>General Service Small</v>
      </c>
      <c r="H370" s="138" t="s">
        <v>690</v>
      </c>
      <c r="I370" s="176" t="str">
        <f>TEXT(   (SUMPRODUCT( ((Main!$H$9:$H$1000)=$E370)*((Main!$J$9:$J$1000)=$F370)*((Main!$O$9:$O$1000)=$C370)*(Main!R$9:R$1000) ) +  ( SUMPRODUCT( ((Adders!$D$13:$D$101)=$E370)*((Adders!$E$13:$E$101)=$F370)*(Adders!G$13:G$101)) + VLOOKUP($H370,Adders!$B$5:$G$8,L$11,FALSE)  +  PA!$D$2 ) * IF($D370="NJ",1.07,1))/$L$10, CHOOSE($M$10,$L$9,$M$9) )</f>
        <v xml:space="preserve"> 78.60 </v>
      </c>
      <c r="J370" s="176" t="str">
        <f>TEXT(   (SUMPRODUCT( ((Main!$H$9:$H$1000)=$E370)*((Main!$J$9:$J$1000)=$F370)*((Main!$O$9:$O$1000)=$C370)*(Main!S$9:S$1000) ) +  ( SUMPRODUCT( ((Adders!$D$13:$D$101)=$E370)*((Adders!$E$13:$E$101)=$F370)*(Adders!H$13:H$101)) + VLOOKUP($H370,Adders!$B$5:$G$8,M$11,FALSE)  +  PA!$D$2 ) * IF($D370="NJ",1.07,1))/$L$10, CHOOSE($M$10,$L$9,$M$9) )</f>
        <v xml:space="preserve"> 78.11 </v>
      </c>
      <c r="K370" s="177" t="str">
        <f>TEXT(   (SUMPRODUCT( ((Main!$H$9:$H$1000)=$E370)*((Main!$J$9:$J$1000)=$F370)*((Main!$O$9:$O$1000)=$C370)*(Main!T$9:T$1000) ) +  ( SUMPRODUCT( ((Adders!$D$13:$D$101)=$E370)*((Adders!$E$13:$E$101)=$F370)*(Adders!I$13:I$101)) + VLOOKUP($H370,Adders!$B$5:$G$8,N$11,FALSE)  +  PA!$D$2 ) * IF($D370="NJ",1.07,1))/$L$10, CHOOSE($M$10,$L$9,$M$9) )</f>
        <v xml:space="preserve"> 78.70 </v>
      </c>
      <c r="L370" s="176" t="str">
        <f>IF(AND($D$11="IL",$E370="AMEREN"),"NA",TEXT((SUMPRODUCT(((LMPMain!$H$9:$H$1000)=$E370)*((LMPMain!$J$9:$J$1000)=$F370)*((LMPMain!$O$9:$O$1000)=$C370)*(LMPMain!R$9:R$1000))+(SUMPRODUCT(((Adders!$D$13:$D$101)=$E370)*((Adders!$E$13:$E$101)=$F370)*(Adders!G$13:G$101))+VLOOKUP($H370,Adders!$B$5:$G$8,L$11,FALSE)+Matrix!$D$2)*IF($D370="NJ",1.07,1))/$L$10,CHOOSE($M$10,$L$9,$M$9)))</f>
        <v xml:space="preserve"> 36.78 </v>
      </c>
      <c r="M370" s="176" t="str">
        <f>IF(AND($D$11="IL",$E370="AMEREN"),"NA",TEXT((SUMPRODUCT(((LMPMain!$H$9:$H$1000)=$E370)*((LMPMain!$J$9:$J$1000)=$F370)*((LMPMain!$O$9:$O$1000)=$C370)*(LMPMain!S$9:S$1000))+(SUMPRODUCT(((Adders!$D$13:$D$101)=$E370)*((Adders!$E$13:$E$101)=$F370)*(Adders!H$13:H$101))+VLOOKUP($H370,Adders!$B$5:$G$8,M$11,FALSE)+Matrix!$D$2)*IF($D370="NJ",1.07,1))/$L$10,CHOOSE($M$10,$L$9,$M$9)))</f>
        <v xml:space="preserve"> 36.82 </v>
      </c>
      <c r="N370" s="177" t="str">
        <f>IF(AND($D$11="IL",$E370="AMEREN"),"NA",TEXT((SUMPRODUCT(((LMPMain!$H$9:$H$1000)=$E370)*((LMPMain!$J$9:$J$1000)=$F370)*((LMPMain!$O$9:$O$1000)=$C370)*(LMPMain!T$9:T$1000))+(SUMPRODUCT(((Adders!$D$13:$D$101)=$E370)*((Adders!$E$13:$E$101)=$F370)*(Adders!G$13:G$101))+VLOOKUP($H370,Adders!$B$5:$G$8,N$11,FALSE)+Matrix!$D$2)*IF($D370="NJ",1.07,1))/$L$10,CHOOSE($M$10,$L$9,$M$9)))</f>
        <v xml:space="preserve"> 36.55 </v>
      </c>
      <c r="O370" s="112"/>
    </row>
    <row r="371" spans="2:15" x14ac:dyDescent="0.25">
      <c r="B371" s="160" t="s">
        <v>673</v>
      </c>
      <c r="C371" s="127">
        <f t="shared" ref="C371:C434" si="11">C335</f>
        <v>42491</v>
      </c>
      <c r="D371" s="128" t="s">
        <v>6</v>
      </c>
      <c r="E371" s="129" t="s">
        <v>14</v>
      </c>
      <c r="F371" s="128" t="s">
        <v>15</v>
      </c>
      <c r="G371" s="129" t="str">
        <f t="shared" ref="G371:G434" si="12">G370</f>
        <v>General Service Small</v>
      </c>
      <c r="H371" s="130" t="s">
        <v>61</v>
      </c>
      <c r="I371" s="178" t="str">
        <f>TEXT(   (SUMPRODUCT( ((Main!$H$9:$H$1000)=$E371)*((Main!$J$9:$J$1000)=$F371)*((Main!$O$9:$O$1000)=$C371)*(Main!R$9:R$1000) ) +  ( SUMPRODUCT( ((Adders!$D$13:$D$101)=$E371)*((Adders!$E$13:$E$101)=$F371)*(Adders!G$13:G$101)) + VLOOKUP($H371,Adders!$B$5:$G$8,L$11,FALSE)  +  PA!$D$2 ) * IF($D371="NJ",1.07,1))/$L$10, CHOOSE($M$10,$L$9,$M$9) )</f>
        <v xml:space="preserve"> 80.79 </v>
      </c>
      <c r="J371" s="178" t="str">
        <f>TEXT(   (SUMPRODUCT( ((Main!$H$9:$H$1000)=$E371)*((Main!$J$9:$J$1000)=$F371)*((Main!$O$9:$O$1000)=$C371)*(Main!S$9:S$1000) ) +  ( SUMPRODUCT( ((Adders!$D$13:$D$101)=$E371)*((Adders!$E$13:$E$101)=$F371)*(Adders!H$13:H$101)) + VLOOKUP($H371,Adders!$B$5:$G$8,M$11,FALSE)  +  PA!$D$2 ) * IF($D371="NJ",1.07,1))/$L$10, CHOOSE($M$10,$L$9,$M$9) )</f>
        <v xml:space="preserve"> 80.37 </v>
      </c>
      <c r="K371" s="179" t="str">
        <f>TEXT(   (SUMPRODUCT( ((Main!$H$9:$H$1000)=$E371)*((Main!$J$9:$J$1000)=$F371)*((Main!$O$9:$O$1000)=$C371)*(Main!T$9:T$1000) ) +  ( SUMPRODUCT( ((Adders!$D$13:$D$101)=$E371)*((Adders!$E$13:$E$101)=$F371)*(Adders!I$13:I$101)) + VLOOKUP($H371,Adders!$B$5:$G$8,N$11,FALSE)  +  PA!$D$2 ) * IF($D371="NJ",1.07,1))/$L$10, CHOOSE($M$10,$L$9,$M$9) )</f>
        <v xml:space="preserve"> 81.13 </v>
      </c>
      <c r="L371" s="178" t="str">
        <f>IF(AND($D$11="IL",$E371="AMEREN"),"NA",TEXT((SUMPRODUCT(((LMPMain!$H$9:$H$1000)=$E371)*((LMPMain!$J$9:$J$1000)=$F371)*((LMPMain!$O$9:$O$1000)=$C371)*(LMPMain!R$9:R$1000))+(SUMPRODUCT(((Adders!$D$13:$D$101)=$E371)*((Adders!$E$13:$E$101)=$F371)*(Adders!G$13:G$101))+VLOOKUP($H371,Adders!$B$5:$G$8,L$11,FALSE)+Matrix!$D$2)*IF($D371="NJ",1.07,1))/$L$10,CHOOSE($M$10,$L$9,$M$9)))</f>
        <v xml:space="preserve"> 39.08 </v>
      </c>
      <c r="M371" s="178" t="str">
        <f>IF(AND($D$11="IL",$E371="AMEREN"),"NA",TEXT((SUMPRODUCT(((LMPMain!$H$9:$H$1000)=$E371)*((LMPMain!$J$9:$J$1000)=$F371)*((LMPMain!$O$9:$O$1000)=$C371)*(LMPMain!S$9:S$1000))+(SUMPRODUCT(((Adders!$D$13:$D$101)=$E371)*((Adders!$E$13:$E$101)=$F371)*(Adders!H$13:H$101))+VLOOKUP($H371,Adders!$B$5:$G$8,M$11,FALSE)+Matrix!$D$2)*IF($D371="NJ",1.07,1))/$L$10,CHOOSE($M$10,$L$9,$M$9)))</f>
        <v xml:space="preserve"> 39.22 </v>
      </c>
      <c r="N371" s="179" t="str">
        <f>IF(AND($D$11="IL",$E371="AMEREN"),"NA",TEXT((SUMPRODUCT(((LMPMain!$H$9:$H$1000)=$E371)*((LMPMain!$J$9:$J$1000)=$F371)*((LMPMain!$O$9:$O$1000)=$C371)*(LMPMain!T$9:T$1000))+(SUMPRODUCT(((Adders!$D$13:$D$101)=$E371)*((Adders!$E$13:$E$101)=$F371)*(Adders!G$13:G$101))+VLOOKUP($H371,Adders!$B$5:$G$8,N$11,FALSE)+Matrix!$D$2)*IF($D371="NJ",1.07,1))/$L$10,CHOOSE($M$10,$L$9,$M$9)))</f>
        <v xml:space="preserve"> 39.03 </v>
      </c>
      <c r="O371" s="112"/>
    </row>
    <row r="372" spans="2:15" x14ac:dyDescent="0.25">
      <c r="B372" s="160" t="s">
        <v>673</v>
      </c>
      <c r="C372" s="131">
        <f t="shared" si="11"/>
        <v>42491</v>
      </c>
      <c r="D372" s="132" t="s">
        <v>6</v>
      </c>
      <c r="E372" s="133" t="s">
        <v>14</v>
      </c>
      <c r="F372" s="132" t="s">
        <v>15</v>
      </c>
      <c r="G372" s="133" t="str">
        <f t="shared" si="12"/>
        <v>General Service Small</v>
      </c>
      <c r="H372" s="134" t="s">
        <v>62</v>
      </c>
      <c r="I372" s="173" t="str">
        <f>TEXT(   (SUMPRODUCT( ((Main!$H$9:$H$1000)=$E372)*((Main!$J$9:$J$1000)=$F372)*((Main!$O$9:$O$1000)=$C372)*(Main!R$9:R$1000) ) +  ( SUMPRODUCT( ((Adders!$D$13:$D$101)=$E372)*((Adders!$E$13:$E$101)=$F372)*(Adders!G$13:G$101)) + VLOOKUP($H372,Adders!$B$5:$G$8,L$11,FALSE)  +  PA!$D$2 ) * IF($D372="NJ",1.07,1))/$L$10, CHOOSE($M$10,$L$9,$M$9) )</f>
        <v xml:space="preserve"> 79.19 </v>
      </c>
      <c r="J372" s="173" t="str">
        <f>TEXT(   (SUMPRODUCT( ((Main!$H$9:$H$1000)=$E372)*((Main!$J$9:$J$1000)=$F372)*((Main!$O$9:$O$1000)=$C372)*(Main!S$9:S$1000) ) +  ( SUMPRODUCT( ((Adders!$D$13:$D$101)=$E372)*((Adders!$E$13:$E$101)=$F372)*(Adders!H$13:H$101)) + VLOOKUP($H372,Adders!$B$5:$G$8,M$11,FALSE)  +  PA!$D$2 ) * IF($D372="NJ",1.07,1))/$L$10, CHOOSE($M$10,$L$9,$M$9) )</f>
        <v xml:space="preserve"> 78.77 </v>
      </c>
      <c r="K372" s="174" t="str">
        <f>TEXT(   (SUMPRODUCT( ((Main!$H$9:$H$1000)=$E372)*((Main!$J$9:$J$1000)=$F372)*((Main!$O$9:$O$1000)=$C372)*(Main!T$9:T$1000) ) +  ( SUMPRODUCT( ((Adders!$D$13:$D$101)=$E372)*((Adders!$E$13:$E$101)=$F372)*(Adders!I$13:I$101)) + VLOOKUP($H372,Adders!$B$5:$G$8,N$11,FALSE)  +  PA!$D$2 ) * IF($D372="NJ",1.07,1))/$L$10, CHOOSE($M$10,$L$9,$M$9) )</f>
        <v xml:space="preserve"> 79.53 </v>
      </c>
      <c r="L372" s="173" t="str">
        <f>IF(AND($D$11="IL",$E372="AMEREN"),"NA",TEXT((SUMPRODUCT(((LMPMain!$H$9:$H$1000)=$E372)*((LMPMain!$J$9:$J$1000)=$F372)*((LMPMain!$O$9:$O$1000)=$C372)*(LMPMain!R$9:R$1000))+(SUMPRODUCT(((Adders!$D$13:$D$101)=$E372)*((Adders!$E$13:$E$101)=$F372)*(Adders!G$13:G$101))+VLOOKUP($H372,Adders!$B$5:$G$8,L$11,FALSE)+Matrix!$D$2)*IF($D372="NJ",1.07,1))/$L$10,CHOOSE($M$10,$L$9,$M$9)))</f>
        <v xml:space="preserve"> 37.48 </v>
      </c>
      <c r="M372" s="173" t="str">
        <f>IF(AND($D$11="IL",$E372="AMEREN"),"NA",TEXT((SUMPRODUCT(((LMPMain!$H$9:$H$1000)=$E372)*((LMPMain!$J$9:$J$1000)=$F372)*((LMPMain!$O$9:$O$1000)=$C372)*(LMPMain!S$9:S$1000))+(SUMPRODUCT(((Adders!$D$13:$D$101)=$E372)*((Adders!$E$13:$E$101)=$F372)*(Adders!H$13:H$101))+VLOOKUP($H372,Adders!$B$5:$G$8,M$11,FALSE)+Matrix!$D$2)*IF($D372="NJ",1.07,1))/$L$10,CHOOSE($M$10,$L$9,$M$9)))</f>
        <v xml:space="preserve"> 37.62 </v>
      </c>
      <c r="N372" s="174" t="str">
        <f>IF(AND($D$11="IL",$E372="AMEREN"),"NA",TEXT((SUMPRODUCT(((LMPMain!$H$9:$H$1000)=$E372)*((LMPMain!$J$9:$J$1000)=$F372)*((LMPMain!$O$9:$O$1000)=$C372)*(LMPMain!T$9:T$1000))+(SUMPRODUCT(((Adders!$D$13:$D$101)=$E372)*((Adders!$E$13:$E$101)=$F372)*(Adders!G$13:G$101))+VLOOKUP($H372,Adders!$B$5:$G$8,N$11,FALSE)+Matrix!$D$2)*IF($D372="NJ",1.07,1))/$L$10,CHOOSE($M$10,$L$9,$M$9)))</f>
        <v xml:space="preserve"> 37.43 </v>
      </c>
      <c r="O372" s="112"/>
    </row>
    <row r="373" spans="2:15" x14ac:dyDescent="0.25">
      <c r="B373" s="160" t="s">
        <v>673</v>
      </c>
      <c r="C373" s="135">
        <f t="shared" si="11"/>
        <v>42491</v>
      </c>
      <c r="D373" s="136" t="s">
        <v>6</v>
      </c>
      <c r="E373" s="137" t="s">
        <v>14</v>
      </c>
      <c r="F373" s="136" t="s">
        <v>15</v>
      </c>
      <c r="G373" s="137" t="str">
        <f t="shared" si="12"/>
        <v>General Service Small</v>
      </c>
      <c r="H373" s="138" t="s">
        <v>690</v>
      </c>
      <c r="I373" s="176" t="str">
        <f>TEXT(   (SUMPRODUCT( ((Main!$H$9:$H$1000)=$E373)*((Main!$J$9:$J$1000)=$F373)*((Main!$O$9:$O$1000)=$C373)*(Main!R$9:R$1000) ) +  ( SUMPRODUCT( ((Adders!$D$13:$D$101)=$E373)*((Adders!$E$13:$E$101)=$F373)*(Adders!G$13:G$101)) + VLOOKUP($H373,Adders!$B$5:$G$8,L$11,FALSE)  +  PA!$D$2 ) * IF($D373="NJ",1.07,1))/$L$10, CHOOSE($M$10,$L$9,$M$9) )</f>
        <v xml:space="preserve"> 78.14 </v>
      </c>
      <c r="J373" s="176" t="str">
        <f>TEXT(   (SUMPRODUCT( ((Main!$H$9:$H$1000)=$E373)*((Main!$J$9:$J$1000)=$F373)*((Main!$O$9:$O$1000)=$C373)*(Main!S$9:S$1000) ) +  ( SUMPRODUCT( ((Adders!$D$13:$D$101)=$E373)*((Adders!$E$13:$E$101)=$F373)*(Adders!H$13:H$101)) + VLOOKUP($H373,Adders!$B$5:$G$8,M$11,FALSE)  +  PA!$D$2 ) * IF($D373="NJ",1.07,1))/$L$10, CHOOSE($M$10,$L$9,$M$9) )</f>
        <v xml:space="preserve"> 77.72 </v>
      </c>
      <c r="K373" s="177" t="str">
        <f>TEXT(   (SUMPRODUCT( ((Main!$H$9:$H$1000)=$E373)*((Main!$J$9:$J$1000)=$F373)*((Main!$O$9:$O$1000)=$C373)*(Main!T$9:T$1000) ) +  ( SUMPRODUCT( ((Adders!$D$13:$D$101)=$E373)*((Adders!$E$13:$E$101)=$F373)*(Adders!I$13:I$101)) + VLOOKUP($H373,Adders!$B$5:$G$8,N$11,FALSE)  +  PA!$D$2 ) * IF($D373="NJ",1.07,1))/$L$10, CHOOSE($M$10,$L$9,$M$9) )</f>
        <v xml:space="preserve"> 78.48 </v>
      </c>
      <c r="L373" s="176" t="str">
        <f>IF(AND($D$11="IL",$E373="AMEREN"),"NA",TEXT((SUMPRODUCT(((LMPMain!$H$9:$H$1000)=$E373)*((LMPMain!$J$9:$J$1000)=$F373)*((LMPMain!$O$9:$O$1000)=$C373)*(LMPMain!R$9:R$1000))+(SUMPRODUCT(((Adders!$D$13:$D$101)=$E373)*((Adders!$E$13:$E$101)=$F373)*(Adders!G$13:G$101))+VLOOKUP($H373,Adders!$B$5:$G$8,L$11,FALSE)+Matrix!$D$2)*IF($D373="NJ",1.07,1))/$L$10,CHOOSE($M$10,$L$9,$M$9)))</f>
        <v xml:space="preserve"> 36.43 </v>
      </c>
      <c r="M373" s="176" t="str">
        <f>IF(AND($D$11="IL",$E373="AMEREN"),"NA",TEXT((SUMPRODUCT(((LMPMain!$H$9:$H$1000)=$E373)*((LMPMain!$J$9:$J$1000)=$F373)*((LMPMain!$O$9:$O$1000)=$C373)*(LMPMain!S$9:S$1000))+(SUMPRODUCT(((Adders!$D$13:$D$101)=$E373)*((Adders!$E$13:$E$101)=$F373)*(Adders!H$13:H$101))+VLOOKUP($H373,Adders!$B$5:$G$8,M$11,FALSE)+Matrix!$D$2)*IF($D373="NJ",1.07,1))/$L$10,CHOOSE($M$10,$L$9,$M$9)))</f>
        <v xml:space="preserve"> 36.57 </v>
      </c>
      <c r="N373" s="177" t="str">
        <f>IF(AND($D$11="IL",$E373="AMEREN"),"NA",TEXT((SUMPRODUCT(((LMPMain!$H$9:$H$1000)=$E373)*((LMPMain!$J$9:$J$1000)=$F373)*((LMPMain!$O$9:$O$1000)=$C373)*(LMPMain!T$9:T$1000))+(SUMPRODUCT(((Adders!$D$13:$D$101)=$E373)*((Adders!$E$13:$E$101)=$F373)*(Adders!G$13:G$101))+VLOOKUP($H373,Adders!$B$5:$G$8,N$11,FALSE)+Matrix!$D$2)*IF($D373="NJ",1.07,1))/$L$10,CHOOSE($M$10,$L$9,$M$9)))</f>
        <v xml:space="preserve"> 36.38 </v>
      </c>
      <c r="O373" s="112"/>
    </row>
    <row r="374" spans="2:15" x14ac:dyDescent="0.25">
      <c r="B374" s="160" t="s">
        <v>674</v>
      </c>
      <c r="C374" s="127">
        <f t="shared" si="11"/>
        <v>42156</v>
      </c>
      <c r="D374" s="128" t="s">
        <v>6</v>
      </c>
      <c r="E374" s="129" t="s">
        <v>14</v>
      </c>
      <c r="F374" s="128" t="s">
        <v>16</v>
      </c>
      <c r="G374" s="129" t="str">
        <f>VLOOKUP(SUMPRODUCT( ((LMPMain!$H$9:$H$1000)=$E374)*((LMPMain!$J$9:$J$1000)=$F374)*((LMPMain!$O$9:$O$1000)=$C374)*(LMPMain!A$9:A$1000)),LMPMain!$A$9:$K$1000,11,FALSE)</f>
        <v>General Service Large</v>
      </c>
      <c r="H374" s="130" t="s">
        <v>61</v>
      </c>
      <c r="I374" s="178" t="str">
        <f>TEXT(   (SUMPRODUCT( ((Main!$H$9:$H$1000)=$E374)*((Main!$J$9:$J$1000)=$F374)*((Main!$O$9:$O$1000)=$C374)*(Main!R$9:R$1000) ) +  ( SUMPRODUCT( ((Adders!$D$13:$D$101)=$E374)*((Adders!$E$13:$E$101)=$F374)*(Adders!G$13:G$101)) + VLOOKUP($H374,Adders!$B$5:$G$8,L$11,FALSE)  +  PA!$D$2 ) * IF($D374="NJ",1.07,1))/$L$10, CHOOSE($M$10,$L$9,$M$9) )</f>
        <v xml:space="preserve"> 85.92 </v>
      </c>
      <c r="J374" s="178" t="str">
        <f>TEXT(   (SUMPRODUCT( ((Main!$H$9:$H$1000)=$E374)*((Main!$J$9:$J$1000)=$F374)*((Main!$O$9:$O$1000)=$C374)*(Main!S$9:S$1000) ) +  ( SUMPRODUCT( ((Adders!$D$13:$D$101)=$E374)*((Adders!$E$13:$E$101)=$F374)*(Adders!H$13:H$101)) + VLOOKUP($H374,Adders!$B$5:$G$8,M$11,FALSE)  +  PA!$D$2 ) * IF($D374="NJ",1.07,1))/$L$10, CHOOSE($M$10,$L$9,$M$9) )</f>
        <v xml:space="preserve"> 83.61 </v>
      </c>
      <c r="K374" s="179" t="str">
        <f>TEXT(   (SUMPRODUCT( ((Main!$H$9:$H$1000)=$E374)*((Main!$J$9:$J$1000)=$F374)*((Main!$O$9:$O$1000)=$C374)*(Main!T$9:T$1000) ) +  ( SUMPRODUCT( ((Adders!$D$13:$D$101)=$E374)*((Adders!$E$13:$E$101)=$F374)*(Adders!I$13:I$101)) + VLOOKUP($H374,Adders!$B$5:$G$8,N$11,FALSE)  +  PA!$D$2 ) * IF($D374="NJ",1.07,1))/$L$10, CHOOSE($M$10,$L$9,$M$9) )</f>
        <v xml:space="preserve"> 83.75 </v>
      </c>
      <c r="L374" s="178" t="str">
        <f>IF(AND($D$11="IL",$E374="AMEREN"),"NA",TEXT((SUMPRODUCT(((LMPMain!$H$9:$H$1000)=$E374)*((LMPMain!$J$9:$J$1000)=$F374)*((LMPMain!$O$9:$O$1000)=$C374)*(LMPMain!R$9:R$1000))+(SUMPRODUCT(((Adders!$D$13:$D$101)=$E374)*((Adders!$E$13:$E$101)=$F374)*(Adders!G$13:G$101))+VLOOKUP($H374,Adders!$B$5:$G$8,L$11,FALSE)+Matrix!$D$2)*IF($D374="NJ",1.07,1))/$L$10,CHOOSE($M$10,$L$9,$M$9)))</f>
        <v xml:space="preserve"> 43.13 </v>
      </c>
      <c r="M374" s="178" t="str">
        <f>IF(AND($D$11="IL",$E374="AMEREN"),"NA",TEXT((SUMPRODUCT(((LMPMain!$H$9:$H$1000)=$E374)*((LMPMain!$J$9:$J$1000)=$F374)*((LMPMain!$O$9:$O$1000)=$C374)*(LMPMain!S$9:S$1000))+(SUMPRODUCT(((Adders!$D$13:$D$101)=$E374)*((Adders!$E$13:$E$101)=$F374)*(Adders!H$13:H$101))+VLOOKUP($H374,Adders!$B$5:$G$8,M$11,FALSE)+Matrix!$D$2)*IF($D374="NJ",1.07,1))/$L$10,CHOOSE($M$10,$L$9,$M$9)))</f>
        <v xml:space="preserve"> 41.48 </v>
      </c>
      <c r="N374" s="179" t="str">
        <f>IF(AND($D$11="IL",$E374="AMEREN"),"NA",TEXT((SUMPRODUCT(((LMPMain!$H$9:$H$1000)=$E374)*((LMPMain!$J$9:$J$1000)=$F374)*((LMPMain!$O$9:$O$1000)=$C374)*(LMPMain!T$9:T$1000))+(SUMPRODUCT(((Adders!$D$13:$D$101)=$E374)*((Adders!$E$13:$E$101)=$F374)*(Adders!G$13:G$101))+VLOOKUP($H374,Adders!$B$5:$G$8,N$11,FALSE)+Matrix!$D$2)*IF($D374="NJ",1.07,1))/$L$10,CHOOSE($M$10,$L$9,$M$9)))</f>
        <v xml:space="preserve"> 40.94 </v>
      </c>
      <c r="O374" s="112"/>
    </row>
    <row r="375" spans="2:15" x14ac:dyDescent="0.25">
      <c r="B375" s="160" t="s">
        <v>674</v>
      </c>
      <c r="C375" s="131">
        <f t="shared" si="11"/>
        <v>42156</v>
      </c>
      <c r="D375" s="132" t="s">
        <v>6</v>
      </c>
      <c r="E375" s="133" t="s">
        <v>14</v>
      </c>
      <c r="F375" s="132" t="s">
        <v>16</v>
      </c>
      <c r="G375" s="133" t="str">
        <f>G374</f>
        <v>General Service Large</v>
      </c>
      <c r="H375" s="134" t="s">
        <v>62</v>
      </c>
      <c r="I375" s="173" t="str">
        <f>TEXT(   (SUMPRODUCT( ((Main!$H$9:$H$1000)=$E375)*((Main!$J$9:$J$1000)=$F375)*((Main!$O$9:$O$1000)=$C375)*(Main!R$9:R$1000) ) +  ( SUMPRODUCT( ((Adders!$D$13:$D$101)=$E375)*((Adders!$E$13:$E$101)=$F375)*(Adders!G$13:G$101)) + VLOOKUP($H375,Adders!$B$5:$G$8,L$11,FALSE)  +  PA!$D$2 ) * IF($D375="NJ",1.07,1))/$L$10, CHOOSE($M$10,$L$9,$M$9) )</f>
        <v xml:space="preserve"> 84.32 </v>
      </c>
      <c r="J375" s="173" t="str">
        <f>TEXT(   (SUMPRODUCT( ((Main!$H$9:$H$1000)=$E375)*((Main!$J$9:$J$1000)=$F375)*((Main!$O$9:$O$1000)=$C375)*(Main!S$9:S$1000) ) +  ( SUMPRODUCT( ((Adders!$D$13:$D$101)=$E375)*((Adders!$E$13:$E$101)=$F375)*(Adders!H$13:H$101)) + VLOOKUP($H375,Adders!$B$5:$G$8,M$11,FALSE)  +  PA!$D$2 ) * IF($D375="NJ",1.07,1))/$L$10, CHOOSE($M$10,$L$9,$M$9) )</f>
        <v xml:space="preserve"> 82.01 </v>
      </c>
      <c r="K375" s="174" t="str">
        <f>TEXT(   (SUMPRODUCT( ((Main!$H$9:$H$1000)=$E375)*((Main!$J$9:$J$1000)=$F375)*((Main!$O$9:$O$1000)=$C375)*(Main!T$9:T$1000) ) +  ( SUMPRODUCT( ((Adders!$D$13:$D$101)=$E375)*((Adders!$E$13:$E$101)=$F375)*(Adders!I$13:I$101)) + VLOOKUP($H375,Adders!$B$5:$G$8,N$11,FALSE)  +  PA!$D$2 ) * IF($D375="NJ",1.07,1))/$L$10, CHOOSE($M$10,$L$9,$M$9) )</f>
        <v xml:space="preserve"> 82.15 </v>
      </c>
      <c r="L375" s="173" t="str">
        <f>IF(AND($D$11="IL",$E375="AMEREN"),"NA",TEXT((SUMPRODUCT(((LMPMain!$H$9:$H$1000)=$E375)*((LMPMain!$J$9:$J$1000)=$F375)*((LMPMain!$O$9:$O$1000)=$C375)*(LMPMain!R$9:R$1000))+(SUMPRODUCT(((Adders!$D$13:$D$101)=$E375)*((Adders!$E$13:$E$101)=$F375)*(Adders!G$13:G$101))+VLOOKUP($H375,Adders!$B$5:$G$8,L$11,FALSE)+Matrix!$D$2)*IF($D375="NJ",1.07,1))/$L$10,CHOOSE($M$10,$L$9,$M$9)))</f>
        <v xml:space="preserve"> 41.53 </v>
      </c>
      <c r="M375" s="173" t="str">
        <f>IF(AND($D$11="IL",$E375="AMEREN"),"NA",TEXT((SUMPRODUCT(((LMPMain!$H$9:$H$1000)=$E375)*((LMPMain!$J$9:$J$1000)=$F375)*((LMPMain!$O$9:$O$1000)=$C375)*(LMPMain!S$9:S$1000))+(SUMPRODUCT(((Adders!$D$13:$D$101)=$E375)*((Adders!$E$13:$E$101)=$F375)*(Adders!H$13:H$101))+VLOOKUP($H375,Adders!$B$5:$G$8,M$11,FALSE)+Matrix!$D$2)*IF($D375="NJ",1.07,1))/$L$10,CHOOSE($M$10,$L$9,$M$9)))</f>
        <v xml:space="preserve"> 39.88 </v>
      </c>
      <c r="N375" s="174" t="str">
        <f>IF(AND($D$11="IL",$E375="AMEREN"),"NA",TEXT((SUMPRODUCT(((LMPMain!$H$9:$H$1000)=$E375)*((LMPMain!$J$9:$J$1000)=$F375)*((LMPMain!$O$9:$O$1000)=$C375)*(LMPMain!T$9:T$1000))+(SUMPRODUCT(((Adders!$D$13:$D$101)=$E375)*((Adders!$E$13:$E$101)=$F375)*(Adders!G$13:G$101))+VLOOKUP($H375,Adders!$B$5:$G$8,N$11,FALSE)+Matrix!$D$2)*IF($D375="NJ",1.07,1))/$L$10,CHOOSE($M$10,$L$9,$M$9)))</f>
        <v xml:space="preserve"> 39.34 </v>
      </c>
      <c r="O375" s="112"/>
    </row>
    <row r="376" spans="2:15" x14ac:dyDescent="0.25">
      <c r="B376" s="160" t="s">
        <v>674</v>
      </c>
      <c r="C376" s="135">
        <f t="shared" si="11"/>
        <v>42156</v>
      </c>
      <c r="D376" s="136" t="s">
        <v>6</v>
      </c>
      <c r="E376" s="137" t="s">
        <v>14</v>
      </c>
      <c r="F376" s="136" t="s">
        <v>16</v>
      </c>
      <c r="G376" s="137" t="str">
        <f>G375</f>
        <v>General Service Large</v>
      </c>
      <c r="H376" s="138" t="s">
        <v>690</v>
      </c>
      <c r="I376" s="176" t="str">
        <f>TEXT(   (SUMPRODUCT( ((Main!$H$9:$H$1000)=$E376)*((Main!$J$9:$J$1000)=$F376)*((Main!$O$9:$O$1000)=$C376)*(Main!R$9:R$1000) ) +  ( SUMPRODUCT( ((Adders!$D$13:$D$101)=$E376)*((Adders!$E$13:$E$101)=$F376)*(Adders!G$13:G$101)) + VLOOKUP($H376,Adders!$B$5:$G$8,L$11,FALSE)  +  PA!$D$2 ) * IF($D376="NJ",1.07,1))/$L$10, CHOOSE($M$10,$L$9,$M$9) )</f>
        <v xml:space="preserve"> 83.27 </v>
      </c>
      <c r="J376" s="176" t="str">
        <f>TEXT(   (SUMPRODUCT( ((Main!$H$9:$H$1000)=$E376)*((Main!$J$9:$J$1000)=$F376)*((Main!$O$9:$O$1000)=$C376)*(Main!S$9:S$1000) ) +  ( SUMPRODUCT( ((Adders!$D$13:$D$101)=$E376)*((Adders!$E$13:$E$101)=$F376)*(Adders!H$13:H$101)) + VLOOKUP($H376,Adders!$B$5:$G$8,M$11,FALSE)  +  PA!$D$2 ) * IF($D376="NJ",1.07,1))/$L$10, CHOOSE($M$10,$L$9,$M$9) )</f>
        <v xml:space="preserve"> 80.96 </v>
      </c>
      <c r="K376" s="177" t="str">
        <f>TEXT(   (SUMPRODUCT( ((Main!$H$9:$H$1000)=$E376)*((Main!$J$9:$J$1000)=$F376)*((Main!$O$9:$O$1000)=$C376)*(Main!T$9:T$1000) ) +  ( SUMPRODUCT( ((Adders!$D$13:$D$101)=$E376)*((Adders!$E$13:$E$101)=$F376)*(Adders!I$13:I$101)) + VLOOKUP($H376,Adders!$B$5:$G$8,N$11,FALSE)  +  PA!$D$2 ) * IF($D376="NJ",1.07,1))/$L$10, CHOOSE($M$10,$L$9,$M$9) )</f>
        <v xml:space="preserve"> 81.10 </v>
      </c>
      <c r="L376" s="176" t="str">
        <f>IF(AND($D$11="IL",$E376="AMEREN"),"NA",TEXT((SUMPRODUCT(((LMPMain!$H$9:$H$1000)=$E376)*((LMPMain!$J$9:$J$1000)=$F376)*((LMPMain!$O$9:$O$1000)=$C376)*(LMPMain!R$9:R$1000))+(SUMPRODUCT(((Adders!$D$13:$D$101)=$E376)*((Adders!$E$13:$E$101)=$F376)*(Adders!G$13:G$101))+VLOOKUP($H376,Adders!$B$5:$G$8,L$11,FALSE)+Matrix!$D$2)*IF($D376="NJ",1.07,1))/$L$10,CHOOSE($M$10,$L$9,$M$9)))</f>
        <v xml:space="preserve"> 40.48 </v>
      </c>
      <c r="M376" s="176" t="str">
        <f>IF(AND($D$11="IL",$E376="AMEREN"),"NA",TEXT((SUMPRODUCT(((LMPMain!$H$9:$H$1000)=$E376)*((LMPMain!$J$9:$J$1000)=$F376)*((LMPMain!$O$9:$O$1000)=$C376)*(LMPMain!S$9:S$1000))+(SUMPRODUCT(((Adders!$D$13:$D$101)=$E376)*((Adders!$E$13:$E$101)=$F376)*(Adders!H$13:H$101))+VLOOKUP($H376,Adders!$B$5:$G$8,M$11,FALSE)+Matrix!$D$2)*IF($D376="NJ",1.07,1))/$L$10,CHOOSE($M$10,$L$9,$M$9)))</f>
        <v xml:space="preserve"> 38.83 </v>
      </c>
      <c r="N376" s="177" t="str">
        <f>IF(AND($D$11="IL",$E376="AMEREN"),"NA",TEXT((SUMPRODUCT(((LMPMain!$H$9:$H$1000)=$E376)*((LMPMain!$J$9:$J$1000)=$F376)*((LMPMain!$O$9:$O$1000)=$C376)*(LMPMain!T$9:T$1000))+(SUMPRODUCT(((Adders!$D$13:$D$101)=$E376)*((Adders!$E$13:$E$101)=$F376)*(Adders!G$13:G$101))+VLOOKUP($H376,Adders!$B$5:$G$8,N$11,FALSE)+Matrix!$D$2)*IF($D376="NJ",1.07,1))/$L$10,CHOOSE($M$10,$L$9,$M$9)))</f>
        <v xml:space="preserve"> 38.29 </v>
      </c>
      <c r="O376" s="112"/>
    </row>
    <row r="377" spans="2:15" x14ac:dyDescent="0.25">
      <c r="B377" s="160" t="s">
        <v>674</v>
      </c>
      <c r="C377" s="127">
        <f t="shared" si="11"/>
        <v>42186</v>
      </c>
      <c r="D377" s="128" t="s">
        <v>6</v>
      </c>
      <c r="E377" s="129" t="s">
        <v>14</v>
      </c>
      <c r="F377" s="128" t="s">
        <v>16</v>
      </c>
      <c r="G377" s="129" t="str">
        <f t="shared" si="12"/>
        <v>General Service Large</v>
      </c>
      <c r="H377" s="130" t="s">
        <v>61</v>
      </c>
      <c r="I377" s="178" t="str">
        <f>TEXT(   (SUMPRODUCT( ((Main!$H$9:$H$1000)=$E377)*((Main!$J$9:$J$1000)=$F377)*((Main!$O$9:$O$1000)=$C377)*(Main!R$9:R$1000) ) +  ( SUMPRODUCT( ((Adders!$D$13:$D$101)=$E377)*((Adders!$E$13:$E$101)=$F377)*(Adders!G$13:G$101)) + VLOOKUP($H377,Adders!$B$5:$G$8,L$11,FALSE)  +  PA!$D$2 ) * IF($D377="NJ",1.07,1))/$L$10, CHOOSE($M$10,$L$9,$M$9) )</f>
        <v xml:space="preserve"> 85.68 </v>
      </c>
      <c r="J377" s="178" t="str">
        <f>TEXT(   (SUMPRODUCT( ((Main!$H$9:$H$1000)=$E377)*((Main!$J$9:$J$1000)=$F377)*((Main!$O$9:$O$1000)=$C377)*(Main!S$9:S$1000) ) +  ( SUMPRODUCT( ((Adders!$D$13:$D$101)=$E377)*((Adders!$E$13:$E$101)=$F377)*(Adders!H$13:H$101)) + VLOOKUP($H377,Adders!$B$5:$G$8,M$11,FALSE)  +  PA!$D$2 ) * IF($D377="NJ",1.07,1))/$L$10, CHOOSE($M$10,$L$9,$M$9) )</f>
        <v xml:space="preserve"> 83.36 </v>
      </c>
      <c r="K377" s="179" t="str">
        <f>TEXT(   (SUMPRODUCT( ((Main!$H$9:$H$1000)=$E377)*((Main!$J$9:$J$1000)=$F377)*((Main!$O$9:$O$1000)=$C377)*(Main!T$9:T$1000) ) +  ( SUMPRODUCT( ((Adders!$D$13:$D$101)=$E377)*((Adders!$E$13:$E$101)=$F377)*(Adders!I$13:I$101)) + VLOOKUP($H377,Adders!$B$5:$G$8,N$11,FALSE)  +  PA!$D$2 ) * IF($D377="NJ",1.07,1))/$L$10, CHOOSE($M$10,$L$9,$M$9) )</f>
        <v xml:space="preserve"> 83.63 </v>
      </c>
      <c r="L377" s="178" t="str">
        <f>IF(AND($D$11="IL",$E377="AMEREN"),"NA",TEXT((SUMPRODUCT(((LMPMain!$H$9:$H$1000)=$E377)*((LMPMain!$J$9:$J$1000)=$F377)*((LMPMain!$O$9:$O$1000)=$C377)*(LMPMain!R$9:R$1000))+(SUMPRODUCT(((Adders!$D$13:$D$101)=$E377)*((Adders!$E$13:$E$101)=$F377)*(Adders!G$13:G$101))+VLOOKUP($H377,Adders!$B$5:$G$8,L$11,FALSE)+Matrix!$D$2)*IF($D377="NJ",1.07,1))/$L$10,CHOOSE($M$10,$L$9,$M$9)))</f>
        <v xml:space="preserve"> 42.76 </v>
      </c>
      <c r="M377" s="178" t="str">
        <f>IF(AND($D$11="IL",$E377="AMEREN"),"NA",TEXT((SUMPRODUCT(((LMPMain!$H$9:$H$1000)=$E377)*((LMPMain!$J$9:$J$1000)=$F377)*((LMPMain!$O$9:$O$1000)=$C377)*(LMPMain!S$9:S$1000))+(SUMPRODUCT(((Adders!$D$13:$D$101)=$E377)*((Adders!$E$13:$E$101)=$F377)*(Adders!H$13:H$101))+VLOOKUP($H377,Adders!$B$5:$G$8,M$11,FALSE)+Matrix!$D$2)*IF($D377="NJ",1.07,1))/$L$10,CHOOSE($M$10,$L$9,$M$9)))</f>
        <v xml:space="preserve"> 41.23 </v>
      </c>
      <c r="N377" s="179" t="str">
        <f>IF(AND($D$11="IL",$E377="AMEREN"),"NA",TEXT((SUMPRODUCT(((LMPMain!$H$9:$H$1000)=$E377)*((LMPMain!$J$9:$J$1000)=$F377)*((LMPMain!$O$9:$O$1000)=$C377)*(LMPMain!T$9:T$1000))+(SUMPRODUCT(((Adders!$D$13:$D$101)=$E377)*((Adders!$E$13:$E$101)=$F377)*(Adders!G$13:G$101))+VLOOKUP($H377,Adders!$B$5:$G$8,N$11,FALSE)+Matrix!$D$2)*IF($D377="NJ",1.07,1))/$L$10,CHOOSE($M$10,$L$9,$M$9)))</f>
        <v xml:space="preserve"> 40.77 </v>
      </c>
      <c r="O377" s="112"/>
    </row>
    <row r="378" spans="2:15" x14ac:dyDescent="0.25">
      <c r="B378" s="160" t="s">
        <v>674</v>
      </c>
      <c r="C378" s="131">
        <f t="shared" si="11"/>
        <v>42186</v>
      </c>
      <c r="D378" s="132" t="s">
        <v>6</v>
      </c>
      <c r="E378" s="133" t="s">
        <v>14</v>
      </c>
      <c r="F378" s="132" t="s">
        <v>16</v>
      </c>
      <c r="G378" s="133" t="str">
        <f t="shared" si="12"/>
        <v>General Service Large</v>
      </c>
      <c r="H378" s="134" t="s">
        <v>62</v>
      </c>
      <c r="I378" s="173" t="str">
        <f>TEXT(   (SUMPRODUCT( ((Main!$H$9:$H$1000)=$E378)*((Main!$J$9:$J$1000)=$F378)*((Main!$O$9:$O$1000)=$C378)*(Main!R$9:R$1000) ) +  ( SUMPRODUCT( ((Adders!$D$13:$D$101)=$E378)*((Adders!$E$13:$E$101)=$F378)*(Adders!G$13:G$101)) + VLOOKUP($H378,Adders!$B$5:$G$8,L$11,FALSE)  +  PA!$D$2 ) * IF($D378="NJ",1.07,1))/$L$10, CHOOSE($M$10,$L$9,$M$9) )</f>
        <v xml:space="preserve"> 84.08 </v>
      </c>
      <c r="J378" s="173" t="str">
        <f>TEXT(   (SUMPRODUCT( ((Main!$H$9:$H$1000)=$E378)*((Main!$J$9:$J$1000)=$F378)*((Main!$O$9:$O$1000)=$C378)*(Main!S$9:S$1000) ) +  ( SUMPRODUCT( ((Adders!$D$13:$D$101)=$E378)*((Adders!$E$13:$E$101)=$F378)*(Adders!H$13:H$101)) + VLOOKUP($H378,Adders!$B$5:$G$8,M$11,FALSE)  +  PA!$D$2 ) * IF($D378="NJ",1.07,1))/$L$10, CHOOSE($M$10,$L$9,$M$9) )</f>
        <v xml:space="preserve"> 81.76 </v>
      </c>
      <c r="K378" s="174" t="str">
        <f>TEXT(   (SUMPRODUCT( ((Main!$H$9:$H$1000)=$E378)*((Main!$J$9:$J$1000)=$F378)*((Main!$O$9:$O$1000)=$C378)*(Main!T$9:T$1000) ) +  ( SUMPRODUCT( ((Adders!$D$13:$D$101)=$E378)*((Adders!$E$13:$E$101)=$F378)*(Adders!I$13:I$101)) + VLOOKUP($H378,Adders!$B$5:$G$8,N$11,FALSE)  +  PA!$D$2 ) * IF($D378="NJ",1.07,1))/$L$10, CHOOSE($M$10,$L$9,$M$9) )</f>
        <v xml:space="preserve"> 82.03 </v>
      </c>
      <c r="L378" s="173" t="str">
        <f>IF(AND($D$11="IL",$E378="AMEREN"),"NA",TEXT((SUMPRODUCT(((LMPMain!$H$9:$H$1000)=$E378)*((LMPMain!$J$9:$J$1000)=$F378)*((LMPMain!$O$9:$O$1000)=$C378)*(LMPMain!R$9:R$1000))+(SUMPRODUCT(((Adders!$D$13:$D$101)=$E378)*((Adders!$E$13:$E$101)=$F378)*(Adders!G$13:G$101))+VLOOKUP($H378,Adders!$B$5:$G$8,L$11,FALSE)+Matrix!$D$2)*IF($D378="NJ",1.07,1))/$L$10,CHOOSE($M$10,$L$9,$M$9)))</f>
        <v xml:space="preserve"> 41.16 </v>
      </c>
      <c r="M378" s="173" t="str">
        <f>IF(AND($D$11="IL",$E378="AMEREN"),"NA",TEXT((SUMPRODUCT(((LMPMain!$H$9:$H$1000)=$E378)*((LMPMain!$J$9:$J$1000)=$F378)*((LMPMain!$O$9:$O$1000)=$C378)*(LMPMain!S$9:S$1000))+(SUMPRODUCT(((Adders!$D$13:$D$101)=$E378)*((Adders!$E$13:$E$101)=$F378)*(Adders!H$13:H$101))+VLOOKUP($H378,Adders!$B$5:$G$8,M$11,FALSE)+Matrix!$D$2)*IF($D378="NJ",1.07,1))/$L$10,CHOOSE($M$10,$L$9,$M$9)))</f>
        <v xml:space="preserve"> 39.63 </v>
      </c>
      <c r="N378" s="174" t="str">
        <f>IF(AND($D$11="IL",$E378="AMEREN"),"NA",TEXT((SUMPRODUCT(((LMPMain!$H$9:$H$1000)=$E378)*((LMPMain!$J$9:$J$1000)=$F378)*((LMPMain!$O$9:$O$1000)=$C378)*(LMPMain!T$9:T$1000))+(SUMPRODUCT(((Adders!$D$13:$D$101)=$E378)*((Adders!$E$13:$E$101)=$F378)*(Adders!G$13:G$101))+VLOOKUP($H378,Adders!$B$5:$G$8,N$11,FALSE)+Matrix!$D$2)*IF($D378="NJ",1.07,1))/$L$10,CHOOSE($M$10,$L$9,$M$9)))</f>
        <v xml:space="preserve"> 39.17 </v>
      </c>
      <c r="O378" s="112"/>
    </row>
    <row r="379" spans="2:15" x14ac:dyDescent="0.25">
      <c r="B379" s="160" t="s">
        <v>674</v>
      </c>
      <c r="C379" s="135">
        <f t="shared" si="11"/>
        <v>42186</v>
      </c>
      <c r="D379" s="136" t="s">
        <v>6</v>
      </c>
      <c r="E379" s="137" t="s">
        <v>14</v>
      </c>
      <c r="F379" s="136" t="s">
        <v>16</v>
      </c>
      <c r="G379" s="137" t="str">
        <f t="shared" si="12"/>
        <v>General Service Large</v>
      </c>
      <c r="H379" s="138" t="s">
        <v>690</v>
      </c>
      <c r="I379" s="176" t="str">
        <f>TEXT(   (SUMPRODUCT( ((Main!$H$9:$H$1000)=$E379)*((Main!$J$9:$J$1000)=$F379)*((Main!$O$9:$O$1000)=$C379)*(Main!R$9:R$1000) ) +  ( SUMPRODUCT( ((Adders!$D$13:$D$101)=$E379)*((Adders!$E$13:$E$101)=$F379)*(Adders!G$13:G$101)) + VLOOKUP($H379,Adders!$B$5:$G$8,L$11,FALSE)  +  PA!$D$2 ) * IF($D379="NJ",1.07,1))/$L$10, CHOOSE($M$10,$L$9,$M$9) )</f>
        <v xml:space="preserve"> 83.03 </v>
      </c>
      <c r="J379" s="176" t="str">
        <f>TEXT(   (SUMPRODUCT( ((Main!$H$9:$H$1000)=$E379)*((Main!$J$9:$J$1000)=$F379)*((Main!$O$9:$O$1000)=$C379)*(Main!S$9:S$1000) ) +  ( SUMPRODUCT( ((Adders!$D$13:$D$101)=$E379)*((Adders!$E$13:$E$101)=$F379)*(Adders!H$13:H$101)) + VLOOKUP($H379,Adders!$B$5:$G$8,M$11,FALSE)  +  PA!$D$2 ) * IF($D379="NJ",1.07,1))/$L$10, CHOOSE($M$10,$L$9,$M$9) )</f>
        <v xml:space="preserve"> 80.71 </v>
      </c>
      <c r="K379" s="177" t="str">
        <f>TEXT(   (SUMPRODUCT( ((Main!$H$9:$H$1000)=$E379)*((Main!$J$9:$J$1000)=$F379)*((Main!$O$9:$O$1000)=$C379)*(Main!T$9:T$1000) ) +  ( SUMPRODUCT( ((Adders!$D$13:$D$101)=$E379)*((Adders!$E$13:$E$101)=$F379)*(Adders!I$13:I$101)) + VLOOKUP($H379,Adders!$B$5:$G$8,N$11,FALSE)  +  PA!$D$2 ) * IF($D379="NJ",1.07,1))/$L$10, CHOOSE($M$10,$L$9,$M$9) )</f>
        <v xml:space="preserve"> 80.98 </v>
      </c>
      <c r="L379" s="176" t="str">
        <f>IF(AND($D$11="IL",$E379="AMEREN"),"NA",TEXT((SUMPRODUCT(((LMPMain!$H$9:$H$1000)=$E379)*((LMPMain!$J$9:$J$1000)=$F379)*((LMPMain!$O$9:$O$1000)=$C379)*(LMPMain!R$9:R$1000))+(SUMPRODUCT(((Adders!$D$13:$D$101)=$E379)*((Adders!$E$13:$E$101)=$F379)*(Adders!G$13:G$101))+VLOOKUP($H379,Adders!$B$5:$G$8,L$11,FALSE)+Matrix!$D$2)*IF($D379="NJ",1.07,1))/$L$10,CHOOSE($M$10,$L$9,$M$9)))</f>
        <v xml:space="preserve"> 40.11 </v>
      </c>
      <c r="M379" s="176" t="str">
        <f>IF(AND($D$11="IL",$E379="AMEREN"),"NA",TEXT((SUMPRODUCT(((LMPMain!$H$9:$H$1000)=$E379)*((LMPMain!$J$9:$J$1000)=$F379)*((LMPMain!$O$9:$O$1000)=$C379)*(LMPMain!S$9:S$1000))+(SUMPRODUCT(((Adders!$D$13:$D$101)=$E379)*((Adders!$E$13:$E$101)=$F379)*(Adders!H$13:H$101))+VLOOKUP($H379,Adders!$B$5:$G$8,M$11,FALSE)+Matrix!$D$2)*IF($D379="NJ",1.07,1))/$L$10,CHOOSE($M$10,$L$9,$M$9)))</f>
        <v xml:space="preserve"> 38.58 </v>
      </c>
      <c r="N379" s="177" t="str">
        <f>IF(AND($D$11="IL",$E379="AMEREN"),"NA",TEXT((SUMPRODUCT(((LMPMain!$H$9:$H$1000)=$E379)*((LMPMain!$J$9:$J$1000)=$F379)*((LMPMain!$O$9:$O$1000)=$C379)*(LMPMain!T$9:T$1000))+(SUMPRODUCT(((Adders!$D$13:$D$101)=$E379)*((Adders!$E$13:$E$101)=$F379)*(Adders!G$13:G$101))+VLOOKUP($H379,Adders!$B$5:$G$8,N$11,FALSE)+Matrix!$D$2)*IF($D379="NJ",1.07,1))/$L$10,CHOOSE($M$10,$L$9,$M$9)))</f>
        <v xml:space="preserve"> 38.12 </v>
      </c>
      <c r="O379" s="112"/>
    </row>
    <row r="380" spans="2:15" x14ac:dyDescent="0.25">
      <c r="B380" s="160" t="s">
        <v>674</v>
      </c>
      <c r="C380" s="127">
        <f t="shared" si="11"/>
        <v>42217</v>
      </c>
      <c r="D380" s="128" t="s">
        <v>6</v>
      </c>
      <c r="E380" s="129" t="s">
        <v>14</v>
      </c>
      <c r="F380" s="128" t="s">
        <v>16</v>
      </c>
      <c r="G380" s="129" t="str">
        <f t="shared" si="12"/>
        <v>General Service Large</v>
      </c>
      <c r="H380" s="130" t="s">
        <v>61</v>
      </c>
      <c r="I380" s="178" t="str">
        <f>TEXT(   (SUMPRODUCT( ((Main!$H$9:$H$1000)=$E380)*((Main!$J$9:$J$1000)=$F380)*((Main!$O$9:$O$1000)=$C380)*(Main!R$9:R$1000) ) +  ( SUMPRODUCT( ((Adders!$D$13:$D$101)=$E380)*((Adders!$E$13:$E$101)=$F380)*(Adders!G$13:G$101)) + VLOOKUP($H380,Adders!$B$5:$G$8,L$11,FALSE)  +  PA!$D$2 ) * IF($D380="NJ",1.07,1))/$L$10, CHOOSE($M$10,$L$9,$M$9) )</f>
        <v xml:space="preserve"> 85.13 </v>
      </c>
      <c r="J380" s="178" t="str">
        <f>TEXT(   (SUMPRODUCT( ((Main!$H$9:$H$1000)=$E380)*((Main!$J$9:$J$1000)=$F380)*((Main!$O$9:$O$1000)=$C380)*(Main!S$9:S$1000) ) +  ( SUMPRODUCT( ((Adders!$D$13:$D$101)=$E380)*((Adders!$E$13:$E$101)=$F380)*(Adders!H$13:H$101)) + VLOOKUP($H380,Adders!$B$5:$G$8,M$11,FALSE)  +  PA!$D$2 ) * IF($D380="NJ",1.07,1))/$L$10, CHOOSE($M$10,$L$9,$M$9) )</f>
        <v xml:space="preserve"> 83.74 </v>
      </c>
      <c r="K380" s="179" t="str">
        <f>TEXT(   (SUMPRODUCT( ((Main!$H$9:$H$1000)=$E380)*((Main!$J$9:$J$1000)=$F380)*((Main!$O$9:$O$1000)=$C380)*(Main!T$9:T$1000) ) +  ( SUMPRODUCT( ((Adders!$D$13:$D$101)=$E380)*((Adders!$E$13:$E$101)=$F380)*(Adders!I$13:I$101)) + VLOOKUP($H380,Adders!$B$5:$G$8,N$11,FALSE)  +  PA!$D$2 ) * IF($D380="NJ",1.07,1))/$L$10, CHOOSE($M$10,$L$9,$M$9) )</f>
        <v xml:space="preserve"> 83.50 </v>
      </c>
      <c r="L380" s="178" t="str">
        <f>IF(AND($D$11="IL",$E380="AMEREN"),"NA",TEXT((SUMPRODUCT(((LMPMain!$H$9:$H$1000)=$E380)*((LMPMain!$J$9:$J$1000)=$F380)*((LMPMain!$O$9:$O$1000)=$C380)*(LMPMain!R$9:R$1000))+(SUMPRODUCT(((Adders!$D$13:$D$101)=$E380)*((Adders!$E$13:$E$101)=$F380)*(Adders!G$13:G$101))+VLOOKUP($H380,Adders!$B$5:$G$8,L$11,FALSE)+Matrix!$D$2)*IF($D380="NJ",1.07,1))/$L$10,CHOOSE($M$10,$L$9,$M$9)))</f>
        <v xml:space="preserve"> 42.40 </v>
      </c>
      <c r="M380" s="178" t="str">
        <f>IF(AND($D$11="IL",$E380="AMEREN"),"NA",TEXT((SUMPRODUCT(((LMPMain!$H$9:$H$1000)=$E380)*((LMPMain!$J$9:$J$1000)=$F380)*((LMPMain!$O$9:$O$1000)=$C380)*(LMPMain!S$9:S$1000))+(SUMPRODUCT(((Adders!$D$13:$D$101)=$E380)*((Adders!$E$13:$E$101)=$F380)*(Adders!H$13:H$101))+VLOOKUP($H380,Adders!$B$5:$G$8,M$11,FALSE)+Matrix!$D$2)*IF($D380="NJ",1.07,1))/$L$10,CHOOSE($M$10,$L$9,$M$9)))</f>
        <v xml:space="preserve"> 41.14 </v>
      </c>
      <c r="N380" s="179" t="str">
        <f>IF(AND($D$11="IL",$E380="AMEREN"),"NA",TEXT((SUMPRODUCT(((LMPMain!$H$9:$H$1000)=$E380)*((LMPMain!$J$9:$J$1000)=$F380)*((LMPMain!$O$9:$O$1000)=$C380)*(LMPMain!T$9:T$1000))+(SUMPRODUCT(((Adders!$D$13:$D$101)=$E380)*((Adders!$E$13:$E$101)=$F380)*(Adders!G$13:G$101))+VLOOKUP($H380,Adders!$B$5:$G$8,N$11,FALSE)+Matrix!$D$2)*IF($D380="NJ",1.07,1))/$L$10,CHOOSE($M$10,$L$9,$M$9)))</f>
        <v xml:space="preserve"> 40.62 </v>
      </c>
      <c r="O380" s="112"/>
    </row>
    <row r="381" spans="2:15" x14ac:dyDescent="0.25">
      <c r="B381" s="160" t="s">
        <v>674</v>
      </c>
      <c r="C381" s="131">
        <f t="shared" si="11"/>
        <v>42217</v>
      </c>
      <c r="D381" s="132" t="s">
        <v>6</v>
      </c>
      <c r="E381" s="133" t="s">
        <v>14</v>
      </c>
      <c r="F381" s="132" t="s">
        <v>16</v>
      </c>
      <c r="G381" s="133" t="str">
        <f t="shared" si="12"/>
        <v>General Service Large</v>
      </c>
      <c r="H381" s="134" t="s">
        <v>62</v>
      </c>
      <c r="I381" s="173" t="str">
        <f>TEXT(   (SUMPRODUCT( ((Main!$H$9:$H$1000)=$E381)*((Main!$J$9:$J$1000)=$F381)*((Main!$O$9:$O$1000)=$C381)*(Main!R$9:R$1000) ) +  ( SUMPRODUCT( ((Adders!$D$13:$D$101)=$E381)*((Adders!$E$13:$E$101)=$F381)*(Adders!G$13:G$101)) + VLOOKUP($H381,Adders!$B$5:$G$8,L$11,FALSE)  +  PA!$D$2 ) * IF($D381="NJ",1.07,1))/$L$10, CHOOSE($M$10,$L$9,$M$9) )</f>
        <v xml:space="preserve"> 83.53 </v>
      </c>
      <c r="J381" s="173" t="str">
        <f>TEXT(   (SUMPRODUCT( ((Main!$H$9:$H$1000)=$E381)*((Main!$J$9:$J$1000)=$F381)*((Main!$O$9:$O$1000)=$C381)*(Main!S$9:S$1000) ) +  ( SUMPRODUCT( ((Adders!$D$13:$D$101)=$E381)*((Adders!$E$13:$E$101)=$F381)*(Adders!H$13:H$101)) + VLOOKUP($H381,Adders!$B$5:$G$8,M$11,FALSE)  +  PA!$D$2 ) * IF($D381="NJ",1.07,1))/$L$10, CHOOSE($M$10,$L$9,$M$9) )</f>
        <v xml:space="preserve"> 82.14 </v>
      </c>
      <c r="K381" s="174" t="str">
        <f>TEXT(   (SUMPRODUCT( ((Main!$H$9:$H$1000)=$E381)*((Main!$J$9:$J$1000)=$F381)*((Main!$O$9:$O$1000)=$C381)*(Main!T$9:T$1000) ) +  ( SUMPRODUCT( ((Adders!$D$13:$D$101)=$E381)*((Adders!$E$13:$E$101)=$F381)*(Adders!I$13:I$101)) + VLOOKUP($H381,Adders!$B$5:$G$8,N$11,FALSE)  +  PA!$D$2 ) * IF($D381="NJ",1.07,1))/$L$10, CHOOSE($M$10,$L$9,$M$9) )</f>
        <v xml:space="preserve"> 81.90 </v>
      </c>
      <c r="L381" s="173" t="str">
        <f>IF(AND($D$11="IL",$E381="AMEREN"),"NA",TEXT((SUMPRODUCT(((LMPMain!$H$9:$H$1000)=$E381)*((LMPMain!$J$9:$J$1000)=$F381)*((LMPMain!$O$9:$O$1000)=$C381)*(LMPMain!R$9:R$1000))+(SUMPRODUCT(((Adders!$D$13:$D$101)=$E381)*((Adders!$E$13:$E$101)=$F381)*(Adders!G$13:G$101))+VLOOKUP($H381,Adders!$B$5:$G$8,L$11,FALSE)+Matrix!$D$2)*IF($D381="NJ",1.07,1))/$L$10,CHOOSE($M$10,$L$9,$M$9)))</f>
        <v xml:space="preserve"> 40.80 </v>
      </c>
      <c r="M381" s="173" t="str">
        <f>IF(AND($D$11="IL",$E381="AMEREN"),"NA",TEXT((SUMPRODUCT(((LMPMain!$H$9:$H$1000)=$E381)*((LMPMain!$J$9:$J$1000)=$F381)*((LMPMain!$O$9:$O$1000)=$C381)*(LMPMain!S$9:S$1000))+(SUMPRODUCT(((Adders!$D$13:$D$101)=$E381)*((Adders!$E$13:$E$101)=$F381)*(Adders!H$13:H$101))+VLOOKUP($H381,Adders!$B$5:$G$8,M$11,FALSE)+Matrix!$D$2)*IF($D381="NJ",1.07,1))/$L$10,CHOOSE($M$10,$L$9,$M$9)))</f>
        <v xml:space="preserve"> 39.54 </v>
      </c>
      <c r="N381" s="174" t="str">
        <f>IF(AND($D$11="IL",$E381="AMEREN"),"NA",TEXT((SUMPRODUCT(((LMPMain!$H$9:$H$1000)=$E381)*((LMPMain!$J$9:$J$1000)=$F381)*((LMPMain!$O$9:$O$1000)=$C381)*(LMPMain!T$9:T$1000))+(SUMPRODUCT(((Adders!$D$13:$D$101)=$E381)*((Adders!$E$13:$E$101)=$F381)*(Adders!G$13:G$101))+VLOOKUP($H381,Adders!$B$5:$G$8,N$11,FALSE)+Matrix!$D$2)*IF($D381="NJ",1.07,1))/$L$10,CHOOSE($M$10,$L$9,$M$9)))</f>
        <v xml:space="preserve"> 39.02 </v>
      </c>
      <c r="O381" s="112"/>
    </row>
    <row r="382" spans="2:15" x14ac:dyDescent="0.25">
      <c r="B382" s="160" t="s">
        <v>674</v>
      </c>
      <c r="C382" s="135">
        <f t="shared" si="11"/>
        <v>42217</v>
      </c>
      <c r="D382" s="136" t="s">
        <v>6</v>
      </c>
      <c r="E382" s="137" t="s">
        <v>14</v>
      </c>
      <c r="F382" s="136" t="s">
        <v>16</v>
      </c>
      <c r="G382" s="137" t="str">
        <f t="shared" si="12"/>
        <v>General Service Large</v>
      </c>
      <c r="H382" s="138" t="s">
        <v>690</v>
      </c>
      <c r="I382" s="176" t="str">
        <f>TEXT(   (SUMPRODUCT( ((Main!$H$9:$H$1000)=$E382)*((Main!$J$9:$J$1000)=$F382)*((Main!$O$9:$O$1000)=$C382)*(Main!R$9:R$1000) ) +  ( SUMPRODUCT( ((Adders!$D$13:$D$101)=$E382)*((Adders!$E$13:$E$101)=$F382)*(Adders!G$13:G$101)) + VLOOKUP($H382,Adders!$B$5:$G$8,L$11,FALSE)  +  PA!$D$2 ) * IF($D382="NJ",1.07,1))/$L$10, CHOOSE($M$10,$L$9,$M$9) )</f>
        <v xml:space="preserve"> 82.48 </v>
      </c>
      <c r="J382" s="176" t="str">
        <f>TEXT(   (SUMPRODUCT( ((Main!$H$9:$H$1000)=$E382)*((Main!$J$9:$J$1000)=$F382)*((Main!$O$9:$O$1000)=$C382)*(Main!S$9:S$1000) ) +  ( SUMPRODUCT( ((Adders!$D$13:$D$101)=$E382)*((Adders!$E$13:$E$101)=$F382)*(Adders!H$13:H$101)) + VLOOKUP($H382,Adders!$B$5:$G$8,M$11,FALSE)  +  PA!$D$2 ) * IF($D382="NJ",1.07,1))/$L$10, CHOOSE($M$10,$L$9,$M$9) )</f>
        <v xml:space="preserve"> 81.09 </v>
      </c>
      <c r="K382" s="177" t="str">
        <f>TEXT(   (SUMPRODUCT( ((Main!$H$9:$H$1000)=$E382)*((Main!$J$9:$J$1000)=$F382)*((Main!$O$9:$O$1000)=$C382)*(Main!T$9:T$1000) ) +  ( SUMPRODUCT( ((Adders!$D$13:$D$101)=$E382)*((Adders!$E$13:$E$101)=$F382)*(Adders!I$13:I$101)) + VLOOKUP($H382,Adders!$B$5:$G$8,N$11,FALSE)  +  PA!$D$2 ) * IF($D382="NJ",1.07,1))/$L$10, CHOOSE($M$10,$L$9,$M$9) )</f>
        <v xml:space="preserve"> 80.85 </v>
      </c>
      <c r="L382" s="176" t="str">
        <f>IF(AND($D$11="IL",$E382="AMEREN"),"NA",TEXT((SUMPRODUCT(((LMPMain!$H$9:$H$1000)=$E382)*((LMPMain!$J$9:$J$1000)=$F382)*((LMPMain!$O$9:$O$1000)=$C382)*(LMPMain!R$9:R$1000))+(SUMPRODUCT(((Adders!$D$13:$D$101)=$E382)*((Adders!$E$13:$E$101)=$F382)*(Adders!G$13:G$101))+VLOOKUP($H382,Adders!$B$5:$G$8,L$11,FALSE)+Matrix!$D$2)*IF($D382="NJ",1.07,1))/$L$10,CHOOSE($M$10,$L$9,$M$9)))</f>
        <v xml:space="preserve"> 39.75 </v>
      </c>
      <c r="M382" s="176" t="str">
        <f>IF(AND($D$11="IL",$E382="AMEREN"),"NA",TEXT((SUMPRODUCT(((LMPMain!$H$9:$H$1000)=$E382)*((LMPMain!$J$9:$J$1000)=$F382)*((LMPMain!$O$9:$O$1000)=$C382)*(LMPMain!S$9:S$1000))+(SUMPRODUCT(((Adders!$D$13:$D$101)=$E382)*((Adders!$E$13:$E$101)=$F382)*(Adders!H$13:H$101))+VLOOKUP($H382,Adders!$B$5:$G$8,M$11,FALSE)+Matrix!$D$2)*IF($D382="NJ",1.07,1))/$L$10,CHOOSE($M$10,$L$9,$M$9)))</f>
        <v xml:space="preserve"> 38.49 </v>
      </c>
      <c r="N382" s="177" t="str">
        <f>IF(AND($D$11="IL",$E382="AMEREN"),"NA",TEXT((SUMPRODUCT(((LMPMain!$H$9:$H$1000)=$E382)*((LMPMain!$J$9:$J$1000)=$F382)*((LMPMain!$O$9:$O$1000)=$C382)*(LMPMain!T$9:T$1000))+(SUMPRODUCT(((Adders!$D$13:$D$101)=$E382)*((Adders!$E$13:$E$101)=$F382)*(Adders!G$13:G$101))+VLOOKUP($H382,Adders!$B$5:$G$8,N$11,FALSE)+Matrix!$D$2)*IF($D382="NJ",1.07,1))/$L$10,CHOOSE($M$10,$L$9,$M$9)))</f>
        <v xml:space="preserve"> 37.97 </v>
      </c>
      <c r="O382" s="112"/>
    </row>
    <row r="383" spans="2:15" x14ac:dyDescent="0.25">
      <c r="B383" s="160" t="s">
        <v>674</v>
      </c>
      <c r="C383" s="127">
        <f t="shared" si="11"/>
        <v>42248</v>
      </c>
      <c r="D383" s="128" t="s">
        <v>6</v>
      </c>
      <c r="E383" s="129" t="s">
        <v>14</v>
      </c>
      <c r="F383" s="128" t="s">
        <v>16</v>
      </c>
      <c r="G383" s="129" t="str">
        <f t="shared" si="12"/>
        <v>General Service Large</v>
      </c>
      <c r="H383" s="130" t="s">
        <v>61</v>
      </c>
      <c r="I383" s="178" t="str">
        <f>TEXT(   (SUMPRODUCT( ((Main!$H$9:$H$1000)=$E383)*((Main!$J$9:$J$1000)=$F383)*((Main!$O$9:$O$1000)=$C383)*(Main!R$9:R$1000) ) +  ( SUMPRODUCT( ((Adders!$D$13:$D$101)=$E383)*((Adders!$E$13:$E$101)=$F383)*(Adders!G$13:G$101)) + VLOOKUP($H383,Adders!$B$5:$G$8,L$11,FALSE)  +  PA!$D$2 ) * IF($D383="NJ",1.07,1))/$L$10, CHOOSE($M$10,$L$9,$M$9) )</f>
        <v xml:space="preserve"> 84.86 </v>
      </c>
      <c r="J383" s="178" t="str">
        <f>TEXT(   (SUMPRODUCT( ((Main!$H$9:$H$1000)=$E383)*((Main!$J$9:$J$1000)=$F383)*((Main!$O$9:$O$1000)=$C383)*(Main!S$9:S$1000) ) +  ( SUMPRODUCT( ((Adders!$D$13:$D$101)=$E383)*((Adders!$E$13:$E$101)=$F383)*(Adders!H$13:H$101)) + VLOOKUP($H383,Adders!$B$5:$G$8,M$11,FALSE)  +  PA!$D$2 ) * IF($D383="NJ",1.07,1))/$L$10, CHOOSE($M$10,$L$9,$M$9) )</f>
        <v xml:space="preserve"> 84.23 </v>
      </c>
      <c r="K383" s="179" t="str">
        <f>TEXT(   (SUMPRODUCT( ((Main!$H$9:$H$1000)=$E383)*((Main!$J$9:$J$1000)=$F383)*((Main!$O$9:$O$1000)=$C383)*(Main!T$9:T$1000) ) +  ( SUMPRODUCT( ((Adders!$D$13:$D$101)=$E383)*((Adders!$E$13:$E$101)=$F383)*(Adders!I$13:I$101)) + VLOOKUP($H383,Adders!$B$5:$G$8,N$11,FALSE)  +  PA!$D$2 ) * IF($D383="NJ",1.07,1))/$L$10, CHOOSE($M$10,$L$9,$M$9) )</f>
        <v xml:space="preserve"> 83.51 </v>
      </c>
      <c r="L383" s="178" t="str">
        <f>IF(AND($D$11="IL",$E383="AMEREN"),"NA",TEXT((SUMPRODUCT(((LMPMain!$H$9:$H$1000)=$E383)*((LMPMain!$J$9:$J$1000)=$F383)*((LMPMain!$O$9:$O$1000)=$C383)*(LMPMain!R$9:R$1000))+(SUMPRODUCT(((Adders!$D$13:$D$101)=$E383)*((Adders!$E$13:$E$101)=$F383)*(Adders!G$13:G$101))+VLOOKUP($H383,Adders!$B$5:$G$8,L$11,FALSE)+Matrix!$D$2)*IF($D383="NJ",1.07,1))/$L$10,CHOOSE($M$10,$L$9,$M$9)))</f>
        <v xml:space="preserve"> 42.00 </v>
      </c>
      <c r="M383" s="178" t="str">
        <f>IF(AND($D$11="IL",$E383="AMEREN"),"NA",TEXT((SUMPRODUCT(((LMPMain!$H$9:$H$1000)=$E383)*((LMPMain!$J$9:$J$1000)=$F383)*((LMPMain!$O$9:$O$1000)=$C383)*(LMPMain!S$9:S$1000))+(SUMPRODUCT(((Adders!$D$13:$D$101)=$E383)*((Adders!$E$13:$E$101)=$F383)*(Adders!H$13:H$101))+VLOOKUP($H383,Adders!$B$5:$G$8,M$11,FALSE)+Matrix!$D$2)*IF($D383="NJ",1.07,1))/$L$10,CHOOSE($M$10,$L$9,$M$9)))</f>
        <v xml:space="preserve"> 41.04 </v>
      </c>
      <c r="N383" s="179" t="str">
        <f>IF(AND($D$11="IL",$E383="AMEREN"),"NA",TEXT((SUMPRODUCT(((LMPMain!$H$9:$H$1000)=$E383)*((LMPMain!$J$9:$J$1000)=$F383)*((LMPMain!$O$9:$O$1000)=$C383)*(LMPMain!T$9:T$1000))+(SUMPRODUCT(((Adders!$D$13:$D$101)=$E383)*((Adders!$E$13:$E$101)=$F383)*(Adders!G$13:G$101))+VLOOKUP($H383,Adders!$B$5:$G$8,N$11,FALSE)+Matrix!$D$2)*IF($D383="NJ",1.07,1))/$L$10,CHOOSE($M$10,$L$9,$M$9)))</f>
        <v xml:space="preserve"> 40.44 </v>
      </c>
      <c r="O383" s="112"/>
    </row>
    <row r="384" spans="2:15" x14ac:dyDescent="0.25">
      <c r="B384" s="160" t="s">
        <v>674</v>
      </c>
      <c r="C384" s="131">
        <f t="shared" si="11"/>
        <v>42248</v>
      </c>
      <c r="D384" s="132" t="s">
        <v>6</v>
      </c>
      <c r="E384" s="133" t="s">
        <v>14</v>
      </c>
      <c r="F384" s="132" t="s">
        <v>16</v>
      </c>
      <c r="G384" s="133" t="str">
        <f t="shared" si="12"/>
        <v>General Service Large</v>
      </c>
      <c r="H384" s="134" t="s">
        <v>62</v>
      </c>
      <c r="I384" s="173" t="str">
        <f>TEXT(   (SUMPRODUCT( ((Main!$H$9:$H$1000)=$E384)*((Main!$J$9:$J$1000)=$F384)*((Main!$O$9:$O$1000)=$C384)*(Main!R$9:R$1000) ) +  ( SUMPRODUCT( ((Adders!$D$13:$D$101)=$E384)*((Adders!$E$13:$E$101)=$F384)*(Adders!G$13:G$101)) + VLOOKUP($H384,Adders!$B$5:$G$8,L$11,FALSE)  +  PA!$D$2 ) * IF($D384="NJ",1.07,1))/$L$10, CHOOSE($M$10,$L$9,$M$9) )</f>
        <v xml:space="preserve"> 83.26 </v>
      </c>
      <c r="J384" s="173" t="str">
        <f>TEXT(   (SUMPRODUCT( ((Main!$H$9:$H$1000)=$E384)*((Main!$J$9:$J$1000)=$F384)*((Main!$O$9:$O$1000)=$C384)*(Main!S$9:S$1000) ) +  ( SUMPRODUCT( ((Adders!$D$13:$D$101)=$E384)*((Adders!$E$13:$E$101)=$F384)*(Adders!H$13:H$101)) + VLOOKUP($H384,Adders!$B$5:$G$8,M$11,FALSE)  +  PA!$D$2 ) * IF($D384="NJ",1.07,1))/$L$10, CHOOSE($M$10,$L$9,$M$9) )</f>
        <v xml:space="preserve"> 82.63 </v>
      </c>
      <c r="K384" s="174" t="str">
        <f>TEXT(   (SUMPRODUCT( ((Main!$H$9:$H$1000)=$E384)*((Main!$J$9:$J$1000)=$F384)*((Main!$O$9:$O$1000)=$C384)*(Main!T$9:T$1000) ) +  ( SUMPRODUCT( ((Adders!$D$13:$D$101)=$E384)*((Adders!$E$13:$E$101)=$F384)*(Adders!I$13:I$101)) + VLOOKUP($H384,Adders!$B$5:$G$8,N$11,FALSE)  +  PA!$D$2 ) * IF($D384="NJ",1.07,1))/$L$10, CHOOSE($M$10,$L$9,$M$9) )</f>
        <v xml:space="preserve"> 81.91 </v>
      </c>
      <c r="L384" s="173" t="str">
        <f>IF(AND($D$11="IL",$E384="AMEREN"),"NA",TEXT((SUMPRODUCT(((LMPMain!$H$9:$H$1000)=$E384)*((LMPMain!$J$9:$J$1000)=$F384)*((LMPMain!$O$9:$O$1000)=$C384)*(LMPMain!R$9:R$1000))+(SUMPRODUCT(((Adders!$D$13:$D$101)=$E384)*((Adders!$E$13:$E$101)=$F384)*(Adders!G$13:G$101))+VLOOKUP($H384,Adders!$B$5:$G$8,L$11,FALSE)+Matrix!$D$2)*IF($D384="NJ",1.07,1))/$L$10,CHOOSE($M$10,$L$9,$M$9)))</f>
        <v xml:space="preserve"> 40.40 </v>
      </c>
      <c r="M384" s="173" t="str">
        <f>IF(AND($D$11="IL",$E384="AMEREN"),"NA",TEXT((SUMPRODUCT(((LMPMain!$H$9:$H$1000)=$E384)*((LMPMain!$J$9:$J$1000)=$F384)*((LMPMain!$O$9:$O$1000)=$C384)*(LMPMain!S$9:S$1000))+(SUMPRODUCT(((Adders!$D$13:$D$101)=$E384)*((Adders!$E$13:$E$101)=$F384)*(Adders!H$13:H$101))+VLOOKUP($H384,Adders!$B$5:$G$8,M$11,FALSE)+Matrix!$D$2)*IF($D384="NJ",1.07,1))/$L$10,CHOOSE($M$10,$L$9,$M$9)))</f>
        <v xml:space="preserve"> 39.44 </v>
      </c>
      <c r="N384" s="174" t="str">
        <f>IF(AND($D$11="IL",$E384="AMEREN"),"NA",TEXT((SUMPRODUCT(((LMPMain!$H$9:$H$1000)=$E384)*((LMPMain!$J$9:$J$1000)=$F384)*((LMPMain!$O$9:$O$1000)=$C384)*(LMPMain!T$9:T$1000))+(SUMPRODUCT(((Adders!$D$13:$D$101)=$E384)*((Adders!$E$13:$E$101)=$F384)*(Adders!G$13:G$101))+VLOOKUP($H384,Adders!$B$5:$G$8,N$11,FALSE)+Matrix!$D$2)*IF($D384="NJ",1.07,1))/$L$10,CHOOSE($M$10,$L$9,$M$9)))</f>
        <v xml:space="preserve"> 38.84 </v>
      </c>
      <c r="O384" s="112"/>
    </row>
    <row r="385" spans="2:15" x14ac:dyDescent="0.25">
      <c r="B385" s="160" t="s">
        <v>674</v>
      </c>
      <c r="C385" s="135">
        <f t="shared" si="11"/>
        <v>42248</v>
      </c>
      <c r="D385" s="136" t="s">
        <v>6</v>
      </c>
      <c r="E385" s="137" t="s">
        <v>14</v>
      </c>
      <c r="F385" s="136" t="s">
        <v>16</v>
      </c>
      <c r="G385" s="137" t="str">
        <f t="shared" si="12"/>
        <v>General Service Large</v>
      </c>
      <c r="H385" s="138" t="s">
        <v>690</v>
      </c>
      <c r="I385" s="176" t="str">
        <f>TEXT(   (SUMPRODUCT( ((Main!$H$9:$H$1000)=$E385)*((Main!$J$9:$J$1000)=$F385)*((Main!$O$9:$O$1000)=$C385)*(Main!R$9:R$1000) ) +  ( SUMPRODUCT( ((Adders!$D$13:$D$101)=$E385)*((Adders!$E$13:$E$101)=$F385)*(Adders!G$13:G$101)) + VLOOKUP($H385,Adders!$B$5:$G$8,L$11,FALSE)  +  PA!$D$2 ) * IF($D385="NJ",1.07,1))/$L$10, CHOOSE($M$10,$L$9,$M$9) )</f>
        <v xml:space="preserve"> 82.21 </v>
      </c>
      <c r="J385" s="176" t="str">
        <f>TEXT(   (SUMPRODUCT( ((Main!$H$9:$H$1000)=$E385)*((Main!$J$9:$J$1000)=$F385)*((Main!$O$9:$O$1000)=$C385)*(Main!S$9:S$1000) ) +  ( SUMPRODUCT( ((Adders!$D$13:$D$101)=$E385)*((Adders!$E$13:$E$101)=$F385)*(Adders!H$13:H$101)) + VLOOKUP($H385,Adders!$B$5:$G$8,M$11,FALSE)  +  PA!$D$2 ) * IF($D385="NJ",1.07,1))/$L$10, CHOOSE($M$10,$L$9,$M$9) )</f>
        <v xml:space="preserve"> 81.58 </v>
      </c>
      <c r="K385" s="177" t="str">
        <f>TEXT(   (SUMPRODUCT( ((Main!$H$9:$H$1000)=$E385)*((Main!$J$9:$J$1000)=$F385)*((Main!$O$9:$O$1000)=$C385)*(Main!T$9:T$1000) ) +  ( SUMPRODUCT( ((Adders!$D$13:$D$101)=$E385)*((Adders!$E$13:$E$101)=$F385)*(Adders!I$13:I$101)) + VLOOKUP($H385,Adders!$B$5:$G$8,N$11,FALSE)  +  PA!$D$2 ) * IF($D385="NJ",1.07,1))/$L$10, CHOOSE($M$10,$L$9,$M$9) )</f>
        <v xml:space="preserve"> 80.86 </v>
      </c>
      <c r="L385" s="176" t="str">
        <f>IF(AND($D$11="IL",$E385="AMEREN"),"NA",TEXT((SUMPRODUCT(((LMPMain!$H$9:$H$1000)=$E385)*((LMPMain!$J$9:$J$1000)=$F385)*((LMPMain!$O$9:$O$1000)=$C385)*(LMPMain!R$9:R$1000))+(SUMPRODUCT(((Adders!$D$13:$D$101)=$E385)*((Adders!$E$13:$E$101)=$F385)*(Adders!G$13:G$101))+VLOOKUP($H385,Adders!$B$5:$G$8,L$11,FALSE)+Matrix!$D$2)*IF($D385="NJ",1.07,1))/$L$10,CHOOSE($M$10,$L$9,$M$9)))</f>
        <v xml:space="preserve"> 39.35 </v>
      </c>
      <c r="M385" s="176" t="str">
        <f>IF(AND($D$11="IL",$E385="AMEREN"),"NA",TEXT((SUMPRODUCT(((LMPMain!$H$9:$H$1000)=$E385)*((LMPMain!$J$9:$J$1000)=$F385)*((LMPMain!$O$9:$O$1000)=$C385)*(LMPMain!S$9:S$1000))+(SUMPRODUCT(((Adders!$D$13:$D$101)=$E385)*((Adders!$E$13:$E$101)=$F385)*(Adders!H$13:H$101))+VLOOKUP($H385,Adders!$B$5:$G$8,M$11,FALSE)+Matrix!$D$2)*IF($D385="NJ",1.07,1))/$L$10,CHOOSE($M$10,$L$9,$M$9)))</f>
        <v xml:space="preserve"> 38.39 </v>
      </c>
      <c r="N385" s="177" t="str">
        <f>IF(AND($D$11="IL",$E385="AMEREN"),"NA",TEXT((SUMPRODUCT(((LMPMain!$H$9:$H$1000)=$E385)*((LMPMain!$J$9:$J$1000)=$F385)*((LMPMain!$O$9:$O$1000)=$C385)*(LMPMain!T$9:T$1000))+(SUMPRODUCT(((Adders!$D$13:$D$101)=$E385)*((Adders!$E$13:$E$101)=$F385)*(Adders!G$13:G$101))+VLOOKUP($H385,Adders!$B$5:$G$8,N$11,FALSE)+Matrix!$D$2)*IF($D385="NJ",1.07,1))/$L$10,CHOOSE($M$10,$L$9,$M$9)))</f>
        <v xml:space="preserve"> 37.79 </v>
      </c>
      <c r="O385" s="112"/>
    </row>
    <row r="386" spans="2:15" x14ac:dyDescent="0.25">
      <c r="B386" s="160" t="s">
        <v>674</v>
      </c>
      <c r="C386" s="127">
        <f t="shared" si="11"/>
        <v>42278</v>
      </c>
      <c r="D386" s="128" t="s">
        <v>6</v>
      </c>
      <c r="E386" s="129" t="s">
        <v>14</v>
      </c>
      <c r="F386" s="128" t="s">
        <v>16</v>
      </c>
      <c r="G386" s="129" t="str">
        <f t="shared" si="12"/>
        <v>General Service Large</v>
      </c>
      <c r="H386" s="130" t="s">
        <v>61</v>
      </c>
      <c r="I386" s="178" t="str">
        <f>TEXT(   (SUMPRODUCT( ((Main!$H$9:$H$1000)=$E386)*((Main!$J$9:$J$1000)=$F386)*((Main!$O$9:$O$1000)=$C386)*(Main!R$9:R$1000) ) +  ( SUMPRODUCT( ((Adders!$D$13:$D$101)=$E386)*((Adders!$E$13:$E$101)=$F386)*(Adders!G$13:G$101)) + VLOOKUP($H386,Adders!$B$5:$G$8,L$11,FALSE)  +  PA!$D$2 ) * IF($D386="NJ",1.07,1))/$L$10, CHOOSE($M$10,$L$9,$M$9) )</f>
        <v xml:space="preserve"> 84.55 </v>
      </c>
      <c r="J386" s="178" t="str">
        <f>TEXT(   (SUMPRODUCT( ((Main!$H$9:$H$1000)=$E386)*((Main!$J$9:$J$1000)=$F386)*((Main!$O$9:$O$1000)=$C386)*(Main!S$9:S$1000) ) +  ( SUMPRODUCT( ((Adders!$D$13:$D$101)=$E386)*((Adders!$E$13:$E$101)=$F386)*(Adders!H$13:H$101)) + VLOOKUP($H386,Adders!$B$5:$G$8,M$11,FALSE)  +  PA!$D$2 ) * IF($D386="NJ",1.07,1))/$L$10, CHOOSE($M$10,$L$9,$M$9) )</f>
        <v xml:space="preserve"> 84.41 </v>
      </c>
      <c r="K386" s="179" t="str">
        <f>TEXT(   (SUMPRODUCT( ((Main!$H$9:$H$1000)=$E386)*((Main!$J$9:$J$1000)=$F386)*((Main!$O$9:$O$1000)=$C386)*(Main!T$9:T$1000) ) +  ( SUMPRODUCT( ((Adders!$D$13:$D$101)=$E386)*((Adders!$E$13:$E$101)=$F386)*(Adders!I$13:I$101)) + VLOOKUP($H386,Adders!$B$5:$G$8,N$11,FALSE)  +  PA!$D$2 ) * IF($D386="NJ",1.07,1))/$L$10, CHOOSE($M$10,$L$9,$M$9) )</f>
        <v xml:space="preserve"> 83.39 </v>
      </c>
      <c r="L386" s="178" t="str">
        <f>IF(AND($D$11="IL",$E386="AMEREN"),"NA",TEXT((SUMPRODUCT(((LMPMain!$H$9:$H$1000)=$E386)*((LMPMain!$J$9:$J$1000)=$F386)*((LMPMain!$O$9:$O$1000)=$C386)*(LMPMain!R$9:R$1000))+(SUMPRODUCT(((Adders!$D$13:$D$101)=$E386)*((Adders!$E$13:$E$101)=$F386)*(Adders!G$13:G$101))+VLOOKUP($H386,Adders!$B$5:$G$8,L$11,FALSE)+Matrix!$D$2)*IF($D386="NJ",1.07,1))/$L$10,CHOOSE($M$10,$L$9,$M$9)))</f>
        <v xml:space="preserve"> 41.67 </v>
      </c>
      <c r="M386" s="178" t="str">
        <f>IF(AND($D$11="IL",$E386="AMEREN"),"NA",TEXT((SUMPRODUCT(((LMPMain!$H$9:$H$1000)=$E386)*((LMPMain!$J$9:$J$1000)=$F386)*((LMPMain!$O$9:$O$1000)=$C386)*(LMPMain!S$9:S$1000))+(SUMPRODUCT(((Adders!$D$13:$D$101)=$E386)*((Adders!$E$13:$E$101)=$F386)*(Adders!H$13:H$101))+VLOOKUP($H386,Adders!$B$5:$G$8,M$11,FALSE)+Matrix!$D$2)*IF($D386="NJ",1.07,1))/$L$10,CHOOSE($M$10,$L$9,$M$9)))</f>
        <v xml:space="preserve"> 40.92 </v>
      </c>
      <c r="N386" s="179" t="str">
        <f>IF(AND($D$11="IL",$E386="AMEREN"),"NA",TEXT((SUMPRODUCT(((LMPMain!$H$9:$H$1000)=$E386)*((LMPMain!$J$9:$J$1000)=$F386)*((LMPMain!$O$9:$O$1000)=$C386)*(LMPMain!T$9:T$1000))+(SUMPRODUCT(((Adders!$D$13:$D$101)=$E386)*((Adders!$E$13:$E$101)=$F386)*(Adders!G$13:G$101))+VLOOKUP($H386,Adders!$B$5:$G$8,N$11,FALSE)+Matrix!$D$2)*IF($D386="NJ",1.07,1))/$L$10,CHOOSE($M$10,$L$9,$M$9)))</f>
        <v xml:space="preserve"> 40.30 </v>
      </c>
      <c r="O386" s="112"/>
    </row>
    <row r="387" spans="2:15" x14ac:dyDescent="0.25">
      <c r="B387" s="160" t="s">
        <v>674</v>
      </c>
      <c r="C387" s="131">
        <f t="shared" si="11"/>
        <v>42278</v>
      </c>
      <c r="D387" s="132" t="s">
        <v>6</v>
      </c>
      <c r="E387" s="133" t="s">
        <v>14</v>
      </c>
      <c r="F387" s="132" t="s">
        <v>16</v>
      </c>
      <c r="G387" s="133" t="str">
        <f t="shared" si="12"/>
        <v>General Service Large</v>
      </c>
      <c r="H387" s="134" t="s">
        <v>62</v>
      </c>
      <c r="I387" s="173" t="str">
        <f>TEXT(   (SUMPRODUCT( ((Main!$H$9:$H$1000)=$E387)*((Main!$J$9:$J$1000)=$F387)*((Main!$O$9:$O$1000)=$C387)*(Main!R$9:R$1000) ) +  ( SUMPRODUCT( ((Adders!$D$13:$D$101)=$E387)*((Adders!$E$13:$E$101)=$F387)*(Adders!G$13:G$101)) + VLOOKUP($H387,Adders!$B$5:$G$8,L$11,FALSE)  +  PA!$D$2 ) * IF($D387="NJ",1.07,1))/$L$10, CHOOSE($M$10,$L$9,$M$9) )</f>
        <v xml:space="preserve"> 82.95 </v>
      </c>
      <c r="J387" s="173" t="str">
        <f>TEXT(   (SUMPRODUCT( ((Main!$H$9:$H$1000)=$E387)*((Main!$J$9:$J$1000)=$F387)*((Main!$O$9:$O$1000)=$C387)*(Main!S$9:S$1000) ) +  ( SUMPRODUCT( ((Adders!$D$13:$D$101)=$E387)*((Adders!$E$13:$E$101)=$F387)*(Adders!H$13:H$101)) + VLOOKUP($H387,Adders!$B$5:$G$8,M$11,FALSE)  +  PA!$D$2 ) * IF($D387="NJ",1.07,1))/$L$10, CHOOSE($M$10,$L$9,$M$9) )</f>
        <v xml:space="preserve"> 82.81 </v>
      </c>
      <c r="K387" s="174" t="str">
        <f>TEXT(   (SUMPRODUCT( ((Main!$H$9:$H$1000)=$E387)*((Main!$J$9:$J$1000)=$F387)*((Main!$O$9:$O$1000)=$C387)*(Main!T$9:T$1000) ) +  ( SUMPRODUCT( ((Adders!$D$13:$D$101)=$E387)*((Adders!$E$13:$E$101)=$F387)*(Adders!I$13:I$101)) + VLOOKUP($H387,Adders!$B$5:$G$8,N$11,FALSE)  +  PA!$D$2 ) * IF($D387="NJ",1.07,1))/$L$10, CHOOSE($M$10,$L$9,$M$9) )</f>
        <v xml:space="preserve"> 81.79 </v>
      </c>
      <c r="L387" s="173" t="str">
        <f>IF(AND($D$11="IL",$E387="AMEREN"),"NA",TEXT((SUMPRODUCT(((LMPMain!$H$9:$H$1000)=$E387)*((LMPMain!$J$9:$J$1000)=$F387)*((LMPMain!$O$9:$O$1000)=$C387)*(LMPMain!R$9:R$1000))+(SUMPRODUCT(((Adders!$D$13:$D$101)=$E387)*((Adders!$E$13:$E$101)=$F387)*(Adders!G$13:G$101))+VLOOKUP($H387,Adders!$B$5:$G$8,L$11,FALSE)+Matrix!$D$2)*IF($D387="NJ",1.07,1))/$L$10,CHOOSE($M$10,$L$9,$M$9)))</f>
        <v xml:space="preserve"> 40.07 </v>
      </c>
      <c r="M387" s="173" t="str">
        <f>IF(AND($D$11="IL",$E387="AMEREN"),"NA",TEXT((SUMPRODUCT(((LMPMain!$H$9:$H$1000)=$E387)*((LMPMain!$J$9:$J$1000)=$F387)*((LMPMain!$O$9:$O$1000)=$C387)*(LMPMain!S$9:S$1000))+(SUMPRODUCT(((Adders!$D$13:$D$101)=$E387)*((Adders!$E$13:$E$101)=$F387)*(Adders!H$13:H$101))+VLOOKUP($H387,Adders!$B$5:$G$8,M$11,FALSE)+Matrix!$D$2)*IF($D387="NJ",1.07,1))/$L$10,CHOOSE($M$10,$L$9,$M$9)))</f>
        <v xml:space="preserve"> 39.32 </v>
      </c>
      <c r="N387" s="174" t="str">
        <f>IF(AND($D$11="IL",$E387="AMEREN"),"NA",TEXT((SUMPRODUCT(((LMPMain!$H$9:$H$1000)=$E387)*((LMPMain!$J$9:$J$1000)=$F387)*((LMPMain!$O$9:$O$1000)=$C387)*(LMPMain!T$9:T$1000))+(SUMPRODUCT(((Adders!$D$13:$D$101)=$E387)*((Adders!$E$13:$E$101)=$F387)*(Adders!G$13:G$101))+VLOOKUP($H387,Adders!$B$5:$G$8,N$11,FALSE)+Matrix!$D$2)*IF($D387="NJ",1.07,1))/$L$10,CHOOSE($M$10,$L$9,$M$9)))</f>
        <v xml:space="preserve"> 38.70 </v>
      </c>
      <c r="O387" s="112"/>
    </row>
    <row r="388" spans="2:15" x14ac:dyDescent="0.25">
      <c r="B388" s="160" t="s">
        <v>674</v>
      </c>
      <c r="C388" s="135">
        <f t="shared" si="11"/>
        <v>42278</v>
      </c>
      <c r="D388" s="136" t="s">
        <v>6</v>
      </c>
      <c r="E388" s="137" t="s">
        <v>14</v>
      </c>
      <c r="F388" s="136" t="s">
        <v>16</v>
      </c>
      <c r="G388" s="137" t="str">
        <f t="shared" si="12"/>
        <v>General Service Large</v>
      </c>
      <c r="H388" s="138" t="s">
        <v>690</v>
      </c>
      <c r="I388" s="176" t="str">
        <f>TEXT(   (SUMPRODUCT( ((Main!$H$9:$H$1000)=$E388)*((Main!$J$9:$J$1000)=$F388)*((Main!$O$9:$O$1000)=$C388)*(Main!R$9:R$1000) ) +  ( SUMPRODUCT( ((Adders!$D$13:$D$101)=$E388)*((Adders!$E$13:$E$101)=$F388)*(Adders!G$13:G$101)) + VLOOKUP($H388,Adders!$B$5:$G$8,L$11,FALSE)  +  PA!$D$2 ) * IF($D388="NJ",1.07,1))/$L$10, CHOOSE($M$10,$L$9,$M$9) )</f>
        <v xml:space="preserve"> 81.90 </v>
      </c>
      <c r="J388" s="176" t="str">
        <f>TEXT(   (SUMPRODUCT( ((Main!$H$9:$H$1000)=$E388)*((Main!$J$9:$J$1000)=$F388)*((Main!$O$9:$O$1000)=$C388)*(Main!S$9:S$1000) ) +  ( SUMPRODUCT( ((Adders!$D$13:$D$101)=$E388)*((Adders!$E$13:$E$101)=$F388)*(Adders!H$13:H$101)) + VLOOKUP($H388,Adders!$B$5:$G$8,M$11,FALSE)  +  PA!$D$2 ) * IF($D388="NJ",1.07,1))/$L$10, CHOOSE($M$10,$L$9,$M$9) )</f>
        <v xml:space="preserve"> 81.76 </v>
      </c>
      <c r="K388" s="177" t="str">
        <f>TEXT(   (SUMPRODUCT( ((Main!$H$9:$H$1000)=$E388)*((Main!$J$9:$J$1000)=$F388)*((Main!$O$9:$O$1000)=$C388)*(Main!T$9:T$1000) ) +  ( SUMPRODUCT( ((Adders!$D$13:$D$101)=$E388)*((Adders!$E$13:$E$101)=$F388)*(Adders!I$13:I$101)) + VLOOKUP($H388,Adders!$B$5:$G$8,N$11,FALSE)  +  PA!$D$2 ) * IF($D388="NJ",1.07,1))/$L$10, CHOOSE($M$10,$L$9,$M$9) )</f>
        <v xml:space="preserve"> 80.74 </v>
      </c>
      <c r="L388" s="176" t="str">
        <f>IF(AND($D$11="IL",$E388="AMEREN"),"NA",TEXT((SUMPRODUCT(((LMPMain!$H$9:$H$1000)=$E388)*((LMPMain!$J$9:$J$1000)=$F388)*((LMPMain!$O$9:$O$1000)=$C388)*(LMPMain!R$9:R$1000))+(SUMPRODUCT(((Adders!$D$13:$D$101)=$E388)*((Adders!$E$13:$E$101)=$F388)*(Adders!G$13:G$101))+VLOOKUP($H388,Adders!$B$5:$G$8,L$11,FALSE)+Matrix!$D$2)*IF($D388="NJ",1.07,1))/$L$10,CHOOSE($M$10,$L$9,$M$9)))</f>
        <v xml:space="preserve"> 39.02 </v>
      </c>
      <c r="M388" s="176" t="str">
        <f>IF(AND($D$11="IL",$E388="AMEREN"),"NA",TEXT((SUMPRODUCT(((LMPMain!$H$9:$H$1000)=$E388)*((LMPMain!$J$9:$J$1000)=$F388)*((LMPMain!$O$9:$O$1000)=$C388)*(LMPMain!S$9:S$1000))+(SUMPRODUCT(((Adders!$D$13:$D$101)=$E388)*((Adders!$E$13:$E$101)=$F388)*(Adders!H$13:H$101))+VLOOKUP($H388,Adders!$B$5:$G$8,M$11,FALSE)+Matrix!$D$2)*IF($D388="NJ",1.07,1))/$L$10,CHOOSE($M$10,$L$9,$M$9)))</f>
        <v xml:space="preserve"> 38.27 </v>
      </c>
      <c r="N388" s="177" t="str">
        <f>IF(AND($D$11="IL",$E388="AMEREN"),"NA",TEXT((SUMPRODUCT(((LMPMain!$H$9:$H$1000)=$E388)*((LMPMain!$J$9:$J$1000)=$F388)*((LMPMain!$O$9:$O$1000)=$C388)*(LMPMain!T$9:T$1000))+(SUMPRODUCT(((Adders!$D$13:$D$101)=$E388)*((Adders!$E$13:$E$101)=$F388)*(Adders!G$13:G$101))+VLOOKUP($H388,Adders!$B$5:$G$8,N$11,FALSE)+Matrix!$D$2)*IF($D388="NJ",1.07,1))/$L$10,CHOOSE($M$10,$L$9,$M$9)))</f>
        <v xml:space="preserve"> 37.65 </v>
      </c>
      <c r="O388" s="112"/>
    </row>
    <row r="389" spans="2:15" x14ac:dyDescent="0.25">
      <c r="B389" s="160" t="s">
        <v>674</v>
      </c>
      <c r="C389" s="127">
        <f t="shared" si="11"/>
        <v>42309</v>
      </c>
      <c r="D389" s="128" t="s">
        <v>6</v>
      </c>
      <c r="E389" s="129" t="s">
        <v>14</v>
      </c>
      <c r="F389" s="128" t="s">
        <v>16</v>
      </c>
      <c r="G389" s="129" t="str">
        <f t="shared" si="12"/>
        <v>General Service Large</v>
      </c>
      <c r="H389" s="130" t="s">
        <v>61</v>
      </c>
      <c r="I389" s="178" t="str">
        <f>TEXT(   (SUMPRODUCT( ((Main!$H$9:$H$1000)=$E389)*((Main!$J$9:$J$1000)=$F389)*((Main!$O$9:$O$1000)=$C389)*(Main!R$9:R$1000) ) +  ( SUMPRODUCT( ((Adders!$D$13:$D$101)=$E389)*((Adders!$E$13:$E$101)=$F389)*(Adders!G$13:G$101)) + VLOOKUP($H389,Adders!$B$5:$G$8,L$11,FALSE)  +  PA!$D$2 ) * IF($D389="NJ",1.07,1))/$L$10, CHOOSE($M$10,$L$9,$M$9) )</f>
        <v xml:space="preserve"> 84.22 </v>
      </c>
      <c r="J389" s="178" t="str">
        <f>TEXT(   (SUMPRODUCT( ((Main!$H$9:$H$1000)=$E389)*((Main!$J$9:$J$1000)=$F389)*((Main!$O$9:$O$1000)=$C389)*(Main!S$9:S$1000) ) +  ( SUMPRODUCT( ((Adders!$D$13:$D$101)=$E389)*((Adders!$E$13:$E$101)=$F389)*(Adders!H$13:H$101)) + VLOOKUP($H389,Adders!$B$5:$G$8,M$11,FALSE)  +  PA!$D$2 ) * IF($D389="NJ",1.07,1))/$L$10, CHOOSE($M$10,$L$9,$M$9) )</f>
        <v xml:space="preserve"> 84.29 </v>
      </c>
      <c r="K389" s="179" t="str">
        <f>TEXT(   (SUMPRODUCT( ((Main!$H$9:$H$1000)=$E389)*((Main!$J$9:$J$1000)=$F389)*((Main!$O$9:$O$1000)=$C389)*(Main!T$9:T$1000) ) +  ( SUMPRODUCT( ((Adders!$D$13:$D$101)=$E389)*((Adders!$E$13:$E$101)=$F389)*(Adders!I$13:I$101)) + VLOOKUP($H389,Adders!$B$5:$G$8,N$11,FALSE)  +  PA!$D$2 ) * IF($D389="NJ",1.07,1))/$L$10, CHOOSE($M$10,$L$9,$M$9) )</f>
        <v xml:space="preserve"> 83.27 </v>
      </c>
      <c r="L389" s="178" t="str">
        <f>IF(AND($D$11="IL",$E389="AMEREN"),"NA",TEXT((SUMPRODUCT(((LMPMain!$H$9:$H$1000)=$E389)*((LMPMain!$J$9:$J$1000)=$F389)*((LMPMain!$O$9:$O$1000)=$C389)*(LMPMain!R$9:R$1000))+(SUMPRODUCT(((Adders!$D$13:$D$101)=$E389)*((Adders!$E$13:$E$101)=$F389)*(Adders!G$13:G$101))+VLOOKUP($H389,Adders!$B$5:$G$8,L$11,FALSE)+Matrix!$D$2)*IF($D389="NJ",1.07,1))/$L$10,CHOOSE($M$10,$L$9,$M$9)))</f>
        <v xml:space="preserve"> 41.32 </v>
      </c>
      <c r="M389" s="178" t="str">
        <f>IF(AND($D$11="IL",$E389="AMEREN"),"NA",TEXT((SUMPRODUCT(((LMPMain!$H$9:$H$1000)=$E389)*((LMPMain!$J$9:$J$1000)=$F389)*((LMPMain!$O$9:$O$1000)=$C389)*(LMPMain!S$9:S$1000))+(SUMPRODUCT(((Adders!$D$13:$D$101)=$E389)*((Adders!$E$13:$E$101)=$F389)*(Adders!H$13:H$101))+VLOOKUP($H389,Adders!$B$5:$G$8,M$11,FALSE)+Matrix!$D$2)*IF($D389="NJ",1.07,1))/$L$10,CHOOSE($M$10,$L$9,$M$9)))</f>
        <v xml:space="preserve"> 40.70 </v>
      </c>
      <c r="N389" s="179" t="str">
        <f>IF(AND($D$11="IL",$E389="AMEREN"),"NA",TEXT((SUMPRODUCT(((LMPMain!$H$9:$H$1000)=$E389)*((LMPMain!$J$9:$J$1000)=$F389)*((LMPMain!$O$9:$O$1000)=$C389)*(LMPMain!T$9:T$1000))+(SUMPRODUCT(((Adders!$D$13:$D$101)=$E389)*((Adders!$E$13:$E$101)=$F389)*(Adders!G$13:G$101))+VLOOKUP($H389,Adders!$B$5:$G$8,N$11,FALSE)+Matrix!$D$2)*IF($D389="NJ",1.07,1))/$L$10,CHOOSE($M$10,$L$9,$M$9)))</f>
        <v xml:space="preserve"> 40.13 </v>
      </c>
      <c r="O389" s="112"/>
    </row>
    <row r="390" spans="2:15" x14ac:dyDescent="0.25">
      <c r="B390" s="160" t="s">
        <v>674</v>
      </c>
      <c r="C390" s="131">
        <f t="shared" si="11"/>
        <v>42309</v>
      </c>
      <c r="D390" s="132" t="s">
        <v>6</v>
      </c>
      <c r="E390" s="133" t="s">
        <v>14</v>
      </c>
      <c r="F390" s="132" t="s">
        <v>16</v>
      </c>
      <c r="G390" s="133" t="str">
        <f t="shared" si="12"/>
        <v>General Service Large</v>
      </c>
      <c r="H390" s="134" t="s">
        <v>62</v>
      </c>
      <c r="I390" s="173" t="str">
        <f>TEXT(   (SUMPRODUCT( ((Main!$H$9:$H$1000)=$E390)*((Main!$J$9:$J$1000)=$F390)*((Main!$O$9:$O$1000)=$C390)*(Main!R$9:R$1000) ) +  ( SUMPRODUCT( ((Adders!$D$13:$D$101)=$E390)*((Adders!$E$13:$E$101)=$F390)*(Adders!G$13:G$101)) + VLOOKUP($H390,Adders!$B$5:$G$8,L$11,FALSE)  +  PA!$D$2 ) * IF($D390="NJ",1.07,1))/$L$10, CHOOSE($M$10,$L$9,$M$9) )</f>
        <v xml:space="preserve"> 82.62 </v>
      </c>
      <c r="J390" s="173" t="str">
        <f>TEXT(   (SUMPRODUCT( ((Main!$H$9:$H$1000)=$E390)*((Main!$J$9:$J$1000)=$F390)*((Main!$O$9:$O$1000)=$C390)*(Main!S$9:S$1000) ) +  ( SUMPRODUCT( ((Adders!$D$13:$D$101)=$E390)*((Adders!$E$13:$E$101)=$F390)*(Adders!H$13:H$101)) + VLOOKUP($H390,Adders!$B$5:$G$8,M$11,FALSE)  +  PA!$D$2 ) * IF($D390="NJ",1.07,1))/$L$10, CHOOSE($M$10,$L$9,$M$9) )</f>
        <v xml:space="preserve"> 82.69 </v>
      </c>
      <c r="K390" s="174" t="str">
        <f>TEXT(   (SUMPRODUCT( ((Main!$H$9:$H$1000)=$E390)*((Main!$J$9:$J$1000)=$F390)*((Main!$O$9:$O$1000)=$C390)*(Main!T$9:T$1000) ) +  ( SUMPRODUCT( ((Adders!$D$13:$D$101)=$E390)*((Adders!$E$13:$E$101)=$F390)*(Adders!I$13:I$101)) + VLOOKUP($H390,Adders!$B$5:$G$8,N$11,FALSE)  +  PA!$D$2 ) * IF($D390="NJ",1.07,1))/$L$10, CHOOSE($M$10,$L$9,$M$9) )</f>
        <v xml:space="preserve"> 81.67 </v>
      </c>
      <c r="L390" s="173" t="str">
        <f>IF(AND($D$11="IL",$E390="AMEREN"),"NA",TEXT((SUMPRODUCT(((LMPMain!$H$9:$H$1000)=$E390)*((LMPMain!$J$9:$J$1000)=$F390)*((LMPMain!$O$9:$O$1000)=$C390)*(LMPMain!R$9:R$1000))+(SUMPRODUCT(((Adders!$D$13:$D$101)=$E390)*((Adders!$E$13:$E$101)=$F390)*(Adders!G$13:G$101))+VLOOKUP($H390,Adders!$B$5:$G$8,L$11,FALSE)+Matrix!$D$2)*IF($D390="NJ",1.07,1))/$L$10,CHOOSE($M$10,$L$9,$M$9)))</f>
        <v xml:space="preserve"> 39.72 </v>
      </c>
      <c r="M390" s="173" t="str">
        <f>IF(AND($D$11="IL",$E390="AMEREN"),"NA",TEXT((SUMPRODUCT(((LMPMain!$H$9:$H$1000)=$E390)*((LMPMain!$J$9:$J$1000)=$F390)*((LMPMain!$O$9:$O$1000)=$C390)*(LMPMain!S$9:S$1000))+(SUMPRODUCT(((Adders!$D$13:$D$101)=$E390)*((Adders!$E$13:$E$101)=$F390)*(Adders!H$13:H$101))+VLOOKUP($H390,Adders!$B$5:$G$8,M$11,FALSE)+Matrix!$D$2)*IF($D390="NJ",1.07,1))/$L$10,CHOOSE($M$10,$L$9,$M$9)))</f>
        <v xml:space="preserve"> 39.10 </v>
      </c>
      <c r="N390" s="174" t="str">
        <f>IF(AND($D$11="IL",$E390="AMEREN"),"NA",TEXT((SUMPRODUCT(((LMPMain!$H$9:$H$1000)=$E390)*((LMPMain!$J$9:$J$1000)=$F390)*((LMPMain!$O$9:$O$1000)=$C390)*(LMPMain!T$9:T$1000))+(SUMPRODUCT(((Adders!$D$13:$D$101)=$E390)*((Adders!$E$13:$E$101)=$F390)*(Adders!G$13:G$101))+VLOOKUP($H390,Adders!$B$5:$G$8,N$11,FALSE)+Matrix!$D$2)*IF($D390="NJ",1.07,1))/$L$10,CHOOSE($M$10,$L$9,$M$9)))</f>
        <v xml:space="preserve"> 38.53 </v>
      </c>
      <c r="O390" s="112"/>
    </row>
    <row r="391" spans="2:15" x14ac:dyDescent="0.25">
      <c r="B391" s="160" t="s">
        <v>674</v>
      </c>
      <c r="C391" s="135">
        <f t="shared" si="11"/>
        <v>42309</v>
      </c>
      <c r="D391" s="136" t="s">
        <v>6</v>
      </c>
      <c r="E391" s="137" t="s">
        <v>14</v>
      </c>
      <c r="F391" s="136" t="s">
        <v>16</v>
      </c>
      <c r="G391" s="137" t="str">
        <f t="shared" si="12"/>
        <v>General Service Large</v>
      </c>
      <c r="H391" s="138" t="s">
        <v>690</v>
      </c>
      <c r="I391" s="176" t="str">
        <f>TEXT(   (SUMPRODUCT( ((Main!$H$9:$H$1000)=$E391)*((Main!$J$9:$J$1000)=$F391)*((Main!$O$9:$O$1000)=$C391)*(Main!R$9:R$1000) ) +  ( SUMPRODUCT( ((Adders!$D$13:$D$101)=$E391)*((Adders!$E$13:$E$101)=$F391)*(Adders!G$13:G$101)) + VLOOKUP($H391,Adders!$B$5:$G$8,L$11,FALSE)  +  PA!$D$2 ) * IF($D391="NJ",1.07,1))/$L$10, CHOOSE($M$10,$L$9,$M$9) )</f>
        <v xml:space="preserve"> 81.57 </v>
      </c>
      <c r="J391" s="176" t="str">
        <f>TEXT(   (SUMPRODUCT( ((Main!$H$9:$H$1000)=$E391)*((Main!$J$9:$J$1000)=$F391)*((Main!$O$9:$O$1000)=$C391)*(Main!S$9:S$1000) ) +  ( SUMPRODUCT( ((Adders!$D$13:$D$101)=$E391)*((Adders!$E$13:$E$101)=$F391)*(Adders!H$13:H$101)) + VLOOKUP($H391,Adders!$B$5:$G$8,M$11,FALSE)  +  PA!$D$2 ) * IF($D391="NJ",1.07,1))/$L$10, CHOOSE($M$10,$L$9,$M$9) )</f>
        <v xml:space="preserve"> 81.64 </v>
      </c>
      <c r="K391" s="177" t="str">
        <f>TEXT(   (SUMPRODUCT( ((Main!$H$9:$H$1000)=$E391)*((Main!$J$9:$J$1000)=$F391)*((Main!$O$9:$O$1000)=$C391)*(Main!T$9:T$1000) ) +  ( SUMPRODUCT( ((Adders!$D$13:$D$101)=$E391)*((Adders!$E$13:$E$101)=$F391)*(Adders!I$13:I$101)) + VLOOKUP($H391,Adders!$B$5:$G$8,N$11,FALSE)  +  PA!$D$2 ) * IF($D391="NJ",1.07,1))/$L$10, CHOOSE($M$10,$L$9,$M$9) )</f>
        <v xml:space="preserve"> 80.62 </v>
      </c>
      <c r="L391" s="176" t="str">
        <f>IF(AND($D$11="IL",$E391="AMEREN"),"NA",TEXT((SUMPRODUCT(((LMPMain!$H$9:$H$1000)=$E391)*((LMPMain!$J$9:$J$1000)=$F391)*((LMPMain!$O$9:$O$1000)=$C391)*(LMPMain!R$9:R$1000))+(SUMPRODUCT(((Adders!$D$13:$D$101)=$E391)*((Adders!$E$13:$E$101)=$F391)*(Adders!G$13:G$101))+VLOOKUP($H391,Adders!$B$5:$G$8,L$11,FALSE)+Matrix!$D$2)*IF($D391="NJ",1.07,1))/$L$10,CHOOSE($M$10,$L$9,$M$9)))</f>
        <v xml:space="preserve"> 38.67 </v>
      </c>
      <c r="M391" s="176" t="str">
        <f>IF(AND($D$11="IL",$E391="AMEREN"),"NA",TEXT((SUMPRODUCT(((LMPMain!$H$9:$H$1000)=$E391)*((LMPMain!$J$9:$J$1000)=$F391)*((LMPMain!$O$9:$O$1000)=$C391)*(LMPMain!S$9:S$1000))+(SUMPRODUCT(((Adders!$D$13:$D$101)=$E391)*((Adders!$E$13:$E$101)=$F391)*(Adders!H$13:H$101))+VLOOKUP($H391,Adders!$B$5:$G$8,M$11,FALSE)+Matrix!$D$2)*IF($D391="NJ",1.07,1))/$L$10,CHOOSE($M$10,$L$9,$M$9)))</f>
        <v xml:space="preserve"> 38.05 </v>
      </c>
      <c r="N391" s="177" t="str">
        <f>IF(AND($D$11="IL",$E391="AMEREN"),"NA",TEXT((SUMPRODUCT(((LMPMain!$H$9:$H$1000)=$E391)*((LMPMain!$J$9:$J$1000)=$F391)*((LMPMain!$O$9:$O$1000)=$C391)*(LMPMain!T$9:T$1000))+(SUMPRODUCT(((Adders!$D$13:$D$101)=$E391)*((Adders!$E$13:$E$101)=$F391)*(Adders!G$13:G$101))+VLOOKUP($H391,Adders!$B$5:$G$8,N$11,FALSE)+Matrix!$D$2)*IF($D391="NJ",1.07,1))/$L$10,CHOOSE($M$10,$L$9,$M$9)))</f>
        <v xml:space="preserve"> 37.48 </v>
      </c>
      <c r="O391" s="112"/>
    </row>
    <row r="392" spans="2:15" x14ac:dyDescent="0.25">
      <c r="B392" s="160" t="s">
        <v>674</v>
      </c>
      <c r="C392" s="127">
        <f t="shared" si="11"/>
        <v>42339</v>
      </c>
      <c r="D392" s="128" t="s">
        <v>6</v>
      </c>
      <c r="E392" s="129" t="s">
        <v>14</v>
      </c>
      <c r="F392" s="128" t="s">
        <v>16</v>
      </c>
      <c r="G392" s="129" t="str">
        <f t="shared" si="12"/>
        <v>General Service Large</v>
      </c>
      <c r="H392" s="130" t="s">
        <v>61</v>
      </c>
      <c r="I392" s="178" t="str">
        <f>TEXT(   (SUMPRODUCT( ((Main!$H$9:$H$1000)=$E392)*((Main!$J$9:$J$1000)=$F392)*((Main!$O$9:$O$1000)=$C392)*(Main!R$9:R$1000) ) +  ( SUMPRODUCT( ((Adders!$D$13:$D$101)=$E392)*((Adders!$E$13:$E$101)=$F392)*(Adders!G$13:G$101)) + VLOOKUP($H392,Adders!$B$5:$G$8,L$11,FALSE)  +  PA!$D$2 ) * IF($D392="NJ",1.07,1))/$L$10, CHOOSE($M$10,$L$9,$M$9) )</f>
        <v xml:space="preserve"> 83.94 </v>
      </c>
      <c r="J392" s="178" t="str">
        <f>TEXT(   (SUMPRODUCT( ((Main!$H$9:$H$1000)=$E392)*((Main!$J$9:$J$1000)=$F392)*((Main!$O$9:$O$1000)=$C392)*(Main!S$9:S$1000) ) +  ( SUMPRODUCT( ((Adders!$D$13:$D$101)=$E392)*((Adders!$E$13:$E$101)=$F392)*(Adders!H$13:H$101)) + VLOOKUP($H392,Adders!$B$5:$G$8,M$11,FALSE)  +  PA!$D$2 ) * IF($D392="NJ",1.07,1))/$L$10, CHOOSE($M$10,$L$9,$M$9) )</f>
        <v xml:space="preserve"> 84.02 </v>
      </c>
      <c r="K392" s="179" t="str">
        <f>TEXT(   (SUMPRODUCT( ((Main!$H$9:$H$1000)=$E392)*((Main!$J$9:$J$1000)=$F392)*((Main!$O$9:$O$1000)=$C392)*(Main!T$9:T$1000) ) +  ( SUMPRODUCT( ((Adders!$D$13:$D$101)=$E392)*((Adders!$E$13:$E$101)=$F392)*(Adders!I$13:I$101)) + VLOOKUP($H392,Adders!$B$5:$G$8,N$11,FALSE)  +  PA!$D$2 ) * IF($D392="NJ",1.07,1))/$L$10, CHOOSE($M$10,$L$9,$M$9) )</f>
        <v xml:space="preserve"> 83.13 </v>
      </c>
      <c r="L392" s="178" t="str">
        <f>IF(AND($D$11="IL",$E392="AMEREN"),"NA",TEXT((SUMPRODUCT(((LMPMain!$H$9:$H$1000)=$E392)*((LMPMain!$J$9:$J$1000)=$F392)*((LMPMain!$O$9:$O$1000)=$C392)*(LMPMain!R$9:R$1000))+(SUMPRODUCT(((Adders!$D$13:$D$101)=$E392)*((Adders!$E$13:$E$101)=$F392)*(Adders!G$13:G$101))+VLOOKUP($H392,Adders!$B$5:$G$8,L$11,FALSE)+Matrix!$D$2)*IF($D392="NJ",1.07,1))/$L$10,CHOOSE($M$10,$L$9,$M$9)))</f>
        <v xml:space="preserve"> 40.94 </v>
      </c>
      <c r="M392" s="178" t="str">
        <f>IF(AND($D$11="IL",$E392="AMEREN"),"NA",TEXT((SUMPRODUCT(((LMPMain!$H$9:$H$1000)=$E392)*((LMPMain!$J$9:$J$1000)=$F392)*((LMPMain!$O$9:$O$1000)=$C392)*(LMPMain!S$9:S$1000))+(SUMPRODUCT(((Adders!$D$13:$D$101)=$E392)*((Adders!$E$13:$E$101)=$F392)*(Adders!H$13:H$101))+VLOOKUP($H392,Adders!$B$5:$G$8,M$11,FALSE)+Matrix!$D$2)*IF($D392="NJ",1.07,1))/$L$10,CHOOSE($M$10,$L$9,$M$9)))</f>
        <v xml:space="preserve"> 40.39 </v>
      </c>
      <c r="N392" s="179" t="str">
        <f>IF(AND($D$11="IL",$E392="AMEREN"),"NA",TEXT((SUMPRODUCT(((LMPMain!$H$9:$H$1000)=$E392)*((LMPMain!$J$9:$J$1000)=$F392)*((LMPMain!$O$9:$O$1000)=$C392)*(LMPMain!T$9:T$1000))+(SUMPRODUCT(((Adders!$D$13:$D$101)=$E392)*((Adders!$E$13:$E$101)=$F392)*(Adders!G$13:G$101))+VLOOKUP($H392,Adders!$B$5:$G$8,N$11,FALSE)+Matrix!$D$2)*IF($D392="NJ",1.07,1))/$L$10,CHOOSE($M$10,$L$9,$M$9)))</f>
        <v xml:space="preserve"> 39.93 </v>
      </c>
      <c r="O392" s="112"/>
    </row>
    <row r="393" spans="2:15" x14ac:dyDescent="0.25">
      <c r="B393" s="160" t="s">
        <v>674</v>
      </c>
      <c r="C393" s="131">
        <f t="shared" si="11"/>
        <v>42339</v>
      </c>
      <c r="D393" s="132" t="s">
        <v>6</v>
      </c>
      <c r="E393" s="133" t="s">
        <v>14</v>
      </c>
      <c r="F393" s="132" t="s">
        <v>16</v>
      </c>
      <c r="G393" s="133" t="str">
        <f t="shared" si="12"/>
        <v>General Service Large</v>
      </c>
      <c r="H393" s="134" t="s">
        <v>62</v>
      </c>
      <c r="I393" s="173" t="str">
        <f>TEXT(   (SUMPRODUCT( ((Main!$H$9:$H$1000)=$E393)*((Main!$J$9:$J$1000)=$F393)*((Main!$O$9:$O$1000)=$C393)*(Main!R$9:R$1000) ) +  ( SUMPRODUCT( ((Adders!$D$13:$D$101)=$E393)*((Adders!$E$13:$E$101)=$F393)*(Adders!G$13:G$101)) + VLOOKUP($H393,Adders!$B$5:$G$8,L$11,FALSE)  +  PA!$D$2 ) * IF($D393="NJ",1.07,1))/$L$10, CHOOSE($M$10,$L$9,$M$9) )</f>
        <v xml:space="preserve"> 82.34 </v>
      </c>
      <c r="J393" s="173" t="str">
        <f>TEXT(   (SUMPRODUCT( ((Main!$H$9:$H$1000)=$E393)*((Main!$J$9:$J$1000)=$F393)*((Main!$O$9:$O$1000)=$C393)*(Main!S$9:S$1000) ) +  ( SUMPRODUCT( ((Adders!$D$13:$D$101)=$E393)*((Adders!$E$13:$E$101)=$F393)*(Adders!H$13:H$101)) + VLOOKUP($H393,Adders!$B$5:$G$8,M$11,FALSE)  +  PA!$D$2 ) * IF($D393="NJ",1.07,1))/$L$10, CHOOSE($M$10,$L$9,$M$9) )</f>
        <v xml:space="preserve"> 82.42 </v>
      </c>
      <c r="K393" s="174" t="str">
        <f>TEXT(   (SUMPRODUCT( ((Main!$H$9:$H$1000)=$E393)*((Main!$J$9:$J$1000)=$F393)*((Main!$O$9:$O$1000)=$C393)*(Main!T$9:T$1000) ) +  ( SUMPRODUCT( ((Adders!$D$13:$D$101)=$E393)*((Adders!$E$13:$E$101)=$F393)*(Adders!I$13:I$101)) + VLOOKUP($H393,Adders!$B$5:$G$8,N$11,FALSE)  +  PA!$D$2 ) * IF($D393="NJ",1.07,1))/$L$10, CHOOSE($M$10,$L$9,$M$9) )</f>
        <v xml:space="preserve"> 81.53 </v>
      </c>
      <c r="L393" s="173" t="str">
        <f>IF(AND($D$11="IL",$E393="AMEREN"),"NA",TEXT((SUMPRODUCT(((LMPMain!$H$9:$H$1000)=$E393)*((LMPMain!$J$9:$J$1000)=$F393)*((LMPMain!$O$9:$O$1000)=$C393)*(LMPMain!R$9:R$1000))+(SUMPRODUCT(((Adders!$D$13:$D$101)=$E393)*((Adders!$E$13:$E$101)=$F393)*(Adders!G$13:G$101))+VLOOKUP($H393,Adders!$B$5:$G$8,L$11,FALSE)+Matrix!$D$2)*IF($D393="NJ",1.07,1))/$L$10,CHOOSE($M$10,$L$9,$M$9)))</f>
        <v xml:space="preserve"> 39.34 </v>
      </c>
      <c r="M393" s="173" t="str">
        <f>IF(AND($D$11="IL",$E393="AMEREN"),"NA",TEXT((SUMPRODUCT(((LMPMain!$H$9:$H$1000)=$E393)*((LMPMain!$J$9:$J$1000)=$F393)*((LMPMain!$O$9:$O$1000)=$C393)*(LMPMain!S$9:S$1000))+(SUMPRODUCT(((Adders!$D$13:$D$101)=$E393)*((Adders!$E$13:$E$101)=$F393)*(Adders!H$13:H$101))+VLOOKUP($H393,Adders!$B$5:$G$8,M$11,FALSE)+Matrix!$D$2)*IF($D393="NJ",1.07,1))/$L$10,CHOOSE($M$10,$L$9,$M$9)))</f>
        <v xml:space="preserve"> 38.79 </v>
      </c>
      <c r="N393" s="174" t="str">
        <f>IF(AND($D$11="IL",$E393="AMEREN"),"NA",TEXT((SUMPRODUCT(((LMPMain!$H$9:$H$1000)=$E393)*((LMPMain!$J$9:$J$1000)=$F393)*((LMPMain!$O$9:$O$1000)=$C393)*(LMPMain!T$9:T$1000))+(SUMPRODUCT(((Adders!$D$13:$D$101)=$E393)*((Adders!$E$13:$E$101)=$F393)*(Adders!G$13:G$101))+VLOOKUP($H393,Adders!$B$5:$G$8,N$11,FALSE)+Matrix!$D$2)*IF($D393="NJ",1.07,1))/$L$10,CHOOSE($M$10,$L$9,$M$9)))</f>
        <v xml:space="preserve"> 38.33 </v>
      </c>
      <c r="O393" s="112"/>
    </row>
    <row r="394" spans="2:15" x14ac:dyDescent="0.25">
      <c r="B394" s="160" t="s">
        <v>674</v>
      </c>
      <c r="C394" s="135">
        <f t="shared" si="11"/>
        <v>42339</v>
      </c>
      <c r="D394" s="136" t="s">
        <v>6</v>
      </c>
      <c r="E394" s="137" t="s">
        <v>14</v>
      </c>
      <c r="F394" s="136" t="s">
        <v>16</v>
      </c>
      <c r="G394" s="137" t="str">
        <f t="shared" si="12"/>
        <v>General Service Large</v>
      </c>
      <c r="H394" s="138" t="s">
        <v>690</v>
      </c>
      <c r="I394" s="176" t="str">
        <f>TEXT(   (SUMPRODUCT( ((Main!$H$9:$H$1000)=$E394)*((Main!$J$9:$J$1000)=$F394)*((Main!$O$9:$O$1000)=$C394)*(Main!R$9:R$1000) ) +  ( SUMPRODUCT( ((Adders!$D$13:$D$101)=$E394)*((Adders!$E$13:$E$101)=$F394)*(Adders!G$13:G$101)) + VLOOKUP($H394,Adders!$B$5:$G$8,L$11,FALSE)  +  PA!$D$2 ) * IF($D394="NJ",1.07,1))/$L$10, CHOOSE($M$10,$L$9,$M$9) )</f>
        <v xml:space="preserve"> 81.29 </v>
      </c>
      <c r="J394" s="176" t="str">
        <f>TEXT(   (SUMPRODUCT( ((Main!$H$9:$H$1000)=$E394)*((Main!$J$9:$J$1000)=$F394)*((Main!$O$9:$O$1000)=$C394)*(Main!S$9:S$1000) ) +  ( SUMPRODUCT( ((Adders!$D$13:$D$101)=$E394)*((Adders!$E$13:$E$101)=$F394)*(Adders!H$13:H$101)) + VLOOKUP($H394,Adders!$B$5:$G$8,M$11,FALSE)  +  PA!$D$2 ) * IF($D394="NJ",1.07,1))/$L$10, CHOOSE($M$10,$L$9,$M$9) )</f>
        <v xml:space="preserve"> 81.37 </v>
      </c>
      <c r="K394" s="177" t="str">
        <f>TEXT(   (SUMPRODUCT( ((Main!$H$9:$H$1000)=$E394)*((Main!$J$9:$J$1000)=$F394)*((Main!$O$9:$O$1000)=$C394)*(Main!T$9:T$1000) ) +  ( SUMPRODUCT( ((Adders!$D$13:$D$101)=$E394)*((Adders!$E$13:$E$101)=$F394)*(Adders!I$13:I$101)) + VLOOKUP($H394,Adders!$B$5:$G$8,N$11,FALSE)  +  PA!$D$2 ) * IF($D394="NJ",1.07,1))/$L$10, CHOOSE($M$10,$L$9,$M$9) )</f>
        <v xml:space="preserve"> 80.48 </v>
      </c>
      <c r="L394" s="176" t="str">
        <f>IF(AND($D$11="IL",$E394="AMEREN"),"NA",TEXT((SUMPRODUCT(((LMPMain!$H$9:$H$1000)=$E394)*((LMPMain!$J$9:$J$1000)=$F394)*((LMPMain!$O$9:$O$1000)=$C394)*(LMPMain!R$9:R$1000))+(SUMPRODUCT(((Adders!$D$13:$D$101)=$E394)*((Adders!$E$13:$E$101)=$F394)*(Adders!G$13:G$101))+VLOOKUP($H394,Adders!$B$5:$G$8,L$11,FALSE)+Matrix!$D$2)*IF($D394="NJ",1.07,1))/$L$10,CHOOSE($M$10,$L$9,$M$9)))</f>
        <v xml:space="preserve"> 38.29 </v>
      </c>
      <c r="M394" s="176" t="str">
        <f>IF(AND($D$11="IL",$E394="AMEREN"),"NA",TEXT((SUMPRODUCT(((LMPMain!$H$9:$H$1000)=$E394)*((LMPMain!$J$9:$J$1000)=$F394)*((LMPMain!$O$9:$O$1000)=$C394)*(LMPMain!S$9:S$1000))+(SUMPRODUCT(((Adders!$D$13:$D$101)=$E394)*((Adders!$E$13:$E$101)=$F394)*(Adders!H$13:H$101))+VLOOKUP($H394,Adders!$B$5:$G$8,M$11,FALSE)+Matrix!$D$2)*IF($D394="NJ",1.07,1))/$L$10,CHOOSE($M$10,$L$9,$M$9)))</f>
        <v xml:space="preserve"> 37.74 </v>
      </c>
      <c r="N394" s="177" t="str">
        <f>IF(AND($D$11="IL",$E394="AMEREN"),"NA",TEXT((SUMPRODUCT(((LMPMain!$H$9:$H$1000)=$E394)*((LMPMain!$J$9:$J$1000)=$F394)*((LMPMain!$O$9:$O$1000)=$C394)*(LMPMain!T$9:T$1000))+(SUMPRODUCT(((Adders!$D$13:$D$101)=$E394)*((Adders!$E$13:$E$101)=$F394)*(Adders!G$13:G$101))+VLOOKUP($H394,Adders!$B$5:$G$8,N$11,FALSE)+Matrix!$D$2)*IF($D394="NJ",1.07,1))/$L$10,CHOOSE($M$10,$L$9,$M$9)))</f>
        <v xml:space="preserve"> 37.28 </v>
      </c>
      <c r="O394" s="112"/>
    </row>
    <row r="395" spans="2:15" x14ac:dyDescent="0.25">
      <c r="B395" s="160" t="s">
        <v>674</v>
      </c>
      <c r="C395" s="127">
        <f t="shared" si="11"/>
        <v>42370</v>
      </c>
      <c r="D395" s="128" t="s">
        <v>6</v>
      </c>
      <c r="E395" s="129" t="s">
        <v>14</v>
      </c>
      <c r="F395" s="128" t="s">
        <v>16</v>
      </c>
      <c r="G395" s="129" t="str">
        <f t="shared" si="12"/>
        <v>General Service Large</v>
      </c>
      <c r="H395" s="130" t="s">
        <v>61</v>
      </c>
      <c r="I395" s="178" t="str">
        <f>TEXT(   (SUMPRODUCT( ((Main!$H$9:$H$1000)=$E395)*((Main!$J$9:$J$1000)=$F395)*((Main!$O$9:$O$1000)=$C395)*(Main!R$9:R$1000) ) +  ( SUMPRODUCT( ((Adders!$D$13:$D$101)=$E395)*((Adders!$E$13:$E$101)=$F395)*(Adders!G$13:G$101)) + VLOOKUP($H395,Adders!$B$5:$G$8,L$11,FALSE)  +  PA!$D$2 ) * IF($D395="NJ",1.07,1))/$L$10, CHOOSE($M$10,$L$9,$M$9) )</f>
        <v xml:space="preserve"> 83.45 </v>
      </c>
      <c r="J395" s="178" t="str">
        <f>TEXT(   (SUMPRODUCT( ((Main!$H$9:$H$1000)=$E395)*((Main!$J$9:$J$1000)=$F395)*((Main!$O$9:$O$1000)=$C395)*(Main!S$9:S$1000) ) +  ( SUMPRODUCT( ((Adders!$D$13:$D$101)=$E395)*((Adders!$E$13:$E$101)=$F395)*(Adders!H$13:H$101)) + VLOOKUP($H395,Adders!$B$5:$G$8,M$11,FALSE)  +  PA!$D$2 ) * IF($D395="NJ",1.07,1))/$L$10, CHOOSE($M$10,$L$9,$M$9) )</f>
        <v xml:space="preserve"> 83.79 </v>
      </c>
      <c r="K395" s="179" t="str">
        <f>TEXT(   (SUMPRODUCT( ((Main!$H$9:$H$1000)=$E395)*((Main!$J$9:$J$1000)=$F395)*((Main!$O$9:$O$1000)=$C395)*(Main!T$9:T$1000) ) +  ( SUMPRODUCT( ((Adders!$D$13:$D$101)=$E395)*((Adders!$E$13:$E$101)=$F395)*(Adders!I$13:I$101)) + VLOOKUP($H395,Adders!$B$5:$G$8,N$11,FALSE)  +  PA!$D$2 ) * IF($D395="NJ",1.07,1))/$L$10, CHOOSE($M$10,$L$9,$M$9) )</f>
        <v xml:space="preserve"> 82.96 </v>
      </c>
      <c r="L395" s="178" t="str">
        <f>IF(AND($D$11="IL",$E395="AMEREN"),"NA",TEXT((SUMPRODUCT(((LMPMain!$H$9:$H$1000)=$E395)*((LMPMain!$J$9:$J$1000)=$F395)*((LMPMain!$O$9:$O$1000)=$C395)*(LMPMain!R$9:R$1000))+(SUMPRODUCT(((Adders!$D$13:$D$101)=$E395)*((Adders!$E$13:$E$101)=$F395)*(Adders!G$13:G$101))+VLOOKUP($H395,Adders!$B$5:$G$8,L$11,FALSE)+Matrix!$D$2)*IF($D395="NJ",1.07,1))/$L$10,CHOOSE($M$10,$L$9,$M$9)))</f>
        <v xml:space="preserve"> 40.57 </v>
      </c>
      <c r="M395" s="178" t="str">
        <f>IF(AND($D$11="IL",$E395="AMEREN"),"NA",TEXT((SUMPRODUCT(((LMPMain!$H$9:$H$1000)=$E395)*((LMPMain!$J$9:$J$1000)=$F395)*((LMPMain!$O$9:$O$1000)=$C395)*(LMPMain!S$9:S$1000))+(SUMPRODUCT(((Adders!$D$13:$D$101)=$E395)*((Adders!$E$13:$E$101)=$F395)*(Adders!H$13:H$101))+VLOOKUP($H395,Adders!$B$5:$G$8,M$11,FALSE)+Matrix!$D$2)*IF($D395="NJ",1.07,1))/$L$10,CHOOSE($M$10,$L$9,$M$9)))</f>
        <v xml:space="preserve"> 40.17 </v>
      </c>
      <c r="N395" s="179" t="str">
        <f>IF(AND($D$11="IL",$E395="AMEREN"),"NA",TEXT((SUMPRODUCT(((LMPMain!$H$9:$H$1000)=$E395)*((LMPMain!$J$9:$J$1000)=$F395)*((LMPMain!$O$9:$O$1000)=$C395)*(LMPMain!T$9:T$1000))+(SUMPRODUCT(((Adders!$D$13:$D$101)=$E395)*((Adders!$E$13:$E$101)=$F395)*(Adders!G$13:G$101))+VLOOKUP($H395,Adders!$B$5:$G$8,N$11,FALSE)+Matrix!$D$2)*IF($D395="NJ",1.07,1))/$L$10,CHOOSE($M$10,$L$9,$M$9)))</f>
        <v xml:space="preserve"> 39.76 </v>
      </c>
      <c r="O395" s="112"/>
    </row>
    <row r="396" spans="2:15" x14ac:dyDescent="0.25">
      <c r="B396" s="160" t="s">
        <v>674</v>
      </c>
      <c r="C396" s="131">
        <f t="shared" si="11"/>
        <v>42370</v>
      </c>
      <c r="D396" s="132" t="s">
        <v>6</v>
      </c>
      <c r="E396" s="133" t="s">
        <v>14</v>
      </c>
      <c r="F396" s="132" t="s">
        <v>16</v>
      </c>
      <c r="G396" s="133" t="str">
        <f t="shared" si="12"/>
        <v>General Service Large</v>
      </c>
      <c r="H396" s="134" t="s">
        <v>62</v>
      </c>
      <c r="I396" s="173" t="str">
        <f>TEXT(   (SUMPRODUCT( ((Main!$H$9:$H$1000)=$E396)*((Main!$J$9:$J$1000)=$F396)*((Main!$O$9:$O$1000)=$C396)*(Main!R$9:R$1000) ) +  ( SUMPRODUCT( ((Adders!$D$13:$D$101)=$E396)*((Adders!$E$13:$E$101)=$F396)*(Adders!G$13:G$101)) + VLOOKUP($H396,Adders!$B$5:$G$8,L$11,FALSE)  +  PA!$D$2 ) * IF($D396="NJ",1.07,1))/$L$10, CHOOSE($M$10,$L$9,$M$9) )</f>
        <v xml:space="preserve"> 81.85 </v>
      </c>
      <c r="J396" s="173" t="str">
        <f>TEXT(   (SUMPRODUCT( ((Main!$H$9:$H$1000)=$E396)*((Main!$J$9:$J$1000)=$F396)*((Main!$O$9:$O$1000)=$C396)*(Main!S$9:S$1000) ) +  ( SUMPRODUCT( ((Adders!$D$13:$D$101)=$E396)*((Adders!$E$13:$E$101)=$F396)*(Adders!H$13:H$101)) + VLOOKUP($H396,Adders!$B$5:$G$8,M$11,FALSE)  +  PA!$D$2 ) * IF($D396="NJ",1.07,1))/$L$10, CHOOSE($M$10,$L$9,$M$9) )</f>
        <v xml:space="preserve"> 82.19 </v>
      </c>
      <c r="K396" s="174" t="str">
        <f>TEXT(   (SUMPRODUCT( ((Main!$H$9:$H$1000)=$E396)*((Main!$J$9:$J$1000)=$F396)*((Main!$O$9:$O$1000)=$C396)*(Main!T$9:T$1000) ) +  ( SUMPRODUCT( ((Adders!$D$13:$D$101)=$E396)*((Adders!$E$13:$E$101)=$F396)*(Adders!I$13:I$101)) + VLOOKUP($H396,Adders!$B$5:$G$8,N$11,FALSE)  +  PA!$D$2 ) * IF($D396="NJ",1.07,1))/$L$10, CHOOSE($M$10,$L$9,$M$9) )</f>
        <v xml:space="preserve"> 81.36 </v>
      </c>
      <c r="L396" s="173" t="str">
        <f>IF(AND($D$11="IL",$E396="AMEREN"),"NA",TEXT((SUMPRODUCT(((LMPMain!$H$9:$H$1000)=$E396)*((LMPMain!$J$9:$J$1000)=$F396)*((LMPMain!$O$9:$O$1000)=$C396)*(LMPMain!R$9:R$1000))+(SUMPRODUCT(((Adders!$D$13:$D$101)=$E396)*((Adders!$E$13:$E$101)=$F396)*(Adders!G$13:G$101))+VLOOKUP($H396,Adders!$B$5:$G$8,L$11,FALSE)+Matrix!$D$2)*IF($D396="NJ",1.07,1))/$L$10,CHOOSE($M$10,$L$9,$M$9)))</f>
        <v xml:space="preserve"> 38.97 </v>
      </c>
      <c r="M396" s="173" t="str">
        <f>IF(AND($D$11="IL",$E396="AMEREN"),"NA",TEXT((SUMPRODUCT(((LMPMain!$H$9:$H$1000)=$E396)*((LMPMain!$J$9:$J$1000)=$F396)*((LMPMain!$O$9:$O$1000)=$C396)*(LMPMain!S$9:S$1000))+(SUMPRODUCT(((Adders!$D$13:$D$101)=$E396)*((Adders!$E$13:$E$101)=$F396)*(Adders!H$13:H$101))+VLOOKUP($H396,Adders!$B$5:$G$8,M$11,FALSE)+Matrix!$D$2)*IF($D396="NJ",1.07,1))/$L$10,CHOOSE($M$10,$L$9,$M$9)))</f>
        <v xml:space="preserve"> 38.57 </v>
      </c>
      <c r="N396" s="174" t="str">
        <f>IF(AND($D$11="IL",$E396="AMEREN"),"NA",TEXT((SUMPRODUCT(((LMPMain!$H$9:$H$1000)=$E396)*((LMPMain!$J$9:$J$1000)=$F396)*((LMPMain!$O$9:$O$1000)=$C396)*(LMPMain!T$9:T$1000))+(SUMPRODUCT(((Adders!$D$13:$D$101)=$E396)*((Adders!$E$13:$E$101)=$F396)*(Adders!G$13:G$101))+VLOOKUP($H396,Adders!$B$5:$G$8,N$11,FALSE)+Matrix!$D$2)*IF($D396="NJ",1.07,1))/$L$10,CHOOSE($M$10,$L$9,$M$9)))</f>
        <v xml:space="preserve"> 38.16 </v>
      </c>
      <c r="O396" s="112"/>
    </row>
    <row r="397" spans="2:15" x14ac:dyDescent="0.25">
      <c r="B397" s="160" t="s">
        <v>674</v>
      </c>
      <c r="C397" s="135">
        <f t="shared" si="11"/>
        <v>42370</v>
      </c>
      <c r="D397" s="136" t="s">
        <v>6</v>
      </c>
      <c r="E397" s="137" t="s">
        <v>14</v>
      </c>
      <c r="F397" s="136" t="s">
        <v>16</v>
      </c>
      <c r="G397" s="137" t="str">
        <f t="shared" si="12"/>
        <v>General Service Large</v>
      </c>
      <c r="H397" s="138" t="s">
        <v>690</v>
      </c>
      <c r="I397" s="176" t="str">
        <f>TEXT(   (SUMPRODUCT( ((Main!$H$9:$H$1000)=$E397)*((Main!$J$9:$J$1000)=$F397)*((Main!$O$9:$O$1000)=$C397)*(Main!R$9:R$1000) ) +  ( SUMPRODUCT( ((Adders!$D$13:$D$101)=$E397)*((Adders!$E$13:$E$101)=$F397)*(Adders!G$13:G$101)) + VLOOKUP($H397,Adders!$B$5:$G$8,L$11,FALSE)  +  PA!$D$2 ) * IF($D397="NJ",1.07,1))/$L$10, CHOOSE($M$10,$L$9,$M$9) )</f>
        <v xml:space="preserve"> 80.80 </v>
      </c>
      <c r="J397" s="176" t="str">
        <f>TEXT(   (SUMPRODUCT( ((Main!$H$9:$H$1000)=$E397)*((Main!$J$9:$J$1000)=$F397)*((Main!$O$9:$O$1000)=$C397)*(Main!S$9:S$1000) ) +  ( SUMPRODUCT( ((Adders!$D$13:$D$101)=$E397)*((Adders!$E$13:$E$101)=$F397)*(Adders!H$13:H$101)) + VLOOKUP($H397,Adders!$B$5:$G$8,M$11,FALSE)  +  PA!$D$2 ) * IF($D397="NJ",1.07,1))/$L$10, CHOOSE($M$10,$L$9,$M$9) )</f>
        <v xml:space="preserve"> 81.14 </v>
      </c>
      <c r="K397" s="177" t="str">
        <f>TEXT(   (SUMPRODUCT( ((Main!$H$9:$H$1000)=$E397)*((Main!$J$9:$J$1000)=$F397)*((Main!$O$9:$O$1000)=$C397)*(Main!T$9:T$1000) ) +  ( SUMPRODUCT( ((Adders!$D$13:$D$101)=$E397)*((Adders!$E$13:$E$101)=$F397)*(Adders!I$13:I$101)) + VLOOKUP($H397,Adders!$B$5:$G$8,N$11,FALSE)  +  PA!$D$2 ) * IF($D397="NJ",1.07,1))/$L$10, CHOOSE($M$10,$L$9,$M$9) )</f>
        <v xml:space="preserve"> 80.31 </v>
      </c>
      <c r="L397" s="176" t="str">
        <f>IF(AND($D$11="IL",$E397="AMEREN"),"NA",TEXT((SUMPRODUCT(((LMPMain!$H$9:$H$1000)=$E397)*((LMPMain!$J$9:$J$1000)=$F397)*((LMPMain!$O$9:$O$1000)=$C397)*(LMPMain!R$9:R$1000))+(SUMPRODUCT(((Adders!$D$13:$D$101)=$E397)*((Adders!$E$13:$E$101)=$F397)*(Adders!G$13:G$101))+VLOOKUP($H397,Adders!$B$5:$G$8,L$11,FALSE)+Matrix!$D$2)*IF($D397="NJ",1.07,1))/$L$10,CHOOSE($M$10,$L$9,$M$9)))</f>
        <v xml:space="preserve"> 37.92 </v>
      </c>
      <c r="M397" s="176" t="str">
        <f>IF(AND($D$11="IL",$E397="AMEREN"),"NA",TEXT((SUMPRODUCT(((LMPMain!$H$9:$H$1000)=$E397)*((LMPMain!$J$9:$J$1000)=$F397)*((LMPMain!$O$9:$O$1000)=$C397)*(LMPMain!S$9:S$1000))+(SUMPRODUCT(((Adders!$D$13:$D$101)=$E397)*((Adders!$E$13:$E$101)=$F397)*(Adders!H$13:H$101))+VLOOKUP($H397,Adders!$B$5:$G$8,M$11,FALSE)+Matrix!$D$2)*IF($D397="NJ",1.07,1))/$L$10,CHOOSE($M$10,$L$9,$M$9)))</f>
        <v xml:space="preserve"> 37.52 </v>
      </c>
      <c r="N397" s="177" t="str">
        <f>IF(AND($D$11="IL",$E397="AMEREN"),"NA",TEXT((SUMPRODUCT(((LMPMain!$H$9:$H$1000)=$E397)*((LMPMain!$J$9:$J$1000)=$F397)*((LMPMain!$O$9:$O$1000)=$C397)*(LMPMain!T$9:T$1000))+(SUMPRODUCT(((Adders!$D$13:$D$101)=$E397)*((Adders!$E$13:$E$101)=$F397)*(Adders!G$13:G$101))+VLOOKUP($H397,Adders!$B$5:$G$8,N$11,FALSE)+Matrix!$D$2)*IF($D397="NJ",1.07,1))/$L$10,CHOOSE($M$10,$L$9,$M$9)))</f>
        <v xml:space="preserve"> 37.11 </v>
      </c>
      <c r="O397" s="112"/>
    </row>
    <row r="398" spans="2:15" x14ac:dyDescent="0.25">
      <c r="B398" s="160" t="s">
        <v>674</v>
      </c>
      <c r="C398" s="127">
        <f t="shared" si="11"/>
        <v>42401</v>
      </c>
      <c r="D398" s="128" t="s">
        <v>6</v>
      </c>
      <c r="E398" s="129" t="s">
        <v>14</v>
      </c>
      <c r="F398" s="128" t="s">
        <v>16</v>
      </c>
      <c r="G398" s="129" t="str">
        <f t="shared" si="12"/>
        <v>General Service Large</v>
      </c>
      <c r="H398" s="130" t="s">
        <v>61</v>
      </c>
      <c r="I398" s="178" t="str">
        <f>TEXT(   (SUMPRODUCT( ((Main!$H$9:$H$1000)=$E398)*((Main!$J$9:$J$1000)=$F398)*((Main!$O$9:$O$1000)=$C398)*(Main!R$9:R$1000) ) +  ( SUMPRODUCT( ((Adders!$D$13:$D$101)=$E398)*((Adders!$E$13:$E$101)=$F398)*(Adders!G$13:G$101)) + VLOOKUP($H398,Adders!$B$5:$G$8,L$11,FALSE)  +  PA!$D$2 ) * IF($D398="NJ",1.07,1))/$L$10, CHOOSE($M$10,$L$9,$M$9) )</f>
        <v xml:space="preserve"> 83.16 </v>
      </c>
      <c r="J398" s="178" t="str">
        <f>TEXT(   (SUMPRODUCT( ((Main!$H$9:$H$1000)=$E398)*((Main!$J$9:$J$1000)=$F398)*((Main!$O$9:$O$1000)=$C398)*(Main!S$9:S$1000) ) +  ( SUMPRODUCT( ((Adders!$D$13:$D$101)=$E398)*((Adders!$E$13:$E$101)=$F398)*(Adders!H$13:H$101)) + VLOOKUP($H398,Adders!$B$5:$G$8,M$11,FALSE)  +  PA!$D$2 ) * IF($D398="NJ",1.07,1))/$L$10, CHOOSE($M$10,$L$9,$M$9) )</f>
        <v xml:space="preserve"> 83.03 </v>
      </c>
      <c r="K398" s="179" t="str">
        <f>TEXT(   (SUMPRODUCT( ((Main!$H$9:$H$1000)=$E398)*((Main!$J$9:$J$1000)=$F398)*((Main!$O$9:$O$1000)=$C398)*(Main!T$9:T$1000) ) +  ( SUMPRODUCT( ((Adders!$D$13:$D$101)=$E398)*((Adders!$E$13:$E$101)=$F398)*(Adders!I$13:I$101)) + VLOOKUP($H398,Adders!$B$5:$G$8,N$11,FALSE)  +  PA!$D$2 ) * IF($D398="NJ",1.07,1))/$L$10, CHOOSE($M$10,$L$9,$M$9) )</f>
        <v xml:space="preserve"> 82.92 </v>
      </c>
      <c r="L398" s="178" t="str">
        <f>IF(AND($D$11="IL",$E398="AMEREN"),"NA",TEXT((SUMPRODUCT(((LMPMain!$H$9:$H$1000)=$E398)*((LMPMain!$J$9:$J$1000)=$F398)*((LMPMain!$O$9:$O$1000)=$C398)*(LMPMain!R$9:R$1000))+(SUMPRODUCT(((Adders!$D$13:$D$101)=$E398)*((Adders!$E$13:$E$101)=$F398)*(Adders!G$13:G$101))+VLOOKUP($H398,Adders!$B$5:$G$8,L$11,FALSE)+Matrix!$D$2)*IF($D398="NJ",1.07,1))/$L$10,CHOOSE($M$10,$L$9,$M$9)))</f>
        <v xml:space="preserve"> 40.18 </v>
      </c>
      <c r="M398" s="178" t="str">
        <f>IF(AND($D$11="IL",$E398="AMEREN"),"NA",TEXT((SUMPRODUCT(((LMPMain!$H$9:$H$1000)=$E398)*((LMPMain!$J$9:$J$1000)=$F398)*((LMPMain!$O$9:$O$1000)=$C398)*(LMPMain!S$9:S$1000))+(SUMPRODUCT(((Adders!$D$13:$D$101)=$E398)*((Adders!$E$13:$E$101)=$F398)*(Adders!H$13:H$101))+VLOOKUP($H398,Adders!$B$5:$G$8,M$11,FALSE)+Matrix!$D$2)*IF($D398="NJ",1.07,1))/$L$10,CHOOSE($M$10,$L$9,$M$9)))</f>
        <v xml:space="preserve"> 39.80 </v>
      </c>
      <c r="N398" s="179" t="str">
        <f>IF(AND($D$11="IL",$E398="AMEREN"),"NA",TEXT((SUMPRODUCT(((LMPMain!$H$9:$H$1000)=$E398)*((LMPMain!$J$9:$J$1000)=$F398)*((LMPMain!$O$9:$O$1000)=$C398)*(LMPMain!T$9:T$1000))+(SUMPRODUCT(((Adders!$D$13:$D$101)=$E398)*((Adders!$E$13:$E$101)=$F398)*(Adders!G$13:G$101))+VLOOKUP($H398,Adders!$B$5:$G$8,N$11,FALSE)+Matrix!$D$2)*IF($D398="NJ",1.07,1))/$L$10,CHOOSE($M$10,$L$9,$M$9)))</f>
        <v xml:space="preserve"> 39.58 </v>
      </c>
      <c r="O398" s="112"/>
    </row>
    <row r="399" spans="2:15" x14ac:dyDescent="0.25">
      <c r="B399" s="160" t="s">
        <v>674</v>
      </c>
      <c r="C399" s="131">
        <f t="shared" si="11"/>
        <v>42401</v>
      </c>
      <c r="D399" s="132" t="s">
        <v>6</v>
      </c>
      <c r="E399" s="133" t="s">
        <v>14</v>
      </c>
      <c r="F399" s="132" t="s">
        <v>16</v>
      </c>
      <c r="G399" s="133" t="str">
        <f t="shared" si="12"/>
        <v>General Service Large</v>
      </c>
      <c r="H399" s="134" t="s">
        <v>62</v>
      </c>
      <c r="I399" s="173" t="str">
        <f>TEXT(   (SUMPRODUCT( ((Main!$H$9:$H$1000)=$E399)*((Main!$J$9:$J$1000)=$F399)*((Main!$O$9:$O$1000)=$C399)*(Main!R$9:R$1000) ) +  ( SUMPRODUCT( ((Adders!$D$13:$D$101)=$E399)*((Adders!$E$13:$E$101)=$F399)*(Adders!G$13:G$101)) + VLOOKUP($H399,Adders!$B$5:$G$8,L$11,FALSE)  +  PA!$D$2 ) * IF($D399="NJ",1.07,1))/$L$10, CHOOSE($M$10,$L$9,$M$9) )</f>
        <v xml:space="preserve"> 81.56 </v>
      </c>
      <c r="J399" s="173" t="str">
        <f>TEXT(   (SUMPRODUCT( ((Main!$H$9:$H$1000)=$E399)*((Main!$J$9:$J$1000)=$F399)*((Main!$O$9:$O$1000)=$C399)*(Main!S$9:S$1000) ) +  ( SUMPRODUCT( ((Adders!$D$13:$D$101)=$E399)*((Adders!$E$13:$E$101)=$F399)*(Adders!H$13:H$101)) + VLOOKUP($H399,Adders!$B$5:$G$8,M$11,FALSE)  +  PA!$D$2 ) * IF($D399="NJ",1.07,1))/$L$10, CHOOSE($M$10,$L$9,$M$9) )</f>
        <v xml:space="preserve"> 81.43 </v>
      </c>
      <c r="K399" s="174" t="str">
        <f>TEXT(   (SUMPRODUCT( ((Main!$H$9:$H$1000)=$E399)*((Main!$J$9:$J$1000)=$F399)*((Main!$O$9:$O$1000)=$C399)*(Main!T$9:T$1000) ) +  ( SUMPRODUCT( ((Adders!$D$13:$D$101)=$E399)*((Adders!$E$13:$E$101)=$F399)*(Adders!I$13:I$101)) + VLOOKUP($H399,Adders!$B$5:$G$8,N$11,FALSE)  +  PA!$D$2 ) * IF($D399="NJ",1.07,1))/$L$10, CHOOSE($M$10,$L$9,$M$9) )</f>
        <v xml:space="preserve"> 81.32 </v>
      </c>
      <c r="L399" s="173" t="str">
        <f>IF(AND($D$11="IL",$E399="AMEREN"),"NA",TEXT((SUMPRODUCT(((LMPMain!$H$9:$H$1000)=$E399)*((LMPMain!$J$9:$J$1000)=$F399)*((LMPMain!$O$9:$O$1000)=$C399)*(LMPMain!R$9:R$1000))+(SUMPRODUCT(((Adders!$D$13:$D$101)=$E399)*((Adders!$E$13:$E$101)=$F399)*(Adders!G$13:G$101))+VLOOKUP($H399,Adders!$B$5:$G$8,L$11,FALSE)+Matrix!$D$2)*IF($D399="NJ",1.07,1))/$L$10,CHOOSE($M$10,$L$9,$M$9)))</f>
        <v xml:space="preserve"> 38.58 </v>
      </c>
      <c r="M399" s="173" t="str">
        <f>IF(AND($D$11="IL",$E399="AMEREN"),"NA",TEXT((SUMPRODUCT(((LMPMain!$H$9:$H$1000)=$E399)*((LMPMain!$J$9:$J$1000)=$F399)*((LMPMain!$O$9:$O$1000)=$C399)*(LMPMain!S$9:S$1000))+(SUMPRODUCT(((Adders!$D$13:$D$101)=$E399)*((Adders!$E$13:$E$101)=$F399)*(Adders!H$13:H$101))+VLOOKUP($H399,Adders!$B$5:$G$8,M$11,FALSE)+Matrix!$D$2)*IF($D399="NJ",1.07,1))/$L$10,CHOOSE($M$10,$L$9,$M$9)))</f>
        <v xml:space="preserve"> 38.20 </v>
      </c>
      <c r="N399" s="174" t="str">
        <f>IF(AND($D$11="IL",$E399="AMEREN"),"NA",TEXT((SUMPRODUCT(((LMPMain!$H$9:$H$1000)=$E399)*((LMPMain!$J$9:$J$1000)=$F399)*((LMPMain!$O$9:$O$1000)=$C399)*(LMPMain!T$9:T$1000))+(SUMPRODUCT(((Adders!$D$13:$D$101)=$E399)*((Adders!$E$13:$E$101)=$F399)*(Adders!G$13:G$101))+VLOOKUP($H399,Adders!$B$5:$G$8,N$11,FALSE)+Matrix!$D$2)*IF($D399="NJ",1.07,1))/$L$10,CHOOSE($M$10,$L$9,$M$9)))</f>
        <v xml:space="preserve"> 37.98 </v>
      </c>
      <c r="O399" s="112"/>
    </row>
    <row r="400" spans="2:15" x14ac:dyDescent="0.25">
      <c r="B400" s="160" t="s">
        <v>674</v>
      </c>
      <c r="C400" s="135">
        <f t="shared" si="11"/>
        <v>42401</v>
      </c>
      <c r="D400" s="136" t="s">
        <v>6</v>
      </c>
      <c r="E400" s="137" t="s">
        <v>14</v>
      </c>
      <c r="F400" s="136" t="s">
        <v>16</v>
      </c>
      <c r="G400" s="137" t="str">
        <f t="shared" si="12"/>
        <v>General Service Large</v>
      </c>
      <c r="H400" s="138" t="s">
        <v>690</v>
      </c>
      <c r="I400" s="176" t="str">
        <f>TEXT(   (SUMPRODUCT( ((Main!$H$9:$H$1000)=$E400)*((Main!$J$9:$J$1000)=$F400)*((Main!$O$9:$O$1000)=$C400)*(Main!R$9:R$1000) ) +  ( SUMPRODUCT( ((Adders!$D$13:$D$101)=$E400)*((Adders!$E$13:$E$101)=$F400)*(Adders!G$13:G$101)) + VLOOKUP($H400,Adders!$B$5:$G$8,L$11,FALSE)  +  PA!$D$2 ) * IF($D400="NJ",1.07,1))/$L$10, CHOOSE($M$10,$L$9,$M$9) )</f>
        <v xml:space="preserve"> 80.51 </v>
      </c>
      <c r="J400" s="176" t="str">
        <f>TEXT(   (SUMPRODUCT( ((Main!$H$9:$H$1000)=$E400)*((Main!$J$9:$J$1000)=$F400)*((Main!$O$9:$O$1000)=$C400)*(Main!S$9:S$1000) ) +  ( SUMPRODUCT( ((Adders!$D$13:$D$101)=$E400)*((Adders!$E$13:$E$101)=$F400)*(Adders!H$13:H$101)) + VLOOKUP($H400,Adders!$B$5:$G$8,M$11,FALSE)  +  PA!$D$2 ) * IF($D400="NJ",1.07,1))/$L$10, CHOOSE($M$10,$L$9,$M$9) )</f>
        <v xml:space="preserve"> 80.38 </v>
      </c>
      <c r="K400" s="177" t="str">
        <f>TEXT(   (SUMPRODUCT( ((Main!$H$9:$H$1000)=$E400)*((Main!$J$9:$J$1000)=$F400)*((Main!$O$9:$O$1000)=$C400)*(Main!T$9:T$1000) ) +  ( SUMPRODUCT( ((Adders!$D$13:$D$101)=$E400)*((Adders!$E$13:$E$101)=$F400)*(Adders!I$13:I$101)) + VLOOKUP($H400,Adders!$B$5:$G$8,N$11,FALSE)  +  PA!$D$2 ) * IF($D400="NJ",1.07,1))/$L$10, CHOOSE($M$10,$L$9,$M$9) )</f>
        <v xml:space="preserve"> 80.27 </v>
      </c>
      <c r="L400" s="176" t="str">
        <f>IF(AND($D$11="IL",$E400="AMEREN"),"NA",TEXT((SUMPRODUCT(((LMPMain!$H$9:$H$1000)=$E400)*((LMPMain!$J$9:$J$1000)=$F400)*((LMPMain!$O$9:$O$1000)=$C400)*(LMPMain!R$9:R$1000))+(SUMPRODUCT(((Adders!$D$13:$D$101)=$E400)*((Adders!$E$13:$E$101)=$F400)*(Adders!G$13:G$101))+VLOOKUP($H400,Adders!$B$5:$G$8,L$11,FALSE)+Matrix!$D$2)*IF($D400="NJ",1.07,1))/$L$10,CHOOSE($M$10,$L$9,$M$9)))</f>
        <v xml:space="preserve"> 37.53 </v>
      </c>
      <c r="M400" s="176" t="str">
        <f>IF(AND($D$11="IL",$E400="AMEREN"),"NA",TEXT((SUMPRODUCT(((LMPMain!$H$9:$H$1000)=$E400)*((LMPMain!$J$9:$J$1000)=$F400)*((LMPMain!$O$9:$O$1000)=$C400)*(LMPMain!S$9:S$1000))+(SUMPRODUCT(((Adders!$D$13:$D$101)=$E400)*((Adders!$E$13:$E$101)=$F400)*(Adders!H$13:H$101))+VLOOKUP($H400,Adders!$B$5:$G$8,M$11,FALSE)+Matrix!$D$2)*IF($D400="NJ",1.07,1))/$L$10,CHOOSE($M$10,$L$9,$M$9)))</f>
        <v xml:space="preserve"> 37.15 </v>
      </c>
      <c r="N400" s="177" t="str">
        <f>IF(AND($D$11="IL",$E400="AMEREN"),"NA",TEXT((SUMPRODUCT(((LMPMain!$H$9:$H$1000)=$E400)*((LMPMain!$J$9:$J$1000)=$F400)*((LMPMain!$O$9:$O$1000)=$C400)*(LMPMain!T$9:T$1000))+(SUMPRODUCT(((Adders!$D$13:$D$101)=$E400)*((Adders!$E$13:$E$101)=$F400)*(Adders!G$13:G$101))+VLOOKUP($H400,Adders!$B$5:$G$8,N$11,FALSE)+Matrix!$D$2)*IF($D400="NJ",1.07,1))/$L$10,CHOOSE($M$10,$L$9,$M$9)))</f>
        <v xml:space="preserve"> 36.93 </v>
      </c>
      <c r="O400" s="112"/>
    </row>
    <row r="401" spans="2:15" x14ac:dyDescent="0.25">
      <c r="B401" s="160" t="s">
        <v>674</v>
      </c>
      <c r="C401" s="127">
        <f t="shared" si="11"/>
        <v>42430</v>
      </c>
      <c r="D401" s="128" t="s">
        <v>6</v>
      </c>
      <c r="E401" s="129" t="s">
        <v>14</v>
      </c>
      <c r="F401" s="128" t="s">
        <v>16</v>
      </c>
      <c r="G401" s="129" t="str">
        <f t="shared" si="12"/>
        <v>General Service Large</v>
      </c>
      <c r="H401" s="130" t="s">
        <v>61</v>
      </c>
      <c r="I401" s="178" t="str">
        <f>TEXT(   (SUMPRODUCT( ((Main!$H$9:$H$1000)=$E401)*((Main!$J$9:$J$1000)=$F401)*((Main!$O$9:$O$1000)=$C401)*(Main!R$9:R$1000) ) +  ( SUMPRODUCT( ((Adders!$D$13:$D$101)=$E401)*((Adders!$E$13:$E$101)=$F401)*(Adders!G$13:G$101)) + VLOOKUP($H401,Adders!$B$5:$G$8,L$11,FALSE)  +  PA!$D$2 ) * IF($D401="NJ",1.07,1))/$L$10, CHOOSE($M$10,$L$9,$M$9) )</f>
        <v xml:space="preserve"> 82.95 </v>
      </c>
      <c r="J401" s="178" t="str">
        <f>TEXT(   (SUMPRODUCT( ((Main!$H$9:$H$1000)=$E401)*((Main!$J$9:$J$1000)=$F401)*((Main!$O$9:$O$1000)=$C401)*(Main!S$9:S$1000) ) +  ( SUMPRODUCT( ((Adders!$D$13:$D$101)=$E401)*((Adders!$E$13:$E$101)=$F401)*(Adders!H$13:H$101)) + VLOOKUP($H401,Adders!$B$5:$G$8,M$11,FALSE)  +  PA!$D$2 ) * IF($D401="NJ",1.07,1))/$L$10, CHOOSE($M$10,$L$9,$M$9) )</f>
        <v xml:space="preserve"> 82.42 </v>
      </c>
      <c r="K401" s="179" t="str">
        <f>TEXT(   (SUMPRODUCT( ((Main!$H$9:$H$1000)=$E401)*((Main!$J$9:$J$1000)=$F401)*((Main!$O$9:$O$1000)=$C401)*(Main!T$9:T$1000) ) +  ( SUMPRODUCT( ((Adders!$D$13:$D$101)=$E401)*((Adders!$E$13:$E$101)=$F401)*(Adders!I$13:I$101)) + VLOOKUP($H401,Adders!$B$5:$G$8,N$11,FALSE)  +  PA!$D$2 ) * IF($D401="NJ",1.07,1))/$L$10, CHOOSE($M$10,$L$9,$M$9) )</f>
        <v xml:space="preserve"> 82.95 </v>
      </c>
      <c r="L401" s="178" t="str">
        <f>IF(AND($D$11="IL",$E401="AMEREN"),"NA",TEXT((SUMPRODUCT(((LMPMain!$H$9:$H$1000)=$E401)*((LMPMain!$J$9:$J$1000)=$F401)*((LMPMain!$O$9:$O$1000)=$C401)*(LMPMain!R$9:R$1000))+(SUMPRODUCT(((Adders!$D$13:$D$101)=$E401)*((Adders!$E$13:$E$101)=$F401)*(Adders!G$13:G$101))+VLOOKUP($H401,Adders!$B$5:$G$8,L$11,FALSE)+Matrix!$D$2)*IF($D401="NJ",1.07,1))/$L$10,CHOOSE($M$10,$L$9,$M$9)))</f>
        <v xml:space="preserve"> 39.84 </v>
      </c>
      <c r="M401" s="178" t="str">
        <f>IF(AND($D$11="IL",$E401="AMEREN"),"NA",TEXT((SUMPRODUCT(((LMPMain!$H$9:$H$1000)=$E401)*((LMPMain!$J$9:$J$1000)=$F401)*((LMPMain!$O$9:$O$1000)=$C401)*(LMPMain!S$9:S$1000))+(SUMPRODUCT(((Adders!$D$13:$D$101)=$E401)*((Adders!$E$13:$E$101)=$F401)*(Adders!H$13:H$101))+VLOOKUP($H401,Adders!$B$5:$G$8,M$11,FALSE)+Matrix!$D$2)*IF($D401="NJ",1.07,1))/$L$10,CHOOSE($M$10,$L$9,$M$9)))</f>
        <v xml:space="preserve"> 39.45 </v>
      </c>
      <c r="N401" s="179" t="str">
        <f>IF(AND($D$11="IL",$E401="AMEREN"),"NA",TEXT((SUMPRODUCT(((LMPMain!$H$9:$H$1000)=$E401)*((LMPMain!$J$9:$J$1000)=$F401)*((LMPMain!$O$9:$O$1000)=$C401)*(LMPMain!T$9:T$1000))+(SUMPRODUCT(((Adders!$D$13:$D$101)=$E401)*((Adders!$E$13:$E$101)=$F401)*(Adders!G$13:G$101))+VLOOKUP($H401,Adders!$B$5:$G$8,N$11,FALSE)+Matrix!$D$2)*IF($D401="NJ",1.07,1))/$L$10,CHOOSE($M$10,$L$9,$M$9)))</f>
        <v xml:space="preserve"> 39.43 </v>
      </c>
      <c r="O401" s="112"/>
    </row>
    <row r="402" spans="2:15" x14ac:dyDescent="0.25">
      <c r="B402" s="160" t="s">
        <v>674</v>
      </c>
      <c r="C402" s="131">
        <f t="shared" si="11"/>
        <v>42430</v>
      </c>
      <c r="D402" s="132" t="s">
        <v>6</v>
      </c>
      <c r="E402" s="133" t="s">
        <v>14</v>
      </c>
      <c r="F402" s="132" t="s">
        <v>16</v>
      </c>
      <c r="G402" s="133" t="str">
        <f t="shared" si="12"/>
        <v>General Service Large</v>
      </c>
      <c r="H402" s="134" t="s">
        <v>62</v>
      </c>
      <c r="I402" s="173" t="str">
        <f>TEXT(   (SUMPRODUCT( ((Main!$H$9:$H$1000)=$E402)*((Main!$J$9:$J$1000)=$F402)*((Main!$O$9:$O$1000)=$C402)*(Main!R$9:R$1000) ) +  ( SUMPRODUCT( ((Adders!$D$13:$D$101)=$E402)*((Adders!$E$13:$E$101)=$F402)*(Adders!G$13:G$101)) + VLOOKUP($H402,Adders!$B$5:$G$8,L$11,FALSE)  +  PA!$D$2 ) * IF($D402="NJ",1.07,1))/$L$10, CHOOSE($M$10,$L$9,$M$9) )</f>
        <v xml:space="preserve"> 81.35 </v>
      </c>
      <c r="J402" s="173" t="str">
        <f>TEXT(   (SUMPRODUCT( ((Main!$H$9:$H$1000)=$E402)*((Main!$J$9:$J$1000)=$F402)*((Main!$O$9:$O$1000)=$C402)*(Main!S$9:S$1000) ) +  ( SUMPRODUCT( ((Adders!$D$13:$D$101)=$E402)*((Adders!$E$13:$E$101)=$F402)*(Adders!H$13:H$101)) + VLOOKUP($H402,Adders!$B$5:$G$8,M$11,FALSE)  +  PA!$D$2 ) * IF($D402="NJ",1.07,1))/$L$10, CHOOSE($M$10,$L$9,$M$9) )</f>
        <v xml:space="preserve"> 80.82 </v>
      </c>
      <c r="K402" s="174" t="str">
        <f>TEXT(   (SUMPRODUCT( ((Main!$H$9:$H$1000)=$E402)*((Main!$J$9:$J$1000)=$F402)*((Main!$O$9:$O$1000)=$C402)*(Main!T$9:T$1000) ) +  ( SUMPRODUCT( ((Adders!$D$13:$D$101)=$E402)*((Adders!$E$13:$E$101)=$F402)*(Adders!I$13:I$101)) + VLOOKUP($H402,Adders!$B$5:$G$8,N$11,FALSE)  +  PA!$D$2 ) * IF($D402="NJ",1.07,1))/$L$10, CHOOSE($M$10,$L$9,$M$9) )</f>
        <v xml:space="preserve"> 81.35 </v>
      </c>
      <c r="L402" s="173" t="str">
        <f>IF(AND($D$11="IL",$E402="AMEREN"),"NA",TEXT((SUMPRODUCT(((LMPMain!$H$9:$H$1000)=$E402)*((LMPMain!$J$9:$J$1000)=$F402)*((LMPMain!$O$9:$O$1000)=$C402)*(LMPMain!R$9:R$1000))+(SUMPRODUCT(((Adders!$D$13:$D$101)=$E402)*((Adders!$E$13:$E$101)=$F402)*(Adders!G$13:G$101))+VLOOKUP($H402,Adders!$B$5:$G$8,L$11,FALSE)+Matrix!$D$2)*IF($D402="NJ",1.07,1))/$L$10,CHOOSE($M$10,$L$9,$M$9)))</f>
        <v xml:space="preserve"> 38.24 </v>
      </c>
      <c r="M402" s="173" t="str">
        <f>IF(AND($D$11="IL",$E402="AMEREN"),"NA",TEXT((SUMPRODUCT(((LMPMain!$H$9:$H$1000)=$E402)*((LMPMain!$J$9:$J$1000)=$F402)*((LMPMain!$O$9:$O$1000)=$C402)*(LMPMain!S$9:S$1000))+(SUMPRODUCT(((Adders!$D$13:$D$101)=$E402)*((Adders!$E$13:$E$101)=$F402)*(Adders!H$13:H$101))+VLOOKUP($H402,Adders!$B$5:$G$8,M$11,FALSE)+Matrix!$D$2)*IF($D402="NJ",1.07,1))/$L$10,CHOOSE($M$10,$L$9,$M$9)))</f>
        <v xml:space="preserve"> 37.85 </v>
      </c>
      <c r="N402" s="174" t="str">
        <f>IF(AND($D$11="IL",$E402="AMEREN"),"NA",TEXT((SUMPRODUCT(((LMPMain!$H$9:$H$1000)=$E402)*((LMPMain!$J$9:$J$1000)=$F402)*((LMPMain!$O$9:$O$1000)=$C402)*(LMPMain!T$9:T$1000))+(SUMPRODUCT(((Adders!$D$13:$D$101)=$E402)*((Adders!$E$13:$E$101)=$F402)*(Adders!G$13:G$101))+VLOOKUP($H402,Adders!$B$5:$G$8,N$11,FALSE)+Matrix!$D$2)*IF($D402="NJ",1.07,1))/$L$10,CHOOSE($M$10,$L$9,$M$9)))</f>
        <v xml:space="preserve"> 37.83 </v>
      </c>
      <c r="O402" s="112"/>
    </row>
    <row r="403" spans="2:15" x14ac:dyDescent="0.25">
      <c r="B403" s="160" t="s">
        <v>674</v>
      </c>
      <c r="C403" s="135">
        <f t="shared" si="11"/>
        <v>42430</v>
      </c>
      <c r="D403" s="136" t="s">
        <v>6</v>
      </c>
      <c r="E403" s="137" t="s">
        <v>14</v>
      </c>
      <c r="F403" s="136" t="s">
        <v>16</v>
      </c>
      <c r="G403" s="137" t="str">
        <f t="shared" si="12"/>
        <v>General Service Large</v>
      </c>
      <c r="H403" s="138" t="s">
        <v>690</v>
      </c>
      <c r="I403" s="176" t="str">
        <f>TEXT(   (SUMPRODUCT( ((Main!$H$9:$H$1000)=$E403)*((Main!$J$9:$J$1000)=$F403)*((Main!$O$9:$O$1000)=$C403)*(Main!R$9:R$1000) ) +  ( SUMPRODUCT( ((Adders!$D$13:$D$101)=$E403)*((Adders!$E$13:$E$101)=$F403)*(Adders!G$13:G$101)) + VLOOKUP($H403,Adders!$B$5:$G$8,L$11,FALSE)  +  PA!$D$2 ) * IF($D403="NJ",1.07,1))/$L$10, CHOOSE($M$10,$L$9,$M$9) )</f>
        <v xml:space="preserve"> 80.30 </v>
      </c>
      <c r="J403" s="176" t="str">
        <f>TEXT(   (SUMPRODUCT( ((Main!$H$9:$H$1000)=$E403)*((Main!$J$9:$J$1000)=$F403)*((Main!$O$9:$O$1000)=$C403)*(Main!S$9:S$1000) ) +  ( SUMPRODUCT( ((Adders!$D$13:$D$101)=$E403)*((Adders!$E$13:$E$101)=$F403)*(Adders!H$13:H$101)) + VLOOKUP($H403,Adders!$B$5:$G$8,M$11,FALSE)  +  PA!$D$2 ) * IF($D403="NJ",1.07,1))/$L$10, CHOOSE($M$10,$L$9,$M$9) )</f>
        <v xml:space="preserve"> 79.77 </v>
      </c>
      <c r="K403" s="177" t="str">
        <f>TEXT(   (SUMPRODUCT( ((Main!$H$9:$H$1000)=$E403)*((Main!$J$9:$J$1000)=$F403)*((Main!$O$9:$O$1000)=$C403)*(Main!T$9:T$1000) ) +  ( SUMPRODUCT( ((Adders!$D$13:$D$101)=$E403)*((Adders!$E$13:$E$101)=$F403)*(Adders!I$13:I$101)) + VLOOKUP($H403,Adders!$B$5:$G$8,N$11,FALSE)  +  PA!$D$2 ) * IF($D403="NJ",1.07,1))/$L$10, CHOOSE($M$10,$L$9,$M$9) )</f>
        <v xml:space="preserve"> 80.30 </v>
      </c>
      <c r="L403" s="176" t="str">
        <f>IF(AND($D$11="IL",$E403="AMEREN"),"NA",TEXT((SUMPRODUCT(((LMPMain!$H$9:$H$1000)=$E403)*((LMPMain!$J$9:$J$1000)=$F403)*((LMPMain!$O$9:$O$1000)=$C403)*(LMPMain!R$9:R$1000))+(SUMPRODUCT(((Adders!$D$13:$D$101)=$E403)*((Adders!$E$13:$E$101)=$F403)*(Adders!G$13:G$101))+VLOOKUP($H403,Adders!$B$5:$G$8,L$11,FALSE)+Matrix!$D$2)*IF($D403="NJ",1.07,1))/$L$10,CHOOSE($M$10,$L$9,$M$9)))</f>
        <v xml:space="preserve"> 37.19 </v>
      </c>
      <c r="M403" s="176" t="str">
        <f>IF(AND($D$11="IL",$E403="AMEREN"),"NA",TEXT((SUMPRODUCT(((LMPMain!$H$9:$H$1000)=$E403)*((LMPMain!$J$9:$J$1000)=$F403)*((LMPMain!$O$9:$O$1000)=$C403)*(LMPMain!S$9:S$1000))+(SUMPRODUCT(((Adders!$D$13:$D$101)=$E403)*((Adders!$E$13:$E$101)=$F403)*(Adders!H$13:H$101))+VLOOKUP($H403,Adders!$B$5:$G$8,M$11,FALSE)+Matrix!$D$2)*IF($D403="NJ",1.07,1))/$L$10,CHOOSE($M$10,$L$9,$M$9)))</f>
        <v xml:space="preserve"> 36.80 </v>
      </c>
      <c r="N403" s="177" t="str">
        <f>IF(AND($D$11="IL",$E403="AMEREN"),"NA",TEXT((SUMPRODUCT(((LMPMain!$H$9:$H$1000)=$E403)*((LMPMain!$J$9:$J$1000)=$F403)*((LMPMain!$O$9:$O$1000)=$C403)*(LMPMain!T$9:T$1000))+(SUMPRODUCT(((Adders!$D$13:$D$101)=$E403)*((Adders!$E$13:$E$101)=$F403)*(Adders!G$13:G$101))+VLOOKUP($H403,Adders!$B$5:$G$8,N$11,FALSE)+Matrix!$D$2)*IF($D403="NJ",1.07,1))/$L$10,CHOOSE($M$10,$L$9,$M$9)))</f>
        <v xml:space="preserve"> 36.78 </v>
      </c>
      <c r="O403" s="112"/>
    </row>
    <row r="404" spans="2:15" x14ac:dyDescent="0.25">
      <c r="B404" s="160" t="s">
        <v>674</v>
      </c>
      <c r="C404" s="127">
        <f t="shared" si="11"/>
        <v>42461</v>
      </c>
      <c r="D404" s="128" t="s">
        <v>6</v>
      </c>
      <c r="E404" s="129" t="s">
        <v>14</v>
      </c>
      <c r="F404" s="128" t="s">
        <v>16</v>
      </c>
      <c r="G404" s="129" t="str">
        <f t="shared" si="12"/>
        <v>General Service Large</v>
      </c>
      <c r="H404" s="130" t="s">
        <v>61</v>
      </c>
      <c r="I404" s="178" t="str">
        <f>TEXT(   (SUMPRODUCT( ((Main!$H$9:$H$1000)=$E404)*((Main!$J$9:$J$1000)=$F404)*((Main!$O$9:$O$1000)=$C404)*(Main!R$9:R$1000) ) +  ( SUMPRODUCT( ((Adders!$D$13:$D$101)=$E404)*((Adders!$E$13:$E$101)=$F404)*(Adders!G$13:G$101)) + VLOOKUP($H404,Adders!$B$5:$G$8,L$11,FALSE)  +  PA!$D$2 ) * IF($D404="NJ",1.07,1))/$L$10, CHOOSE($M$10,$L$9,$M$9) )</f>
        <v xml:space="preserve"> 82.54 </v>
      </c>
      <c r="J404" s="178" t="str">
        <f>TEXT(   (SUMPRODUCT( ((Main!$H$9:$H$1000)=$E404)*((Main!$J$9:$J$1000)=$F404)*((Main!$O$9:$O$1000)=$C404)*(Main!S$9:S$1000) ) +  ( SUMPRODUCT( ((Adders!$D$13:$D$101)=$E404)*((Adders!$E$13:$E$101)=$F404)*(Adders!H$13:H$101)) + VLOOKUP($H404,Adders!$B$5:$G$8,M$11,FALSE)  +  PA!$D$2 ) * IF($D404="NJ",1.07,1))/$L$10, CHOOSE($M$10,$L$9,$M$9) )</f>
        <v xml:space="preserve"> 81.82 </v>
      </c>
      <c r="K404" s="179" t="str">
        <f>TEXT(   (SUMPRODUCT( ((Main!$H$9:$H$1000)=$E404)*((Main!$J$9:$J$1000)=$F404)*((Main!$O$9:$O$1000)=$C404)*(Main!T$9:T$1000) ) +  ( SUMPRODUCT( ((Adders!$D$13:$D$101)=$E404)*((Adders!$E$13:$E$101)=$F404)*(Adders!I$13:I$101)) + VLOOKUP($H404,Adders!$B$5:$G$8,N$11,FALSE)  +  PA!$D$2 ) * IF($D404="NJ",1.07,1))/$L$10, CHOOSE($M$10,$L$9,$M$9) )</f>
        <v xml:space="preserve"> 82.66 </v>
      </c>
      <c r="L404" s="178" t="str">
        <f>IF(AND($D$11="IL",$E404="AMEREN"),"NA",TEXT((SUMPRODUCT(((LMPMain!$H$9:$H$1000)=$E404)*((LMPMain!$J$9:$J$1000)=$F404)*((LMPMain!$O$9:$O$1000)=$C404)*(LMPMain!R$9:R$1000))+(SUMPRODUCT(((Adders!$D$13:$D$101)=$E404)*((Adders!$E$13:$E$101)=$F404)*(Adders!G$13:G$101))+VLOOKUP($H404,Adders!$B$5:$G$8,L$11,FALSE)+Matrix!$D$2)*IF($D404="NJ",1.07,1))/$L$10,CHOOSE($M$10,$L$9,$M$9)))</f>
        <v xml:space="preserve"> 39.48 </v>
      </c>
      <c r="M404" s="178" t="str">
        <f>IF(AND($D$11="IL",$E404="AMEREN"),"NA",TEXT((SUMPRODUCT(((LMPMain!$H$9:$H$1000)=$E404)*((LMPMain!$J$9:$J$1000)=$F404)*((LMPMain!$O$9:$O$1000)=$C404)*(LMPMain!S$9:S$1000))+(SUMPRODUCT(((Adders!$D$13:$D$101)=$E404)*((Adders!$E$13:$E$101)=$F404)*(Adders!H$13:H$101))+VLOOKUP($H404,Adders!$B$5:$G$8,M$11,FALSE)+Matrix!$D$2)*IF($D404="NJ",1.07,1))/$L$10,CHOOSE($M$10,$L$9,$M$9)))</f>
        <v xml:space="preserve"> 39.14 </v>
      </c>
      <c r="N404" s="179" t="str">
        <f>IF(AND($D$11="IL",$E404="AMEREN"),"NA",TEXT((SUMPRODUCT(((LMPMain!$H$9:$H$1000)=$E404)*((LMPMain!$J$9:$J$1000)=$F404)*((LMPMain!$O$9:$O$1000)=$C404)*(LMPMain!T$9:T$1000))+(SUMPRODUCT(((Adders!$D$13:$D$101)=$E404)*((Adders!$E$13:$E$101)=$F404)*(Adders!G$13:G$101))+VLOOKUP($H404,Adders!$B$5:$G$8,N$11,FALSE)+Matrix!$D$2)*IF($D404="NJ",1.07,1))/$L$10,CHOOSE($M$10,$L$9,$M$9)))</f>
        <v xml:space="preserve"> 39.27 </v>
      </c>
      <c r="O404" s="112"/>
    </row>
    <row r="405" spans="2:15" x14ac:dyDescent="0.25">
      <c r="B405" s="160" t="s">
        <v>674</v>
      </c>
      <c r="C405" s="131">
        <f t="shared" si="11"/>
        <v>42461</v>
      </c>
      <c r="D405" s="132" t="s">
        <v>6</v>
      </c>
      <c r="E405" s="133" t="s">
        <v>14</v>
      </c>
      <c r="F405" s="132" t="s">
        <v>16</v>
      </c>
      <c r="G405" s="133" t="str">
        <f t="shared" si="12"/>
        <v>General Service Large</v>
      </c>
      <c r="H405" s="134" t="s">
        <v>62</v>
      </c>
      <c r="I405" s="173" t="str">
        <f>TEXT(   (SUMPRODUCT( ((Main!$H$9:$H$1000)=$E405)*((Main!$J$9:$J$1000)=$F405)*((Main!$O$9:$O$1000)=$C405)*(Main!R$9:R$1000) ) +  ( SUMPRODUCT( ((Adders!$D$13:$D$101)=$E405)*((Adders!$E$13:$E$101)=$F405)*(Adders!G$13:G$101)) + VLOOKUP($H405,Adders!$B$5:$G$8,L$11,FALSE)  +  PA!$D$2 ) * IF($D405="NJ",1.07,1))/$L$10, CHOOSE($M$10,$L$9,$M$9) )</f>
        <v xml:space="preserve"> 80.94 </v>
      </c>
      <c r="J405" s="173" t="str">
        <f>TEXT(   (SUMPRODUCT( ((Main!$H$9:$H$1000)=$E405)*((Main!$J$9:$J$1000)=$F405)*((Main!$O$9:$O$1000)=$C405)*(Main!S$9:S$1000) ) +  ( SUMPRODUCT( ((Adders!$D$13:$D$101)=$E405)*((Adders!$E$13:$E$101)=$F405)*(Adders!H$13:H$101)) + VLOOKUP($H405,Adders!$B$5:$G$8,M$11,FALSE)  +  PA!$D$2 ) * IF($D405="NJ",1.07,1))/$L$10, CHOOSE($M$10,$L$9,$M$9) )</f>
        <v xml:space="preserve"> 80.22 </v>
      </c>
      <c r="K405" s="174" t="str">
        <f>TEXT(   (SUMPRODUCT( ((Main!$H$9:$H$1000)=$E405)*((Main!$J$9:$J$1000)=$F405)*((Main!$O$9:$O$1000)=$C405)*(Main!T$9:T$1000) ) +  ( SUMPRODUCT( ((Adders!$D$13:$D$101)=$E405)*((Adders!$E$13:$E$101)=$F405)*(Adders!I$13:I$101)) + VLOOKUP($H405,Adders!$B$5:$G$8,N$11,FALSE)  +  PA!$D$2 ) * IF($D405="NJ",1.07,1))/$L$10, CHOOSE($M$10,$L$9,$M$9) )</f>
        <v xml:space="preserve"> 81.06 </v>
      </c>
      <c r="L405" s="173" t="str">
        <f>IF(AND($D$11="IL",$E405="AMEREN"),"NA",TEXT((SUMPRODUCT(((LMPMain!$H$9:$H$1000)=$E405)*((LMPMain!$J$9:$J$1000)=$F405)*((LMPMain!$O$9:$O$1000)=$C405)*(LMPMain!R$9:R$1000))+(SUMPRODUCT(((Adders!$D$13:$D$101)=$E405)*((Adders!$E$13:$E$101)=$F405)*(Adders!G$13:G$101))+VLOOKUP($H405,Adders!$B$5:$G$8,L$11,FALSE)+Matrix!$D$2)*IF($D405="NJ",1.07,1))/$L$10,CHOOSE($M$10,$L$9,$M$9)))</f>
        <v xml:space="preserve"> 37.88 </v>
      </c>
      <c r="M405" s="173" t="str">
        <f>IF(AND($D$11="IL",$E405="AMEREN"),"NA",TEXT((SUMPRODUCT(((LMPMain!$H$9:$H$1000)=$E405)*((LMPMain!$J$9:$J$1000)=$F405)*((LMPMain!$O$9:$O$1000)=$C405)*(LMPMain!S$9:S$1000))+(SUMPRODUCT(((Adders!$D$13:$D$101)=$E405)*((Adders!$E$13:$E$101)=$F405)*(Adders!H$13:H$101))+VLOOKUP($H405,Adders!$B$5:$G$8,M$11,FALSE)+Matrix!$D$2)*IF($D405="NJ",1.07,1))/$L$10,CHOOSE($M$10,$L$9,$M$9)))</f>
        <v xml:space="preserve"> 37.54 </v>
      </c>
      <c r="N405" s="174" t="str">
        <f>IF(AND($D$11="IL",$E405="AMEREN"),"NA",TEXT((SUMPRODUCT(((LMPMain!$H$9:$H$1000)=$E405)*((LMPMain!$J$9:$J$1000)=$F405)*((LMPMain!$O$9:$O$1000)=$C405)*(LMPMain!T$9:T$1000))+(SUMPRODUCT(((Adders!$D$13:$D$101)=$E405)*((Adders!$E$13:$E$101)=$F405)*(Adders!G$13:G$101))+VLOOKUP($H405,Adders!$B$5:$G$8,N$11,FALSE)+Matrix!$D$2)*IF($D405="NJ",1.07,1))/$L$10,CHOOSE($M$10,$L$9,$M$9)))</f>
        <v xml:space="preserve"> 37.67 </v>
      </c>
      <c r="O405" s="112"/>
    </row>
    <row r="406" spans="2:15" x14ac:dyDescent="0.25">
      <c r="B406" s="160" t="s">
        <v>674</v>
      </c>
      <c r="C406" s="135">
        <f t="shared" si="11"/>
        <v>42461</v>
      </c>
      <c r="D406" s="136" t="s">
        <v>6</v>
      </c>
      <c r="E406" s="137" t="s">
        <v>14</v>
      </c>
      <c r="F406" s="136" t="s">
        <v>16</v>
      </c>
      <c r="G406" s="137" t="str">
        <f t="shared" si="12"/>
        <v>General Service Large</v>
      </c>
      <c r="H406" s="138" t="s">
        <v>690</v>
      </c>
      <c r="I406" s="176" t="str">
        <f>TEXT(   (SUMPRODUCT( ((Main!$H$9:$H$1000)=$E406)*((Main!$J$9:$J$1000)=$F406)*((Main!$O$9:$O$1000)=$C406)*(Main!R$9:R$1000) ) +  ( SUMPRODUCT( ((Adders!$D$13:$D$101)=$E406)*((Adders!$E$13:$E$101)=$F406)*(Adders!G$13:G$101)) + VLOOKUP($H406,Adders!$B$5:$G$8,L$11,FALSE)  +  PA!$D$2 ) * IF($D406="NJ",1.07,1))/$L$10, CHOOSE($M$10,$L$9,$M$9) )</f>
        <v xml:space="preserve"> 79.89 </v>
      </c>
      <c r="J406" s="176" t="str">
        <f>TEXT(   (SUMPRODUCT( ((Main!$H$9:$H$1000)=$E406)*((Main!$J$9:$J$1000)=$F406)*((Main!$O$9:$O$1000)=$C406)*(Main!S$9:S$1000) ) +  ( SUMPRODUCT( ((Adders!$D$13:$D$101)=$E406)*((Adders!$E$13:$E$101)=$F406)*(Adders!H$13:H$101)) + VLOOKUP($H406,Adders!$B$5:$G$8,M$11,FALSE)  +  PA!$D$2 ) * IF($D406="NJ",1.07,1))/$L$10, CHOOSE($M$10,$L$9,$M$9) )</f>
        <v xml:space="preserve"> 79.17 </v>
      </c>
      <c r="K406" s="177" t="str">
        <f>TEXT(   (SUMPRODUCT( ((Main!$H$9:$H$1000)=$E406)*((Main!$J$9:$J$1000)=$F406)*((Main!$O$9:$O$1000)=$C406)*(Main!T$9:T$1000) ) +  ( SUMPRODUCT( ((Adders!$D$13:$D$101)=$E406)*((Adders!$E$13:$E$101)=$F406)*(Adders!I$13:I$101)) + VLOOKUP($H406,Adders!$B$5:$G$8,N$11,FALSE)  +  PA!$D$2 ) * IF($D406="NJ",1.07,1))/$L$10, CHOOSE($M$10,$L$9,$M$9) )</f>
        <v xml:space="preserve"> 80.01 </v>
      </c>
      <c r="L406" s="176" t="str">
        <f>IF(AND($D$11="IL",$E406="AMEREN"),"NA",TEXT((SUMPRODUCT(((LMPMain!$H$9:$H$1000)=$E406)*((LMPMain!$J$9:$J$1000)=$F406)*((LMPMain!$O$9:$O$1000)=$C406)*(LMPMain!R$9:R$1000))+(SUMPRODUCT(((Adders!$D$13:$D$101)=$E406)*((Adders!$E$13:$E$101)=$F406)*(Adders!G$13:G$101))+VLOOKUP($H406,Adders!$B$5:$G$8,L$11,FALSE)+Matrix!$D$2)*IF($D406="NJ",1.07,1))/$L$10,CHOOSE($M$10,$L$9,$M$9)))</f>
        <v xml:space="preserve"> 36.83 </v>
      </c>
      <c r="M406" s="176" t="str">
        <f>IF(AND($D$11="IL",$E406="AMEREN"),"NA",TEXT((SUMPRODUCT(((LMPMain!$H$9:$H$1000)=$E406)*((LMPMain!$J$9:$J$1000)=$F406)*((LMPMain!$O$9:$O$1000)=$C406)*(LMPMain!S$9:S$1000))+(SUMPRODUCT(((Adders!$D$13:$D$101)=$E406)*((Adders!$E$13:$E$101)=$F406)*(Adders!H$13:H$101))+VLOOKUP($H406,Adders!$B$5:$G$8,M$11,FALSE)+Matrix!$D$2)*IF($D406="NJ",1.07,1))/$L$10,CHOOSE($M$10,$L$9,$M$9)))</f>
        <v xml:space="preserve"> 36.49 </v>
      </c>
      <c r="N406" s="177" t="str">
        <f>IF(AND($D$11="IL",$E406="AMEREN"),"NA",TEXT((SUMPRODUCT(((LMPMain!$H$9:$H$1000)=$E406)*((LMPMain!$J$9:$J$1000)=$F406)*((LMPMain!$O$9:$O$1000)=$C406)*(LMPMain!T$9:T$1000))+(SUMPRODUCT(((Adders!$D$13:$D$101)=$E406)*((Adders!$E$13:$E$101)=$F406)*(Adders!G$13:G$101))+VLOOKUP($H406,Adders!$B$5:$G$8,N$11,FALSE)+Matrix!$D$2)*IF($D406="NJ",1.07,1))/$L$10,CHOOSE($M$10,$L$9,$M$9)))</f>
        <v xml:space="preserve"> 36.62 </v>
      </c>
      <c r="O406" s="112"/>
    </row>
    <row r="407" spans="2:15" x14ac:dyDescent="0.25">
      <c r="B407" s="160" t="s">
        <v>674</v>
      </c>
      <c r="C407" s="127">
        <f t="shared" si="11"/>
        <v>42491</v>
      </c>
      <c r="D407" s="128" t="s">
        <v>6</v>
      </c>
      <c r="E407" s="129" t="s">
        <v>14</v>
      </c>
      <c r="F407" s="128" t="s">
        <v>16</v>
      </c>
      <c r="G407" s="129" t="str">
        <f t="shared" si="12"/>
        <v>General Service Large</v>
      </c>
      <c r="H407" s="130" t="s">
        <v>61</v>
      </c>
      <c r="I407" s="178" t="str">
        <f>TEXT(   (SUMPRODUCT( ((Main!$H$9:$H$1000)=$E407)*((Main!$J$9:$J$1000)=$F407)*((Main!$O$9:$O$1000)=$C407)*(Main!R$9:R$1000) ) +  ( SUMPRODUCT( ((Adders!$D$13:$D$101)=$E407)*((Adders!$E$13:$E$101)=$F407)*(Adders!G$13:G$101)) + VLOOKUP($H407,Adders!$B$5:$G$8,L$11,FALSE)  +  PA!$D$2 ) * IF($D407="NJ",1.07,1))/$L$10, CHOOSE($M$10,$L$9,$M$9) )</f>
        <v xml:space="preserve"> 82.08 </v>
      </c>
      <c r="J407" s="178" t="str">
        <f>TEXT(   (SUMPRODUCT( ((Main!$H$9:$H$1000)=$E407)*((Main!$J$9:$J$1000)=$F407)*((Main!$O$9:$O$1000)=$C407)*(Main!S$9:S$1000) ) +  ( SUMPRODUCT( ((Adders!$D$13:$D$101)=$E407)*((Adders!$E$13:$E$101)=$F407)*(Adders!H$13:H$101)) + VLOOKUP($H407,Adders!$B$5:$G$8,M$11,FALSE)  +  PA!$D$2 ) * IF($D407="NJ",1.07,1))/$L$10, CHOOSE($M$10,$L$9,$M$9) )</f>
        <v xml:space="preserve"> 81.49 </v>
      </c>
      <c r="K407" s="179" t="str">
        <f>TEXT(   (SUMPRODUCT( ((Main!$H$9:$H$1000)=$E407)*((Main!$J$9:$J$1000)=$F407)*((Main!$O$9:$O$1000)=$C407)*(Main!T$9:T$1000) ) +  ( SUMPRODUCT( ((Adders!$D$13:$D$101)=$E407)*((Adders!$E$13:$E$101)=$F407)*(Adders!I$13:I$101)) + VLOOKUP($H407,Adders!$B$5:$G$8,N$11,FALSE)  +  PA!$D$2 ) * IF($D407="NJ",1.07,1))/$L$10, CHOOSE($M$10,$L$9,$M$9) )</f>
        <v xml:space="preserve"> 82.42 </v>
      </c>
      <c r="L407" s="178" t="str">
        <f>IF(AND($D$11="IL",$E407="AMEREN"),"NA",TEXT((SUMPRODUCT(((LMPMain!$H$9:$H$1000)=$E407)*((LMPMain!$J$9:$J$1000)=$F407)*((LMPMain!$O$9:$O$1000)=$C407)*(LMPMain!R$9:R$1000))+(SUMPRODUCT(((Adders!$D$13:$D$101)=$E407)*((Adders!$E$13:$E$101)=$F407)*(Adders!G$13:G$101))+VLOOKUP($H407,Adders!$B$5:$G$8,L$11,FALSE)+Matrix!$D$2)*IF($D407="NJ",1.07,1))/$L$10,CHOOSE($M$10,$L$9,$M$9)))</f>
        <v xml:space="preserve"> 39.14 </v>
      </c>
      <c r="M407" s="178" t="str">
        <f>IF(AND($D$11="IL",$E407="AMEREN"),"NA",TEXT((SUMPRODUCT(((LMPMain!$H$9:$H$1000)=$E407)*((LMPMain!$J$9:$J$1000)=$F407)*((LMPMain!$O$9:$O$1000)=$C407)*(LMPMain!S$9:S$1000))+(SUMPRODUCT(((Adders!$D$13:$D$101)=$E407)*((Adders!$E$13:$E$101)=$F407)*(Adders!H$13:H$101))+VLOOKUP($H407,Adders!$B$5:$G$8,M$11,FALSE)+Matrix!$D$2)*IF($D407="NJ",1.07,1))/$L$10,CHOOSE($M$10,$L$9,$M$9)))</f>
        <v xml:space="preserve"> 38.91 </v>
      </c>
      <c r="N407" s="179" t="str">
        <f>IF(AND($D$11="IL",$E407="AMEREN"),"NA",TEXT((SUMPRODUCT(((LMPMain!$H$9:$H$1000)=$E407)*((LMPMain!$J$9:$J$1000)=$F407)*((LMPMain!$O$9:$O$1000)=$C407)*(LMPMain!T$9:T$1000))+(SUMPRODUCT(((Adders!$D$13:$D$101)=$E407)*((Adders!$E$13:$E$101)=$F407)*(Adders!G$13:G$101))+VLOOKUP($H407,Adders!$B$5:$G$8,N$11,FALSE)+Matrix!$D$2)*IF($D407="NJ",1.07,1))/$L$10,CHOOSE($M$10,$L$9,$M$9)))</f>
        <v xml:space="preserve"> 39.10 </v>
      </c>
      <c r="O407" s="112"/>
    </row>
    <row r="408" spans="2:15" x14ac:dyDescent="0.25">
      <c r="B408" s="160" t="s">
        <v>674</v>
      </c>
      <c r="C408" s="131">
        <f t="shared" si="11"/>
        <v>42491</v>
      </c>
      <c r="D408" s="132" t="s">
        <v>6</v>
      </c>
      <c r="E408" s="133" t="s">
        <v>14</v>
      </c>
      <c r="F408" s="132" t="s">
        <v>16</v>
      </c>
      <c r="G408" s="133" t="str">
        <f t="shared" si="12"/>
        <v>General Service Large</v>
      </c>
      <c r="H408" s="134" t="s">
        <v>62</v>
      </c>
      <c r="I408" s="173" t="str">
        <f>TEXT(   (SUMPRODUCT( ((Main!$H$9:$H$1000)=$E408)*((Main!$J$9:$J$1000)=$F408)*((Main!$O$9:$O$1000)=$C408)*(Main!R$9:R$1000) ) +  ( SUMPRODUCT( ((Adders!$D$13:$D$101)=$E408)*((Adders!$E$13:$E$101)=$F408)*(Adders!G$13:G$101)) + VLOOKUP($H408,Adders!$B$5:$G$8,L$11,FALSE)  +  PA!$D$2 ) * IF($D408="NJ",1.07,1))/$L$10, CHOOSE($M$10,$L$9,$M$9) )</f>
        <v xml:space="preserve"> 80.48 </v>
      </c>
      <c r="J408" s="173" t="str">
        <f>TEXT(   (SUMPRODUCT( ((Main!$H$9:$H$1000)=$E408)*((Main!$J$9:$J$1000)=$F408)*((Main!$O$9:$O$1000)=$C408)*(Main!S$9:S$1000) ) +  ( SUMPRODUCT( ((Adders!$D$13:$D$101)=$E408)*((Adders!$E$13:$E$101)=$F408)*(Adders!H$13:H$101)) + VLOOKUP($H408,Adders!$B$5:$G$8,M$11,FALSE)  +  PA!$D$2 ) * IF($D408="NJ",1.07,1))/$L$10, CHOOSE($M$10,$L$9,$M$9) )</f>
        <v xml:space="preserve"> 79.89 </v>
      </c>
      <c r="K408" s="174" t="str">
        <f>TEXT(   (SUMPRODUCT( ((Main!$H$9:$H$1000)=$E408)*((Main!$J$9:$J$1000)=$F408)*((Main!$O$9:$O$1000)=$C408)*(Main!T$9:T$1000) ) +  ( SUMPRODUCT( ((Adders!$D$13:$D$101)=$E408)*((Adders!$E$13:$E$101)=$F408)*(Adders!I$13:I$101)) + VLOOKUP($H408,Adders!$B$5:$G$8,N$11,FALSE)  +  PA!$D$2 ) * IF($D408="NJ",1.07,1))/$L$10, CHOOSE($M$10,$L$9,$M$9) )</f>
        <v xml:space="preserve"> 80.82 </v>
      </c>
      <c r="L408" s="173" t="str">
        <f>IF(AND($D$11="IL",$E408="AMEREN"),"NA",TEXT((SUMPRODUCT(((LMPMain!$H$9:$H$1000)=$E408)*((LMPMain!$J$9:$J$1000)=$F408)*((LMPMain!$O$9:$O$1000)=$C408)*(LMPMain!R$9:R$1000))+(SUMPRODUCT(((Adders!$D$13:$D$101)=$E408)*((Adders!$E$13:$E$101)=$F408)*(Adders!G$13:G$101))+VLOOKUP($H408,Adders!$B$5:$G$8,L$11,FALSE)+Matrix!$D$2)*IF($D408="NJ",1.07,1))/$L$10,CHOOSE($M$10,$L$9,$M$9)))</f>
        <v xml:space="preserve"> 37.54 </v>
      </c>
      <c r="M408" s="173" t="str">
        <f>IF(AND($D$11="IL",$E408="AMEREN"),"NA",TEXT((SUMPRODUCT(((LMPMain!$H$9:$H$1000)=$E408)*((LMPMain!$J$9:$J$1000)=$F408)*((LMPMain!$O$9:$O$1000)=$C408)*(LMPMain!S$9:S$1000))+(SUMPRODUCT(((Adders!$D$13:$D$101)=$E408)*((Adders!$E$13:$E$101)=$F408)*(Adders!H$13:H$101))+VLOOKUP($H408,Adders!$B$5:$G$8,M$11,FALSE)+Matrix!$D$2)*IF($D408="NJ",1.07,1))/$L$10,CHOOSE($M$10,$L$9,$M$9)))</f>
        <v xml:space="preserve"> 37.31 </v>
      </c>
      <c r="N408" s="174" t="str">
        <f>IF(AND($D$11="IL",$E408="AMEREN"),"NA",TEXT((SUMPRODUCT(((LMPMain!$H$9:$H$1000)=$E408)*((LMPMain!$J$9:$J$1000)=$F408)*((LMPMain!$O$9:$O$1000)=$C408)*(LMPMain!T$9:T$1000))+(SUMPRODUCT(((Adders!$D$13:$D$101)=$E408)*((Adders!$E$13:$E$101)=$F408)*(Adders!G$13:G$101))+VLOOKUP($H408,Adders!$B$5:$G$8,N$11,FALSE)+Matrix!$D$2)*IF($D408="NJ",1.07,1))/$L$10,CHOOSE($M$10,$L$9,$M$9)))</f>
        <v xml:space="preserve"> 37.50 </v>
      </c>
      <c r="O408" s="112"/>
    </row>
    <row r="409" spans="2:15" x14ac:dyDescent="0.25">
      <c r="B409" s="160" t="s">
        <v>674</v>
      </c>
      <c r="C409" s="135">
        <f t="shared" si="11"/>
        <v>42491</v>
      </c>
      <c r="D409" s="136" t="s">
        <v>6</v>
      </c>
      <c r="E409" s="137" t="s">
        <v>14</v>
      </c>
      <c r="F409" s="136" t="s">
        <v>16</v>
      </c>
      <c r="G409" s="137" t="str">
        <f t="shared" si="12"/>
        <v>General Service Large</v>
      </c>
      <c r="H409" s="138" t="s">
        <v>690</v>
      </c>
      <c r="I409" s="176" t="str">
        <f>TEXT(   (SUMPRODUCT( ((Main!$H$9:$H$1000)=$E409)*((Main!$J$9:$J$1000)=$F409)*((Main!$O$9:$O$1000)=$C409)*(Main!R$9:R$1000) ) +  ( SUMPRODUCT( ((Adders!$D$13:$D$101)=$E409)*((Adders!$E$13:$E$101)=$F409)*(Adders!G$13:G$101)) + VLOOKUP($H409,Adders!$B$5:$G$8,L$11,FALSE)  +  PA!$D$2 ) * IF($D409="NJ",1.07,1))/$L$10, CHOOSE($M$10,$L$9,$M$9) )</f>
        <v xml:space="preserve"> 79.43 </v>
      </c>
      <c r="J409" s="176" t="str">
        <f>TEXT(   (SUMPRODUCT( ((Main!$H$9:$H$1000)=$E409)*((Main!$J$9:$J$1000)=$F409)*((Main!$O$9:$O$1000)=$C409)*(Main!S$9:S$1000) ) +  ( SUMPRODUCT( ((Adders!$D$13:$D$101)=$E409)*((Adders!$E$13:$E$101)=$F409)*(Adders!H$13:H$101)) + VLOOKUP($H409,Adders!$B$5:$G$8,M$11,FALSE)  +  PA!$D$2 ) * IF($D409="NJ",1.07,1))/$L$10, CHOOSE($M$10,$L$9,$M$9) )</f>
        <v xml:space="preserve"> 78.84 </v>
      </c>
      <c r="K409" s="177" t="str">
        <f>TEXT(   (SUMPRODUCT( ((Main!$H$9:$H$1000)=$E409)*((Main!$J$9:$J$1000)=$F409)*((Main!$O$9:$O$1000)=$C409)*(Main!T$9:T$1000) ) +  ( SUMPRODUCT( ((Adders!$D$13:$D$101)=$E409)*((Adders!$E$13:$E$101)=$F409)*(Adders!I$13:I$101)) + VLOOKUP($H409,Adders!$B$5:$G$8,N$11,FALSE)  +  PA!$D$2 ) * IF($D409="NJ",1.07,1))/$L$10, CHOOSE($M$10,$L$9,$M$9) )</f>
        <v xml:space="preserve"> 79.77 </v>
      </c>
      <c r="L409" s="176" t="str">
        <f>IF(AND($D$11="IL",$E409="AMEREN"),"NA",TEXT((SUMPRODUCT(((LMPMain!$H$9:$H$1000)=$E409)*((LMPMain!$J$9:$J$1000)=$F409)*((LMPMain!$O$9:$O$1000)=$C409)*(LMPMain!R$9:R$1000))+(SUMPRODUCT(((Adders!$D$13:$D$101)=$E409)*((Adders!$E$13:$E$101)=$F409)*(Adders!G$13:G$101))+VLOOKUP($H409,Adders!$B$5:$G$8,L$11,FALSE)+Matrix!$D$2)*IF($D409="NJ",1.07,1))/$L$10,CHOOSE($M$10,$L$9,$M$9)))</f>
        <v xml:space="preserve"> 36.49 </v>
      </c>
      <c r="M409" s="176" t="str">
        <f>IF(AND($D$11="IL",$E409="AMEREN"),"NA",TEXT((SUMPRODUCT(((LMPMain!$H$9:$H$1000)=$E409)*((LMPMain!$J$9:$J$1000)=$F409)*((LMPMain!$O$9:$O$1000)=$C409)*(LMPMain!S$9:S$1000))+(SUMPRODUCT(((Adders!$D$13:$D$101)=$E409)*((Adders!$E$13:$E$101)=$F409)*(Adders!H$13:H$101))+VLOOKUP($H409,Adders!$B$5:$G$8,M$11,FALSE)+Matrix!$D$2)*IF($D409="NJ",1.07,1))/$L$10,CHOOSE($M$10,$L$9,$M$9)))</f>
        <v xml:space="preserve"> 36.26 </v>
      </c>
      <c r="N409" s="177" t="str">
        <f>IF(AND($D$11="IL",$E409="AMEREN"),"NA",TEXT((SUMPRODUCT(((LMPMain!$H$9:$H$1000)=$E409)*((LMPMain!$J$9:$J$1000)=$F409)*((LMPMain!$O$9:$O$1000)=$C409)*(LMPMain!T$9:T$1000))+(SUMPRODUCT(((Adders!$D$13:$D$101)=$E409)*((Adders!$E$13:$E$101)=$F409)*(Adders!G$13:G$101))+VLOOKUP($H409,Adders!$B$5:$G$8,N$11,FALSE)+Matrix!$D$2)*IF($D409="NJ",1.07,1))/$L$10,CHOOSE($M$10,$L$9,$M$9)))</f>
        <v xml:space="preserve"> 36.45 </v>
      </c>
      <c r="O409" s="112"/>
    </row>
    <row r="410" spans="2:15" x14ac:dyDescent="0.25">
      <c r="B410" s="160" t="s">
        <v>675</v>
      </c>
      <c r="C410" s="127">
        <f t="shared" si="11"/>
        <v>42156</v>
      </c>
      <c r="D410" s="128" t="s">
        <v>6</v>
      </c>
      <c r="E410" s="129" t="s">
        <v>17</v>
      </c>
      <c r="F410" s="128" t="s">
        <v>18</v>
      </c>
      <c r="G410" s="129" t="str">
        <f>VLOOKUP(SUMPRODUCT( ((LMPMain!$H$9:$H$1000)=$E410)*((LMPMain!$J$9:$J$1000)=$F410)*((LMPMain!$O$9:$O$1000)=$C410)*(LMPMain!A$9:A$1000)),LMPMain!$A$9:$K$1000,11,FALSE)</f>
        <v>General Service</v>
      </c>
      <c r="H410" s="130" t="s">
        <v>61</v>
      </c>
      <c r="I410" s="178" t="str">
        <f>TEXT(   (SUMPRODUCT( ((Main!$H$9:$H$1000)=$E410)*((Main!$J$9:$J$1000)=$F410)*((Main!$O$9:$O$1000)=$C410)*(Main!R$9:R$1000) ) +  ( SUMPRODUCT( ((Adders!$D$13:$D$101)=$E410)*((Adders!$E$13:$E$101)=$F410)*(Adders!G$13:G$101)) + VLOOKUP($H410,Adders!$B$5:$G$8,L$11,FALSE)  +  PA!$D$2 ) * IF($D410="NJ",1.07,1))/$L$10, CHOOSE($M$10,$L$9,$M$9) )</f>
        <v xml:space="preserve"> 72.65 </v>
      </c>
      <c r="J410" s="178" t="str">
        <f>TEXT(   (SUMPRODUCT( ((Main!$H$9:$H$1000)=$E410)*((Main!$J$9:$J$1000)=$F410)*((Main!$O$9:$O$1000)=$C410)*(Main!S$9:S$1000) ) +  ( SUMPRODUCT( ((Adders!$D$13:$D$101)=$E410)*((Adders!$E$13:$E$101)=$F410)*(Adders!H$13:H$101)) + VLOOKUP($H410,Adders!$B$5:$G$8,M$11,FALSE)  +  PA!$D$2 ) * IF($D410="NJ",1.07,1))/$L$10, CHOOSE($M$10,$L$9,$M$9) )</f>
        <v xml:space="preserve"> 69.54 </v>
      </c>
      <c r="K410" s="179" t="str">
        <f>TEXT(   (SUMPRODUCT( ((Main!$H$9:$H$1000)=$E410)*((Main!$J$9:$J$1000)=$F410)*((Main!$O$9:$O$1000)=$C410)*(Main!T$9:T$1000) ) +  ( SUMPRODUCT( ((Adders!$D$13:$D$101)=$E410)*((Adders!$E$13:$E$101)=$F410)*(Adders!I$13:I$101)) + VLOOKUP($H410,Adders!$B$5:$G$8,N$11,FALSE)  +  PA!$D$2 ) * IF($D410="NJ",1.07,1))/$L$10, CHOOSE($M$10,$L$9,$M$9) )</f>
        <v xml:space="preserve"> 68.97 </v>
      </c>
      <c r="L410" s="178" t="str">
        <f>IF(AND($D$11="IL",$E410="AMEREN"),"NA",TEXT((SUMPRODUCT(((LMPMain!$H$9:$H$1000)=$E410)*((LMPMain!$J$9:$J$1000)=$F410)*((LMPMain!$O$9:$O$1000)=$C410)*(LMPMain!R$9:R$1000))+(SUMPRODUCT(((Adders!$D$13:$D$101)=$E410)*((Adders!$E$13:$E$101)=$F410)*(Adders!G$13:G$101))+VLOOKUP($H410,Adders!$B$5:$G$8,L$11,FALSE)+Matrix!$D$2)*IF($D410="NJ",1.07,1))/$L$10,CHOOSE($M$10,$L$9,$M$9)))</f>
        <v xml:space="preserve"> 37.10 </v>
      </c>
      <c r="M410" s="178" t="str">
        <f>IF(AND($D$11="IL",$E410="AMEREN"),"NA",TEXT((SUMPRODUCT(((LMPMain!$H$9:$H$1000)=$E410)*((LMPMain!$J$9:$J$1000)=$F410)*((LMPMain!$O$9:$O$1000)=$C410)*(LMPMain!S$9:S$1000))+(SUMPRODUCT(((Adders!$D$13:$D$101)=$E410)*((Adders!$E$13:$E$101)=$F410)*(Adders!H$13:H$101))+VLOOKUP($H410,Adders!$B$5:$G$8,M$11,FALSE)+Matrix!$D$2)*IF($D410="NJ",1.07,1))/$L$10,CHOOSE($M$10,$L$9,$M$9)))</f>
        <v xml:space="preserve"> 34.46 </v>
      </c>
      <c r="N410" s="179" t="str">
        <f>IF(AND($D$11="IL",$E410="AMEREN"),"NA",TEXT((SUMPRODUCT(((LMPMain!$H$9:$H$1000)=$E410)*((LMPMain!$J$9:$J$1000)=$F410)*((LMPMain!$O$9:$O$1000)=$C410)*(LMPMain!T$9:T$1000))+(SUMPRODUCT(((Adders!$D$13:$D$101)=$E410)*((Adders!$E$13:$E$101)=$F410)*(Adders!G$13:G$101))+VLOOKUP($H410,Adders!$B$5:$G$8,N$11,FALSE)+Matrix!$D$2)*IF($D410="NJ",1.07,1))/$L$10,CHOOSE($M$10,$L$9,$M$9)))</f>
        <v xml:space="preserve"> 33.37 </v>
      </c>
      <c r="O410" s="112"/>
    </row>
    <row r="411" spans="2:15" x14ac:dyDescent="0.25">
      <c r="B411" s="160" t="s">
        <v>675</v>
      </c>
      <c r="C411" s="131">
        <f t="shared" si="11"/>
        <v>42156</v>
      </c>
      <c r="D411" s="132" t="s">
        <v>6</v>
      </c>
      <c r="E411" s="133" t="s">
        <v>17</v>
      </c>
      <c r="F411" s="132" t="s">
        <v>18</v>
      </c>
      <c r="G411" s="133" t="str">
        <f>G410</f>
        <v>General Service</v>
      </c>
      <c r="H411" s="134" t="s">
        <v>62</v>
      </c>
      <c r="I411" s="173" t="str">
        <f>TEXT(   (SUMPRODUCT( ((Main!$H$9:$H$1000)=$E411)*((Main!$J$9:$J$1000)=$F411)*((Main!$O$9:$O$1000)=$C411)*(Main!R$9:R$1000) ) +  ( SUMPRODUCT( ((Adders!$D$13:$D$101)=$E411)*((Adders!$E$13:$E$101)=$F411)*(Adders!G$13:G$101)) + VLOOKUP($H411,Adders!$B$5:$G$8,L$11,FALSE)  +  PA!$D$2 ) * IF($D411="NJ",1.07,1))/$L$10, CHOOSE($M$10,$L$9,$M$9) )</f>
        <v xml:space="preserve"> 71.05 </v>
      </c>
      <c r="J411" s="173" t="str">
        <f>TEXT(   (SUMPRODUCT( ((Main!$H$9:$H$1000)=$E411)*((Main!$J$9:$J$1000)=$F411)*((Main!$O$9:$O$1000)=$C411)*(Main!S$9:S$1000) ) +  ( SUMPRODUCT( ((Adders!$D$13:$D$101)=$E411)*((Adders!$E$13:$E$101)=$F411)*(Adders!H$13:H$101)) + VLOOKUP($H411,Adders!$B$5:$G$8,M$11,FALSE)  +  PA!$D$2 ) * IF($D411="NJ",1.07,1))/$L$10, CHOOSE($M$10,$L$9,$M$9) )</f>
        <v xml:space="preserve"> 67.94 </v>
      </c>
      <c r="K411" s="174" t="str">
        <f>TEXT(   (SUMPRODUCT( ((Main!$H$9:$H$1000)=$E411)*((Main!$J$9:$J$1000)=$F411)*((Main!$O$9:$O$1000)=$C411)*(Main!T$9:T$1000) ) +  ( SUMPRODUCT( ((Adders!$D$13:$D$101)=$E411)*((Adders!$E$13:$E$101)=$F411)*(Adders!I$13:I$101)) + VLOOKUP($H411,Adders!$B$5:$G$8,N$11,FALSE)  +  PA!$D$2 ) * IF($D411="NJ",1.07,1))/$L$10, CHOOSE($M$10,$L$9,$M$9) )</f>
        <v xml:space="preserve"> 67.37 </v>
      </c>
      <c r="L411" s="173" t="str">
        <f>IF(AND($D$11="IL",$E411="AMEREN"),"NA",TEXT((SUMPRODUCT(((LMPMain!$H$9:$H$1000)=$E411)*((LMPMain!$J$9:$J$1000)=$F411)*((LMPMain!$O$9:$O$1000)=$C411)*(LMPMain!R$9:R$1000))+(SUMPRODUCT(((Adders!$D$13:$D$101)=$E411)*((Adders!$E$13:$E$101)=$F411)*(Adders!G$13:G$101))+VLOOKUP($H411,Adders!$B$5:$G$8,L$11,FALSE)+Matrix!$D$2)*IF($D411="NJ",1.07,1))/$L$10,CHOOSE($M$10,$L$9,$M$9)))</f>
        <v xml:space="preserve"> 35.50 </v>
      </c>
      <c r="M411" s="173" t="str">
        <f>IF(AND($D$11="IL",$E411="AMEREN"),"NA",TEXT((SUMPRODUCT(((LMPMain!$H$9:$H$1000)=$E411)*((LMPMain!$J$9:$J$1000)=$F411)*((LMPMain!$O$9:$O$1000)=$C411)*(LMPMain!S$9:S$1000))+(SUMPRODUCT(((Adders!$D$13:$D$101)=$E411)*((Adders!$E$13:$E$101)=$F411)*(Adders!H$13:H$101))+VLOOKUP($H411,Adders!$B$5:$G$8,M$11,FALSE)+Matrix!$D$2)*IF($D411="NJ",1.07,1))/$L$10,CHOOSE($M$10,$L$9,$M$9)))</f>
        <v xml:space="preserve"> 32.86 </v>
      </c>
      <c r="N411" s="174" t="str">
        <f>IF(AND($D$11="IL",$E411="AMEREN"),"NA",TEXT((SUMPRODUCT(((LMPMain!$H$9:$H$1000)=$E411)*((LMPMain!$J$9:$J$1000)=$F411)*((LMPMain!$O$9:$O$1000)=$C411)*(LMPMain!T$9:T$1000))+(SUMPRODUCT(((Adders!$D$13:$D$101)=$E411)*((Adders!$E$13:$E$101)=$F411)*(Adders!G$13:G$101))+VLOOKUP($H411,Adders!$B$5:$G$8,N$11,FALSE)+Matrix!$D$2)*IF($D411="NJ",1.07,1))/$L$10,CHOOSE($M$10,$L$9,$M$9)))</f>
        <v xml:space="preserve"> 31.77 </v>
      </c>
      <c r="O411" s="112"/>
    </row>
    <row r="412" spans="2:15" x14ac:dyDescent="0.25">
      <c r="B412" s="160" t="s">
        <v>675</v>
      </c>
      <c r="C412" s="135">
        <f t="shared" si="11"/>
        <v>42156</v>
      </c>
      <c r="D412" s="136" t="s">
        <v>6</v>
      </c>
      <c r="E412" s="137" t="s">
        <v>17</v>
      </c>
      <c r="F412" s="136" t="s">
        <v>18</v>
      </c>
      <c r="G412" s="137" t="str">
        <f>G411</f>
        <v>General Service</v>
      </c>
      <c r="H412" s="138" t="s">
        <v>690</v>
      </c>
      <c r="I412" s="176" t="str">
        <f>TEXT(   (SUMPRODUCT( ((Main!$H$9:$H$1000)=$E412)*((Main!$J$9:$J$1000)=$F412)*((Main!$O$9:$O$1000)=$C412)*(Main!R$9:R$1000) ) +  ( SUMPRODUCT( ((Adders!$D$13:$D$101)=$E412)*((Adders!$E$13:$E$101)=$F412)*(Adders!G$13:G$101)) + VLOOKUP($H412,Adders!$B$5:$G$8,L$11,FALSE)  +  PA!$D$2 ) * IF($D412="NJ",1.07,1))/$L$10, CHOOSE($M$10,$L$9,$M$9) )</f>
        <v xml:space="preserve"> 70.00 </v>
      </c>
      <c r="J412" s="176" t="str">
        <f>TEXT(   (SUMPRODUCT( ((Main!$H$9:$H$1000)=$E412)*((Main!$J$9:$J$1000)=$F412)*((Main!$O$9:$O$1000)=$C412)*(Main!S$9:S$1000) ) +  ( SUMPRODUCT( ((Adders!$D$13:$D$101)=$E412)*((Adders!$E$13:$E$101)=$F412)*(Adders!H$13:H$101)) + VLOOKUP($H412,Adders!$B$5:$G$8,M$11,FALSE)  +  PA!$D$2 ) * IF($D412="NJ",1.07,1))/$L$10, CHOOSE($M$10,$L$9,$M$9) )</f>
        <v xml:space="preserve"> 66.89 </v>
      </c>
      <c r="K412" s="177" t="str">
        <f>TEXT(   (SUMPRODUCT( ((Main!$H$9:$H$1000)=$E412)*((Main!$J$9:$J$1000)=$F412)*((Main!$O$9:$O$1000)=$C412)*(Main!T$9:T$1000) ) +  ( SUMPRODUCT( ((Adders!$D$13:$D$101)=$E412)*((Adders!$E$13:$E$101)=$F412)*(Adders!I$13:I$101)) + VLOOKUP($H412,Adders!$B$5:$G$8,N$11,FALSE)  +  PA!$D$2 ) * IF($D412="NJ",1.07,1))/$L$10, CHOOSE($M$10,$L$9,$M$9) )</f>
        <v xml:space="preserve"> 66.32 </v>
      </c>
      <c r="L412" s="176" t="str">
        <f>IF(AND($D$11="IL",$E412="AMEREN"),"NA",TEXT((SUMPRODUCT(((LMPMain!$H$9:$H$1000)=$E412)*((LMPMain!$J$9:$J$1000)=$F412)*((LMPMain!$O$9:$O$1000)=$C412)*(LMPMain!R$9:R$1000))+(SUMPRODUCT(((Adders!$D$13:$D$101)=$E412)*((Adders!$E$13:$E$101)=$F412)*(Adders!G$13:G$101))+VLOOKUP($H412,Adders!$B$5:$G$8,L$11,FALSE)+Matrix!$D$2)*IF($D412="NJ",1.07,1))/$L$10,CHOOSE($M$10,$L$9,$M$9)))</f>
        <v xml:space="preserve"> 34.45 </v>
      </c>
      <c r="M412" s="176" t="str">
        <f>IF(AND($D$11="IL",$E412="AMEREN"),"NA",TEXT((SUMPRODUCT(((LMPMain!$H$9:$H$1000)=$E412)*((LMPMain!$J$9:$J$1000)=$F412)*((LMPMain!$O$9:$O$1000)=$C412)*(LMPMain!S$9:S$1000))+(SUMPRODUCT(((Adders!$D$13:$D$101)=$E412)*((Adders!$E$13:$E$101)=$F412)*(Adders!H$13:H$101))+VLOOKUP($H412,Adders!$B$5:$G$8,M$11,FALSE)+Matrix!$D$2)*IF($D412="NJ",1.07,1))/$L$10,CHOOSE($M$10,$L$9,$M$9)))</f>
        <v xml:space="preserve"> 31.81 </v>
      </c>
      <c r="N412" s="177" t="str">
        <f>IF(AND($D$11="IL",$E412="AMEREN"),"NA",TEXT((SUMPRODUCT(((LMPMain!$H$9:$H$1000)=$E412)*((LMPMain!$J$9:$J$1000)=$F412)*((LMPMain!$O$9:$O$1000)=$C412)*(LMPMain!T$9:T$1000))+(SUMPRODUCT(((Adders!$D$13:$D$101)=$E412)*((Adders!$E$13:$E$101)=$F412)*(Adders!G$13:G$101))+VLOOKUP($H412,Adders!$B$5:$G$8,N$11,FALSE)+Matrix!$D$2)*IF($D412="NJ",1.07,1))/$L$10,CHOOSE($M$10,$L$9,$M$9)))</f>
        <v xml:space="preserve"> 30.72 </v>
      </c>
      <c r="O412" s="112"/>
    </row>
    <row r="413" spans="2:15" x14ac:dyDescent="0.25">
      <c r="B413" s="160" t="s">
        <v>675</v>
      </c>
      <c r="C413" s="127">
        <f t="shared" si="11"/>
        <v>42186</v>
      </c>
      <c r="D413" s="128" t="s">
        <v>6</v>
      </c>
      <c r="E413" s="129" t="s">
        <v>17</v>
      </c>
      <c r="F413" s="128" t="s">
        <v>18</v>
      </c>
      <c r="G413" s="129" t="str">
        <f t="shared" si="12"/>
        <v>General Service</v>
      </c>
      <c r="H413" s="130" t="s">
        <v>61</v>
      </c>
      <c r="I413" s="178" t="str">
        <f>TEXT(   (SUMPRODUCT( ((Main!$H$9:$H$1000)=$E413)*((Main!$J$9:$J$1000)=$F413)*((Main!$O$9:$O$1000)=$C413)*(Main!R$9:R$1000) ) +  ( SUMPRODUCT( ((Adders!$D$13:$D$101)=$E413)*((Adders!$E$13:$E$101)=$F413)*(Adders!G$13:G$101)) + VLOOKUP($H413,Adders!$B$5:$G$8,L$11,FALSE)  +  PA!$D$2 ) * IF($D413="NJ",1.07,1))/$L$10, CHOOSE($M$10,$L$9,$M$9) )</f>
        <v xml:space="preserve"> 72.09 </v>
      </c>
      <c r="J413" s="178" t="str">
        <f>TEXT(   (SUMPRODUCT( ((Main!$H$9:$H$1000)=$E413)*((Main!$J$9:$J$1000)=$F413)*((Main!$O$9:$O$1000)=$C413)*(Main!S$9:S$1000) ) +  ( SUMPRODUCT( ((Adders!$D$13:$D$101)=$E413)*((Adders!$E$13:$E$101)=$F413)*(Adders!H$13:H$101)) + VLOOKUP($H413,Adders!$B$5:$G$8,M$11,FALSE)  +  PA!$D$2 ) * IF($D413="NJ",1.07,1))/$L$10, CHOOSE($M$10,$L$9,$M$9) )</f>
        <v xml:space="preserve"> 69.04 </v>
      </c>
      <c r="K413" s="179" t="str">
        <f>TEXT(   (SUMPRODUCT( ((Main!$H$9:$H$1000)=$E413)*((Main!$J$9:$J$1000)=$F413)*((Main!$O$9:$O$1000)=$C413)*(Main!T$9:T$1000) ) +  ( SUMPRODUCT( ((Adders!$D$13:$D$101)=$E413)*((Adders!$E$13:$E$101)=$F413)*(Adders!I$13:I$101)) + VLOOKUP($H413,Adders!$B$5:$G$8,N$11,FALSE)  +  PA!$D$2 ) * IF($D413="NJ",1.07,1))/$L$10, CHOOSE($M$10,$L$9,$M$9) )</f>
        <v xml:space="preserve"> 68.97 </v>
      </c>
      <c r="L413" s="178" t="str">
        <f>IF(AND($D$11="IL",$E413="AMEREN"),"NA",TEXT((SUMPRODUCT(((LMPMain!$H$9:$H$1000)=$E413)*((LMPMain!$J$9:$J$1000)=$F413)*((LMPMain!$O$9:$O$1000)=$C413)*(LMPMain!R$9:R$1000))+(SUMPRODUCT(((Adders!$D$13:$D$101)=$E413)*((Adders!$E$13:$E$101)=$F413)*(Adders!G$13:G$101))+VLOOKUP($H413,Adders!$B$5:$G$8,L$11,FALSE)+Matrix!$D$2)*IF($D413="NJ",1.07,1))/$L$10,CHOOSE($M$10,$L$9,$M$9)))</f>
        <v xml:space="preserve"> 36.48 </v>
      </c>
      <c r="M413" s="178" t="str">
        <f>IF(AND($D$11="IL",$E413="AMEREN"),"NA",TEXT((SUMPRODUCT(((LMPMain!$H$9:$H$1000)=$E413)*((LMPMain!$J$9:$J$1000)=$F413)*((LMPMain!$O$9:$O$1000)=$C413)*(LMPMain!S$9:S$1000))+(SUMPRODUCT(((Adders!$D$13:$D$101)=$E413)*((Adders!$E$13:$E$101)=$F413)*(Adders!H$13:H$101))+VLOOKUP($H413,Adders!$B$5:$G$8,M$11,FALSE)+Matrix!$D$2)*IF($D413="NJ",1.07,1))/$L$10,CHOOSE($M$10,$L$9,$M$9)))</f>
        <v xml:space="preserve"> 34.09 </v>
      </c>
      <c r="N413" s="179" t="str">
        <f>IF(AND($D$11="IL",$E413="AMEREN"),"NA",TEXT((SUMPRODUCT(((LMPMain!$H$9:$H$1000)=$E413)*((LMPMain!$J$9:$J$1000)=$F413)*((LMPMain!$O$9:$O$1000)=$C413)*(LMPMain!T$9:T$1000))+(SUMPRODUCT(((Adders!$D$13:$D$101)=$E413)*((Adders!$E$13:$E$101)=$F413)*(Adders!G$13:G$101))+VLOOKUP($H413,Adders!$B$5:$G$8,N$11,FALSE)+Matrix!$D$2)*IF($D413="NJ",1.07,1))/$L$10,CHOOSE($M$10,$L$9,$M$9)))</f>
        <v xml:space="preserve"> 33.35 </v>
      </c>
      <c r="O413" s="112"/>
    </row>
    <row r="414" spans="2:15" x14ac:dyDescent="0.25">
      <c r="B414" s="160" t="s">
        <v>675</v>
      </c>
      <c r="C414" s="131">
        <f t="shared" si="11"/>
        <v>42186</v>
      </c>
      <c r="D414" s="132" t="s">
        <v>6</v>
      </c>
      <c r="E414" s="133" t="s">
        <v>17</v>
      </c>
      <c r="F414" s="132" t="s">
        <v>18</v>
      </c>
      <c r="G414" s="133" t="str">
        <f t="shared" si="12"/>
        <v>General Service</v>
      </c>
      <c r="H414" s="134" t="s">
        <v>62</v>
      </c>
      <c r="I414" s="173" t="str">
        <f>TEXT(   (SUMPRODUCT( ((Main!$H$9:$H$1000)=$E414)*((Main!$J$9:$J$1000)=$F414)*((Main!$O$9:$O$1000)=$C414)*(Main!R$9:R$1000) ) +  ( SUMPRODUCT( ((Adders!$D$13:$D$101)=$E414)*((Adders!$E$13:$E$101)=$F414)*(Adders!G$13:G$101)) + VLOOKUP($H414,Adders!$B$5:$G$8,L$11,FALSE)  +  PA!$D$2 ) * IF($D414="NJ",1.07,1))/$L$10, CHOOSE($M$10,$L$9,$M$9) )</f>
        <v xml:space="preserve"> 70.49 </v>
      </c>
      <c r="J414" s="173" t="str">
        <f>TEXT(   (SUMPRODUCT( ((Main!$H$9:$H$1000)=$E414)*((Main!$J$9:$J$1000)=$F414)*((Main!$O$9:$O$1000)=$C414)*(Main!S$9:S$1000) ) +  ( SUMPRODUCT( ((Adders!$D$13:$D$101)=$E414)*((Adders!$E$13:$E$101)=$F414)*(Adders!H$13:H$101)) + VLOOKUP($H414,Adders!$B$5:$G$8,M$11,FALSE)  +  PA!$D$2 ) * IF($D414="NJ",1.07,1))/$L$10, CHOOSE($M$10,$L$9,$M$9) )</f>
        <v xml:space="preserve"> 67.44 </v>
      </c>
      <c r="K414" s="174" t="str">
        <f>TEXT(   (SUMPRODUCT( ((Main!$H$9:$H$1000)=$E414)*((Main!$J$9:$J$1000)=$F414)*((Main!$O$9:$O$1000)=$C414)*(Main!T$9:T$1000) ) +  ( SUMPRODUCT( ((Adders!$D$13:$D$101)=$E414)*((Adders!$E$13:$E$101)=$F414)*(Adders!I$13:I$101)) + VLOOKUP($H414,Adders!$B$5:$G$8,N$11,FALSE)  +  PA!$D$2 ) * IF($D414="NJ",1.07,1))/$L$10, CHOOSE($M$10,$L$9,$M$9) )</f>
        <v xml:space="preserve"> 67.37 </v>
      </c>
      <c r="L414" s="173" t="str">
        <f>IF(AND($D$11="IL",$E414="AMEREN"),"NA",TEXT((SUMPRODUCT(((LMPMain!$H$9:$H$1000)=$E414)*((LMPMain!$J$9:$J$1000)=$F414)*((LMPMain!$O$9:$O$1000)=$C414)*(LMPMain!R$9:R$1000))+(SUMPRODUCT(((Adders!$D$13:$D$101)=$E414)*((Adders!$E$13:$E$101)=$F414)*(Adders!G$13:G$101))+VLOOKUP($H414,Adders!$B$5:$G$8,L$11,FALSE)+Matrix!$D$2)*IF($D414="NJ",1.07,1))/$L$10,CHOOSE($M$10,$L$9,$M$9)))</f>
        <v xml:space="preserve"> 34.88 </v>
      </c>
      <c r="M414" s="173" t="str">
        <f>IF(AND($D$11="IL",$E414="AMEREN"),"NA",TEXT((SUMPRODUCT(((LMPMain!$H$9:$H$1000)=$E414)*((LMPMain!$J$9:$J$1000)=$F414)*((LMPMain!$O$9:$O$1000)=$C414)*(LMPMain!S$9:S$1000))+(SUMPRODUCT(((Adders!$D$13:$D$101)=$E414)*((Adders!$E$13:$E$101)=$F414)*(Adders!H$13:H$101))+VLOOKUP($H414,Adders!$B$5:$G$8,M$11,FALSE)+Matrix!$D$2)*IF($D414="NJ",1.07,1))/$L$10,CHOOSE($M$10,$L$9,$M$9)))</f>
        <v xml:space="preserve"> 32.49 </v>
      </c>
      <c r="N414" s="174" t="str">
        <f>IF(AND($D$11="IL",$E414="AMEREN"),"NA",TEXT((SUMPRODUCT(((LMPMain!$H$9:$H$1000)=$E414)*((LMPMain!$J$9:$J$1000)=$F414)*((LMPMain!$O$9:$O$1000)=$C414)*(LMPMain!T$9:T$1000))+(SUMPRODUCT(((Adders!$D$13:$D$101)=$E414)*((Adders!$E$13:$E$101)=$F414)*(Adders!G$13:G$101))+VLOOKUP($H414,Adders!$B$5:$G$8,N$11,FALSE)+Matrix!$D$2)*IF($D414="NJ",1.07,1))/$L$10,CHOOSE($M$10,$L$9,$M$9)))</f>
        <v xml:space="preserve"> 31.75 </v>
      </c>
      <c r="O414" s="112"/>
    </row>
    <row r="415" spans="2:15" x14ac:dyDescent="0.25">
      <c r="B415" s="160" t="s">
        <v>675</v>
      </c>
      <c r="C415" s="135">
        <f t="shared" si="11"/>
        <v>42186</v>
      </c>
      <c r="D415" s="136" t="s">
        <v>6</v>
      </c>
      <c r="E415" s="137" t="s">
        <v>17</v>
      </c>
      <c r="F415" s="136" t="s">
        <v>18</v>
      </c>
      <c r="G415" s="137" t="str">
        <f t="shared" si="12"/>
        <v>General Service</v>
      </c>
      <c r="H415" s="138" t="s">
        <v>690</v>
      </c>
      <c r="I415" s="176" t="str">
        <f>TEXT(   (SUMPRODUCT( ((Main!$H$9:$H$1000)=$E415)*((Main!$J$9:$J$1000)=$F415)*((Main!$O$9:$O$1000)=$C415)*(Main!R$9:R$1000) ) +  ( SUMPRODUCT( ((Adders!$D$13:$D$101)=$E415)*((Adders!$E$13:$E$101)=$F415)*(Adders!G$13:G$101)) + VLOOKUP($H415,Adders!$B$5:$G$8,L$11,FALSE)  +  PA!$D$2 ) * IF($D415="NJ",1.07,1))/$L$10, CHOOSE($M$10,$L$9,$M$9) )</f>
        <v xml:space="preserve"> 69.44 </v>
      </c>
      <c r="J415" s="176" t="str">
        <f>TEXT(   (SUMPRODUCT( ((Main!$H$9:$H$1000)=$E415)*((Main!$J$9:$J$1000)=$F415)*((Main!$O$9:$O$1000)=$C415)*(Main!S$9:S$1000) ) +  ( SUMPRODUCT( ((Adders!$D$13:$D$101)=$E415)*((Adders!$E$13:$E$101)=$F415)*(Adders!H$13:H$101)) + VLOOKUP($H415,Adders!$B$5:$G$8,M$11,FALSE)  +  PA!$D$2 ) * IF($D415="NJ",1.07,1))/$L$10, CHOOSE($M$10,$L$9,$M$9) )</f>
        <v xml:space="preserve"> 66.39 </v>
      </c>
      <c r="K415" s="177" t="str">
        <f>TEXT(   (SUMPRODUCT( ((Main!$H$9:$H$1000)=$E415)*((Main!$J$9:$J$1000)=$F415)*((Main!$O$9:$O$1000)=$C415)*(Main!T$9:T$1000) ) +  ( SUMPRODUCT( ((Adders!$D$13:$D$101)=$E415)*((Adders!$E$13:$E$101)=$F415)*(Adders!I$13:I$101)) + VLOOKUP($H415,Adders!$B$5:$G$8,N$11,FALSE)  +  PA!$D$2 ) * IF($D415="NJ",1.07,1))/$L$10, CHOOSE($M$10,$L$9,$M$9) )</f>
        <v xml:space="preserve"> 66.32 </v>
      </c>
      <c r="L415" s="176" t="str">
        <f>IF(AND($D$11="IL",$E415="AMEREN"),"NA",TEXT((SUMPRODUCT(((LMPMain!$H$9:$H$1000)=$E415)*((LMPMain!$J$9:$J$1000)=$F415)*((LMPMain!$O$9:$O$1000)=$C415)*(LMPMain!R$9:R$1000))+(SUMPRODUCT(((Adders!$D$13:$D$101)=$E415)*((Adders!$E$13:$E$101)=$F415)*(Adders!G$13:G$101))+VLOOKUP($H415,Adders!$B$5:$G$8,L$11,FALSE)+Matrix!$D$2)*IF($D415="NJ",1.07,1))/$L$10,CHOOSE($M$10,$L$9,$M$9)))</f>
        <v xml:space="preserve"> 33.83 </v>
      </c>
      <c r="M415" s="176" t="str">
        <f>IF(AND($D$11="IL",$E415="AMEREN"),"NA",TEXT((SUMPRODUCT(((LMPMain!$H$9:$H$1000)=$E415)*((LMPMain!$J$9:$J$1000)=$F415)*((LMPMain!$O$9:$O$1000)=$C415)*(LMPMain!S$9:S$1000))+(SUMPRODUCT(((Adders!$D$13:$D$101)=$E415)*((Adders!$E$13:$E$101)=$F415)*(Adders!H$13:H$101))+VLOOKUP($H415,Adders!$B$5:$G$8,M$11,FALSE)+Matrix!$D$2)*IF($D415="NJ",1.07,1))/$L$10,CHOOSE($M$10,$L$9,$M$9)))</f>
        <v xml:space="preserve"> 31.44 </v>
      </c>
      <c r="N415" s="177" t="str">
        <f>IF(AND($D$11="IL",$E415="AMEREN"),"NA",TEXT((SUMPRODUCT(((LMPMain!$H$9:$H$1000)=$E415)*((LMPMain!$J$9:$J$1000)=$F415)*((LMPMain!$O$9:$O$1000)=$C415)*(LMPMain!T$9:T$1000))+(SUMPRODUCT(((Adders!$D$13:$D$101)=$E415)*((Adders!$E$13:$E$101)=$F415)*(Adders!G$13:G$101))+VLOOKUP($H415,Adders!$B$5:$G$8,N$11,FALSE)+Matrix!$D$2)*IF($D415="NJ",1.07,1))/$L$10,CHOOSE($M$10,$L$9,$M$9)))</f>
        <v xml:space="preserve"> 30.70 </v>
      </c>
      <c r="O415" s="112"/>
    </row>
    <row r="416" spans="2:15" x14ac:dyDescent="0.25">
      <c r="B416" s="160" t="s">
        <v>675</v>
      </c>
      <c r="C416" s="127">
        <f t="shared" si="11"/>
        <v>42217</v>
      </c>
      <c r="D416" s="128" t="s">
        <v>6</v>
      </c>
      <c r="E416" s="129" t="s">
        <v>17</v>
      </c>
      <c r="F416" s="128" t="s">
        <v>18</v>
      </c>
      <c r="G416" s="129" t="str">
        <f t="shared" si="12"/>
        <v>General Service</v>
      </c>
      <c r="H416" s="130" t="s">
        <v>61</v>
      </c>
      <c r="I416" s="178" t="str">
        <f>TEXT(   (SUMPRODUCT( ((Main!$H$9:$H$1000)=$E416)*((Main!$J$9:$J$1000)=$F416)*((Main!$O$9:$O$1000)=$C416)*(Main!R$9:R$1000) ) +  ( SUMPRODUCT( ((Adders!$D$13:$D$101)=$E416)*((Adders!$E$13:$E$101)=$F416)*(Adders!G$13:G$101)) + VLOOKUP($H416,Adders!$B$5:$G$8,L$11,FALSE)  +  PA!$D$2 ) * IF($D416="NJ",1.07,1))/$L$10, CHOOSE($M$10,$L$9,$M$9) )</f>
        <v xml:space="preserve"> 71.38 </v>
      </c>
      <c r="J416" s="178" t="str">
        <f>TEXT(   (SUMPRODUCT( ((Main!$H$9:$H$1000)=$E416)*((Main!$J$9:$J$1000)=$F416)*((Main!$O$9:$O$1000)=$C416)*(Main!S$9:S$1000) ) +  ( SUMPRODUCT( ((Adders!$D$13:$D$101)=$E416)*((Adders!$E$13:$E$101)=$F416)*(Adders!H$13:H$101)) + VLOOKUP($H416,Adders!$B$5:$G$8,M$11,FALSE)  +  PA!$D$2 ) * IF($D416="NJ",1.07,1))/$L$10, CHOOSE($M$10,$L$9,$M$9) )</f>
        <v xml:space="preserve"> 68.77 </v>
      </c>
      <c r="K416" s="179" t="str">
        <f>TEXT(   (SUMPRODUCT( ((Main!$H$9:$H$1000)=$E416)*((Main!$J$9:$J$1000)=$F416)*((Main!$O$9:$O$1000)=$C416)*(Main!T$9:T$1000) ) +  ( SUMPRODUCT( ((Adders!$D$13:$D$101)=$E416)*((Adders!$E$13:$E$101)=$F416)*(Adders!I$13:I$101)) + VLOOKUP($H416,Adders!$B$5:$G$8,N$11,FALSE)  +  PA!$D$2 ) * IF($D416="NJ",1.07,1))/$L$10, CHOOSE($M$10,$L$9,$M$9) )</f>
        <v xml:space="preserve"> 69.02 </v>
      </c>
      <c r="L416" s="178" t="str">
        <f>IF(AND($D$11="IL",$E416="AMEREN"),"NA",TEXT((SUMPRODUCT(((LMPMain!$H$9:$H$1000)=$E416)*((LMPMain!$J$9:$J$1000)=$F416)*((LMPMain!$O$9:$O$1000)=$C416)*(LMPMain!R$9:R$1000))+(SUMPRODUCT(((Adders!$D$13:$D$101)=$E416)*((Adders!$E$13:$E$101)=$F416)*(Adders!G$13:G$101))+VLOOKUP($H416,Adders!$B$5:$G$8,L$11,FALSE)+Matrix!$D$2)*IF($D416="NJ",1.07,1))/$L$10,CHOOSE($M$10,$L$9,$M$9)))</f>
        <v xml:space="preserve"> 35.88 </v>
      </c>
      <c r="M416" s="178" t="str">
        <f>IF(AND($D$11="IL",$E416="AMEREN"),"NA",TEXT((SUMPRODUCT(((LMPMain!$H$9:$H$1000)=$E416)*((LMPMain!$J$9:$J$1000)=$F416)*((LMPMain!$O$9:$O$1000)=$C416)*(LMPMain!S$9:S$1000))+(SUMPRODUCT(((Adders!$D$13:$D$101)=$E416)*((Adders!$E$13:$E$101)=$F416)*(Adders!H$13:H$101))+VLOOKUP($H416,Adders!$B$5:$G$8,M$11,FALSE)+Matrix!$D$2)*IF($D416="NJ",1.07,1))/$L$10,CHOOSE($M$10,$L$9,$M$9)))</f>
        <v xml:space="preserve"> 33.83 </v>
      </c>
      <c r="N416" s="179" t="str">
        <f>IF(AND($D$11="IL",$E416="AMEREN"),"NA",TEXT((SUMPRODUCT(((LMPMain!$H$9:$H$1000)=$E416)*((LMPMain!$J$9:$J$1000)=$F416)*((LMPMain!$O$9:$O$1000)=$C416)*(LMPMain!T$9:T$1000))+(SUMPRODUCT(((Adders!$D$13:$D$101)=$E416)*((Adders!$E$13:$E$101)=$F416)*(Adders!G$13:G$101))+VLOOKUP($H416,Adders!$B$5:$G$8,N$11,FALSE)+Matrix!$D$2)*IF($D416="NJ",1.07,1))/$L$10,CHOOSE($M$10,$L$9,$M$9)))</f>
        <v xml:space="preserve"> 33.37 </v>
      </c>
      <c r="O416" s="112"/>
    </row>
    <row r="417" spans="2:15" x14ac:dyDescent="0.25">
      <c r="B417" s="160" t="s">
        <v>675</v>
      </c>
      <c r="C417" s="131">
        <f t="shared" si="11"/>
        <v>42217</v>
      </c>
      <c r="D417" s="132" t="s">
        <v>6</v>
      </c>
      <c r="E417" s="133" t="s">
        <v>17</v>
      </c>
      <c r="F417" s="132" t="s">
        <v>18</v>
      </c>
      <c r="G417" s="133" t="str">
        <f t="shared" si="12"/>
        <v>General Service</v>
      </c>
      <c r="H417" s="134" t="s">
        <v>62</v>
      </c>
      <c r="I417" s="173" t="str">
        <f>TEXT(   (SUMPRODUCT( ((Main!$H$9:$H$1000)=$E417)*((Main!$J$9:$J$1000)=$F417)*((Main!$O$9:$O$1000)=$C417)*(Main!R$9:R$1000) ) +  ( SUMPRODUCT( ((Adders!$D$13:$D$101)=$E417)*((Adders!$E$13:$E$101)=$F417)*(Adders!G$13:G$101)) + VLOOKUP($H417,Adders!$B$5:$G$8,L$11,FALSE)  +  PA!$D$2 ) * IF($D417="NJ",1.07,1))/$L$10, CHOOSE($M$10,$L$9,$M$9) )</f>
        <v xml:space="preserve"> 69.78 </v>
      </c>
      <c r="J417" s="173" t="str">
        <f>TEXT(   (SUMPRODUCT( ((Main!$H$9:$H$1000)=$E417)*((Main!$J$9:$J$1000)=$F417)*((Main!$O$9:$O$1000)=$C417)*(Main!S$9:S$1000) ) +  ( SUMPRODUCT( ((Adders!$D$13:$D$101)=$E417)*((Adders!$E$13:$E$101)=$F417)*(Adders!H$13:H$101)) + VLOOKUP($H417,Adders!$B$5:$G$8,M$11,FALSE)  +  PA!$D$2 ) * IF($D417="NJ",1.07,1))/$L$10, CHOOSE($M$10,$L$9,$M$9) )</f>
        <v xml:space="preserve"> 67.17 </v>
      </c>
      <c r="K417" s="174" t="str">
        <f>TEXT(   (SUMPRODUCT( ((Main!$H$9:$H$1000)=$E417)*((Main!$J$9:$J$1000)=$F417)*((Main!$O$9:$O$1000)=$C417)*(Main!T$9:T$1000) ) +  ( SUMPRODUCT( ((Adders!$D$13:$D$101)=$E417)*((Adders!$E$13:$E$101)=$F417)*(Adders!I$13:I$101)) + VLOOKUP($H417,Adders!$B$5:$G$8,N$11,FALSE)  +  PA!$D$2 ) * IF($D417="NJ",1.07,1))/$L$10, CHOOSE($M$10,$L$9,$M$9) )</f>
        <v xml:space="preserve"> 67.42 </v>
      </c>
      <c r="L417" s="173" t="str">
        <f>IF(AND($D$11="IL",$E417="AMEREN"),"NA",TEXT((SUMPRODUCT(((LMPMain!$H$9:$H$1000)=$E417)*((LMPMain!$J$9:$J$1000)=$F417)*((LMPMain!$O$9:$O$1000)=$C417)*(LMPMain!R$9:R$1000))+(SUMPRODUCT(((Adders!$D$13:$D$101)=$E417)*((Adders!$E$13:$E$101)=$F417)*(Adders!G$13:G$101))+VLOOKUP($H417,Adders!$B$5:$G$8,L$11,FALSE)+Matrix!$D$2)*IF($D417="NJ",1.07,1))/$L$10,CHOOSE($M$10,$L$9,$M$9)))</f>
        <v xml:space="preserve"> 34.28 </v>
      </c>
      <c r="M417" s="173" t="str">
        <f>IF(AND($D$11="IL",$E417="AMEREN"),"NA",TEXT((SUMPRODUCT(((LMPMain!$H$9:$H$1000)=$E417)*((LMPMain!$J$9:$J$1000)=$F417)*((LMPMain!$O$9:$O$1000)=$C417)*(LMPMain!S$9:S$1000))+(SUMPRODUCT(((Adders!$D$13:$D$101)=$E417)*((Adders!$E$13:$E$101)=$F417)*(Adders!H$13:H$101))+VLOOKUP($H417,Adders!$B$5:$G$8,M$11,FALSE)+Matrix!$D$2)*IF($D417="NJ",1.07,1))/$L$10,CHOOSE($M$10,$L$9,$M$9)))</f>
        <v xml:space="preserve"> 32.23 </v>
      </c>
      <c r="N417" s="174" t="str">
        <f>IF(AND($D$11="IL",$E417="AMEREN"),"NA",TEXT((SUMPRODUCT(((LMPMain!$H$9:$H$1000)=$E417)*((LMPMain!$J$9:$J$1000)=$F417)*((LMPMain!$O$9:$O$1000)=$C417)*(LMPMain!T$9:T$1000))+(SUMPRODUCT(((Adders!$D$13:$D$101)=$E417)*((Adders!$E$13:$E$101)=$F417)*(Adders!G$13:G$101))+VLOOKUP($H417,Adders!$B$5:$G$8,N$11,FALSE)+Matrix!$D$2)*IF($D417="NJ",1.07,1))/$L$10,CHOOSE($M$10,$L$9,$M$9)))</f>
        <v xml:space="preserve"> 31.77 </v>
      </c>
      <c r="O417" s="112"/>
    </row>
    <row r="418" spans="2:15" x14ac:dyDescent="0.25">
      <c r="B418" s="160" t="s">
        <v>675</v>
      </c>
      <c r="C418" s="135">
        <f t="shared" si="11"/>
        <v>42217</v>
      </c>
      <c r="D418" s="136" t="s">
        <v>6</v>
      </c>
      <c r="E418" s="137" t="s">
        <v>17</v>
      </c>
      <c r="F418" s="136" t="s">
        <v>18</v>
      </c>
      <c r="G418" s="137" t="str">
        <f t="shared" si="12"/>
        <v>General Service</v>
      </c>
      <c r="H418" s="138" t="s">
        <v>690</v>
      </c>
      <c r="I418" s="176" t="str">
        <f>TEXT(   (SUMPRODUCT( ((Main!$H$9:$H$1000)=$E418)*((Main!$J$9:$J$1000)=$F418)*((Main!$O$9:$O$1000)=$C418)*(Main!R$9:R$1000) ) +  ( SUMPRODUCT( ((Adders!$D$13:$D$101)=$E418)*((Adders!$E$13:$E$101)=$F418)*(Adders!G$13:G$101)) + VLOOKUP($H418,Adders!$B$5:$G$8,L$11,FALSE)  +  PA!$D$2 ) * IF($D418="NJ",1.07,1))/$L$10, CHOOSE($M$10,$L$9,$M$9) )</f>
        <v xml:space="preserve"> 68.73 </v>
      </c>
      <c r="J418" s="176" t="str">
        <f>TEXT(   (SUMPRODUCT( ((Main!$H$9:$H$1000)=$E418)*((Main!$J$9:$J$1000)=$F418)*((Main!$O$9:$O$1000)=$C418)*(Main!S$9:S$1000) ) +  ( SUMPRODUCT( ((Adders!$D$13:$D$101)=$E418)*((Adders!$E$13:$E$101)=$F418)*(Adders!H$13:H$101)) + VLOOKUP($H418,Adders!$B$5:$G$8,M$11,FALSE)  +  PA!$D$2 ) * IF($D418="NJ",1.07,1))/$L$10, CHOOSE($M$10,$L$9,$M$9) )</f>
        <v xml:space="preserve"> 66.12 </v>
      </c>
      <c r="K418" s="177" t="str">
        <f>TEXT(   (SUMPRODUCT( ((Main!$H$9:$H$1000)=$E418)*((Main!$J$9:$J$1000)=$F418)*((Main!$O$9:$O$1000)=$C418)*(Main!T$9:T$1000) ) +  ( SUMPRODUCT( ((Adders!$D$13:$D$101)=$E418)*((Adders!$E$13:$E$101)=$F418)*(Adders!I$13:I$101)) + VLOOKUP($H418,Adders!$B$5:$G$8,N$11,FALSE)  +  PA!$D$2 ) * IF($D418="NJ",1.07,1))/$L$10, CHOOSE($M$10,$L$9,$M$9) )</f>
        <v xml:space="preserve"> 66.37 </v>
      </c>
      <c r="L418" s="176" t="str">
        <f>IF(AND($D$11="IL",$E418="AMEREN"),"NA",TEXT((SUMPRODUCT(((LMPMain!$H$9:$H$1000)=$E418)*((LMPMain!$J$9:$J$1000)=$F418)*((LMPMain!$O$9:$O$1000)=$C418)*(LMPMain!R$9:R$1000))+(SUMPRODUCT(((Adders!$D$13:$D$101)=$E418)*((Adders!$E$13:$E$101)=$F418)*(Adders!G$13:G$101))+VLOOKUP($H418,Adders!$B$5:$G$8,L$11,FALSE)+Matrix!$D$2)*IF($D418="NJ",1.07,1))/$L$10,CHOOSE($M$10,$L$9,$M$9)))</f>
        <v xml:space="preserve"> 33.23 </v>
      </c>
      <c r="M418" s="176" t="str">
        <f>IF(AND($D$11="IL",$E418="AMEREN"),"NA",TEXT((SUMPRODUCT(((LMPMain!$H$9:$H$1000)=$E418)*((LMPMain!$J$9:$J$1000)=$F418)*((LMPMain!$O$9:$O$1000)=$C418)*(LMPMain!S$9:S$1000))+(SUMPRODUCT(((Adders!$D$13:$D$101)=$E418)*((Adders!$E$13:$E$101)=$F418)*(Adders!H$13:H$101))+VLOOKUP($H418,Adders!$B$5:$G$8,M$11,FALSE)+Matrix!$D$2)*IF($D418="NJ",1.07,1))/$L$10,CHOOSE($M$10,$L$9,$M$9)))</f>
        <v xml:space="preserve"> 31.18 </v>
      </c>
      <c r="N418" s="177" t="str">
        <f>IF(AND($D$11="IL",$E418="AMEREN"),"NA",TEXT((SUMPRODUCT(((LMPMain!$H$9:$H$1000)=$E418)*((LMPMain!$J$9:$J$1000)=$F418)*((LMPMain!$O$9:$O$1000)=$C418)*(LMPMain!T$9:T$1000))+(SUMPRODUCT(((Adders!$D$13:$D$101)=$E418)*((Adders!$E$13:$E$101)=$F418)*(Adders!G$13:G$101))+VLOOKUP($H418,Adders!$B$5:$G$8,N$11,FALSE)+Matrix!$D$2)*IF($D418="NJ",1.07,1))/$L$10,CHOOSE($M$10,$L$9,$M$9)))</f>
        <v xml:space="preserve"> 30.72 </v>
      </c>
      <c r="O418" s="112"/>
    </row>
    <row r="419" spans="2:15" x14ac:dyDescent="0.25">
      <c r="B419" s="160" t="s">
        <v>675</v>
      </c>
      <c r="C419" s="127">
        <f t="shared" si="11"/>
        <v>42248</v>
      </c>
      <c r="D419" s="128" t="s">
        <v>6</v>
      </c>
      <c r="E419" s="129" t="s">
        <v>17</v>
      </c>
      <c r="F419" s="128" t="s">
        <v>18</v>
      </c>
      <c r="G419" s="129" t="str">
        <f t="shared" si="12"/>
        <v>General Service</v>
      </c>
      <c r="H419" s="130" t="s">
        <v>61</v>
      </c>
      <c r="I419" s="178" t="str">
        <f>TEXT(   (SUMPRODUCT( ((Main!$H$9:$H$1000)=$E419)*((Main!$J$9:$J$1000)=$F419)*((Main!$O$9:$O$1000)=$C419)*(Main!R$9:R$1000) ) +  ( SUMPRODUCT( ((Adders!$D$13:$D$101)=$E419)*((Adders!$E$13:$E$101)=$F419)*(Adders!G$13:G$101)) + VLOOKUP($H419,Adders!$B$5:$G$8,L$11,FALSE)  +  PA!$D$2 ) * IF($D419="NJ",1.07,1))/$L$10, CHOOSE($M$10,$L$9,$M$9) )</f>
        <v xml:space="preserve"> 70.81 </v>
      </c>
      <c r="J419" s="178" t="str">
        <f>TEXT(   (SUMPRODUCT( ((Main!$H$9:$H$1000)=$E419)*((Main!$J$9:$J$1000)=$F419)*((Main!$O$9:$O$1000)=$C419)*(Main!S$9:S$1000) ) +  ( SUMPRODUCT( ((Adders!$D$13:$D$101)=$E419)*((Adders!$E$13:$E$101)=$F419)*(Adders!H$13:H$101)) + VLOOKUP($H419,Adders!$B$5:$G$8,M$11,FALSE)  +  PA!$D$2 ) * IF($D419="NJ",1.07,1))/$L$10, CHOOSE($M$10,$L$9,$M$9) )</f>
        <v xml:space="preserve"> 68.62 </v>
      </c>
      <c r="K419" s="179" t="str">
        <f>TEXT(   (SUMPRODUCT( ((Main!$H$9:$H$1000)=$E419)*((Main!$J$9:$J$1000)=$F419)*((Main!$O$9:$O$1000)=$C419)*(Main!T$9:T$1000) ) +  ( SUMPRODUCT( ((Adders!$D$13:$D$101)=$E419)*((Adders!$E$13:$E$101)=$F419)*(Adders!I$13:I$101)) + VLOOKUP($H419,Adders!$B$5:$G$8,N$11,FALSE)  +  PA!$D$2 ) * IF($D419="NJ",1.07,1))/$L$10, CHOOSE($M$10,$L$9,$M$9) )</f>
        <v xml:space="preserve"> 69.12 </v>
      </c>
      <c r="L419" s="178" t="str">
        <f>IF(AND($D$11="IL",$E419="AMEREN"),"NA",TEXT((SUMPRODUCT(((LMPMain!$H$9:$H$1000)=$E419)*((LMPMain!$J$9:$J$1000)=$F419)*((LMPMain!$O$9:$O$1000)=$C419)*(LMPMain!R$9:R$1000))+(SUMPRODUCT(((Adders!$D$13:$D$101)=$E419)*((Adders!$E$13:$E$101)=$F419)*(Adders!G$13:G$101))+VLOOKUP($H419,Adders!$B$5:$G$8,L$11,FALSE)+Matrix!$D$2)*IF($D419="NJ",1.07,1))/$L$10,CHOOSE($M$10,$L$9,$M$9)))</f>
        <v xml:space="preserve"> 35.22 </v>
      </c>
      <c r="M419" s="178" t="str">
        <f>IF(AND($D$11="IL",$E419="AMEREN"),"NA",TEXT((SUMPRODUCT(((LMPMain!$H$9:$H$1000)=$E419)*((LMPMain!$J$9:$J$1000)=$F419)*((LMPMain!$O$9:$O$1000)=$C419)*(LMPMain!S$9:S$1000))+(SUMPRODUCT(((Adders!$D$13:$D$101)=$E419)*((Adders!$E$13:$E$101)=$F419)*(Adders!H$13:H$101))+VLOOKUP($H419,Adders!$B$5:$G$8,M$11,FALSE)+Matrix!$D$2)*IF($D419="NJ",1.07,1))/$L$10,CHOOSE($M$10,$L$9,$M$9)))</f>
        <v xml:space="preserve"> 33.49 </v>
      </c>
      <c r="N419" s="179" t="str">
        <f>IF(AND($D$11="IL",$E419="AMEREN"),"NA",TEXT((SUMPRODUCT(((LMPMain!$H$9:$H$1000)=$E419)*((LMPMain!$J$9:$J$1000)=$F419)*((LMPMain!$O$9:$O$1000)=$C419)*(LMPMain!T$9:T$1000))+(SUMPRODUCT(((Adders!$D$13:$D$101)=$E419)*((Adders!$E$13:$E$101)=$F419)*(Adders!G$13:G$101))+VLOOKUP($H419,Adders!$B$5:$G$8,N$11,FALSE)+Matrix!$D$2)*IF($D419="NJ",1.07,1))/$L$10,CHOOSE($M$10,$L$9,$M$9)))</f>
        <v xml:space="preserve"> 33.35 </v>
      </c>
      <c r="O419" s="112"/>
    </row>
    <row r="420" spans="2:15" x14ac:dyDescent="0.25">
      <c r="B420" s="160" t="s">
        <v>675</v>
      </c>
      <c r="C420" s="131">
        <f t="shared" si="11"/>
        <v>42248</v>
      </c>
      <c r="D420" s="132" t="s">
        <v>6</v>
      </c>
      <c r="E420" s="133" t="s">
        <v>17</v>
      </c>
      <c r="F420" s="132" t="s">
        <v>18</v>
      </c>
      <c r="G420" s="133" t="str">
        <f t="shared" si="12"/>
        <v>General Service</v>
      </c>
      <c r="H420" s="134" t="s">
        <v>62</v>
      </c>
      <c r="I420" s="173" t="str">
        <f>TEXT(   (SUMPRODUCT( ((Main!$H$9:$H$1000)=$E420)*((Main!$J$9:$J$1000)=$F420)*((Main!$O$9:$O$1000)=$C420)*(Main!R$9:R$1000) ) +  ( SUMPRODUCT( ((Adders!$D$13:$D$101)=$E420)*((Adders!$E$13:$E$101)=$F420)*(Adders!G$13:G$101)) + VLOOKUP($H420,Adders!$B$5:$G$8,L$11,FALSE)  +  PA!$D$2 ) * IF($D420="NJ",1.07,1))/$L$10, CHOOSE($M$10,$L$9,$M$9) )</f>
        <v xml:space="preserve"> 69.21 </v>
      </c>
      <c r="J420" s="173" t="str">
        <f>TEXT(   (SUMPRODUCT( ((Main!$H$9:$H$1000)=$E420)*((Main!$J$9:$J$1000)=$F420)*((Main!$O$9:$O$1000)=$C420)*(Main!S$9:S$1000) ) +  ( SUMPRODUCT( ((Adders!$D$13:$D$101)=$E420)*((Adders!$E$13:$E$101)=$F420)*(Adders!H$13:H$101)) + VLOOKUP($H420,Adders!$B$5:$G$8,M$11,FALSE)  +  PA!$D$2 ) * IF($D420="NJ",1.07,1))/$L$10, CHOOSE($M$10,$L$9,$M$9) )</f>
        <v xml:space="preserve"> 67.02 </v>
      </c>
      <c r="K420" s="174" t="str">
        <f>TEXT(   (SUMPRODUCT( ((Main!$H$9:$H$1000)=$E420)*((Main!$J$9:$J$1000)=$F420)*((Main!$O$9:$O$1000)=$C420)*(Main!T$9:T$1000) ) +  ( SUMPRODUCT( ((Adders!$D$13:$D$101)=$E420)*((Adders!$E$13:$E$101)=$F420)*(Adders!I$13:I$101)) + VLOOKUP($H420,Adders!$B$5:$G$8,N$11,FALSE)  +  PA!$D$2 ) * IF($D420="NJ",1.07,1))/$L$10, CHOOSE($M$10,$L$9,$M$9) )</f>
        <v xml:space="preserve"> 67.52 </v>
      </c>
      <c r="L420" s="173" t="str">
        <f>IF(AND($D$11="IL",$E420="AMEREN"),"NA",TEXT((SUMPRODUCT(((LMPMain!$H$9:$H$1000)=$E420)*((LMPMain!$J$9:$J$1000)=$F420)*((LMPMain!$O$9:$O$1000)=$C420)*(LMPMain!R$9:R$1000))+(SUMPRODUCT(((Adders!$D$13:$D$101)=$E420)*((Adders!$E$13:$E$101)=$F420)*(Adders!G$13:G$101))+VLOOKUP($H420,Adders!$B$5:$G$8,L$11,FALSE)+Matrix!$D$2)*IF($D420="NJ",1.07,1))/$L$10,CHOOSE($M$10,$L$9,$M$9)))</f>
        <v xml:space="preserve"> 33.62 </v>
      </c>
      <c r="M420" s="173" t="str">
        <f>IF(AND($D$11="IL",$E420="AMEREN"),"NA",TEXT((SUMPRODUCT(((LMPMain!$H$9:$H$1000)=$E420)*((LMPMain!$J$9:$J$1000)=$F420)*((LMPMain!$O$9:$O$1000)=$C420)*(LMPMain!S$9:S$1000))+(SUMPRODUCT(((Adders!$D$13:$D$101)=$E420)*((Adders!$E$13:$E$101)=$F420)*(Adders!H$13:H$101))+VLOOKUP($H420,Adders!$B$5:$G$8,M$11,FALSE)+Matrix!$D$2)*IF($D420="NJ",1.07,1))/$L$10,CHOOSE($M$10,$L$9,$M$9)))</f>
        <v xml:space="preserve"> 31.89 </v>
      </c>
      <c r="N420" s="174" t="str">
        <f>IF(AND($D$11="IL",$E420="AMEREN"),"NA",TEXT((SUMPRODUCT(((LMPMain!$H$9:$H$1000)=$E420)*((LMPMain!$J$9:$J$1000)=$F420)*((LMPMain!$O$9:$O$1000)=$C420)*(LMPMain!T$9:T$1000))+(SUMPRODUCT(((Adders!$D$13:$D$101)=$E420)*((Adders!$E$13:$E$101)=$F420)*(Adders!G$13:G$101))+VLOOKUP($H420,Adders!$B$5:$G$8,N$11,FALSE)+Matrix!$D$2)*IF($D420="NJ",1.07,1))/$L$10,CHOOSE($M$10,$L$9,$M$9)))</f>
        <v xml:space="preserve"> 31.75 </v>
      </c>
      <c r="O420" s="112"/>
    </row>
    <row r="421" spans="2:15" x14ac:dyDescent="0.25">
      <c r="B421" s="160" t="s">
        <v>675</v>
      </c>
      <c r="C421" s="135">
        <f t="shared" si="11"/>
        <v>42248</v>
      </c>
      <c r="D421" s="136" t="s">
        <v>6</v>
      </c>
      <c r="E421" s="137" t="s">
        <v>17</v>
      </c>
      <c r="F421" s="136" t="s">
        <v>18</v>
      </c>
      <c r="G421" s="137" t="str">
        <f t="shared" si="12"/>
        <v>General Service</v>
      </c>
      <c r="H421" s="138" t="s">
        <v>690</v>
      </c>
      <c r="I421" s="176" t="str">
        <f>TEXT(   (SUMPRODUCT( ((Main!$H$9:$H$1000)=$E421)*((Main!$J$9:$J$1000)=$F421)*((Main!$O$9:$O$1000)=$C421)*(Main!R$9:R$1000) ) +  ( SUMPRODUCT( ((Adders!$D$13:$D$101)=$E421)*((Adders!$E$13:$E$101)=$F421)*(Adders!G$13:G$101)) + VLOOKUP($H421,Adders!$B$5:$G$8,L$11,FALSE)  +  PA!$D$2 ) * IF($D421="NJ",1.07,1))/$L$10, CHOOSE($M$10,$L$9,$M$9) )</f>
        <v xml:space="preserve"> 68.16 </v>
      </c>
      <c r="J421" s="176" t="str">
        <f>TEXT(   (SUMPRODUCT( ((Main!$H$9:$H$1000)=$E421)*((Main!$J$9:$J$1000)=$F421)*((Main!$O$9:$O$1000)=$C421)*(Main!S$9:S$1000) ) +  ( SUMPRODUCT( ((Adders!$D$13:$D$101)=$E421)*((Adders!$E$13:$E$101)=$F421)*(Adders!H$13:H$101)) + VLOOKUP($H421,Adders!$B$5:$G$8,M$11,FALSE)  +  PA!$D$2 ) * IF($D421="NJ",1.07,1))/$L$10, CHOOSE($M$10,$L$9,$M$9) )</f>
        <v xml:space="preserve"> 65.97 </v>
      </c>
      <c r="K421" s="177" t="str">
        <f>TEXT(   (SUMPRODUCT( ((Main!$H$9:$H$1000)=$E421)*((Main!$J$9:$J$1000)=$F421)*((Main!$O$9:$O$1000)=$C421)*(Main!T$9:T$1000) ) +  ( SUMPRODUCT( ((Adders!$D$13:$D$101)=$E421)*((Adders!$E$13:$E$101)=$F421)*(Adders!I$13:I$101)) + VLOOKUP($H421,Adders!$B$5:$G$8,N$11,FALSE)  +  PA!$D$2 ) * IF($D421="NJ",1.07,1))/$L$10, CHOOSE($M$10,$L$9,$M$9) )</f>
        <v xml:space="preserve"> 66.47 </v>
      </c>
      <c r="L421" s="176" t="str">
        <f>IF(AND($D$11="IL",$E421="AMEREN"),"NA",TEXT((SUMPRODUCT(((LMPMain!$H$9:$H$1000)=$E421)*((LMPMain!$J$9:$J$1000)=$F421)*((LMPMain!$O$9:$O$1000)=$C421)*(LMPMain!R$9:R$1000))+(SUMPRODUCT(((Adders!$D$13:$D$101)=$E421)*((Adders!$E$13:$E$101)=$F421)*(Adders!G$13:G$101))+VLOOKUP($H421,Adders!$B$5:$G$8,L$11,FALSE)+Matrix!$D$2)*IF($D421="NJ",1.07,1))/$L$10,CHOOSE($M$10,$L$9,$M$9)))</f>
        <v xml:space="preserve"> 32.57 </v>
      </c>
      <c r="M421" s="176" t="str">
        <f>IF(AND($D$11="IL",$E421="AMEREN"),"NA",TEXT((SUMPRODUCT(((LMPMain!$H$9:$H$1000)=$E421)*((LMPMain!$J$9:$J$1000)=$F421)*((LMPMain!$O$9:$O$1000)=$C421)*(LMPMain!S$9:S$1000))+(SUMPRODUCT(((Adders!$D$13:$D$101)=$E421)*((Adders!$E$13:$E$101)=$F421)*(Adders!H$13:H$101))+VLOOKUP($H421,Adders!$B$5:$G$8,M$11,FALSE)+Matrix!$D$2)*IF($D421="NJ",1.07,1))/$L$10,CHOOSE($M$10,$L$9,$M$9)))</f>
        <v xml:space="preserve"> 30.84 </v>
      </c>
      <c r="N421" s="177" t="str">
        <f>IF(AND($D$11="IL",$E421="AMEREN"),"NA",TEXT((SUMPRODUCT(((LMPMain!$H$9:$H$1000)=$E421)*((LMPMain!$J$9:$J$1000)=$F421)*((LMPMain!$O$9:$O$1000)=$C421)*(LMPMain!T$9:T$1000))+(SUMPRODUCT(((Adders!$D$13:$D$101)=$E421)*((Adders!$E$13:$E$101)=$F421)*(Adders!G$13:G$101))+VLOOKUP($H421,Adders!$B$5:$G$8,N$11,FALSE)+Matrix!$D$2)*IF($D421="NJ",1.07,1))/$L$10,CHOOSE($M$10,$L$9,$M$9)))</f>
        <v xml:space="preserve"> 30.70 </v>
      </c>
      <c r="O421" s="112"/>
    </row>
    <row r="422" spans="2:15" x14ac:dyDescent="0.25">
      <c r="B422" s="160" t="s">
        <v>675</v>
      </c>
      <c r="C422" s="127">
        <f t="shared" si="11"/>
        <v>42278</v>
      </c>
      <c r="D422" s="128" t="s">
        <v>6</v>
      </c>
      <c r="E422" s="129" t="s">
        <v>17</v>
      </c>
      <c r="F422" s="128" t="s">
        <v>18</v>
      </c>
      <c r="G422" s="129" t="str">
        <f t="shared" si="12"/>
        <v>General Service</v>
      </c>
      <c r="H422" s="130" t="s">
        <v>61</v>
      </c>
      <c r="I422" s="178" t="str">
        <f>TEXT(   (SUMPRODUCT( ((Main!$H$9:$H$1000)=$E422)*((Main!$J$9:$J$1000)=$F422)*((Main!$O$9:$O$1000)=$C422)*(Main!R$9:R$1000) ) +  ( SUMPRODUCT( ((Adders!$D$13:$D$101)=$E422)*((Adders!$E$13:$E$101)=$F422)*(Adders!G$13:G$101)) + VLOOKUP($H422,Adders!$B$5:$G$8,L$11,FALSE)  +  PA!$D$2 ) * IF($D422="NJ",1.07,1))/$L$10, CHOOSE($M$10,$L$9,$M$9) )</f>
        <v xml:space="preserve"> 70.12 </v>
      </c>
      <c r="J422" s="178" t="str">
        <f>TEXT(   (SUMPRODUCT( ((Main!$H$9:$H$1000)=$E422)*((Main!$J$9:$J$1000)=$F422)*((Main!$O$9:$O$1000)=$C422)*(Main!S$9:S$1000) ) +  ( SUMPRODUCT( ((Adders!$D$13:$D$101)=$E422)*((Adders!$E$13:$E$101)=$F422)*(Adders!H$13:H$101)) + VLOOKUP($H422,Adders!$B$5:$G$8,M$11,FALSE)  +  PA!$D$2 ) * IF($D422="NJ",1.07,1))/$L$10, CHOOSE($M$10,$L$9,$M$9) )</f>
        <v xml:space="preserve"> 68.70 </v>
      </c>
      <c r="K422" s="179" t="str">
        <f>TEXT(   (SUMPRODUCT( ((Main!$H$9:$H$1000)=$E422)*((Main!$J$9:$J$1000)=$F422)*((Main!$O$9:$O$1000)=$C422)*(Main!T$9:T$1000) ) +  ( SUMPRODUCT( ((Adders!$D$13:$D$101)=$E422)*((Adders!$E$13:$E$101)=$F422)*(Adders!I$13:I$101)) + VLOOKUP($H422,Adders!$B$5:$G$8,N$11,FALSE)  +  PA!$D$2 ) * IF($D422="NJ",1.07,1))/$L$10, CHOOSE($M$10,$L$9,$M$9) )</f>
        <v xml:space="preserve"> 69.06 </v>
      </c>
      <c r="L422" s="178" t="str">
        <f>IF(AND($D$11="IL",$E422="AMEREN"),"NA",TEXT((SUMPRODUCT(((LMPMain!$H$9:$H$1000)=$E422)*((LMPMain!$J$9:$J$1000)=$F422)*((LMPMain!$O$9:$O$1000)=$C422)*(LMPMain!R$9:R$1000))+(SUMPRODUCT(((Adders!$D$13:$D$101)=$E422)*((Adders!$E$13:$E$101)=$F422)*(Adders!G$13:G$101))+VLOOKUP($H422,Adders!$B$5:$G$8,L$11,FALSE)+Matrix!$D$2)*IF($D422="NJ",1.07,1))/$L$10,CHOOSE($M$10,$L$9,$M$9)))</f>
        <v xml:space="preserve"> 34.62 </v>
      </c>
      <c r="M422" s="178" t="str">
        <f>IF(AND($D$11="IL",$E422="AMEREN"),"NA",TEXT((SUMPRODUCT(((LMPMain!$H$9:$H$1000)=$E422)*((LMPMain!$J$9:$J$1000)=$F422)*((LMPMain!$O$9:$O$1000)=$C422)*(LMPMain!S$9:S$1000))+(SUMPRODUCT(((Adders!$D$13:$D$101)=$E422)*((Adders!$E$13:$E$101)=$F422)*(Adders!H$13:H$101))+VLOOKUP($H422,Adders!$B$5:$G$8,M$11,FALSE)+Matrix!$D$2)*IF($D422="NJ",1.07,1))/$L$10,CHOOSE($M$10,$L$9,$M$9)))</f>
        <v xml:space="preserve"> 33.11 </v>
      </c>
      <c r="N422" s="179" t="str">
        <f>IF(AND($D$11="IL",$E422="AMEREN"),"NA",TEXT((SUMPRODUCT(((LMPMain!$H$9:$H$1000)=$E422)*((LMPMain!$J$9:$J$1000)=$F422)*((LMPMain!$O$9:$O$1000)=$C422)*(LMPMain!T$9:T$1000))+(SUMPRODUCT(((Adders!$D$13:$D$101)=$E422)*((Adders!$E$13:$E$101)=$F422)*(Adders!G$13:G$101))+VLOOKUP($H422,Adders!$B$5:$G$8,N$11,FALSE)+Matrix!$D$2)*IF($D422="NJ",1.07,1))/$L$10,CHOOSE($M$10,$L$9,$M$9)))</f>
        <v xml:space="preserve"> 33.35 </v>
      </c>
      <c r="O422" s="112"/>
    </row>
    <row r="423" spans="2:15" x14ac:dyDescent="0.25">
      <c r="B423" s="160" t="s">
        <v>675</v>
      </c>
      <c r="C423" s="131">
        <f t="shared" si="11"/>
        <v>42278</v>
      </c>
      <c r="D423" s="132" t="s">
        <v>6</v>
      </c>
      <c r="E423" s="133" t="s">
        <v>17</v>
      </c>
      <c r="F423" s="132" t="s">
        <v>18</v>
      </c>
      <c r="G423" s="133" t="str">
        <f t="shared" si="12"/>
        <v>General Service</v>
      </c>
      <c r="H423" s="134" t="s">
        <v>62</v>
      </c>
      <c r="I423" s="173" t="str">
        <f>TEXT(   (SUMPRODUCT( ((Main!$H$9:$H$1000)=$E423)*((Main!$J$9:$J$1000)=$F423)*((Main!$O$9:$O$1000)=$C423)*(Main!R$9:R$1000) ) +  ( SUMPRODUCT( ((Adders!$D$13:$D$101)=$E423)*((Adders!$E$13:$E$101)=$F423)*(Adders!G$13:G$101)) + VLOOKUP($H423,Adders!$B$5:$G$8,L$11,FALSE)  +  PA!$D$2 ) * IF($D423="NJ",1.07,1))/$L$10, CHOOSE($M$10,$L$9,$M$9) )</f>
        <v xml:space="preserve"> 68.52 </v>
      </c>
      <c r="J423" s="173" t="str">
        <f>TEXT(   (SUMPRODUCT( ((Main!$H$9:$H$1000)=$E423)*((Main!$J$9:$J$1000)=$F423)*((Main!$O$9:$O$1000)=$C423)*(Main!S$9:S$1000) ) +  ( SUMPRODUCT( ((Adders!$D$13:$D$101)=$E423)*((Adders!$E$13:$E$101)=$F423)*(Adders!H$13:H$101)) + VLOOKUP($H423,Adders!$B$5:$G$8,M$11,FALSE)  +  PA!$D$2 ) * IF($D423="NJ",1.07,1))/$L$10, CHOOSE($M$10,$L$9,$M$9) )</f>
        <v xml:space="preserve"> 67.10 </v>
      </c>
      <c r="K423" s="174" t="str">
        <f>TEXT(   (SUMPRODUCT( ((Main!$H$9:$H$1000)=$E423)*((Main!$J$9:$J$1000)=$F423)*((Main!$O$9:$O$1000)=$C423)*(Main!T$9:T$1000) ) +  ( SUMPRODUCT( ((Adders!$D$13:$D$101)=$E423)*((Adders!$E$13:$E$101)=$F423)*(Adders!I$13:I$101)) + VLOOKUP($H423,Adders!$B$5:$G$8,N$11,FALSE)  +  PA!$D$2 ) * IF($D423="NJ",1.07,1))/$L$10, CHOOSE($M$10,$L$9,$M$9) )</f>
        <v xml:space="preserve"> 67.46 </v>
      </c>
      <c r="L423" s="173" t="str">
        <f>IF(AND($D$11="IL",$E423="AMEREN"),"NA",TEXT((SUMPRODUCT(((LMPMain!$H$9:$H$1000)=$E423)*((LMPMain!$J$9:$J$1000)=$F423)*((LMPMain!$O$9:$O$1000)=$C423)*(LMPMain!R$9:R$1000))+(SUMPRODUCT(((Adders!$D$13:$D$101)=$E423)*((Adders!$E$13:$E$101)=$F423)*(Adders!G$13:G$101))+VLOOKUP($H423,Adders!$B$5:$G$8,L$11,FALSE)+Matrix!$D$2)*IF($D423="NJ",1.07,1))/$L$10,CHOOSE($M$10,$L$9,$M$9)))</f>
        <v xml:space="preserve"> 33.02 </v>
      </c>
      <c r="M423" s="173" t="str">
        <f>IF(AND($D$11="IL",$E423="AMEREN"),"NA",TEXT((SUMPRODUCT(((LMPMain!$H$9:$H$1000)=$E423)*((LMPMain!$J$9:$J$1000)=$F423)*((LMPMain!$O$9:$O$1000)=$C423)*(LMPMain!S$9:S$1000))+(SUMPRODUCT(((Adders!$D$13:$D$101)=$E423)*((Adders!$E$13:$E$101)=$F423)*(Adders!H$13:H$101))+VLOOKUP($H423,Adders!$B$5:$G$8,M$11,FALSE)+Matrix!$D$2)*IF($D423="NJ",1.07,1))/$L$10,CHOOSE($M$10,$L$9,$M$9)))</f>
        <v xml:space="preserve"> 31.51 </v>
      </c>
      <c r="N423" s="174" t="str">
        <f>IF(AND($D$11="IL",$E423="AMEREN"),"NA",TEXT((SUMPRODUCT(((LMPMain!$H$9:$H$1000)=$E423)*((LMPMain!$J$9:$J$1000)=$F423)*((LMPMain!$O$9:$O$1000)=$C423)*(LMPMain!T$9:T$1000))+(SUMPRODUCT(((Adders!$D$13:$D$101)=$E423)*((Adders!$E$13:$E$101)=$F423)*(Adders!G$13:G$101))+VLOOKUP($H423,Adders!$B$5:$G$8,N$11,FALSE)+Matrix!$D$2)*IF($D423="NJ",1.07,1))/$L$10,CHOOSE($M$10,$L$9,$M$9)))</f>
        <v xml:space="preserve"> 31.75 </v>
      </c>
      <c r="O423" s="112"/>
    </row>
    <row r="424" spans="2:15" x14ac:dyDescent="0.25">
      <c r="B424" s="160" t="s">
        <v>675</v>
      </c>
      <c r="C424" s="135">
        <f t="shared" si="11"/>
        <v>42278</v>
      </c>
      <c r="D424" s="136" t="s">
        <v>6</v>
      </c>
      <c r="E424" s="137" t="s">
        <v>17</v>
      </c>
      <c r="F424" s="136" t="s">
        <v>18</v>
      </c>
      <c r="G424" s="137" t="str">
        <f t="shared" si="12"/>
        <v>General Service</v>
      </c>
      <c r="H424" s="138" t="s">
        <v>690</v>
      </c>
      <c r="I424" s="176" t="str">
        <f>TEXT(   (SUMPRODUCT( ((Main!$H$9:$H$1000)=$E424)*((Main!$J$9:$J$1000)=$F424)*((Main!$O$9:$O$1000)=$C424)*(Main!R$9:R$1000) ) +  ( SUMPRODUCT( ((Adders!$D$13:$D$101)=$E424)*((Adders!$E$13:$E$101)=$F424)*(Adders!G$13:G$101)) + VLOOKUP($H424,Adders!$B$5:$G$8,L$11,FALSE)  +  PA!$D$2 ) * IF($D424="NJ",1.07,1))/$L$10, CHOOSE($M$10,$L$9,$M$9) )</f>
        <v xml:space="preserve"> 67.47 </v>
      </c>
      <c r="J424" s="176" t="str">
        <f>TEXT(   (SUMPRODUCT( ((Main!$H$9:$H$1000)=$E424)*((Main!$J$9:$J$1000)=$F424)*((Main!$O$9:$O$1000)=$C424)*(Main!S$9:S$1000) ) +  ( SUMPRODUCT( ((Adders!$D$13:$D$101)=$E424)*((Adders!$E$13:$E$101)=$F424)*(Adders!H$13:H$101)) + VLOOKUP($H424,Adders!$B$5:$G$8,M$11,FALSE)  +  PA!$D$2 ) * IF($D424="NJ",1.07,1))/$L$10, CHOOSE($M$10,$L$9,$M$9) )</f>
        <v xml:space="preserve"> 66.05 </v>
      </c>
      <c r="K424" s="177" t="str">
        <f>TEXT(   (SUMPRODUCT( ((Main!$H$9:$H$1000)=$E424)*((Main!$J$9:$J$1000)=$F424)*((Main!$O$9:$O$1000)=$C424)*(Main!T$9:T$1000) ) +  ( SUMPRODUCT( ((Adders!$D$13:$D$101)=$E424)*((Adders!$E$13:$E$101)=$F424)*(Adders!I$13:I$101)) + VLOOKUP($H424,Adders!$B$5:$G$8,N$11,FALSE)  +  PA!$D$2 ) * IF($D424="NJ",1.07,1))/$L$10, CHOOSE($M$10,$L$9,$M$9) )</f>
        <v xml:space="preserve"> 66.41 </v>
      </c>
      <c r="L424" s="176" t="str">
        <f>IF(AND($D$11="IL",$E424="AMEREN"),"NA",TEXT((SUMPRODUCT(((LMPMain!$H$9:$H$1000)=$E424)*((LMPMain!$J$9:$J$1000)=$F424)*((LMPMain!$O$9:$O$1000)=$C424)*(LMPMain!R$9:R$1000))+(SUMPRODUCT(((Adders!$D$13:$D$101)=$E424)*((Adders!$E$13:$E$101)=$F424)*(Adders!G$13:G$101))+VLOOKUP($H424,Adders!$B$5:$G$8,L$11,FALSE)+Matrix!$D$2)*IF($D424="NJ",1.07,1))/$L$10,CHOOSE($M$10,$L$9,$M$9)))</f>
        <v xml:space="preserve"> 31.97 </v>
      </c>
      <c r="M424" s="176" t="str">
        <f>IF(AND($D$11="IL",$E424="AMEREN"),"NA",TEXT((SUMPRODUCT(((LMPMain!$H$9:$H$1000)=$E424)*((LMPMain!$J$9:$J$1000)=$F424)*((LMPMain!$O$9:$O$1000)=$C424)*(LMPMain!S$9:S$1000))+(SUMPRODUCT(((Adders!$D$13:$D$101)=$E424)*((Adders!$E$13:$E$101)=$F424)*(Adders!H$13:H$101))+VLOOKUP($H424,Adders!$B$5:$G$8,M$11,FALSE)+Matrix!$D$2)*IF($D424="NJ",1.07,1))/$L$10,CHOOSE($M$10,$L$9,$M$9)))</f>
        <v xml:space="preserve"> 30.46 </v>
      </c>
      <c r="N424" s="177" t="str">
        <f>IF(AND($D$11="IL",$E424="AMEREN"),"NA",TEXT((SUMPRODUCT(((LMPMain!$H$9:$H$1000)=$E424)*((LMPMain!$J$9:$J$1000)=$F424)*((LMPMain!$O$9:$O$1000)=$C424)*(LMPMain!T$9:T$1000))+(SUMPRODUCT(((Adders!$D$13:$D$101)=$E424)*((Adders!$E$13:$E$101)=$F424)*(Adders!G$13:G$101))+VLOOKUP($H424,Adders!$B$5:$G$8,N$11,FALSE)+Matrix!$D$2)*IF($D424="NJ",1.07,1))/$L$10,CHOOSE($M$10,$L$9,$M$9)))</f>
        <v xml:space="preserve"> 30.70 </v>
      </c>
      <c r="O424" s="112"/>
    </row>
    <row r="425" spans="2:15" x14ac:dyDescent="0.25">
      <c r="B425" s="160" t="s">
        <v>675</v>
      </c>
      <c r="C425" s="127">
        <f t="shared" si="11"/>
        <v>42309</v>
      </c>
      <c r="D425" s="128" t="s">
        <v>6</v>
      </c>
      <c r="E425" s="129" t="s">
        <v>17</v>
      </c>
      <c r="F425" s="128" t="s">
        <v>18</v>
      </c>
      <c r="G425" s="129" t="str">
        <f t="shared" si="12"/>
        <v>General Service</v>
      </c>
      <c r="H425" s="130" t="s">
        <v>61</v>
      </c>
      <c r="I425" s="178" t="str">
        <f>TEXT(   (SUMPRODUCT( ((Main!$H$9:$H$1000)=$E425)*((Main!$J$9:$J$1000)=$F425)*((Main!$O$9:$O$1000)=$C425)*(Main!R$9:R$1000) ) +  ( SUMPRODUCT( ((Adders!$D$13:$D$101)=$E425)*((Adders!$E$13:$E$101)=$F425)*(Adders!G$13:G$101)) + VLOOKUP($H425,Adders!$B$5:$G$8,L$11,FALSE)  +  PA!$D$2 ) * IF($D425="NJ",1.07,1))/$L$10, CHOOSE($M$10,$L$9,$M$9) )</f>
        <v xml:space="preserve"> 69.48 </v>
      </c>
      <c r="J425" s="178" t="str">
        <f>TEXT(   (SUMPRODUCT( ((Main!$H$9:$H$1000)=$E425)*((Main!$J$9:$J$1000)=$F425)*((Main!$O$9:$O$1000)=$C425)*(Main!S$9:S$1000) ) +  ( SUMPRODUCT( ((Adders!$D$13:$D$101)=$E425)*((Adders!$E$13:$E$101)=$F425)*(Adders!H$13:H$101)) + VLOOKUP($H425,Adders!$B$5:$G$8,M$11,FALSE)  +  PA!$D$2 ) * IF($D425="NJ",1.07,1))/$L$10, CHOOSE($M$10,$L$9,$M$9) )</f>
        <v xml:space="preserve"> 68.48 </v>
      </c>
      <c r="K425" s="179" t="str">
        <f>TEXT(   (SUMPRODUCT( ((Main!$H$9:$H$1000)=$E425)*((Main!$J$9:$J$1000)=$F425)*((Main!$O$9:$O$1000)=$C425)*(Main!T$9:T$1000) ) +  ( SUMPRODUCT( ((Adders!$D$13:$D$101)=$E425)*((Adders!$E$13:$E$101)=$F425)*(Adders!I$13:I$101)) + VLOOKUP($H425,Adders!$B$5:$G$8,N$11,FALSE)  +  PA!$D$2 ) * IF($D425="NJ",1.07,1))/$L$10, CHOOSE($M$10,$L$9,$M$9) )</f>
        <v xml:space="preserve"> 68.96 </v>
      </c>
      <c r="L425" s="178" t="str">
        <f>IF(AND($D$11="IL",$E425="AMEREN"),"NA",TEXT((SUMPRODUCT(((LMPMain!$H$9:$H$1000)=$E425)*((LMPMain!$J$9:$J$1000)=$F425)*((LMPMain!$O$9:$O$1000)=$C425)*(LMPMain!R$9:R$1000))+(SUMPRODUCT(((Adders!$D$13:$D$101)=$E425)*((Adders!$E$13:$E$101)=$F425)*(Adders!G$13:G$101))+VLOOKUP($H425,Adders!$B$5:$G$8,L$11,FALSE)+Matrix!$D$2)*IF($D425="NJ",1.07,1))/$L$10,CHOOSE($M$10,$L$9,$M$9)))</f>
        <v xml:space="preserve"> 33.99 </v>
      </c>
      <c r="M425" s="178" t="str">
        <f>IF(AND($D$11="IL",$E425="AMEREN"),"NA",TEXT((SUMPRODUCT(((LMPMain!$H$9:$H$1000)=$E425)*((LMPMain!$J$9:$J$1000)=$F425)*((LMPMain!$O$9:$O$1000)=$C425)*(LMPMain!S$9:S$1000))+(SUMPRODUCT(((Adders!$D$13:$D$101)=$E425)*((Adders!$E$13:$E$101)=$F425)*(Adders!H$13:H$101))+VLOOKUP($H425,Adders!$B$5:$G$8,M$11,FALSE)+Matrix!$D$2)*IF($D425="NJ",1.07,1))/$L$10,CHOOSE($M$10,$L$9,$M$9)))</f>
        <v xml:space="preserve"> 32.71 </v>
      </c>
      <c r="N425" s="179" t="str">
        <f>IF(AND($D$11="IL",$E425="AMEREN"),"NA",TEXT((SUMPRODUCT(((LMPMain!$H$9:$H$1000)=$E425)*((LMPMain!$J$9:$J$1000)=$F425)*((LMPMain!$O$9:$O$1000)=$C425)*(LMPMain!T$9:T$1000))+(SUMPRODUCT(((Adders!$D$13:$D$101)=$E425)*((Adders!$E$13:$E$101)=$F425)*(Adders!G$13:G$101))+VLOOKUP($H425,Adders!$B$5:$G$8,N$11,FALSE)+Matrix!$D$2)*IF($D425="NJ",1.07,1))/$L$10,CHOOSE($M$10,$L$9,$M$9)))</f>
        <v xml:space="preserve"> 33.33 </v>
      </c>
      <c r="O425" s="112"/>
    </row>
    <row r="426" spans="2:15" x14ac:dyDescent="0.25">
      <c r="B426" s="160" t="s">
        <v>675</v>
      </c>
      <c r="C426" s="131">
        <f t="shared" si="11"/>
        <v>42309</v>
      </c>
      <c r="D426" s="132" t="s">
        <v>6</v>
      </c>
      <c r="E426" s="133" t="s">
        <v>17</v>
      </c>
      <c r="F426" s="132" t="s">
        <v>18</v>
      </c>
      <c r="G426" s="133" t="str">
        <f t="shared" si="12"/>
        <v>General Service</v>
      </c>
      <c r="H426" s="134" t="s">
        <v>62</v>
      </c>
      <c r="I426" s="173" t="str">
        <f>TEXT(   (SUMPRODUCT( ((Main!$H$9:$H$1000)=$E426)*((Main!$J$9:$J$1000)=$F426)*((Main!$O$9:$O$1000)=$C426)*(Main!R$9:R$1000) ) +  ( SUMPRODUCT( ((Adders!$D$13:$D$101)=$E426)*((Adders!$E$13:$E$101)=$F426)*(Adders!G$13:G$101)) + VLOOKUP($H426,Adders!$B$5:$G$8,L$11,FALSE)  +  PA!$D$2 ) * IF($D426="NJ",1.07,1))/$L$10, CHOOSE($M$10,$L$9,$M$9) )</f>
        <v xml:space="preserve"> 67.88 </v>
      </c>
      <c r="J426" s="173" t="str">
        <f>TEXT(   (SUMPRODUCT( ((Main!$H$9:$H$1000)=$E426)*((Main!$J$9:$J$1000)=$F426)*((Main!$O$9:$O$1000)=$C426)*(Main!S$9:S$1000) ) +  ( SUMPRODUCT( ((Adders!$D$13:$D$101)=$E426)*((Adders!$E$13:$E$101)=$F426)*(Adders!H$13:H$101)) + VLOOKUP($H426,Adders!$B$5:$G$8,M$11,FALSE)  +  PA!$D$2 ) * IF($D426="NJ",1.07,1))/$L$10, CHOOSE($M$10,$L$9,$M$9) )</f>
        <v xml:space="preserve"> 66.88 </v>
      </c>
      <c r="K426" s="174" t="str">
        <f>TEXT(   (SUMPRODUCT( ((Main!$H$9:$H$1000)=$E426)*((Main!$J$9:$J$1000)=$F426)*((Main!$O$9:$O$1000)=$C426)*(Main!T$9:T$1000) ) +  ( SUMPRODUCT( ((Adders!$D$13:$D$101)=$E426)*((Adders!$E$13:$E$101)=$F426)*(Adders!I$13:I$101)) + VLOOKUP($H426,Adders!$B$5:$G$8,N$11,FALSE)  +  PA!$D$2 ) * IF($D426="NJ",1.07,1))/$L$10, CHOOSE($M$10,$L$9,$M$9) )</f>
        <v xml:space="preserve"> 67.36 </v>
      </c>
      <c r="L426" s="173" t="str">
        <f>IF(AND($D$11="IL",$E426="AMEREN"),"NA",TEXT((SUMPRODUCT(((LMPMain!$H$9:$H$1000)=$E426)*((LMPMain!$J$9:$J$1000)=$F426)*((LMPMain!$O$9:$O$1000)=$C426)*(LMPMain!R$9:R$1000))+(SUMPRODUCT(((Adders!$D$13:$D$101)=$E426)*((Adders!$E$13:$E$101)=$F426)*(Adders!G$13:G$101))+VLOOKUP($H426,Adders!$B$5:$G$8,L$11,FALSE)+Matrix!$D$2)*IF($D426="NJ",1.07,1))/$L$10,CHOOSE($M$10,$L$9,$M$9)))</f>
        <v xml:space="preserve"> 32.39 </v>
      </c>
      <c r="M426" s="173" t="str">
        <f>IF(AND($D$11="IL",$E426="AMEREN"),"NA",TEXT((SUMPRODUCT(((LMPMain!$H$9:$H$1000)=$E426)*((LMPMain!$J$9:$J$1000)=$F426)*((LMPMain!$O$9:$O$1000)=$C426)*(LMPMain!S$9:S$1000))+(SUMPRODUCT(((Adders!$D$13:$D$101)=$E426)*((Adders!$E$13:$E$101)=$F426)*(Adders!H$13:H$101))+VLOOKUP($H426,Adders!$B$5:$G$8,M$11,FALSE)+Matrix!$D$2)*IF($D426="NJ",1.07,1))/$L$10,CHOOSE($M$10,$L$9,$M$9)))</f>
        <v xml:space="preserve"> 31.11 </v>
      </c>
      <c r="N426" s="174" t="str">
        <f>IF(AND($D$11="IL",$E426="AMEREN"),"NA",TEXT((SUMPRODUCT(((LMPMain!$H$9:$H$1000)=$E426)*((LMPMain!$J$9:$J$1000)=$F426)*((LMPMain!$O$9:$O$1000)=$C426)*(LMPMain!T$9:T$1000))+(SUMPRODUCT(((Adders!$D$13:$D$101)=$E426)*((Adders!$E$13:$E$101)=$F426)*(Adders!G$13:G$101))+VLOOKUP($H426,Adders!$B$5:$G$8,N$11,FALSE)+Matrix!$D$2)*IF($D426="NJ",1.07,1))/$L$10,CHOOSE($M$10,$L$9,$M$9)))</f>
        <v xml:space="preserve"> 31.73 </v>
      </c>
      <c r="O426" s="112"/>
    </row>
    <row r="427" spans="2:15" x14ac:dyDescent="0.25">
      <c r="B427" s="160" t="s">
        <v>675</v>
      </c>
      <c r="C427" s="135">
        <f t="shared" si="11"/>
        <v>42309</v>
      </c>
      <c r="D427" s="136" t="s">
        <v>6</v>
      </c>
      <c r="E427" s="137" t="s">
        <v>17</v>
      </c>
      <c r="F427" s="136" t="s">
        <v>18</v>
      </c>
      <c r="G427" s="137" t="str">
        <f t="shared" si="12"/>
        <v>General Service</v>
      </c>
      <c r="H427" s="138" t="s">
        <v>690</v>
      </c>
      <c r="I427" s="176" t="str">
        <f>TEXT(   (SUMPRODUCT( ((Main!$H$9:$H$1000)=$E427)*((Main!$J$9:$J$1000)=$F427)*((Main!$O$9:$O$1000)=$C427)*(Main!R$9:R$1000) ) +  ( SUMPRODUCT( ((Adders!$D$13:$D$101)=$E427)*((Adders!$E$13:$E$101)=$F427)*(Adders!G$13:G$101)) + VLOOKUP($H427,Adders!$B$5:$G$8,L$11,FALSE)  +  PA!$D$2 ) * IF($D427="NJ",1.07,1))/$L$10, CHOOSE($M$10,$L$9,$M$9) )</f>
        <v xml:space="preserve"> 66.83 </v>
      </c>
      <c r="J427" s="176" t="str">
        <f>TEXT(   (SUMPRODUCT( ((Main!$H$9:$H$1000)=$E427)*((Main!$J$9:$J$1000)=$F427)*((Main!$O$9:$O$1000)=$C427)*(Main!S$9:S$1000) ) +  ( SUMPRODUCT( ((Adders!$D$13:$D$101)=$E427)*((Adders!$E$13:$E$101)=$F427)*(Adders!H$13:H$101)) + VLOOKUP($H427,Adders!$B$5:$G$8,M$11,FALSE)  +  PA!$D$2 ) * IF($D427="NJ",1.07,1))/$L$10, CHOOSE($M$10,$L$9,$M$9) )</f>
        <v xml:space="preserve"> 65.83 </v>
      </c>
      <c r="K427" s="177" t="str">
        <f>TEXT(   (SUMPRODUCT( ((Main!$H$9:$H$1000)=$E427)*((Main!$J$9:$J$1000)=$F427)*((Main!$O$9:$O$1000)=$C427)*(Main!T$9:T$1000) ) +  ( SUMPRODUCT( ((Adders!$D$13:$D$101)=$E427)*((Adders!$E$13:$E$101)=$F427)*(Adders!I$13:I$101)) + VLOOKUP($H427,Adders!$B$5:$G$8,N$11,FALSE)  +  PA!$D$2 ) * IF($D427="NJ",1.07,1))/$L$10, CHOOSE($M$10,$L$9,$M$9) )</f>
        <v xml:space="preserve"> 66.31 </v>
      </c>
      <c r="L427" s="176" t="str">
        <f>IF(AND($D$11="IL",$E427="AMEREN"),"NA",TEXT((SUMPRODUCT(((LMPMain!$H$9:$H$1000)=$E427)*((LMPMain!$J$9:$J$1000)=$F427)*((LMPMain!$O$9:$O$1000)=$C427)*(LMPMain!R$9:R$1000))+(SUMPRODUCT(((Adders!$D$13:$D$101)=$E427)*((Adders!$E$13:$E$101)=$F427)*(Adders!G$13:G$101))+VLOOKUP($H427,Adders!$B$5:$G$8,L$11,FALSE)+Matrix!$D$2)*IF($D427="NJ",1.07,1))/$L$10,CHOOSE($M$10,$L$9,$M$9)))</f>
        <v xml:space="preserve"> 31.34 </v>
      </c>
      <c r="M427" s="176" t="str">
        <f>IF(AND($D$11="IL",$E427="AMEREN"),"NA",TEXT((SUMPRODUCT(((LMPMain!$H$9:$H$1000)=$E427)*((LMPMain!$J$9:$J$1000)=$F427)*((LMPMain!$O$9:$O$1000)=$C427)*(LMPMain!S$9:S$1000))+(SUMPRODUCT(((Adders!$D$13:$D$101)=$E427)*((Adders!$E$13:$E$101)=$F427)*(Adders!H$13:H$101))+VLOOKUP($H427,Adders!$B$5:$G$8,M$11,FALSE)+Matrix!$D$2)*IF($D427="NJ",1.07,1))/$L$10,CHOOSE($M$10,$L$9,$M$9)))</f>
        <v xml:space="preserve"> 30.06 </v>
      </c>
      <c r="N427" s="177" t="str">
        <f>IF(AND($D$11="IL",$E427="AMEREN"),"NA",TEXT((SUMPRODUCT(((LMPMain!$H$9:$H$1000)=$E427)*((LMPMain!$J$9:$J$1000)=$F427)*((LMPMain!$O$9:$O$1000)=$C427)*(LMPMain!T$9:T$1000))+(SUMPRODUCT(((Adders!$D$13:$D$101)=$E427)*((Adders!$E$13:$E$101)=$F427)*(Adders!G$13:G$101))+VLOOKUP($H427,Adders!$B$5:$G$8,N$11,FALSE)+Matrix!$D$2)*IF($D427="NJ",1.07,1))/$L$10,CHOOSE($M$10,$L$9,$M$9)))</f>
        <v xml:space="preserve"> 30.68 </v>
      </c>
      <c r="O427" s="112"/>
    </row>
    <row r="428" spans="2:15" x14ac:dyDescent="0.25">
      <c r="B428" s="160" t="s">
        <v>675</v>
      </c>
      <c r="C428" s="127">
        <f t="shared" si="11"/>
        <v>42339</v>
      </c>
      <c r="D428" s="128" t="s">
        <v>6</v>
      </c>
      <c r="E428" s="129" t="s">
        <v>17</v>
      </c>
      <c r="F428" s="128" t="s">
        <v>18</v>
      </c>
      <c r="G428" s="129" t="str">
        <f t="shared" si="12"/>
        <v>General Service</v>
      </c>
      <c r="H428" s="130" t="s">
        <v>61</v>
      </c>
      <c r="I428" s="178" t="str">
        <f>TEXT(   (SUMPRODUCT( ((Main!$H$9:$H$1000)=$E428)*((Main!$J$9:$J$1000)=$F428)*((Main!$O$9:$O$1000)=$C428)*(Main!R$9:R$1000) ) +  ( SUMPRODUCT( ((Adders!$D$13:$D$101)=$E428)*((Adders!$E$13:$E$101)=$F428)*(Adders!G$13:G$101)) + VLOOKUP($H428,Adders!$B$5:$G$8,L$11,FALSE)  +  PA!$D$2 ) * IF($D428="NJ",1.07,1))/$L$10, CHOOSE($M$10,$L$9,$M$9) )</f>
        <v xml:space="preserve"> 68.86 </v>
      </c>
      <c r="J428" s="178" t="str">
        <f>TEXT(   (SUMPRODUCT( ((Main!$H$9:$H$1000)=$E428)*((Main!$J$9:$J$1000)=$F428)*((Main!$O$9:$O$1000)=$C428)*(Main!S$9:S$1000) ) +  ( SUMPRODUCT( ((Adders!$D$13:$D$101)=$E428)*((Adders!$E$13:$E$101)=$F428)*(Adders!H$13:H$101)) + VLOOKUP($H428,Adders!$B$5:$G$8,M$11,FALSE)  +  PA!$D$2 ) * IF($D428="NJ",1.07,1))/$L$10, CHOOSE($M$10,$L$9,$M$9) )</f>
        <v xml:space="preserve"> 68.33 </v>
      </c>
      <c r="K428" s="179" t="str">
        <f>TEXT(   (SUMPRODUCT( ((Main!$H$9:$H$1000)=$E428)*((Main!$J$9:$J$1000)=$F428)*((Main!$O$9:$O$1000)=$C428)*(Main!T$9:T$1000) ) +  ( SUMPRODUCT( ((Adders!$D$13:$D$101)=$E428)*((Adders!$E$13:$E$101)=$F428)*(Adders!I$13:I$101)) + VLOOKUP($H428,Adders!$B$5:$G$8,N$11,FALSE)  +  PA!$D$2 ) * IF($D428="NJ",1.07,1))/$L$10, CHOOSE($M$10,$L$9,$M$9) )</f>
        <v xml:space="preserve"> 68.95 </v>
      </c>
      <c r="L428" s="178" t="str">
        <f>IF(AND($D$11="IL",$E428="AMEREN"),"NA",TEXT((SUMPRODUCT(((LMPMain!$H$9:$H$1000)=$E428)*((LMPMain!$J$9:$J$1000)=$F428)*((LMPMain!$O$9:$O$1000)=$C428)*(LMPMain!R$9:R$1000))+(SUMPRODUCT(((Adders!$D$13:$D$101)=$E428)*((Adders!$E$13:$E$101)=$F428)*(Adders!G$13:G$101))+VLOOKUP($H428,Adders!$B$5:$G$8,L$11,FALSE)+Matrix!$D$2)*IF($D428="NJ",1.07,1))/$L$10,CHOOSE($M$10,$L$9,$M$9)))</f>
        <v xml:space="preserve"> 33.36 </v>
      </c>
      <c r="M428" s="178" t="str">
        <f>IF(AND($D$11="IL",$E428="AMEREN"),"NA",TEXT((SUMPRODUCT(((LMPMain!$H$9:$H$1000)=$E428)*((LMPMain!$J$9:$J$1000)=$F428)*((LMPMain!$O$9:$O$1000)=$C428)*(LMPMain!S$9:S$1000))+(SUMPRODUCT(((Adders!$D$13:$D$101)=$E428)*((Adders!$E$13:$E$101)=$F428)*(Adders!H$13:H$101))+VLOOKUP($H428,Adders!$B$5:$G$8,M$11,FALSE)+Matrix!$D$2)*IF($D428="NJ",1.07,1))/$L$10,CHOOSE($M$10,$L$9,$M$9)))</f>
        <v xml:space="preserve"> 32.26 </v>
      </c>
      <c r="N428" s="179" t="str">
        <f>IF(AND($D$11="IL",$E428="AMEREN"),"NA",TEXT((SUMPRODUCT(((LMPMain!$H$9:$H$1000)=$E428)*((LMPMain!$J$9:$J$1000)=$F428)*((LMPMain!$O$9:$O$1000)=$C428)*(LMPMain!T$9:T$1000))+(SUMPRODUCT(((Adders!$D$13:$D$101)=$E428)*((Adders!$E$13:$E$101)=$F428)*(Adders!G$13:G$101))+VLOOKUP($H428,Adders!$B$5:$G$8,N$11,FALSE)+Matrix!$D$2)*IF($D428="NJ",1.07,1))/$L$10,CHOOSE($M$10,$L$9,$M$9)))</f>
        <v xml:space="preserve"> 33.30 </v>
      </c>
      <c r="O428" s="112"/>
    </row>
    <row r="429" spans="2:15" x14ac:dyDescent="0.25">
      <c r="B429" s="160" t="s">
        <v>675</v>
      </c>
      <c r="C429" s="131">
        <f t="shared" si="11"/>
        <v>42339</v>
      </c>
      <c r="D429" s="132" t="s">
        <v>6</v>
      </c>
      <c r="E429" s="133" t="s">
        <v>17</v>
      </c>
      <c r="F429" s="132" t="s">
        <v>18</v>
      </c>
      <c r="G429" s="133" t="str">
        <f t="shared" si="12"/>
        <v>General Service</v>
      </c>
      <c r="H429" s="134" t="s">
        <v>62</v>
      </c>
      <c r="I429" s="173" t="str">
        <f>TEXT(   (SUMPRODUCT( ((Main!$H$9:$H$1000)=$E429)*((Main!$J$9:$J$1000)=$F429)*((Main!$O$9:$O$1000)=$C429)*(Main!R$9:R$1000) ) +  ( SUMPRODUCT( ((Adders!$D$13:$D$101)=$E429)*((Adders!$E$13:$E$101)=$F429)*(Adders!G$13:G$101)) + VLOOKUP($H429,Adders!$B$5:$G$8,L$11,FALSE)  +  PA!$D$2 ) * IF($D429="NJ",1.07,1))/$L$10, CHOOSE($M$10,$L$9,$M$9) )</f>
        <v xml:space="preserve"> 67.26 </v>
      </c>
      <c r="J429" s="173" t="str">
        <f>TEXT(   (SUMPRODUCT( ((Main!$H$9:$H$1000)=$E429)*((Main!$J$9:$J$1000)=$F429)*((Main!$O$9:$O$1000)=$C429)*(Main!S$9:S$1000) ) +  ( SUMPRODUCT( ((Adders!$D$13:$D$101)=$E429)*((Adders!$E$13:$E$101)=$F429)*(Adders!H$13:H$101)) + VLOOKUP($H429,Adders!$B$5:$G$8,M$11,FALSE)  +  PA!$D$2 ) * IF($D429="NJ",1.07,1))/$L$10, CHOOSE($M$10,$L$9,$M$9) )</f>
        <v xml:space="preserve"> 66.73 </v>
      </c>
      <c r="K429" s="174" t="str">
        <f>TEXT(   (SUMPRODUCT( ((Main!$H$9:$H$1000)=$E429)*((Main!$J$9:$J$1000)=$F429)*((Main!$O$9:$O$1000)=$C429)*(Main!T$9:T$1000) ) +  ( SUMPRODUCT( ((Adders!$D$13:$D$101)=$E429)*((Adders!$E$13:$E$101)=$F429)*(Adders!I$13:I$101)) + VLOOKUP($H429,Adders!$B$5:$G$8,N$11,FALSE)  +  PA!$D$2 ) * IF($D429="NJ",1.07,1))/$L$10, CHOOSE($M$10,$L$9,$M$9) )</f>
        <v xml:space="preserve"> 67.35 </v>
      </c>
      <c r="L429" s="173" t="str">
        <f>IF(AND($D$11="IL",$E429="AMEREN"),"NA",TEXT((SUMPRODUCT(((LMPMain!$H$9:$H$1000)=$E429)*((LMPMain!$J$9:$J$1000)=$F429)*((LMPMain!$O$9:$O$1000)=$C429)*(LMPMain!R$9:R$1000))+(SUMPRODUCT(((Adders!$D$13:$D$101)=$E429)*((Adders!$E$13:$E$101)=$F429)*(Adders!G$13:G$101))+VLOOKUP($H429,Adders!$B$5:$G$8,L$11,FALSE)+Matrix!$D$2)*IF($D429="NJ",1.07,1))/$L$10,CHOOSE($M$10,$L$9,$M$9)))</f>
        <v xml:space="preserve"> 31.76 </v>
      </c>
      <c r="M429" s="173" t="str">
        <f>IF(AND($D$11="IL",$E429="AMEREN"),"NA",TEXT((SUMPRODUCT(((LMPMain!$H$9:$H$1000)=$E429)*((LMPMain!$J$9:$J$1000)=$F429)*((LMPMain!$O$9:$O$1000)=$C429)*(LMPMain!S$9:S$1000))+(SUMPRODUCT(((Adders!$D$13:$D$101)=$E429)*((Adders!$E$13:$E$101)=$F429)*(Adders!H$13:H$101))+VLOOKUP($H429,Adders!$B$5:$G$8,M$11,FALSE)+Matrix!$D$2)*IF($D429="NJ",1.07,1))/$L$10,CHOOSE($M$10,$L$9,$M$9)))</f>
        <v xml:space="preserve"> 30.66 </v>
      </c>
      <c r="N429" s="174" t="str">
        <f>IF(AND($D$11="IL",$E429="AMEREN"),"NA",TEXT((SUMPRODUCT(((LMPMain!$H$9:$H$1000)=$E429)*((LMPMain!$J$9:$J$1000)=$F429)*((LMPMain!$O$9:$O$1000)=$C429)*(LMPMain!T$9:T$1000))+(SUMPRODUCT(((Adders!$D$13:$D$101)=$E429)*((Adders!$E$13:$E$101)=$F429)*(Adders!G$13:G$101))+VLOOKUP($H429,Adders!$B$5:$G$8,N$11,FALSE)+Matrix!$D$2)*IF($D429="NJ",1.07,1))/$L$10,CHOOSE($M$10,$L$9,$M$9)))</f>
        <v xml:space="preserve"> 31.70 </v>
      </c>
      <c r="O429" s="112"/>
    </row>
    <row r="430" spans="2:15" x14ac:dyDescent="0.25">
      <c r="B430" s="160" t="s">
        <v>675</v>
      </c>
      <c r="C430" s="135">
        <f t="shared" si="11"/>
        <v>42339</v>
      </c>
      <c r="D430" s="136" t="s">
        <v>6</v>
      </c>
      <c r="E430" s="137" t="s">
        <v>17</v>
      </c>
      <c r="F430" s="136" t="s">
        <v>18</v>
      </c>
      <c r="G430" s="137" t="str">
        <f t="shared" si="12"/>
        <v>General Service</v>
      </c>
      <c r="H430" s="138" t="s">
        <v>690</v>
      </c>
      <c r="I430" s="176" t="str">
        <f>TEXT(   (SUMPRODUCT( ((Main!$H$9:$H$1000)=$E430)*((Main!$J$9:$J$1000)=$F430)*((Main!$O$9:$O$1000)=$C430)*(Main!R$9:R$1000) ) +  ( SUMPRODUCT( ((Adders!$D$13:$D$101)=$E430)*((Adders!$E$13:$E$101)=$F430)*(Adders!G$13:G$101)) + VLOOKUP($H430,Adders!$B$5:$G$8,L$11,FALSE)  +  PA!$D$2 ) * IF($D430="NJ",1.07,1))/$L$10, CHOOSE($M$10,$L$9,$M$9) )</f>
        <v xml:space="preserve"> 66.21 </v>
      </c>
      <c r="J430" s="176" t="str">
        <f>TEXT(   (SUMPRODUCT( ((Main!$H$9:$H$1000)=$E430)*((Main!$J$9:$J$1000)=$F430)*((Main!$O$9:$O$1000)=$C430)*(Main!S$9:S$1000) ) +  ( SUMPRODUCT( ((Adders!$D$13:$D$101)=$E430)*((Adders!$E$13:$E$101)=$F430)*(Adders!H$13:H$101)) + VLOOKUP($H430,Adders!$B$5:$G$8,M$11,FALSE)  +  PA!$D$2 ) * IF($D430="NJ",1.07,1))/$L$10, CHOOSE($M$10,$L$9,$M$9) )</f>
        <v xml:space="preserve"> 65.68 </v>
      </c>
      <c r="K430" s="177" t="str">
        <f>TEXT(   (SUMPRODUCT( ((Main!$H$9:$H$1000)=$E430)*((Main!$J$9:$J$1000)=$F430)*((Main!$O$9:$O$1000)=$C430)*(Main!T$9:T$1000) ) +  ( SUMPRODUCT( ((Adders!$D$13:$D$101)=$E430)*((Adders!$E$13:$E$101)=$F430)*(Adders!I$13:I$101)) + VLOOKUP($H430,Adders!$B$5:$G$8,N$11,FALSE)  +  PA!$D$2 ) * IF($D430="NJ",1.07,1))/$L$10, CHOOSE($M$10,$L$9,$M$9) )</f>
        <v xml:space="preserve"> 66.30 </v>
      </c>
      <c r="L430" s="176" t="str">
        <f>IF(AND($D$11="IL",$E430="AMEREN"),"NA",TEXT((SUMPRODUCT(((LMPMain!$H$9:$H$1000)=$E430)*((LMPMain!$J$9:$J$1000)=$F430)*((LMPMain!$O$9:$O$1000)=$C430)*(LMPMain!R$9:R$1000))+(SUMPRODUCT(((Adders!$D$13:$D$101)=$E430)*((Adders!$E$13:$E$101)=$F430)*(Adders!G$13:G$101))+VLOOKUP($H430,Adders!$B$5:$G$8,L$11,FALSE)+Matrix!$D$2)*IF($D430="NJ",1.07,1))/$L$10,CHOOSE($M$10,$L$9,$M$9)))</f>
        <v xml:space="preserve"> 30.71 </v>
      </c>
      <c r="M430" s="176" t="str">
        <f>IF(AND($D$11="IL",$E430="AMEREN"),"NA",TEXT((SUMPRODUCT(((LMPMain!$H$9:$H$1000)=$E430)*((LMPMain!$J$9:$J$1000)=$F430)*((LMPMain!$O$9:$O$1000)=$C430)*(LMPMain!S$9:S$1000))+(SUMPRODUCT(((Adders!$D$13:$D$101)=$E430)*((Adders!$E$13:$E$101)=$F430)*(Adders!H$13:H$101))+VLOOKUP($H430,Adders!$B$5:$G$8,M$11,FALSE)+Matrix!$D$2)*IF($D430="NJ",1.07,1))/$L$10,CHOOSE($M$10,$L$9,$M$9)))</f>
        <v xml:space="preserve"> 29.61 </v>
      </c>
      <c r="N430" s="177" t="str">
        <f>IF(AND($D$11="IL",$E430="AMEREN"),"NA",TEXT((SUMPRODUCT(((LMPMain!$H$9:$H$1000)=$E430)*((LMPMain!$J$9:$J$1000)=$F430)*((LMPMain!$O$9:$O$1000)=$C430)*(LMPMain!T$9:T$1000))+(SUMPRODUCT(((Adders!$D$13:$D$101)=$E430)*((Adders!$E$13:$E$101)=$F430)*(Adders!G$13:G$101))+VLOOKUP($H430,Adders!$B$5:$G$8,N$11,FALSE)+Matrix!$D$2)*IF($D430="NJ",1.07,1))/$L$10,CHOOSE($M$10,$L$9,$M$9)))</f>
        <v xml:space="preserve"> 30.65 </v>
      </c>
      <c r="O430" s="112"/>
    </row>
    <row r="431" spans="2:15" x14ac:dyDescent="0.25">
      <c r="B431" s="160" t="s">
        <v>675</v>
      </c>
      <c r="C431" s="127">
        <f t="shared" si="11"/>
        <v>42370</v>
      </c>
      <c r="D431" s="128" t="s">
        <v>6</v>
      </c>
      <c r="E431" s="129" t="s">
        <v>17</v>
      </c>
      <c r="F431" s="128" t="s">
        <v>18</v>
      </c>
      <c r="G431" s="129" t="str">
        <f t="shared" si="12"/>
        <v>General Service</v>
      </c>
      <c r="H431" s="130" t="s">
        <v>61</v>
      </c>
      <c r="I431" s="178" t="str">
        <f>TEXT(   (SUMPRODUCT( ((Main!$H$9:$H$1000)=$E431)*((Main!$J$9:$J$1000)=$F431)*((Main!$O$9:$O$1000)=$C431)*(Main!R$9:R$1000) ) +  ( SUMPRODUCT( ((Adders!$D$13:$D$101)=$E431)*((Adders!$E$13:$E$101)=$F431)*(Adders!G$13:G$101)) + VLOOKUP($H431,Adders!$B$5:$G$8,L$11,FALSE)  +  PA!$D$2 ) * IF($D431="NJ",1.07,1))/$L$10, CHOOSE($M$10,$L$9,$M$9) )</f>
        <v xml:space="preserve"> 68.07 </v>
      </c>
      <c r="J431" s="178" t="str">
        <f>TEXT(   (SUMPRODUCT( ((Main!$H$9:$H$1000)=$E431)*((Main!$J$9:$J$1000)=$F431)*((Main!$O$9:$O$1000)=$C431)*(Main!S$9:S$1000) ) +  ( SUMPRODUCT( ((Adders!$D$13:$D$101)=$E431)*((Adders!$E$13:$E$101)=$F431)*(Adders!H$13:H$101)) + VLOOKUP($H431,Adders!$B$5:$G$8,M$11,FALSE)  +  PA!$D$2 ) * IF($D431="NJ",1.07,1))/$L$10, CHOOSE($M$10,$L$9,$M$9) )</f>
        <v xml:space="preserve"> 68.31 </v>
      </c>
      <c r="K431" s="179" t="str">
        <f>TEXT(   (SUMPRODUCT( ((Main!$H$9:$H$1000)=$E431)*((Main!$J$9:$J$1000)=$F431)*((Main!$O$9:$O$1000)=$C431)*(Main!T$9:T$1000) ) +  ( SUMPRODUCT( ((Adders!$D$13:$D$101)=$E431)*((Adders!$E$13:$E$101)=$F431)*(Adders!I$13:I$101)) + VLOOKUP($H431,Adders!$B$5:$G$8,N$11,FALSE)  +  PA!$D$2 ) * IF($D431="NJ",1.07,1))/$L$10, CHOOSE($M$10,$L$9,$M$9) )</f>
        <v xml:space="preserve"> 68.86 </v>
      </c>
      <c r="L431" s="178" t="str">
        <f>IF(AND($D$11="IL",$E431="AMEREN"),"NA",TEXT((SUMPRODUCT(((LMPMain!$H$9:$H$1000)=$E431)*((LMPMain!$J$9:$J$1000)=$F431)*((LMPMain!$O$9:$O$1000)=$C431)*(LMPMain!R$9:R$1000))+(SUMPRODUCT(((Adders!$D$13:$D$101)=$E431)*((Adders!$E$13:$E$101)=$F431)*(Adders!G$13:G$101))+VLOOKUP($H431,Adders!$B$5:$G$8,L$11,FALSE)+Matrix!$D$2)*IF($D431="NJ",1.07,1))/$L$10,CHOOSE($M$10,$L$9,$M$9)))</f>
        <v xml:space="preserve"> 32.73 </v>
      </c>
      <c r="M431" s="178" t="str">
        <f>IF(AND($D$11="IL",$E431="AMEREN"),"NA",TEXT((SUMPRODUCT(((LMPMain!$H$9:$H$1000)=$E431)*((LMPMain!$J$9:$J$1000)=$F431)*((LMPMain!$O$9:$O$1000)=$C431)*(LMPMain!S$9:S$1000))+(SUMPRODUCT(((Adders!$D$13:$D$101)=$E431)*((Adders!$E$13:$E$101)=$F431)*(Adders!H$13:H$101))+VLOOKUP($H431,Adders!$B$5:$G$8,M$11,FALSE)+Matrix!$D$2)*IF($D431="NJ",1.07,1))/$L$10,CHOOSE($M$10,$L$9,$M$9)))</f>
        <v xml:space="preserve"> 32.18 </v>
      </c>
      <c r="N431" s="179" t="str">
        <f>IF(AND($D$11="IL",$E431="AMEREN"),"NA",TEXT((SUMPRODUCT(((LMPMain!$H$9:$H$1000)=$E431)*((LMPMain!$J$9:$J$1000)=$F431)*((LMPMain!$O$9:$O$1000)=$C431)*(LMPMain!T$9:T$1000))+(SUMPRODUCT(((Adders!$D$13:$D$101)=$E431)*((Adders!$E$13:$E$101)=$F431)*(Adders!G$13:G$101))+VLOOKUP($H431,Adders!$B$5:$G$8,N$11,FALSE)+Matrix!$D$2)*IF($D431="NJ",1.07,1))/$L$10,CHOOSE($M$10,$L$9,$M$9)))</f>
        <v xml:space="preserve"> 33.29 </v>
      </c>
      <c r="O431" s="112"/>
    </row>
    <row r="432" spans="2:15" x14ac:dyDescent="0.25">
      <c r="B432" s="160" t="s">
        <v>675</v>
      </c>
      <c r="C432" s="131">
        <f t="shared" si="11"/>
        <v>42370</v>
      </c>
      <c r="D432" s="132" t="s">
        <v>6</v>
      </c>
      <c r="E432" s="133" t="s">
        <v>17</v>
      </c>
      <c r="F432" s="132" t="s">
        <v>18</v>
      </c>
      <c r="G432" s="133" t="str">
        <f t="shared" si="12"/>
        <v>General Service</v>
      </c>
      <c r="H432" s="134" t="s">
        <v>62</v>
      </c>
      <c r="I432" s="173" t="str">
        <f>TEXT(   (SUMPRODUCT( ((Main!$H$9:$H$1000)=$E432)*((Main!$J$9:$J$1000)=$F432)*((Main!$O$9:$O$1000)=$C432)*(Main!R$9:R$1000) ) +  ( SUMPRODUCT( ((Adders!$D$13:$D$101)=$E432)*((Adders!$E$13:$E$101)=$F432)*(Adders!G$13:G$101)) + VLOOKUP($H432,Adders!$B$5:$G$8,L$11,FALSE)  +  PA!$D$2 ) * IF($D432="NJ",1.07,1))/$L$10, CHOOSE($M$10,$L$9,$M$9) )</f>
        <v xml:space="preserve"> 66.47 </v>
      </c>
      <c r="J432" s="173" t="str">
        <f>TEXT(   (SUMPRODUCT( ((Main!$H$9:$H$1000)=$E432)*((Main!$J$9:$J$1000)=$F432)*((Main!$O$9:$O$1000)=$C432)*(Main!S$9:S$1000) ) +  ( SUMPRODUCT( ((Adders!$D$13:$D$101)=$E432)*((Adders!$E$13:$E$101)=$F432)*(Adders!H$13:H$101)) + VLOOKUP($H432,Adders!$B$5:$G$8,M$11,FALSE)  +  PA!$D$2 ) * IF($D432="NJ",1.07,1))/$L$10, CHOOSE($M$10,$L$9,$M$9) )</f>
        <v xml:space="preserve"> 66.71 </v>
      </c>
      <c r="K432" s="174" t="str">
        <f>TEXT(   (SUMPRODUCT( ((Main!$H$9:$H$1000)=$E432)*((Main!$J$9:$J$1000)=$F432)*((Main!$O$9:$O$1000)=$C432)*(Main!T$9:T$1000) ) +  ( SUMPRODUCT( ((Adders!$D$13:$D$101)=$E432)*((Adders!$E$13:$E$101)=$F432)*(Adders!I$13:I$101)) + VLOOKUP($H432,Adders!$B$5:$G$8,N$11,FALSE)  +  PA!$D$2 ) * IF($D432="NJ",1.07,1))/$L$10, CHOOSE($M$10,$L$9,$M$9) )</f>
        <v xml:space="preserve"> 67.26 </v>
      </c>
      <c r="L432" s="173" t="str">
        <f>IF(AND($D$11="IL",$E432="AMEREN"),"NA",TEXT((SUMPRODUCT(((LMPMain!$H$9:$H$1000)=$E432)*((LMPMain!$J$9:$J$1000)=$F432)*((LMPMain!$O$9:$O$1000)=$C432)*(LMPMain!R$9:R$1000))+(SUMPRODUCT(((Adders!$D$13:$D$101)=$E432)*((Adders!$E$13:$E$101)=$F432)*(Adders!G$13:G$101))+VLOOKUP($H432,Adders!$B$5:$G$8,L$11,FALSE)+Matrix!$D$2)*IF($D432="NJ",1.07,1))/$L$10,CHOOSE($M$10,$L$9,$M$9)))</f>
        <v xml:space="preserve"> 31.13 </v>
      </c>
      <c r="M432" s="173" t="str">
        <f>IF(AND($D$11="IL",$E432="AMEREN"),"NA",TEXT((SUMPRODUCT(((LMPMain!$H$9:$H$1000)=$E432)*((LMPMain!$J$9:$J$1000)=$F432)*((LMPMain!$O$9:$O$1000)=$C432)*(LMPMain!S$9:S$1000))+(SUMPRODUCT(((Adders!$D$13:$D$101)=$E432)*((Adders!$E$13:$E$101)=$F432)*(Adders!H$13:H$101))+VLOOKUP($H432,Adders!$B$5:$G$8,M$11,FALSE)+Matrix!$D$2)*IF($D432="NJ",1.07,1))/$L$10,CHOOSE($M$10,$L$9,$M$9)))</f>
        <v xml:space="preserve"> 30.58 </v>
      </c>
      <c r="N432" s="174" t="str">
        <f>IF(AND($D$11="IL",$E432="AMEREN"),"NA",TEXT((SUMPRODUCT(((LMPMain!$H$9:$H$1000)=$E432)*((LMPMain!$J$9:$J$1000)=$F432)*((LMPMain!$O$9:$O$1000)=$C432)*(LMPMain!T$9:T$1000))+(SUMPRODUCT(((Adders!$D$13:$D$101)=$E432)*((Adders!$E$13:$E$101)=$F432)*(Adders!G$13:G$101))+VLOOKUP($H432,Adders!$B$5:$G$8,N$11,FALSE)+Matrix!$D$2)*IF($D432="NJ",1.07,1))/$L$10,CHOOSE($M$10,$L$9,$M$9)))</f>
        <v xml:space="preserve"> 31.69 </v>
      </c>
      <c r="O432" s="112"/>
    </row>
    <row r="433" spans="2:15" x14ac:dyDescent="0.25">
      <c r="B433" s="160" t="s">
        <v>675</v>
      </c>
      <c r="C433" s="135">
        <f t="shared" si="11"/>
        <v>42370</v>
      </c>
      <c r="D433" s="136" t="s">
        <v>6</v>
      </c>
      <c r="E433" s="137" t="s">
        <v>17</v>
      </c>
      <c r="F433" s="136" t="s">
        <v>18</v>
      </c>
      <c r="G433" s="137" t="str">
        <f t="shared" si="12"/>
        <v>General Service</v>
      </c>
      <c r="H433" s="138" t="s">
        <v>690</v>
      </c>
      <c r="I433" s="176" t="str">
        <f>TEXT(   (SUMPRODUCT( ((Main!$H$9:$H$1000)=$E433)*((Main!$J$9:$J$1000)=$F433)*((Main!$O$9:$O$1000)=$C433)*(Main!R$9:R$1000) ) +  ( SUMPRODUCT( ((Adders!$D$13:$D$101)=$E433)*((Adders!$E$13:$E$101)=$F433)*(Adders!G$13:G$101)) + VLOOKUP($H433,Adders!$B$5:$G$8,L$11,FALSE)  +  PA!$D$2 ) * IF($D433="NJ",1.07,1))/$L$10, CHOOSE($M$10,$L$9,$M$9) )</f>
        <v xml:space="preserve"> 65.42 </v>
      </c>
      <c r="J433" s="176" t="str">
        <f>TEXT(   (SUMPRODUCT( ((Main!$H$9:$H$1000)=$E433)*((Main!$J$9:$J$1000)=$F433)*((Main!$O$9:$O$1000)=$C433)*(Main!S$9:S$1000) ) +  ( SUMPRODUCT( ((Adders!$D$13:$D$101)=$E433)*((Adders!$E$13:$E$101)=$F433)*(Adders!H$13:H$101)) + VLOOKUP($H433,Adders!$B$5:$G$8,M$11,FALSE)  +  PA!$D$2 ) * IF($D433="NJ",1.07,1))/$L$10, CHOOSE($M$10,$L$9,$M$9) )</f>
        <v xml:space="preserve"> 65.66 </v>
      </c>
      <c r="K433" s="177" t="str">
        <f>TEXT(   (SUMPRODUCT( ((Main!$H$9:$H$1000)=$E433)*((Main!$J$9:$J$1000)=$F433)*((Main!$O$9:$O$1000)=$C433)*(Main!T$9:T$1000) ) +  ( SUMPRODUCT( ((Adders!$D$13:$D$101)=$E433)*((Adders!$E$13:$E$101)=$F433)*(Adders!I$13:I$101)) + VLOOKUP($H433,Adders!$B$5:$G$8,N$11,FALSE)  +  PA!$D$2 ) * IF($D433="NJ",1.07,1))/$L$10, CHOOSE($M$10,$L$9,$M$9) )</f>
        <v xml:space="preserve"> 66.21 </v>
      </c>
      <c r="L433" s="176" t="str">
        <f>IF(AND($D$11="IL",$E433="AMEREN"),"NA",TEXT((SUMPRODUCT(((LMPMain!$H$9:$H$1000)=$E433)*((LMPMain!$J$9:$J$1000)=$F433)*((LMPMain!$O$9:$O$1000)=$C433)*(LMPMain!R$9:R$1000))+(SUMPRODUCT(((Adders!$D$13:$D$101)=$E433)*((Adders!$E$13:$E$101)=$F433)*(Adders!G$13:G$101))+VLOOKUP($H433,Adders!$B$5:$G$8,L$11,FALSE)+Matrix!$D$2)*IF($D433="NJ",1.07,1))/$L$10,CHOOSE($M$10,$L$9,$M$9)))</f>
        <v xml:space="preserve"> 30.08 </v>
      </c>
      <c r="M433" s="176" t="str">
        <f>IF(AND($D$11="IL",$E433="AMEREN"),"NA",TEXT((SUMPRODUCT(((LMPMain!$H$9:$H$1000)=$E433)*((LMPMain!$J$9:$J$1000)=$F433)*((LMPMain!$O$9:$O$1000)=$C433)*(LMPMain!S$9:S$1000))+(SUMPRODUCT(((Adders!$D$13:$D$101)=$E433)*((Adders!$E$13:$E$101)=$F433)*(Adders!H$13:H$101))+VLOOKUP($H433,Adders!$B$5:$G$8,M$11,FALSE)+Matrix!$D$2)*IF($D433="NJ",1.07,1))/$L$10,CHOOSE($M$10,$L$9,$M$9)))</f>
        <v xml:space="preserve"> 29.53 </v>
      </c>
      <c r="N433" s="177" t="str">
        <f>IF(AND($D$11="IL",$E433="AMEREN"),"NA",TEXT((SUMPRODUCT(((LMPMain!$H$9:$H$1000)=$E433)*((LMPMain!$J$9:$J$1000)=$F433)*((LMPMain!$O$9:$O$1000)=$C433)*(LMPMain!T$9:T$1000))+(SUMPRODUCT(((Adders!$D$13:$D$101)=$E433)*((Adders!$E$13:$E$101)=$F433)*(Adders!G$13:G$101))+VLOOKUP($H433,Adders!$B$5:$G$8,N$11,FALSE)+Matrix!$D$2)*IF($D433="NJ",1.07,1))/$L$10,CHOOSE($M$10,$L$9,$M$9)))</f>
        <v xml:space="preserve"> 30.64 </v>
      </c>
      <c r="O433" s="112"/>
    </row>
    <row r="434" spans="2:15" x14ac:dyDescent="0.25">
      <c r="B434" s="160" t="s">
        <v>675</v>
      </c>
      <c r="C434" s="127">
        <f t="shared" si="11"/>
        <v>42401</v>
      </c>
      <c r="D434" s="128" t="s">
        <v>6</v>
      </c>
      <c r="E434" s="129" t="s">
        <v>17</v>
      </c>
      <c r="F434" s="128" t="s">
        <v>18</v>
      </c>
      <c r="G434" s="129" t="str">
        <f t="shared" si="12"/>
        <v>General Service</v>
      </c>
      <c r="H434" s="130" t="s">
        <v>61</v>
      </c>
      <c r="I434" s="178" t="str">
        <f>TEXT(   (SUMPRODUCT( ((Main!$H$9:$H$1000)=$E434)*((Main!$J$9:$J$1000)=$F434)*((Main!$O$9:$O$1000)=$C434)*(Main!R$9:R$1000) ) +  ( SUMPRODUCT( ((Adders!$D$13:$D$101)=$E434)*((Adders!$E$13:$E$101)=$F434)*(Adders!G$13:G$101)) + VLOOKUP($H434,Adders!$B$5:$G$8,L$11,FALSE)  +  PA!$D$2 ) * IF($D434="NJ",1.07,1))/$L$10, CHOOSE($M$10,$L$9,$M$9) )</f>
        <v xml:space="preserve"> 67.57 </v>
      </c>
      <c r="J434" s="178" t="str">
        <f>TEXT(   (SUMPRODUCT( ((Main!$H$9:$H$1000)=$E434)*((Main!$J$9:$J$1000)=$F434)*((Main!$O$9:$O$1000)=$C434)*(Main!S$9:S$1000) ) +  ( SUMPRODUCT( ((Adders!$D$13:$D$101)=$E434)*((Adders!$E$13:$E$101)=$F434)*(Adders!H$13:H$101)) + VLOOKUP($H434,Adders!$B$5:$G$8,M$11,FALSE)  +  PA!$D$2 ) * IF($D434="NJ",1.07,1))/$L$10, CHOOSE($M$10,$L$9,$M$9) )</f>
        <v xml:space="preserve"> 68.31 </v>
      </c>
      <c r="K434" s="179" t="str">
        <f>TEXT(   (SUMPRODUCT( ((Main!$H$9:$H$1000)=$E434)*((Main!$J$9:$J$1000)=$F434)*((Main!$O$9:$O$1000)=$C434)*(Main!T$9:T$1000) ) +  ( SUMPRODUCT( ((Adders!$D$13:$D$101)=$E434)*((Adders!$E$13:$E$101)=$F434)*(Adders!I$13:I$101)) + VLOOKUP($H434,Adders!$B$5:$G$8,N$11,FALSE)  +  PA!$D$2 ) * IF($D434="NJ",1.07,1))/$L$10, CHOOSE($M$10,$L$9,$M$9) )</f>
        <v xml:space="preserve"> 69.00 </v>
      </c>
      <c r="L434" s="178" t="str">
        <f>IF(AND($D$11="IL",$E434="AMEREN"),"NA",TEXT((SUMPRODUCT(((LMPMain!$H$9:$H$1000)=$E434)*((LMPMain!$J$9:$J$1000)=$F434)*((LMPMain!$O$9:$O$1000)=$C434)*(LMPMain!R$9:R$1000))+(SUMPRODUCT(((Adders!$D$13:$D$101)=$E434)*((Adders!$E$13:$E$101)=$F434)*(Adders!G$13:G$101))+VLOOKUP($H434,Adders!$B$5:$G$8,L$11,FALSE)+Matrix!$D$2)*IF($D434="NJ",1.07,1))/$L$10,CHOOSE($M$10,$L$9,$M$9)))</f>
        <v xml:space="preserve"> 32.08 </v>
      </c>
      <c r="M434" s="178" t="str">
        <f>IF(AND($D$11="IL",$E434="AMEREN"),"NA",TEXT((SUMPRODUCT(((LMPMain!$H$9:$H$1000)=$E434)*((LMPMain!$J$9:$J$1000)=$F434)*((LMPMain!$O$9:$O$1000)=$C434)*(LMPMain!S$9:S$1000))+(SUMPRODUCT(((Adders!$D$13:$D$101)=$E434)*((Adders!$E$13:$E$101)=$F434)*(Adders!H$13:H$101))+VLOOKUP($H434,Adders!$B$5:$G$8,M$11,FALSE)+Matrix!$D$2)*IF($D434="NJ",1.07,1))/$L$10,CHOOSE($M$10,$L$9,$M$9)))</f>
        <v xml:space="preserve"> 32.06 </v>
      </c>
      <c r="N434" s="179" t="str">
        <f>IF(AND($D$11="IL",$E434="AMEREN"),"NA",TEXT((SUMPRODUCT(((LMPMain!$H$9:$H$1000)=$E434)*((LMPMain!$J$9:$J$1000)=$F434)*((LMPMain!$O$9:$O$1000)=$C434)*(LMPMain!T$9:T$1000))+(SUMPRODUCT(((Adders!$D$13:$D$101)=$E434)*((Adders!$E$13:$E$101)=$F434)*(Adders!G$13:G$101))+VLOOKUP($H434,Adders!$B$5:$G$8,N$11,FALSE)+Matrix!$D$2)*IF($D434="NJ",1.07,1))/$L$10,CHOOSE($M$10,$L$9,$M$9)))</f>
        <v xml:space="preserve"> 33.27 </v>
      </c>
      <c r="O434" s="112"/>
    </row>
    <row r="435" spans="2:15" x14ac:dyDescent="0.25">
      <c r="B435" s="160" t="s">
        <v>675</v>
      </c>
      <c r="C435" s="131">
        <f t="shared" ref="C435:C445" si="13">C399</f>
        <v>42401</v>
      </c>
      <c r="D435" s="132" t="s">
        <v>6</v>
      </c>
      <c r="E435" s="133" t="s">
        <v>17</v>
      </c>
      <c r="F435" s="132" t="s">
        <v>18</v>
      </c>
      <c r="G435" s="133" t="str">
        <f t="shared" ref="G435:G445" si="14">G434</f>
        <v>General Service</v>
      </c>
      <c r="H435" s="134" t="s">
        <v>62</v>
      </c>
      <c r="I435" s="173" t="str">
        <f>TEXT(   (SUMPRODUCT( ((Main!$H$9:$H$1000)=$E435)*((Main!$J$9:$J$1000)=$F435)*((Main!$O$9:$O$1000)=$C435)*(Main!R$9:R$1000) ) +  ( SUMPRODUCT( ((Adders!$D$13:$D$101)=$E435)*((Adders!$E$13:$E$101)=$F435)*(Adders!G$13:G$101)) + VLOOKUP($H435,Adders!$B$5:$G$8,L$11,FALSE)  +  PA!$D$2 ) * IF($D435="NJ",1.07,1))/$L$10, CHOOSE($M$10,$L$9,$M$9) )</f>
        <v xml:space="preserve"> 65.97 </v>
      </c>
      <c r="J435" s="173" t="str">
        <f>TEXT(   (SUMPRODUCT( ((Main!$H$9:$H$1000)=$E435)*((Main!$J$9:$J$1000)=$F435)*((Main!$O$9:$O$1000)=$C435)*(Main!S$9:S$1000) ) +  ( SUMPRODUCT( ((Adders!$D$13:$D$101)=$E435)*((Adders!$E$13:$E$101)=$F435)*(Adders!H$13:H$101)) + VLOOKUP($H435,Adders!$B$5:$G$8,M$11,FALSE)  +  PA!$D$2 ) * IF($D435="NJ",1.07,1))/$L$10, CHOOSE($M$10,$L$9,$M$9) )</f>
        <v xml:space="preserve"> 66.71 </v>
      </c>
      <c r="K435" s="174" t="str">
        <f>TEXT(   (SUMPRODUCT( ((Main!$H$9:$H$1000)=$E435)*((Main!$J$9:$J$1000)=$F435)*((Main!$O$9:$O$1000)=$C435)*(Main!T$9:T$1000) ) +  ( SUMPRODUCT( ((Adders!$D$13:$D$101)=$E435)*((Adders!$E$13:$E$101)=$F435)*(Adders!I$13:I$101)) + VLOOKUP($H435,Adders!$B$5:$G$8,N$11,FALSE)  +  PA!$D$2 ) * IF($D435="NJ",1.07,1))/$L$10, CHOOSE($M$10,$L$9,$M$9) )</f>
        <v xml:space="preserve"> 67.40 </v>
      </c>
      <c r="L435" s="173" t="str">
        <f>IF(AND($D$11="IL",$E435="AMEREN"),"NA",TEXT((SUMPRODUCT(((LMPMain!$H$9:$H$1000)=$E435)*((LMPMain!$J$9:$J$1000)=$F435)*((LMPMain!$O$9:$O$1000)=$C435)*(LMPMain!R$9:R$1000))+(SUMPRODUCT(((Adders!$D$13:$D$101)=$E435)*((Adders!$E$13:$E$101)=$F435)*(Adders!G$13:G$101))+VLOOKUP($H435,Adders!$B$5:$G$8,L$11,FALSE)+Matrix!$D$2)*IF($D435="NJ",1.07,1))/$L$10,CHOOSE($M$10,$L$9,$M$9)))</f>
        <v xml:space="preserve"> 30.48 </v>
      </c>
      <c r="M435" s="173" t="str">
        <f>IF(AND($D$11="IL",$E435="AMEREN"),"NA",TEXT((SUMPRODUCT(((LMPMain!$H$9:$H$1000)=$E435)*((LMPMain!$J$9:$J$1000)=$F435)*((LMPMain!$O$9:$O$1000)=$C435)*(LMPMain!S$9:S$1000))+(SUMPRODUCT(((Adders!$D$13:$D$101)=$E435)*((Adders!$E$13:$E$101)=$F435)*(Adders!H$13:H$101))+VLOOKUP($H435,Adders!$B$5:$G$8,M$11,FALSE)+Matrix!$D$2)*IF($D435="NJ",1.07,1))/$L$10,CHOOSE($M$10,$L$9,$M$9)))</f>
        <v xml:space="preserve"> 30.46 </v>
      </c>
      <c r="N435" s="174" t="str">
        <f>IF(AND($D$11="IL",$E435="AMEREN"),"NA",TEXT((SUMPRODUCT(((LMPMain!$H$9:$H$1000)=$E435)*((LMPMain!$J$9:$J$1000)=$F435)*((LMPMain!$O$9:$O$1000)=$C435)*(LMPMain!T$9:T$1000))+(SUMPRODUCT(((Adders!$D$13:$D$101)=$E435)*((Adders!$E$13:$E$101)=$F435)*(Adders!G$13:G$101))+VLOOKUP($H435,Adders!$B$5:$G$8,N$11,FALSE)+Matrix!$D$2)*IF($D435="NJ",1.07,1))/$L$10,CHOOSE($M$10,$L$9,$M$9)))</f>
        <v xml:space="preserve"> 31.67 </v>
      </c>
      <c r="O435" s="112"/>
    </row>
    <row r="436" spans="2:15" x14ac:dyDescent="0.25">
      <c r="B436" s="160" t="s">
        <v>675</v>
      </c>
      <c r="C436" s="135">
        <f t="shared" si="13"/>
        <v>42401</v>
      </c>
      <c r="D436" s="136" t="s">
        <v>6</v>
      </c>
      <c r="E436" s="137" t="s">
        <v>17</v>
      </c>
      <c r="F436" s="136" t="s">
        <v>18</v>
      </c>
      <c r="G436" s="137" t="str">
        <f t="shared" si="14"/>
        <v>General Service</v>
      </c>
      <c r="H436" s="138" t="s">
        <v>690</v>
      </c>
      <c r="I436" s="176" t="str">
        <f>TEXT(   (SUMPRODUCT( ((Main!$H$9:$H$1000)=$E436)*((Main!$J$9:$J$1000)=$F436)*((Main!$O$9:$O$1000)=$C436)*(Main!R$9:R$1000) ) +  ( SUMPRODUCT( ((Adders!$D$13:$D$101)=$E436)*((Adders!$E$13:$E$101)=$F436)*(Adders!G$13:G$101)) + VLOOKUP($H436,Adders!$B$5:$G$8,L$11,FALSE)  +  PA!$D$2 ) * IF($D436="NJ",1.07,1))/$L$10, CHOOSE($M$10,$L$9,$M$9) )</f>
        <v xml:space="preserve"> 64.92 </v>
      </c>
      <c r="J436" s="176" t="str">
        <f>TEXT(   (SUMPRODUCT( ((Main!$H$9:$H$1000)=$E436)*((Main!$J$9:$J$1000)=$F436)*((Main!$O$9:$O$1000)=$C436)*(Main!S$9:S$1000) ) +  ( SUMPRODUCT( ((Adders!$D$13:$D$101)=$E436)*((Adders!$E$13:$E$101)=$F436)*(Adders!H$13:H$101)) + VLOOKUP($H436,Adders!$B$5:$G$8,M$11,FALSE)  +  PA!$D$2 ) * IF($D436="NJ",1.07,1))/$L$10, CHOOSE($M$10,$L$9,$M$9) )</f>
        <v xml:space="preserve"> 65.66 </v>
      </c>
      <c r="K436" s="177" t="str">
        <f>TEXT(   (SUMPRODUCT( ((Main!$H$9:$H$1000)=$E436)*((Main!$J$9:$J$1000)=$F436)*((Main!$O$9:$O$1000)=$C436)*(Main!T$9:T$1000) ) +  ( SUMPRODUCT( ((Adders!$D$13:$D$101)=$E436)*((Adders!$E$13:$E$101)=$F436)*(Adders!I$13:I$101)) + VLOOKUP($H436,Adders!$B$5:$G$8,N$11,FALSE)  +  PA!$D$2 ) * IF($D436="NJ",1.07,1))/$L$10, CHOOSE($M$10,$L$9,$M$9) )</f>
        <v xml:space="preserve"> 66.35 </v>
      </c>
      <c r="L436" s="176" t="str">
        <f>IF(AND($D$11="IL",$E436="AMEREN"),"NA",TEXT((SUMPRODUCT(((LMPMain!$H$9:$H$1000)=$E436)*((LMPMain!$J$9:$J$1000)=$F436)*((LMPMain!$O$9:$O$1000)=$C436)*(LMPMain!R$9:R$1000))+(SUMPRODUCT(((Adders!$D$13:$D$101)=$E436)*((Adders!$E$13:$E$101)=$F436)*(Adders!G$13:G$101))+VLOOKUP($H436,Adders!$B$5:$G$8,L$11,FALSE)+Matrix!$D$2)*IF($D436="NJ",1.07,1))/$L$10,CHOOSE($M$10,$L$9,$M$9)))</f>
        <v xml:space="preserve"> 29.43 </v>
      </c>
      <c r="M436" s="176" t="str">
        <f>IF(AND($D$11="IL",$E436="AMEREN"),"NA",TEXT((SUMPRODUCT(((LMPMain!$H$9:$H$1000)=$E436)*((LMPMain!$J$9:$J$1000)=$F436)*((LMPMain!$O$9:$O$1000)=$C436)*(LMPMain!S$9:S$1000))+(SUMPRODUCT(((Adders!$D$13:$D$101)=$E436)*((Adders!$E$13:$E$101)=$F436)*(Adders!H$13:H$101))+VLOOKUP($H436,Adders!$B$5:$G$8,M$11,FALSE)+Matrix!$D$2)*IF($D436="NJ",1.07,1))/$L$10,CHOOSE($M$10,$L$9,$M$9)))</f>
        <v xml:space="preserve"> 29.41 </v>
      </c>
      <c r="N436" s="177" t="str">
        <f>IF(AND($D$11="IL",$E436="AMEREN"),"NA",TEXT((SUMPRODUCT(((LMPMain!$H$9:$H$1000)=$E436)*((LMPMain!$J$9:$J$1000)=$F436)*((LMPMain!$O$9:$O$1000)=$C436)*(LMPMain!T$9:T$1000))+(SUMPRODUCT(((Adders!$D$13:$D$101)=$E436)*((Adders!$E$13:$E$101)=$F436)*(Adders!G$13:G$101))+VLOOKUP($H436,Adders!$B$5:$G$8,N$11,FALSE)+Matrix!$D$2)*IF($D436="NJ",1.07,1))/$L$10,CHOOSE($M$10,$L$9,$M$9)))</f>
        <v xml:space="preserve"> 30.62 </v>
      </c>
      <c r="O436" s="112"/>
    </row>
    <row r="437" spans="2:15" x14ac:dyDescent="0.25">
      <c r="B437" s="160" t="s">
        <v>675</v>
      </c>
      <c r="C437" s="127">
        <f t="shared" si="13"/>
        <v>42430</v>
      </c>
      <c r="D437" s="128" t="s">
        <v>6</v>
      </c>
      <c r="E437" s="129" t="s">
        <v>17</v>
      </c>
      <c r="F437" s="128" t="s">
        <v>18</v>
      </c>
      <c r="G437" s="129" t="str">
        <f t="shared" si="14"/>
        <v>General Service</v>
      </c>
      <c r="H437" s="130" t="s">
        <v>61</v>
      </c>
      <c r="I437" s="178" t="str">
        <f>TEXT(   (SUMPRODUCT( ((Main!$H$9:$H$1000)=$E437)*((Main!$J$9:$J$1000)=$F437)*((Main!$O$9:$O$1000)=$C437)*(Main!R$9:R$1000) ) +  ( SUMPRODUCT( ((Adders!$D$13:$D$101)=$E437)*((Adders!$E$13:$E$101)=$F437)*(Adders!G$13:G$101)) + VLOOKUP($H437,Adders!$B$5:$G$8,L$11,FALSE)  +  PA!$D$2 ) * IF($D437="NJ",1.07,1))/$L$10, CHOOSE($M$10,$L$9,$M$9) )</f>
        <v xml:space="preserve"> 67.10 </v>
      </c>
      <c r="J437" s="178" t="str">
        <f>TEXT(   (SUMPRODUCT( ((Main!$H$9:$H$1000)=$E437)*((Main!$J$9:$J$1000)=$F437)*((Main!$O$9:$O$1000)=$C437)*(Main!S$9:S$1000) ) +  ( SUMPRODUCT( ((Adders!$D$13:$D$101)=$E437)*((Adders!$E$13:$E$101)=$F437)*(Adders!H$13:H$101)) + VLOOKUP($H437,Adders!$B$5:$G$8,M$11,FALSE)  +  PA!$D$2 ) * IF($D437="NJ",1.07,1))/$L$10, CHOOSE($M$10,$L$9,$M$9) )</f>
        <v xml:space="preserve"> 68.28 </v>
      </c>
      <c r="K437" s="179" t="str">
        <f>TEXT(   (SUMPRODUCT( ((Main!$H$9:$H$1000)=$E437)*((Main!$J$9:$J$1000)=$F437)*((Main!$O$9:$O$1000)=$C437)*(Main!T$9:T$1000) ) +  ( SUMPRODUCT( ((Adders!$D$13:$D$101)=$E437)*((Adders!$E$13:$E$101)=$F437)*(Adders!I$13:I$101)) + VLOOKUP($H437,Adders!$B$5:$G$8,N$11,FALSE)  +  PA!$D$2 ) * IF($D437="NJ",1.07,1))/$L$10, CHOOSE($M$10,$L$9,$M$9) )</f>
        <v xml:space="preserve"> 69.13 </v>
      </c>
      <c r="L437" s="178" t="str">
        <f>IF(AND($D$11="IL",$E437="AMEREN"),"NA",TEXT((SUMPRODUCT(((LMPMain!$H$9:$H$1000)=$E437)*((LMPMain!$J$9:$J$1000)=$F437)*((LMPMain!$O$9:$O$1000)=$C437)*(LMPMain!R$9:R$1000))+(SUMPRODUCT(((Adders!$D$13:$D$101)=$E437)*((Adders!$E$13:$E$101)=$F437)*(Adders!G$13:G$101))+VLOOKUP($H437,Adders!$B$5:$G$8,L$11,FALSE)+Matrix!$D$2)*IF($D437="NJ",1.07,1))/$L$10,CHOOSE($M$10,$L$9,$M$9)))</f>
        <v xml:space="preserve"> 31.49 </v>
      </c>
      <c r="M437" s="178" t="str">
        <f>IF(AND($D$11="IL",$E437="AMEREN"),"NA",TEXT((SUMPRODUCT(((LMPMain!$H$9:$H$1000)=$E437)*((LMPMain!$J$9:$J$1000)=$F437)*((LMPMain!$O$9:$O$1000)=$C437)*(LMPMain!S$9:S$1000))+(SUMPRODUCT(((Adders!$D$13:$D$101)=$E437)*((Adders!$E$13:$E$101)=$F437)*(Adders!H$13:H$101))+VLOOKUP($H437,Adders!$B$5:$G$8,M$11,FALSE)+Matrix!$D$2)*IF($D437="NJ",1.07,1))/$L$10,CHOOSE($M$10,$L$9,$M$9)))</f>
        <v xml:space="preserve"> 31.99 </v>
      </c>
      <c r="N437" s="179" t="str">
        <f>IF(AND($D$11="IL",$E437="AMEREN"),"NA",TEXT((SUMPRODUCT(((LMPMain!$H$9:$H$1000)=$E437)*((LMPMain!$J$9:$J$1000)=$F437)*((LMPMain!$O$9:$O$1000)=$C437)*(LMPMain!T$9:T$1000))+(SUMPRODUCT(((Adders!$D$13:$D$101)=$E437)*((Adders!$E$13:$E$101)=$F437)*(Adders!G$13:G$101))+VLOOKUP($H437,Adders!$B$5:$G$8,N$11,FALSE)+Matrix!$D$2)*IF($D437="NJ",1.07,1))/$L$10,CHOOSE($M$10,$L$9,$M$9)))</f>
        <v xml:space="preserve"> 33.25 </v>
      </c>
      <c r="O437" s="112"/>
    </row>
    <row r="438" spans="2:15" x14ac:dyDescent="0.25">
      <c r="B438" s="160" t="s">
        <v>675</v>
      </c>
      <c r="C438" s="131">
        <f t="shared" si="13"/>
        <v>42430</v>
      </c>
      <c r="D438" s="132" t="s">
        <v>6</v>
      </c>
      <c r="E438" s="133" t="s">
        <v>17</v>
      </c>
      <c r="F438" s="132" t="s">
        <v>18</v>
      </c>
      <c r="G438" s="133" t="str">
        <f t="shared" si="14"/>
        <v>General Service</v>
      </c>
      <c r="H438" s="134" t="s">
        <v>62</v>
      </c>
      <c r="I438" s="173" t="str">
        <f>TEXT(   (SUMPRODUCT( ((Main!$H$9:$H$1000)=$E438)*((Main!$J$9:$J$1000)=$F438)*((Main!$O$9:$O$1000)=$C438)*(Main!R$9:R$1000) ) +  ( SUMPRODUCT( ((Adders!$D$13:$D$101)=$E438)*((Adders!$E$13:$E$101)=$F438)*(Adders!G$13:G$101)) + VLOOKUP($H438,Adders!$B$5:$G$8,L$11,FALSE)  +  PA!$D$2 ) * IF($D438="NJ",1.07,1))/$L$10, CHOOSE($M$10,$L$9,$M$9) )</f>
        <v xml:space="preserve"> 65.50 </v>
      </c>
      <c r="J438" s="173" t="str">
        <f>TEXT(   (SUMPRODUCT( ((Main!$H$9:$H$1000)=$E438)*((Main!$J$9:$J$1000)=$F438)*((Main!$O$9:$O$1000)=$C438)*(Main!S$9:S$1000) ) +  ( SUMPRODUCT( ((Adders!$D$13:$D$101)=$E438)*((Adders!$E$13:$E$101)=$F438)*(Adders!H$13:H$101)) + VLOOKUP($H438,Adders!$B$5:$G$8,M$11,FALSE)  +  PA!$D$2 ) * IF($D438="NJ",1.07,1))/$L$10, CHOOSE($M$10,$L$9,$M$9) )</f>
        <v xml:space="preserve"> 66.68 </v>
      </c>
      <c r="K438" s="174" t="str">
        <f>TEXT(   (SUMPRODUCT( ((Main!$H$9:$H$1000)=$E438)*((Main!$J$9:$J$1000)=$F438)*((Main!$O$9:$O$1000)=$C438)*(Main!T$9:T$1000) ) +  ( SUMPRODUCT( ((Adders!$D$13:$D$101)=$E438)*((Adders!$E$13:$E$101)=$F438)*(Adders!I$13:I$101)) + VLOOKUP($H438,Adders!$B$5:$G$8,N$11,FALSE)  +  PA!$D$2 ) * IF($D438="NJ",1.07,1))/$L$10, CHOOSE($M$10,$L$9,$M$9) )</f>
        <v xml:space="preserve"> 67.53 </v>
      </c>
      <c r="L438" s="173" t="str">
        <f>IF(AND($D$11="IL",$E438="AMEREN"),"NA",TEXT((SUMPRODUCT(((LMPMain!$H$9:$H$1000)=$E438)*((LMPMain!$J$9:$J$1000)=$F438)*((LMPMain!$O$9:$O$1000)=$C438)*(LMPMain!R$9:R$1000))+(SUMPRODUCT(((Adders!$D$13:$D$101)=$E438)*((Adders!$E$13:$E$101)=$F438)*(Adders!G$13:G$101))+VLOOKUP($H438,Adders!$B$5:$G$8,L$11,FALSE)+Matrix!$D$2)*IF($D438="NJ",1.07,1))/$L$10,CHOOSE($M$10,$L$9,$M$9)))</f>
        <v xml:space="preserve"> 29.89 </v>
      </c>
      <c r="M438" s="173" t="str">
        <f>IF(AND($D$11="IL",$E438="AMEREN"),"NA",TEXT((SUMPRODUCT(((LMPMain!$H$9:$H$1000)=$E438)*((LMPMain!$J$9:$J$1000)=$F438)*((LMPMain!$O$9:$O$1000)=$C438)*(LMPMain!S$9:S$1000))+(SUMPRODUCT(((Adders!$D$13:$D$101)=$E438)*((Adders!$E$13:$E$101)=$F438)*(Adders!H$13:H$101))+VLOOKUP($H438,Adders!$B$5:$G$8,M$11,FALSE)+Matrix!$D$2)*IF($D438="NJ",1.07,1))/$L$10,CHOOSE($M$10,$L$9,$M$9)))</f>
        <v xml:space="preserve"> 30.39 </v>
      </c>
      <c r="N438" s="174" t="str">
        <f>IF(AND($D$11="IL",$E438="AMEREN"),"NA",TEXT((SUMPRODUCT(((LMPMain!$H$9:$H$1000)=$E438)*((LMPMain!$J$9:$J$1000)=$F438)*((LMPMain!$O$9:$O$1000)=$C438)*(LMPMain!T$9:T$1000))+(SUMPRODUCT(((Adders!$D$13:$D$101)=$E438)*((Adders!$E$13:$E$101)=$F438)*(Adders!G$13:G$101))+VLOOKUP($H438,Adders!$B$5:$G$8,N$11,FALSE)+Matrix!$D$2)*IF($D438="NJ",1.07,1))/$L$10,CHOOSE($M$10,$L$9,$M$9)))</f>
        <v xml:space="preserve"> 31.65 </v>
      </c>
      <c r="O438" s="112"/>
    </row>
    <row r="439" spans="2:15" x14ac:dyDescent="0.25">
      <c r="B439" s="160" t="s">
        <v>675</v>
      </c>
      <c r="C439" s="135">
        <f t="shared" si="13"/>
        <v>42430</v>
      </c>
      <c r="D439" s="136" t="s">
        <v>6</v>
      </c>
      <c r="E439" s="137" t="s">
        <v>17</v>
      </c>
      <c r="F439" s="136" t="s">
        <v>18</v>
      </c>
      <c r="G439" s="137" t="str">
        <f t="shared" si="14"/>
        <v>General Service</v>
      </c>
      <c r="H439" s="138" t="s">
        <v>690</v>
      </c>
      <c r="I439" s="176" t="str">
        <f>TEXT(   (SUMPRODUCT( ((Main!$H$9:$H$1000)=$E439)*((Main!$J$9:$J$1000)=$F439)*((Main!$O$9:$O$1000)=$C439)*(Main!R$9:R$1000) ) +  ( SUMPRODUCT( ((Adders!$D$13:$D$101)=$E439)*((Adders!$E$13:$E$101)=$F439)*(Adders!G$13:G$101)) + VLOOKUP($H439,Adders!$B$5:$G$8,L$11,FALSE)  +  PA!$D$2 ) * IF($D439="NJ",1.07,1))/$L$10, CHOOSE($M$10,$L$9,$M$9) )</f>
        <v xml:space="preserve"> 64.45 </v>
      </c>
      <c r="J439" s="176" t="str">
        <f>TEXT(   (SUMPRODUCT( ((Main!$H$9:$H$1000)=$E439)*((Main!$J$9:$J$1000)=$F439)*((Main!$O$9:$O$1000)=$C439)*(Main!S$9:S$1000) ) +  ( SUMPRODUCT( ((Adders!$D$13:$D$101)=$E439)*((Adders!$E$13:$E$101)=$F439)*(Adders!H$13:H$101)) + VLOOKUP($H439,Adders!$B$5:$G$8,M$11,FALSE)  +  PA!$D$2 ) * IF($D439="NJ",1.07,1))/$L$10, CHOOSE($M$10,$L$9,$M$9) )</f>
        <v xml:space="preserve"> 65.63 </v>
      </c>
      <c r="K439" s="177" t="str">
        <f>TEXT(   (SUMPRODUCT( ((Main!$H$9:$H$1000)=$E439)*((Main!$J$9:$J$1000)=$F439)*((Main!$O$9:$O$1000)=$C439)*(Main!T$9:T$1000) ) +  ( SUMPRODUCT( ((Adders!$D$13:$D$101)=$E439)*((Adders!$E$13:$E$101)=$F439)*(Adders!I$13:I$101)) + VLOOKUP($H439,Adders!$B$5:$G$8,N$11,FALSE)  +  PA!$D$2 ) * IF($D439="NJ",1.07,1))/$L$10, CHOOSE($M$10,$L$9,$M$9) )</f>
        <v xml:space="preserve"> 66.48 </v>
      </c>
      <c r="L439" s="176" t="str">
        <f>IF(AND($D$11="IL",$E439="AMEREN"),"NA",TEXT((SUMPRODUCT(((LMPMain!$H$9:$H$1000)=$E439)*((LMPMain!$J$9:$J$1000)=$F439)*((LMPMain!$O$9:$O$1000)=$C439)*(LMPMain!R$9:R$1000))+(SUMPRODUCT(((Adders!$D$13:$D$101)=$E439)*((Adders!$E$13:$E$101)=$F439)*(Adders!G$13:G$101))+VLOOKUP($H439,Adders!$B$5:$G$8,L$11,FALSE)+Matrix!$D$2)*IF($D439="NJ",1.07,1))/$L$10,CHOOSE($M$10,$L$9,$M$9)))</f>
        <v xml:space="preserve"> 28.84 </v>
      </c>
      <c r="M439" s="176" t="str">
        <f>IF(AND($D$11="IL",$E439="AMEREN"),"NA",TEXT((SUMPRODUCT(((LMPMain!$H$9:$H$1000)=$E439)*((LMPMain!$J$9:$J$1000)=$F439)*((LMPMain!$O$9:$O$1000)=$C439)*(LMPMain!S$9:S$1000))+(SUMPRODUCT(((Adders!$D$13:$D$101)=$E439)*((Adders!$E$13:$E$101)=$F439)*(Adders!H$13:H$101))+VLOOKUP($H439,Adders!$B$5:$G$8,M$11,FALSE)+Matrix!$D$2)*IF($D439="NJ",1.07,1))/$L$10,CHOOSE($M$10,$L$9,$M$9)))</f>
        <v xml:space="preserve"> 29.34 </v>
      </c>
      <c r="N439" s="177" t="str">
        <f>IF(AND($D$11="IL",$E439="AMEREN"),"NA",TEXT((SUMPRODUCT(((LMPMain!$H$9:$H$1000)=$E439)*((LMPMain!$J$9:$J$1000)=$F439)*((LMPMain!$O$9:$O$1000)=$C439)*(LMPMain!T$9:T$1000))+(SUMPRODUCT(((Adders!$D$13:$D$101)=$E439)*((Adders!$E$13:$E$101)=$F439)*(Adders!G$13:G$101))+VLOOKUP($H439,Adders!$B$5:$G$8,N$11,FALSE)+Matrix!$D$2)*IF($D439="NJ",1.07,1))/$L$10,CHOOSE($M$10,$L$9,$M$9)))</f>
        <v xml:space="preserve"> 30.60 </v>
      </c>
      <c r="O439" s="112"/>
    </row>
    <row r="440" spans="2:15" x14ac:dyDescent="0.25">
      <c r="B440" s="160" t="s">
        <v>675</v>
      </c>
      <c r="C440" s="127">
        <f t="shared" si="13"/>
        <v>42461</v>
      </c>
      <c r="D440" s="128" t="s">
        <v>6</v>
      </c>
      <c r="E440" s="129" t="s">
        <v>17</v>
      </c>
      <c r="F440" s="128" t="s">
        <v>18</v>
      </c>
      <c r="G440" s="129" t="str">
        <f t="shared" si="14"/>
        <v>General Service</v>
      </c>
      <c r="H440" s="130" t="s">
        <v>61</v>
      </c>
      <c r="I440" s="178" t="str">
        <f>TEXT(   (SUMPRODUCT( ((Main!$H$9:$H$1000)=$E440)*((Main!$J$9:$J$1000)=$F440)*((Main!$O$9:$O$1000)=$C440)*(Main!R$9:R$1000) ) +  ( SUMPRODUCT( ((Adders!$D$13:$D$101)=$E440)*((Adders!$E$13:$E$101)=$F440)*(Adders!G$13:G$101)) + VLOOKUP($H440,Adders!$B$5:$G$8,L$11,FALSE)  +  PA!$D$2 ) * IF($D440="NJ",1.07,1))/$L$10, CHOOSE($M$10,$L$9,$M$9) )</f>
        <v xml:space="preserve"> 66.56 </v>
      </c>
      <c r="J440" s="178" t="str">
        <f>TEXT(   (SUMPRODUCT( ((Main!$H$9:$H$1000)=$E440)*((Main!$J$9:$J$1000)=$F440)*((Main!$O$9:$O$1000)=$C440)*(Main!S$9:S$1000) ) +  ( SUMPRODUCT( ((Adders!$D$13:$D$101)=$E440)*((Adders!$E$13:$E$101)=$F440)*(Adders!H$13:H$101)) + VLOOKUP($H440,Adders!$B$5:$G$8,M$11,FALSE)  +  PA!$D$2 ) * IF($D440="NJ",1.07,1))/$L$10, CHOOSE($M$10,$L$9,$M$9) )</f>
        <v xml:space="preserve"> 67.76 </v>
      </c>
      <c r="K440" s="179" t="str">
        <f>TEXT(   (SUMPRODUCT( ((Main!$H$9:$H$1000)=$E440)*((Main!$J$9:$J$1000)=$F440)*((Main!$O$9:$O$1000)=$C440)*(Main!T$9:T$1000) ) +  ( SUMPRODUCT( ((Adders!$D$13:$D$101)=$E440)*((Adders!$E$13:$E$101)=$F440)*(Adders!I$13:I$101)) + VLOOKUP($H440,Adders!$B$5:$G$8,N$11,FALSE)  +  PA!$D$2 ) * IF($D440="NJ",1.07,1))/$L$10, CHOOSE($M$10,$L$9,$M$9) )</f>
        <v xml:space="preserve"> 69.11 </v>
      </c>
      <c r="L440" s="178" t="str">
        <f>IF(AND($D$11="IL",$E440="AMEREN"),"NA",TEXT((SUMPRODUCT(((LMPMain!$H$9:$H$1000)=$E440)*((LMPMain!$J$9:$J$1000)=$F440)*((LMPMain!$O$9:$O$1000)=$C440)*(LMPMain!R$9:R$1000))+(SUMPRODUCT(((Adders!$D$13:$D$101)=$E440)*((Adders!$E$13:$E$101)=$F440)*(Adders!G$13:G$101))+VLOOKUP($H440,Adders!$B$5:$G$8,L$11,FALSE)+Matrix!$D$2)*IF($D440="NJ",1.07,1))/$L$10,CHOOSE($M$10,$L$9,$M$9)))</f>
        <v xml:space="preserve"> 30.87 </v>
      </c>
      <c r="M440" s="178" t="str">
        <f>IF(AND($D$11="IL",$E440="AMEREN"),"NA",TEXT((SUMPRODUCT(((LMPMain!$H$9:$H$1000)=$E440)*((LMPMain!$J$9:$J$1000)=$F440)*((LMPMain!$O$9:$O$1000)=$C440)*(LMPMain!S$9:S$1000))+(SUMPRODUCT(((Adders!$D$13:$D$101)=$E440)*((Adders!$E$13:$E$101)=$F440)*(Adders!H$13:H$101))+VLOOKUP($H440,Adders!$B$5:$G$8,M$11,FALSE)+Matrix!$D$2)*IF($D440="NJ",1.07,1))/$L$10,CHOOSE($M$10,$L$9,$M$9)))</f>
        <v xml:space="preserve"> 31.94 </v>
      </c>
      <c r="N440" s="179" t="str">
        <f>IF(AND($D$11="IL",$E440="AMEREN"),"NA",TEXT((SUMPRODUCT(((LMPMain!$H$9:$H$1000)=$E440)*((LMPMain!$J$9:$J$1000)=$F440)*((LMPMain!$O$9:$O$1000)=$C440)*(LMPMain!T$9:T$1000))+(SUMPRODUCT(((Adders!$D$13:$D$101)=$E440)*((Adders!$E$13:$E$101)=$F440)*(Adders!G$13:G$101))+VLOOKUP($H440,Adders!$B$5:$G$8,N$11,FALSE)+Matrix!$D$2)*IF($D440="NJ",1.07,1))/$L$10,CHOOSE($M$10,$L$9,$M$9)))</f>
        <v xml:space="preserve"> 33.25 </v>
      </c>
      <c r="O440" s="112"/>
    </row>
    <row r="441" spans="2:15" x14ac:dyDescent="0.25">
      <c r="B441" s="160" t="s">
        <v>675</v>
      </c>
      <c r="C441" s="131">
        <f t="shared" si="13"/>
        <v>42461</v>
      </c>
      <c r="D441" s="132" t="s">
        <v>6</v>
      </c>
      <c r="E441" s="133" t="s">
        <v>17</v>
      </c>
      <c r="F441" s="132" t="s">
        <v>18</v>
      </c>
      <c r="G441" s="133" t="str">
        <f t="shared" si="14"/>
        <v>General Service</v>
      </c>
      <c r="H441" s="134" t="s">
        <v>62</v>
      </c>
      <c r="I441" s="173" t="str">
        <f>TEXT(   (SUMPRODUCT( ((Main!$H$9:$H$1000)=$E441)*((Main!$J$9:$J$1000)=$F441)*((Main!$O$9:$O$1000)=$C441)*(Main!R$9:R$1000) ) +  ( SUMPRODUCT( ((Adders!$D$13:$D$101)=$E441)*((Adders!$E$13:$E$101)=$F441)*(Adders!G$13:G$101)) + VLOOKUP($H441,Adders!$B$5:$G$8,L$11,FALSE)  +  PA!$D$2 ) * IF($D441="NJ",1.07,1))/$L$10, CHOOSE($M$10,$L$9,$M$9) )</f>
        <v xml:space="preserve"> 64.96 </v>
      </c>
      <c r="J441" s="173" t="str">
        <f>TEXT(   (SUMPRODUCT( ((Main!$H$9:$H$1000)=$E441)*((Main!$J$9:$J$1000)=$F441)*((Main!$O$9:$O$1000)=$C441)*(Main!S$9:S$1000) ) +  ( SUMPRODUCT( ((Adders!$D$13:$D$101)=$E441)*((Adders!$E$13:$E$101)=$F441)*(Adders!H$13:H$101)) + VLOOKUP($H441,Adders!$B$5:$G$8,M$11,FALSE)  +  PA!$D$2 ) * IF($D441="NJ",1.07,1))/$L$10, CHOOSE($M$10,$L$9,$M$9) )</f>
        <v xml:space="preserve"> 66.16 </v>
      </c>
      <c r="K441" s="174" t="str">
        <f>TEXT(   (SUMPRODUCT( ((Main!$H$9:$H$1000)=$E441)*((Main!$J$9:$J$1000)=$F441)*((Main!$O$9:$O$1000)=$C441)*(Main!T$9:T$1000) ) +  ( SUMPRODUCT( ((Adders!$D$13:$D$101)=$E441)*((Adders!$E$13:$E$101)=$F441)*(Adders!I$13:I$101)) + VLOOKUP($H441,Adders!$B$5:$G$8,N$11,FALSE)  +  PA!$D$2 ) * IF($D441="NJ",1.07,1))/$L$10, CHOOSE($M$10,$L$9,$M$9) )</f>
        <v xml:space="preserve"> 67.51 </v>
      </c>
      <c r="L441" s="173" t="str">
        <f>IF(AND($D$11="IL",$E441="AMEREN"),"NA",TEXT((SUMPRODUCT(((LMPMain!$H$9:$H$1000)=$E441)*((LMPMain!$J$9:$J$1000)=$F441)*((LMPMain!$O$9:$O$1000)=$C441)*(LMPMain!R$9:R$1000))+(SUMPRODUCT(((Adders!$D$13:$D$101)=$E441)*((Adders!$E$13:$E$101)=$F441)*(Adders!G$13:G$101))+VLOOKUP($H441,Adders!$B$5:$G$8,L$11,FALSE)+Matrix!$D$2)*IF($D441="NJ",1.07,1))/$L$10,CHOOSE($M$10,$L$9,$M$9)))</f>
        <v xml:space="preserve"> 29.27 </v>
      </c>
      <c r="M441" s="173" t="str">
        <f>IF(AND($D$11="IL",$E441="AMEREN"),"NA",TEXT((SUMPRODUCT(((LMPMain!$H$9:$H$1000)=$E441)*((LMPMain!$J$9:$J$1000)=$F441)*((LMPMain!$O$9:$O$1000)=$C441)*(LMPMain!S$9:S$1000))+(SUMPRODUCT(((Adders!$D$13:$D$101)=$E441)*((Adders!$E$13:$E$101)=$F441)*(Adders!H$13:H$101))+VLOOKUP($H441,Adders!$B$5:$G$8,M$11,FALSE)+Matrix!$D$2)*IF($D441="NJ",1.07,1))/$L$10,CHOOSE($M$10,$L$9,$M$9)))</f>
        <v xml:space="preserve"> 30.34 </v>
      </c>
      <c r="N441" s="174" t="str">
        <f>IF(AND($D$11="IL",$E441="AMEREN"),"NA",TEXT((SUMPRODUCT(((LMPMain!$H$9:$H$1000)=$E441)*((LMPMain!$J$9:$J$1000)=$F441)*((LMPMain!$O$9:$O$1000)=$C441)*(LMPMain!T$9:T$1000))+(SUMPRODUCT(((Adders!$D$13:$D$101)=$E441)*((Adders!$E$13:$E$101)=$F441)*(Adders!G$13:G$101))+VLOOKUP($H441,Adders!$B$5:$G$8,N$11,FALSE)+Matrix!$D$2)*IF($D441="NJ",1.07,1))/$L$10,CHOOSE($M$10,$L$9,$M$9)))</f>
        <v xml:space="preserve"> 31.65 </v>
      </c>
      <c r="O441" s="112"/>
    </row>
    <row r="442" spans="2:15" x14ac:dyDescent="0.25">
      <c r="B442" s="160" t="s">
        <v>675</v>
      </c>
      <c r="C442" s="135">
        <f t="shared" si="13"/>
        <v>42461</v>
      </c>
      <c r="D442" s="136" t="s">
        <v>6</v>
      </c>
      <c r="E442" s="137" t="s">
        <v>17</v>
      </c>
      <c r="F442" s="136" t="s">
        <v>18</v>
      </c>
      <c r="G442" s="137" t="str">
        <f t="shared" si="14"/>
        <v>General Service</v>
      </c>
      <c r="H442" s="138" t="s">
        <v>690</v>
      </c>
      <c r="I442" s="176" t="str">
        <f>TEXT(   (SUMPRODUCT( ((Main!$H$9:$H$1000)=$E442)*((Main!$J$9:$J$1000)=$F442)*((Main!$O$9:$O$1000)=$C442)*(Main!R$9:R$1000) ) +  ( SUMPRODUCT( ((Adders!$D$13:$D$101)=$E442)*((Adders!$E$13:$E$101)=$F442)*(Adders!G$13:G$101)) + VLOOKUP($H442,Adders!$B$5:$G$8,L$11,FALSE)  +  PA!$D$2 ) * IF($D442="NJ",1.07,1))/$L$10, CHOOSE($M$10,$L$9,$M$9) )</f>
        <v xml:space="preserve"> 63.91 </v>
      </c>
      <c r="J442" s="176" t="str">
        <f>TEXT(   (SUMPRODUCT( ((Main!$H$9:$H$1000)=$E442)*((Main!$J$9:$J$1000)=$F442)*((Main!$O$9:$O$1000)=$C442)*(Main!S$9:S$1000) ) +  ( SUMPRODUCT( ((Adders!$D$13:$D$101)=$E442)*((Adders!$E$13:$E$101)=$F442)*(Adders!H$13:H$101)) + VLOOKUP($H442,Adders!$B$5:$G$8,M$11,FALSE)  +  PA!$D$2 ) * IF($D442="NJ",1.07,1))/$L$10, CHOOSE($M$10,$L$9,$M$9) )</f>
        <v xml:space="preserve"> 65.11 </v>
      </c>
      <c r="K442" s="177" t="str">
        <f>TEXT(   (SUMPRODUCT( ((Main!$H$9:$H$1000)=$E442)*((Main!$J$9:$J$1000)=$F442)*((Main!$O$9:$O$1000)=$C442)*(Main!T$9:T$1000) ) +  ( SUMPRODUCT( ((Adders!$D$13:$D$101)=$E442)*((Adders!$E$13:$E$101)=$F442)*(Adders!I$13:I$101)) + VLOOKUP($H442,Adders!$B$5:$G$8,N$11,FALSE)  +  PA!$D$2 ) * IF($D442="NJ",1.07,1))/$L$10, CHOOSE($M$10,$L$9,$M$9) )</f>
        <v xml:space="preserve"> 66.46 </v>
      </c>
      <c r="L442" s="176" t="str">
        <f>IF(AND($D$11="IL",$E442="AMEREN"),"NA",TEXT((SUMPRODUCT(((LMPMain!$H$9:$H$1000)=$E442)*((LMPMain!$J$9:$J$1000)=$F442)*((LMPMain!$O$9:$O$1000)=$C442)*(LMPMain!R$9:R$1000))+(SUMPRODUCT(((Adders!$D$13:$D$101)=$E442)*((Adders!$E$13:$E$101)=$F442)*(Adders!G$13:G$101))+VLOOKUP($H442,Adders!$B$5:$G$8,L$11,FALSE)+Matrix!$D$2)*IF($D442="NJ",1.07,1))/$L$10,CHOOSE($M$10,$L$9,$M$9)))</f>
        <v xml:space="preserve"> 28.22 </v>
      </c>
      <c r="M442" s="176" t="str">
        <f>IF(AND($D$11="IL",$E442="AMEREN"),"NA",TEXT((SUMPRODUCT(((LMPMain!$H$9:$H$1000)=$E442)*((LMPMain!$J$9:$J$1000)=$F442)*((LMPMain!$O$9:$O$1000)=$C442)*(LMPMain!S$9:S$1000))+(SUMPRODUCT(((Adders!$D$13:$D$101)=$E442)*((Adders!$E$13:$E$101)=$F442)*(Adders!H$13:H$101))+VLOOKUP($H442,Adders!$B$5:$G$8,M$11,FALSE)+Matrix!$D$2)*IF($D442="NJ",1.07,1))/$L$10,CHOOSE($M$10,$L$9,$M$9)))</f>
        <v xml:space="preserve"> 29.29 </v>
      </c>
      <c r="N442" s="177" t="str">
        <f>IF(AND($D$11="IL",$E442="AMEREN"),"NA",TEXT((SUMPRODUCT(((LMPMain!$H$9:$H$1000)=$E442)*((LMPMain!$J$9:$J$1000)=$F442)*((LMPMain!$O$9:$O$1000)=$C442)*(LMPMain!T$9:T$1000))+(SUMPRODUCT(((Adders!$D$13:$D$101)=$E442)*((Adders!$E$13:$E$101)=$F442)*(Adders!G$13:G$101))+VLOOKUP($H442,Adders!$B$5:$G$8,N$11,FALSE)+Matrix!$D$2)*IF($D442="NJ",1.07,1))/$L$10,CHOOSE($M$10,$L$9,$M$9)))</f>
        <v xml:space="preserve"> 30.60 </v>
      </c>
      <c r="O442" s="112"/>
    </row>
    <row r="443" spans="2:15" x14ac:dyDescent="0.25">
      <c r="B443" s="160" t="s">
        <v>675</v>
      </c>
      <c r="C443" s="127">
        <f t="shared" si="13"/>
        <v>42491</v>
      </c>
      <c r="D443" s="128" t="s">
        <v>6</v>
      </c>
      <c r="E443" s="129" t="s">
        <v>17</v>
      </c>
      <c r="F443" s="128" t="s">
        <v>18</v>
      </c>
      <c r="G443" s="129" t="str">
        <f t="shared" si="14"/>
        <v>General Service</v>
      </c>
      <c r="H443" s="130" t="s">
        <v>61</v>
      </c>
      <c r="I443" s="178" t="str">
        <f>TEXT(   (SUMPRODUCT( ((Main!$H$9:$H$1000)=$E443)*((Main!$J$9:$J$1000)=$F443)*((Main!$O$9:$O$1000)=$C443)*(Main!R$9:R$1000) ) +  ( SUMPRODUCT( ((Adders!$D$13:$D$101)=$E443)*((Adders!$E$13:$E$101)=$F443)*(Adders!G$13:G$101)) + VLOOKUP($H443,Adders!$B$5:$G$8,L$11,FALSE)  +  PA!$D$2 ) * IF($D443="NJ",1.07,1))/$L$10, CHOOSE($M$10,$L$9,$M$9) )</f>
        <v xml:space="preserve"> 65.94 </v>
      </c>
      <c r="J443" s="178" t="str">
        <f>TEXT(   (SUMPRODUCT( ((Main!$H$9:$H$1000)=$E443)*((Main!$J$9:$J$1000)=$F443)*((Main!$O$9:$O$1000)=$C443)*(Main!S$9:S$1000) ) +  ( SUMPRODUCT( ((Adders!$D$13:$D$101)=$E443)*((Adders!$E$13:$E$101)=$F443)*(Adders!H$13:H$101)) + VLOOKUP($H443,Adders!$B$5:$G$8,M$11,FALSE)  +  PA!$D$2 ) * IF($D443="NJ",1.07,1))/$L$10, CHOOSE($M$10,$L$9,$M$9) )</f>
        <v xml:space="preserve"> 67.44 </v>
      </c>
      <c r="K443" s="179" t="str">
        <f>TEXT(   (SUMPRODUCT( ((Main!$H$9:$H$1000)=$E443)*((Main!$J$9:$J$1000)=$F443)*((Main!$O$9:$O$1000)=$C443)*(Main!T$9:T$1000) ) +  ( SUMPRODUCT( ((Adders!$D$13:$D$101)=$E443)*((Adders!$E$13:$E$101)=$F443)*(Adders!I$13:I$101)) + VLOOKUP($H443,Adders!$B$5:$G$8,N$11,FALSE)  +  PA!$D$2 ) * IF($D443="NJ",1.07,1))/$L$10, CHOOSE($M$10,$L$9,$M$9) )</f>
        <v xml:space="preserve"> 69.13 </v>
      </c>
      <c r="L443" s="178" t="str">
        <f>IF(AND($D$11="IL",$E443="AMEREN"),"NA",TEXT((SUMPRODUCT(((LMPMain!$H$9:$H$1000)=$E443)*((LMPMain!$J$9:$J$1000)=$F443)*((LMPMain!$O$9:$O$1000)=$C443)*(LMPMain!R$9:R$1000))+(SUMPRODUCT(((Adders!$D$13:$D$101)=$E443)*((Adders!$E$13:$E$101)=$F443)*(Adders!G$13:G$101))+VLOOKUP($H443,Adders!$B$5:$G$8,L$11,FALSE)+Matrix!$D$2)*IF($D443="NJ",1.07,1))/$L$10,CHOOSE($M$10,$L$9,$M$9)))</f>
        <v xml:space="preserve"> 30.28 </v>
      </c>
      <c r="M443" s="178" t="str">
        <f>IF(AND($D$11="IL",$E443="AMEREN"),"NA",TEXT((SUMPRODUCT(((LMPMain!$H$9:$H$1000)=$E443)*((LMPMain!$J$9:$J$1000)=$F443)*((LMPMain!$O$9:$O$1000)=$C443)*(LMPMain!S$9:S$1000))+(SUMPRODUCT(((Adders!$D$13:$D$101)=$E443)*((Adders!$E$13:$E$101)=$F443)*(Adders!H$13:H$101))+VLOOKUP($H443,Adders!$B$5:$G$8,M$11,FALSE)+Matrix!$D$2)*IF($D443="NJ",1.07,1))/$L$10,CHOOSE($M$10,$L$9,$M$9)))</f>
        <v xml:space="preserve"> 31.93 </v>
      </c>
      <c r="N443" s="179" t="str">
        <f>IF(AND($D$11="IL",$E443="AMEREN"),"NA",TEXT((SUMPRODUCT(((LMPMain!$H$9:$H$1000)=$E443)*((LMPMain!$J$9:$J$1000)=$F443)*((LMPMain!$O$9:$O$1000)=$C443)*(LMPMain!T$9:T$1000))+(SUMPRODUCT(((Adders!$D$13:$D$101)=$E443)*((Adders!$E$13:$E$101)=$F443)*(Adders!G$13:G$101))+VLOOKUP($H443,Adders!$B$5:$G$8,N$11,FALSE)+Matrix!$D$2)*IF($D443="NJ",1.07,1))/$L$10,CHOOSE($M$10,$L$9,$M$9)))</f>
        <v xml:space="preserve"> 33.24 </v>
      </c>
      <c r="O443" s="112"/>
    </row>
    <row r="444" spans="2:15" x14ac:dyDescent="0.25">
      <c r="B444" s="160" t="s">
        <v>675</v>
      </c>
      <c r="C444" s="131">
        <f t="shared" si="13"/>
        <v>42491</v>
      </c>
      <c r="D444" s="132" t="s">
        <v>6</v>
      </c>
      <c r="E444" s="133" t="s">
        <v>17</v>
      </c>
      <c r="F444" s="132" t="s">
        <v>18</v>
      </c>
      <c r="G444" s="133" t="str">
        <f t="shared" si="14"/>
        <v>General Service</v>
      </c>
      <c r="H444" s="134" t="s">
        <v>62</v>
      </c>
      <c r="I444" s="173" t="str">
        <f>TEXT(   (SUMPRODUCT( ((Main!$H$9:$H$1000)=$E444)*((Main!$J$9:$J$1000)=$F444)*((Main!$O$9:$O$1000)=$C444)*(Main!R$9:R$1000) ) +  ( SUMPRODUCT( ((Adders!$D$13:$D$101)=$E444)*((Adders!$E$13:$E$101)=$F444)*(Adders!G$13:G$101)) + VLOOKUP($H444,Adders!$B$5:$G$8,L$11,FALSE)  +  PA!$D$2 ) * IF($D444="NJ",1.07,1))/$L$10, CHOOSE($M$10,$L$9,$M$9) )</f>
        <v xml:space="preserve"> 64.34 </v>
      </c>
      <c r="J444" s="173" t="str">
        <f>TEXT(   (SUMPRODUCT( ((Main!$H$9:$H$1000)=$E444)*((Main!$J$9:$J$1000)=$F444)*((Main!$O$9:$O$1000)=$C444)*(Main!S$9:S$1000) ) +  ( SUMPRODUCT( ((Adders!$D$13:$D$101)=$E444)*((Adders!$E$13:$E$101)=$F444)*(Adders!H$13:H$101)) + VLOOKUP($H444,Adders!$B$5:$G$8,M$11,FALSE)  +  PA!$D$2 ) * IF($D444="NJ",1.07,1))/$L$10, CHOOSE($M$10,$L$9,$M$9) )</f>
        <v xml:space="preserve"> 65.84 </v>
      </c>
      <c r="K444" s="174" t="str">
        <f>TEXT(   (SUMPRODUCT( ((Main!$H$9:$H$1000)=$E444)*((Main!$J$9:$J$1000)=$F444)*((Main!$O$9:$O$1000)=$C444)*(Main!T$9:T$1000) ) +  ( SUMPRODUCT( ((Adders!$D$13:$D$101)=$E444)*((Adders!$E$13:$E$101)=$F444)*(Adders!I$13:I$101)) + VLOOKUP($H444,Adders!$B$5:$G$8,N$11,FALSE)  +  PA!$D$2 ) * IF($D444="NJ",1.07,1))/$L$10, CHOOSE($M$10,$L$9,$M$9) )</f>
        <v xml:space="preserve"> 67.53 </v>
      </c>
      <c r="L444" s="173" t="str">
        <f>IF(AND($D$11="IL",$E444="AMEREN"),"NA",TEXT((SUMPRODUCT(((LMPMain!$H$9:$H$1000)=$E444)*((LMPMain!$J$9:$J$1000)=$F444)*((LMPMain!$O$9:$O$1000)=$C444)*(LMPMain!R$9:R$1000))+(SUMPRODUCT(((Adders!$D$13:$D$101)=$E444)*((Adders!$E$13:$E$101)=$F444)*(Adders!G$13:G$101))+VLOOKUP($H444,Adders!$B$5:$G$8,L$11,FALSE)+Matrix!$D$2)*IF($D444="NJ",1.07,1))/$L$10,CHOOSE($M$10,$L$9,$M$9)))</f>
        <v xml:space="preserve"> 28.68 </v>
      </c>
      <c r="M444" s="173" t="str">
        <f>IF(AND($D$11="IL",$E444="AMEREN"),"NA",TEXT((SUMPRODUCT(((LMPMain!$H$9:$H$1000)=$E444)*((LMPMain!$J$9:$J$1000)=$F444)*((LMPMain!$O$9:$O$1000)=$C444)*(LMPMain!S$9:S$1000))+(SUMPRODUCT(((Adders!$D$13:$D$101)=$E444)*((Adders!$E$13:$E$101)=$F444)*(Adders!H$13:H$101))+VLOOKUP($H444,Adders!$B$5:$G$8,M$11,FALSE)+Matrix!$D$2)*IF($D444="NJ",1.07,1))/$L$10,CHOOSE($M$10,$L$9,$M$9)))</f>
        <v xml:space="preserve"> 30.33 </v>
      </c>
      <c r="N444" s="174" t="str">
        <f>IF(AND($D$11="IL",$E444="AMEREN"),"NA",TEXT((SUMPRODUCT(((LMPMain!$H$9:$H$1000)=$E444)*((LMPMain!$J$9:$J$1000)=$F444)*((LMPMain!$O$9:$O$1000)=$C444)*(LMPMain!T$9:T$1000))+(SUMPRODUCT(((Adders!$D$13:$D$101)=$E444)*((Adders!$E$13:$E$101)=$F444)*(Adders!G$13:G$101))+VLOOKUP($H444,Adders!$B$5:$G$8,N$11,FALSE)+Matrix!$D$2)*IF($D444="NJ",1.07,1))/$L$10,CHOOSE($M$10,$L$9,$M$9)))</f>
        <v xml:space="preserve"> 31.64 </v>
      </c>
      <c r="O444" s="112"/>
    </row>
    <row r="445" spans="2:15" ht="15.75" thickBot="1" x14ac:dyDescent="0.3">
      <c r="B445" s="160" t="s">
        <v>675</v>
      </c>
      <c r="C445" s="135">
        <f t="shared" si="13"/>
        <v>42491</v>
      </c>
      <c r="D445" s="136" t="s">
        <v>6</v>
      </c>
      <c r="E445" s="137" t="s">
        <v>17</v>
      </c>
      <c r="F445" s="136" t="s">
        <v>18</v>
      </c>
      <c r="G445" s="137" t="str">
        <f t="shared" si="14"/>
        <v>General Service</v>
      </c>
      <c r="H445" s="138" t="s">
        <v>690</v>
      </c>
      <c r="I445" s="176" t="str">
        <f>TEXT(   (SUMPRODUCT( ((Main!$H$9:$H$1000)=$E445)*((Main!$J$9:$J$1000)=$F445)*((Main!$O$9:$O$1000)=$C445)*(Main!R$9:R$1000) ) +  ( SUMPRODUCT( ((Adders!$D$13:$D$101)=$E445)*((Adders!$E$13:$E$101)=$F445)*(Adders!G$13:G$101)) + VLOOKUP($H445,Adders!$B$5:$G$8,L$11,FALSE)  +  PA!$D$2 ) * IF($D445="NJ",1.07,1))/$L$10, CHOOSE($M$10,$L$9,$M$9) )</f>
        <v xml:space="preserve"> 63.29 </v>
      </c>
      <c r="J445" s="176" t="str">
        <f>TEXT(   (SUMPRODUCT( ((Main!$H$9:$H$1000)=$E445)*((Main!$J$9:$J$1000)=$F445)*((Main!$O$9:$O$1000)=$C445)*(Main!S$9:S$1000) ) +  ( SUMPRODUCT( ((Adders!$D$13:$D$101)=$E445)*((Adders!$E$13:$E$101)=$F445)*(Adders!H$13:H$101)) + VLOOKUP($H445,Adders!$B$5:$G$8,M$11,FALSE)  +  PA!$D$2 ) * IF($D445="NJ",1.07,1))/$L$10, CHOOSE($M$10,$L$9,$M$9) )</f>
        <v xml:space="preserve"> 64.79 </v>
      </c>
      <c r="K445" s="177" t="str">
        <f>TEXT(   (SUMPRODUCT( ((Main!$H$9:$H$1000)=$E445)*((Main!$J$9:$J$1000)=$F445)*((Main!$O$9:$O$1000)=$C445)*(Main!T$9:T$1000) ) +  ( SUMPRODUCT( ((Adders!$D$13:$D$101)=$E445)*((Adders!$E$13:$E$101)=$F445)*(Adders!I$13:I$101)) + VLOOKUP($H445,Adders!$B$5:$G$8,N$11,FALSE)  +  PA!$D$2 ) * IF($D445="NJ",1.07,1))/$L$10, CHOOSE($M$10,$L$9,$M$9) )</f>
        <v xml:space="preserve"> 66.48 </v>
      </c>
      <c r="L445" s="176" t="str">
        <f>IF(AND($D$11="IL",$E445="AMEREN"),"NA",TEXT((SUMPRODUCT(((LMPMain!$H$9:$H$1000)=$E445)*((LMPMain!$J$9:$J$1000)=$F445)*((LMPMain!$O$9:$O$1000)=$C445)*(LMPMain!R$9:R$1000))+(SUMPRODUCT(((Adders!$D$13:$D$101)=$E445)*((Adders!$E$13:$E$101)=$F445)*(Adders!G$13:G$101))+VLOOKUP($H445,Adders!$B$5:$G$8,L$11,FALSE)+Matrix!$D$2)*IF($D445="NJ",1.07,1))/$L$10,CHOOSE($M$10,$L$9,$M$9)))</f>
        <v xml:space="preserve"> 27.63 </v>
      </c>
      <c r="M445" s="176" t="str">
        <f>IF(AND($D$11="IL",$E445="AMEREN"),"NA",TEXT((SUMPRODUCT(((LMPMain!$H$9:$H$1000)=$E445)*((LMPMain!$J$9:$J$1000)=$F445)*((LMPMain!$O$9:$O$1000)=$C445)*(LMPMain!S$9:S$1000))+(SUMPRODUCT(((Adders!$D$13:$D$101)=$E445)*((Adders!$E$13:$E$101)=$F445)*(Adders!H$13:H$101))+VLOOKUP($H445,Adders!$B$5:$G$8,M$11,FALSE)+Matrix!$D$2)*IF($D445="NJ",1.07,1))/$L$10,CHOOSE($M$10,$L$9,$M$9)))</f>
        <v xml:space="preserve"> 29.28 </v>
      </c>
      <c r="N445" s="177" t="str">
        <f>IF(AND($D$11="IL",$E445="AMEREN"),"NA",TEXT((SUMPRODUCT(((LMPMain!$H$9:$H$1000)=$E445)*((LMPMain!$J$9:$J$1000)=$F445)*((LMPMain!$O$9:$O$1000)=$C445)*(LMPMain!T$9:T$1000))+(SUMPRODUCT(((Adders!$D$13:$D$101)=$E445)*((Adders!$E$13:$E$101)=$F445)*(Adders!G$13:G$101))+VLOOKUP($H445,Adders!$B$5:$G$8,N$11,FALSE)+Matrix!$D$2)*IF($D445="NJ",1.07,1))/$L$10,CHOOSE($M$10,$L$9,$M$9)))</f>
        <v xml:space="preserve"> 30.59 </v>
      </c>
      <c r="O445" s="112"/>
    </row>
    <row r="446" spans="2:15" s="2" customFormat="1" ht="7.5" customHeight="1" thickBot="1" x14ac:dyDescent="0.2">
      <c r="B446" s="16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7"/>
    </row>
    <row r="447" spans="2:15" s="2" customFormat="1" x14ac:dyDescent="0.25">
      <c r="B447" s="161"/>
      <c r="C447" s="209" t="s">
        <v>739</v>
      </c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4"/>
      <c r="O447" s="7"/>
    </row>
    <row r="448" spans="2:15" s="2" customFormat="1" ht="10.5" x14ac:dyDescent="0.15">
      <c r="B448" s="161"/>
      <c r="C448" s="5" t="s">
        <v>740</v>
      </c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7"/>
      <c r="O448" s="7"/>
    </row>
    <row r="449" spans="1:16" s="2" customFormat="1" ht="10.5" x14ac:dyDescent="0.15">
      <c r="B449" s="161"/>
      <c r="C449" s="5" t="s">
        <v>741</v>
      </c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7"/>
      <c r="O449" s="7"/>
    </row>
    <row r="450" spans="1:16" s="2" customFormat="1" ht="10.5" x14ac:dyDescent="0.15">
      <c r="B450" s="161"/>
      <c r="C450" s="5" t="s">
        <v>742</v>
      </c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7"/>
      <c r="O450" s="7"/>
    </row>
    <row r="451" spans="1:16" s="2" customFormat="1" ht="10.5" x14ac:dyDescent="0.15">
      <c r="B451" s="161"/>
      <c r="C451" s="5" t="s">
        <v>743</v>
      </c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7"/>
      <c r="O451" s="7"/>
    </row>
    <row r="452" spans="1:16" s="2" customFormat="1" ht="10.5" x14ac:dyDescent="0.15">
      <c r="B452" s="161"/>
      <c r="C452" s="5" t="s">
        <v>744</v>
      </c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7"/>
      <c r="O452" s="7"/>
    </row>
    <row r="453" spans="1:16" s="2" customFormat="1" ht="10.5" x14ac:dyDescent="0.15">
      <c r="B453" s="161"/>
      <c r="C453" s="5" t="s">
        <v>745</v>
      </c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7"/>
      <c r="O453" s="7"/>
    </row>
    <row r="454" spans="1:16" s="2" customFormat="1" ht="11.25" thickBot="1" x14ac:dyDescent="0.2">
      <c r="B454" s="161"/>
      <c r="C454" s="5" t="s">
        <v>746</v>
      </c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7"/>
      <c r="O454" s="7"/>
    </row>
    <row r="455" spans="1:16" s="2" customFormat="1" ht="15.75" thickBot="1" x14ac:dyDescent="0.3">
      <c r="B455" s="161"/>
      <c r="C455" s="8" t="s">
        <v>19</v>
      </c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10"/>
      <c r="O455" s="7"/>
    </row>
    <row r="456" spans="1:16" s="2" customFormat="1" ht="15.75" thickBot="1" x14ac:dyDescent="0.3">
      <c r="A456" s="100"/>
      <c r="B456" s="162"/>
      <c r="C456" s="140"/>
      <c r="D456" s="140"/>
      <c r="E456" s="140"/>
      <c r="F456" s="140"/>
      <c r="G456" s="140"/>
      <c r="H456" s="140"/>
      <c r="I456" s="140"/>
      <c r="J456" s="140"/>
      <c r="K456" s="140"/>
      <c r="L456" s="140"/>
      <c r="M456" s="140"/>
      <c r="N456" s="140"/>
      <c r="O456" s="141"/>
      <c r="P456" s="100"/>
    </row>
    <row r="457" spans="1:16" s="2" customFormat="1" x14ac:dyDescent="0.25">
      <c r="A457" s="100"/>
      <c r="B457" s="122"/>
      <c r="C457" s="100"/>
      <c r="D457" s="100"/>
      <c r="E457" s="100"/>
      <c r="F457" s="100"/>
      <c r="G457" s="100"/>
      <c r="H457" s="100"/>
      <c r="I457" s="100"/>
      <c r="J457" s="100"/>
      <c r="K457" s="100"/>
      <c r="L457" s="100"/>
      <c r="M457" s="100"/>
      <c r="N457" s="100"/>
      <c r="O457" s="100"/>
      <c r="P457" s="100"/>
    </row>
    <row r="458" spans="1:16" s="2" customFormat="1" x14ac:dyDescent="0.25">
      <c r="A458" s="100"/>
      <c r="B458" s="122"/>
      <c r="C458" s="100"/>
      <c r="D458" s="100"/>
      <c r="E458" s="100"/>
      <c r="F458" s="100"/>
      <c r="G458" s="100"/>
      <c r="H458" s="100"/>
      <c r="I458" s="100"/>
      <c r="J458" s="100"/>
      <c r="K458" s="100"/>
      <c r="L458" s="100"/>
      <c r="M458" s="100"/>
      <c r="N458" s="100"/>
      <c r="O458" s="100"/>
      <c r="P458" s="100"/>
    </row>
  </sheetData>
  <sheetProtection algorithmName="SHA-512" hashValue="WUIEe+/QryT59mhJPv8gJJH59hOHOU0Kcg+tqfmlxa2CKWzjC/DNzOV4puLlGL2CcM/Wu82EzZi0UbZzQbBqVA==" saltValue="pP8vzUV2y0nyPw11oIfT0w==" spinCount="100000" sheet="1" scenarios="1" autoFilter="0"/>
  <autoFilter ref="C13:H13"/>
  <dataConsolidate/>
  <mergeCells count="3">
    <mergeCell ref="C8:C9"/>
    <mergeCell ref="C6:F7"/>
    <mergeCell ref="M2:N2"/>
  </mergeCells>
  <conditionalFormatting sqref="I14:N49">
    <cfRule type="expression" dxfId="147" priority="144">
      <formula>$B14=""</formula>
    </cfRule>
  </conditionalFormatting>
  <conditionalFormatting sqref="I50:N85">
    <cfRule type="expression" dxfId="146" priority="143">
      <formula>$B50=""</formula>
    </cfRule>
  </conditionalFormatting>
  <conditionalFormatting sqref="I86:N121">
    <cfRule type="expression" dxfId="145" priority="142">
      <formula>$B86=""</formula>
    </cfRule>
  </conditionalFormatting>
  <conditionalFormatting sqref="I122:N157">
    <cfRule type="expression" dxfId="144" priority="141">
      <formula>$B122=""</formula>
    </cfRule>
  </conditionalFormatting>
  <conditionalFormatting sqref="I158:N193">
    <cfRule type="expression" dxfId="143" priority="140">
      <formula>$B158=""</formula>
    </cfRule>
  </conditionalFormatting>
  <conditionalFormatting sqref="I194:N229">
    <cfRule type="expression" dxfId="142" priority="139">
      <formula>$B194=""</formula>
    </cfRule>
  </conditionalFormatting>
  <conditionalFormatting sqref="I230:N265">
    <cfRule type="expression" dxfId="141" priority="138">
      <formula>$B230=""</formula>
    </cfRule>
  </conditionalFormatting>
  <conditionalFormatting sqref="I266:N301">
    <cfRule type="expression" dxfId="140" priority="137">
      <formula>$B266=""</formula>
    </cfRule>
  </conditionalFormatting>
  <conditionalFormatting sqref="I302:N337">
    <cfRule type="expression" dxfId="139" priority="136">
      <formula>$B302=""</formula>
    </cfRule>
  </conditionalFormatting>
  <conditionalFormatting sqref="I338:N373">
    <cfRule type="expression" dxfId="138" priority="135">
      <formula>$B338=""</formula>
    </cfRule>
  </conditionalFormatting>
  <conditionalFormatting sqref="I374:N409">
    <cfRule type="expression" dxfId="137" priority="134">
      <formula>$B374=""</formula>
    </cfRule>
  </conditionalFormatting>
  <conditionalFormatting sqref="I410:N445">
    <cfRule type="expression" dxfId="136" priority="133">
      <formula>$B410=""</formula>
    </cfRule>
  </conditionalFormatting>
  <conditionalFormatting sqref="L50:N52">
    <cfRule type="expression" dxfId="135" priority="132">
      <formula>$B50=""</formula>
    </cfRule>
  </conditionalFormatting>
  <conditionalFormatting sqref="L53:N55">
    <cfRule type="expression" dxfId="134" priority="131">
      <formula>$B53=""</formula>
    </cfRule>
  </conditionalFormatting>
  <conditionalFormatting sqref="L56:N58">
    <cfRule type="expression" dxfId="133" priority="130">
      <formula>$B56=""</formula>
    </cfRule>
  </conditionalFormatting>
  <conditionalFormatting sqref="L59:N61">
    <cfRule type="expression" dxfId="132" priority="129">
      <formula>$B59=""</formula>
    </cfRule>
  </conditionalFormatting>
  <conditionalFormatting sqref="L62:N64">
    <cfRule type="expression" dxfId="131" priority="128">
      <formula>$B62=""</formula>
    </cfRule>
  </conditionalFormatting>
  <conditionalFormatting sqref="L65:N67">
    <cfRule type="expression" dxfId="130" priority="127">
      <formula>$B65=""</formula>
    </cfRule>
  </conditionalFormatting>
  <conditionalFormatting sqref="L68:N70">
    <cfRule type="expression" dxfId="129" priority="126">
      <formula>$B68=""</formula>
    </cfRule>
  </conditionalFormatting>
  <conditionalFormatting sqref="L71:N73">
    <cfRule type="expression" dxfId="128" priority="125">
      <formula>$B71=""</formula>
    </cfRule>
  </conditionalFormatting>
  <conditionalFormatting sqref="L74:N76">
    <cfRule type="expression" dxfId="127" priority="124">
      <formula>$B74=""</formula>
    </cfRule>
  </conditionalFormatting>
  <conditionalFormatting sqref="L77:N79">
    <cfRule type="expression" dxfId="126" priority="123">
      <formula>$B77=""</formula>
    </cfRule>
  </conditionalFormatting>
  <conditionalFormatting sqref="L80:N82">
    <cfRule type="expression" dxfId="125" priority="122">
      <formula>$B80=""</formula>
    </cfRule>
  </conditionalFormatting>
  <conditionalFormatting sqref="L83:N85">
    <cfRule type="expression" dxfId="124" priority="121">
      <formula>$B83=""</formula>
    </cfRule>
  </conditionalFormatting>
  <conditionalFormatting sqref="L86:N88">
    <cfRule type="expression" dxfId="123" priority="120">
      <formula>$B86=""</formula>
    </cfRule>
  </conditionalFormatting>
  <conditionalFormatting sqref="L89:N91">
    <cfRule type="expression" dxfId="122" priority="119">
      <formula>$B89=""</formula>
    </cfRule>
  </conditionalFormatting>
  <conditionalFormatting sqref="L92:N94">
    <cfRule type="expression" dxfId="121" priority="118">
      <formula>$B92=""</formula>
    </cfRule>
  </conditionalFormatting>
  <conditionalFormatting sqref="L95:N97">
    <cfRule type="expression" dxfId="120" priority="117">
      <formula>$B95=""</formula>
    </cfRule>
  </conditionalFormatting>
  <conditionalFormatting sqref="L98:N100">
    <cfRule type="expression" dxfId="119" priority="116">
      <formula>$B98=""</formula>
    </cfRule>
  </conditionalFormatting>
  <conditionalFormatting sqref="L101:N103">
    <cfRule type="expression" dxfId="118" priority="115">
      <formula>$B101=""</formula>
    </cfRule>
  </conditionalFormatting>
  <conditionalFormatting sqref="L104:N106">
    <cfRule type="expression" dxfId="117" priority="114">
      <formula>$B104=""</formula>
    </cfRule>
  </conditionalFormatting>
  <conditionalFormatting sqref="L107:N109">
    <cfRule type="expression" dxfId="116" priority="113">
      <formula>$B107=""</formula>
    </cfRule>
  </conditionalFormatting>
  <conditionalFormatting sqref="L110:N112">
    <cfRule type="expression" dxfId="115" priority="112">
      <formula>$B110=""</formula>
    </cfRule>
  </conditionalFormatting>
  <conditionalFormatting sqref="L113:N115">
    <cfRule type="expression" dxfId="114" priority="111">
      <formula>$B113=""</formula>
    </cfRule>
  </conditionalFormatting>
  <conditionalFormatting sqref="L116:N118">
    <cfRule type="expression" dxfId="113" priority="110">
      <formula>$B116=""</formula>
    </cfRule>
  </conditionalFormatting>
  <conditionalFormatting sqref="L119:N121">
    <cfRule type="expression" dxfId="112" priority="109">
      <formula>$B119=""</formula>
    </cfRule>
  </conditionalFormatting>
  <conditionalFormatting sqref="L122:N124">
    <cfRule type="expression" dxfId="111" priority="108">
      <formula>$B122=""</formula>
    </cfRule>
  </conditionalFormatting>
  <conditionalFormatting sqref="L125:N127">
    <cfRule type="expression" dxfId="110" priority="107">
      <formula>$B125=""</formula>
    </cfRule>
  </conditionalFormatting>
  <conditionalFormatting sqref="L128:N130">
    <cfRule type="expression" dxfId="109" priority="106">
      <formula>$B128=""</formula>
    </cfRule>
  </conditionalFormatting>
  <conditionalFormatting sqref="L131:N133">
    <cfRule type="expression" dxfId="108" priority="105">
      <formula>$B131=""</formula>
    </cfRule>
  </conditionalFormatting>
  <conditionalFormatting sqref="L134:N136">
    <cfRule type="expression" dxfId="107" priority="104">
      <formula>$B134=""</formula>
    </cfRule>
  </conditionalFormatting>
  <conditionalFormatting sqref="L137:N139">
    <cfRule type="expression" dxfId="106" priority="103">
      <formula>$B137=""</formula>
    </cfRule>
  </conditionalFormatting>
  <conditionalFormatting sqref="L140:N142">
    <cfRule type="expression" dxfId="105" priority="102">
      <formula>$B140=""</formula>
    </cfRule>
  </conditionalFormatting>
  <conditionalFormatting sqref="L143:N145">
    <cfRule type="expression" dxfId="104" priority="101">
      <formula>$B143=""</formula>
    </cfRule>
  </conditionalFormatting>
  <conditionalFormatting sqref="L146:N148">
    <cfRule type="expression" dxfId="103" priority="100">
      <formula>$B146=""</formula>
    </cfRule>
  </conditionalFormatting>
  <conditionalFormatting sqref="L149:N151">
    <cfRule type="expression" dxfId="102" priority="99">
      <formula>$B149=""</formula>
    </cfRule>
  </conditionalFormatting>
  <conditionalFormatting sqref="L152:N154">
    <cfRule type="expression" dxfId="101" priority="98">
      <formula>$B152=""</formula>
    </cfRule>
  </conditionalFormatting>
  <conditionalFormatting sqref="L155:N157">
    <cfRule type="expression" dxfId="100" priority="97">
      <formula>$B155=""</formula>
    </cfRule>
  </conditionalFormatting>
  <conditionalFormatting sqref="L158:N160">
    <cfRule type="expression" dxfId="99" priority="96">
      <formula>$B158=""</formula>
    </cfRule>
  </conditionalFormatting>
  <conditionalFormatting sqref="L161:N163">
    <cfRule type="expression" dxfId="98" priority="95">
      <formula>$B161=""</formula>
    </cfRule>
  </conditionalFormatting>
  <conditionalFormatting sqref="L164:N166">
    <cfRule type="expression" dxfId="97" priority="94">
      <formula>$B164=""</formula>
    </cfRule>
  </conditionalFormatting>
  <conditionalFormatting sqref="L167:N169">
    <cfRule type="expression" dxfId="96" priority="93">
      <formula>$B167=""</formula>
    </cfRule>
  </conditionalFormatting>
  <conditionalFormatting sqref="L170:N172">
    <cfRule type="expression" dxfId="95" priority="92">
      <formula>$B170=""</formula>
    </cfRule>
  </conditionalFormatting>
  <conditionalFormatting sqref="L173:N175">
    <cfRule type="expression" dxfId="94" priority="91">
      <formula>$B173=""</formula>
    </cfRule>
  </conditionalFormatting>
  <conditionalFormatting sqref="L176:N178">
    <cfRule type="expression" dxfId="93" priority="90">
      <formula>$B176=""</formula>
    </cfRule>
  </conditionalFormatting>
  <conditionalFormatting sqref="L179:N181">
    <cfRule type="expression" dxfId="92" priority="89">
      <formula>$B179=""</formula>
    </cfRule>
  </conditionalFormatting>
  <conditionalFormatting sqref="L182:N184">
    <cfRule type="expression" dxfId="91" priority="88">
      <formula>$B182=""</formula>
    </cfRule>
  </conditionalFormatting>
  <conditionalFormatting sqref="L185:N187">
    <cfRule type="expression" dxfId="90" priority="87">
      <formula>$B185=""</formula>
    </cfRule>
  </conditionalFormatting>
  <conditionalFormatting sqref="L188:N190">
    <cfRule type="expression" dxfId="89" priority="86">
      <formula>$B188=""</formula>
    </cfRule>
  </conditionalFormatting>
  <conditionalFormatting sqref="L191:N193">
    <cfRule type="expression" dxfId="88" priority="85">
      <formula>$B191=""</formula>
    </cfRule>
  </conditionalFormatting>
  <conditionalFormatting sqref="L194:N196">
    <cfRule type="expression" dxfId="87" priority="84">
      <formula>$B194=""</formula>
    </cfRule>
  </conditionalFormatting>
  <conditionalFormatting sqref="L197:N199">
    <cfRule type="expression" dxfId="86" priority="83">
      <formula>$B197=""</formula>
    </cfRule>
  </conditionalFormatting>
  <conditionalFormatting sqref="L200:N202">
    <cfRule type="expression" dxfId="85" priority="82">
      <formula>$B200=""</formula>
    </cfRule>
  </conditionalFormatting>
  <conditionalFormatting sqref="L203:N205">
    <cfRule type="expression" dxfId="84" priority="81">
      <formula>$B203=""</formula>
    </cfRule>
  </conditionalFormatting>
  <conditionalFormatting sqref="L206:N208">
    <cfRule type="expression" dxfId="83" priority="80">
      <formula>$B206=""</formula>
    </cfRule>
  </conditionalFormatting>
  <conditionalFormatting sqref="L209:N211">
    <cfRule type="expression" dxfId="82" priority="79">
      <formula>$B209=""</formula>
    </cfRule>
  </conditionalFormatting>
  <conditionalFormatting sqref="L212:N214">
    <cfRule type="expression" dxfId="81" priority="78">
      <formula>$B212=""</formula>
    </cfRule>
  </conditionalFormatting>
  <conditionalFormatting sqref="L215:N217">
    <cfRule type="expression" dxfId="80" priority="77">
      <formula>$B215=""</formula>
    </cfRule>
  </conditionalFormatting>
  <conditionalFormatting sqref="L218:N220">
    <cfRule type="expression" dxfId="79" priority="76">
      <formula>$B218=""</formula>
    </cfRule>
  </conditionalFormatting>
  <conditionalFormatting sqref="L221:N223">
    <cfRule type="expression" dxfId="78" priority="75">
      <formula>$B221=""</formula>
    </cfRule>
  </conditionalFormatting>
  <conditionalFormatting sqref="L224:N226">
    <cfRule type="expression" dxfId="77" priority="74">
      <formula>$B224=""</formula>
    </cfRule>
  </conditionalFormatting>
  <conditionalFormatting sqref="L227:N229">
    <cfRule type="expression" dxfId="76" priority="73">
      <formula>$B227=""</formula>
    </cfRule>
  </conditionalFormatting>
  <conditionalFormatting sqref="L230:N232">
    <cfRule type="expression" dxfId="75" priority="72">
      <formula>$B230=""</formula>
    </cfRule>
  </conditionalFormatting>
  <conditionalFormatting sqref="L233:N235">
    <cfRule type="expression" dxfId="74" priority="71">
      <formula>$B233=""</formula>
    </cfRule>
  </conditionalFormatting>
  <conditionalFormatting sqref="L236:N238">
    <cfRule type="expression" dxfId="73" priority="70">
      <formula>$B236=""</formula>
    </cfRule>
  </conditionalFormatting>
  <conditionalFormatting sqref="L239:N241">
    <cfRule type="expression" dxfId="72" priority="69">
      <formula>$B239=""</formula>
    </cfRule>
  </conditionalFormatting>
  <conditionalFormatting sqref="L242:N244">
    <cfRule type="expression" dxfId="71" priority="68">
      <formula>$B242=""</formula>
    </cfRule>
  </conditionalFormatting>
  <conditionalFormatting sqref="L245:N247">
    <cfRule type="expression" dxfId="70" priority="67">
      <formula>$B245=""</formula>
    </cfRule>
  </conditionalFormatting>
  <conditionalFormatting sqref="L248:N250">
    <cfRule type="expression" dxfId="69" priority="66">
      <formula>$B248=""</formula>
    </cfRule>
  </conditionalFormatting>
  <conditionalFormatting sqref="L251:N253">
    <cfRule type="expression" dxfId="68" priority="65">
      <formula>$B251=""</formula>
    </cfRule>
  </conditionalFormatting>
  <conditionalFormatting sqref="L254:N256">
    <cfRule type="expression" dxfId="67" priority="64">
      <formula>$B254=""</formula>
    </cfRule>
  </conditionalFormatting>
  <conditionalFormatting sqref="L257:N259">
    <cfRule type="expression" dxfId="66" priority="63">
      <formula>$B257=""</formula>
    </cfRule>
  </conditionalFormatting>
  <conditionalFormatting sqref="L260:N262">
    <cfRule type="expression" dxfId="65" priority="62">
      <formula>$B260=""</formula>
    </cfRule>
  </conditionalFormatting>
  <conditionalFormatting sqref="L263:N265">
    <cfRule type="expression" dxfId="64" priority="61">
      <formula>$B263=""</formula>
    </cfRule>
  </conditionalFormatting>
  <conditionalFormatting sqref="L266:N268">
    <cfRule type="expression" dxfId="63" priority="60">
      <formula>$B266=""</formula>
    </cfRule>
  </conditionalFormatting>
  <conditionalFormatting sqref="L269:N271">
    <cfRule type="expression" dxfId="62" priority="59">
      <formula>$B269=""</formula>
    </cfRule>
  </conditionalFormatting>
  <conditionalFormatting sqref="L272:N274">
    <cfRule type="expression" dxfId="61" priority="58">
      <formula>$B272=""</formula>
    </cfRule>
  </conditionalFormatting>
  <conditionalFormatting sqref="L275:N277">
    <cfRule type="expression" dxfId="60" priority="57">
      <formula>$B275=""</formula>
    </cfRule>
  </conditionalFormatting>
  <conditionalFormatting sqref="L278:N280">
    <cfRule type="expression" dxfId="59" priority="56">
      <formula>$B278=""</formula>
    </cfRule>
  </conditionalFormatting>
  <conditionalFormatting sqref="L281:N283">
    <cfRule type="expression" dxfId="58" priority="55">
      <formula>$B281=""</formula>
    </cfRule>
  </conditionalFormatting>
  <conditionalFormatting sqref="L284:N286">
    <cfRule type="expression" dxfId="57" priority="54">
      <formula>$B284=""</formula>
    </cfRule>
  </conditionalFormatting>
  <conditionalFormatting sqref="L287:N289">
    <cfRule type="expression" dxfId="56" priority="53">
      <formula>$B287=""</formula>
    </cfRule>
  </conditionalFormatting>
  <conditionalFormatting sqref="L290:N292">
    <cfRule type="expression" dxfId="55" priority="52">
      <formula>$B290=""</formula>
    </cfRule>
  </conditionalFormatting>
  <conditionalFormatting sqref="L293:N295">
    <cfRule type="expression" dxfId="54" priority="51">
      <formula>$B293=""</formula>
    </cfRule>
  </conditionalFormatting>
  <conditionalFormatting sqref="L296:N298">
    <cfRule type="expression" dxfId="53" priority="50">
      <formula>$B296=""</formula>
    </cfRule>
  </conditionalFormatting>
  <conditionalFormatting sqref="L299:N301">
    <cfRule type="expression" dxfId="52" priority="49">
      <formula>$B299=""</formula>
    </cfRule>
  </conditionalFormatting>
  <conditionalFormatting sqref="L302:N304">
    <cfRule type="expression" dxfId="51" priority="48">
      <formula>$B302=""</formula>
    </cfRule>
  </conditionalFormatting>
  <conditionalFormatting sqref="L305:N307">
    <cfRule type="expression" dxfId="50" priority="47">
      <formula>$B305=""</formula>
    </cfRule>
  </conditionalFormatting>
  <conditionalFormatting sqref="L308:N310">
    <cfRule type="expression" dxfId="49" priority="46">
      <formula>$B308=""</formula>
    </cfRule>
  </conditionalFormatting>
  <conditionalFormatting sqref="L311:N313">
    <cfRule type="expression" dxfId="48" priority="45">
      <formula>$B311=""</formula>
    </cfRule>
  </conditionalFormatting>
  <conditionalFormatting sqref="L314:N316">
    <cfRule type="expression" dxfId="47" priority="44">
      <formula>$B314=""</formula>
    </cfRule>
  </conditionalFormatting>
  <conditionalFormatting sqref="L317:N319">
    <cfRule type="expression" dxfId="46" priority="43">
      <formula>$B317=""</formula>
    </cfRule>
  </conditionalFormatting>
  <conditionalFormatting sqref="L320:N322">
    <cfRule type="expression" dxfId="45" priority="42">
      <formula>$B320=""</formula>
    </cfRule>
  </conditionalFormatting>
  <conditionalFormatting sqref="L323:N325">
    <cfRule type="expression" dxfId="44" priority="41">
      <formula>$B323=""</formula>
    </cfRule>
  </conditionalFormatting>
  <conditionalFormatting sqref="L326:N328">
    <cfRule type="expression" dxfId="43" priority="40">
      <formula>$B326=""</formula>
    </cfRule>
  </conditionalFormatting>
  <conditionalFormatting sqref="L329:N331">
    <cfRule type="expression" dxfId="42" priority="39">
      <formula>$B329=""</formula>
    </cfRule>
  </conditionalFormatting>
  <conditionalFormatting sqref="L332:N334">
    <cfRule type="expression" dxfId="41" priority="38">
      <formula>$B332=""</formula>
    </cfRule>
  </conditionalFormatting>
  <conditionalFormatting sqref="L335:N337">
    <cfRule type="expression" dxfId="40" priority="37">
      <formula>$B335=""</formula>
    </cfRule>
  </conditionalFormatting>
  <conditionalFormatting sqref="L338:N340">
    <cfRule type="expression" dxfId="39" priority="36">
      <formula>$B338=""</formula>
    </cfRule>
  </conditionalFormatting>
  <conditionalFormatting sqref="L341:N343">
    <cfRule type="expression" dxfId="38" priority="35">
      <formula>$B341=""</formula>
    </cfRule>
  </conditionalFormatting>
  <conditionalFormatting sqref="L344:N346">
    <cfRule type="expression" dxfId="37" priority="34">
      <formula>$B344=""</formula>
    </cfRule>
  </conditionalFormatting>
  <conditionalFormatting sqref="L347:N349">
    <cfRule type="expression" dxfId="36" priority="33">
      <formula>$B347=""</formula>
    </cfRule>
  </conditionalFormatting>
  <conditionalFormatting sqref="L350:N352">
    <cfRule type="expression" dxfId="35" priority="32">
      <formula>$B350=""</formula>
    </cfRule>
  </conditionalFormatting>
  <conditionalFormatting sqref="L353:N355">
    <cfRule type="expression" dxfId="34" priority="31">
      <formula>$B353=""</formula>
    </cfRule>
  </conditionalFormatting>
  <conditionalFormatting sqref="L356:N358">
    <cfRule type="expression" dxfId="33" priority="30">
      <formula>$B356=""</formula>
    </cfRule>
  </conditionalFormatting>
  <conditionalFormatting sqref="L359:N361">
    <cfRule type="expression" dxfId="32" priority="29">
      <formula>$B359=""</formula>
    </cfRule>
  </conditionalFormatting>
  <conditionalFormatting sqref="L362:N364">
    <cfRule type="expression" dxfId="31" priority="28">
      <formula>$B362=""</formula>
    </cfRule>
  </conditionalFormatting>
  <conditionalFormatting sqref="L365:N367">
    <cfRule type="expression" dxfId="30" priority="27">
      <formula>$B365=""</formula>
    </cfRule>
  </conditionalFormatting>
  <conditionalFormatting sqref="L368:N370">
    <cfRule type="expression" dxfId="29" priority="26">
      <formula>$B368=""</formula>
    </cfRule>
  </conditionalFormatting>
  <conditionalFormatting sqref="L371:N373">
    <cfRule type="expression" dxfId="28" priority="25">
      <formula>$B371=""</formula>
    </cfRule>
  </conditionalFormatting>
  <conditionalFormatting sqref="L374:N376">
    <cfRule type="expression" dxfId="27" priority="24">
      <formula>$B374=""</formula>
    </cfRule>
  </conditionalFormatting>
  <conditionalFormatting sqref="L377:N379">
    <cfRule type="expression" dxfId="26" priority="23">
      <formula>$B377=""</formula>
    </cfRule>
  </conditionalFormatting>
  <conditionalFormatting sqref="L380:N382">
    <cfRule type="expression" dxfId="25" priority="22">
      <formula>$B380=""</formula>
    </cfRule>
  </conditionalFormatting>
  <conditionalFormatting sqref="L383:N385">
    <cfRule type="expression" dxfId="24" priority="21">
      <formula>$B383=""</formula>
    </cfRule>
  </conditionalFormatting>
  <conditionalFormatting sqref="L386:N388">
    <cfRule type="expression" dxfId="23" priority="20">
      <formula>$B386=""</formula>
    </cfRule>
  </conditionalFormatting>
  <conditionalFormatting sqref="L389:N391">
    <cfRule type="expression" dxfId="22" priority="19">
      <formula>$B389=""</formula>
    </cfRule>
  </conditionalFormatting>
  <conditionalFormatting sqref="L392:N394">
    <cfRule type="expression" dxfId="21" priority="18">
      <formula>$B392=""</formula>
    </cfRule>
  </conditionalFormatting>
  <conditionalFormatting sqref="L395:N397">
    <cfRule type="expression" dxfId="20" priority="17">
      <formula>$B395=""</formula>
    </cfRule>
  </conditionalFormatting>
  <conditionalFormatting sqref="L398:N400">
    <cfRule type="expression" dxfId="19" priority="16">
      <formula>$B398=""</formula>
    </cfRule>
  </conditionalFormatting>
  <conditionalFormatting sqref="L401:N403">
    <cfRule type="expression" dxfId="18" priority="15">
      <formula>$B401=""</formula>
    </cfRule>
  </conditionalFormatting>
  <conditionalFormatting sqref="L404:N406">
    <cfRule type="expression" dxfId="17" priority="14">
      <formula>$B404=""</formula>
    </cfRule>
  </conditionalFormatting>
  <conditionalFormatting sqref="L407:N409">
    <cfRule type="expression" dxfId="16" priority="13">
      <formula>$B407=""</formula>
    </cfRule>
  </conditionalFormatting>
  <conditionalFormatting sqref="L410:N412">
    <cfRule type="expression" dxfId="15" priority="12">
      <formula>$B410=""</formula>
    </cfRule>
  </conditionalFormatting>
  <conditionalFormatting sqref="L413:N415">
    <cfRule type="expression" dxfId="14" priority="11">
      <formula>$B413=""</formula>
    </cfRule>
  </conditionalFormatting>
  <conditionalFormatting sqref="L416:N418">
    <cfRule type="expression" dxfId="13" priority="10">
      <formula>$B416=""</formula>
    </cfRule>
  </conditionalFormatting>
  <conditionalFormatting sqref="L419:N421">
    <cfRule type="expression" dxfId="12" priority="9">
      <formula>$B419=""</formula>
    </cfRule>
  </conditionalFormatting>
  <conditionalFormatting sqref="L422:N424">
    <cfRule type="expression" dxfId="11" priority="8">
      <formula>$B422=""</formula>
    </cfRule>
  </conditionalFormatting>
  <conditionalFormatting sqref="L425:N427">
    <cfRule type="expression" dxfId="10" priority="7">
      <formula>$B425=""</formula>
    </cfRule>
  </conditionalFormatting>
  <conditionalFormatting sqref="L428:N430">
    <cfRule type="expression" dxfId="9" priority="6">
      <formula>$B428=""</formula>
    </cfRule>
  </conditionalFormatting>
  <conditionalFormatting sqref="L431:N433">
    <cfRule type="expression" dxfId="8" priority="5">
      <formula>$B431=""</formula>
    </cfRule>
  </conditionalFormatting>
  <conditionalFormatting sqref="L434:N436">
    <cfRule type="expression" dxfId="7" priority="4">
      <formula>$B434=""</formula>
    </cfRule>
  </conditionalFormatting>
  <conditionalFormatting sqref="L437:N439">
    <cfRule type="expression" dxfId="6" priority="3">
      <formula>$B437=""</formula>
    </cfRule>
  </conditionalFormatting>
  <conditionalFormatting sqref="L440:N442">
    <cfRule type="expression" dxfId="5" priority="2">
      <formula>$B440=""</formula>
    </cfRule>
  </conditionalFormatting>
  <conditionalFormatting sqref="L443:N445">
    <cfRule type="expression" dxfId="4" priority="1">
      <formula>$B443=""</formula>
    </cfRule>
  </conditionalFormatting>
  <dataValidations disablePrompts="1" count="2">
    <dataValidation type="list" allowBlank="1" showInputMessage="1" showErrorMessage="1" sqref="M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45" right="0.45" top="0.5" bottom="0.5" header="0.3" footer="0.3"/>
  <pageSetup scale="67" fitToHeight="10" orientation="portrait" r:id="rId1"/>
  <headerFooter>
    <oddFooter>&amp;CPage &amp;P of &amp;N&amp;R&amp;D  &amp;T</oddFooter>
  </headerFooter>
  <rowBreaks count="2" manualBreakCount="2">
    <brk id="139" min="2" max="11" man="1"/>
    <brk id="230" min="2" max="11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59999389629810485"/>
    <pageSetUpPr fitToPage="1"/>
  </sheetPr>
  <dimension ref="B1:Q240"/>
  <sheetViews>
    <sheetView showGridLines="0" zoomScale="85" zoomScaleNormal="85" workbookViewId="0">
      <pane ySplit="13" topLeftCell="A100" activePane="bottomLeft" state="frozen"/>
      <selection activeCell="A2" sqref="A2:F2"/>
      <selection pane="bottomLeft" activeCell="Q229" sqref="Q229"/>
    </sheetView>
  </sheetViews>
  <sheetFormatPr defaultRowHeight="15" x14ac:dyDescent="0.25"/>
  <cols>
    <col min="1" max="1" width="3.83203125" style="100" customWidth="1"/>
    <col min="2" max="2" width="2.5" style="100" customWidth="1"/>
    <col min="3" max="3" width="25.33203125" style="100" customWidth="1"/>
    <col min="4" max="5" width="14.5" style="100" customWidth="1"/>
    <col min="6" max="6" width="37.33203125" style="100" customWidth="1"/>
    <col min="7" max="7" width="26.5" style="100" customWidth="1"/>
    <col min="8" max="8" width="20.33203125" style="100" customWidth="1"/>
    <col min="9" max="9" width="13.33203125" style="100" customWidth="1"/>
    <col min="10" max="10" width="12.5" style="100" customWidth="1"/>
    <col min="11" max="11" width="14.1640625" style="100" customWidth="1"/>
    <col min="12" max="13" width="11.5" style="100" customWidth="1"/>
    <col min="14" max="14" width="11.6640625" style="100" customWidth="1"/>
    <col min="15" max="15" width="2.5" style="100" customWidth="1"/>
    <col min="16" max="16" width="3.83203125" style="100" customWidth="1"/>
    <col min="17" max="16384" width="9.33203125" style="100"/>
  </cols>
  <sheetData>
    <row r="1" spans="2:17" ht="5.25" customHeight="1" x14ac:dyDescent="0.25"/>
    <row r="2" spans="2:17" s="101" customFormat="1" ht="18.75" x14ac:dyDescent="0.3">
      <c r="C2" s="102" t="s">
        <v>56</v>
      </c>
      <c r="D2" s="11">
        <v>0</v>
      </c>
      <c r="E2" s="103" t="s">
        <v>98</v>
      </c>
      <c r="L2" s="216" t="s">
        <v>691</v>
      </c>
      <c r="M2" s="217"/>
      <c r="N2" s="103" t="s">
        <v>98</v>
      </c>
    </row>
    <row r="3" spans="2:17" ht="5.25" customHeight="1" thickBot="1" x14ac:dyDescent="0.3">
      <c r="B3" s="104"/>
    </row>
    <row r="4" spans="2:17" ht="5.25" customHeight="1" x14ac:dyDescent="0.25"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7"/>
    </row>
    <row r="5" spans="2:17" ht="26.25" x14ac:dyDescent="0.4">
      <c r="B5" s="108"/>
      <c r="C5" s="169"/>
      <c r="D5" s="169"/>
      <c r="E5" s="169"/>
      <c r="F5" s="169"/>
      <c r="G5" s="110"/>
      <c r="H5" s="110"/>
      <c r="I5" s="110"/>
      <c r="J5" s="110"/>
      <c r="K5" s="110"/>
      <c r="L5" s="110"/>
      <c r="M5" s="111"/>
      <c r="N5" s="111"/>
      <c r="O5" s="112"/>
    </row>
    <row r="6" spans="2:17" ht="11.25" customHeight="1" x14ac:dyDescent="0.25">
      <c r="B6" s="108"/>
      <c r="C6" s="215" t="s">
        <v>747</v>
      </c>
      <c r="D6" s="215"/>
      <c r="E6" s="215"/>
      <c r="F6" s="215"/>
      <c r="G6" s="110"/>
      <c r="H6" s="110"/>
      <c r="I6" s="110"/>
      <c r="J6" s="110"/>
      <c r="K6" s="110"/>
      <c r="L6" s="110"/>
      <c r="M6" s="111"/>
      <c r="N6" s="111"/>
      <c r="O6" s="112"/>
    </row>
    <row r="7" spans="2:17" ht="11.25" customHeight="1" x14ac:dyDescent="0.25">
      <c r="B7" s="108"/>
      <c r="C7" s="215"/>
      <c r="D7" s="215"/>
      <c r="E7" s="215"/>
      <c r="F7" s="215"/>
      <c r="G7" s="113"/>
      <c r="H7" s="113"/>
      <c r="I7" s="113"/>
      <c r="J7" s="113"/>
      <c r="K7" s="113"/>
      <c r="L7" s="113"/>
      <c r="M7" s="111"/>
      <c r="N7" s="111"/>
      <c r="O7" s="112"/>
    </row>
    <row r="8" spans="2:17" x14ac:dyDescent="0.25">
      <c r="B8" s="108"/>
      <c r="C8" s="214">
        <f>Main!$K$2</f>
        <v>42129</v>
      </c>
      <c r="D8" s="111"/>
      <c r="E8" s="110"/>
      <c r="F8" s="113"/>
      <c r="G8" s="113"/>
      <c r="H8" s="113"/>
      <c r="I8" s="113"/>
      <c r="J8" s="113"/>
      <c r="K8" s="113"/>
      <c r="L8" s="113"/>
      <c r="M8" s="111"/>
      <c r="N8" s="111"/>
      <c r="O8" s="112"/>
    </row>
    <row r="9" spans="2:17" ht="10.5" customHeight="1" x14ac:dyDescent="0.25">
      <c r="B9" s="108"/>
      <c r="C9" s="214"/>
      <c r="D9" s="116"/>
      <c r="E9" s="116"/>
      <c r="F9" s="113"/>
      <c r="G9" s="113"/>
      <c r="H9" s="113"/>
      <c r="I9" s="113"/>
      <c r="J9" s="113"/>
      <c r="K9" s="113"/>
      <c r="L9" s="117" t="s">
        <v>101</v>
      </c>
      <c r="M9" s="118" t="s">
        <v>102</v>
      </c>
      <c r="N9" s="111"/>
      <c r="O9" s="112"/>
    </row>
    <row r="10" spans="2:17" ht="18" x14ac:dyDescent="0.25">
      <c r="B10" s="108"/>
      <c r="C10" s="114" t="s">
        <v>0</v>
      </c>
      <c r="D10" s="116"/>
      <c r="E10" s="116"/>
      <c r="F10" s="113"/>
      <c r="G10" s="113"/>
      <c r="H10" s="120"/>
      <c r="I10" s="120"/>
      <c r="J10" s="120"/>
      <c r="K10" s="120"/>
      <c r="L10" s="120">
        <f>IF(OH!L2="Prices in $/kWh",1000,1)</f>
        <v>1</v>
      </c>
      <c r="M10" s="121">
        <f>IF(OH!L2="Prices in $/kWh",2,1)</f>
        <v>1</v>
      </c>
      <c r="N10" s="121"/>
      <c r="O10" s="112"/>
    </row>
    <row r="11" spans="2:17" ht="10.5" customHeight="1" thickBot="1" x14ac:dyDescent="0.3">
      <c r="B11" s="108"/>
      <c r="C11" s="111"/>
      <c r="D11" s="111"/>
      <c r="E11" s="111"/>
      <c r="F11" s="113"/>
      <c r="G11" s="113"/>
      <c r="H11" s="121"/>
      <c r="I11" s="121"/>
      <c r="J11" s="121"/>
      <c r="K11" s="121"/>
      <c r="L11" s="121">
        <v>3</v>
      </c>
      <c r="M11" s="121">
        <v>4</v>
      </c>
      <c r="N11" s="121">
        <v>5</v>
      </c>
      <c r="O11" s="112"/>
    </row>
    <row r="12" spans="2:17" ht="18.75" thickBot="1" x14ac:dyDescent="0.3">
      <c r="B12" s="108"/>
      <c r="C12" s="114" t="s">
        <v>51</v>
      </c>
      <c r="D12" s="111"/>
      <c r="E12" s="111"/>
      <c r="F12" s="111"/>
      <c r="G12" s="111"/>
      <c r="H12" s="111"/>
      <c r="I12" s="193" t="str">
        <f>IF(OH!L2="Prices in $/kWh","Contract Term (months) - $/kWh","Contract Term (months) - $/MWh")</f>
        <v>Contract Term (months) - $/MWh</v>
      </c>
      <c r="J12" s="194"/>
      <c r="K12" s="194"/>
      <c r="L12" s="195" t="str">
        <f>IF(OH!L2="Prices in $/kWh","Contract Term (months) - $/kWh","Contract Term (months) - $/MWh")</f>
        <v>Contract Term (months) - $/MWh</v>
      </c>
      <c r="M12" s="196"/>
      <c r="N12" s="197"/>
      <c r="O12" s="112"/>
    </row>
    <row r="13" spans="2:17" ht="25.5" customHeight="1" x14ac:dyDescent="0.25">
      <c r="B13" s="108"/>
      <c r="C13" s="124" t="s">
        <v>1</v>
      </c>
      <c r="D13" s="124" t="s">
        <v>2</v>
      </c>
      <c r="E13" s="124" t="s">
        <v>3</v>
      </c>
      <c r="F13" s="124" t="s">
        <v>4</v>
      </c>
      <c r="G13" s="124" t="s">
        <v>95</v>
      </c>
      <c r="H13" s="124" t="s">
        <v>57</v>
      </c>
      <c r="I13" s="125" t="s">
        <v>58</v>
      </c>
      <c r="J13" s="125" t="s">
        <v>59</v>
      </c>
      <c r="K13" s="126" t="s">
        <v>60</v>
      </c>
      <c r="L13" s="198" t="s">
        <v>58</v>
      </c>
      <c r="M13" s="125" t="s">
        <v>59</v>
      </c>
      <c r="N13" s="126" t="s">
        <v>60</v>
      </c>
      <c r="O13" s="112"/>
    </row>
    <row r="14" spans="2:17" x14ac:dyDescent="0.25">
      <c r="B14" s="108"/>
      <c r="C14" s="127">
        <f>Main!K5</f>
        <v>42156</v>
      </c>
      <c r="D14" s="128" t="s">
        <v>20</v>
      </c>
      <c r="E14" s="129" t="s">
        <v>63</v>
      </c>
      <c r="F14" s="128" t="s">
        <v>15</v>
      </c>
      <c r="G14" s="129" t="str">
        <f>VLOOKUP(SUMPRODUCT( ((LMPMain!$H$9:$H$1000)=$E14)*((LMPMain!$J$9:$J$1000)=$F14)*((LMPMain!$O$9:$O$1000)=$C14)*(LMPMain!A$9:A$1000)),LMPMain!$A$9:$K$1000,11,FALSE)</f>
        <v>General Service Small</v>
      </c>
      <c r="H14" s="130" t="s">
        <v>61</v>
      </c>
      <c r="I14" s="180" t="str">
        <f>TEXT(   (SUMPRODUCT( ((Main!$H$9:$H$1000)=$E14)*((Main!$J$9:$J$1000)=$F14)*((Main!$O$9:$O$1000)=$C14)*(Main!R$9:R$1000) ) +  ( SUMPRODUCT( ((Adders!$D$13:$D$101)=$E14)*((Adders!$E$13:$E$101)=$F14)*(Adders!G$13:G$101)) + VLOOKUP($H14,Adders!$B$5:$G$8,L$11,FALSE)  +  OH!$D$2 ) * IF($D14="NJ",1.07,1))/$L$10, CHOOSE($M$10,$L$9,$M$9) )</f>
        <v xml:space="preserve"> 74.85 </v>
      </c>
      <c r="J14" s="178" t="str">
        <f>TEXT(   (SUMPRODUCT( ((Main!$H$9:$H$1000)=$E14)*((Main!$J$9:$J$1000)=$F14)*((Main!$O$9:$O$1000)=$C14)*(Main!S$9:S$1000) ) +  ( SUMPRODUCT( ((Adders!$D$13:$D$101)=$E14)*((Adders!$E$13:$E$101)=$F14)*(Adders!H$13:H$101)) + VLOOKUP($H14,Adders!$B$5:$G$8,M$11,FALSE)  +  OH!$D$2 ) * IF($D14="NJ",1.07,1))/$L$10, CHOOSE($M$10,$L$9,$M$9) )</f>
        <v xml:space="preserve"> 71.61 </v>
      </c>
      <c r="K14" s="179" t="str">
        <f>TEXT(   (SUMPRODUCT( ((Main!$H$9:$H$1000)=$E14)*((Main!$J$9:$J$1000)=$F14)*((Main!$O$9:$O$1000)=$C14)*(Main!T$9:T$1000) ) +  ( SUMPRODUCT( ((Adders!$D$13:$D$101)=$E14)*((Adders!$E$13:$E$101)=$F14)*(Adders!I$13:I$101)) + VLOOKUP($H14,Adders!$B$5:$G$8,$N$11,FALSE)  +  OH!$D$2 ) * IF($D14="NJ",1.07,1))/$L$10, CHOOSE($M$10,$L$9,$M$9) )</f>
        <v xml:space="preserve"> 71.56 </v>
      </c>
      <c r="L14" s="180" t="str">
        <f>TEXT(   (SUMPRODUCT( ((LMPMain!$H$9:$H$1000)=$E14)*((LMPMain!$J$9:$J$1000)=$F14)*((LMPMain!$O$9:$O$1000)=$C14)*(LMPMain!R$9:R$1000) ) +  ( SUMPRODUCT( ((Adders!$D$13:$D$101)=$E14)*((Adders!$E$13:$E$101)=$F14)*(Adders!F$13:F$101)) + VLOOKUP($H14,Adders!$B$5:$G$8,L$11,FALSE)  +  OH!$D$2 ) * IF($D14="NJ",1.07,1))/$L$10, CHOOSE($M$10,$L$9,$M$9) )</f>
        <v xml:space="preserve"> 27.47 </v>
      </c>
      <c r="M14" s="178" t="str">
        <f>TEXT(   (SUMPRODUCT( ((LMPMain!$H$9:$H$1000)=$E14)*((LMPMain!$J$9:$J$1000)=$F14)*((LMPMain!$O$9:$O$1000)=$C14)*(LMPMain!S$9:S$1000) ) +  ( SUMPRODUCT( ((Adders!$D$13:$D$101)=$E14)*((Adders!$E$13:$E$101)=$F14)*(Adders!G$13:G$101)) + VLOOKUP($H14,Adders!$B$5:$G$8,M$11,FALSE)  +  OH!$D$2 ) * IF($D14="NJ",1.07,1))/$L$10, CHOOSE($M$10,$L$9,$M$9) )</f>
        <v xml:space="preserve"> 24.53 </v>
      </c>
      <c r="N14" s="179" t="str">
        <f>TEXT(   (SUMPRODUCT( ((LMPMain!$H$9:$H$1000)=$E14)*((LMPMain!$J$9:$J$1000)=$F14)*((LMPMain!$O$9:$O$1000)=$C14)*(LMPMain!T$9:T$1000) ) +  ( SUMPRODUCT( ((Adders!$D$13:$D$101)=$E14)*((Adders!$E$13:$E$101)=$F14)*(Adders!H$13:H$101)) + VLOOKUP($H14,Adders!$B$5:$G$8,N$11,FALSE)  +  OH!$D$2 ) * IF($D14="NJ",1.07,1))/$L$10, CHOOSE($M$10,$L$9,$M$9) )</f>
        <v xml:space="preserve"> 23.55 </v>
      </c>
      <c r="O14" s="112"/>
      <c r="Q14" s="142"/>
    </row>
    <row r="15" spans="2:17" x14ac:dyDescent="0.25">
      <c r="B15" s="108"/>
      <c r="C15" s="131">
        <f>+C14</f>
        <v>42156</v>
      </c>
      <c r="D15" s="132" t="s">
        <v>20</v>
      </c>
      <c r="E15" s="133" t="s">
        <v>63</v>
      </c>
      <c r="F15" s="132" t="s">
        <v>15</v>
      </c>
      <c r="G15" s="133" t="str">
        <f>G14</f>
        <v>General Service Small</v>
      </c>
      <c r="H15" s="134" t="s">
        <v>62</v>
      </c>
      <c r="I15" s="172" t="str">
        <f>TEXT(   (SUMPRODUCT( ((Main!$H$9:$H$1000)=$E15)*((Main!$J$9:$J$1000)=$F15)*((Main!$O$9:$O$1000)=$C15)*(Main!R$9:R$1000) ) +  ( SUMPRODUCT( ((Adders!$D$13:$D$101)=$E15)*((Adders!$E$13:$E$101)=$F15)*(Adders!G$13:G$101)) + VLOOKUP($H15,Adders!$B$5:$G$8,L$11,FALSE)  +  OH!$D$2 ) * IF($D15="NJ",1.07,1))/$L$10, CHOOSE($M$10,$L$9,$M$9) )</f>
        <v xml:space="preserve"> 73.25 </v>
      </c>
      <c r="J15" s="173" t="str">
        <f>TEXT(   (SUMPRODUCT( ((Main!$H$9:$H$1000)=$E15)*((Main!$J$9:$J$1000)=$F15)*((Main!$O$9:$O$1000)=$C15)*(Main!S$9:S$1000) ) +  ( SUMPRODUCT( ((Adders!$D$13:$D$101)=$E15)*((Adders!$E$13:$E$101)=$F15)*(Adders!H$13:H$101)) + VLOOKUP($H15,Adders!$B$5:$G$8,M$11,FALSE)  +  OH!$D$2 ) * IF($D15="NJ",1.07,1))/$L$10, CHOOSE($M$10,$L$9,$M$9) )</f>
        <v xml:space="preserve"> 70.01 </v>
      </c>
      <c r="K15" s="174" t="str">
        <f>TEXT(   (SUMPRODUCT( ((Main!$H$9:$H$1000)=$E15)*((Main!$J$9:$J$1000)=$F15)*((Main!$O$9:$O$1000)=$C15)*(Main!T$9:T$1000) ) +  ( SUMPRODUCT( ((Adders!$D$13:$D$101)=$E15)*((Adders!$E$13:$E$101)=$F15)*(Adders!I$13:I$101)) + VLOOKUP($H15,Adders!$B$5:$G$8,$N$11,FALSE)  +  OH!$D$2 ) * IF($D15="NJ",1.07,1))/$L$10, CHOOSE($M$10,$L$9,$M$9) )</f>
        <v xml:space="preserve"> 69.96 </v>
      </c>
      <c r="L15" s="172" t="str">
        <f>TEXT(   (SUMPRODUCT( ((LMPMain!$H$9:$H$1000)=$E15)*((LMPMain!$J$9:$J$1000)=$F15)*((LMPMain!$O$9:$O$1000)=$C15)*(LMPMain!R$9:R$1000) ) +  ( SUMPRODUCT( ((Adders!$D$13:$D$101)=$E15)*((Adders!$E$13:$E$101)=$F15)*(Adders!F$13:F$101)) + VLOOKUP($H15,Adders!$B$5:$G$8,L$11,FALSE)  +  OH!$D$2 ) * IF($D15="NJ",1.07,1))/$L$10, CHOOSE($M$10,$L$9,$M$9) )</f>
        <v xml:space="preserve"> 25.87 </v>
      </c>
      <c r="M15" s="173" t="str">
        <f>TEXT(   (SUMPRODUCT( ((LMPMain!$H$9:$H$1000)=$E15)*((LMPMain!$J$9:$J$1000)=$F15)*((LMPMain!$O$9:$O$1000)=$C15)*(LMPMain!S$9:S$1000) ) +  ( SUMPRODUCT( ((Adders!$D$13:$D$101)=$E15)*((Adders!$E$13:$E$101)=$F15)*(Adders!G$13:G$101)) + VLOOKUP($H15,Adders!$B$5:$G$8,M$11,FALSE)  +  OH!$D$2 ) * IF($D15="NJ",1.07,1))/$L$10, CHOOSE($M$10,$L$9,$M$9) )</f>
        <v xml:space="preserve"> 22.93 </v>
      </c>
      <c r="N15" s="174" t="str">
        <f>TEXT(   (SUMPRODUCT( ((LMPMain!$H$9:$H$1000)=$E15)*((LMPMain!$J$9:$J$1000)=$F15)*((LMPMain!$O$9:$O$1000)=$C15)*(LMPMain!T$9:T$1000) ) +  ( SUMPRODUCT( ((Adders!$D$13:$D$101)=$E15)*((Adders!$E$13:$E$101)=$F15)*(Adders!H$13:H$101)) + VLOOKUP($H15,Adders!$B$5:$G$8,N$11,FALSE)  +  OH!$D$2 ) * IF($D15="NJ",1.07,1))/$L$10, CHOOSE($M$10,$L$9,$M$9) )</f>
        <v xml:space="preserve"> 21.95 </v>
      </c>
      <c r="O15" s="112"/>
      <c r="Q15" s="142"/>
    </row>
    <row r="16" spans="2:17" x14ac:dyDescent="0.25">
      <c r="B16" s="108"/>
      <c r="C16" s="135">
        <f>+C15</f>
        <v>42156</v>
      </c>
      <c r="D16" s="136" t="s">
        <v>20</v>
      </c>
      <c r="E16" s="137" t="s">
        <v>63</v>
      </c>
      <c r="F16" s="136" t="s">
        <v>15</v>
      </c>
      <c r="G16" s="137" t="str">
        <f>G15</f>
        <v>General Service Small</v>
      </c>
      <c r="H16" s="138" t="s">
        <v>690</v>
      </c>
      <c r="I16" s="175" t="str">
        <f>TEXT(   (SUMPRODUCT( ((Main!$H$9:$H$1000)=$E16)*((Main!$J$9:$J$1000)=$F16)*((Main!$O$9:$O$1000)=$C16)*(Main!R$9:R$1000) ) +  ( SUMPRODUCT( ((Adders!$D$13:$D$101)=$E16)*((Adders!$E$13:$E$101)=$F16)*(Adders!G$13:G$101)) + VLOOKUP($H16,Adders!$B$5:$G$8,L$11,FALSE)  +  OH!$D$2 ) * IF($D16="NJ",1.07,1))/$L$10, CHOOSE($M$10,$L$9,$M$9) )</f>
        <v xml:space="preserve"> 72.20 </v>
      </c>
      <c r="J16" s="176" t="str">
        <f>TEXT(   (SUMPRODUCT( ((Main!$H$9:$H$1000)=$E16)*((Main!$J$9:$J$1000)=$F16)*((Main!$O$9:$O$1000)=$C16)*(Main!S$9:S$1000) ) +  ( SUMPRODUCT( ((Adders!$D$13:$D$101)=$E16)*((Adders!$E$13:$E$101)=$F16)*(Adders!H$13:H$101)) + VLOOKUP($H16,Adders!$B$5:$G$8,M$11,FALSE)  +  OH!$D$2 ) * IF($D16="NJ",1.07,1))/$L$10, CHOOSE($M$10,$L$9,$M$9) )</f>
        <v xml:space="preserve"> 68.96 </v>
      </c>
      <c r="K16" s="177" t="str">
        <f>TEXT(   (SUMPRODUCT( ((Main!$H$9:$H$1000)=$E16)*((Main!$J$9:$J$1000)=$F16)*((Main!$O$9:$O$1000)=$C16)*(Main!T$9:T$1000) ) +  ( SUMPRODUCT( ((Adders!$D$13:$D$101)=$E16)*((Adders!$E$13:$E$101)=$F16)*(Adders!I$13:I$101)) + VLOOKUP($H16,Adders!$B$5:$G$8,$N$11,FALSE)  +  OH!$D$2 ) * IF($D16="NJ",1.07,1))/$L$10, CHOOSE($M$10,$L$9,$M$9) )</f>
        <v xml:space="preserve"> 68.91 </v>
      </c>
      <c r="L16" s="175" t="str">
        <f>TEXT(   (SUMPRODUCT( ((LMPMain!$H$9:$H$1000)=$E16)*((LMPMain!$J$9:$J$1000)=$F16)*((LMPMain!$O$9:$O$1000)=$C16)*(LMPMain!R$9:R$1000) ) +  ( SUMPRODUCT( ((Adders!$D$13:$D$101)=$E16)*((Adders!$E$13:$E$101)=$F16)*(Adders!F$13:F$101)) + VLOOKUP($H16,Adders!$B$5:$G$8,L$11,FALSE)  +  OH!$D$2 ) * IF($D16="NJ",1.07,1))/$L$10, CHOOSE($M$10,$L$9,$M$9) )</f>
        <v xml:space="preserve"> 24.82 </v>
      </c>
      <c r="M16" s="176" t="str">
        <f>TEXT(   (SUMPRODUCT( ((LMPMain!$H$9:$H$1000)=$E16)*((LMPMain!$J$9:$J$1000)=$F16)*((LMPMain!$O$9:$O$1000)=$C16)*(LMPMain!S$9:S$1000) ) +  ( SUMPRODUCT( ((Adders!$D$13:$D$101)=$E16)*((Adders!$E$13:$E$101)=$F16)*(Adders!G$13:G$101)) + VLOOKUP($H16,Adders!$B$5:$G$8,M$11,FALSE)  +  OH!$D$2 ) * IF($D16="NJ",1.07,1))/$L$10, CHOOSE($M$10,$L$9,$M$9) )</f>
        <v xml:space="preserve"> 21.88 </v>
      </c>
      <c r="N16" s="177" t="str">
        <f>TEXT(   (SUMPRODUCT( ((LMPMain!$H$9:$H$1000)=$E16)*((LMPMain!$J$9:$J$1000)=$F16)*((LMPMain!$O$9:$O$1000)=$C16)*(LMPMain!T$9:T$1000) ) +  ( SUMPRODUCT( ((Adders!$D$13:$D$101)=$E16)*((Adders!$E$13:$E$101)=$F16)*(Adders!H$13:H$101)) + VLOOKUP($H16,Adders!$B$5:$G$8,N$11,FALSE)  +  OH!$D$2 ) * IF($D16="NJ",1.07,1))/$L$10, CHOOSE($M$10,$L$9,$M$9) )</f>
        <v xml:space="preserve"> 20.90 </v>
      </c>
      <c r="O16" s="112"/>
    </row>
    <row r="17" spans="2:15" x14ac:dyDescent="0.25">
      <c r="B17" s="108"/>
      <c r="C17" s="127">
        <f>DATE(YEAR(C16),MONTH(C16)+1,0)+1</f>
        <v>42186</v>
      </c>
      <c r="D17" s="128" t="s">
        <v>20</v>
      </c>
      <c r="E17" s="129" t="s">
        <v>63</v>
      </c>
      <c r="F17" s="128" t="s">
        <v>15</v>
      </c>
      <c r="G17" s="129" t="str">
        <f t="shared" ref="G17:G49" si="0">G16</f>
        <v>General Service Small</v>
      </c>
      <c r="H17" s="130" t="s">
        <v>61</v>
      </c>
      <c r="I17" s="180" t="str">
        <f>TEXT(   (SUMPRODUCT( ((Main!$H$9:$H$1000)=$E17)*((Main!$J$9:$J$1000)=$F17)*((Main!$O$9:$O$1000)=$C17)*(Main!R$9:R$1000) ) +  ( SUMPRODUCT( ((Adders!$D$13:$D$101)=$E17)*((Adders!$E$13:$E$101)=$F17)*(Adders!G$13:G$101)) + VLOOKUP($H17,Adders!$B$5:$G$8,L$11,FALSE)  +  OH!$D$2 ) * IF($D17="NJ",1.07,1))/$L$10, CHOOSE($M$10,$L$9,$M$9) )</f>
        <v xml:space="preserve"> 74.38 </v>
      </c>
      <c r="J17" s="178" t="str">
        <f>TEXT(   (SUMPRODUCT( ((Main!$H$9:$H$1000)=$E17)*((Main!$J$9:$J$1000)=$F17)*((Main!$O$9:$O$1000)=$C17)*(Main!S$9:S$1000) ) +  ( SUMPRODUCT( ((Adders!$D$13:$D$101)=$E17)*((Adders!$E$13:$E$101)=$F17)*(Adders!H$13:H$101)) + VLOOKUP($H17,Adders!$B$5:$G$8,M$11,FALSE)  +  OH!$D$2 ) * IF($D17="NJ",1.07,1))/$L$10, CHOOSE($M$10,$L$9,$M$9) )</f>
        <v xml:space="preserve"> 71.08 </v>
      </c>
      <c r="K17" s="179" t="str">
        <f>TEXT(   (SUMPRODUCT( ((Main!$H$9:$H$1000)=$E17)*((Main!$J$9:$J$1000)=$F17)*((Main!$O$9:$O$1000)=$C17)*(Main!T$9:T$1000) ) +  ( SUMPRODUCT( ((Adders!$D$13:$D$101)=$E17)*((Adders!$E$13:$E$101)=$F17)*(Adders!I$13:I$101)) + VLOOKUP($H17,Adders!$B$5:$G$8,$N$11,FALSE)  +  OH!$D$2 ) * IF($D17="NJ",1.07,1))/$L$10, CHOOSE($M$10,$L$9,$M$9) )</f>
        <v xml:space="preserve"> 71.36 </v>
      </c>
      <c r="L17" s="180" t="str">
        <f>TEXT(   (SUMPRODUCT( ((LMPMain!$H$9:$H$1000)=$E17)*((LMPMain!$J$9:$J$1000)=$F17)*((LMPMain!$O$9:$O$1000)=$C17)*(LMPMain!R$9:R$1000) ) +  ( SUMPRODUCT( ((Adders!$D$13:$D$101)=$E17)*((Adders!$E$13:$E$101)=$F17)*(Adders!F$13:F$101)) + VLOOKUP($H17,Adders!$B$5:$G$8,L$11,FALSE)  +  OH!$D$2 ) * IF($D17="NJ",1.07,1))/$L$10, CHOOSE($M$10,$L$9,$M$9) )</f>
        <v xml:space="preserve"> 26.83 </v>
      </c>
      <c r="M17" s="178" t="str">
        <f>TEXT(   (SUMPRODUCT( ((LMPMain!$H$9:$H$1000)=$E17)*((LMPMain!$J$9:$J$1000)=$F17)*((LMPMain!$O$9:$O$1000)=$C17)*(LMPMain!S$9:S$1000) ) +  ( SUMPRODUCT( ((Adders!$D$13:$D$101)=$E17)*((Adders!$E$13:$E$101)=$F17)*(Adders!G$13:G$101)) + VLOOKUP($H17,Adders!$B$5:$G$8,M$11,FALSE)  +  OH!$D$2 ) * IF($D17="NJ",1.07,1))/$L$10, CHOOSE($M$10,$L$9,$M$9) )</f>
        <v xml:space="preserve"> 24.10 </v>
      </c>
      <c r="N17" s="179" t="str">
        <f>TEXT(   (SUMPRODUCT( ((LMPMain!$H$9:$H$1000)=$E17)*((LMPMain!$J$9:$J$1000)=$F17)*((LMPMain!$O$9:$O$1000)=$C17)*(LMPMain!T$9:T$1000) ) +  ( SUMPRODUCT( ((Adders!$D$13:$D$101)=$E17)*((Adders!$E$13:$E$101)=$F17)*(Adders!H$13:H$101)) + VLOOKUP($H17,Adders!$B$5:$G$8,N$11,FALSE)  +  OH!$D$2 ) * IF($D17="NJ",1.07,1))/$L$10, CHOOSE($M$10,$L$9,$M$9) )</f>
        <v xml:space="preserve"> 23.49 </v>
      </c>
      <c r="O17" s="112"/>
    </row>
    <row r="18" spans="2:15" x14ac:dyDescent="0.25">
      <c r="B18" s="108"/>
      <c r="C18" s="131">
        <f>+C17</f>
        <v>42186</v>
      </c>
      <c r="D18" s="132" t="s">
        <v>20</v>
      </c>
      <c r="E18" s="133" t="s">
        <v>63</v>
      </c>
      <c r="F18" s="132" t="s">
        <v>15</v>
      </c>
      <c r="G18" s="133" t="str">
        <f t="shared" si="0"/>
        <v>General Service Small</v>
      </c>
      <c r="H18" s="134" t="s">
        <v>62</v>
      </c>
      <c r="I18" s="172" t="str">
        <f>TEXT(   (SUMPRODUCT( ((Main!$H$9:$H$1000)=$E18)*((Main!$J$9:$J$1000)=$F18)*((Main!$O$9:$O$1000)=$C18)*(Main!R$9:R$1000) ) +  ( SUMPRODUCT( ((Adders!$D$13:$D$101)=$E18)*((Adders!$E$13:$E$101)=$F18)*(Adders!G$13:G$101)) + VLOOKUP($H18,Adders!$B$5:$G$8,L$11,FALSE)  +  OH!$D$2 ) * IF($D18="NJ",1.07,1))/$L$10, CHOOSE($M$10,$L$9,$M$9) )</f>
        <v xml:space="preserve"> 72.78 </v>
      </c>
      <c r="J18" s="173" t="str">
        <f>TEXT(   (SUMPRODUCT( ((Main!$H$9:$H$1000)=$E18)*((Main!$J$9:$J$1000)=$F18)*((Main!$O$9:$O$1000)=$C18)*(Main!S$9:S$1000) ) +  ( SUMPRODUCT( ((Adders!$D$13:$D$101)=$E18)*((Adders!$E$13:$E$101)=$F18)*(Adders!H$13:H$101)) + VLOOKUP($H18,Adders!$B$5:$G$8,M$11,FALSE)  +  OH!$D$2 ) * IF($D18="NJ",1.07,1))/$L$10, CHOOSE($M$10,$L$9,$M$9) )</f>
        <v xml:space="preserve"> 69.48 </v>
      </c>
      <c r="K18" s="174" t="str">
        <f>TEXT(   (SUMPRODUCT( ((Main!$H$9:$H$1000)=$E18)*((Main!$J$9:$J$1000)=$F18)*((Main!$O$9:$O$1000)=$C18)*(Main!T$9:T$1000) ) +  ( SUMPRODUCT( ((Adders!$D$13:$D$101)=$E18)*((Adders!$E$13:$E$101)=$F18)*(Adders!I$13:I$101)) + VLOOKUP($H18,Adders!$B$5:$G$8,$N$11,FALSE)  +  OH!$D$2 ) * IF($D18="NJ",1.07,1))/$L$10, CHOOSE($M$10,$L$9,$M$9) )</f>
        <v xml:space="preserve"> 69.76 </v>
      </c>
      <c r="L18" s="172" t="str">
        <f>TEXT(   (SUMPRODUCT( ((LMPMain!$H$9:$H$1000)=$E18)*((LMPMain!$J$9:$J$1000)=$F18)*((LMPMain!$O$9:$O$1000)=$C18)*(LMPMain!R$9:R$1000) ) +  ( SUMPRODUCT( ((Adders!$D$13:$D$101)=$E18)*((Adders!$E$13:$E$101)=$F18)*(Adders!F$13:F$101)) + VLOOKUP($H18,Adders!$B$5:$G$8,L$11,FALSE)  +  OH!$D$2 ) * IF($D18="NJ",1.07,1))/$L$10, CHOOSE($M$10,$L$9,$M$9) )</f>
        <v xml:space="preserve"> 25.23 </v>
      </c>
      <c r="M18" s="173" t="str">
        <f>TEXT(   (SUMPRODUCT( ((LMPMain!$H$9:$H$1000)=$E18)*((LMPMain!$J$9:$J$1000)=$F18)*((LMPMain!$O$9:$O$1000)=$C18)*(LMPMain!S$9:S$1000) ) +  ( SUMPRODUCT( ((Adders!$D$13:$D$101)=$E18)*((Adders!$E$13:$E$101)=$F18)*(Adders!G$13:G$101)) + VLOOKUP($H18,Adders!$B$5:$G$8,M$11,FALSE)  +  OH!$D$2 ) * IF($D18="NJ",1.07,1))/$L$10, CHOOSE($M$10,$L$9,$M$9) )</f>
        <v xml:space="preserve"> 22.50 </v>
      </c>
      <c r="N18" s="174" t="str">
        <f>TEXT(   (SUMPRODUCT( ((LMPMain!$H$9:$H$1000)=$E18)*((LMPMain!$J$9:$J$1000)=$F18)*((LMPMain!$O$9:$O$1000)=$C18)*(LMPMain!T$9:T$1000) ) +  ( SUMPRODUCT( ((Adders!$D$13:$D$101)=$E18)*((Adders!$E$13:$E$101)=$F18)*(Adders!H$13:H$101)) + VLOOKUP($H18,Adders!$B$5:$G$8,N$11,FALSE)  +  OH!$D$2 ) * IF($D18="NJ",1.07,1))/$L$10, CHOOSE($M$10,$L$9,$M$9) )</f>
        <v xml:space="preserve"> 21.89 </v>
      </c>
      <c r="O18" s="112"/>
    </row>
    <row r="19" spans="2:15" x14ac:dyDescent="0.25">
      <c r="B19" s="108"/>
      <c r="C19" s="135">
        <f>+C18</f>
        <v>42186</v>
      </c>
      <c r="D19" s="136" t="s">
        <v>20</v>
      </c>
      <c r="E19" s="137" t="s">
        <v>63</v>
      </c>
      <c r="F19" s="136" t="s">
        <v>15</v>
      </c>
      <c r="G19" s="137" t="str">
        <f t="shared" si="0"/>
        <v>General Service Small</v>
      </c>
      <c r="H19" s="138" t="s">
        <v>690</v>
      </c>
      <c r="I19" s="175" t="str">
        <f>TEXT(   (SUMPRODUCT( ((Main!$H$9:$H$1000)=$E19)*((Main!$J$9:$J$1000)=$F19)*((Main!$O$9:$O$1000)=$C19)*(Main!R$9:R$1000) ) +  ( SUMPRODUCT( ((Adders!$D$13:$D$101)=$E19)*((Adders!$E$13:$E$101)=$F19)*(Adders!G$13:G$101)) + VLOOKUP($H19,Adders!$B$5:$G$8,L$11,FALSE)  +  OH!$D$2 ) * IF($D19="NJ",1.07,1))/$L$10, CHOOSE($M$10,$L$9,$M$9) )</f>
        <v xml:space="preserve"> 71.73 </v>
      </c>
      <c r="J19" s="176" t="str">
        <f>TEXT(   (SUMPRODUCT( ((Main!$H$9:$H$1000)=$E19)*((Main!$J$9:$J$1000)=$F19)*((Main!$O$9:$O$1000)=$C19)*(Main!S$9:S$1000) ) +  ( SUMPRODUCT( ((Adders!$D$13:$D$101)=$E19)*((Adders!$E$13:$E$101)=$F19)*(Adders!H$13:H$101)) + VLOOKUP($H19,Adders!$B$5:$G$8,M$11,FALSE)  +  OH!$D$2 ) * IF($D19="NJ",1.07,1))/$L$10, CHOOSE($M$10,$L$9,$M$9) )</f>
        <v xml:space="preserve"> 68.43 </v>
      </c>
      <c r="K19" s="177" t="str">
        <f>TEXT(   (SUMPRODUCT( ((Main!$H$9:$H$1000)=$E19)*((Main!$J$9:$J$1000)=$F19)*((Main!$O$9:$O$1000)=$C19)*(Main!T$9:T$1000) ) +  ( SUMPRODUCT( ((Adders!$D$13:$D$101)=$E19)*((Adders!$E$13:$E$101)=$F19)*(Adders!I$13:I$101)) + VLOOKUP($H19,Adders!$B$5:$G$8,$N$11,FALSE)  +  OH!$D$2 ) * IF($D19="NJ",1.07,1))/$L$10, CHOOSE($M$10,$L$9,$M$9) )</f>
        <v xml:space="preserve"> 68.71 </v>
      </c>
      <c r="L19" s="175" t="str">
        <f>TEXT(   (SUMPRODUCT( ((LMPMain!$H$9:$H$1000)=$E19)*((LMPMain!$J$9:$J$1000)=$F19)*((LMPMain!$O$9:$O$1000)=$C19)*(LMPMain!R$9:R$1000) ) +  ( SUMPRODUCT( ((Adders!$D$13:$D$101)=$E19)*((Adders!$E$13:$E$101)=$F19)*(Adders!F$13:F$101)) + VLOOKUP($H19,Adders!$B$5:$G$8,L$11,FALSE)  +  OH!$D$2 ) * IF($D19="NJ",1.07,1))/$L$10, CHOOSE($M$10,$L$9,$M$9) )</f>
        <v xml:space="preserve"> 24.18 </v>
      </c>
      <c r="M19" s="176" t="str">
        <f>TEXT(   (SUMPRODUCT( ((LMPMain!$H$9:$H$1000)=$E19)*((LMPMain!$J$9:$J$1000)=$F19)*((LMPMain!$O$9:$O$1000)=$C19)*(LMPMain!S$9:S$1000) ) +  ( SUMPRODUCT( ((Adders!$D$13:$D$101)=$E19)*((Adders!$E$13:$E$101)=$F19)*(Adders!G$13:G$101)) + VLOOKUP($H19,Adders!$B$5:$G$8,M$11,FALSE)  +  OH!$D$2 ) * IF($D19="NJ",1.07,1))/$L$10, CHOOSE($M$10,$L$9,$M$9) )</f>
        <v xml:space="preserve"> 21.45 </v>
      </c>
      <c r="N19" s="177" t="str">
        <f>TEXT(   (SUMPRODUCT( ((LMPMain!$H$9:$H$1000)=$E19)*((LMPMain!$J$9:$J$1000)=$F19)*((LMPMain!$O$9:$O$1000)=$C19)*(LMPMain!T$9:T$1000) ) +  ( SUMPRODUCT( ((Adders!$D$13:$D$101)=$E19)*((Adders!$E$13:$E$101)=$F19)*(Adders!H$13:H$101)) + VLOOKUP($H19,Adders!$B$5:$G$8,N$11,FALSE)  +  OH!$D$2 ) * IF($D19="NJ",1.07,1))/$L$10, CHOOSE($M$10,$L$9,$M$9) )</f>
        <v xml:space="preserve"> 20.84 </v>
      </c>
      <c r="O19" s="112"/>
    </row>
    <row r="20" spans="2:15" x14ac:dyDescent="0.25">
      <c r="B20" s="108"/>
      <c r="C20" s="127">
        <f>DATE(YEAR(C19),MONTH(C19)+1,0)+1</f>
        <v>42217</v>
      </c>
      <c r="D20" s="128" t="s">
        <v>20</v>
      </c>
      <c r="E20" s="129" t="s">
        <v>63</v>
      </c>
      <c r="F20" s="128" t="s">
        <v>15</v>
      </c>
      <c r="G20" s="129" t="str">
        <f t="shared" si="0"/>
        <v>General Service Small</v>
      </c>
      <c r="H20" s="130" t="s">
        <v>61</v>
      </c>
      <c r="I20" s="180" t="str">
        <f>TEXT(   (SUMPRODUCT( ((Main!$H$9:$H$1000)=$E20)*((Main!$J$9:$J$1000)=$F20)*((Main!$O$9:$O$1000)=$C20)*(Main!R$9:R$1000) ) +  ( SUMPRODUCT( ((Adders!$D$13:$D$101)=$E20)*((Adders!$E$13:$E$101)=$F20)*(Adders!G$13:G$101)) + VLOOKUP($H20,Adders!$B$5:$G$8,L$11,FALSE)  +  OH!$D$2 ) * IF($D20="NJ",1.07,1))/$L$10, CHOOSE($M$10,$L$9,$M$9) )</f>
        <v xml:space="preserve"> 73.78 </v>
      </c>
      <c r="J20" s="178" t="str">
        <f>TEXT(   (SUMPRODUCT( ((Main!$H$9:$H$1000)=$E20)*((Main!$J$9:$J$1000)=$F20)*((Main!$O$9:$O$1000)=$C20)*(Main!S$9:S$1000) ) +  ( SUMPRODUCT( ((Adders!$D$13:$D$101)=$E20)*((Adders!$E$13:$E$101)=$F20)*(Adders!H$13:H$101)) + VLOOKUP($H20,Adders!$B$5:$G$8,M$11,FALSE)  +  OH!$D$2 ) * IF($D20="NJ",1.07,1))/$L$10, CHOOSE($M$10,$L$9,$M$9) )</f>
        <v xml:space="preserve"> 71.23 </v>
      </c>
      <c r="K20" s="179" t="str">
        <f>TEXT(   (SUMPRODUCT( ((Main!$H$9:$H$1000)=$E20)*((Main!$J$9:$J$1000)=$F20)*((Main!$O$9:$O$1000)=$C20)*(Main!T$9:T$1000) ) +  ( SUMPRODUCT( ((Adders!$D$13:$D$101)=$E20)*((Adders!$E$13:$E$101)=$F20)*(Adders!I$13:I$101)) + VLOOKUP($H20,Adders!$B$5:$G$8,$N$11,FALSE)  +  OH!$D$2 ) * IF($D20="NJ",1.07,1))/$L$10, CHOOSE($M$10,$L$9,$M$9) )</f>
        <v xml:space="preserve"> 71.22 </v>
      </c>
      <c r="L20" s="180" t="str">
        <f>TEXT(   (SUMPRODUCT( ((LMPMain!$H$9:$H$1000)=$E20)*((LMPMain!$J$9:$J$1000)=$F20)*((LMPMain!$O$9:$O$1000)=$C20)*(LMPMain!R$9:R$1000) ) +  ( SUMPRODUCT( ((Adders!$D$13:$D$101)=$E20)*((Adders!$E$13:$E$101)=$F20)*(Adders!F$13:F$101)) + VLOOKUP($H20,Adders!$B$5:$G$8,L$11,FALSE)  +  OH!$D$2 ) * IF($D20="NJ",1.07,1))/$L$10, CHOOSE($M$10,$L$9,$M$9) )</f>
        <v xml:space="preserve"> 26.16 </v>
      </c>
      <c r="M20" s="178" t="str">
        <f>TEXT(   (SUMPRODUCT( ((LMPMain!$H$9:$H$1000)=$E20)*((LMPMain!$J$9:$J$1000)=$F20)*((LMPMain!$O$9:$O$1000)=$C20)*(LMPMain!S$9:S$1000) ) +  ( SUMPRODUCT( ((Adders!$D$13:$D$101)=$E20)*((Adders!$E$13:$E$101)=$F20)*(Adders!G$13:G$101)) + VLOOKUP($H20,Adders!$B$5:$G$8,M$11,FALSE)  +  OH!$D$2 ) * IF($D20="NJ",1.07,1))/$L$10, CHOOSE($M$10,$L$9,$M$9) )</f>
        <v xml:space="preserve"> 23.84 </v>
      </c>
      <c r="N20" s="179" t="str">
        <f>TEXT(   (SUMPRODUCT( ((LMPMain!$H$9:$H$1000)=$E20)*((LMPMain!$J$9:$J$1000)=$F20)*((LMPMain!$O$9:$O$1000)=$C20)*(LMPMain!T$9:T$1000) ) +  ( SUMPRODUCT( ((Adders!$D$13:$D$101)=$E20)*((Adders!$E$13:$E$101)=$F20)*(Adders!H$13:H$101)) + VLOOKUP($H20,Adders!$B$5:$G$8,N$11,FALSE)  +  OH!$D$2 ) * IF($D20="NJ",1.07,1))/$L$10, CHOOSE($M$10,$L$9,$M$9) )</f>
        <v xml:space="preserve"> 23.45 </v>
      </c>
      <c r="O20" s="112"/>
    </row>
    <row r="21" spans="2:15" x14ac:dyDescent="0.25">
      <c r="B21" s="108"/>
      <c r="C21" s="131">
        <f>+C20</f>
        <v>42217</v>
      </c>
      <c r="D21" s="132" t="s">
        <v>20</v>
      </c>
      <c r="E21" s="133" t="s">
        <v>63</v>
      </c>
      <c r="F21" s="132" t="s">
        <v>15</v>
      </c>
      <c r="G21" s="133" t="str">
        <f t="shared" si="0"/>
        <v>General Service Small</v>
      </c>
      <c r="H21" s="134" t="s">
        <v>62</v>
      </c>
      <c r="I21" s="172" t="str">
        <f>TEXT(   (SUMPRODUCT( ((Main!$H$9:$H$1000)=$E21)*((Main!$J$9:$J$1000)=$F21)*((Main!$O$9:$O$1000)=$C21)*(Main!R$9:R$1000) ) +  ( SUMPRODUCT( ((Adders!$D$13:$D$101)=$E21)*((Adders!$E$13:$E$101)=$F21)*(Adders!G$13:G$101)) + VLOOKUP($H21,Adders!$B$5:$G$8,L$11,FALSE)  +  OH!$D$2 ) * IF($D21="NJ",1.07,1))/$L$10, CHOOSE($M$10,$L$9,$M$9) )</f>
        <v xml:space="preserve"> 72.18 </v>
      </c>
      <c r="J21" s="173" t="str">
        <f>TEXT(   (SUMPRODUCT( ((Main!$H$9:$H$1000)=$E21)*((Main!$J$9:$J$1000)=$F21)*((Main!$O$9:$O$1000)=$C21)*(Main!S$9:S$1000) ) +  ( SUMPRODUCT( ((Adders!$D$13:$D$101)=$E21)*((Adders!$E$13:$E$101)=$F21)*(Adders!H$13:H$101)) + VLOOKUP($H21,Adders!$B$5:$G$8,M$11,FALSE)  +  OH!$D$2 ) * IF($D21="NJ",1.07,1))/$L$10, CHOOSE($M$10,$L$9,$M$9) )</f>
        <v xml:space="preserve"> 69.63 </v>
      </c>
      <c r="K21" s="174" t="str">
        <f>TEXT(   (SUMPRODUCT( ((Main!$H$9:$H$1000)=$E21)*((Main!$J$9:$J$1000)=$F21)*((Main!$O$9:$O$1000)=$C21)*(Main!T$9:T$1000) ) +  ( SUMPRODUCT( ((Adders!$D$13:$D$101)=$E21)*((Adders!$E$13:$E$101)=$F21)*(Adders!I$13:I$101)) + VLOOKUP($H21,Adders!$B$5:$G$8,$N$11,FALSE)  +  OH!$D$2 ) * IF($D21="NJ",1.07,1))/$L$10, CHOOSE($M$10,$L$9,$M$9) )</f>
        <v xml:space="preserve"> 69.62 </v>
      </c>
      <c r="L21" s="172" t="str">
        <f>TEXT(   (SUMPRODUCT( ((LMPMain!$H$9:$H$1000)=$E21)*((LMPMain!$J$9:$J$1000)=$F21)*((LMPMain!$O$9:$O$1000)=$C21)*(LMPMain!R$9:R$1000) ) +  ( SUMPRODUCT( ((Adders!$D$13:$D$101)=$E21)*((Adders!$E$13:$E$101)=$F21)*(Adders!F$13:F$101)) + VLOOKUP($H21,Adders!$B$5:$G$8,L$11,FALSE)  +  OH!$D$2 ) * IF($D21="NJ",1.07,1))/$L$10, CHOOSE($M$10,$L$9,$M$9) )</f>
        <v xml:space="preserve"> 24.56 </v>
      </c>
      <c r="M21" s="173" t="str">
        <f>TEXT(   (SUMPRODUCT( ((LMPMain!$H$9:$H$1000)=$E21)*((LMPMain!$J$9:$J$1000)=$F21)*((LMPMain!$O$9:$O$1000)=$C21)*(LMPMain!S$9:S$1000) ) +  ( SUMPRODUCT( ((Adders!$D$13:$D$101)=$E21)*((Adders!$E$13:$E$101)=$F21)*(Adders!G$13:G$101)) + VLOOKUP($H21,Adders!$B$5:$G$8,M$11,FALSE)  +  OH!$D$2 ) * IF($D21="NJ",1.07,1))/$L$10, CHOOSE($M$10,$L$9,$M$9) )</f>
        <v xml:space="preserve"> 22.24 </v>
      </c>
      <c r="N21" s="174" t="str">
        <f>TEXT(   (SUMPRODUCT( ((LMPMain!$H$9:$H$1000)=$E21)*((LMPMain!$J$9:$J$1000)=$F21)*((LMPMain!$O$9:$O$1000)=$C21)*(LMPMain!T$9:T$1000) ) +  ( SUMPRODUCT( ((Adders!$D$13:$D$101)=$E21)*((Adders!$E$13:$E$101)=$F21)*(Adders!H$13:H$101)) + VLOOKUP($H21,Adders!$B$5:$G$8,N$11,FALSE)  +  OH!$D$2 ) * IF($D21="NJ",1.07,1))/$L$10, CHOOSE($M$10,$L$9,$M$9) )</f>
        <v xml:space="preserve"> 21.85 </v>
      </c>
      <c r="O21" s="112"/>
    </row>
    <row r="22" spans="2:15" x14ac:dyDescent="0.25">
      <c r="B22" s="108"/>
      <c r="C22" s="135">
        <f>+C21</f>
        <v>42217</v>
      </c>
      <c r="D22" s="136" t="s">
        <v>20</v>
      </c>
      <c r="E22" s="137" t="s">
        <v>63</v>
      </c>
      <c r="F22" s="136" t="s">
        <v>15</v>
      </c>
      <c r="G22" s="137" t="str">
        <f t="shared" si="0"/>
        <v>General Service Small</v>
      </c>
      <c r="H22" s="138" t="s">
        <v>690</v>
      </c>
      <c r="I22" s="175" t="str">
        <f>TEXT(   (SUMPRODUCT( ((Main!$H$9:$H$1000)=$E22)*((Main!$J$9:$J$1000)=$F22)*((Main!$O$9:$O$1000)=$C22)*(Main!R$9:R$1000) ) +  ( SUMPRODUCT( ((Adders!$D$13:$D$101)=$E22)*((Adders!$E$13:$E$101)=$F22)*(Adders!G$13:G$101)) + VLOOKUP($H22,Adders!$B$5:$G$8,L$11,FALSE)  +  OH!$D$2 ) * IF($D22="NJ",1.07,1))/$L$10, CHOOSE($M$10,$L$9,$M$9) )</f>
        <v xml:space="preserve"> 71.13 </v>
      </c>
      <c r="J22" s="176" t="str">
        <f>TEXT(   (SUMPRODUCT( ((Main!$H$9:$H$1000)=$E22)*((Main!$J$9:$J$1000)=$F22)*((Main!$O$9:$O$1000)=$C22)*(Main!S$9:S$1000) ) +  ( SUMPRODUCT( ((Adders!$D$13:$D$101)=$E22)*((Adders!$E$13:$E$101)=$F22)*(Adders!H$13:H$101)) + VLOOKUP($H22,Adders!$B$5:$G$8,M$11,FALSE)  +  OH!$D$2 ) * IF($D22="NJ",1.07,1))/$L$10, CHOOSE($M$10,$L$9,$M$9) )</f>
        <v xml:space="preserve"> 68.58 </v>
      </c>
      <c r="K22" s="177" t="str">
        <f>TEXT(   (SUMPRODUCT( ((Main!$H$9:$H$1000)=$E22)*((Main!$J$9:$J$1000)=$F22)*((Main!$O$9:$O$1000)=$C22)*(Main!T$9:T$1000) ) +  ( SUMPRODUCT( ((Adders!$D$13:$D$101)=$E22)*((Adders!$E$13:$E$101)=$F22)*(Adders!I$13:I$101)) + VLOOKUP($H22,Adders!$B$5:$G$8,$N$11,FALSE)  +  OH!$D$2 ) * IF($D22="NJ",1.07,1))/$L$10, CHOOSE($M$10,$L$9,$M$9) )</f>
        <v xml:space="preserve"> 68.57 </v>
      </c>
      <c r="L22" s="175" t="str">
        <f>TEXT(   (SUMPRODUCT( ((LMPMain!$H$9:$H$1000)=$E22)*((LMPMain!$J$9:$J$1000)=$F22)*((LMPMain!$O$9:$O$1000)=$C22)*(LMPMain!R$9:R$1000) ) +  ( SUMPRODUCT( ((Adders!$D$13:$D$101)=$E22)*((Adders!$E$13:$E$101)=$F22)*(Adders!F$13:F$101)) + VLOOKUP($H22,Adders!$B$5:$G$8,L$11,FALSE)  +  OH!$D$2 ) * IF($D22="NJ",1.07,1))/$L$10, CHOOSE($M$10,$L$9,$M$9) )</f>
        <v xml:space="preserve"> 23.51 </v>
      </c>
      <c r="M22" s="176" t="str">
        <f>TEXT(   (SUMPRODUCT( ((LMPMain!$H$9:$H$1000)=$E22)*((LMPMain!$J$9:$J$1000)=$F22)*((LMPMain!$O$9:$O$1000)=$C22)*(LMPMain!S$9:S$1000) ) +  ( SUMPRODUCT( ((Adders!$D$13:$D$101)=$E22)*((Adders!$E$13:$E$101)=$F22)*(Adders!G$13:G$101)) + VLOOKUP($H22,Adders!$B$5:$G$8,M$11,FALSE)  +  OH!$D$2 ) * IF($D22="NJ",1.07,1))/$L$10, CHOOSE($M$10,$L$9,$M$9) )</f>
        <v xml:space="preserve"> 21.19 </v>
      </c>
      <c r="N22" s="177" t="str">
        <f>TEXT(   (SUMPRODUCT( ((LMPMain!$H$9:$H$1000)=$E22)*((LMPMain!$J$9:$J$1000)=$F22)*((LMPMain!$O$9:$O$1000)=$C22)*(LMPMain!T$9:T$1000) ) +  ( SUMPRODUCT( ((Adders!$D$13:$D$101)=$E22)*((Adders!$E$13:$E$101)=$F22)*(Adders!H$13:H$101)) + VLOOKUP($H22,Adders!$B$5:$G$8,N$11,FALSE)  +  OH!$D$2 ) * IF($D22="NJ",1.07,1))/$L$10, CHOOSE($M$10,$L$9,$M$9) )</f>
        <v xml:space="preserve"> 20.80 </v>
      </c>
      <c r="O22" s="112"/>
    </row>
    <row r="23" spans="2:15" x14ac:dyDescent="0.25">
      <c r="B23" s="108"/>
      <c r="C23" s="127">
        <f>DATE(YEAR(C22),MONTH(C22)+1,0)+1</f>
        <v>42248</v>
      </c>
      <c r="D23" s="128" t="s">
        <v>20</v>
      </c>
      <c r="E23" s="129" t="s">
        <v>63</v>
      </c>
      <c r="F23" s="128" t="s">
        <v>15</v>
      </c>
      <c r="G23" s="129" t="str">
        <f t="shared" si="0"/>
        <v>General Service Small</v>
      </c>
      <c r="H23" s="130" t="s">
        <v>61</v>
      </c>
      <c r="I23" s="180" t="str">
        <f>TEXT(   (SUMPRODUCT( ((Main!$H$9:$H$1000)=$E23)*((Main!$J$9:$J$1000)=$F23)*((Main!$O$9:$O$1000)=$C23)*(Main!R$9:R$1000) ) +  ( SUMPRODUCT( ((Adders!$D$13:$D$101)=$E23)*((Adders!$E$13:$E$101)=$F23)*(Adders!G$13:G$101)) + VLOOKUP($H23,Adders!$B$5:$G$8,L$11,FALSE)  +  OH!$D$2 ) * IF($D23="NJ",1.07,1))/$L$10, CHOOSE($M$10,$L$9,$M$9) )</f>
        <v xml:space="preserve"> 73.33 </v>
      </c>
      <c r="J23" s="178" t="str">
        <f>TEXT(   (SUMPRODUCT( ((Main!$H$9:$H$1000)=$E23)*((Main!$J$9:$J$1000)=$F23)*((Main!$O$9:$O$1000)=$C23)*(Main!S$9:S$1000) ) +  ( SUMPRODUCT( ((Adders!$D$13:$D$101)=$E23)*((Adders!$E$13:$E$101)=$F23)*(Adders!H$13:H$101)) + VLOOKUP($H23,Adders!$B$5:$G$8,M$11,FALSE)  +  OH!$D$2 ) * IF($D23="NJ",1.07,1))/$L$10, CHOOSE($M$10,$L$9,$M$9) )</f>
        <v xml:space="preserve"> 71.50 </v>
      </c>
      <c r="K23" s="179" t="str">
        <f>TEXT(   (SUMPRODUCT( ((Main!$H$9:$H$1000)=$E23)*((Main!$J$9:$J$1000)=$F23)*((Main!$O$9:$O$1000)=$C23)*(Main!T$9:T$1000) ) +  ( SUMPRODUCT( ((Adders!$D$13:$D$101)=$E23)*((Adders!$E$13:$E$101)=$F23)*(Adders!I$13:I$101)) + VLOOKUP($H23,Adders!$B$5:$G$8,$N$11,FALSE)  +  OH!$D$2 ) * IF($D23="NJ",1.07,1))/$L$10, CHOOSE($M$10,$L$9,$M$9) )</f>
        <v xml:space="preserve"> 71.15 </v>
      </c>
      <c r="L23" s="180" t="str">
        <f>TEXT(   (SUMPRODUCT( ((LMPMain!$H$9:$H$1000)=$E23)*((LMPMain!$J$9:$J$1000)=$F23)*((LMPMain!$O$9:$O$1000)=$C23)*(LMPMain!R$9:R$1000) ) +  ( SUMPRODUCT( ((Adders!$D$13:$D$101)=$E23)*((Adders!$E$13:$E$101)=$F23)*(Adders!F$13:F$101)) + VLOOKUP($H23,Adders!$B$5:$G$8,L$11,FALSE)  +  OH!$D$2 ) * IF($D23="NJ",1.07,1))/$L$10, CHOOSE($M$10,$L$9,$M$9) )</f>
        <v xml:space="preserve"> 25.48 </v>
      </c>
      <c r="M23" s="178" t="str">
        <f>TEXT(   (SUMPRODUCT( ((LMPMain!$H$9:$H$1000)=$E23)*((LMPMain!$J$9:$J$1000)=$F23)*((LMPMain!$O$9:$O$1000)=$C23)*(LMPMain!S$9:S$1000) ) +  ( SUMPRODUCT( ((Adders!$D$13:$D$101)=$E23)*((Adders!$E$13:$E$101)=$F23)*(Adders!G$13:G$101)) + VLOOKUP($H23,Adders!$B$5:$G$8,M$11,FALSE)  +  OH!$D$2 ) * IF($D23="NJ",1.07,1))/$L$10, CHOOSE($M$10,$L$9,$M$9) )</f>
        <v xml:space="preserve"> 23.54 </v>
      </c>
      <c r="N23" s="179" t="str">
        <f>TEXT(   (SUMPRODUCT( ((LMPMain!$H$9:$H$1000)=$E23)*((LMPMain!$J$9:$J$1000)=$F23)*((LMPMain!$O$9:$O$1000)=$C23)*(LMPMain!T$9:T$1000) ) +  ( SUMPRODUCT( ((Adders!$D$13:$D$101)=$E23)*((Adders!$E$13:$E$101)=$F23)*(Adders!H$13:H$101)) + VLOOKUP($H23,Adders!$B$5:$G$8,N$11,FALSE)  +  OH!$D$2 ) * IF($D23="NJ",1.07,1))/$L$10, CHOOSE($M$10,$L$9,$M$9) )</f>
        <v xml:space="preserve"> 23.39 </v>
      </c>
      <c r="O23" s="112"/>
    </row>
    <row r="24" spans="2:15" x14ac:dyDescent="0.25">
      <c r="B24" s="108"/>
      <c r="C24" s="131">
        <f>+C23</f>
        <v>42248</v>
      </c>
      <c r="D24" s="132" t="s">
        <v>20</v>
      </c>
      <c r="E24" s="133" t="s">
        <v>63</v>
      </c>
      <c r="F24" s="132" t="s">
        <v>15</v>
      </c>
      <c r="G24" s="133" t="str">
        <f t="shared" si="0"/>
        <v>General Service Small</v>
      </c>
      <c r="H24" s="134" t="s">
        <v>62</v>
      </c>
      <c r="I24" s="172" t="str">
        <f>TEXT(   (SUMPRODUCT( ((Main!$H$9:$H$1000)=$E24)*((Main!$J$9:$J$1000)=$F24)*((Main!$O$9:$O$1000)=$C24)*(Main!R$9:R$1000) ) +  ( SUMPRODUCT( ((Adders!$D$13:$D$101)=$E24)*((Adders!$E$13:$E$101)=$F24)*(Adders!G$13:G$101)) + VLOOKUP($H24,Adders!$B$5:$G$8,L$11,FALSE)  +  OH!$D$2 ) * IF($D24="NJ",1.07,1))/$L$10, CHOOSE($M$10,$L$9,$M$9) )</f>
        <v xml:space="preserve"> 71.73 </v>
      </c>
      <c r="J24" s="173" t="str">
        <f>TEXT(   (SUMPRODUCT( ((Main!$H$9:$H$1000)=$E24)*((Main!$J$9:$J$1000)=$F24)*((Main!$O$9:$O$1000)=$C24)*(Main!S$9:S$1000) ) +  ( SUMPRODUCT( ((Adders!$D$13:$D$101)=$E24)*((Adders!$E$13:$E$101)=$F24)*(Adders!H$13:H$101)) + VLOOKUP($H24,Adders!$B$5:$G$8,M$11,FALSE)  +  OH!$D$2 ) * IF($D24="NJ",1.07,1))/$L$10, CHOOSE($M$10,$L$9,$M$9) )</f>
        <v xml:space="preserve"> 69.90 </v>
      </c>
      <c r="K24" s="174" t="str">
        <f>TEXT(   (SUMPRODUCT( ((Main!$H$9:$H$1000)=$E24)*((Main!$J$9:$J$1000)=$F24)*((Main!$O$9:$O$1000)=$C24)*(Main!T$9:T$1000) ) +  ( SUMPRODUCT( ((Adders!$D$13:$D$101)=$E24)*((Adders!$E$13:$E$101)=$F24)*(Adders!I$13:I$101)) + VLOOKUP($H24,Adders!$B$5:$G$8,$N$11,FALSE)  +  OH!$D$2 ) * IF($D24="NJ",1.07,1))/$L$10, CHOOSE($M$10,$L$9,$M$9) )</f>
        <v xml:space="preserve"> 69.55 </v>
      </c>
      <c r="L24" s="172" t="str">
        <f>TEXT(   (SUMPRODUCT( ((LMPMain!$H$9:$H$1000)=$E24)*((LMPMain!$J$9:$J$1000)=$F24)*((LMPMain!$O$9:$O$1000)=$C24)*(LMPMain!R$9:R$1000) ) +  ( SUMPRODUCT( ((Adders!$D$13:$D$101)=$E24)*((Adders!$E$13:$E$101)=$F24)*(Adders!F$13:F$101)) + VLOOKUP($H24,Adders!$B$5:$G$8,L$11,FALSE)  +  OH!$D$2 ) * IF($D24="NJ",1.07,1))/$L$10, CHOOSE($M$10,$L$9,$M$9) )</f>
        <v xml:space="preserve"> 23.88 </v>
      </c>
      <c r="M24" s="173" t="str">
        <f>TEXT(   (SUMPRODUCT( ((LMPMain!$H$9:$H$1000)=$E24)*((LMPMain!$J$9:$J$1000)=$F24)*((LMPMain!$O$9:$O$1000)=$C24)*(LMPMain!S$9:S$1000) ) +  ( SUMPRODUCT( ((Adders!$D$13:$D$101)=$E24)*((Adders!$E$13:$E$101)=$F24)*(Adders!G$13:G$101)) + VLOOKUP($H24,Adders!$B$5:$G$8,M$11,FALSE)  +  OH!$D$2 ) * IF($D24="NJ",1.07,1))/$L$10, CHOOSE($M$10,$L$9,$M$9) )</f>
        <v xml:space="preserve"> 21.94 </v>
      </c>
      <c r="N24" s="174" t="str">
        <f>TEXT(   (SUMPRODUCT( ((LMPMain!$H$9:$H$1000)=$E24)*((LMPMain!$J$9:$J$1000)=$F24)*((LMPMain!$O$9:$O$1000)=$C24)*(LMPMain!T$9:T$1000) ) +  ( SUMPRODUCT( ((Adders!$D$13:$D$101)=$E24)*((Adders!$E$13:$E$101)=$F24)*(Adders!H$13:H$101)) + VLOOKUP($H24,Adders!$B$5:$G$8,N$11,FALSE)  +  OH!$D$2 ) * IF($D24="NJ",1.07,1))/$L$10, CHOOSE($M$10,$L$9,$M$9) )</f>
        <v xml:space="preserve"> 21.79 </v>
      </c>
      <c r="O24" s="112"/>
    </row>
    <row r="25" spans="2:15" x14ac:dyDescent="0.25">
      <c r="B25" s="108"/>
      <c r="C25" s="135">
        <f>+C24</f>
        <v>42248</v>
      </c>
      <c r="D25" s="136" t="s">
        <v>20</v>
      </c>
      <c r="E25" s="137" t="s">
        <v>63</v>
      </c>
      <c r="F25" s="136" t="s">
        <v>15</v>
      </c>
      <c r="G25" s="137" t="str">
        <f t="shared" si="0"/>
        <v>General Service Small</v>
      </c>
      <c r="H25" s="138" t="s">
        <v>690</v>
      </c>
      <c r="I25" s="175" t="str">
        <f>TEXT(   (SUMPRODUCT( ((Main!$H$9:$H$1000)=$E25)*((Main!$J$9:$J$1000)=$F25)*((Main!$O$9:$O$1000)=$C25)*(Main!R$9:R$1000) ) +  ( SUMPRODUCT( ((Adders!$D$13:$D$101)=$E25)*((Adders!$E$13:$E$101)=$F25)*(Adders!G$13:G$101)) + VLOOKUP($H25,Adders!$B$5:$G$8,L$11,FALSE)  +  OH!$D$2 ) * IF($D25="NJ",1.07,1))/$L$10, CHOOSE($M$10,$L$9,$M$9) )</f>
        <v xml:space="preserve"> 70.68 </v>
      </c>
      <c r="J25" s="176" t="str">
        <f>TEXT(   (SUMPRODUCT( ((Main!$H$9:$H$1000)=$E25)*((Main!$J$9:$J$1000)=$F25)*((Main!$O$9:$O$1000)=$C25)*(Main!S$9:S$1000) ) +  ( SUMPRODUCT( ((Adders!$D$13:$D$101)=$E25)*((Adders!$E$13:$E$101)=$F25)*(Adders!H$13:H$101)) + VLOOKUP($H25,Adders!$B$5:$G$8,M$11,FALSE)  +  OH!$D$2 ) * IF($D25="NJ",1.07,1))/$L$10, CHOOSE($M$10,$L$9,$M$9) )</f>
        <v xml:space="preserve"> 68.85 </v>
      </c>
      <c r="K25" s="177" t="str">
        <f>TEXT(   (SUMPRODUCT( ((Main!$H$9:$H$1000)=$E25)*((Main!$J$9:$J$1000)=$F25)*((Main!$O$9:$O$1000)=$C25)*(Main!T$9:T$1000) ) +  ( SUMPRODUCT( ((Adders!$D$13:$D$101)=$E25)*((Adders!$E$13:$E$101)=$F25)*(Adders!I$13:I$101)) + VLOOKUP($H25,Adders!$B$5:$G$8,$N$11,FALSE)  +  OH!$D$2 ) * IF($D25="NJ",1.07,1))/$L$10, CHOOSE($M$10,$L$9,$M$9) )</f>
        <v xml:space="preserve"> 68.50 </v>
      </c>
      <c r="L25" s="175" t="str">
        <f>TEXT(   (SUMPRODUCT( ((LMPMain!$H$9:$H$1000)=$E25)*((LMPMain!$J$9:$J$1000)=$F25)*((LMPMain!$O$9:$O$1000)=$C25)*(LMPMain!R$9:R$1000) ) +  ( SUMPRODUCT( ((Adders!$D$13:$D$101)=$E25)*((Adders!$E$13:$E$101)=$F25)*(Adders!F$13:F$101)) + VLOOKUP($H25,Adders!$B$5:$G$8,L$11,FALSE)  +  OH!$D$2 ) * IF($D25="NJ",1.07,1))/$L$10, CHOOSE($M$10,$L$9,$M$9) )</f>
        <v xml:space="preserve"> 22.83 </v>
      </c>
      <c r="M25" s="176" t="str">
        <f>TEXT(   (SUMPRODUCT( ((LMPMain!$H$9:$H$1000)=$E25)*((LMPMain!$J$9:$J$1000)=$F25)*((LMPMain!$O$9:$O$1000)=$C25)*(LMPMain!S$9:S$1000) ) +  ( SUMPRODUCT( ((Adders!$D$13:$D$101)=$E25)*((Adders!$E$13:$E$101)=$F25)*(Adders!G$13:G$101)) + VLOOKUP($H25,Adders!$B$5:$G$8,M$11,FALSE)  +  OH!$D$2 ) * IF($D25="NJ",1.07,1))/$L$10, CHOOSE($M$10,$L$9,$M$9) )</f>
        <v xml:space="preserve"> 20.89 </v>
      </c>
      <c r="N25" s="177" t="str">
        <f>TEXT(   (SUMPRODUCT( ((LMPMain!$H$9:$H$1000)=$E25)*((LMPMain!$J$9:$J$1000)=$F25)*((LMPMain!$O$9:$O$1000)=$C25)*(LMPMain!T$9:T$1000) ) +  ( SUMPRODUCT( ((Adders!$D$13:$D$101)=$E25)*((Adders!$E$13:$E$101)=$F25)*(Adders!H$13:H$101)) + VLOOKUP($H25,Adders!$B$5:$G$8,N$11,FALSE)  +  OH!$D$2 ) * IF($D25="NJ",1.07,1))/$L$10, CHOOSE($M$10,$L$9,$M$9) )</f>
        <v xml:space="preserve"> 20.74 </v>
      </c>
      <c r="O25" s="112"/>
    </row>
    <row r="26" spans="2:15" x14ac:dyDescent="0.25">
      <c r="B26" s="108"/>
      <c r="C26" s="127">
        <f>DATE(YEAR(C25),MONTH(C25)+1,0)+1</f>
        <v>42278</v>
      </c>
      <c r="D26" s="128" t="s">
        <v>20</v>
      </c>
      <c r="E26" s="129" t="s">
        <v>63</v>
      </c>
      <c r="F26" s="128" t="s">
        <v>15</v>
      </c>
      <c r="G26" s="129" t="str">
        <f t="shared" si="0"/>
        <v>General Service Small</v>
      </c>
      <c r="H26" s="130" t="s">
        <v>61</v>
      </c>
      <c r="I26" s="180" t="str">
        <f>TEXT(   (SUMPRODUCT( ((Main!$H$9:$H$1000)=$E26)*((Main!$J$9:$J$1000)=$F26)*((Main!$O$9:$O$1000)=$C26)*(Main!R$9:R$1000) ) +  ( SUMPRODUCT( ((Adders!$D$13:$D$101)=$E26)*((Adders!$E$13:$E$101)=$F26)*(Adders!G$13:G$101)) + VLOOKUP($H26,Adders!$B$5:$G$8,L$11,FALSE)  +  OH!$D$2 ) * IF($D26="NJ",1.07,1))/$L$10, CHOOSE($M$10,$L$9,$M$9) )</f>
        <v xml:space="preserve"> 72.73 </v>
      </c>
      <c r="J26" s="178" t="str">
        <f>TEXT(   (SUMPRODUCT( ((Main!$H$9:$H$1000)=$E26)*((Main!$J$9:$J$1000)=$F26)*((Main!$O$9:$O$1000)=$C26)*(Main!S$9:S$1000) ) +  ( SUMPRODUCT( ((Adders!$D$13:$D$101)=$E26)*((Adders!$E$13:$E$101)=$F26)*(Adders!H$13:H$101)) + VLOOKUP($H26,Adders!$B$5:$G$8,M$11,FALSE)  +  OH!$D$2 ) * IF($D26="NJ",1.07,1))/$L$10, CHOOSE($M$10,$L$9,$M$9) )</f>
        <v xml:space="preserve"> 71.71 </v>
      </c>
      <c r="K26" s="179" t="str">
        <f>TEXT(   (SUMPRODUCT( ((Main!$H$9:$H$1000)=$E26)*((Main!$J$9:$J$1000)=$F26)*((Main!$O$9:$O$1000)=$C26)*(Main!T$9:T$1000) ) +  ( SUMPRODUCT( ((Adders!$D$13:$D$101)=$E26)*((Adders!$E$13:$E$101)=$F26)*(Adders!I$13:I$101)) + VLOOKUP($H26,Adders!$B$5:$G$8,$N$11,FALSE)  +  OH!$D$2 ) * IF($D26="NJ",1.07,1))/$L$10, CHOOSE($M$10,$L$9,$M$9) )</f>
        <v xml:space="preserve"> 70.90 </v>
      </c>
      <c r="L26" s="180" t="str">
        <f>TEXT(   (SUMPRODUCT( ((LMPMain!$H$9:$H$1000)=$E26)*((LMPMain!$J$9:$J$1000)=$F26)*((LMPMain!$O$9:$O$1000)=$C26)*(LMPMain!R$9:R$1000) ) +  ( SUMPRODUCT( ((Adders!$D$13:$D$101)=$E26)*((Adders!$E$13:$E$101)=$F26)*(Adders!F$13:F$101)) + VLOOKUP($H26,Adders!$B$5:$G$8,L$11,FALSE)  +  OH!$D$2 ) * IF($D26="NJ",1.07,1))/$L$10, CHOOSE($M$10,$L$9,$M$9) )</f>
        <v xml:space="preserve"> 24.85 </v>
      </c>
      <c r="M26" s="178" t="str">
        <f>TEXT(   (SUMPRODUCT( ((LMPMain!$H$9:$H$1000)=$E26)*((LMPMain!$J$9:$J$1000)=$F26)*((LMPMain!$O$9:$O$1000)=$C26)*(LMPMain!S$9:S$1000) ) +  ( SUMPRODUCT( ((Adders!$D$13:$D$101)=$E26)*((Adders!$E$13:$E$101)=$F26)*(Adders!G$13:G$101)) + VLOOKUP($H26,Adders!$B$5:$G$8,M$11,FALSE)  +  OH!$D$2 ) * IF($D26="NJ",1.07,1))/$L$10, CHOOSE($M$10,$L$9,$M$9) )</f>
        <v xml:space="preserve"> 23.27 </v>
      </c>
      <c r="N26" s="179" t="str">
        <f>TEXT(   (SUMPRODUCT( ((LMPMain!$H$9:$H$1000)=$E26)*((LMPMain!$J$9:$J$1000)=$F26)*((LMPMain!$O$9:$O$1000)=$C26)*(LMPMain!T$9:T$1000) ) +  ( SUMPRODUCT( ((Adders!$D$13:$D$101)=$E26)*((Adders!$E$13:$E$101)=$F26)*(Adders!H$13:H$101)) + VLOOKUP($H26,Adders!$B$5:$G$8,N$11,FALSE)  +  OH!$D$2 ) * IF($D26="NJ",1.07,1))/$L$10, CHOOSE($M$10,$L$9,$M$9) )</f>
        <v xml:space="preserve"> 23.34 </v>
      </c>
      <c r="O26" s="112"/>
    </row>
    <row r="27" spans="2:15" x14ac:dyDescent="0.25">
      <c r="B27" s="108"/>
      <c r="C27" s="131">
        <f>+C26</f>
        <v>42278</v>
      </c>
      <c r="D27" s="132" t="s">
        <v>20</v>
      </c>
      <c r="E27" s="133" t="s">
        <v>63</v>
      </c>
      <c r="F27" s="132" t="s">
        <v>15</v>
      </c>
      <c r="G27" s="133" t="str">
        <f t="shared" si="0"/>
        <v>General Service Small</v>
      </c>
      <c r="H27" s="134" t="s">
        <v>62</v>
      </c>
      <c r="I27" s="172" t="str">
        <f>TEXT(   (SUMPRODUCT( ((Main!$H$9:$H$1000)=$E27)*((Main!$J$9:$J$1000)=$F27)*((Main!$O$9:$O$1000)=$C27)*(Main!R$9:R$1000) ) +  ( SUMPRODUCT( ((Adders!$D$13:$D$101)=$E27)*((Adders!$E$13:$E$101)=$F27)*(Adders!G$13:G$101)) + VLOOKUP($H27,Adders!$B$5:$G$8,L$11,FALSE)  +  OH!$D$2 ) * IF($D27="NJ",1.07,1))/$L$10, CHOOSE($M$10,$L$9,$M$9) )</f>
        <v xml:space="preserve"> 71.13 </v>
      </c>
      <c r="J27" s="173" t="str">
        <f>TEXT(   (SUMPRODUCT( ((Main!$H$9:$H$1000)=$E27)*((Main!$J$9:$J$1000)=$F27)*((Main!$O$9:$O$1000)=$C27)*(Main!S$9:S$1000) ) +  ( SUMPRODUCT( ((Adders!$D$13:$D$101)=$E27)*((Adders!$E$13:$E$101)=$F27)*(Adders!H$13:H$101)) + VLOOKUP($H27,Adders!$B$5:$G$8,M$11,FALSE)  +  OH!$D$2 ) * IF($D27="NJ",1.07,1))/$L$10, CHOOSE($M$10,$L$9,$M$9) )</f>
        <v xml:space="preserve"> 70.11 </v>
      </c>
      <c r="K27" s="174" t="str">
        <f>TEXT(   (SUMPRODUCT( ((Main!$H$9:$H$1000)=$E27)*((Main!$J$9:$J$1000)=$F27)*((Main!$O$9:$O$1000)=$C27)*(Main!T$9:T$1000) ) +  ( SUMPRODUCT( ((Adders!$D$13:$D$101)=$E27)*((Adders!$E$13:$E$101)=$F27)*(Adders!I$13:I$101)) + VLOOKUP($H27,Adders!$B$5:$G$8,$N$11,FALSE)  +  OH!$D$2 ) * IF($D27="NJ",1.07,1))/$L$10, CHOOSE($M$10,$L$9,$M$9) )</f>
        <v xml:space="preserve"> 69.30 </v>
      </c>
      <c r="L27" s="172" t="str">
        <f>TEXT(   (SUMPRODUCT( ((LMPMain!$H$9:$H$1000)=$E27)*((LMPMain!$J$9:$J$1000)=$F27)*((LMPMain!$O$9:$O$1000)=$C27)*(LMPMain!R$9:R$1000) ) +  ( SUMPRODUCT( ((Adders!$D$13:$D$101)=$E27)*((Adders!$E$13:$E$101)=$F27)*(Adders!F$13:F$101)) + VLOOKUP($H27,Adders!$B$5:$G$8,L$11,FALSE)  +  OH!$D$2 ) * IF($D27="NJ",1.07,1))/$L$10, CHOOSE($M$10,$L$9,$M$9) )</f>
        <v xml:space="preserve"> 23.25 </v>
      </c>
      <c r="M27" s="173" t="str">
        <f>TEXT(   (SUMPRODUCT( ((LMPMain!$H$9:$H$1000)=$E27)*((LMPMain!$J$9:$J$1000)=$F27)*((LMPMain!$O$9:$O$1000)=$C27)*(LMPMain!S$9:S$1000) ) +  ( SUMPRODUCT( ((Adders!$D$13:$D$101)=$E27)*((Adders!$E$13:$E$101)=$F27)*(Adders!G$13:G$101)) + VLOOKUP($H27,Adders!$B$5:$G$8,M$11,FALSE)  +  OH!$D$2 ) * IF($D27="NJ",1.07,1))/$L$10, CHOOSE($M$10,$L$9,$M$9) )</f>
        <v xml:space="preserve"> 21.67 </v>
      </c>
      <c r="N27" s="174" t="str">
        <f>TEXT(   (SUMPRODUCT( ((LMPMain!$H$9:$H$1000)=$E27)*((LMPMain!$J$9:$J$1000)=$F27)*((LMPMain!$O$9:$O$1000)=$C27)*(LMPMain!T$9:T$1000) ) +  ( SUMPRODUCT( ((Adders!$D$13:$D$101)=$E27)*((Adders!$E$13:$E$101)=$F27)*(Adders!H$13:H$101)) + VLOOKUP($H27,Adders!$B$5:$G$8,N$11,FALSE)  +  OH!$D$2 ) * IF($D27="NJ",1.07,1))/$L$10, CHOOSE($M$10,$L$9,$M$9) )</f>
        <v xml:space="preserve"> 21.74 </v>
      </c>
      <c r="O27" s="112"/>
    </row>
    <row r="28" spans="2:15" x14ac:dyDescent="0.25">
      <c r="B28" s="108"/>
      <c r="C28" s="135">
        <f>+C27</f>
        <v>42278</v>
      </c>
      <c r="D28" s="136" t="s">
        <v>20</v>
      </c>
      <c r="E28" s="137" t="s">
        <v>63</v>
      </c>
      <c r="F28" s="136" t="s">
        <v>15</v>
      </c>
      <c r="G28" s="137" t="str">
        <f t="shared" si="0"/>
        <v>General Service Small</v>
      </c>
      <c r="H28" s="138" t="s">
        <v>690</v>
      </c>
      <c r="I28" s="175" t="str">
        <f>TEXT(   (SUMPRODUCT( ((Main!$H$9:$H$1000)=$E28)*((Main!$J$9:$J$1000)=$F28)*((Main!$O$9:$O$1000)=$C28)*(Main!R$9:R$1000) ) +  ( SUMPRODUCT( ((Adders!$D$13:$D$101)=$E28)*((Adders!$E$13:$E$101)=$F28)*(Adders!G$13:G$101)) + VLOOKUP($H28,Adders!$B$5:$G$8,L$11,FALSE)  +  OH!$D$2 ) * IF($D28="NJ",1.07,1))/$L$10, CHOOSE($M$10,$L$9,$M$9) )</f>
        <v xml:space="preserve"> 70.08 </v>
      </c>
      <c r="J28" s="176" t="str">
        <f>TEXT(   (SUMPRODUCT( ((Main!$H$9:$H$1000)=$E28)*((Main!$J$9:$J$1000)=$F28)*((Main!$O$9:$O$1000)=$C28)*(Main!S$9:S$1000) ) +  ( SUMPRODUCT( ((Adders!$D$13:$D$101)=$E28)*((Adders!$E$13:$E$101)=$F28)*(Adders!H$13:H$101)) + VLOOKUP($H28,Adders!$B$5:$G$8,M$11,FALSE)  +  OH!$D$2 ) * IF($D28="NJ",1.07,1))/$L$10, CHOOSE($M$10,$L$9,$M$9) )</f>
        <v xml:space="preserve"> 69.06 </v>
      </c>
      <c r="K28" s="177" t="str">
        <f>TEXT(   (SUMPRODUCT( ((Main!$H$9:$H$1000)=$E28)*((Main!$J$9:$J$1000)=$F28)*((Main!$O$9:$O$1000)=$C28)*(Main!T$9:T$1000) ) +  ( SUMPRODUCT( ((Adders!$D$13:$D$101)=$E28)*((Adders!$E$13:$E$101)=$F28)*(Adders!I$13:I$101)) + VLOOKUP($H28,Adders!$B$5:$G$8,$N$11,FALSE)  +  OH!$D$2 ) * IF($D28="NJ",1.07,1))/$L$10, CHOOSE($M$10,$L$9,$M$9) )</f>
        <v xml:space="preserve"> 68.25 </v>
      </c>
      <c r="L28" s="175" t="str">
        <f>TEXT(   (SUMPRODUCT( ((LMPMain!$H$9:$H$1000)=$E28)*((LMPMain!$J$9:$J$1000)=$F28)*((LMPMain!$O$9:$O$1000)=$C28)*(LMPMain!R$9:R$1000) ) +  ( SUMPRODUCT( ((Adders!$D$13:$D$101)=$E28)*((Adders!$E$13:$E$101)=$F28)*(Adders!F$13:F$101)) + VLOOKUP($H28,Adders!$B$5:$G$8,L$11,FALSE)  +  OH!$D$2 ) * IF($D28="NJ",1.07,1))/$L$10, CHOOSE($M$10,$L$9,$M$9) )</f>
        <v xml:space="preserve"> 22.20 </v>
      </c>
      <c r="M28" s="176" t="str">
        <f>TEXT(   (SUMPRODUCT( ((LMPMain!$H$9:$H$1000)=$E28)*((LMPMain!$J$9:$J$1000)=$F28)*((LMPMain!$O$9:$O$1000)=$C28)*(LMPMain!S$9:S$1000) ) +  ( SUMPRODUCT( ((Adders!$D$13:$D$101)=$E28)*((Adders!$E$13:$E$101)=$F28)*(Adders!G$13:G$101)) + VLOOKUP($H28,Adders!$B$5:$G$8,M$11,FALSE)  +  OH!$D$2 ) * IF($D28="NJ",1.07,1))/$L$10, CHOOSE($M$10,$L$9,$M$9) )</f>
        <v xml:space="preserve"> 20.62 </v>
      </c>
      <c r="N28" s="177" t="str">
        <f>TEXT(   (SUMPRODUCT( ((LMPMain!$H$9:$H$1000)=$E28)*((LMPMain!$J$9:$J$1000)=$F28)*((LMPMain!$O$9:$O$1000)=$C28)*(LMPMain!T$9:T$1000) ) +  ( SUMPRODUCT( ((Adders!$D$13:$D$101)=$E28)*((Adders!$E$13:$E$101)=$F28)*(Adders!H$13:H$101)) + VLOOKUP($H28,Adders!$B$5:$G$8,N$11,FALSE)  +  OH!$D$2 ) * IF($D28="NJ",1.07,1))/$L$10, CHOOSE($M$10,$L$9,$M$9) )</f>
        <v xml:space="preserve"> 20.69 </v>
      </c>
      <c r="O28" s="112"/>
    </row>
    <row r="29" spans="2:15" x14ac:dyDescent="0.25">
      <c r="B29" s="108"/>
      <c r="C29" s="127">
        <f>DATE(YEAR(C28),MONTH(C28)+1,0)+1</f>
        <v>42309</v>
      </c>
      <c r="D29" s="128" t="s">
        <v>20</v>
      </c>
      <c r="E29" s="129" t="s">
        <v>63</v>
      </c>
      <c r="F29" s="128" t="s">
        <v>15</v>
      </c>
      <c r="G29" s="129" t="str">
        <f t="shared" si="0"/>
        <v>General Service Small</v>
      </c>
      <c r="H29" s="130" t="s">
        <v>61</v>
      </c>
      <c r="I29" s="180" t="str">
        <f>TEXT(   (SUMPRODUCT( ((Main!$H$9:$H$1000)=$E29)*((Main!$J$9:$J$1000)=$F29)*((Main!$O$9:$O$1000)=$C29)*(Main!R$9:R$1000) ) +  ( SUMPRODUCT( ((Adders!$D$13:$D$101)=$E29)*((Adders!$E$13:$E$101)=$F29)*(Adders!G$13:G$101)) + VLOOKUP($H29,Adders!$B$5:$G$8,L$11,FALSE)  +  OH!$D$2 ) * IF($D29="NJ",1.07,1))/$L$10, CHOOSE($M$10,$L$9,$M$9) )</f>
        <v xml:space="preserve"> 72.07 </v>
      </c>
      <c r="J29" s="178" t="str">
        <f>TEXT(   (SUMPRODUCT( ((Main!$H$9:$H$1000)=$E29)*((Main!$J$9:$J$1000)=$F29)*((Main!$O$9:$O$1000)=$C29)*(Main!S$9:S$1000) ) +  ( SUMPRODUCT( ((Adders!$D$13:$D$101)=$E29)*((Adders!$E$13:$E$101)=$F29)*(Adders!H$13:H$101)) + VLOOKUP($H29,Adders!$B$5:$G$8,M$11,FALSE)  +  OH!$D$2 ) * IF($D29="NJ",1.07,1))/$L$10, CHOOSE($M$10,$L$9,$M$9) )</f>
        <v xml:space="preserve"> 71.63 </v>
      </c>
      <c r="K29" s="179" t="str">
        <f>TEXT(   (SUMPRODUCT( ((Main!$H$9:$H$1000)=$E29)*((Main!$J$9:$J$1000)=$F29)*((Main!$O$9:$O$1000)=$C29)*(Main!T$9:T$1000) ) +  ( SUMPRODUCT( ((Adders!$D$13:$D$101)=$E29)*((Adders!$E$13:$E$101)=$F29)*(Adders!I$13:I$101)) + VLOOKUP($H29,Adders!$B$5:$G$8,$N$11,FALSE)  +  OH!$D$2 ) * IF($D29="NJ",1.07,1))/$L$10, CHOOSE($M$10,$L$9,$M$9) )</f>
        <v xml:space="preserve"> 70.63 </v>
      </c>
      <c r="L29" s="180" t="str">
        <f>TEXT(   (SUMPRODUCT( ((LMPMain!$H$9:$H$1000)=$E29)*((LMPMain!$J$9:$J$1000)=$F29)*((LMPMain!$O$9:$O$1000)=$C29)*(LMPMain!R$9:R$1000) ) +  ( SUMPRODUCT( ((Adders!$D$13:$D$101)=$E29)*((Adders!$E$13:$E$101)=$F29)*(Adders!F$13:F$101)) + VLOOKUP($H29,Adders!$B$5:$G$8,L$11,FALSE)  +  OH!$D$2 ) * IF($D29="NJ",1.07,1))/$L$10, CHOOSE($M$10,$L$9,$M$9) )</f>
        <v xml:space="preserve"> 24.17 </v>
      </c>
      <c r="M29" s="178" t="str">
        <f>TEXT(   (SUMPRODUCT( ((LMPMain!$H$9:$H$1000)=$E29)*((LMPMain!$J$9:$J$1000)=$F29)*((LMPMain!$O$9:$O$1000)=$C29)*(LMPMain!S$9:S$1000) ) +  ( SUMPRODUCT( ((Adders!$D$13:$D$101)=$E29)*((Adders!$E$13:$E$101)=$F29)*(Adders!G$13:G$101)) + VLOOKUP($H29,Adders!$B$5:$G$8,M$11,FALSE)  +  OH!$D$2 ) * IF($D29="NJ",1.07,1))/$L$10, CHOOSE($M$10,$L$9,$M$9) )</f>
        <v xml:space="preserve"> 22.89 </v>
      </c>
      <c r="N29" s="179" t="str">
        <f>TEXT(   (SUMPRODUCT( ((LMPMain!$H$9:$H$1000)=$E29)*((LMPMain!$J$9:$J$1000)=$F29)*((LMPMain!$O$9:$O$1000)=$C29)*(LMPMain!T$9:T$1000) ) +  ( SUMPRODUCT( ((Adders!$D$13:$D$101)=$E29)*((Adders!$E$13:$E$101)=$F29)*(Adders!H$13:H$101)) + VLOOKUP($H29,Adders!$B$5:$G$8,N$11,FALSE)  +  OH!$D$2 ) * IF($D29="NJ",1.07,1))/$L$10, CHOOSE($M$10,$L$9,$M$9) )</f>
        <v xml:space="preserve"> 23.28 </v>
      </c>
      <c r="O29" s="112"/>
    </row>
    <row r="30" spans="2:15" x14ac:dyDescent="0.25">
      <c r="B30" s="108"/>
      <c r="C30" s="131">
        <f>+C29</f>
        <v>42309</v>
      </c>
      <c r="D30" s="132" t="s">
        <v>20</v>
      </c>
      <c r="E30" s="133" t="s">
        <v>63</v>
      </c>
      <c r="F30" s="132" t="s">
        <v>15</v>
      </c>
      <c r="G30" s="133" t="str">
        <f t="shared" si="0"/>
        <v>General Service Small</v>
      </c>
      <c r="H30" s="134" t="s">
        <v>62</v>
      </c>
      <c r="I30" s="172" t="str">
        <f>TEXT(   (SUMPRODUCT( ((Main!$H$9:$H$1000)=$E30)*((Main!$J$9:$J$1000)=$F30)*((Main!$O$9:$O$1000)=$C30)*(Main!R$9:R$1000) ) +  ( SUMPRODUCT( ((Adders!$D$13:$D$101)=$E30)*((Adders!$E$13:$E$101)=$F30)*(Adders!G$13:G$101)) + VLOOKUP($H30,Adders!$B$5:$G$8,L$11,FALSE)  +  OH!$D$2 ) * IF($D30="NJ",1.07,1))/$L$10, CHOOSE($M$10,$L$9,$M$9) )</f>
        <v xml:space="preserve"> 70.47 </v>
      </c>
      <c r="J30" s="173" t="str">
        <f>TEXT(   (SUMPRODUCT( ((Main!$H$9:$H$1000)=$E30)*((Main!$J$9:$J$1000)=$F30)*((Main!$O$9:$O$1000)=$C30)*(Main!S$9:S$1000) ) +  ( SUMPRODUCT( ((Adders!$D$13:$D$101)=$E30)*((Adders!$E$13:$E$101)=$F30)*(Adders!H$13:H$101)) + VLOOKUP($H30,Adders!$B$5:$G$8,M$11,FALSE)  +  OH!$D$2 ) * IF($D30="NJ",1.07,1))/$L$10, CHOOSE($M$10,$L$9,$M$9) )</f>
        <v xml:space="preserve"> 70.03 </v>
      </c>
      <c r="K30" s="174" t="str">
        <f>TEXT(   (SUMPRODUCT( ((Main!$H$9:$H$1000)=$E30)*((Main!$J$9:$J$1000)=$F30)*((Main!$O$9:$O$1000)=$C30)*(Main!T$9:T$1000) ) +  ( SUMPRODUCT( ((Adders!$D$13:$D$101)=$E30)*((Adders!$E$13:$E$101)=$F30)*(Adders!I$13:I$101)) + VLOOKUP($H30,Adders!$B$5:$G$8,$N$11,FALSE)  +  OH!$D$2 ) * IF($D30="NJ",1.07,1))/$L$10, CHOOSE($M$10,$L$9,$M$9) )</f>
        <v xml:space="preserve"> 69.03 </v>
      </c>
      <c r="L30" s="172" t="str">
        <f>TEXT(   (SUMPRODUCT( ((LMPMain!$H$9:$H$1000)=$E30)*((LMPMain!$J$9:$J$1000)=$F30)*((LMPMain!$O$9:$O$1000)=$C30)*(LMPMain!R$9:R$1000) ) +  ( SUMPRODUCT( ((Adders!$D$13:$D$101)=$E30)*((Adders!$E$13:$E$101)=$F30)*(Adders!F$13:F$101)) + VLOOKUP($H30,Adders!$B$5:$G$8,L$11,FALSE)  +  OH!$D$2 ) * IF($D30="NJ",1.07,1))/$L$10, CHOOSE($M$10,$L$9,$M$9) )</f>
        <v xml:space="preserve"> 22.57 </v>
      </c>
      <c r="M30" s="173" t="str">
        <f>TEXT(   (SUMPRODUCT( ((LMPMain!$H$9:$H$1000)=$E30)*((LMPMain!$J$9:$J$1000)=$F30)*((LMPMain!$O$9:$O$1000)=$C30)*(LMPMain!S$9:S$1000) ) +  ( SUMPRODUCT( ((Adders!$D$13:$D$101)=$E30)*((Adders!$E$13:$E$101)=$F30)*(Adders!G$13:G$101)) + VLOOKUP($H30,Adders!$B$5:$G$8,M$11,FALSE)  +  OH!$D$2 ) * IF($D30="NJ",1.07,1))/$L$10, CHOOSE($M$10,$L$9,$M$9) )</f>
        <v xml:space="preserve"> 21.29 </v>
      </c>
      <c r="N30" s="174" t="str">
        <f>TEXT(   (SUMPRODUCT( ((LMPMain!$H$9:$H$1000)=$E30)*((LMPMain!$J$9:$J$1000)=$F30)*((LMPMain!$O$9:$O$1000)=$C30)*(LMPMain!T$9:T$1000) ) +  ( SUMPRODUCT( ((Adders!$D$13:$D$101)=$E30)*((Adders!$E$13:$E$101)=$F30)*(Adders!H$13:H$101)) + VLOOKUP($H30,Adders!$B$5:$G$8,N$11,FALSE)  +  OH!$D$2 ) * IF($D30="NJ",1.07,1))/$L$10, CHOOSE($M$10,$L$9,$M$9) )</f>
        <v xml:space="preserve"> 21.68 </v>
      </c>
      <c r="O30" s="112"/>
    </row>
    <row r="31" spans="2:15" x14ac:dyDescent="0.25">
      <c r="B31" s="108"/>
      <c r="C31" s="135">
        <f>+C30</f>
        <v>42309</v>
      </c>
      <c r="D31" s="136" t="s">
        <v>20</v>
      </c>
      <c r="E31" s="137" t="s">
        <v>63</v>
      </c>
      <c r="F31" s="136" t="s">
        <v>15</v>
      </c>
      <c r="G31" s="137" t="str">
        <f t="shared" si="0"/>
        <v>General Service Small</v>
      </c>
      <c r="H31" s="138" t="s">
        <v>690</v>
      </c>
      <c r="I31" s="175" t="str">
        <f>TEXT(   (SUMPRODUCT( ((Main!$H$9:$H$1000)=$E31)*((Main!$J$9:$J$1000)=$F31)*((Main!$O$9:$O$1000)=$C31)*(Main!R$9:R$1000) ) +  ( SUMPRODUCT( ((Adders!$D$13:$D$101)=$E31)*((Adders!$E$13:$E$101)=$F31)*(Adders!G$13:G$101)) + VLOOKUP($H31,Adders!$B$5:$G$8,L$11,FALSE)  +  OH!$D$2 ) * IF($D31="NJ",1.07,1))/$L$10, CHOOSE($M$10,$L$9,$M$9) )</f>
        <v xml:space="preserve"> 69.42 </v>
      </c>
      <c r="J31" s="176" t="str">
        <f>TEXT(   (SUMPRODUCT( ((Main!$H$9:$H$1000)=$E31)*((Main!$J$9:$J$1000)=$F31)*((Main!$O$9:$O$1000)=$C31)*(Main!S$9:S$1000) ) +  ( SUMPRODUCT( ((Adders!$D$13:$D$101)=$E31)*((Adders!$E$13:$E$101)=$F31)*(Adders!H$13:H$101)) + VLOOKUP($H31,Adders!$B$5:$G$8,M$11,FALSE)  +  OH!$D$2 ) * IF($D31="NJ",1.07,1))/$L$10, CHOOSE($M$10,$L$9,$M$9) )</f>
        <v xml:space="preserve"> 68.98 </v>
      </c>
      <c r="K31" s="177" t="str">
        <f>TEXT(   (SUMPRODUCT( ((Main!$H$9:$H$1000)=$E31)*((Main!$J$9:$J$1000)=$F31)*((Main!$O$9:$O$1000)=$C31)*(Main!T$9:T$1000) ) +  ( SUMPRODUCT( ((Adders!$D$13:$D$101)=$E31)*((Adders!$E$13:$E$101)=$F31)*(Adders!I$13:I$101)) + VLOOKUP($H31,Adders!$B$5:$G$8,$N$11,FALSE)  +  OH!$D$2 ) * IF($D31="NJ",1.07,1))/$L$10, CHOOSE($M$10,$L$9,$M$9) )</f>
        <v xml:space="preserve"> 67.98 </v>
      </c>
      <c r="L31" s="175" t="str">
        <f>TEXT(   (SUMPRODUCT( ((LMPMain!$H$9:$H$1000)=$E31)*((LMPMain!$J$9:$J$1000)=$F31)*((LMPMain!$O$9:$O$1000)=$C31)*(LMPMain!R$9:R$1000) ) +  ( SUMPRODUCT( ((Adders!$D$13:$D$101)=$E31)*((Adders!$E$13:$E$101)=$F31)*(Adders!F$13:F$101)) + VLOOKUP($H31,Adders!$B$5:$G$8,L$11,FALSE)  +  OH!$D$2 ) * IF($D31="NJ",1.07,1))/$L$10, CHOOSE($M$10,$L$9,$M$9) )</f>
        <v xml:space="preserve"> 21.52 </v>
      </c>
      <c r="M31" s="176" t="str">
        <f>TEXT(   (SUMPRODUCT( ((LMPMain!$H$9:$H$1000)=$E31)*((LMPMain!$J$9:$J$1000)=$F31)*((LMPMain!$O$9:$O$1000)=$C31)*(LMPMain!S$9:S$1000) ) +  ( SUMPRODUCT( ((Adders!$D$13:$D$101)=$E31)*((Adders!$E$13:$E$101)=$F31)*(Adders!G$13:G$101)) + VLOOKUP($H31,Adders!$B$5:$G$8,M$11,FALSE)  +  OH!$D$2 ) * IF($D31="NJ",1.07,1))/$L$10, CHOOSE($M$10,$L$9,$M$9) )</f>
        <v xml:space="preserve"> 20.24 </v>
      </c>
      <c r="N31" s="177" t="str">
        <f>TEXT(   (SUMPRODUCT( ((LMPMain!$H$9:$H$1000)=$E31)*((LMPMain!$J$9:$J$1000)=$F31)*((LMPMain!$O$9:$O$1000)=$C31)*(LMPMain!T$9:T$1000) ) +  ( SUMPRODUCT( ((Adders!$D$13:$D$101)=$E31)*((Adders!$E$13:$E$101)=$F31)*(Adders!H$13:H$101)) + VLOOKUP($H31,Adders!$B$5:$G$8,N$11,FALSE)  +  OH!$D$2 ) * IF($D31="NJ",1.07,1))/$L$10, CHOOSE($M$10,$L$9,$M$9) )</f>
        <v xml:space="preserve"> 20.63 </v>
      </c>
      <c r="O31" s="112"/>
    </row>
    <row r="32" spans="2:15" x14ac:dyDescent="0.25">
      <c r="B32" s="108"/>
      <c r="C32" s="127">
        <f>DATE(YEAR(C31),MONTH(C31)+1,0)+1</f>
        <v>42339</v>
      </c>
      <c r="D32" s="128" t="s">
        <v>20</v>
      </c>
      <c r="E32" s="129" t="s">
        <v>63</v>
      </c>
      <c r="F32" s="128" t="s">
        <v>15</v>
      </c>
      <c r="G32" s="129" t="str">
        <f t="shared" si="0"/>
        <v>General Service Small</v>
      </c>
      <c r="H32" s="130" t="s">
        <v>61</v>
      </c>
      <c r="I32" s="180" t="str">
        <f>TEXT(   (SUMPRODUCT( ((Main!$H$9:$H$1000)=$E32)*((Main!$J$9:$J$1000)=$F32)*((Main!$O$9:$O$1000)=$C32)*(Main!R$9:R$1000) ) +  ( SUMPRODUCT( ((Adders!$D$13:$D$101)=$E32)*((Adders!$E$13:$E$101)=$F32)*(Adders!G$13:G$101)) + VLOOKUP($H32,Adders!$B$5:$G$8,L$11,FALSE)  +  OH!$D$2 ) * IF($D32="NJ",1.07,1))/$L$10, CHOOSE($M$10,$L$9,$M$9) )</f>
        <v xml:space="preserve"> 71.50 </v>
      </c>
      <c r="J32" s="178" t="str">
        <f>TEXT(   (SUMPRODUCT( ((Main!$H$9:$H$1000)=$E32)*((Main!$J$9:$J$1000)=$F32)*((Main!$O$9:$O$1000)=$C32)*(Main!S$9:S$1000) ) +  ( SUMPRODUCT( ((Adders!$D$13:$D$101)=$E32)*((Adders!$E$13:$E$101)=$F32)*(Adders!H$13:H$101)) + VLOOKUP($H32,Adders!$B$5:$G$8,M$11,FALSE)  +  OH!$D$2 ) * IF($D32="NJ",1.07,1))/$L$10, CHOOSE($M$10,$L$9,$M$9) )</f>
        <v xml:space="preserve"> 71.47 </v>
      </c>
      <c r="K32" s="179" t="str">
        <f>TEXT(   (SUMPRODUCT( ((Main!$H$9:$H$1000)=$E32)*((Main!$J$9:$J$1000)=$F32)*((Main!$O$9:$O$1000)=$C32)*(Main!T$9:T$1000) ) +  ( SUMPRODUCT( ((Adders!$D$13:$D$101)=$E32)*((Adders!$E$13:$E$101)=$F32)*(Adders!I$13:I$101)) + VLOOKUP($H32,Adders!$B$5:$G$8,$N$11,FALSE)  +  OH!$D$2 ) * IF($D32="NJ",1.07,1))/$L$10, CHOOSE($M$10,$L$9,$M$9) )</f>
        <v xml:space="preserve"> 70.39 </v>
      </c>
      <c r="L32" s="180" t="str">
        <f>TEXT(   (SUMPRODUCT( ((LMPMain!$H$9:$H$1000)=$E32)*((LMPMain!$J$9:$J$1000)=$F32)*((LMPMain!$O$9:$O$1000)=$C32)*(LMPMain!R$9:R$1000) ) +  ( SUMPRODUCT( ((Adders!$D$13:$D$101)=$E32)*((Adders!$E$13:$E$101)=$F32)*(Adders!F$13:F$101)) + VLOOKUP($H32,Adders!$B$5:$G$8,L$11,FALSE)  +  OH!$D$2 ) * IF($D32="NJ",1.07,1))/$L$10, CHOOSE($M$10,$L$9,$M$9) )</f>
        <v xml:space="preserve"> 23.50 </v>
      </c>
      <c r="M32" s="178" t="str">
        <f>TEXT(   (SUMPRODUCT( ((LMPMain!$H$9:$H$1000)=$E32)*((LMPMain!$J$9:$J$1000)=$F32)*((LMPMain!$O$9:$O$1000)=$C32)*(LMPMain!S$9:S$1000) ) +  ( SUMPRODUCT( ((Adders!$D$13:$D$101)=$E32)*((Adders!$E$13:$E$101)=$F32)*(Adders!G$13:G$101)) + VLOOKUP($H32,Adders!$B$5:$G$8,M$11,FALSE)  +  OH!$D$2 ) * IF($D32="NJ",1.07,1))/$L$10, CHOOSE($M$10,$L$9,$M$9) )</f>
        <v xml:space="preserve"> 22.50 </v>
      </c>
      <c r="N32" s="179" t="str">
        <f>TEXT(   (SUMPRODUCT( ((LMPMain!$H$9:$H$1000)=$E32)*((LMPMain!$J$9:$J$1000)=$F32)*((LMPMain!$O$9:$O$1000)=$C32)*(LMPMain!T$9:T$1000) ) +  ( SUMPRODUCT( ((Adders!$D$13:$D$101)=$E32)*((Adders!$E$13:$E$101)=$F32)*(Adders!H$13:H$101)) + VLOOKUP($H32,Adders!$B$5:$G$8,N$11,FALSE)  +  OH!$D$2 ) * IF($D32="NJ",1.07,1))/$L$10, CHOOSE($M$10,$L$9,$M$9) )</f>
        <v xml:space="preserve"> 23.22 </v>
      </c>
      <c r="O32" s="112"/>
    </row>
    <row r="33" spans="2:15" x14ac:dyDescent="0.25">
      <c r="B33" s="108"/>
      <c r="C33" s="131">
        <f>+C32</f>
        <v>42339</v>
      </c>
      <c r="D33" s="132" t="s">
        <v>20</v>
      </c>
      <c r="E33" s="133" t="s">
        <v>63</v>
      </c>
      <c r="F33" s="132" t="s">
        <v>15</v>
      </c>
      <c r="G33" s="133" t="str">
        <f t="shared" si="0"/>
        <v>General Service Small</v>
      </c>
      <c r="H33" s="134" t="s">
        <v>62</v>
      </c>
      <c r="I33" s="172" t="str">
        <f>TEXT(   (SUMPRODUCT( ((Main!$H$9:$H$1000)=$E33)*((Main!$J$9:$J$1000)=$F33)*((Main!$O$9:$O$1000)=$C33)*(Main!R$9:R$1000) ) +  ( SUMPRODUCT( ((Adders!$D$13:$D$101)=$E33)*((Adders!$E$13:$E$101)=$F33)*(Adders!G$13:G$101)) + VLOOKUP($H33,Adders!$B$5:$G$8,L$11,FALSE)  +  OH!$D$2 ) * IF($D33="NJ",1.07,1))/$L$10, CHOOSE($M$10,$L$9,$M$9) )</f>
        <v xml:space="preserve"> 69.90 </v>
      </c>
      <c r="J33" s="173" t="str">
        <f>TEXT(   (SUMPRODUCT( ((Main!$H$9:$H$1000)=$E33)*((Main!$J$9:$J$1000)=$F33)*((Main!$O$9:$O$1000)=$C33)*(Main!S$9:S$1000) ) +  ( SUMPRODUCT( ((Adders!$D$13:$D$101)=$E33)*((Adders!$E$13:$E$101)=$F33)*(Adders!H$13:H$101)) + VLOOKUP($H33,Adders!$B$5:$G$8,M$11,FALSE)  +  OH!$D$2 ) * IF($D33="NJ",1.07,1))/$L$10, CHOOSE($M$10,$L$9,$M$9) )</f>
        <v xml:space="preserve"> 69.87 </v>
      </c>
      <c r="K33" s="174" t="str">
        <f>TEXT(   (SUMPRODUCT( ((Main!$H$9:$H$1000)=$E33)*((Main!$J$9:$J$1000)=$F33)*((Main!$O$9:$O$1000)=$C33)*(Main!T$9:T$1000) ) +  ( SUMPRODUCT( ((Adders!$D$13:$D$101)=$E33)*((Adders!$E$13:$E$101)=$F33)*(Adders!I$13:I$101)) + VLOOKUP($H33,Adders!$B$5:$G$8,$N$11,FALSE)  +  OH!$D$2 ) * IF($D33="NJ",1.07,1))/$L$10, CHOOSE($M$10,$L$9,$M$9) )</f>
        <v xml:space="preserve"> 68.79 </v>
      </c>
      <c r="L33" s="172" t="str">
        <f>TEXT(   (SUMPRODUCT( ((LMPMain!$H$9:$H$1000)=$E33)*((LMPMain!$J$9:$J$1000)=$F33)*((LMPMain!$O$9:$O$1000)=$C33)*(LMPMain!R$9:R$1000) ) +  ( SUMPRODUCT( ((Adders!$D$13:$D$101)=$E33)*((Adders!$E$13:$E$101)=$F33)*(Adders!F$13:F$101)) + VLOOKUP($H33,Adders!$B$5:$G$8,L$11,FALSE)  +  OH!$D$2 ) * IF($D33="NJ",1.07,1))/$L$10, CHOOSE($M$10,$L$9,$M$9) )</f>
        <v xml:space="preserve"> 21.90 </v>
      </c>
      <c r="M33" s="173" t="str">
        <f>TEXT(   (SUMPRODUCT( ((LMPMain!$H$9:$H$1000)=$E33)*((LMPMain!$J$9:$J$1000)=$F33)*((LMPMain!$O$9:$O$1000)=$C33)*(LMPMain!S$9:S$1000) ) +  ( SUMPRODUCT( ((Adders!$D$13:$D$101)=$E33)*((Adders!$E$13:$E$101)=$F33)*(Adders!G$13:G$101)) + VLOOKUP($H33,Adders!$B$5:$G$8,M$11,FALSE)  +  OH!$D$2 ) * IF($D33="NJ",1.07,1))/$L$10, CHOOSE($M$10,$L$9,$M$9) )</f>
        <v xml:space="preserve"> 20.90 </v>
      </c>
      <c r="N33" s="174" t="str">
        <f>TEXT(   (SUMPRODUCT( ((LMPMain!$H$9:$H$1000)=$E33)*((LMPMain!$J$9:$J$1000)=$F33)*((LMPMain!$O$9:$O$1000)=$C33)*(LMPMain!T$9:T$1000) ) +  ( SUMPRODUCT( ((Adders!$D$13:$D$101)=$E33)*((Adders!$E$13:$E$101)=$F33)*(Adders!H$13:H$101)) + VLOOKUP($H33,Adders!$B$5:$G$8,N$11,FALSE)  +  OH!$D$2 ) * IF($D33="NJ",1.07,1))/$L$10, CHOOSE($M$10,$L$9,$M$9) )</f>
        <v xml:space="preserve"> 21.62 </v>
      </c>
      <c r="O33" s="112"/>
    </row>
    <row r="34" spans="2:15" x14ac:dyDescent="0.25">
      <c r="B34" s="108"/>
      <c r="C34" s="135">
        <f>+C33</f>
        <v>42339</v>
      </c>
      <c r="D34" s="136" t="s">
        <v>20</v>
      </c>
      <c r="E34" s="137" t="s">
        <v>63</v>
      </c>
      <c r="F34" s="136" t="s">
        <v>15</v>
      </c>
      <c r="G34" s="137" t="str">
        <f t="shared" si="0"/>
        <v>General Service Small</v>
      </c>
      <c r="H34" s="138" t="s">
        <v>690</v>
      </c>
      <c r="I34" s="175" t="str">
        <f>TEXT(   (SUMPRODUCT( ((Main!$H$9:$H$1000)=$E34)*((Main!$J$9:$J$1000)=$F34)*((Main!$O$9:$O$1000)=$C34)*(Main!R$9:R$1000) ) +  ( SUMPRODUCT( ((Adders!$D$13:$D$101)=$E34)*((Adders!$E$13:$E$101)=$F34)*(Adders!G$13:G$101)) + VLOOKUP($H34,Adders!$B$5:$G$8,L$11,FALSE)  +  OH!$D$2 ) * IF($D34="NJ",1.07,1))/$L$10, CHOOSE($M$10,$L$9,$M$9) )</f>
        <v xml:space="preserve"> 68.85 </v>
      </c>
      <c r="J34" s="176" t="str">
        <f>TEXT(   (SUMPRODUCT( ((Main!$H$9:$H$1000)=$E34)*((Main!$J$9:$J$1000)=$F34)*((Main!$O$9:$O$1000)=$C34)*(Main!S$9:S$1000) ) +  ( SUMPRODUCT( ((Adders!$D$13:$D$101)=$E34)*((Adders!$E$13:$E$101)=$F34)*(Adders!H$13:H$101)) + VLOOKUP($H34,Adders!$B$5:$G$8,M$11,FALSE)  +  OH!$D$2 ) * IF($D34="NJ",1.07,1))/$L$10, CHOOSE($M$10,$L$9,$M$9) )</f>
        <v xml:space="preserve"> 68.82 </v>
      </c>
      <c r="K34" s="177" t="str">
        <f>TEXT(   (SUMPRODUCT( ((Main!$H$9:$H$1000)=$E34)*((Main!$J$9:$J$1000)=$F34)*((Main!$O$9:$O$1000)=$C34)*(Main!T$9:T$1000) ) +  ( SUMPRODUCT( ((Adders!$D$13:$D$101)=$E34)*((Adders!$E$13:$E$101)=$F34)*(Adders!I$13:I$101)) + VLOOKUP($H34,Adders!$B$5:$G$8,$N$11,FALSE)  +  OH!$D$2 ) * IF($D34="NJ",1.07,1))/$L$10, CHOOSE($M$10,$L$9,$M$9) )</f>
        <v xml:space="preserve"> 67.74 </v>
      </c>
      <c r="L34" s="175" t="str">
        <f>TEXT(   (SUMPRODUCT( ((LMPMain!$H$9:$H$1000)=$E34)*((LMPMain!$J$9:$J$1000)=$F34)*((LMPMain!$O$9:$O$1000)=$C34)*(LMPMain!R$9:R$1000) ) +  ( SUMPRODUCT( ((Adders!$D$13:$D$101)=$E34)*((Adders!$E$13:$E$101)=$F34)*(Adders!F$13:F$101)) + VLOOKUP($H34,Adders!$B$5:$G$8,L$11,FALSE)  +  OH!$D$2 ) * IF($D34="NJ",1.07,1))/$L$10, CHOOSE($M$10,$L$9,$M$9) )</f>
        <v xml:space="preserve"> 20.85 </v>
      </c>
      <c r="M34" s="176" t="str">
        <f>TEXT(   (SUMPRODUCT( ((LMPMain!$H$9:$H$1000)=$E34)*((LMPMain!$J$9:$J$1000)=$F34)*((LMPMain!$O$9:$O$1000)=$C34)*(LMPMain!S$9:S$1000) ) +  ( SUMPRODUCT( ((Adders!$D$13:$D$101)=$E34)*((Adders!$E$13:$E$101)=$F34)*(Adders!G$13:G$101)) + VLOOKUP($H34,Adders!$B$5:$G$8,M$11,FALSE)  +  OH!$D$2 ) * IF($D34="NJ",1.07,1))/$L$10, CHOOSE($M$10,$L$9,$M$9) )</f>
        <v xml:space="preserve"> 19.85 </v>
      </c>
      <c r="N34" s="177" t="str">
        <f>TEXT(   (SUMPRODUCT( ((LMPMain!$H$9:$H$1000)=$E34)*((LMPMain!$J$9:$J$1000)=$F34)*((LMPMain!$O$9:$O$1000)=$C34)*(LMPMain!T$9:T$1000) ) +  ( SUMPRODUCT( ((Adders!$D$13:$D$101)=$E34)*((Adders!$E$13:$E$101)=$F34)*(Adders!H$13:H$101)) + VLOOKUP($H34,Adders!$B$5:$G$8,N$11,FALSE)  +  OH!$D$2 ) * IF($D34="NJ",1.07,1))/$L$10, CHOOSE($M$10,$L$9,$M$9) )</f>
        <v xml:space="preserve"> 20.57 </v>
      </c>
      <c r="O34" s="112"/>
    </row>
    <row r="35" spans="2:15" x14ac:dyDescent="0.25">
      <c r="B35" s="108"/>
      <c r="C35" s="127">
        <f>DATE(YEAR(C34),MONTH(C34)+1,0)+1</f>
        <v>42370</v>
      </c>
      <c r="D35" s="128" t="s">
        <v>20</v>
      </c>
      <c r="E35" s="129" t="s">
        <v>63</v>
      </c>
      <c r="F35" s="128" t="s">
        <v>15</v>
      </c>
      <c r="G35" s="129" t="str">
        <f t="shared" si="0"/>
        <v>General Service Small</v>
      </c>
      <c r="H35" s="130" t="s">
        <v>61</v>
      </c>
      <c r="I35" s="180" t="str">
        <f>TEXT(   (SUMPRODUCT( ((Main!$H$9:$H$1000)=$E35)*((Main!$J$9:$J$1000)=$F35)*((Main!$O$9:$O$1000)=$C35)*(Main!R$9:R$1000) ) +  ( SUMPRODUCT( ((Adders!$D$13:$D$101)=$E35)*((Adders!$E$13:$E$101)=$F35)*(Adders!G$13:G$101)) + VLOOKUP($H35,Adders!$B$5:$G$8,L$11,FALSE)  +  OH!$D$2 ) * IF($D35="NJ",1.07,1))/$L$10, CHOOSE($M$10,$L$9,$M$9) )</f>
        <v xml:space="preserve"> 70.79 </v>
      </c>
      <c r="J35" s="178" t="str">
        <f>TEXT(   (SUMPRODUCT( ((Main!$H$9:$H$1000)=$E35)*((Main!$J$9:$J$1000)=$F35)*((Main!$O$9:$O$1000)=$C35)*(Main!S$9:S$1000) ) +  ( SUMPRODUCT( ((Adders!$D$13:$D$101)=$E35)*((Adders!$E$13:$E$101)=$F35)*(Adders!H$13:H$101)) + VLOOKUP($H35,Adders!$B$5:$G$8,M$11,FALSE)  +  OH!$D$2 ) * IF($D35="NJ",1.07,1))/$L$10, CHOOSE($M$10,$L$9,$M$9) )</f>
        <v xml:space="preserve"> 71.27 </v>
      </c>
      <c r="K35" s="179" t="str">
        <f>TEXT(   (SUMPRODUCT( ((Main!$H$9:$H$1000)=$E35)*((Main!$J$9:$J$1000)=$F35)*((Main!$O$9:$O$1000)=$C35)*(Main!T$9:T$1000) ) +  ( SUMPRODUCT( ((Adders!$D$13:$D$101)=$E35)*((Adders!$E$13:$E$101)=$F35)*(Adders!I$13:I$101)) + VLOOKUP($H35,Adders!$B$5:$G$8,$N$11,FALSE)  +  OH!$D$2 ) * IF($D35="NJ",1.07,1))/$L$10, CHOOSE($M$10,$L$9,$M$9) )</f>
        <v xml:space="preserve"> 70.10 </v>
      </c>
      <c r="L35" s="180" t="str">
        <f>TEXT(   (SUMPRODUCT( ((LMPMain!$H$9:$H$1000)=$E35)*((LMPMain!$J$9:$J$1000)=$F35)*((LMPMain!$O$9:$O$1000)=$C35)*(LMPMain!R$9:R$1000) ) +  ( SUMPRODUCT( ((Adders!$D$13:$D$101)=$E35)*((Adders!$E$13:$E$101)=$F35)*(Adders!F$13:F$101)) + VLOOKUP($H35,Adders!$B$5:$G$8,L$11,FALSE)  +  OH!$D$2 ) * IF($D35="NJ",1.07,1))/$L$10, CHOOSE($M$10,$L$9,$M$9) )</f>
        <v xml:space="preserve"> 22.84 </v>
      </c>
      <c r="M35" s="178" t="str">
        <f>TEXT(   (SUMPRODUCT( ((LMPMain!$H$9:$H$1000)=$E35)*((LMPMain!$J$9:$J$1000)=$F35)*((LMPMain!$O$9:$O$1000)=$C35)*(LMPMain!S$9:S$1000) ) +  ( SUMPRODUCT( ((Adders!$D$13:$D$101)=$E35)*((Adders!$E$13:$E$101)=$F35)*(Adders!G$13:G$101)) + VLOOKUP($H35,Adders!$B$5:$G$8,M$11,FALSE)  +  OH!$D$2 ) * IF($D35="NJ",1.07,1))/$L$10, CHOOSE($M$10,$L$9,$M$9) )</f>
        <v xml:space="preserve"> 22.41 </v>
      </c>
      <c r="N35" s="179" t="str">
        <f>TEXT(   (SUMPRODUCT( ((LMPMain!$H$9:$H$1000)=$E35)*((LMPMain!$J$9:$J$1000)=$F35)*((LMPMain!$O$9:$O$1000)=$C35)*(LMPMain!T$9:T$1000) ) +  ( SUMPRODUCT( ((Adders!$D$13:$D$101)=$E35)*((Adders!$E$13:$E$101)=$F35)*(Adders!H$13:H$101)) + VLOOKUP($H35,Adders!$B$5:$G$8,N$11,FALSE)  +  OH!$D$2 ) * IF($D35="NJ",1.07,1))/$L$10, CHOOSE($M$10,$L$9,$M$9) )</f>
        <v xml:space="preserve"> 23.16 </v>
      </c>
      <c r="O35" s="112"/>
    </row>
    <row r="36" spans="2:15" x14ac:dyDescent="0.25">
      <c r="B36" s="108"/>
      <c r="C36" s="131">
        <f>+C35</f>
        <v>42370</v>
      </c>
      <c r="D36" s="132" t="s">
        <v>20</v>
      </c>
      <c r="E36" s="133" t="s">
        <v>63</v>
      </c>
      <c r="F36" s="132" t="s">
        <v>15</v>
      </c>
      <c r="G36" s="133" t="str">
        <f t="shared" si="0"/>
        <v>General Service Small</v>
      </c>
      <c r="H36" s="134" t="s">
        <v>62</v>
      </c>
      <c r="I36" s="172" t="str">
        <f>TEXT(   (SUMPRODUCT( ((Main!$H$9:$H$1000)=$E36)*((Main!$J$9:$J$1000)=$F36)*((Main!$O$9:$O$1000)=$C36)*(Main!R$9:R$1000) ) +  ( SUMPRODUCT( ((Adders!$D$13:$D$101)=$E36)*((Adders!$E$13:$E$101)=$F36)*(Adders!G$13:G$101)) + VLOOKUP($H36,Adders!$B$5:$G$8,L$11,FALSE)  +  OH!$D$2 ) * IF($D36="NJ",1.07,1))/$L$10, CHOOSE($M$10,$L$9,$M$9) )</f>
        <v xml:space="preserve"> 69.19 </v>
      </c>
      <c r="J36" s="173" t="str">
        <f>TEXT(   (SUMPRODUCT( ((Main!$H$9:$H$1000)=$E36)*((Main!$J$9:$J$1000)=$F36)*((Main!$O$9:$O$1000)=$C36)*(Main!S$9:S$1000) ) +  ( SUMPRODUCT( ((Adders!$D$13:$D$101)=$E36)*((Adders!$E$13:$E$101)=$F36)*(Adders!H$13:H$101)) + VLOOKUP($H36,Adders!$B$5:$G$8,M$11,FALSE)  +  OH!$D$2 ) * IF($D36="NJ",1.07,1))/$L$10, CHOOSE($M$10,$L$9,$M$9) )</f>
        <v xml:space="preserve"> 69.67 </v>
      </c>
      <c r="K36" s="174" t="str">
        <f>TEXT(   (SUMPRODUCT( ((Main!$H$9:$H$1000)=$E36)*((Main!$J$9:$J$1000)=$F36)*((Main!$O$9:$O$1000)=$C36)*(Main!T$9:T$1000) ) +  ( SUMPRODUCT( ((Adders!$D$13:$D$101)=$E36)*((Adders!$E$13:$E$101)=$F36)*(Adders!I$13:I$101)) + VLOOKUP($H36,Adders!$B$5:$G$8,$N$11,FALSE)  +  OH!$D$2 ) * IF($D36="NJ",1.07,1))/$L$10, CHOOSE($M$10,$L$9,$M$9) )</f>
        <v xml:space="preserve"> 68.50 </v>
      </c>
      <c r="L36" s="172" t="str">
        <f>TEXT(   (SUMPRODUCT( ((LMPMain!$H$9:$H$1000)=$E36)*((LMPMain!$J$9:$J$1000)=$F36)*((LMPMain!$O$9:$O$1000)=$C36)*(LMPMain!R$9:R$1000) ) +  ( SUMPRODUCT( ((Adders!$D$13:$D$101)=$E36)*((Adders!$E$13:$E$101)=$F36)*(Adders!F$13:F$101)) + VLOOKUP($H36,Adders!$B$5:$G$8,L$11,FALSE)  +  OH!$D$2 ) * IF($D36="NJ",1.07,1))/$L$10, CHOOSE($M$10,$L$9,$M$9) )</f>
        <v xml:space="preserve"> 21.24 </v>
      </c>
      <c r="M36" s="173" t="str">
        <f>TEXT(   (SUMPRODUCT( ((LMPMain!$H$9:$H$1000)=$E36)*((LMPMain!$J$9:$J$1000)=$F36)*((LMPMain!$O$9:$O$1000)=$C36)*(LMPMain!S$9:S$1000) ) +  ( SUMPRODUCT( ((Adders!$D$13:$D$101)=$E36)*((Adders!$E$13:$E$101)=$F36)*(Adders!G$13:G$101)) + VLOOKUP($H36,Adders!$B$5:$G$8,M$11,FALSE)  +  OH!$D$2 ) * IF($D36="NJ",1.07,1))/$L$10, CHOOSE($M$10,$L$9,$M$9) )</f>
        <v xml:space="preserve"> 20.81 </v>
      </c>
      <c r="N36" s="174" t="str">
        <f>TEXT(   (SUMPRODUCT( ((LMPMain!$H$9:$H$1000)=$E36)*((LMPMain!$J$9:$J$1000)=$F36)*((LMPMain!$O$9:$O$1000)=$C36)*(LMPMain!T$9:T$1000) ) +  ( SUMPRODUCT( ((Adders!$D$13:$D$101)=$E36)*((Adders!$E$13:$E$101)=$F36)*(Adders!H$13:H$101)) + VLOOKUP($H36,Adders!$B$5:$G$8,N$11,FALSE)  +  OH!$D$2 ) * IF($D36="NJ",1.07,1))/$L$10, CHOOSE($M$10,$L$9,$M$9) )</f>
        <v xml:space="preserve"> 21.56 </v>
      </c>
      <c r="O36" s="112"/>
    </row>
    <row r="37" spans="2:15" x14ac:dyDescent="0.25">
      <c r="B37" s="108"/>
      <c r="C37" s="135">
        <f>+C36</f>
        <v>42370</v>
      </c>
      <c r="D37" s="136" t="s">
        <v>20</v>
      </c>
      <c r="E37" s="137" t="s">
        <v>63</v>
      </c>
      <c r="F37" s="136" t="s">
        <v>15</v>
      </c>
      <c r="G37" s="137" t="str">
        <f t="shared" si="0"/>
        <v>General Service Small</v>
      </c>
      <c r="H37" s="138" t="s">
        <v>690</v>
      </c>
      <c r="I37" s="175" t="str">
        <f>TEXT(   (SUMPRODUCT( ((Main!$H$9:$H$1000)=$E37)*((Main!$J$9:$J$1000)=$F37)*((Main!$O$9:$O$1000)=$C37)*(Main!R$9:R$1000) ) +  ( SUMPRODUCT( ((Adders!$D$13:$D$101)=$E37)*((Adders!$E$13:$E$101)=$F37)*(Adders!G$13:G$101)) + VLOOKUP($H37,Adders!$B$5:$G$8,L$11,FALSE)  +  OH!$D$2 ) * IF($D37="NJ",1.07,1))/$L$10, CHOOSE($M$10,$L$9,$M$9) )</f>
        <v xml:space="preserve"> 68.14 </v>
      </c>
      <c r="J37" s="176" t="str">
        <f>TEXT(   (SUMPRODUCT( ((Main!$H$9:$H$1000)=$E37)*((Main!$J$9:$J$1000)=$F37)*((Main!$O$9:$O$1000)=$C37)*(Main!S$9:S$1000) ) +  ( SUMPRODUCT( ((Adders!$D$13:$D$101)=$E37)*((Adders!$E$13:$E$101)=$F37)*(Adders!H$13:H$101)) + VLOOKUP($H37,Adders!$B$5:$G$8,M$11,FALSE)  +  OH!$D$2 ) * IF($D37="NJ",1.07,1))/$L$10, CHOOSE($M$10,$L$9,$M$9) )</f>
        <v xml:space="preserve"> 68.62 </v>
      </c>
      <c r="K37" s="177" t="str">
        <f>TEXT(   (SUMPRODUCT( ((Main!$H$9:$H$1000)=$E37)*((Main!$J$9:$J$1000)=$F37)*((Main!$O$9:$O$1000)=$C37)*(Main!T$9:T$1000) ) +  ( SUMPRODUCT( ((Adders!$D$13:$D$101)=$E37)*((Adders!$E$13:$E$101)=$F37)*(Adders!I$13:I$101)) + VLOOKUP($H37,Adders!$B$5:$G$8,$N$11,FALSE)  +  OH!$D$2 ) * IF($D37="NJ",1.07,1))/$L$10, CHOOSE($M$10,$L$9,$M$9) )</f>
        <v xml:space="preserve"> 67.45 </v>
      </c>
      <c r="L37" s="175" t="str">
        <f>TEXT(   (SUMPRODUCT( ((LMPMain!$H$9:$H$1000)=$E37)*((LMPMain!$J$9:$J$1000)=$F37)*((LMPMain!$O$9:$O$1000)=$C37)*(LMPMain!R$9:R$1000) ) +  ( SUMPRODUCT( ((Adders!$D$13:$D$101)=$E37)*((Adders!$E$13:$E$101)=$F37)*(Adders!F$13:F$101)) + VLOOKUP($H37,Adders!$B$5:$G$8,L$11,FALSE)  +  OH!$D$2 ) * IF($D37="NJ",1.07,1))/$L$10, CHOOSE($M$10,$L$9,$M$9) )</f>
        <v xml:space="preserve"> 20.19 </v>
      </c>
      <c r="M37" s="176" t="str">
        <f>TEXT(   (SUMPRODUCT( ((LMPMain!$H$9:$H$1000)=$E37)*((LMPMain!$J$9:$J$1000)=$F37)*((LMPMain!$O$9:$O$1000)=$C37)*(LMPMain!S$9:S$1000) ) +  ( SUMPRODUCT( ((Adders!$D$13:$D$101)=$E37)*((Adders!$E$13:$E$101)=$F37)*(Adders!G$13:G$101)) + VLOOKUP($H37,Adders!$B$5:$G$8,M$11,FALSE)  +  OH!$D$2 ) * IF($D37="NJ",1.07,1))/$L$10, CHOOSE($M$10,$L$9,$M$9) )</f>
        <v xml:space="preserve"> 19.76 </v>
      </c>
      <c r="N37" s="177" t="str">
        <f>TEXT(   (SUMPRODUCT( ((LMPMain!$H$9:$H$1000)=$E37)*((LMPMain!$J$9:$J$1000)=$F37)*((LMPMain!$O$9:$O$1000)=$C37)*(LMPMain!T$9:T$1000) ) +  ( SUMPRODUCT( ((Adders!$D$13:$D$101)=$E37)*((Adders!$E$13:$E$101)=$F37)*(Adders!H$13:H$101)) + VLOOKUP($H37,Adders!$B$5:$G$8,N$11,FALSE)  +  OH!$D$2 ) * IF($D37="NJ",1.07,1))/$L$10, CHOOSE($M$10,$L$9,$M$9) )</f>
        <v xml:space="preserve"> 20.51 </v>
      </c>
      <c r="O37" s="112"/>
    </row>
    <row r="38" spans="2:15" x14ac:dyDescent="0.25">
      <c r="B38" s="108"/>
      <c r="C38" s="127">
        <f>DATE(YEAR(C37),MONTH(C37)+1,0)+1</f>
        <v>42401</v>
      </c>
      <c r="D38" s="128" t="s">
        <v>20</v>
      </c>
      <c r="E38" s="129" t="s">
        <v>63</v>
      </c>
      <c r="F38" s="128" t="s">
        <v>15</v>
      </c>
      <c r="G38" s="129" t="str">
        <f t="shared" si="0"/>
        <v>General Service Small</v>
      </c>
      <c r="H38" s="130" t="s">
        <v>61</v>
      </c>
      <c r="I38" s="180" t="str">
        <f>TEXT(   (SUMPRODUCT( ((Main!$H$9:$H$1000)=$E38)*((Main!$J$9:$J$1000)=$F38)*((Main!$O$9:$O$1000)=$C38)*(Main!R$9:R$1000) ) +  ( SUMPRODUCT( ((Adders!$D$13:$D$101)=$E38)*((Adders!$E$13:$E$101)=$F38)*(Adders!G$13:G$101)) + VLOOKUP($H38,Adders!$B$5:$G$8,L$11,FALSE)  +  OH!$D$2 ) * IF($D38="NJ",1.07,1))/$L$10, CHOOSE($M$10,$L$9,$M$9) )</f>
        <v xml:space="preserve"> 70.46 </v>
      </c>
      <c r="J38" s="178" t="str">
        <f>TEXT(   (SUMPRODUCT( ((Main!$H$9:$H$1000)=$E38)*((Main!$J$9:$J$1000)=$F38)*((Main!$O$9:$O$1000)=$C38)*(Main!S$9:S$1000) ) +  ( SUMPRODUCT( ((Adders!$D$13:$D$101)=$E38)*((Adders!$E$13:$E$101)=$F38)*(Adders!H$13:H$101)) + VLOOKUP($H38,Adders!$B$5:$G$8,M$11,FALSE)  +  OH!$D$2 ) * IF($D38="NJ",1.07,1))/$L$10, CHOOSE($M$10,$L$9,$M$9) )</f>
        <v xml:space="preserve"> 70.70 </v>
      </c>
      <c r="K38" s="179" t="str">
        <f>TEXT(   (SUMPRODUCT( ((Main!$H$9:$H$1000)=$E38)*((Main!$J$9:$J$1000)=$F38)*((Main!$O$9:$O$1000)=$C38)*(Main!T$9:T$1000) ) +  ( SUMPRODUCT( ((Adders!$D$13:$D$101)=$E38)*((Adders!$E$13:$E$101)=$F38)*(Adders!I$13:I$101)) + VLOOKUP($H38,Adders!$B$5:$G$8,$N$11,FALSE)  +  OH!$D$2 ) * IF($D38="NJ",1.07,1))/$L$10, CHOOSE($M$10,$L$9,$M$9) )</f>
        <v xml:space="preserve"> 70.06 </v>
      </c>
      <c r="L38" s="180" t="str">
        <f>TEXT(   (SUMPRODUCT( ((LMPMain!$H$9:$H$1000)=$E38)*((LMPMain!$J$9:$J$1000)=$F38)*((LMPMain!$O$9:$O$1000)=$C38)*(LMPMain!R$9:R$1000) ) +  ( SUMPRODUCT( ((Adders!$D$13:$D$101)=$E38)*((Adders!$E$13:$E$101)=$F38)*(Adders!F$13:F$101)) + VLOOKUP($H38,Adders!$B$5:$G$8,L$11,FALSE)  +  OH!$D$2 ) * IF($D38="NJ",1.07,1))/$L$10, CHOOSE($M$10,$L$9,$M$9) )</f>
        <v xml:space="preserve"> 22.21 </v>
      </c>
      <c r="M38" s="178" t="str">
        <f>TEXT(   (SUMPRODUCT( ((LMPMain!$H$9:$H$1000)=$E38)*((LMPMain!$J$9:$J$1000)=$F38)*((LMPMain!$O$9:$O$1000)=$C38)*(LMPMain!S$9:S$1000) ) +  ( SUMPRODUCT( ((Adders!$D$13:$D$101)=$E38)*((Adders!$E$13:$E$101)=$F38)*(Adders!G$13:G$101)) + VLOOKUP($H38,Adders!$B$5:$G$8,M$11,FALSE)  +  OH!$D$2 ) * IF($D38="NJ",1.07,1))/$L$10, CHOOSE($M$10,$L$9,$M$9) )</f>
        <v xml:space="preserve"> 22.20 </v>
      </c>
      <c r="N38" s="179" t="str">
        <f>TEXT(   (SUMPRODUCT( ((LMPMain!$H$9:$H$1000)=$E38)*((LMPMain!$J$9:$J$1000)=$F38)*((LMPMain!$O$9:$O$1000)=$C38)*(LMPMain!T$9:T$1000) ) +  ( SUMPRODUCT( ((Adders!$D$13:$D$101)=$E38)*((Adders!$E$13:$E$101)=$F38)*(Adders!H$13:H$101)) + VLOOKUP($H38,Adders!$B$5:$G$8,N$11,FALSE)  +  OH!$D$2 ) * IF($D38="NJ",1.07,1))/$L$10, CHOOSE($M$10,$L$9,$M$9) )</f>
        <v xml:space="preserve"> 23.14 </v>
      </c>
      <c r="O38" s="112"/>
    </row>
    <row r="39" spans="2:15" x14ac:dyDescent="0.25">
      <c r="B39" s="108"/>
      <c r="C39" s="131">
        <f>+C38</f>
        <v>42401</v>
      </c>
      <c r="D39" s="132" t="s">
        <v>20</v>
      </c>
      <c r="E39" s="133" t="s">
        <v>63</v>
      </c>
      <c r="F39" s="132" t="s">
        <v>15</v>
      </c>
      <c r="G39" s="133" t="str">
        <f t="shared" si="0"/>
        <v>General Service Small</v>
      </c>
      <c r="H39" s="134" t="s">
        <v>62</v>
      </c>
      <c r="I39" s="172" t="str">
        <f>TEXT(   (SUMPRODUCT( ((Main!$H$9:$H$1000)=$E39)*((Main!$J$9:$J$1000)=$F39)*((Main!$O$9:$O$1000)=$C39)*(Main!R$9:R$1000) ) +  ( SUMPRODUCT( ((Adders!$D$13:$D$101)=$E39)*((Adders!$E$13:$E$101)=$F39)*(Adders!G$13:G$101)) + VLOOKUP($H39,Adders!$B$5:$G$8,L$11,FALSE)  +  OH!$D$2 ) * IF($D39="NJ",1.07,1))/$L$10, CHOOSE($M$10,$L$9,$M$9) )</f>
        <v xml:space="preserve"> 68.86 </v>
      </c>
      <c r="J39" s="173" t="str">
        <f>TEXT(   (SUMPRODUCT( ((Main!$H$9:$H$1000)=$E39)*((Main!$J$9:$J$1000)=$F39)*((Main!$O$9:$O$1000)=$C39)*(Main!S$9:S$1000) ) +  ( SUMPRODUCT( ((Adders!$D$13:$D$101)=$E39)*((Adders!$E$13:$E$101)=$F39)*(Adders!H$13:H$101)) + VLOOKUP($H39,Adders!$B$5:$G$8,M$11,FALSE)  +  OH!$D$2 ) * IF($D39="NJ",1.07,1))/$L$10, CHOOSE($M$10,$L$9,$M$9) )</f>
        <v xml:space="preserve"> 69.10 </v>
      </c>
      <c r="K39" s="174" t="str">
        <f>TEXT(   (SUMPRODUCT( ((Main!$H$9:$H$1000)=$E39)*((Main!$J$9:$J$1000)=$F39)*((Main!$O$9:$O$1000)=$C39)*(Main!T$9:T$1000) ) +  ( SUMPRODUCT( ((Adders!$D$13:$D$101)=$E39)*((Adders!$E$13:$E$101)=$F39)*(Adders!I$13:I$101)) + VLOOKUP($H39,Adders!$B$5:$G$8,$N$11,FALSE)  +  OH!$D$2 ) * IF($D39="NJ",1.07,1))/$L$10, CHOOSE($M$10,$L$9,$M$9) )</f>
        <v xml:space="preserve"> 68.46 </v>
      </c>
      <c r="L39" s="172" t="str">
        <f>TEXT(   (SUMPRODUCT( ((LMPMain!$H$9:$H$1000)=$E39)*((LMPMain!$J$9:$J$1000)=$F39)*((LMPMain!$O$9:$O$1000)=$C39)*(LMPMain!R$9:R$1000) ) +  ( SUMPRODUCT( ((Adders!$D$13:$D$101)=$E39)*((Adders!$E$13:$E$101)=$F39)*(Adders!F$13:F$101)) + VLOOKUP($H39,Adders!$B$5:$G$8,L$11,FALSE)  +  OH!$D$2 ) * IF($D39="NJ",1.07,1))/$L$10, CHOOSE($M$10,$L$9,$M$9) )</f>
        <v xml:space="preserve"> 20.61 </v>
      </c>
      <c r="M39" s="173" t="str">
        <f>TEXT(   (SUMPRODUCT( ((LMPMain!$H$9:$H$1000)=$E39)*((LMPMain!$J$9:$J$1000)=$F39)*((LMPMain!$O$9:$O$1000)=$C39)*(LMPMain!S$9:S$1000) ) +  ( SUMPRODUCT( ((Adders!$D$13:$D$101)=$E39)*((Adders!$E$13:$E$101)=$F39)*(Adders!G$13:G$101)) + VLOOKUP($H39,Adders!$B$5:$G$8,M$11,FALSE)  +  OH!$D$2 ) * IF($D39="NJ",1.07,1))/$L$10, CHOOSE($M$10,$L$9,$M$9) )</f>
        <v xml:space="preserve"> 20.60 </v>
      </c>
      <c r="N39" s="174" t="str">
        <f>TEXT(   (SUMPRODUCT( ((LMPMain!$H$9:$H$1000)=$E39)*((LMPMain!$J$9:$J$1000)=$F39)*((LMPMain!$O$9:$O$1000)=$C39)*(LMPMain!T$9:T$1000) ) +  ( SUMPRODUCT( ((Adders!$D$13:$D$101)=$E39)*((Adders!$E$13:$E$101)=$F39)*(Adders!H$13:H$101)) + VLOOKUP($H39,Adders!$B$5:$G$8,N$11,FALSE)  +  OH!$D$2 ) * IF($D39="NJ",1.07,1))/$L$10, CHOOSE($M$10,$L$9,$M$9) )</f>
        <v xml:space="preserve"> 21.54 </v>
      </c>
      <c r="O39" s="112"/>
    </row>
    <row r="40" spans="2:15" x14ac:dyDescent="0.25">
      <c r="B40" s="108"/>
      <c r="C40" s="135">
        <f>+C39</f>
        <v>42401</v>
      </c>
      <c r="D40" s="136" t="s">
        <v>20</v>
      </c>
      <c r="E40" s="137" t="s">
        <v>63</v>
      </c>
      <c r="F40" s="136" t="s">
        <v>15</v>
      </c>
      <c r="G40" s="137" t="str">
        <f t="shared" si="0"/>
        <v>General Service Small</v>
      </c>
      <c r="H40" s="138" t="s">
        <v>690</v>
      </c>
      <c r="I40" s="175" t="str">
        <f>TEXT(   (SUMPRODUCT( ((Main!$H$9:$H$1000)=$E40)*((Main!$J$9:$J$1000)=$F40)*((Main!$O$9:$O$1000)=$C40)*(Main!R$9:R$1000) ) +  ( SUMPRODUCT( ((Adders!$D$13:$D$101)=$E40)*((Adders!$E$13:$E$101)=$F40)*(Adders!G$13:G$101)) + VLOOKUP($H40,Adders!$B$5:$G$8,L$11,FALSE)  +  OH!$D$2 ) * IF($D40="NJ",1.07,1))/$L$10, CHOOSE($M$10,$L$9,$M$9) )</f>
        <v xml:space="preserve"> 67.81 </v>
      </c>
      <c r="J40" s="176" t="str">
        <f>TEXT(   (SUMPRODUCT( ((Main!$H$9:$H$1000)=$E40)*((Main!$J$9:$J$1000)=$F40)*((Main!$O$9:$O$1000)=$C40)*(Main!S$9:S$1000) ) +  ( SUMPRODUCT( ((Adders!$D$13:$D$101)=$E40)*((Adders!$E$13:$E$101)=$F40)*(Adders!H$13:H$101)) + VLOOKUP($H40,Adders!$B$5:$G$8,M$11,FALSE)  +  OH!$D$2 ) * IF($D40="NJ",1.07,1))/$L$10, CHOOSE($M$10,$L$9,$M$9) )</f>
        <v xml:space="preserve"> 68.05 </v>
      </c>
      <c r="K40" s="177" t="str">
        <f>TEXT(   (SUMPRODUCT( ((Main!$H$9:$H$1000)=$E40)*((Main!$J$9:$J$1000)=$F40)*((Main!$O$9:$O$1000)=$C40)*(Main!T$9:T$1000) ) +  ( SUMPRODUCT( ((Adders!$D$13:$D$101)=$E40)*((Adders!$E$13:$E$101)=$F40)*(Adders!I$13:I$101)) + VLOOKUP($H40,Adders!$B$5:$G$8,$N$11,FALSE)  +  OH!$D$2 ) * IF($D40="NJ",1.07,1))/$L$10, CHOOSE($M$10,$L$9,$M$9) )</f>
        <v xml:space="preserve"> 67.41 </v>
      </c>
      <c r="L40" s="175" t="str">
        <f>TEXT(   (SUMPRODUCT( ((LMPMain!$H$9:$H$1000)=$E40)*((LMPMain!$J$9:$J$1000)=$F40)*((LMPMain!$O$9:$O$1000)=$C40)*(LMPMain!R$9:R$1000) ) +  ( SUMPRODUCT( ((Adders!$D$13:$D$101)=$E40)*((Adders!$E$13:$E$101)=$F40)*(Adders!F$13:F$101)) + VLOOKUP($H40,Adders!$B$5:$G$8,L$11,FALSE)  +  OH!$D$2 ) * IF($D40="NJ",1.07,1))/$L$10, CHOOSE($M$10,$L$9,$M$9) )</f>
        <v xml:space="preserve"> 19.56 </v>
      </c>
      <c r="M40" s="176" t="str">
        <f>TEXT(   (SUMPRODUCT( ((LMPMain!$H$9:$H$1000)=$E40)*((LMPMain!$J$9:$J$1000)=$F40)*((LMPMain!$O$9:$O$1000)=$C40)*(LMPMain!S$9:S$1000) ) +  ( SUMPRODUCT( ((Adders!$D$13:$D$101)=$E40)*((Adders!$E$13:$E$101)=$F40)*(Adders!G$13:G$101)) + VLOOKUP($H40,Adders!$B$5:$G$8,M$11,FALSE)  +  OH!$D$2 ) * IF($D40="NJ",1.07,1))/$L$10, CHOOSE($M$10,$L$9,$M$9) )</f>
        <v xml:space="preserve"> 19.55 </v>
      </c>
      <c r="N40" s="177" t="str">
        <f>TEXT(   (SUMPRODUCT( ((LMPMain!$H$9:$H$1000)=$E40)*((LMPMain!$J$9:$J$1000)=$F40)*((LMPMain!$O$9:$O$1000)=$C40)*(LMPMain!T$9:T$1000) ) +  ( SUMPRODUCT( ((Adders!$D$13:$D$101)=$E40)*((Adders!$E$13:$E$101)=$F40)*(Adders!H$13:H$101)) + VLOOKUP($H40,Adders!$B$5:$G$8,N$11,FALSE)  +  OH!$D$2 ) * IF($D40="NJ",1.07,1))/$L$10, CHOOSE($M$10,$L$9,$M$9) )</f>
        <v xml:space="preserve"> 20.49 </v>
      </c>
      <c r="O40" s="112"/>
    </row>
    <row r="41" spans="2:15" x14ac:dyDescent="0.25">
      <c r="B41" s="108"/>
      <c r="C41" s="127">
        <f>DATE(YEAR(C40),MONTH(C40)+1,0)+1</f>
        <v>42430</v>
      </c>
      <c r="D41" s="128" t="s">
        <v>20</v>
      </c>
      <c r="E41" s="129" t="s">
        <v>63</v>
      </c>
      <c r="F41" s="128" t="s">
        <v>15</v>
      </c>
      <c r="G41" s="129" t="str">
        <f t="shared" si="0"/>
        <v>General Service Small</v>
      </c>
      <c r="H41" s="130" t="s">
        <v>61</v>
      </c>
      <c r="I41" s="180" t="str">
        <f>TEXT(   (SUMPRODUCT( ((Main!$H$9:$H$1000)=$E41)*((Main!$J$9:$J$1000)=$F41)*((Main!$O$9:$O$1000)=$C41)*(Main!R$9:R$1000) ) +  ( SUMPRODUCT( ((Adders!$D$13:$D$101)=$E41)*((Adders!$E$13:$E$101)=$F41)*(Adders!G$13:G$101)) + VLOOKUP($H41,Adders!$B$5:$G$8,L$11,FALSE)  +  OH!$D$2 ) * IF($D41="NJ",1.07,1))/$L$10, CHOOSE($M$10,$L$9,$M$9) )</f>
        <v xml:space="preserve"> 70.07 </v>
      </c>
      <c r="J41" s="178" t="str">
        <f>TEXT(   (SUMPRODUCT( ((Main!$H$9:$H$1000)=$E41)*((Main!$J$9:$J$1000)=$F41)*((Main!$O$9:$O$1000)=$C41)*(Main!S$9:S$1000) ) +  ( SUMPRODUCT( ((Adders!$D$13:$D$101)=$E41)*((Adders!$E$13:$E$101)=$F41)*(Adders!H$13:H$101)) + VLOOKUP($H41,Adders!$B$5:$G$8,M$11,FALSE)  +  OH!$D$2 ) * IF($D41="NJ",1.07,1))/$L$10, CHOOSE($M$10,$L$9,$M$9) )</f>
        <v xml:space="preserve"> 70.07 </v>
      </c>
      <c r="K41" s="179" t="str">
        <f>TEXT(   (SUMPRODUCT( ((Main!$H$9:$H$1000)=$E41)*((Main!$J$9:$J$1000)=$F41)*((Main!$O$9:$O$1000)=$C41)*(Main!T$9:T$1000) ) +  ( SUMPRODUCT( ((Adders!$D$13:$D$101)=$E41)*((Adders!$E$13:$E$101)=$F41)*(Adders!I$13:I$101)) + VLOOKUP($H41,Adders!$B$5:$G$8,$N$11,FALSE)  +  OH!$D$2 ) * IF($D41="NJ",1.07,1))/$L$10, CHOOSE($M$10,$L$9,$M$9) )</f>
        <v xml:space="preserve"> 69.97 </v>
      </c>
      <c r="L41" s="180" t="str">
        <f>TEXT(   (SUMPRODUCT( ((LMPMain!$H$9:$H$1000)=$E41)*((LMPMain!$J$9:$J$1000)=$F41)*((LMPMain!$O$9:$O$1000)=$C41)*(LMPMain!R$9:R$1000) ) +  ( SUMPRODUCT( ((Adders!$D$13:$D$101)=$E41)*((Adders!$E$13:$E$101)=$F41)*(Adders!F$13:F$101)) + VLOOKUP($H41,Adders!$B$5:$G$8,L$11,FALSE)  +  OH!$D$2 ) * IF($D41="NJ",1.07,1))/$L$10, CHOOSE($M$10,$L$9,$M$9) )</f>
        <v xml:space="preserve"> 21.60 </v>
      </c>
      <c r="M41" s="178" t="str">
        <f>TEXT(   (SUMPRODUCT( ((LMPMain!$H$9:$H$1000)=$E41)*((LMPMain!$J$9:$J$1000)=$F41)*((LMPMain!$O$9:$O$1000)=$C41)*(LMPMain!S$9:S$1000) ) +  ( SUMPRODUCT( ((Adders!$D$13:$D$101)=$E41)*((Adders!$E$13:$E$101)=$F41)*(Adders!G$13:G$101)) + VLOOKUP($H41,Adders!$B$5:$G$8,M$11,FALSE)  +  OH!$D$2 ) * IF($D41="NJ",1.07,1))/$L$10, CHOOSE($M$10,$L$9,$M$9) )</f>
        <v xml:space="preserve"> 22.04 </v>
      </c>
      <c r="N41" s="179" t="str">
        <f>TEXT(   (SUMPRODUCT( ((LMPMain!$H$9:$H$1000)=$E41)*((LMPMain!$J$9:$J$1000)=$F41)*((LMPMain!$O$9:$O$1000)=$C41)*(LMPMain!T$9:T$1000) ) +  ( SUMPRODUCT( ((Adders!$D$13:$D$101)=$E41)*((Adders!$E$13:$E$101)=$F41)*(Adders!H$13:H$101)) + VLOOKUP($H41,Adders!$B$5:$G$8,N$11,FALSE)  +  OH!$D$2 ) * IF($D41="NJ",1.07,1))/$L$10, CHOOSE($M$10,$L$9,$M$9) )</f>
        <v xml:space="preserve"> 23.10 </v>
      </c>
      <c r="O41" s="112"/>
    </row>
    <row r="42" spans="2:15" x14ac:dyDescent="0.25">
      <c r="B42" s="108"/>
      <c r="C42" s="131">
        <f>+C41</f>
        <v>42430</v>
      </c>
      <c r="D42" s="132" t="s">
        <v>20</v>
      </c>
      <c r="E42" s="133" t="s">
        <v>63</v>
      </c>
      <c r="F42" s="132" t="s">
        <v>15</v>
      </c>
      <c r="G42" s="133" t="str">
        <f t="shared" si="0"/>
        <v>General Service Small</v>
      </c>
      <c r="H42" s="134" t="s">
        <v>62</v>
      </c>
      <c r="I42" s="172" t="str">
        <f>TEXT(   (SUMPRODUCT( ((Main!$H$9:$H$1000)=$E42)*((Main!$J$9:$J$1000)=$F42)*((Main!$O$9:$O$1000)=$C42)*(Main!R$9:R$1000) ) +  ( SUMPRODUCT( ((Adders!$D$13:$D$101)=$E42)*((Adders!$E$13:$E$101)=$F42)*(Adders!G$13:G$101)) + VLOOKUP($H42,Adders!$B$5:$G$8,L$11,FALSE)  +  OH!$D$2 ) * IF($D42="NJ",1.07,1))/$L$10, CHOOSE($M$10,$L$9,$M$9) )</f>
        <v xml:space="preserve"> 68.47 </v>
      </c>
      <c r="J42" s="173" t="str">
        <f>TEXT(   (SUMPRODUCT( ((Main!$H$9:$H$1000)=$E42)*((Main!$J$9:$J$1000)=$F42)*((Main!$O$9:$O$1000)=$C42)*(Main!S$9:S$1000) ) +  ( SUMPRODUCT( ((Adders!$D$13:$D$101)=$E42)*((Adders!$E$13:$E$101)=$F42)*(Adders!H$13:H$101)) + VLOOKUP($H42,Adders!$B$5:$G$8,M$11,FALSE)  +  OH!$D$2 ) * IF($D42="NJ",1.07,1))/$L$10, CHOOSE($M$10,$L$9,$M$9) )</f>
        <v xml:space="preserve"> 68.47 </v>
      </c>
      <c r="K42" s="174" t="str">
        <f>TEXT(   (SUMPRODUCT( ((Main!$H$9:$H$1000)=$E42)*((Main!$J$9:$J$1000)=$F42)*((Main!$O$9:$O$1000)=$C42)*(Main!T$9:T$1000) ) +  ( SUMPRODUCT( ((Adders!$D$13:$D$101)=$E42)*((Adders!$E$13:$E$101)=$F42)*(Adders!I$13:I$101)) + VLOOKUP($H42,Adders!$B$5:$G$8,$N$11,FALSE)  +  OH!$D$2 ) * IF($D42="NJ",1.07,1))/$L$10, CHOOSE($M$10,$L$9,$M$9) )</f>
        <v xml:space="preserve"> 68.37 </v>
      </c>
      <c r="L42" s="172" t="str">
        <f>TEXT(   (SUMPRODUCT( ((LMPMain!$H$9:$H$1000)=$E42)*((LMPMain!$J$9:$J$1000)=$F42)*((LMPMain!$O$9:$O$1000)=$C42)*(LMPMain!R$9:R$1000) ) +  ( SUMPRODUCT( ((Adders!$D$13:$D$101)=$E42)*((Adders!$E$13:$E$101)=$F42)*(Adders!F$13:F$101)) + VLOOKUP($H42,Adders!$B$5:$G$8,L$11,FALSE)  +  OH!$D$2 ) * IF($D42="NJ",1.07,1))/$L$10, CHOOSE($M$10,$L$9,$M$9) )</f>
        <v xml:space="preserve"> 20.00 </v>
      </c>
      <c r="M42" s="173" t="str">
        <f>TEXT(   (SUMPRODUCT( ((LMPMain!$H$9:$H$1000)=$E42)*((LMPMain!$J$9:$J$1000)=$F42)*((LMPMain!$O$9:$O$1000)=$C42)*(LMPMain!S$9:S$1000) ) +  ( SUMPRODUCT( ((Adders!$D$13:$D$101)=$E42)*((Adders!$E$13:$E$101)=$F42)*(Adders!G$13:G$101)) + VLOOKUP($H42,Adders!$B$5:$G$8,M$11,FALSE)  +  OH!$D$2 ) * IF($D42="NJ",1.07,1))/$L$10, CHOOSE($M$10,$L$9,$M$9) )</f>
        <v xml:space="preserve"> 20.44 </v>
      </c>
      <c r="N42" s="174" t="str">
        <f>TEXT(   (SUMPRODUCT( ((LMPMain!$H$9:$H$1000)=$E42)*((LMPMain!$J$9:$J$1000)=$F42)*((LMPMain!$O$9:$O$1000)=$C42)*(LMPMain!T$9:T$1000) ) +  ( SUMPRODUCT( ((Adders!$D$13:$D$101)=$E42)*((Adders!$E$13:$E$101)=$F42)*(Adders!H$13:H$101)) + VLOOKUP($H42,Adders!$B$5:$G$8,N$11,FALSE)  +  OH!$D$2 ) * IF($D42="NJ",1.07,1))/$L$10, CHOOSE($M$10,$L$9,$M$9) )</f>
        <v xml:space="preserve"> 21.50 </v>
      </c>
      <c r="O42" s="112"/>
    </row>
    <row r="43" spans="2:15" x14ac:dyDescent="0.25">
      <c r="B43" s="108"/>
      <c r="C43" s="135">
        <f>+C42</f>
        <v>42430</v>
      </c>
      <c r="D43" s="136" t="s">
        <v>20</v>
      </c>
      <c r="E43" s="137" t="s">
        <v>63</v>
      </c>
      <c r="F43" s="136" t="s">
        <v>15</v>
      </c>
      <c r="G43" s="137" t="str">
        <f t="shared" si="0"/>
        <v>General Service Small</v>
      </c>
      <c r="H43" s="138" t="s">
        <v>690</v>
      </c>
      <c r="I43" s="175" t="str">
        <f>TEXT(   (SUMPRODUCT( ((Main!$H$9:$H$1000)=$E43)*((Main!$J$9:$J$1000)=$F43)*((Main!$O$9:$O$1000)=$C43)*(Main!R$9:R$1000) ) +  ( SUMPRODUCT( ((Adders!$D$13:$D$101)=$E43)*((Adders!$E$13:$E$101)=$F43)*(Adders!G$13:G$101)) + VLOOKUP($H43,Adders!$B$5:$G$8,L$11,FALSE)  +  OH!$D$2 ) * IF($D43="NJ",1.07,1))/$L$10, CHOOSE($M$10,$L$9,$M$9) )</f>
        <v xml:space="preserve"> 67.42 </v>
      </c>
      <c r="J43" s="176" t="str">
        <f>TEXT(   (SUMPRODUCT( ((Main!$H$9:$H$1000)=$E43)*((Main!$J$9:$J$1000)=$F43)*((Main!$O$9:$O$1000)=$C43)*(Main!S$9:S$1000) ) +  ( SUMPRODUCT( ((Adders!$D$13:$D$101)=$E43)*((Adders!$E$13:$E$101)=$F43)*(Adders!H$13:H$101)) + VLOOKUP($H43,Adders!$B$5:$G$8,M$11,FALSE)  +  OH!$D$2 ) * IF($D43="NJ",1.07,1))/$L$10, CHOOSE($M$10,$L$9,$M$9) )</f>
        <v xml:space="preserve"> 67.42 </v>
      </c>
      <c r="K43" s="177" t="str">
        <f>TEXT(   (SUMPRODUCT( ((Main!$H$9:$H$1000)=$E43)*((Main!$J$9:$J$1000)=$F43)*((Main!$O$9:$O$1000)=$C43)*(Main!T$9:T$1000) ) +  ( SUMPRODUCT( ((Adders!$D$13:$D$101)=$E43)*((Adders!$E$13:$E$101)=$F43)*(Adders!I$13:I$101)) + VLOOKUP($H43,Adders!$B$5:$G$8,$N$11,FALSE)  +  OH!$D$2 ) * IF($D43="NJ",1.07,1))/$L$10, CHOOSE($M$10,$L$9,$M$9) )</f>
        <v xml:space="preserve"> 67.32 </v>
      </c>
      <c r="L43" s="175" t="str">
        <f>TEXT(   (SUMPRODUCT( ((LMPMain!$H$9:$H$1000)=$E43)*((LMPMain!$J$9:$J$1000)=$F43)*((LMPMain!$O$9:$O$1000)=$C43)*(LMPMain!R$9:R$1000) ) +  ( SUMPRODUCT( ((Adders!$D$13:$D$101)=$E43)*((Adders!$E$13:$E$101)=$F43)*(Adders!F$13:F$101)) + VLOOKUP($H43,Adders!$B$5:$G$8,L$11,FALSE)  +  OH!$D$2 ) * IF($D43="NJ",1.07,1))/$L$10, CHOOSE($M$10,$L$9,$M$9) )</f>
        <v xml:space="preserve"> 18.95 </v>
      </c>
      <c r="M43" s="176" t="str">
        <f>TEXT(   (SUMPRODUCT( ((LMPMain!$H$9:$H$1000)=$E43)*((LMPMain!$J$9:$J$1000)=$F43)*((LMPMain!$O$9:$O$1000)=$C43)*(LMPMain!S$9:S$1000) ) +  ( SUMPRODUCT( ((Adders!$D$13:$D$101)=$E43)*((Adders!$E$13:$E$101)=$F43)*(Adders!G$13:G$101)) + VLOOKUP($H43,Adders!$B$5:$G$8,M$11,FALSE)  +  OH!$D$2 ) * IF($D43="NJ",1.07,1))/$L$10, CHOOSE($M$10,$L$9,$M$9) )</f>
        <v xml:space="preserve"> 19.39 </v>
      </c>
      <c r="N43" s="177" t="str">
        <f>TEXT(   (SUMPRODUCT( ((LMPMain!$H$9:$H$1000)=$E43)*((LMPMain!$J$9:$J$1000)=$F43)*((LMPMain!$O$9:$O$1000)=$C43)*(LMPMain!T$9:T$1000) ) +  ( SUMPRODUCT( ((Adders!$D$13:$D$101)=$E43)*((Adders!$E$13:$E$101)=$F43)*(Adders!H$13:H$101)) + VLOOKUP($H43,Adders!$B$5:$G$8,N$11,FALSE)  +  OH!$D$2 ) * IF($D43="NJ",1.07,1))/$L$10, CHOOSE($M$10,$L$9,$M$9) )</f>
        <v xml:space="preserve"> 20.45 </v>
      </c>
      <c r="O43" s="112"/>
    </row>
    <row r="44" spans="2:15" x14ac:dyDescent="0.25">
      <c r="B44" s="108"/>
      <c r="C44" s="127">
        <f>DATE(YEAR(C43),MONTH(C43)+1,0)+1</f>
        <v>42461</v>
      </c>
      <c r="D44" s="128" t="s">
        <v>20</v>
      </c>
      <c r="E44" s="129" t="s">
        <v>63</v>
      </c>
      <c r="F44" s="128" t="s">
        <v>15</v>
      </c>
      <c r="G44" s="129" t="str">
        <f t="shared" si="0"/>
        <v>General Service Small</v>
      </c>
      <c r="H44" s="130" t="s">
        <v>61</v>
      </c>
      <c r="I44" s="180" t="str">
        <f>TEXT(   (SUMPRODUCT( ((Main!$H$9:$H$1000)=$E44)*((Main!$J$9:$J$1000)=$F44)*((Main!$O$9:$O$1000)=$C44)*(Main!R$9:R$1000) ) +  ( SUMPRODUCT( ((Adders!$D$13:$D$101)=$E44)*((Adders!$E$13:$E$101)=$F44)*(Adders!G$13:G$101)) + VLOOKUP($H44,Adders!$B$5:$G$8,L$11,FALSE)  +  OH!$D$2 ) * IF($D44="NJ",1.07,1))/$L$10, CHOOSE($M$10,$L$9,$M$9) )</f>
        <v xml:space="preserve"> 69.51 </v>
      </c>
      <c r="J44" s="178" t="str">
        <f>TEXT(   (SUMPRODUCT( ((Main!$H$9:$H$1000)=$E44)*((Main!$J$9:$J$1000)=$F44)*((Main!$O$9:$O$1000)=$C44)*(Main!S$9:S$1000) ) +  ( SUMPRODUCT( ((Adders!$D$13:$D$101)=$E44)*((Adders!$E$13:$E$101)=$F44)*(Adders!H$13:H$101)) + VLOOKUP($H44,Adders!$B$5:$G$8,M$11,FALSE)  +  OH!$D$2 ) * IF($D44="NJ",1.07,1))/$L$10, CHOOSE($M$10,$L$9,$M$9) )</f>
        <v xml:space="preserve"> 69.17 </v>
      </c>
      <c r="K44" s="179" t="str">
        <f>TEXT(   (SUMPRODUCT( ((Main!$H$9:$H$1000)=$E44)*((Main!$J$9:$J$1000)=$F44)*((Main!$O$9:$O$1000)=$C44)*(Main!T$9:T$1000) ) +  ( SUMPRODUCT( ((Adders!$D$13:$D$101)=$E44)*((Adders!$E$13:$E$101)=$F44)*(Adders!I$13:I$101)) + VLOOKUP($H44,Adders!$B$5:$G$8,$N$11,FALSE)  +  OH!$D$2 ) * IF($D44="NJ",1.07,1))/$L$10, CHOOSE($M$10,$L$9,$M$9) )</f>
        <v xml:space="preserve"> 69.69 </v>
      </c>
      <c r="L44" s="180" t="str">
        <f>TEXT(   (SUMPRODUCT( ((LMPMain!$H$9:$H$1000)=$E44)*((LMPMain!$J$9:$J$1000)=$F44)*((LMPMain!$O$9:$O$1000)=$C44)*(LMPMain!R$9:R$1000) ) +  ( SUMPRODUCT( ((Adders!$D$13:$D$101)=$E44)*((Adders!$E$13:$E$101)=$F44)*(Adders!F$13:F$101)) + VLOOKUP($H44,Adders!$B$5:$G$8,L$11,FALSE)  +  OH!$D$2 ) * IF($D44="NJ",1.07,1))/$L$10, CHOOSE($M$10,$L$9,$M$9) )</f>
        <v xml:space="preserve"> 20.96 </v>
      </c>
      <c r="M44" s="178" t="str">
        <f>TEXT(   (SUMPRODUCT( ((LMPMain!$H$9:$H$1000)=$E44)*((LMPMain!$J$9:$J$1000)=$F44)*((LMPMain!$O$9:$O$1000)=$C44)*(LMPMain!S$9:S$1000) ) +  ( SUMPRODUCT( ((Adders!$D$13:$D$101)=$E44)*((Adders!$E$13:$E$101)=$F44)*(Adders!G$13:G$101)) + VLOOKUP($H44,Adders!$B$5:$G$8,M$11,FALSE)  +  OH!$D$2 ) * IF($D44="NJ",1.07,1))/$L$10, CHOOSE($M$10,$L$9,$M$9) )</f>
        <v xml:space="preserve"> 21.83 </v>
      </c>
      <c r="N44" s="179" t="str">
        <f>TEXT(   (SUMPRODUCT( ((LMPMain!$H$9:$H$1000)=$E44)*((LMPMain!$J$9:$J$1000)=$F44)*((LMPMain!$O$9:$O$1000)=$C44)*(LMPMain!T$9:T$1000) ) +  ( SUMPRODUCT( ((Adders!$D$13:$D$101)=$E44)*((Adders!$E$13:$E$101)=$F44)*(Adders!H$13:H$101)) + VLOOKUP($H44,Adders!$B$5:$G$8,N$11,FALSE)  +  OH!$D$2 ) * IF($D44="NJ",1.07,1))/$L$10, CHOOSE($M$10,$L$9,$M$9) )</f>
        <v xml:space="preserve"> 23.05 </v>
      </c>
      <c r="O44" s="112"/>
    </row>
    <row r="45" spans="2:15" x14ac:dyDescent="0.25">
      <c r="B45" s="108"/>
      <c r="C45" s="131">
        <f>+C44</f>
        <v>42461</v>
      </c>
      <c r="D45" s="132" t="s">
        <v>20</v>
      </c>
      <c r="E45" s="133" t="s">
        <v>63</v>
      </c>
      <c r="F45" s="132" t="s">
        <v>15</v>
      </c>
      <c r="G45" s="133" t="str">
        <f t="shared" si="0"/>
        <v>General Service Small</v>
      </c>
      <c r="H45" s="134" t="s">
        <v>62</v>
      </c>
      <c r="I45" s="172" t="str">
        <f>TEXT(   (SUMPRODUCT( ((Main!$H$9:$H$1000)=$E45)*((Main!$J$9:$J$1000)=$F45)*((Main!$O$9:$O$1000)=$C45)*(Main!R$9:R$1000) ) +  ( SUMPRODUCT( ((Adders!$D$13:$D$101)=$E45)*((Adders!$E$13:$E$101)=$F45)*(Adders!G$13:G$101)) + VLOOKUP($H45,Adders!$B$5:$G$8,L$11,FALSE)  +  OH!$D$2 ) * IF($D45="NJ",1.07,1))/$L$10, CHOOSE($M$10,$L$9,$M$9) )</f>
        <v xml:space="preserve"> 67.91 </v>
      </c>
      <c r="J45" s="173" t="str">
        <f>TEXT(   (SUMPRODUCT( ((Main!$H$9:$H$1000)=$E45)*((Main!$J$9:$J$1000)=$F45)*((Main!$O$9:$O$1000)=$C45)*(Main!S$9:S$1000) ) +  ( SUMPRODUCT( ((Adders!$D$13:$D$101)=$E45)*((Adders!$E$13:$E$101)=$F45)*(Adders!H$13:H$101)) + VLOOKUP($H45,Adders!$B$5:$G$8,M$11,FALSE)  +  OH!$D$2 ) * IF($D45="NJ",1.07,1))/$L$10, CHOOSE($M$10,$L$9,$M$9) )</f>
        <v xml:space="preserve"> 67.57 </v>
      </c>
      <c r="K45" s="174" t="str">
        <f>TEXT(   (SUMPRODUCT( ((Main!$H$9:$H$1000)=$E45)*((Main!$J$9:$J$1000)=$F45)*((Main!$O$9:$O$1000)=$C45)*(Main!T$9:T$1000) ) +  ( SUMPRODUCT( ((Adders!$D$13:$D$101)=$E45)*((Adders!$E$13:$E$101)=$F45)*(Adders!I$13:I$101)) + VLOOKUP($H45,Adders!$B$5:$G$8,$N$11,FALSE)  +  OH!$D$2 ) * IF($D45="NJ",1.07,1))/$L$10, CHOOSE($M$10,$L$9,$M$9) )</f>
        <v xml:space="preserve"> 68.09 </v>
      </c>
      <c r="L45" s="172" t="str">
        <f>TEXT(   (SUMPRODUCT( ((LMPMain!$H$9:$H$1000)=$E45)*((LMPMain!$J$9:$J$1000)=$F45)*((LMPMain!$O$9:$O$1000)=$C45)*(LMPMain!R$9:R$1000) ) +  ( SUMPRODUCT( ((Adders!$D$13:$D$101)=$E45)*((Adders!$E$13:$E$101)=$F45)*(Adders!F$13:F$101)) + VLOOKUP($H45,Adders!$B$5:$G$8,L$11,FALSE)  +  OH!$D$2 ) * IF($D45="NJ",1.07,1))/$L$10, CHOOSE($M$10,$L$9,$M$9) )</f>
        <v xml:space="preserve"> 19.36 </v>
      </c>
      <c r="M45" s="173" t="str">
        <f>TEXT(   (SUMPRODUCT( ((LMPMain!$H$9:$H$1000)=$E45)*((LMPMain!$J$9:$J$1000)=$F45)*((LMPMain!$O$9:$O$1000)=$C45)*(LMPMain!S$9:S$1000) ) +  ( SUMPRODUCT( ((Adders!$D$13:$D$101)=$E45)*((Adders!$E$13:$E$101)=$F45)*(Adders!G$13:G$101)) + VLOOKUP($H45,Adders!$B$5:$G$8,M$11,FALSE)  +  OH!$D$2 ) * IF($D45="NJ",1.07,1))/$L$10, CHOOSE($M$10,$L$9,$M$9) )</f>
        <v xml:space="preserve"> 20.23 </v>
      </c>
      <c r="N45" s="174" t="str">
        <f>TEXT(   (SUMPRODUCT( ((LMPMain!$H$9:$H$1000)=$E45)*((LMPMain!$J$9:$J$1000)=$F45)*((LMPMain!$O$9:$O$1000)=$C45)*(LMPMain!T$9:T$1000) ) +  ( SUMPRODUCT( ((Adders!$D$13:$D$101)=$E45)*((Adders!$E$13:$E$101)=$F45)*(Adders!H$13:H$101)) + VLOOKUP($H45,Adders!$B$5:$G$8,N$11,FALSE)  +  OH!$D$2 ) * IF($D45="NJ",1.07,1))/$L$10, CHOOSE($M$10,$L$9,$M$9) )</f>
        <v xml:space="preserve"> 21.45 </v>
      </c>
      <c r="O45" s="112"/>
    </row>
    <row r="46" spans="2:15" x14ac:dyDescent="0.25">
      <c r="B46" s="108"/>
      <c r="C46" s="135">
        <f>+C45</f>
        <v>42461</v>
      </c>
      <c r="D46" s="136" t="s">
        <v>20</v>
      </c>
      <c r="E46" s="137" t="s">
        <v>63</v>
      </c>
      <c r="F46" s="136" t="s">
        <v>15</v>
      </c>
      <c r="G46" s="137" t="str">
        <f t="shared" si="0"/>
        <v>General Service Small</v>
      </c>
      <c r="H46" s="138" t="s">
        <v>690</v>
      </c>
      <c r="I46" s="175" t="str">
        <f>TEXT(   (SUMPRODUCT( ((Main!$H$9:$H$1000)=$E46)*((Main!$J$9:$J$1000)=$F46)*((Main!$O$9:$O$1000)=$C46)*(Main!R$9:R$1000) ) +  ( SUMPRODUCT( ((Adders!$D$13:$D$101)=$E46)*((Adders!$E$13:$E$101)=$F46)*(Adders!G$13:G$101)) + VLOOKUP($H46,Adders!$B$5:$G$8,L$11,FALSE)  +  OH!$D$2 ) * IF($D46="NJ",1.07,1))/$L$10, CHOOSE($M$10,$L$9,$M$9) )</f>
        <v xml:space="preserve"> 66.86 </v>
      </c>
      <c r="J46" s="176" t="str">
        <f>TEXT(   (SUMPRODUCT( ((Main!$H$9:$H$1000)=$E46)*((Main!$J$9:$J$1000)=$F46)*((Main!$O$9:$O$1000)=$C46)*(Main!S$9:S$1000) ) +  ( SUMPRODUCT( ((Adders!$D$13:$D$101)=$E46)*((Adders!$E$13:$E$101)=$F46)*(Adders!H$13:H$101)) + VLOOKUP($H46,Adders!$B$5:$G$8,M$11,FALSE)  +  OH!$D$2 ) * IF($D46="NJ",1.07,1))/$L$10, CHOOSE($M$10,$L$9,$M$9) )</f>
        <v xml:space="preserve"> 66.52 </v>
      </c>
      <c r="K46" s="177" t="str">
        <f>TEXT(   (SUMPRODUCT( ((Main!$H$9:$H$1000)=$E46)*((Main!$J$9:$J$1000)=$F46)*((Main!$O$9:$O$1000)=$C46)*(Main!T$9:T$1000) ) +  ( SUMPRODUCT( ((Adders!$D$13:$D$101)=$E46)*((Adders!$E$13:$E$101)=$F46)*(Adders!I$13:I$101)) + VLOOKUP($H46,Adders!$B$5:$G$8,$N$11,FALSE)  +  OH!$D$2 ) * IF($D46="NJ",1.07,1))/$L$10, CHOOSE($M$10,$L$9,$M$9) )</f>
        <v xml:space="preserve"> 67.04 </v>
      </c>
      <c r="L46" s="175" t="str">
        <f>TEXT(   (SUMPRODUCT( ((LMPMain!$H$9:$H$1000)=$E46)*((LMPMain!$J$9:$J$1000)=$F46)*((LMPMain!$O$9:$O$1000)=$C46)*(LMPMain!R$9:R$1000) ) +  ( SUMPRODUCT( ((Adders!$D$13:$D$101)=$E46)*((Adders!$E$13:$E$101)=$F46)*(Adders!F$13:F$101)) + VLOOKUP($H46,Adders!$B$5:$G$8,L$11,FALSE)  +  OH!$D$2 ) * IF($D46="NJ",1.07,1))/$L$10, CHOOSE($M$10,$L$9,$M$9) )</f>
        <v xml:space="preserve"> 18.31 </v>
      </c>
      <c r="M46" s="176" t="str">
        <f>TEXT(   (SUMPRODUCT( ((LMPMain!$H$9:$H$1000)=$E46)*((LMPMain!$J$9:$J$1000)=$F46)*((LMPMain!$O$9:$O$1000)=$C46)*(LMPMain!S$9:S$1000) ) +  ( SUMPRODUCT( ((Adders!$D$13:$D$101)=$E46)*((Adders!$E$13:$E$101)=$F46)*(Adders!G$13:G$101)) + VLOOKUP($H46,Adders!$B$5:$G$8,M$11,FALSE)  +  OH!$D$2 ) * IF($D46="NJ",1.07,1))/$L$10, CHOOSE($M$10,$L$9,$M$9) )</f>
        <v xml:space="preserve"> 19.18 </v>
      </c>
      <c r="N46" s="177" t="str">
        <f>TEXT(   (SUMPRODUCT( ((LMPMain!$H$9:$H$1000)=$E46)*((LMPMain!$J$9:$J$1000)=$F46)*((LMPMain!$O$9:$O$1000)=$C46)*(LMPMain!T$9:T$1000) ) +  ( SUMPRODUCT( ((Adders!$D$13:$D$101)=$E46)*((Adders!$E$13:$E$101)=$F46)*(Adders!H$13:H$101)) + VLOOKUP($H46,Adders!$B$5:$G$8,N$11,FALSE)  +  OH!$D$2 ) * IF($D46="NJ",1.07,1))/$L$10, CHOOSE($M$10,$L$9,$M$9) )</f>
        <v xml:space="preserve"> 20.40 </v>
      </c>
      <c r="O46" s="112"/>
    </row>
    <row r="47" spans="2:15" x14ac:dyDescent="0.25">
      <c r="B47" s="108"/>
      <c r="C47" s="127">
        <f>DATE(YEAR(C46),MONTH(C46)+1,0)+1</f>
        <v>42491</v>
      </c>
      <c r="D47" s="128" t="s">
        <v>20</v>
      </c>
      <c r="E47" s="129" t="s">
        <v>63</v>
      </c>
      <c r="F47" s="128" t="s">
        <v>15</v>
      </c>
      <c r="G47" s="129" t="str">
        <f t="shared" si="0"/>
        <v>General Service Small</v>
      </c>
      <c r="H47" s="130" t="s">
        <v>61</v>
      </c>
      <c r="I47" s="180" t="str">
        <f>TEXT(   (SUMPRODUCT( ((Main!$H$9:$H$1000)=$E47)*((Main!$J$9:$J$1000)=$F47)*((Main!$O$9:$O$1000)=$C47)*(Main!R$9:R$1000) ) +  ( SUMPRODUCT( ((Adders!$D$13:$D$101)=$E47)*((Adders!$E$13:$E$101)=$F47)*(Adders!G$13:G$101)) + VLOOKUP($H47,Adders!$B$5:$G$8,L$11,FALSE)  +  OH!$D$2 ) * IF($D47="NJ",1.07,1))/$L$10, CHOOSE($M$10,$L$9,$M$9) )</f>
        <v xml:space="preserve"> 68.91 </v>
      </c>
      <c r="J47" s="178" t="str">
        <f>TEXT(   (SUMPRODUCT( ((Main!$H$9:$H$1000)=$E47)*((Main!$J$9:$J$1000)=$F47)*((Main!$O$9:$O$1000)=$C47)*(Main!S$9:S$1000) ) +  ( SUMPRODUCT( ((Adders!$D$13:$D$101)=$E47)*((Adders!$E$13:$E$101)=$F47)*(Adders!H$13:H$101)) + VLOOKUP($H47,Adders!$B$5:$G$8,M$11,FALSE)  +  OH!$D$2 ) * IF($D47="NJ",1.07,1))/$L$10, CHOOSE($M$10,$L$9,$M$9) )</f>
        <v xml:space="preserve"> 68.52 </v>
      </c>
      <c r="K47" s="179" t="str">
        <f>TEXT(   (SUMPRODUCT( ((Main!$H$9:$H$1000)=$E47)*((Main!$J$9:$J$1000)=$F47)*((Main!$O$9:$O$1000)=$C47)*(Main!T$9:T$1000) ) +  ( SUMPRODUCT( ((Adders!$D$13:$D$101)=$E47)*((Adders!$E$13:$E$101)=$F47)*(Adders!I$13:I$101)) + VLOOKUP($H47,Adders!$B$5:$G$8,$N$11,FALSE)  +  OH!$D$2 ) * IF($D47="NJ",1.07,1))/$L$10, CHOOSE($M$10,$L$9,$M$9) )</f>
        <v xml:space="preserve"> 69.46 </v>
      </c>
      <c r="L47" s="180" t="str">
        <f>TEXT(   (SUMPRODUCT( ((LMPMain!$H$9:$H$1000)=$E47)*((LMPMain!$J$9:$J$1000)=$F47)*((LMPMain!$O$9:$O$1000)=$C47)*(LMPMain!R$9:R$1000) ) +  ( SUMPRODUCT( ((Adders!$D$13:$D$101)=$E47)*((Adders!$E$13:$E$101)=$F47)*(Adders!F$13:F$101)) + VLOOKUP($H47,Adders!$B$5:$G$8,L$11,FALSE)  +  OH!$D$2 ) * IF($D47="NJ",1.07,1))/$L$10, CHOOSE($M$10,$L$9,$M$9) )</f>
        <v xml:space="preserve"> 20.31 </v>
      </c>
      <c r="M47" s="178" t="str">
        <f>TEXT(   (SUMPRODUCT( ((LMPMain!$H$9:$H$1000)=$E47)*((LMPMain!$J$9:$J$1000)=$F47)*((LMPMain!$O$9:$O$1000)=$C47)*(LMPMain!S$9:S$1000) ) +  ( SUMPRODUCT( ((Adders!$D$13:$D$101)=$E47)*((Adders!$E$13:$E$101)=$F47)*(Adders!G$13:G$101)) + VLOOKUP($H47,Adders!$B$5:$G$8,M$11,FALSE)  +  OH!$D$2 ) * IF($D47="NJ",1.07,1))/$L$10, CHOOSE($M$10,$L$9,$M$9) )</f>
        <v xml:space="preserve"> 21.70 </v>
      </c>
      <c r="N47" s="179" t="str">
        <f>TEXT(   (SUMPRODUCT( ((LMPMain!$H$9:$H$1000)=$E47)*((LMPMain!$J$9:$J$1000)=$F47)*((LMPMain!$O$9:$O$1000)=$C47)*(LMPMain!T$9:T$1000) ) +  ( SUMPRODUCT( ((Adders!$D$13:$D$101)=$E47)*((Adders!$E$13:$E$101)=$F47)*(Adders!H$13:H$101)) + VLOOKUP($H47,Adders!$B$5:$G$8,N$11,FALSE)  +  OH!$D$2 ) * IF($D47="NJ",1.07,1))/$L$10, CHOOSE($M$10,$L$9,$M$9) )</f>
        <v xml:space="preserve"> 23.00 </v>
      </c>
      <c r="O47" s="112"/>
    </row>
    <row r="48" spans="2:15" x14ac:dyDescent="0.25">
      <c r="B48" s="108"/>
      <c r="C48" s="131">
        <f>+C47</f>
        <v>42491</v>
      </c>
      <c r="D48" s="132" t="s">
        <v>20</v>
      </c>
      <c r="E48" s="133" t="s">
        <v>63</v>
      </c>
      <c r="F48" s="132" t="s">
        <v>15</v>
      </c>
      <c r="G48" s="133" t="str">
        <f t="shared" si="0"/>
        <v>General Service Small</v>
      </c>
      <c r="H48" s="134" t="s">
        <v>62</v>
      </c>
      <c r="I48" s="172" t="str">
        <f>TEXT(   (SUMPRODUCT( ((Main!$H$9:$H$1000)=$E48)*((Main!$J$9:$J$1000)=$F48)*((Main!$O$9:$O$1000)=$C48)*(Main!R$9:R$1000) ) +  ( SUMPRODUCT( ((Adders!$D$13:$D$101)=$E48)*((Adders!$E$13:$E$101)=$F48)*(Adders!G$13:G$101)) + VLOOKUP($H48,Adders!$B$5:$G$8,L$11,FALSE)  +  OH!$D$2 ) * IF($D48="NJ",1.07,1))/$L$10, CHOOSE($M$10,$L$9,$M$9) )</f>
        <v xml:space="preserve"> 67.31 </v>
      </c>
      <c r="J48" s="173" t="str">
        <f>TEXT(   (SUMPRODUCT( ((Main!$H$9:$H$1000)=$E48)*((Main!$J$9:$J$1000)=$F48)*((Main!$O$9:$O$1000)=$C48)*(Main!S$9:S$1000) ) +  ( SUMPRODUCT( ((Adders!$D$13:$D$101)=$E48)*((Adders!$E$13:$E$101)=$F48)*(Adders!H$13:H$101)) + VLOOKUP($H48,Adders!$B$5:$G$8,M$11,FALSE)  +  OH!$D$2 ) * IF($D48="NJ",1.07,1))/$L$10, CHOOSE($M$10,$L$9,$M$9) )</f>
        <v xml:space="preserve"> 66.92 </v>
      </c>
      <c r="K48" s="174" t="str">
        <f>TEXT(   (SUMPRODUCT( ((Main!$H$9:$H$1000)=$E48)*((Main!$J$9:$J$1000)=$F48)*((Main!$O$9:$O$1000)=$C48)*(Main!T$9:T$1000) ) +  ( SUMPRODUCT( ((Adders!$D$13:$D$101)=$E48)*((Adders!$E$13:$E$101)=$F48)*(Adders!I$13:I$101)) + VLOOKUP($H48,Adders!$B$5:$G$8,$N$11,FALSE)  +  OH!$D$2 ) * IF($D48="NJ",1.07,1))/$L$10, CHOOSE($M$10,$L$9,$M$9) )</f>
        <v xml:space="preserve"> 67.86 </v>
      </c>
      <c r="L48" s="172" t="str">
        <f>TEXT(   (SUMPRODUCT( ((LMPMain!$H$9:$H$1000)=$E48)*((LMPMain!$J$9:$J$1000)=$F48)*((LMPMain!$O$9:$O$1000)=$C48)*(LMPMain!R$9:R$1000) ) +  ( SUMPRODUCT( ((Adders!$D$13:$D$101)=$E48)*((Adders!$E$13:$E$101)=$F48)*(Adders!F$13:F$101)) + VLOOKUP($H48,Adders!$B$5:$G$8,L$11,FALSE)  +  OH!$D$2 ) * IF($D48="NJ",1.07,1))/$L$10, CHOOSE($M$10,$L$9,$M$9) )</f>
        <v xml:space="preserve"> 18.71 </v>
      </c>
      <c r="M48" s="173" t="str">
        <f>TEXT(   (SUMPRODUCT( ((LMPMain!$H$9:$H$1000)=$E48)*((LMPMain!$J$9:$J$1000)=$F48)*((LMPMain!$O$9:$O$1000)=$C48)*(LMPMain!S$9:S$1000) ) +  ( SUMPRODUCT( ((Adders!$D$13:$D$101)=$E48)*((Adders!$E$13:$E$101)=$F48)*(Adders!G$13:G$101)) + VLOOKUP($H48,Adders!$B$5:$G$8,M$11,FALSE)  +  OH!$D$2 ) * IF($D48="NJ",1.07,1))/$L$10, CHOOSE($M$10,$L$9,$M$9) )</f>
        <v xml:space="preserve"> 20.10 </v>
      </c>
      <c r="N48" s="174" t="str">
        <f>TEXT(   (SUMPRODUCT( ((LMPMain!$H$9:$H$1000)=$E48)*((LMPMain!$J$9:$J$1000)=$F48)*((LMPMain!$O$9:$O$1000)=$C48)*(LMPMain!T$9:T$1000) ) +  ( SUMPRODUCT( ((Adders!$D$13:$D$101)=$E48)*((Adders!$E$13:$E$101)=$F48)*(Adders!H$13:H$101)) + VLOOKUP($H48,Adders!$B$5:$G$8,N$11,FALSE)  +  OH!$D$2 ) * IF($D48="NJ",1.07,1))/$L$10, CHOOSE($M$10,$L$9,$M$9) )</f>
        <v xml:space="preserve"> 21.40 </v>
      </c>
      <c r="O48" s="112"/>
    </row>
    <row r="49" spans="2:15" x14ac:dyDescent="0.25">
      <c r="B49" s="108"/>
      <c r="C49" s="135">
        <f>+C48</f>
        <v>42491</v>
      </c>
      <c r="D49" s="136" t="s">
        <v>20</v>
      </c>
      <c r="E49" s="137" t="s">
        <v>63</v>
      </c>
      <c r="F49" s="136" t="s">
        <v>15</v>
      </c>
      <c r="G49" s="137" t="str">
        <f t="shared" si="0"/>
        <v>General Service Small</v>
      </c>
      <c r="H49" s="138" t="s">
        <v>690</v>
      </c>
      <c r="I49" s="175" t="str">
        <f>TEXT(   (SUMPRODUCT( ((Main!$H$9:$H$1000)=$E49)*((Main!$J$9:$J$1000)=$F49)*((Main!$O$9:$O$1000)=$C49)*(Main!R$9:R$1000) ) +  ( SUMPRODUCT( ((Adders!$D$13:$D$101)=$E49)*((Adders!$E$13:$E$101)=$F49)*(Adders!G$13:G$101)) + VLOOKUP($H49,Adders!$B$5:$G$8,L$11,FALSE)  +  OH!$D$2 ) * IF($D49="NJ",1.07,1))/$L$10, CHOOSE($M$10,$L$9,$M$9) )</f>
        <v xml:space="preserve"> 66.26 </v>
      </c>
      <c r="J49" s="176" t="str">
        <f>TEXT(   (SUMPRODUCT( ((Main!$H$9:$H$1000)=$E49)*((Main!$J$9:$J$1000)=$F49)*((Main!$O$9:$O$1000)=$C49)*(Main!S$9:S$1000) ) +  ( SUMPRODUCT( ((Adders!$D$13:$D$101)=$E49)*((Adders!$E$13:$E$101)=$F49)*(Adders!H$13:H$101)) + VLOOKUP($H49,Adders!$B$5:$G$8,M$11,FALSE)  +  OH!$D$2 ) * IF($D49="NJ",1.07,1))/$L$10, CHOOSE($M$10,$L$9,$M$9) )</f>
        <v xml:space="preserve"> 65.87 </v>
      </c>
      <c r="K49" s="177" t="str">
        <f>TEXT(   (SUMPRODUCT( ((Main!$H$9:$H$1000)=$E49)*((Main!$J$9:$J$1000)=$F49)*((Main!$O$9:$O$1000)=$C49)*(Main!T$9:T$1000) ) +  ( SUMPRODUCT( ((Adders!$D$13:$D$101)=$E49)*((Adders!$E$13:$E$101)=$F49)*(Adders!I$13:I$101)) + VLOOKUP($H49,Adders!$B$5:$G$8,$N$11,FALSE)  +  OH!$D$2 ) * IF($D49="NJ",1.07,1))/$L$10, CHOOSE($M$10,$L$9,$M$9) )</f>
        <v xml:space="preserve"> 66.81 </v>
      </c>
      <c r="L49" s="175" t="str">
        <f>TEXT(   (SUMPRODUCT( ((LMPMain!$H$9:$H$1000)=$E49)*((LMPMain!$J$9:$J$1000)=$F49)*((LMPMain!$O$9:$O$1000)=$C49)*(LMPMain!R$9:R$1000) ) +  ( SUMPRODUCT( ((Adders!$D$13:$D$101)=$E49)*((Adders!$E$13:$E$101)=$F49)*(Adders!F$13:F$101)) + VLOOKUP($H49,Adders!$B$5:$G$8,L$11,FALSE)  +  OH!$D$2 ) * IF($D49="NJ",1.07,1))/$L$10, CHOOSE($M$10,$L$9,$M$9) )</f>
        <v xml:space="preserve"> 17.66 </v>
      </c>
      <c r="M49" s="176" t="str">
        <f>TEXT(   (SUMPRODUCT( ((LMPMain!$H$9:$H$1000)=$E49)*((LMPMain!$J$9:$J$1000)=$F49)*((LMPMain!$O$9:$O$1000)=$C49)*(LMPMain!S$9:S$1000) ) +  ( SUMPRODUCT( ((Adders!$D$13:$D$101)=$E49)*((Adders!$E$13:$E$101)=$F49)*(Adders!G$13:G$101)) + VLOOKUP($H49,Adders!$B$5:$G$8,M$11,FALSE)  +  OH!$D$2 ) * IF($D49="NJ",1.07,1))/$L$10, CHOOSE($M$10,$L$9,$M$9) )</f>
        <v xml:space="preserve"> 19.05 </v>
      </c>
      <c r="N49" s="177" t="str">
        <f>TEXT(   (SUMPRODUCT( ((LMPMain!$H$9:$H$1000)=$E49)*((LMPMain!$J$9:$J$1000)=$F49)*((LMPMain!$O$9:$O$1000)=$C49)*(LMPMain!T$9:T$1000) ) +  ( SUMPRODUCT( ((Adders!$D$13:$D$101)=$E49)*((Adders!$E$13:$E$101)=$F49)*(Adders!H$13:H$101)) + VLOOKUP($H49,Adders!$B$5:$G$8,N$11,FALSE)  +  OH!$D$2 ) * IF($D49="NJ",1.07,1))/$L$10, CHOOSE($M$10,$L$9,$M$9) )</f>
        <v xml:space="preserve"> 20.35 </v>
      </c>
      <c r="O49" s="112"/>
    </row>
    <row r="50" spans="2:15" x14ac:dyDescent="0.25">
      <c r="B50" s="108"/>
      <c r="C50" s="127">
        <f>C14</f>
        <v>42156</v>
      </c>
      <c r="D50" s="128" t="s">
        <v>20</v>
      </c>
      <c r="E50" s="129" t="s">
        <v>63</v>
      </c>
      <c r="F50" s="128" t="s">
        <v>21</v>
      </c>
      <c r="G50" s="129" t="str">
        <f>VLOOKUP(SUMPRODUCT( ((LMPMain!$H$9:$H$1000)=$E50)*((LMPMain!$J$9:$J$1000)=$F50)*((LMPMain!$O$9:$O$1000)=$C50)*(LMPMain!A$9:A$1000)),LMPMain!$A$9:$K$1000,11,FALSE)</f>
        <v>General Service Medium</v>
      </c>
      <c r="H50" s="130" t="s">
        <v>61</v>
      </c>
      <c r="I50" s="180" t="str">
        <f>TEXT(   (SUMPRODUCT( ((Main!$H$9:$H$1000)=$E50)*((Main!$J$9:$J$1000)=$F50)*((Main!$O$9:$O$1000)=$C50)*(Main!R$9:R$1000) ) +  ( SUMPRODUCT( ((Adders!$D$13:$D$101)=$E50)*((Adders!$E$13:$E$101)=$F50)*(Adders!G$13:G$101)) + VLOOKUP($H50,Adders!$B$5:$G$8,L$11,FALSE)  +  OH!$D$2 ) * IF($D50="NJ",1.07,1))/$L$10, CHOOSE($M$10,$L$9,$M$9) )</f>
        <v xml:space="preserve"> 76.75 </v>
      </c>
      <c r="J50" s="178" t="str">
        <f>TEXT(   (SUMPRODUCT( ((Main!$H$9:$H$1000)=$E50)*((Main!$J$9:$J$1000)=$F50)*((Main!$O$9:$O$1000)=$C50)*(Main!S$9:S$1000) ) +  ( SUMPRODUCT( ((Adders!$D$13:$D$101)=$E50)*((Adders!$E$13:$E$101)=$F50)*(Adders!H$13:H$101)) + VLOOKUP($H50,Adders!$B$5:$G$8,M$11,FALSE)  +  OH!$D$2 ) * IF($D50="NJ",1.07,1))/$L$10, CHOOSE($M$10,$L$9,$M$9) )</f>
        <v xml:space="preserve"> 73.80 </v>
      </c>
      <c r="K50" s="179" t="str">
        <f>TEXT(   (SUMPRODUCT( ((Main!$H$9:$H$1000)=$E50)*((Main!$J$9:$J$1000)=$F50)*((Main!$O$9:$O$1000)=$C50)*(Main!T$9:T$1000) ) +  ( SUMPRODUCT( ((Adders!$D$13:$D$101)=$E50)*((Adders!$E$13:$E$101)=$F50)*(Adders!I$13:I$101)) + VLOOKUP($H50,Adders!$B$5:$G$8,$N$11,FALSE)  +  OH!$D$2 ) * IF($D50="NJ",1.07,1))/$L$10, CHOOSE($M$10,$L$9,$M$9) )</f>
        <v xml:space="preserve"> 73.47 </v>
      </c>
      <c r="L50" s="180" t="str">
        <f>TEXT(   (SUMPRODUCT( ((LMPMain!$H$9:$H$1000)=$E50)*((LMPMain!$J$9:$J$1000)=$F50)*((LMPMain!$O$9:$O$1000)=$C50)*(LMPMain!R$9:R$1000) ) +  ( SUMPRODUCT( ((Adders!$D$13:$D$101)=$E50)*((Adders!$E$13:$E$101)=$F50)*(Adders!F$13:F$101)) + VLOOKUP($H50,Adders!$B$5:$G$8,L$11,FALSE)  +  OH!$D$2 ) * IF($D50="NJ",1.07,1))/$L$10, CHOOSE($M$10,$L$9,$M$9) )</f>
        <v xml:space="preserve"> 27.55 </v>
      </c>
      <c r="M50" s="178" t="str">
        <f>TEXT(   (SUMPRODUCT( ((LMPMain!$H$9:$H$1000)=$E50)*((LMPMain!$J$9:$J$1000)=$F50)*((LMPMain!$O$9:$O$1000)=$C50)*(LMPMain!S$9:S$1000) ) +  ( SUMPRODUCT( ((Adders!$D$13:$D$101)=$E50)*((Adders!$E$13:$E$101)=$F50)*(Adders!G$13:G$101)) + VLOOKUP($H50,Adders!$B$5:$G$8,M$11,FALSE)  +  OH!$D$2 ) * IF($D50="NJ",1.07,1))/$L$10, CHOOSE($M$10,$L$9,$M$9) )</f>
        <v xml:space="preserve"> 24.68 </v>
      </c>
      <c r="N50" s="179" t="str">
        <f>TEXT(   (SUMPRODUCT( ((LMPMain!$H$9:$H$1000)=$E50)*((LMPMain!$J$9:$J$1000)=$F50)*((LMPMain!$O$9:$O$1000)=$C50)*(LMPMain!T$9:T$1000) ) +  ( SUMPRODUCT( ((Adders!$D$13:$D$101)=$E50)*((Adders!$E$13:$E$101)=$F50)*(Adders!H$13:H$101)) + VLOOKUP($H50,Adders!$B$5:$G$8,N$11,FALSE)  +  OH!$D$2 ) * IF($D50="NJ",1.07,1))/$L$10, CHOOSE($M$10,$L$9,$M$9) )</f>
        <v xml:space="preserve"> 23.62 </v>
      </c>
      <c r="O50" s="112"/>
    </row>
    <row r="51" spans="2:15" x14ac:dyDescent="0.25">
      <c r="B51" s="108"/>
      <c r="C51" s="131">
        <f t="shared" ref="C51:C114" si="1">C15</f>
        <v>42156</v>
      </c>
      <c r="D51" s="132" t="s">
        <v>20</v>
      </c>
      <c r="E51" s="133" t="s">
        <v>63</v>
      </c>
      <c r="F51" s="132" t="s">
        <v>21</v>
      </c>
      <c r="G51" s="133" t="str">
        <f t="shared" ref="G51:G114" si="2">G50</f>
        <v>General Service Medium</v>
      </c>
      <c r="H51" s="134" t="s">
        <v>62</v>
      </c>
      <c r="I51" s="172" t="str">
        <f>TEXT(   (SUMPRODUCT( ((Main!$H$9:$H$1000)=$E51)*((Main!$J$9:$J$1000)=$F51)*((Main!$O$9:$O$1000)=$C51)*(Main!R$9:R$1000) ) +  ( SUMPRODUCT( ((Adders!$D$13:$D$101)=$E51)*((Adders!$E$13:$E$101)=$F51)*(Adders!G$13:G$101)) + VLOOKUP($H51,Adders!$B$5:$G$8,L$11,FALSE)  +  OH!$D$2 ) * IF($D51="NJ",1.07,1))/$L$10, CHOOSE($M$10,$L$9,$M$9) )</f>
        <v xml:space="preserve"> 75.15 </v>
      </c>
      <c r="J51" s="173" t="str">
        <f>TEXT(   (SUMPRODUCT( ((Main!$H$9:$H$1000)=$E51)*((Main!$J$9:$J$1000)=$F51)*((Main!$O$9:$O$1000)=$C51)*(Main!S$9:S$1000) ) +  ( SUMPRODUCT( ((Adders!$D$13:$D$101)=$E51)*((Adders!$E$13:$E$101)=$F51)*(Adders!H$13:H$101)) + VLOOKUP($H51,Adders!$B$5:$G$8,M$11,FALSE)  +  OH!$D$2 ) * IF($D51="NJ",1.07,1))/$L$10, CHOOSE($M$10,$L$9,$M$9) )</f>
        <v xml:space="preserve"> 72.20 </v>
      </c>
      <c r="K51" s="174" t="str">
        <f>TEXT(   (SUMPRODUCT( ((Main!$H$9:$H$1000)=$E51)*((Main!$J$9:$J$1000)=$F51)*((Main!$O$9:$O$1000)=$C51)*(Main!T$9:T$1000) ) +  ( SUMPRODUCT( ((Adders!$D$13:$D$101)=$E51)*((Adders!$E$13:$E$101)=$F51)*(Adders!I$13:I$101)) + VLOOKUP($H51,Adders!$B$5:$G$8,$N$11,FALSE)  +  OH!$D$2 ) * IF($D51="NJ",1.07,1))/$L$10, CHOOSE($M$10,$L$9,$M$9) )</f>
        <v xml:space="preserve"> 71.87 </v>
      </c>
      <c r="L51" s="172" t="str">
        <f>TEXT(   (SUMPRODUCT( ((LMPMain!$H$9:$H$1000)=$E51)*((LMPMain!$J$9:$J$1000)=$F51)*((LMPMain!$O$9:$O$1000)=$C51)*(LMPMain!R$9:R$1000) ) +  ( SUMPRODUCT( ((Adders!$D$13:$D$101)=$E51)*((Adders!$E$13:$E$101)=$F51)*(Adders!F$13:F$101)) + VLOOKUP($H51,Adders!$B$5:$G$8,L$11,FALSE)  +  OH!$D$2 ) * IF($D51="NJ",1.07,1))/$L$10, CHOOSE($M$10,$L$9,$M$9) )</f>
        <v xml:space="preserve"> 25.95 </v>
      </c>
      <c r="M51" s="173" t="str">
        <f>TEXT(   (SUMPRODUCT( ((LMPMain!$H$9:$H$1000)=$E51)*((LMPMain!$J$9:$J$1000)=$F51)*((LMPMain!$O$9:$O$1000)=$C51)*(LMPMain!S$9:S$1000) ) +  ( SUMPRODUCT( ((Adders!$D$13:$D$101)=$E51)*((Adders!$E$13:$E$101)=$F51)*(Adders!G$13:G$101)) + VLOOKUP($H51,Adders!$B$5:$G$8,M$11,FALSE)  +  OH!$D$2 ) * IF($D51="NJ",1.07,1))/$L$10, CHOOSE($M$10,$L$9,$M$9) )</f>
        <v xml:space="preserve"> 23.08 </v>
      </c>
      <c r="N51" s="174" t="str">
        <f>TEXT(   (SUMPRODUCT( ((LMPMain!$H$9:$H$1000)=$E51)*((LMPMain!$J$9:$J$1000)=$F51)*((LMPMain!$O$9:$O$1000)=$C51)*(LMPMain!T$9:T$1000) ) +  ( SUMPRODUCT( ((Adders!$D$13:$D$101)=$E51)*((Adders!$E$13:$E$101)=$F51)*(Adders!H$13:H$101)) + VLOOKUP($H51,Adders!$B$5:$G$8,N$11,FALSE)  +  OH!$D$2 ) * IF($D51="NJ",1.07,1))/$L$10, CHOOSE($M$10,$L$9,$M$9) )</f>
        <v xml:space="preserve"> 22.02 </v>
      </c>
      <c r="O51" s="112"/>
    </row>
    <row r="52" spans="2:15" x14ac:dyDescent="0.25">
      <c r="B52" s="108"/>
      <c r="C52" s="135">
        <f t="shared" si="1"/>
        <v>42156</v>
      </c>
      <c r="D52" s="136" t="s">
        <v>20</v>
      </c>
      <c r="E52" s="137" t="s">
        <v>63</v>
      </c>
      <c r="F52" s="136" t="s">
        <v>21</v>
      </c>
      <c r="G52" s="137" t="str">
        <f t="shared" si="2"/>
        <v>General Service Medium</v>
      </c>
      <c r="H52" s="138" t="s">
        <v>690</v>
      </c>
      <c r="I52" s="175" t="str">
        <f>TEXT(   (SUMPRODUCT( ((Main!$H$9:$H$1000)=$E52)*((Main!$J$9:$J$1000)=$F52)*((Main!$O$9:$O$1000)=$C52)*(Main!R$9:R$1000) ) +  ( SUMPRODUCT( ((Adders!$D$13:$D$101)=$E52)*((Adders!$E$13:$E$101)=$F52)*(Adders!G$13:G$101)) + VLOOKUP($H52,Adders!$B$5:$G$8,L$11,FALSE)  +  OH!$D$2 ) * IF($D52="NJ",1.07,1))/$L$10, CHOOSE($M$10,$L$9,$M$9) )</f>
        <v xml:space="preserve"> 74.10 </v>
      </c>
      <c r="J52" s="176" t="str">
        <f>TEXT(   (SUMPRODUCT( ((Main!$H$9:$H$1000)=$E52)*((Main!$J$9:$J$1000)=$F52)*((Main!$O$9:$O$1000)=$C52)*(Main!S$9:S$1000) ) +  ( SUMPRODUCT( ((Adders!$D$13:$D$101)=$E52)*((Adders!$E$13:$E$101)=$F52)*(Adders!H$13:H$101)) + VLOOKUP($H52,Adders!$B$5:$G$8,M$11,FALSE)  +  OH!$D$2 ) * IF($D52="NJ",1.07,1))/$L$10, CHOOSE($M$10,$L$9,$M$9) )</f>
        <v xml:space="preserve"> 71.15 </v>
      </c>
      <c r="K52" s="177" t="str">
        <f>TEXT(   (SUMPRODUCT( ((Main!$H$9:$H$1000)=$E52)*((Main!$J$9:$J$1000)=$F52)*((Main!$O$9:$O$1000)=$C52)*(Main!T$9:T$1000) ) +  ( SUMPRODUCT( ((Adders!$D$13:$D$101)=$E52)*((Adders!$E$13:$E$101)=$F52)*(Adders!I$13:I$101)) + VLOOKUP($H52,Adders!$B$5:$G$8,$N$11,FALSE)  +  OH!$D$2 ) * IF($D52="NJ",1.07,1))/$L$10, CHOOSE($M$10,$L$9,$M$9) )</f>
        <v xml:space="preserve"> 70.82 </v>
      </c>
      <c r="L52" s="175" t="str">
        <f>TEXT(   (SUMPRODUCT( ((LMPMain!$H$9:$H$1000)=$E52)*((LMPMain!$J$9:$J$1000)=$F52)*((LMPMain!$O$9:$O$1000)=$C52)*(LMPMain!R$9:R$1000) ) +  ( SUMPRODUCT( ((Adders!$D$13:$D$101)=$E52)*((Adders!$E$13:$E$101)=$F52)*(Adders!F$13:F$101)) + VLOOKUP($H52,Adders!$B$5:$G$8,L$11,FALSE)  +  OH!$D$2 ) * IF($D52="NJ",1.07,1))/$L$10, CHOOSE($M$10,$L$9,$M$9) )</f>
        <v xml:space="preserve"> 24.90 </v>
      </c>
      <c r="M52" s="176" t="str">
        <f>TEXT(   (SUMPRODUCT( ((LMPMain!$H$9:$H$1000)=$E52)*((LMPMain!$J$9:$J$1000)=$F52)*((LMPMain!$O$9:$O$1000)=$C52)*(LMPMain!S$9:S$1000) ) +  ( SUMPRODUCT( ((Adders!$D$13:$D$101)=$E52)*((Adders!$E$13:$E$101)=$F52)*(Adders!G$13:G$101)) + VLOOKUP($H52,Adders!$B$5:$G$8,M$11,FALSE)  +  OH!$D$2 ) * IF($D52="NJ",1.07,1))/$L$10, CHOOSE($M$10,$L$9,$M$9) )</f>
        <v xml:space="preserve"> 22.03 </v>
      </c>
      <c r="N52" s="177" t="str">
        <f>TEXT(   (SUMPRODUCT( ((LMPMain!$H$9:$H$1000)=$E52)*((LMPMain!$J$9:$J$1000)=$F52)*((LMPMain!$O$9:$O$1000)=$C52)*(LMPMain!T$9:T$1000) ) +  ( SUMPRODUCT( ((Adders!$D$13:$D$101)=$E52)*((Adders!$E$13:$E$101)=$F52)*(Adders!H$13:H$101)) + VLOOKUP($H52,Adders!$B$5:$G$8,N$11,FALSE)  +  OH!$D$2 ) * IF($D52="NJ",1.07,1))/$L$10, CHOOSE($M$10,$L$9,$M$9) )</f>
        <v xml:space="preserve"> 20.97 </v>
      </c>
      <c r="O52" s="112"/>
    </row>
    <row r="53" spans="2:15" x14ac:dyDescent="0.25">
      <c r="B53" s="108"/>
      <c r="C53" s="127">
        <f t="shared" si="1"/>
        <v>42186</v>
      </c>
      <c r="D53" s="128" t="s">
        <v>20</v>
      </c>
      <c r="E53" s="129" t="s">
        <v>63</v>
      </c>
      <c r="F53" s="128" t="s">
        <v>21</v>
      </c>
      <c r="G53" s="129" t="str">
        <f t="shared" si="2"/>
        <v>General Service Medium</v>
      </c>
      <c r="H53" s="130" t="s">
        <v>61</v>
      </c>
      <c r="I53" s="180" t="str">
        <f>TEXT(   (SUMPRODUCT( ((Main!$H$9:$H$1000)=$E53)*((Main!$J$9:$J$1000)=$F53)*((Main!$O$9:$O$1000)=$C53)*(Main!R$9:R$1000) ) +  ( SUMPRODUCT( ((Adders!$D$13:$D$101)=$E53)*((Adders!$E$13:$E$101)=$F53)*(Adders!G$13:G$101)) + VLOOKUP($H53,Adders!$B$5:$G$8,L$11,FALSE)  +  OH!$D$2 ) * IF($D53="NJ",1.07,1))/$L$10, CHOOSE($M$10,$L$9,$M$9) )</f>
        <v xml:space="preserve"> 76.30 </v>
      </c>
      <c r="J53" s="178" t="str">
        <f>TEXT(   (SUMPRODUCT( ((Main!$H$9:$H$1000)=$E53)*((Main!$J$9:$J$1000)=$F53)*((Main!$O$9:$O$1000)=$C53)*(Main!S$9:S$1000) ) +  ( SUMPRODUCT( ((Adders!$D$13:$D$101)=$E53)*((Adders!$E$13:$E$101)=$F53)*(Adders!H$13:H$101)) + VLOOKUP($H53,Adders!$B$5:$G$8,M$11,FALSE)  +  OH!$D$2 ) * IF($D53="NJ",1.07,1))/$L$10, CHOOSE($M$10,$L$9,$M$9) )</f>
        <v xml:space="preserve"> 73.44 </v>
      </c>
      <c r="K53" s="179" t="str">
        <f>TEXT(   (SUMPRODUCT( ((Main!$H$9:$H$1000)=$E53)*((Main!$J$9:$J$1000)=$F53)*((Main!$O$9:$O$1000)=$C53)*(Main!T$9:T$1000) ) +  ( SUMPRODUCT( ((Adders!$D$13:$D$101)=$E53)*((Adders!$E$13:$E$101)=$F53)*(Adders!I$13:I$101)) + VLOOKUP($H53,Adders!$B$5:$G$8,$N$11,FALSE)  +  OH!$D$2 ) * IF($D53="NJ",1.07,1))/$L$10, CHOOSE($M$10,$L$9,$M$9) )</f>
        <v xml:space="preserve"> 73.28 </v>
      </c>
      <c r="L53" s="180" t="str">
        <f>TEXT(   (SUMPRODUCT( ((LMPMain!$H$9:$H$1000)=$E53)*((LMPMain!$J$9:$J$1000)=$F53)*((LMPMain!$O$9:$O$1000)=$C53)*(LMPMain!R$9:R$1000) ) +  ( SUMPRODUCT( ((Adders!$D$13:$D$101)=$E53)*((Adders!$E$13:$E$101)=$F53)*(Adders!F$13:F$101)) + VLOOKUP($H53,Adders!$B$5:$G$8,L$11,FALSE)  +  OH!$D$2 ) * IF($D53="NJ",1.07,1))/$L$10, CHOOSE($M$10,$L$9,$M$9) )</f>
        <v xml:space="preserve"> 26.91 </v>
      </c>
      <c r="M53" s="178" t="str">
        <f>TEXT(   (SUMPRODUCT( ((LMPMain!$H$9:$H$1000)=$E53)*((LMPMain!$J$9:$J$1000)=$F53)*((LMPMain!$O$9:$O$1000)=$C53)*(LMPMain!S$9:S$1000) ) +  ( SUMPRODUCT( ((Adders!$D$13:$D$101)=$E53)*((Adders!$E$13:$E$101)=$F53)*(Adders!G$13:G$101)) + VLOOKUP($H53,Adders!$B$5:$G$8,M$11,FALSE)  +  OH!$D$2 ) * IF($D53="NJ",1.07,1))/$L$10, CHOOSE($M$10,$L$9,$M$9) )</f>
        <v xml:space="preserve"> 24.36 </v>
      </c>
      <c r="N53" s="179" t="str">
        <f>TEXT(   (SUMPRODUCT( ((LMPMain!$H$9:$H$1000)=$E53)*((LMPMain!$J$9:$J$1000)=$F53)*((LMPMain!$O$9:$O$1000)=$C53)*(LMPMain!T$9:T$1000) ) +  ( SUMPRODUCT( ((Adders!$D$13:$D$101)=$E53)*((Adders!$E$13:$E$101)=$F53)*(Adders!H$13:H$101)) + VLOOKUP($H53,Adders!$B$5:$G$8,N$11,FALSE)  +  OH!$D$2 ) * IF($D53="NJ",1.07,1))/$L$10, CHOOSE($M$10,$L$9,$M$9) )</f>
        <v xml:space="preserve"> 23.57 </v>
      </c>
      <c r="O53" s="112"/>
    </row>
    <row r="54" spans="2:15" x14ac:dyDescent="0.25">
      <c r="B54" s="108"/>
      <c r="C54" s="131">
        <f t="shared" si="1"/>
        <v>42186</v>
      </c>
      <c r="D54" s="132" t="s">
        <v>20</v>
      </c>
      <c r="E54" s="133" t="s">
        <v>63</v>
      </c>
      <c r="F54" s="132" t="s">
        <v>21</v>
      </c>
      <c r="G54" s="133" t="str">
        <f t="shared" si="2"/>
        <v>General Service Medium</v>
      </c>
      <c r="H54" s="134" t="s">
        <v>62</v>
      </c>
      <c r="I54" s="172" t="str">
        <f>TEXT(   (SUMPRODUCT( ((Main!$H$9:$H$1000)=$E54)*((Main!$J$9:$J$1000)=$F54)*((Main!$O$9:$O$1000)=$C54)*(Main!R$9:R$1000) ) +  ( SUMPRODUCT( ((Adders!$D$13:$D$101)=$E54)*((Adders!$E$13:$E$101)=$F54)*(Adders!G$13:G$101)) + VLOOKUP($H54,Adders!$B$5:$G$8,L$11,FALSE)  +  OH!$D$2 ) * IF($D54="NJ",1.07,1))/$L$10, CHOOSE($M$10,$L$9,$M$9) )</f>
        <v xml:space="preserve"> 74.70 </v>
      </c>
      <c r="J54" s="173" t="str">
        <f>TEXT(   (SUMPRODUCT( ((Main!$H$9:$H$1000)=$E54)*((Main!$J$9:$J$1000)=$F54)*((Main!$O$9:$O$1000)=$C54)*(Main!S$9:S$1000) ) +  ( SUMPRODUCT( ((Adders!$D$13:$D$101)=$E54)*((Adders!$E$13:$E$101)=$F54)*(Adders!H$13:H$101)) + VLOOKUP($H54,Adders!$B$5:$G$8,M$11,FALSE)  +  OH!$D$2 ) * IF($D54="NJ",1.07,1))/$L$10, CHOOSE($M$10,$L$9,$M$9) )</f>
        <v xml:space="preserve"> 71.84 </v>
      </c>
      <c r="K54" s="174" t="str">
        <f>TEXT(   (SUMPRODUCT( ((Main!$H$9:$H$1000)=$E54)*((Main!$J$9:$J$1000)=$F54)*((Main!$O$9:$O$1000)=$C54)*(Main!T$9:T$1000) ) +  ( SUMPRODUCT( ((Adders!$D$13:$D$101)=$E54)*((Adders!$E$13:$E$101)=$F54)*(Adders!I$13:I$101)) + VLOOKUP($H54,Adders!$B$5:$G$8,$N$11,FALSE)  +  OH!$D$2 ) * IF($D54="NJ",1.07,1))/$L$10, CHOOSE($M$10,$L$9,$M$9) )</f>
        <v xml:space="preserve"> 71.68 </v>
      </c>
      <c r="L54" s="172" t="str">
        <f>TEXT(   (SUMPRODUCT( ((LMPMain!$H$9:$H$1000)=$E54)*((LMPMain!$J$9:$J$1000)=$F54)*((LMPMain!$O$9:$O$1000)=$C54)*(LMPMain!R$9:R$1000) ) +  ( SUMPRODUCT( ((Adders!$D$13:$D$101)=$E54)*((Adders!$E$13:$E$101)=$F54)*(Adders!F$13:F$101)) + VLOOKUP($H54,Adders!$B$5:$G$8,L$11,FALSE)  +  OH!$D$2 ) * IF($D54="NJ",1.07,1))/$L$10, CHOOSE($M$10,$L$9,$M$9) )</f>
        <v xml:space="preserve"> 25.31 </v>
      </c>
      <c r="M54" s="173" t="str">
        <f>TEXT(   (SUMPRODUCT( ((LMPMain!$H$9:$H$1000)=$E54)*((LMPMain!$J$9:$J$1000)=$F54)*((LMPMain!$O$9:$O$1000)=$C54)*(LMPMain!S$9:S$1000) ) +  ( SUMPRODUCT( ((Adders!$D$13:$D$101)=$E54)*((Adders!$E$13:$E$101)=$F54)*(Adders!G$13:G$101)) + VLOOKUP($H54,Adders!$B$5:$G$8,M$11,FALSE)  +  OH!$D$2 ) * IF($D54="NJ",1.07,1))/$L$10, CHOOSE($M$10,$L$9,$M$9) )</f>
        <v xml:space="preserve"> 22.76 </v>
      </c>
      <c r="N54" s="174" t="str">
        <f>TEXT(   (SUMPRODUCT( ((LMPMain!$H$9:$H$1000)=$E54)*((LMPMain!$J$9:$J$1000)=$F54)*((LMPMain!$O$9:$O$1000)=$C54)*(LMPMain!T$9:T$1000) ) +  ( SUMPRODUCT( ((Adders!$D$13:$D$101)=$E54)*((Adders!$E$13:$E$101)=$F54)*(Adders!H$13:H$101)) + VLOOKUP($H54,Adders!$B$5:$G$8,N$11,FALSE)  +  OH!$D$2 ) * IF($D54="NJ",1.07,1))/$L$10, CHOOSE($M$10,$L$9,$M$9) )</f>
        <v xml:space="preserve"> 21.97 </v>
      </c>
      <c r="O54" s="112"/>
    </row>
    <row r="55" spans="2:15" x14ac:dyDescent="0.25">
      <c r="B55" s="108"/>
      <c r="C55" s="135">
        <f t="shared" si="1"/>
        <v>42186</v>
      </c>
      <c r="D55" s="136" t="s">
        <v>20</v>
      </c>
      <c r="E55" s="137" t="s">
        <v>63</v>
      </c>
      <c r="F55" s="136" t="s">
        <v>21</v>
      </c>
      <c r="G55" s="137" t="str">
        <f t="shared" si="2"/>
        <v>General Service Medium</v>
      </c>
      <c r="H55" s="138" t="s">
        <v>690</v>
      </c>
      <c r="I55" s="175" t="str">
        <f>TEXT(   (SUMPRODUCT( ((Main!$H$9:$H$1000)=$E55)*((Main!$J$9:$J$1000)=$F55)*((Main!$O$9:$O$1000)=$C55)*(Main!R$9:R$1000) ) +  ( SUMPRODUCT( ((Adders!$D$13:$D$101)=$E55)*((Adders!$E$13:$E$101)=$F55)*(Adders!G$13:G$101)) + VLOOKUP($H55,Adders!$B$5:$G$8,L$11,FALSE)  +  OH!$D$2 ) * IF($D55="NJ",1.07,1))/$L$10, CHOOSE($M$10,$L$9,$M$9) )</f>
        <v xml:space="preserve"> 73.65 </v>
      </c>
      <c r="J55" s="176" t="str">
        <f>TEXT(   (SUMPRODUCT( ((Main!$H$9:$H$1000)=$E55)*((Main!$J$9:$J$1000)=$F55)*((Main!$O$9:$O$1000)=$C55)*(Main!S$9:S$1000) ) +  ( SUMPRODUCT( ((Adders!$D$13:$D$101)=$E55)*((Adders!$E$13:$E$101)=$F55)*(Adders!H$13:H$101)) + VLOOKUP($H55,Adders!$B$5:$G$8,M$11,FALSE)  +  OH!$D$2 ) * IF($D55="NJ",1.07,1))/$L$10, CHOOSE($M$10,$L$9,$M$9) )</f>
        <v xml:space="preserve"> 70.79 </v>
      </c>
      <c r="K55" s="177" t="str">
        <f>TEXT(   (SUMPRODUCT( ((Main!$H$9:$H$1000)=$E55)*((Main!$J$9:$J$1000)=$F55)*((Main!$O$9:$O$1000)=$C55)*(Main!T$9:T$1000) ) +  ( SUMPRODUCT( ((Adders!$D$13:$D$101)=$E55)*((Adders!$E$13:$E$101)=$F55)*(Adders!I$13:I$101)) + VLOOKUP($H55,Adders!$B$5:$G$8,$N$11,FALSE)  +  OH!$D$2 ) * IF($D55="NJ",1.07,1))/$L$10, CHOOSE($M$10,$L$9,$M$9) )</f>
        <v xml:space="preserve"> 70.63 </v>
      </c>
      <c r="L55" s="175" t="str">
        <f>TEXT(   (SUMPRODUCT( ((LMPMain!$H$9:$H$1000)=$E55)*((LMPMain!$J$9:$J$1000)=$F55)*((LMPMain!$O$9:$O$1000)=$C55)*(LMPMain!R$9:R$1000) ) +  ( SUMPRODUCT( ((Adders!$D$13:$D$101)=$E55)*((Adders!$E$13:$E$101)=$F55)*(Adders!F$13:F$101)) + VLOOKUP($H55,Adders!$B$5:$G$8,L$11,FALSE)  +  OH!$D$2 ) * IF($D55="NJ",1.07,1))/$L$10, CHOOSE($M$10,$L$9,$M$9) )</f>
        <v xml:space="preserve"> 24.26 </v>
      </c>
      <c r="M55" s="176" t="str">
        <f>TEXT(   (SUMPRODUCT( ((LMPMain!$H$9:$H$1000)=$E55)*((LMPMain!$J$9:$J$1000)=$F55)*((LMPMain!$O$9:$O$1000)=$C55)*(LMPMain!S$9:S$1000) ) +  ( SUMPRODUCT( ((Adders!$D$13:$D$101)=$E55)*((Adders!$E$13:$E$101)=$F55)*(Adders!G$13:G$101)) + VLOOKUP($H55,Adders!$B$5:$G$8,M$11,FALSE)  +  OH!$D$2 ) * IF($D55="NJ",1.07,1))/$L$10, CHOOSE($M$10,$L$9,$M$9) )</f>
        <v xml:space="preserve"> 21.71 </v>
      </c>
      <c r="N55" s="177" t="str">
        <f>TEXT(   (SUMPRODUCT( ((LMPMain!$H$9:$H$1000)=$E55)*((LMPMain!$J$9:$J$1000)=$F55)*((LMPMain!$O$9:$O$1000)=$C55)*(LMPMain!T$9:T$1000) ) +  ( SUMPRODUCT( ((Adders!$D$13:$D$101)=$E55)*((Adders!$E$13:$E$101)=$F55)*(Adders!H$13:H$101)) + VLOOKUP($H55,Adders!$B$5:$G$8,N$11,FALSE)  +  OH!$D$2 ) * IF($D55="NJ",1.07,1))/$L$10, CHOOSE($M$10,$L$9,$M$9) )</f>
        <v xml:space="preserve"> 20.92 </v>
      </c>
      <c r="O55" s="112"/>
    </row>
    <row r="56" spans="2:15" x14ac:dyDescent="0.25">
      <c r="B56" s="108"/>
      <c r="C56" s="127">
        <f t="shared" si="1"/>
        <v>42217</v>
      </c>
      <c r="D56" s="128" t="s">
        <v>20</v>
      </c>
      <c r="E56" s="129" t="s">
        <v>63</v>
      </c>
      <c r="F56" s="128" t="s">
        <v>21</v>
      </c>
      <c r="G56" s="129" t="str">
        <f t="shared" si="2"/>
        <v>General Service Medium</v>
      </c>
      <c r="H56" s="130" t="s">
        <v>61</v>
      </c>
      <c r="I56" s="180" t="str">
        <f>TEXT(   (SUMPRODUCT( ((Main!$H$9:$H$1000)=$E56)*((Main!$J$9:$J$1000)=$F56)*((Main!$O$9:$O$1000)=$C56)*(Main!R$9:R$1000) ) +  ( SUMPRODUCT( ((Adders!$D$13:$D$101)=$E56)*((Adders!$E$13:$E$101)=$F56)*(Adders!G$13:G$101)) + VLOOKUP($H56,Adders!$B$5:$G$8,L$11,FALSE)  +  OH!$D$2 ) * IF($D56="NJ",1.07,1))/$L$10, CHOOSE($M$10,$L$9,$M$9) )</f>
        <v xml:space="preserve"> 75.70 </v>
      </c>
      <c r="J56" s="178" t="str">
        <f>TEXT(   (SUMPRODUCT( ((Main!$H$9:$H$1000)=$E56)*((Main!$J$9:$J$1000)=$F56)*((Main!$O$9:$O$1000)=$C56)*(Main!S$9:S$1000) ) +  ( SUMPRODUCT( ((Adders!$D$13:$D$101)=$E56)*((Adders!$E$13:$E$101)=$F56)*(Adders!H$13:H$101)) + VLOOKUP($H56,Adders!$B$5:$G$8,M$11,FALSE)  +  OH!$D$2 ) * IF($D56="NJ",1.07,1))/$L$10, CHOOSE($M$10,$L$9,$M$9) )</f>
        <v xml:space="preserve"> 73.56 </v>
      </c>
      <c r="K56" s="179" t="str">
        <f>TEXT(   (SUMPRODUCT( ((Main!$H$9:$H$1000)=$E56)*((Main!$J$9:$J$1000)=$F56)*((Main!$O$9:$O$1000)=$C56)*(Main!T$9:T$1000) ) +  ( SUMPRODUCT( ((Adders!$D$13:$D$101)=$E56)*((Adders!$E$13:$E$101)=$F56)*(Adders!I$13:I$101)) + VLOOKUP($H56,Adders!$B$5:$G$8,$N$11,FALSE)  +  OH!$D$2 ) * IF($D56="NJ",1.07,1))/$L$10, CHOOSE($M$10,$L$9,$M$9) )</f>
        <v xml:space="preserve"> 73.17 </v>
      </c>
      <c r="L56" s="180" t="str">
        <f>TEXT(   (SUMPRODUCT( ((LMPMain!$H$9:$H$1000)=$E56)*((LMPMain!$J$9:$J$1000)=$F56)*((LMPMain!$O$9:$O$1000)=$C56)*(LMPMain!R$9:R$1000) ) +  ( SUMPRODUCT( ((Adders!$D$13:$D$101)=$E56)*((Adders!$E$13:$E$101)=$F56)*(Adders!F$13:F$101)) + VLOOKUP($H56,Adders!$B$5:$G$8,L$11,FALSE)  +  OH!$D$2 ) * IF($D56="NJ",1.07,1))/$L$10, CHOOSE($M$10,$L$9,$M$9) )</f>
        <v xml:space="preserve"> 26.25 </v>
      </c>
      <c r="M56" s="178" t="str">
        <f>TEXT(   (SUMPRODUCT( ((LMPMain!$H$9:$H$1000)=$E56)*((LMPMain!$J$9:$J$1000)=$F56)*((LMPMain!$O$9:$O$1000)=$C56)*(LMPMain!S$9:S$1000) ) +  ( SUMPRODUCT( ((Adders!$D$13:$D$101)=$E56)*((Adders!$E$13:$E$101)=$F56)*(Adders!G$13:G$101)) + VLOOKUP($H56,Adders!$B$5:$G$8,M$11,FALSE)  +  OH!$D$2 ) * IF($D56="NJ",1.07,1))/$L$10, CHOOSE($M$10,$L$9,$M$9) )</f>
        <v xml:space="preserve"> 24.15 </v>
      </c>
      <c r="N56" s="179" t="str">
        <f>TEXT(   (SUMPRODUCT( ((LMPMain!$H$9:$H$1000)=$E56)*((LMPMain!$J$9:$J$1000)=$F56)*((LMPMain!$O$9:$O$1000)=$C56)*(LMPMain!T$9:T$1000) ) +  ( SUMPRODUCT( ((Adders!$D$13:$D$101)=$E56)*((Adders!$E$13:$E$101)=$F56)*(Adders!H$13:H$101)) + VLOOKUP($H56,Adders!$B$5:$G$8,N$11,FALSE)  +  OH!$D$2 ) * IF($D56="NJ",1.07,1))/$L$10, CHOOSE($M$10,$L$9,$M$9) )</f>
        <v xml:space="preserve"> 23.53 </v>
      </c>
      <c r="O56" s="112"/>
    </row>
    <row r="57" spans="2:15" x14ac:dyDescent="0.25">
      <c r="B57" s="108"/>
      <c r="C57" s="131">
        <f t="shared" si="1"/>
        <v>42217</v>
      </c>
      <c r="D57" s="132" t="s">
        <v>20</v>
      </c>
      <c r="E57" s="133" t="s">
        <v>63</v>
      </c>
      <c r="F57" s="132" t="s">
        <v>21</v>
      </c>
      <c r="G57" s="133" t="str">
        <f t="shared" si="2"/>
        <v>General Service Medium</v>
      </c>
      <c r="H57" s="134" t="s">
        <v>62</v>
      </c>
      <c r="I57" s="172" t="str">
        <f>TEXT(   (SUMPRODUCT( ((Main!$H$9:$H$1000)=$E57)*((Main!$J$9:$J$1000)=$F57)*((Main!$O$9:$O$1000)=$C57)*(Main!R$9:R$1000) ) +  ( SUMPRODUCT( ((Adders!$D$13:$D$101)=$E57)*((Adders!$E$13:$E$101)=$F57)*(Adders!G$13:G$101)) + VLOOKUP($H57,Adders!$B$5:$G$8,L$11,FALSE)  +  OH!$D$2 ) * IF($D57="NJ",1.07,1))/$L$10, CHOOSE($M$10,$L$9,$M$9) )</f>
        <v xml:space="preserve"> 74.10 </v>
      </c>
      <c r="J57" s="173" t="str">
        <f>TEXT(   (SUMPRODUCT( ((Main!$H$9:$H$1000)=$E57)*((Main!$J$9:$J$1000)=$F57)*((Main!$O$9:$O$1000)=$C57)*(Main!S$9:S$1000) ) +  ( SUMPRODUCT( ((Adders!$D$13:$D$101)=$E57)*((Adders!$E$13:$E$101)=$F57)*(Adders!H$13:H$101)) + VLOOKUP($H57,Adders!$B$5:$G$8,M$11,FALSE)  +  OH!$D$2 ) * IF($D57="NJ",1.07,1))/$L$10, CHOOSE($M$10,$L$9,$M$9) )</f>
        <v xml:space="preserve"> 71.96 </v>
      </c>
      <c r="K57" s="174" t="str">
        <f>TEXT(   (SUMPRODUCT( ((Main!$H$9:$H$1000)=$E57)*((Main!$J$9:$J$1000)=$F57)*((Main!$O$9:$O$1000)=$C57)*(Main!T$9:T$1000) ) +  ( SUMPRODUCT( ((Adders!$D$13:$D$101)=$E57)*((Adders!$E$13:$E$101)=$F57)*(Adders!I$13:I$101)) + VLOOKUP($H57,Adders!$B$5:$G$8,$N$11,FALSE)  +  OH!$D$2 ) * IF($D57="NJ",1.07,1))/$L$10, CHOOSE($M$10,$L$9,$M$9) )</f>
        <v xml:space="preserve"> 71.57 </v>
      </c>
      <c r="L57" s="172" t="str">
        <f>TEXT(   (SUMPRODUCT( ((LMPMain!$H$9:$H$1000)=$E57)*((LMPMain!$J$9:$J$1000)=$F57)*((LMPMain!$O$9:$O$1000)=$C57)*(LMPMain!R$9:R$1000) ) +  ( SUMPRODUCT( ((Adders!$D$13:$D$101)=$E57)*((Adders!$E$13:$E$101)=$F57)*(Adders!F$13:F$101)) + VLOOKUP($H57,Adders!$B$5:$G$8,L$11,FALSE)  +  OH!$D$2 ) * IF($D57="NJ",1.07,1))/$L$10, CHOOSE($M$10,$L$9,$M$9) )</f>
        <v xml:space="preserve"> 24.65 </v>
      </c>
      <c r="M57" s="173" t="str">
        <f>TEXT(   (SUMPRODUCT( ((LMPMain!$H$9:$H$1000)=$E57)*((LMPMain!$J$9:$J$1000)=$F57)*((LMPMain!$O$9:$O$1000)=$C57)*(LMPMain!S$9:S$1000) ) +  ( SUMPRODUCT( ((Adders!$D$13:$D$101)=$E57)*((Adders!$E$13:$E$101)=$F57)*(Adders!G$13:G$101)) + VLOOKUP($H57,Adders!$B$5:$G$8,M$11,FALSE)  +  OH!$D$2 ) * IF($D57="NJ",1.07,1))/$L$10, CHOOSE($M$10,$L$9,$M$9) )</f>
        <v xml:space="preserve"> 22.55 </v>
      </c>
      <c r="N57" s="174" t="str">
        <f>TEXT(   (SUMPRODUCT( ((LMPMain!$H$9:$H$1000)=$E57)*((LMPMain!$J$9:$J$1000)=$F57)*((LMPMain!$O$9:$O$1000)=$C57)*(LMPMain!T$9:T$1000) ) +  ( SUMPRODUCT( ((Adders!$D$13:$D$101)=$E57)*((Adders!$E$13:$E$101)=$F57)*(Adders!H$13:H$101)) + VLOOKUP($H57,Adders!$B$5:$G$8,N$11,FALSE)  +  OH!$D$2 ) * IF($D57="NJ",1.07,1))/$L$10, CHOOSE($M$10,$L$9,$M$9) )</f>
        <v xml:space="preserve"> 21.93 </v>
      </c>
      <c r="O57" s="112"/>
    </row>
    <row r="58" spans="2:15" x14ac:dyDescent="0.25">
      <c r="B58" s="108"/>
      <c r="C58" s="135">
        <f t="shared" si="1"/>
        <v>42217</v>
      </c>
      <c r="D58" s="136" t="s">
        <v>20</v>
      </c>
      <c r="E58" s="137" t="s">
        <v>63</v>
      </c>
      <c r="F58" s="136" t="s">
        <v>21</v>
      </c>
      <c r="G58" s="137" t="str">
        <f t="shared" si="2"/>
        <v>General Service Medium</v>
      </c>
      <c r="H58" s="138" t="s">
        <v>690</v>
      </c>
      <c r="I58" s="175" t="str">
        <f>TEXT(   (SUMPRODUCT( ((Main!$H$9:$H$1000)=$E58)*((Main!$J$9:$J$1000)=$F58)*((Main!$O$9:$O$1000)=$C58)*(Main!R$9:R$1000) ) +  ( SUMPRODUCT( ((Adders!$D$13:$D$101)=$E58)*((Adders!$E$13:$E$101)=$F58)*(Adders!G$13:G$101)) + VLOOKUP($H58,Adders!$B$5:$G$8,L$11,FALSE)  +  OH!$D$2 ) * IF($D58="NJ",1.07,1))/$L$10, CHOOSE($M$10,$L$9,$M$9) )</f>
        <v xml:space="preserve"> 73.05 </v>
      </c>
      <c r="J58" s="176" t="str">
        <f>TEXT(   (SUMPRODUCT( ((Main!$H$9:$H$1000)=$E58)*((Main!$J$9:$J$1000)=$F58)*((Main!$O$9:$O$1000)=$C58)*(Main!S$9:S$1000) ) +  ( SUMPRODUCT( ((Adders!$D$13:$D$101)=$E58)*((Adders!$E$13:$E$101)=$F58)*(Adders!H$13:H$101)) + VLOOKUP($H58,Adders!$B$5:$G$8,M$11,FALSE)  +  OH!$D$2 ) * IF($D58="NJ",1.07,1))/$L$10, CHOOSE($M$10,$L$9,$M$9) )</f>
        <v xml:space="preserve"> 70.91 </v>
      </c>
      <c r="K58" s="177" t="str">
        <f>TEXT(   (SUMPRODUCT( ((Main!$H$9:$H$1000)=$E58)*((Main!$J$9:$J$1000)=$F58)*((Main!$O$9:$O$1000)=$C58)*(Main!T$9:T$1000) ) +  ( SUMPRODUCT( ((Adders!$D$13:$D$101)=$E58)*((Adders!$E$13:$E$101)=$F58)*(Adders!I$13:I$101)) + VLOOKUP($H58,Adders!$B$5:$G$8,$N$11,FALSE)  +  OH!$D$2 ) * IF($D58="NJ",1.07,1))/$L$10, CHOOSE($M$10,$L$9,$M$9) )</f>
        <v xml:space="preserve"> 70.52 </v>
      </c>
      <c r="L58" s="175" t="str">
        <f>TEXT(   (SUMPRODUCT( ((LMPMain!$H$9:$H$1000)=$E58)*((LMPMain!$J$9:$J$1000)=$F58)*((LMPMain!$O$9:$O$1000)=$C58)*(LMPMain!R$9:R$1000) ) +  ( SUMPRODUCT( ((Adders!$D$13:$D$101)=$E58)*((Adders!$E$13:$E$101)=$F58)*(Adders!F$13:F$101)) + VLOOKUP($H58,Adders!$B$5:$G$8,L$11,FALSE)  +  OH!$D$2 ) * IF($D58="NJ",1.07,1))/$L$10, CHOOSE($M$10,$L$9,$M$9) )</f>
        <v xml:space="preserve"> 23.60 </v>
      </c>
      <c r="M58" s="176" t="str">
        <f>TEXT(   (SUMPRODUCT( ((LMPMain!$H$9:$H$1000)=$E58)*((LMPMain!$J$9:$J$1000)=$F58)*((LMPMain!$O$9:$O$1000)=$C58)*(LMPMain!S$9:S$1000) ) +  ( SUMPRODUCT( ((Adders!$D$13:$D$101)=$E58)*((Adders!$E$13:$E$101)=$F58)*(Adders!G$13:G$101)) + VLOOKUP($H58,Adders!$B$5:$G$8,M$11,FALSE)  +  OH!$D$2 ) * IF($D58="NJ",1.07,1))/$L$10, CHOOSE($M$10,$L$9,$M$9) )</f>
        <v xml:space="preserve"> 21.50 </v>
      </c>
      <c r="N58" s="177" t="str">
        <f>TEXT(   (SUMPRODUCT( ((LMPMain!$H$9:$H$1000)=$E58)*((LMPMain!$J$9:$J$1000)=$F58)*((LMPMain!$O$9:$O$1000)=$C58)*(LMPMain!T$9:T$1000) ) +  ( SUMPRODUCT( ((Adders!$D$13:$D$101)=$E58)*((Adders!$E$13:$E$101)=$F58)*(Adders!H$13:H$101)) + VLOOKUP($H58,Adders!$B$5:$G$8,N$11,FALSE)  +  OH!$D$2 ) * IF($D58="NJ",1.07,1))/$L$10, CHOOSE($M$10,$L$9,$M$9) )</f>
        <v xml:space="preserve"> 20.88 </v>
      </c>
      <c r="O58" s="112"/>
    </row>
    <row r="59" spans="2:15" x14ac:dyDescent="0.25">
      <c r="B59" s="108"/>
      <c r="C59" s="127">
        <f t="shared" si="1"/>
        <v>42248</v>
      </c>
      <c r="D59" s="128" t="s">
        <v>20</v>
      </c>
      <c r="E59" s="129" t="s">
        <v>63</v>
      </c>
      <c r="F59" s="128" t="s">
        <v>21</v>
      </c>
      <c r="G59" s="129" t="str">
        <f t="shared" si="2"/>
        <v>General Service Medium</v>
      </c>
      <c r="H59" s="130" t="s">
        <v>61</v>
      </c>
      <c r="I59" s="180" t="str">
        <f>TEXT(   (SUMPRODUCT( ((Main!$H$9:$H$1000)=$E59)*((Main!$J$9:$J$1000)=$F59)*((Main!$O$9:$O$1000)=$C59)*(Main!R$9:R$1000) ) +  ( SUMPRODUCT( ((Adders!$D$13:$D$101)=$E59)*((Adders!$E$13:$E$101)=$F59)*(Adders!G$13:G$101)) + VLOOKUP($H59,Adders!$B$5:$G$8,L$11,FALSE)  +  OH!$D$2 ) * IF($D59="NJ",1.07,1))/$L$10, CHOOSE($M$10,$L$9,$M$9) )</f>
        <v xml:space="preserve"> 75.26 </v>
      </c>
      <c r="J59" s="178" t="str">
        <f>TEXT(   (SUMPRODUCT( ((Main!$H$9:$H$1000)=$E59)*((Main!$J$9:$J$1000)=$F59)*((Main!$O$9:$O$1000)=$C59)*(Main!S$9:S$1000) ) +  ( SUMPRODUCT( ((Adders!$D$13:$D$101)=$E59)*((Adders!$E$13:$E$101)=$F59)*(Adders!H$13:H$101)) + VLOOKUP($H59,Adders!$B$5:$G$8,M$11,FALSE)  +  OH!$D$2 ) * IF($D59="NJ",1.07,1))/$L$10, CHOOSE($M$10,$L$9,$M$9) )</f>
        <v xml:space="preserve"> 73.75 </v>
      </c>
      <c r="K59" s="179" t="str">
        <f>TEXT(   (SUMPRODUCT( ((Main!$H$9:$H$1000)=$E59)*((Main!$J$9:$J$1000)=$F59)*((Main!$O$9:$O$1000)=$C59)*(Main!T$9:T$1000) ) +  ( SUMPRODUCT( ((Adders!$D$13:$D$101)=$E59)*((Adders!$E$13:$E$101)=$F59)*(Adders!I$13:I$101)) + VLOOKUP($H59,Adders!$B$5:$G$8,$N$11,FALSE)  +  OH!$D$2 ) * IF($D59="NJ",1.07,1))/$L$10, CHOOSE($M$10,$L$9,$M$9) )</f>
        <v xml:space="preserve"> 73.11 </v>
      </c>
      <c r="L59" s="180" t="str">
        <f>TEXT(   (SUMPRODUCT( ((LMPMain!$H$9:$H$1000)=$E59)*((LMPMain!$J$9:$J$1000)=$F59)*((LMPMain!$O$9:$O$1000)=$C59)*(LMPMain!R$9:R$1000) ) +  ( SUMPRODUCT( ((Adders!$D$13:$D$101)=$E59)*((Adders!$E$13:$E$101)=$F59)*(Adders!F$13:F$101)) + VLOOKUP($H59,Adders!$B$5:$G$8,L$11,FALSE)  +  OH!$D$2 ) * IF($D59="NJ",1.07,1))/$L$10, CHOOSE($M$10,$L$9,$M$9) )</f>
        <v xml:space="preserve"> 25.56 </v>
      </c>
      <c r="M59" s="178" t="str">
        <f>TEXT(   (SUMPRODUCT( ((LMPMain!$H$9:$H$1000)=$E59)*((LMPMain!$J$9:$J$1000)=$F59)*((LMPMain!$O$9:$O$1000)=$C59)*(LMPMain!S$9:S$1000) ) +  ( SUMPRODUCT( ((Adders!$D$13:$D$101)=$E59)*((Adders!$E$13:$E$101)=$F59)*(Adders!G$13:G$101)) + VLOOKUP($H59,Adders!$B$5:$G$8,M$11,FALSE)  +  OH!$D$2 ) * IF($D59="NJ",1.07,1))/$L$10, CHOOSE($M$10,$L$9,$M$9) )</f>
        <v xml:space="preserve"> 23.84 </v>
      </c>
      <c r="N59" s="179" t="str">
        <f>TEXT(   (SUMPRODUCT( ((LMPMain!$H$9:$H$1000)=$E59)*((LMPMain!$J$9:$J$1000)=$F59)*((LMPMain!$O$9:$O$1000)=$C59)*(LMPMain!T$9:T$1000) ) +  ( SUMPRODUCT( ((Adders!$D$13:$D$101)=$E59)*((Adders!$E$13:$E$101)=$F59)*(Adders!H$13:H$101)) + VLOOKUP($H59,Adders!$B$5:$G$8,N$11,FALSE)  +  OH!$D$2 ) * IF($D59="NJ",1.07,1))/$L$10, CHOOSE($M$10,$L$9,$M$9) )</f>
        <v xml:space="preserve"> 23.48 </v>
      </c>
      <c r="O59" s="112"/>
    </row>
    <row r="60" spans="2:15" x14ac:dyDescent="0.25">
      <c r="B60" s="108"/>
      <c r="C60" s="131">
        <f t="shared" si="1"/>
        <v>42248</v>
      </c>
      <c r="D60" s="132" t="s">
        <v>20</v>
      </c>
      <c r="E60" s="133" t="s">
        <v>63</v>
      </c>
      <c r="F60" s="132" t="s">
        <v>21</v>
      </c>
      <c r="G60" s="133" t="str">
        <f t="shared" si="2"/>
        <v>General Service Medium</v>
      </c>
      <c r="H60" s="134" t="s">
        <v>62</v>
      </c>
      <c r="I60" s="172" t="str">
        <f>TEXT(   (SUMPRODUCT( ((Main!$H$9:$H$1000)=$E60)*((Main!$J$9:$J$1000)=$F60)*((Main!$O$9:$O$1000)=$C60)*(Main!R$9:R$1000) ) +  ( SUMPRODUCT( ((Adders!$D$13:$D$101)=$E60)*((Adders!$E$13:$E$101)=$F60)*(Adders!G$13:G$101)) + VLOOKUP($H60,Adders!$B$5:$G$8,L$11,FALSE)  +  OH!$D$2 ) * IF($D60="NJ",1.07,1))/$L$10, CHOOSE($M$10,$L$9,$M$9) )</f>
        <v xml:space="preserve"> 73.66 </v>
      </c>
      <c r="J60" s="173" t="str">
        <f>TEXT(   (SUMPRODUCT( ((Main!$H$9:$H$1000)=$E60)*((Main!$J$9:$J$1000)=$F60)*((Main!$O$9:$O$1000)=$C60)*(Main!S$9:S$1000) ) +  ( SUMPRODUCT( ((Adders!$D$13:$D$101)=$E60)*((Adders!$E$13:$E$101)=$F60)*(Adders!H$13:H$101)) + VLOOKUP($H60,Adders!$B$5:$G$8,M$11,FALSE)  +  OH!$D$2 ) * IF($D60="NJ",1.07,1))/$L$10, CHOOSE($M$10,$L$9,$M$9) )</f>
        <v xml:space="preserve"> 72.15 </v>
      </c>
      <c r="K60" s="174" t="str">
        <f>TEXT(   (SUMPRODUCT( ((Main!$H$9:$H$1000)=$E60)*((Main!$J$9:$J$1000)=$F60)*((Main!$O$9:$O$1000)=$C60)*(Main!T$9:T$1000) ) +  ( SUMPRODUCT( ((Adders!$D$13:$D$101)=$E60)*((Adders!$E$13:$E$101)=$F60)*(Adders!I$13:I$101)) + VLOOKUP($H60,Adders!$B$5:$G$8,$N$11,FALSE)  +  OH!$D$2 ) * IF($D60="NJ",1.07,1))/$L$10, CHOOSE($M$10,$L$9,$M$9) )</f>
        <v xml:space="preserve"> 71.51 </v>
      </c>
      <c r="L60" s="172" t="str">
        <f>TEXT(   (SUMPRODUCT( ((LMPMain!$H$9:$H$1000)=$E60)*((LMPMain!$J$9:$J$1000)=$F60)*((LMPMain!$O$9:$O$1000)=$C60)*(LMPMain!R$9:R$1000) ) +  ( SUMPRODUCT( ((Adders!$D$13:$D$101)=$E60)*((Adders!$E$13:$E$101)=$F60)*(Adders!F$13:F$101)) + VLOOKUP($H60,Adders!$B$5:$G$8,L$11,FALSE)  +  OH!$D$2 ) * IF($D60="NJ",1.07,1))/$L$10, CHOOSE($M$10,$L$9,$M$9) )</f>
        <v xml:space="preserve"> 23.96 </v>
      </c>
      <c r="M60" s="173" t="str">
        <f>TEXT(   (SUMPRODUCT( ((LMPMain!$H$9:$H$1000)=$E60)*((LMPMain!$J$9:$J$1000)=$F60)*((LMPMain!$O$9:$O$1000)=$C60)*(LMPMain!S$9:S$1000) ) +  ( SUMPRODUCT( ((Adders!$D$13:$D$101)=$E60)*((Adders!$E$13:$E$101)=$F60)*(Adders!G$13:G$101)) + VLOOKUP($H60,Adders!$B$5:$G$8,M$11,FALSE)  +  OH!$D$2 ) * IF($D60="NJ",1.07,1))/$L$10, CHOOSE($M$10,$L$9,$M$9) )</f>
        <v xml:space="preserve"> 22.24 </v>
      </c>
      <c r="N60" s="174" t="str">
        <f>TEXT(   (SUMPRODUCT( ((LMPMain!$H$9:$H$1000)=$E60)*((LMPMain!$J$9:$J$1000)=$F60)*((LMPMain!$O$9:$O$1000)=$C60)*(LMPMain!T$9:T$1000) ) +  ( SUMPRODUCT( ((Adders!$D$13:$D$101)=$E60)*((Adders!$E$13:$E$101)=$F60)*(Adders!H$13:H$101)) + VLOOKUP($H60,Adders!$B$5:$G$8,N$11,FALSE)  +  OH!$D$2 ) * IF($D60="NJ",1.07,1))/$L$10, CHOOSE($M$10,$L$9,$M$9) )</f>
        <v xml:space="preserve"> 21.88 </v>
      </c>
      <c r="O60" s="112"/>
    </row>
    <row r="61" spans="2:15" x14ac:dyDescent="0.25">
      <c r="B61" s="108"/>
      <c r="C61" s="135">
        <f t="shared" si="1"/>
        <v>42248</v>
      </c>
      <c r="D61" s="136" t="s">
        <v>20</v>
      </c>
      <c r="E61" s="137" t="s">
        <v>63</v>
      </c>
      <c r="F61" s="136" t="s">
        <v>21</v>
      </c>
      <c r="G61" s="137" t="str">
        <f t="shared" si="2"/>
        <v>General Service Medium</v>
      </c>
      <c r="H61" s="138" t="s">
        <v>690</v>
      </c>
      <c r="I61" s="175" t="str">
        <f>TEXT(   (SUMPRODUCT( ((Main!$H$9:$H$1000)=$E61)*((Main!$J$9:$J$1000)=$F61)*((Main!$O$9:$O$1000)=$C61)*(Main!R$9:R$1000) ) +  ( SUMPRODUCT( ((Adders!$D$13:$D$101)=$E61)*((Adders!$E$13:$E$101)=$F61)*(Adders!G$13:G$101)) + VLOOKUP($H61,Adders!$B$5:$G$8,L$11,FALSE)  +  OH!$D$2 ) * IF($D61="NJ",1.07,1))/$L$10, CHOOSE($M$10,$L$9,$M$9) )</f>
        <v xml:space="preserve"> 72.61 </v>
      </c>
      <c r="J61" s="176" t="str">
        <f>TEXT(   (SUMPRODUCT( ((Main!$H$9:$H$1000)=$E61)*((Main!$J$9:$J$1000)=$F61)*((Main!$O$9:$O$1000)=$C61)*(Main!S$9:S$1000) ) +  ( SUMPRODUCT( ((Adders!$D$13:$D$101)=$E61)*((Adders!$E$13:$E$101)=$F61)*(Adders!H$13:H$101)) + VLOOKUP($H61,Adders!$B$5:$G$8,M$11,FALSE)  +  OH!$D$2 ) * IF($D61="NJ",1.07,1))/$L$10, CHOOSE($M$10,$L$9,$M$9) )</f>
        <v xml:space="preserve"> 71.10 </v>
      </c>
      <c r="K61" s="177" t="str">
        <f>TEXT(   (SUMPRODUCT( ((Main!$H$9:$H$1000)=$E61)*((Main!$J$9:$J$1000)=$F61)*((Main!$O$9:$O$1000)=$C61)*(Main!T$9:T$1000) ) +  ( SUMPRODUCT( ((Adders!$D$13:$D$101)=$E61)*((Adders!$E$13:$E$101)=$F61)*(Adders!I$13:I$101)) + VLOOKUP($H61,Adders!$B$5:$G$8,$N$11,FALSE)  +  OH!$D$2 ) * IF($D61="NJ",1.07,1))/$L$10, CHOOSE($M$10,$L$9,$M$9) )</f>
        <v xml:space="preserve"> 70.46 </v>
      </c>
      <c r="L61" s="175" t="str">
        <f>TEXT(   (SUMPRODUCT( ((LMPMain!$H$9:$H$1000)=$E61)*((LMPMain!$J$9:$J$1000)=$F61)*((LMPMain!$O$9:$O$1000)=$C61)*(LMPMain!R$9:R$1000) ) +  ( SUMPRODUCT( ((Adders!$D$13:$D$101)=$E61)*((Adders!$E$13:$E$101)=$F61)*(Adders!F$13:F$101)) + VLOOKUP($H61,Adders!$B$5:$G$8,L$11,FALSE)  +  OH!$D$2 ) * IF($D61="NJ",1.07,1))/$L$10, CHOOSE($M$10,$L$9,$M$9) )</f>
        <v xml:space="preserve"> 22.91 </v>
      </c>
      <c r="M61" s="176" t="str">
        <f>TEXT(   (SUMPRODUCT( ((LMPMain!$H$9:$H$1000)=$E61)*((LMPMain!$J$9:$J$1000)=$F61)*((LMPMain!$O$9:$O$1000)=$C61)*(LMPMain!S$9:S$1000) ) +  ( SUMPRODUCT( ((Adders!$D$13:$D$101)=$E61)*((Adders!$E$13:$E$101)=$F61)*(Adders!G$13:G$101)) + VLOOKUP($H61,Adders!$B$5:$G$8,M$11,FALSE)  +  OH!$D$2 ) * IF($D61="NJ",1.07,1))/$L$10, CHOOSE($M$10,$L$9,$M$9) )</f>
        <v xml:space="preserve"> 21.19 </v>
      </c>
      <c r="N61" s="177" t="str">
        <f>TEXT(   (SUMPRODUCT( ((LMPMain!$H$9:$H$1000)=$E61)*((LMPMain!$J$9:$J$1000)=$F61)*((LMPMain!$O$9:$O$1000)=$C61)*(LMPMain!T$9:T$1000) ) +  ( SUMPRODUCT( ((Adders!$D$13:$D$101)=$E61)*((Adders!$E$13:$E$101)=$F61)*(Adders!H$13:H$101)) + VLOOKUP($H61,Adders!$B$5:$G$8,N$11,FALSE)  +  OH!$D$2 ) * IF($D61="NJ",1.07,1))/$L$10, CHOOSE($M$10,$L$9,$M$9) )</f>
        <v xml:space="preserve"> 20.83 </v>
      </c>
      <c r="O61" s="112"/>
    </row>
    <row r="62" spans="2:15" x14ac:dyDescent="0.25">
      <c r="B62" s="108"/>
      <c r="C62" s="127">
        <f t="shared" si="1"/>
        <v>42278</v>
      </c>
      <c r="D62" s="128" t="s">
        <v>20</v>
      </c>
      <c r="E62" s="129" t="s">
        <v>63</v>
      </c>
      <c r="F62" s="128" t="s">
        <v>21</v>
      </c>
      <c r="G62" s="129" t="str">
        <f t="shared" si="2"/>
        <v>General Service Medium</v>
      </c>
      <c r="H62" s="130" t="s">
        <v>61</v>
      </c>
      <c r="I62" s="180" t="str">
        <f>TEXT(   (SUMPRODUCT( ((Main!$H$9:$H$1000)=$E62)*((Main!$J$9:$J$1000)=$F62)*((Main!$O$9:$O$1000)=$C62)*(Main!R$9:R$1000) ) +  ( SUMPRODUCT( ((Adders!$D$13:$D$101)=$E62)*((Adders!$E$13:$E$101)=$F62)*(Adders!G$13:G$101)) + VLOOKUP($H62,Adders!$B$5:$G$8,L$11,FALSE)  +  OH!$D$2 ) * IF($D62="NJ",1.07,1))/$L$10, CHOOSE($M$10,$L$9,$M$9) )</f>
        <v xml:space="preserve"> 74.67 </v>
      </c>
      <c r="J62" s="178" t="str">
        <f>TEXT(   (SUMPRODUCT( ((Main!$H$9:$H$1000)=$E62)*((Main!$J$9:$J$1000)=$F62)*((Main!$O$9:$O$1000)=$C62)*(Main!S$9:S$1000) ) +  ( SUMPRODUCT( ((Adders!$D$13:$D$101)=$E62)*((Adders!$E$13:$E$101)=$F62)*(Adders!H$13:H$101)) + VLOOKUP($H62,Adders!$B$5:$G$8,M$11,FALSE)  +  OH!$D$2 ) * IF($D62="NJ",1.07,1))/$L$10, CHOOSE($M$10,$L$9,$M$9) )</f>
        <v xml:space="preserve"> 73.84 </v>
      </c>
      <c r="K62" s="179" t="str">
        <f>TEXT(   (SUMPRODUCT( ((Main!$H$9:$H$1000)=$E62)*((Main!$J$9:$J$1000)=$F62)*((Main!$O$9:$O$1000)=$C62)*(Main!T$9:T$1000) ) +  ( SUMPRODUCT( ((Adders!$D$13:$D$101)=$E62)*((Adders!$E$13:$E$101)=$F62)*(Adders!I$13:I$101)) + VLOOKUP($H62,Adders!$B$5:$G$8,$N$11,FALSE)  +  OH!$D$2 ) * IF($D62="NJ",1.07,1))/$L$10, CHOOSE($M$10,$L$9,$M$9) )</f>
        <v xml:space="preserve"> 72.86 </v>
      </c>
      <c r="L62" s="180" t="str">
        <f>TEXT(   (SUMPRODUCT( ((LMPMain!$H$9:$H$1000)=$E62)*((LMPMain!$J$9:$J$1000)=$F62)*((LMPMain!$O$9:$O$1000)=$C62)*(LMPMain!R$9:R$1000) ) +  ( SUMPRODUCT( ((Adders!$D$13:$D$101)=$E62)*((Adders!$E$13:$E$101)=$F62)*(Adders!F$13:F$101)) + VLOOKUP($H62,Adders!$B$5:$G$8,L$11,FALSE)  +  OH!$D$2 ) * IF($D62="NJ",1.07,1))/$L$10, CHOOSE($M$10,$L$9,$M$9) )</f>
        <v xml:space="preserve"> 24.94 </v>
      </c>
      <c r="M62" s="178" t="str">
        <f>TEXT(   (SUMPRODUCT( ((LMPMain!$H$9:$H$1000)=$E62)*((LMPMain!$J$9:$J$1000)=$F62)*((LMPMain!$O$9:$O$1000)=$C62)*(LMPMain!S$9:S$1000) ) +  ( SUMPRODUCT( ((Adders!$D$13:$D$101)=$E62)*((Adders!$E$13:$E$101)=$F62)*(Adders!G$13:G$101)) + VLOOKUP($H62,Adders!$B$5:$G$8,M$11,FALSE)  +  OH!$D$2 ) * IF($D62="NJ",1.07,1))/$L$10, CHOOSE($M$10,$L$9,$M$9) )</f>
        <v xml:space="preserve"> 23.51 </v>
      </c>
      <c r="N62" s="179" t="str">
        <f>TEXT(   (SUMPRODUCT( ((LMPMain!$H$9:$H$1000)=$E62)*((LMPMain!$J$9:$J$1000)=$F62)*((LMPMain!$O$9:$O$1000)=$C62)*(LMPMain!T$9:T$1000) ) +  ( SUMPRODUCT( ((Adders!$D$13:$D$101)=$E62)*((Adders!$E$13:$E$101)=$F62)*(Adders!H$13:H$101)) + VLOOKUP($H62,Adders!$B$5:$G$8,N$11,FALSE)  +  OH!$D$2 ) * IF($D62="NJ",1.07,1))/$L$10, CHOOSE($M$10,$L$9,$M$9) )</f>
        <v xml:space="preserve"> 23.43 </v>
      </c>
      <c r="O62" s="112"/>
    </row>
    <row r="63" spans="2:15" x14ac:dyDescent="0.25">
      <c r="B63" s="108"/>
      <c r="C63" s="131">
        <f t="shared" si="1"/>
        <v>42278</v>
      </c>
      <c r="D63" s="132" t="s">
        <v>20</v>
      </c>
      <c r="E63" s="133" t="s">
        <v>63</v>
      </c>
      <c r="F63" s="132" t="s">
        <v>21</v>
      </c>
      <c r="G63" s="133" t="str">
        <f t="shared" si="2"/>
        <v>General Service Medium</v>
      </c>
      <c r="H63" s="134" t="s">
        <v>62</v>
      </c>
      <c r="I63" s="172" t="str">
        <f>TEXT(   (SUMPRODUCT( ((Main!$H$9:$H$1000)=$E63)*((Main!$J$9:$J$1000)=$F63)*((Main!$O$9:$O$1000)=$C63)*(Main!R$9:R$1000) ) +  ( SUMPRODUCT( ((Adders!$D$13:$D$101)=$E63)*((Adders!$E$13:$E$101)=$F63)*(Adders!G$13:G$101)) + VLOOKUP($H63,Adders!$B$5:$G$8,L$11,FALSE)  +  OH!$D$2 ) * IF($D63="NJ",1.07,1))/$L$10, CHOOSE($M$10,$L$9,$M$9) )</f>
        <v xml:space="preserve"> 73.07 </v>
      </c>
      <c r="J63" s="173" t="str">
        <f>TEXT(   (SUMPRODUCT( ((Main!$H$9:$H$1000)=$E63)*((Main!$J$9:$J$1000)=$F63)*((Main!$O$9:$O$1000)=$C63)*(Main!S$9:S$1000) ) +  ( SUMPRODUCT( ((Adders!$D$13:$D$101)=$E63)*((Adders!$E$13:$E$101)=$F63)*(Adders!H$13:H$101)) + VLOOKUP($H63,Adders!$B$5:$G$8,M$11,FALSE)  +  OH!$D$2 ) * IF($D63="NJ",1.07,1))/$L$10, CHOOSE($M$10,$L$9,$M$9) )</f>
        <v xml:space="preserve"> 72.24 </v>
      </c>
      <c r="K63" s="174" t="str">
        <f>TEXT(   (SUMPRODUCT( ((Main!$H$9:$H$1000)=$E63)*((Main!$J$9:$J$1000)=$F63)*((Main!$O$9:$O$1000)=$C63)*(Main!T$9:T$1000) ) +  ( SUMPRODUCT( ((Adders!$D$13:$D$101)=$E63)*((Adders!$E$13:$E$101)=$F63)*(Adders!I$13:I$101)) + VLOOKUP($H63,Adders!$B$5:$G$8,$N$11,FALSE)  +  OH!$D$2 ) * IF($D63="NJ",1.07,1))/$L$10, CHOOSE($M$10,$L$9,$M$9) )</f>
        <v xml:space="preserve"> 71.26 </v>
      </c>
      <c r="L63" s="172" t="str">
        <f>TEXT(   (SUMPRODUCT( ((LMPMain!$H$9:$H$1000)=$E63)*((LMPMain!$J$9:$J$1000)=$F63)*((LMPMain!$O$9:$O$1000)=$C63)*(LMPMain!R$9:R$1000) ) +  ( SUMPRODUCT( ((Adders!$D$13:$D$101)=$E63)*((Adders!$E$13:$E$101)=$F63)*(Adders!F$13:F$101)) + VLOOKUP($H63,Adders!$B$5:$G$8,L$11,FALSE)  +  OH!$D$2 ) * IF($D63="NJ",1.07,1))/$L$10, CHOOSE($M$10,$L$9,$M$9) )</f>
        <v xml:space="preserve"> 23.34 </v>
      </c>
      <c r="M63" s="173" t="str">
        <f>TEXT(   (SUMPRODUCT( ((LMPMain!$H$9:$H$1000)=$E63)*((LMPMain!$J$9:$J$1000)=$F63)*((LMPMain!$O$9:$O$1000)=$C63)*(LMPMain!S$9:S$1000) ) +  ( SUMPRODUCT( ((Adders!$D$13:$D$101)=$E63)*((Adders!$E$13:$E$101)=$F63)*(Adders!G$13:G$101)) + VLOOKUP($H63,Adders!$B$5:$G$8,M$11,FALSE)  +  OH!$D$2 ) * IF($D63="NJ",1.07,1))/$L$10, CHOOSE($M$10,$L$9,$M$9) )</f>
        <v xml:space="preserve"> 21.91 </v>
      </c>
      <c r="N63" s="174" t="str">
        <f>TEXT(   (SUMPRODUCT( ((LMPMain!$H$9:$H$1000)=$E63)*((LMPMain!$J$9:$J$1000)=$F63)*((LMPMain!$O$9:$O$1000)=$C63)*(LMPMain!T$9:T$1000) ) +  ( SUMPRODUCT( ((Adders!$D$13:$D$101)=$E63)*((Adders!$E$13:$E$101)=$F63)*(Adders!H$13:H$101)) + VLOOKUP($H63,Adders!$B$5:$G$8,N$11,FALSE)  +  OH!$D$2 ) * IF($D63="NJ",1.07,1))/$L$10, CHOOSE($M$10,$L$9,$M$9) )</f>
        <v xml:space="preserve"> 21.83 </v>
      </c>
      <c r="O63" s="112"/>
    </row>
    <row r="64" spans="2:15" x14ac:dyDescent="0.25">
      <c r="B64" s="108"/>
      <c r="C64" s="135">
        <f t="shared" si="1"/>
        <v>42278</v>
      </c>
      <c r="D64" s="136" t="s">
        <v>20</v>
      </c>
      <c r="E64" s="137" t="s">
        <v>63</v>
      </c>
      <c r="F64" s="136" t="s">
        <v>21</v>
      </c>
      <c r="G64" s="137" t="str">
        <f t="shared" si="2"/>
        <v>General Service Medium</v>
      </c>
      <c r="H64" s="138" t="s">
        <v>690</v>
      </c>
      <c r="I64" s="175" t="str">
        <f>TEXT(   (SUMPRODUCT( ((Main!$H$9:$H$1000)=$E64)*((Main!$J$9:$J$1000)=$F64)*((Main!$O$9:$O$1000)=$C64)*(Main!R$9:R$1000) ) +  ( SUMPRODUCT( ((Adders!$D$13:$D$101)=$E64)*((Adders!$E$13:$E$101)=$F64)*(Adders!G$13:G$101)) + VLOOKUP($H64,Adders!$B$5:$G$8,L$11,FALSE)  +  OH!$D$2 ) * IF($D64="NJ",1.07,1))/$L$10, CHOOSE($M$10,$L$9,$M$9) )</f>
        <v xml:space="preserve"> 72.02 </v>
      </c>
      <c r="J64" s="176" t="str">
        <f>TEXT(   (SUMPRODUCT( ((Main!$H$9:$H$1000)=$E64)*((Main!$J$9:$J$1000)=$F64)*((Main!$O$9:$O$1000)=$C64)*(Main!S$9:S$1000) ) +  ( SUMPRODUCT( ((Adders!$D$13:$D$101)=$E64)*((Adders!$E$13:$E$101)=$F64)*(Adders!H$13:H$101)) + VLOOKUP($H64,Adders!$B$5:$G$8,M$11,FALSE)  +  OH!$D$2 ) * IF($D64="NJ",1.07,1))/$L$10, CHOOSE($M$10,$L$9,$M$9) )</f>
        <v xml:space="preserve"> 71.19 </v>
      </c>
      <c r="K64" s="177" t="str">
        <f>TEXT(   (SUMPRODUCT( ((Main!$H$9:$H$1000)=$E64)*((Main!$J$9:$J$1000)=$F64)*((Main!$O$9:$O$1000)=$C64)*(Main!T$9:T$1000) ) +  ( SUMPRODUCT( ((Adders!$D$13:$D$101)=$E64)*((Adders!$E$13:$E$101)=$F64)*(Adders!I$13:I$101)) + VLOOKUP($H64,Adders!$B$5:$G$8,$N$11,FALSE)  +  OH!$D$2 ) * IF($D64="NJ",1.07,1))/$L$10, CHOOSE($M$10,$L$9,$M$9) )</f>
        <v xml:space="preserve"> 70.21 </v>
      </c>
      <c r="L64" s="175" t="str">
        <f>TEXT(   (SUMPRODUCT( ((LMPMain!$H$9:$H$1000)=$E64)*((LMPMain!$J$9:$J$1000)=$F64)*((LMPMain!$O$9:$O$1000)=$C64)*(LMPMain!R$9:R$1000) ) +  ( SUMPRODUCT( ((Adders!$D$13:$D$101)=$E64)*((Adders!$E$13:$E$101)=$F64)*(Adders!F$13:F$101)) + VLOOKUP($H64,Adders!$B$5:$G$8,L$11,FALSE)  +  OH!$D$2 ) * IF($D64="NJ",1.07,1))/$L$10, CHOOSE($M$10,$L$9,$M$9) )</f>
        <v xml:space="preserve"> 22.29 </v>
      </c>
      <c r="M64" s="176" t="str">
        <f>TEXT(   (SUMPRODUCT( ((LMPMain!$H$9:$H$1000)=$E64)*((LMPMain!$J$9:$J$1000)=$F64)*((LMPMain!$O$9:$O$1000)=$C64)*(LMPMain!S$9:S$1000) ) +  ( SUMPRODUCT( ((Adders!$D$13:$D$101)=$E64)*((Adders!$E$13:$E$101)=$F64)*(Adders!G$13:G$101)) + VLOOKUP($H64,Adders!$B$5:$G$8,M$11,FALSE)  +  OH!$D$2 ) * IF($D64="NJ",1.07,1))/$L$10, CHOOSE($M$10,$L$9,$M$9) )</f>
        <v xml:space="preserve"> 20.86 </v>
      </c>
      <c r="N64" s="177" t="str">
        <f>TEXT(   (SUMPRODUCT( ((LMPMain!$H$9:$H$1000)=$E64)*((LMPMain!$J$9:$J$1000)=$F64)*((LMPMain!$O$9:$O$1000)=$C64)*(LMPMain!T$9:T$1000) ) +  ( SUMPRODUCT( ((Adders!$D$13:$D$101)=$E64)*((Adders!$E$13:$E$101)=$F64)*(Adders!H$13:H$101)) + VLOOKUP($H64,Adders!$B$5:$G$8,N$11,FALSE)  +  OH!$D$2 ) * IF($D64="NJ",1.07,1))/$L$10, CHOOSE($M$10,$L$9,$M$9) )</f>
        <v xml:space="preserve"> 20.78 </v>
      </c>
      <c r="O64" s="112"/>
    </row>
    <row r="65" spans="2:15" x14ac:dyDescent="0.25">
      <c r="B65" s="108"/>
      <c r="C65" s="127">
        <f t="shared" si="1"/>
        <v>42309</v>
      </c>
      <c r="D65" s="128" t="s">
        <v>20</v>
      </c>
      <c r="E65" s="129" t="s">
        <v>63</v>
      </c>
      <c r="F65" s="128" t="s">
        <v>21</v>
      </c>
      <c r="G65" s="129" t="str">
        <f t="shared" si="2"/>
        <v>General Service Medium</v>
      </c>
      <c r="H65" s="130" t="s">
        <v>61</v>
      </c>
      <c r="I65" s="180" t="str">
        <f>TEXT(   (SUMPRODUCT( ((Main!$H$9:$H$1000)=$E65)*((Main!$J$9:$J$1000)=$F65)*((Main!$O$9:$O$1000)=$C65)*(Main!R$9:R$1000) ) +  ( SUMPRODUCT( ((Adders!$D$13:$D$101)=$E65)*((Adders!$E$13:$E$101)=$F65)*(Adders!G$13:G$101)) + VLOOKUP($H65,Adders!$B$5:$G$8,L$11,FALSE)  +  OH!$D$2 ) * IF($D65="NJ",1.07,1))/$L$10, CHOOSE($M$10,$L$9,$M$9) )</f>
        <v xml:space="preserve"> 74.02 </v>
      </c>
      <c r="J65" s="178" t="str">
        <f>TEXT(   (SUMPRODUCT( ((Main!$H$9:$H$1000)=$E65)*((Main!$J$9:$J$1000)=$F65)*((Main!$O$9:$O$1000)=$C65)*(Main!S$9:S$1000) ) +  ( SUMPRODUCT( ((Adders!$D$13:$D$101)=$E65)*((Adders!$E$13:$E$101)=$F65)*(Adders!H$13:H$101)) + VLOOKUP($H65,Adders!$B$5:$G$8,M$11,FALSE)  +  OH!$D$2 ) * IF($D65="NJ",1.07,1))/$L$10, CHOOSE($M$10,$L$9,$M$9) )</f>
        <v xml:space="preserve"> 73.54 </v>
      </c>
      <c r="K65" s="179" t="str">
        <f>TEXT(   (SUMPRODUCT( ((Main!$H$9:$H$1000)=$E65)*((Main!$J$9:$J$1000)=$F65)*((Main!$O$9:$O$1000)=$C65)*(Main!T$9:T$1000) ) +  ( SUMPRODUCT( ((Adders!$D$13:$D$101)=$E65)*((Adders!$E$13:$E$101)=$F65)*(Adders!I$13:I$101)) + VLOOKUP($H65,Adders!$B$5:$G$8,$N$11,FALSE)  +  OH!$D$2 ) * IF($D65="NJ",1.07,1))/$L$10, CHOOSE($M$10,$L$9,$M$9) )</f>
        <v xml:space="preserve"> 72.60 </v>
      </c>
      <c r="L65" s="180" t="str">
        <f>TEXT(   (SUMPRODUCT( ((LMPMain!$H$9:$H$1000)=$E65)*((LMPMain!$J$9:$J$1000)=$F65)*((LMPMain!$O$9:$O$1000)=$C65)*(LMPMain!R$9:R$1000) ) +  ( SUMPRODUCT( ((Adders!$D$13:$D$101)=$E65)*((Adders!$E$13:$E$101)=$F65)*(Adders!F$13:F$101)) + VLOOKUP($H65,Adders!$B$5:$G$8,L$11,FALSE)  +  OH!$D$2 ) * IF($D65="NJ",1.07,1))/$L$10, CHOOSE($M$10,$L$9,$M$9) )</f>
        <v xml:space="preserve"> 24.27 </v>
      </c>
      <c r="M65" s="178" t="str">
        <f>TEXT(   (SUMPRODUCT( ((LMPMain!$H$9:$H$1000)=$E65)*((LMPMain!$J$9:$J$1000)=$F65)*((LMPMain!$O$9:$O$1000)=$C65)*(LMPMain!S$9:S$1000) ) +  ( SUMPRODUCT( ((Adders!$D$13:$D$101)=$E65)*((Adders!$E$13:$E$101)=$F65)*(Adders!G$13:G$101)) + VLOOKUP($H65,Adders!$B$5:$G$8,M$11,FALSE)  +  OH!$D$2 ) * IF($D65="NJ",1.07,1))/$L$10, CHOOSE($M$10,$L$9,$M$9) )</f>
        <v xml:space="preserve"> 23.05 </v>
      </c>
      <c r="N65" s="179" t="str">
        <f>TEXT(   (SUMPRODUCT( ((LMPMain!$H$9:$H$1000)=$E65)*((LMPMain!$J$9:$J$1000)=$F65)*((LMPMain!$O$9:$O$1000)=$C65)*(LMPMain!T$9:T$1000) ) +  ( SUMPRODUCT( ((Adders!$D$13:$D$101)=$E65)*((Adders!$E$13:$E$101)=$F65)*(Adders!H$13:H$101)) + VLOOKUP($H65,Adders!$B$5:$G$8,N$11,FALSE)  +  OH!$D$2 ) * IF($D65="NJ",1.07,1))/$L$10, CHOOSE($M$10,$L$9,$M$9) )</f>
        <v xml:space="preserve"> 23.38 </v>
      </c>
      <c r="O65" s="112"/>
    </row>
    <row r="66" spans="2:15" x14ac:dyDescent="0.25">
      <c r="B66" s="108"/>
      <c r="C66" s="131">
        <f t="shared" si="1"/>
        <v>42309</v>
      </c>
      <c r="D66" s="132" t="s">
        <v>20</v>
      </c>
      <c r="E66" s="133" t="s">
        <v>63</v>
      </c>
      <c r="F66" s="132" t="s">
        <v>21</v>
      </c>
      <c r="G66" s="133" t="str">
        <f t="shared" si="2"/>
        <v>General Service Medium</v>
      </c>
      <c r="H66" s="134" t="s">
        <v>62</v>
      </c>
      <c r="I66" s="172" t="str">
        <f>TEXT(   (SUMPRODUCT( ((Main!$H$9:$H$1000)=$E66)*((Main!$J$9:$J$1000)=$F66)*((Main!$O$9:$O$1000)=$C66)*(Main!R$9:R$1000) ) +  ( SUMPRODUCT( ((Adders!$D$13:$D$101)=$E66)*((Adders!$E$13:$E$101)=$F66)*(Adders!G$13:G$101)) + VLOOKUP($H66,Adders!$B$5:$G$8,L$11,FALSE)  +  OH!$D$2 ) * IF($D66="NJ",1.07,1))/$L$10, CHOOSE($M$10,$L$9,$M$9) )</f>
        <v xml:space="preserve"> 72.42 </v>
      </c>
      <c r="J66" s="173" t="str">
        <f>TEXT(   (SUMPRODUCT( ((Main!$H$9:$H$1000)=$E66)*((Main!$J$9:$J$1000)=$F66)*((Main!$O$9:$O$1000)=$C66)*(Main!S$9:S$1000) ) +  ( SUMPRODUCT( ((Adders!$D$13:$D$101)=$E66)*((Adders!$E$13:$E$101)=$F66)*(Adders!H$13:H$101)) + VLOOKUP($H66,Adders!$B$5:$G$8,M$11,FALSE)  +  OH!$D$2 ) * IF($D66="NJ",1.07,1))/$L$10, CHOOSE($M$10,$L$9,$M$9) )</f>
        <v xml:space="preserve"> 71.94 </v>
      </c>
      <c r="K66" s="174" t="str">
        <f>TEXT(   (SUMPRODUCT( ((Main!$H$9:$H$1000)=$E66)*((Main!$J$9:$J$1000)=$F66)*((Main!$O$9:$O$1000)=$C66)*(Main!T$9:T$1000) ) +  ( SUMPRODUCT( ((Adders!$D$13:$D$101)=$E66)*((Adders!$E$13:$E$101)=$F66)*(Adders!I$13:I$101)) + VLOOKUP($H66,Adders!$B$5:$G$8,$N$11,FALSE)  +  OH!$D$2 ) * IF($D66="NJ",1.07,1))/$L$10, CHOOSE($M$10,$L$9,$M$9) )</f>
        <v xml:space="preserve"> 71.00 </v>
      </c>
      <c r="L66" s="172" t="str">
        <f>TEXT(   (SUMPRODUCT( ((LMPMain!$H$9:$H$1000)=$E66)*((LMPMain!$J$9:$J$1000)=$F66)*((LMPMain!$O$9:$O$1000)=$C66)*(LMPMain!R$9:R$1000) ) +  ( SUMPRODUCT( ((Adders!$D$13:$D$101)=$E66)*((Adders!$E$13:$E$101)=$F66)*(Adders!F$13:F$101)) + VLOOKUP($H66,Adders!$B$5:$G$8,L$11,FALSE)  +  OH!$D$2 ) * IF($D66="NJ",1.07,1))/$L$10, CHOOSE($M$10,$L$9,$M$9) )</f>
        <v xml:space="preserve"> 22.67 </v>
      </c>
      <c r="M66" s="173" t="str">
        <f>TEXT(   (SUMPRODUCT( ((LMPMain!$H$9:$H$1000)=$E66)*((LMPMain!$J$9:$J$1000)=$F66)*((LMPMain!$O$9:$O$1000)=$C66)*(LMPMain!S$9:S$1000) ) +  ( SUMPRODUCT( ((Adders!$D$13:$D$101)=$E66)*((Adders!$E$13:$E$101)=$F66)*(Adders!G$13:G$101)) + VLOOKUP($H66,Adders!$B$5:$G$8,M$11,FALSE)  +  OH!$D$2 ) * IF($D66="NJ",1.07,1))/$L$10, CHOOSE($M$10,$L$9,$M$9) )</f>
        <v xml:space="preserve"> 21.45 </v>
      </c>
      <c r="N66" s="174" t="str">
        <f>TEXT(   (SUMPRODUCT( ((LMPMain!$H$9:$H$1000)=$E66)*((LMPMain!$J$9:$J$1000)=$F66)*((LMPMain!$O$9:$O$1000)=$C66)*(LMPMain!T$9:T$1000) ) +  ( SUMPRODUCT( ((Adders!$D$13:$D$101)=$E66)*((Adders!$E$13:$E$101)=$F66)*(Adders!H$13:H$101)) + VLOOKUP($H66,Adders!$B$5:$G$8,N$11,FALSE)  +  OH!$D$2 ) * IF($D66="NJ",1.07,1))/$L$10, CHOOSE($M$10,$L$9,$M$9) )</f>
        <v xml:space="preserve"> 21.78 </v>
      </c>
      <c r="O66" s="112"/>
    </row>
    <row r="67" spans="2:15" x14ac:dyDescent="0.25">
      <c r="B67" s="108"/>
      <c r="C67" s="135">
        <f t="shared" si="1"/>
        <v>42309</v>
      </c>
      <c r="D67" s="136" t="s">
        <v>20</v>
      </c>
      <c r="E67" s="137" t="s">
        <v>63</v>
      </c>
      <c r="F67" s="136" t="s">
        <v>21</v>
      </c>
      <c r="G67" s="137" t="str">
        <f t="shared" si="2"/>
        <v>General Service Medium</v>
      </c>
      <c r="H67" s="138" t="s">
        <v>690</v>
      </c>
      <c r="I67" s="175" t="str">
        <f>TEXT(   (SUMPRODUCT( ((Main!$H$9:$H$1000)=$E67)*((Main!$J$9:$J$1000)=$F67)*((Main!$O$9:$O$1000)=$C67)*(Main!R$9:R$1000) ) +  ( SUMPRODUCT( ((Adders!$D$13:$D$101)=$E67)*((Adders!$E$13:$E$101)=$F67)*(Adders!G$13:G$101)) + VLOOKUP($H67,Adders!$B$5:$G$8,L$11,FALSE)  +  OH!$D$2 ) * IF($D67="NJ",1.07,1))/$L$10, CHOOSE($M$10,$L$9,$M$9) )</f>
        <v xml:space="preserve"> 71.37 </v>
      </c>
      <c r="J67" s="176" t="str">
        <f>TEXT(   (SUMPRODUCT( ((Main!$H$9:$H$1000)=$E67)*((Main!$J$9:$J$1000)=$F67)*((Main!$O$9:$O$1000)=$C67)*(Main!S$9:S$1000) ) +  ( SUMPRODUCT( ((Adders!$D$13:$D$101)=$E67)*((Adders!$E$13:$E$101)=$F67)*(Adders!H$13:H$101)) + VLOOKUP($H67,Adders!$B$5:$G$8,M$11,FALSE)  +  OH!$D$2 ) * IF($D67="NJ",1.07,1))/$L$10, CHOOSE($M$10,$L$9,$M$9) )</f>
        <v xml:space="preserve"> 70.89 </v>
      </c>
      <c r="K67" s="177" t="str">
        <f>TEXT(   (SUMPRODUCT( ((Main!$H$9:$H$1000)=$E67)*((Main!$J$9:$J$1000)=$F67)*((Main!$O$9:$O$1000)=$C67)*(Main!T$9:T$1000) ) +  ( SUMPRODUCT( ((Adders!$D$13:$D$101)=$E67)*((Adders!$E$13:$E$101)=$F67)*(Adders!I$13:I$101)) + VLOOKUP($H67,Adders!$B$5:$G$8,$N$11,FALSE)  +  OH!$D$2 ) * IF($D67="NJ",1.07,1))/$L$10, CHOOSE($M$10,$L$9,$M$9) )</f>
        <v xml:space="preserve"> 69.95 </v>
      </c>
      <c r="L67" s="175" t="str">
        <f>TEXT(   (SUMPRODUCT( ((LMPMain!$H$9:$H$1000)=$E67)*((LMPMain!$J$9:$J$1000)=$F67)*((LMPMain!$O$9:$O$1000)=$C67)*(LMPMain!R$9:R$1000) ) +  ( SUMPRODUCT( ((Adders!$D$13:$D$101)=$E67)*((Adders!$E$13:$E$101)=$F67)*(Adders!F$13:F$101)) + VLOOKUP($H67,Adders!$B$5:$G$8,L$11,FALSE)  +  OH!$D$2 ) * IF($D67="NJ",1.07,1))/$L$10, CHOOSE($M$10,$L$9,$M$9) )</f>
        <v xml:space="preserve"> 21.62 </v>
      </c>
      <c r="M67" s="176" t="str">
        <f>TEXT(   (SUMPRODUCT( ((LMPMain!$H$9:$H$1000)=$E67)*((LMPMain!$J$9:$J$1000)=$F67)*((LMPMain!$O$9:$O$1000)=$C67)*(LMPMain!S$9:S$1000) ) +  ( SUMPRODUCT( ((Adders!$D$13:$D$101)=$E67)*((Adders!$E$13:$E$101)=$F67)*(Adders!G$13:G$101)) + VLOOKUP($H67,Adders!$B$5:$G$8,M$11,FALSE)  +  OH!$D$2 ) * IF($D67="NJ",1.07,1))/$L$10, CHOOSE($M$10,$L$9,$M$9) )</f>
        <v xml:space="preserve"> 20.40 </v>
      </c>
      <c r="N67" s="177" t="str">
        <f>TEXT(   (SUMPRODUCT( ((LMPMain!$H$9:$H$1000)=$E67)*((LMPMain!$J$9:$J$1000)=$F67)*((LMPMain!$O$9:$O$1000)=$C67)*(LMPMain!T$9:T$1000) ) +  ( SUMPRODUCT( ((Adders!$D$13:$D$101)=$E67)*((Adders!$E$13:$E$101)=$F67)*(Adders!H$13:H$101)) + VLOOKUP($H67,Adders!$B$5:$G$8,N$11,FALSE)  +  OH!$D$2 ) * IF($D67="NJ",1.07,1))/$L$10, CHOOSE($M$10,$L$9,$M$9) )</f>
        <v xml:space="preserve"> 20.73 </v>
      </c>
      <c r="O67" s="112"/>
    </row>
    <row r="68" spans="2:15" x14ac:dyDescent="0.25">
      <c r="B68" s="108"/>
      <c r="C68" s="127">
        <f t="shared" si="1"/>
        <v>42339</v>
      </c>
      <c r="D68" s="128" t="s">
        <v>20</v>
      </c>
      <c r="E68" s="129" t="s">
        <v>63</v>
      </c>
      <c r="F68" s="128" t="s">
        <v>21</v>
      </c>
      <c r="G68" s="129" t="str">
        <f t="shared" si="2"/>
        <v>General Service Medium</v>
      </c>
      <c r="H68" s="130" t="s">
        <v>61</v>
      </c>
      <c r="I68" s="180" t="str">
        <f>TEXT(   (SUMPRODUCT( ((Main!$H$9:$H$1000)=$E68)*((Main!$J$9:$J$1000)=$F68)*((Main!$O$9:$O$1000)=$C68)*(Main!R$9:R$1000) ) +  ( SUMPRODUCT( ((Adders!$D$13:$D$101)=$E68)*((Adders!$E$13:$E$101)=$F68)*(Adders!G$13:G$101)) + VLOOKUP($H68,Adders!$B$5:$G$8,L$11,FALSE)  +  OH!$D$2 ) * IF($D68="NJ",1.07,1))/$L$10, CHOOSE($M$10,$L$9,$M$9) )</f>
        <v xml:space="preserve"> 73.44 </v>
      </c>
      <c r="J68" s="178" t="str">
        <f>TEXT(   (SUMPRODUCT( ((Main!$H$9:$H$1000)=$E68)*((Main!$J$9:$J$1000)=$F68)*((Main!$O$9:$O$1000)=$C68)*(Main!S$9:S$1000) ) +  ( SUMPRODUCT( ((Adders!$D$13:$D$101)=$E68)*((Adders!$E$13:$E$101)=$F68)*(Adders!H$13:H$101)) + VLOOKUP($H68,Adders!$B$5:$G$8,M$11,FALSE)  +  OH!$D$2 ) * IF($D68="NJ",1.07,1))/$L$10, CHOOSE($M$10,$L$9,$M$9) )</f>
        <v xml:space="preserve"> 73.11 </v>
      </c>
      <c r="K68" s="179" t="str">
        <f>TEXT(   (SUMPRODUCT( ((Main!$H$9:$H$1000)=$E68)*((Main!$J$9:$J$1000)=$F68)*((Main!$O$9:$O$1000)=$C68)*(Main!T$9:T$1000) ) +  ( SUMPRODUCT( ((Adders!$D$13:$D$101)=$E68)*((Adders!$E$13:$E$101)=$F68)*(Adders!I$13:I$101)) + VLOOKUP($H68,Adders!$B$5:$G$8,$N$11,FALSE)  +  OH!$D$2 ) * IF($D68="NJ",1.07,1))/$L$10, CHOOSE($M$10,$L$9,$M$9) )</f>
        <v xml:space="preserve"> 72.34 </v>
      </c>
      <c r="L68" s="180" t="str">
        <f>TEXT(   (SUMPRODUCT( ((LMPMain!$H$9:$H$1000)=$E68)*((LMPMain!$J$9:$J$1000)=$F68)*((LMPMain!$O$9:$O$1000)=$C68)*(LMPMain!R$9:R$1000) ) +  ( SUMPRODUCT( ((Adders!$D$13:$D$101)=$E68)*((Adders!$E$13:$E$101)=$F68)*(Adders!F$13:F$101)) + VLOOKUP($H68,Adders!$B$5:$G$8,L$11,FALSE)  +  OH!$D$2 ) * IF($D68="NJ",1.07,1))/$L$10, CHOOSE($M$10,$L$9,$M$9) )</f>
        <v xml:space="preserve"> 23.61 </v>
      </c>
      <c r="M68" s="178" t="str">
        <f>TEXT(   (SUMPRODUCT( ((LMPMain!$H$9:$H$1000)=$E68)*((LMPMain!$J$9:$J$1000)=$F68)*((LMPMain!$O$9:$O$1000)=$C68)*(LMPMain!S$9:S$1000) ) +  ( SUMPRODUCT( ((Adders!$D$13:$D$101)=$E68)*((Adders!$E$13:$E$101)=$F68)*(Adders!G$13:G$101)) + VLOOKUP($H68,Adders!$B$5:$G$8,M$11,FALSE)  +  OH!$D$2 ) * IF($D68="NJ",1.07,1))/$L$10, CHOOSE($M$10,$L$9,$M$9) )</f>
        <v xml:space="preserve"> 22.53 </v>
      </c>
      <c r="N68" s="179" t="str">
        <f>TEXT(   (SUMPRODUCT( ((LMPMain!$H$9:$H$1000)=$E68)*((LMPMain!$J$9:$J$1000)=$F68)*((LMPMain!$O$9:$O$1000)=$C68)*(LMPMain!T$9:T$1000) ) +  ( SUMPRODUCT( ((Adders!$D$13:$D$101)=$E68)*((Adders!$E$13:$E$101)=$F68)*(Adders!H$13:H$101)) + VLOOKUP($H68,Adders!$B$5:$G$8,N$11,FALSE)  +  OH!$D$2 ) * IF($D68="NJ",1.07,1))/$L$10, CHOOSE($M$10,$L$9,$M$9) )</f>
        <v xml:space="preserve"> 23.31 </v>
      </c>
      <c r="O68" s="112"/>
    </row>
    <row r="69" spans="2:15" x14ac:dyDescent="0.25">
      <c r="B69" s="108"/>
      <c r="C69" s="131">
        <f t="shared" si="1"/>
        <v>42339</v>
      </c>
      <c r="D69" s="132" t="s">
        <v>20</v>
      </c>
      <c r="E69" s="133" t="s">
        <v>63</v>
      </c>
      <c r="F69" s="132" t="s">
        <v>21</v>
      </c>
      <c r="G69" s="133" t="str">
        <f t="shared" si="2"/>
        <v>General Service Medium</v>
      </c>
      <c r="H69" s="134" t="s">
        <v>62</v>
      </c>
      <c r="I69" s="172" t="str">
        <f>TEXT(   (SUMPRODUCT( ((Main!$H$9:$H$1000)=$E69)*((Main!$J$9:$J$1000)=$F69)*((Main!$O$9:$O$1000)=$C69)*(Main!R$9:R$1000) ) +  ( SUMPRODUCT( ((Adders!$D$13:$D$101)=$E69)*((Adders!$E$13:$E$101)=$F69)*(Adders!G$13:G$101)) + VLOOKUP($H69,Adders!$B$5:$G$8,L$11,FALSE)  +  OH!$D$2 ) * IF($D69="NJ",1.07,1))/$L$10, CHOOSE($M$10,$L$9,$M$9) )</f>
        <v xml:space="preserve"> 71.84 </v>
      </c>
      <c r="J69" s="173" t="str">
        <f>TEXT(   (SUMPRODUCT( ((Main!$H$9:$H$1000)=$E69)*((Main!$J$9:$J$1000)=$F69)*((Main!$O$9:$O$1000)=$C69)*(Main!S$9:S$1000) ) +  ( SUMPRODUCT( ((Adders!$D$13:$D$101)=$E69)*((Adders!$E$13:$E$101)=$F69)*(Adders!H$13:H$101)) + VLOOKUP($H69,Adders!$B$5:$G$8,M$11,FALSE)  +  OH!$D$2 ) * IF($D69="NJ",1.07,1))/$L$10, CHOOSE($M$10,$L$9,$M$9) )</f>
        <v xml:space="preserve"> 71.51 </v>
      </c>
      <c r="K69" s="174" t="str">
        <f>TEXT(   (SUMPRODUCT( ((Main!$H$9:$H$1000)=$E69)*((Main!$J$9:$J$1000)=$F69)*((Main!$O$9:$O$1000)=$C69)*(Main!T$9:T$1000) ) +  ( SUMPRODUCT( ((Adders!$D$13:$D$101)=$E69)*((Adders!$E$13:$E$101)=$F69)*(Adders!I$13:I$101)) + VLOOKUP($H69,Adders!$B$5:$G$8,$N$11,FALSE)  +  OH!$D$2 ) * IF($D69="NJ",1.07,1))/$L$10, CHOOSE($M$10,$L$9,$M$9) )</f>
        <v xml:space="preserve"> 70.74 </v>
      </c>
      <c r="L69" s="172" t="str">
        <f>TEXT(   (SUMPRODUCT( ((LMPMain!$H$9:$H$1000)=$E69)*((LMPMain!$J$9:$J$1000)=$F69)*((LMPMain!$O$9:$O$1000)=$C69)*(LMPMain!R$9:R$1000) ) +  ( SUMPRODUCT( ((Adders!$D$13:$D$101)=$E69)*((Adders!$E$13:$E$101)=$F69)*(Adders!F$13:F$101)) + VLOOKUP($H69,Adders!$B$5:$G$8,L$11,FALSE)  +  OH!$D$2 ) * IF($D69="NJ",1.07,1))/$L$10, CHOOSE($M$10,$L$9,$M$9) )</f>
        <v xml:space="preserve"> 22.01 </v>
      </c>
      <c r="M69" s="173" t="str">
        <f>TEXT(   (SUMPRODUCT( ((LMPMain!$H$9:$H$1000)=$E69)*((LMPMain!$J$9:$J$1000)=$F69)*((LMPMain!$O$9:$O$1000)=$C69)*(LMPMain!S$9:S$1000) ) +  ( SUMPRODUCT( ((Adders!$D$13:$D$101)=$E69)*((Adders!$E$13:$E$101)=$F69)*(Adders!G$13:G$101)) + VLOOKUP($H69,Adders!$B$5:$G$8,M$11,FALSE)  +  OH!$D$2 ) * IF($D69="NJ",1.07,1))/$L$10, CHOOSE($M$10,$L$9,$M$9) )</f>
        <v xml:space="preserve"> 20.93 </v>
      </c>
      <c r="N69" s="174" t="str">
        <f>TEXT(   (SUMPRODUCT( ((LMPMain!$H$9:$H$1000)=$E69)*((LMPMain!$J$9:$J$1000)=$F69)*((LMPMain!$O$9:$O$1000)=$C69)*(LMPMain!T$9:T$1000) ) +  ( SUMPRODUCT( ((Adders!$D$13:$D$101)=$E69)*((Adders!$E$13:$E$101)=$F69)*(Adders!H$13:H$101)) + VLOOKUP($H69,Adders!$B$5:$G$8,N$11,FALSE)  +  OH!$D$2 ) * IF($D69="NJ",1.07,1))/$L$10, CHOOSE($M$10,$L$9,$M$9) )</f>
        <v xml:space="preserve"> 21.71 </v>
      </c>
      <c r="O69" s="112"/>
    </row>
    <row r="70" spans="2:15" x14ac:dyDescent="0.25">
      <c r="B70" s="108"/>
      <c r="C70" s="135">
        <f t="shared" si="1"/>
        <v>42339</v>
      </c>
      <c r="D70" s="136" t="s">
        <v>20</v>
      </c>
      <c r="E70" s="137" t="s">
        <v>63</v>
      </c>
      <c r="F70" s="136" t="s">
        <v>21</v>
      </c>
      <c r="G70" s="137" t="str">
        <f t="shared" si="2"/>
        <v>General Service Medium</v>
      </c>
      <c r="H70" s="138" t="s">
        <v>690</v>
      </c>
      <c r="I70" s="175" t="str">
        <f>TEXT(   (SUMPRODUCT( ((Main!$H$9:$H$1000)=$E70)*((Main!$J$9:$J$1000)=$F70)*((Main!$O$9:$O$1000)=$C70)*(Main!R$9:R$1000) ) +  ( SUMPRODUCT( ((Adders!$D$13:$D$101)=$E70)*((Adders!$E$13:$E$101)=$F70)*(Adders!G$13:G$101)) + VLOOKUP($H70,Adders!$B$5:$G$8,L$11,FALSE)  +  OH!$D$2 ) * IF($D70="NJ",1.07,1))/$L$10, CHOOSE($M$10,$L$9,$M$9) )</f>
        <v xml:space="preserve"> 70.79 </v>
      </c>
      <c r="J70" s="176" t="str">
        <f>TEXT(   (SUMPRODUCT( ((Main!$H$9:$H$1000)=$E70)*((Main!$J$9:$J$1000)=$F70)*((Main!$O$9:$O$1000)=$C70)*(Main!S$9:S$1000) ) +  ( SUMPRODUCT( ((Adders!$D$13:$D$101)=$E70)*((Adders!$E$13:$E$101)=$F70)*(Adders!H$13:H$101)) + VLOOKUP($H70,Adders!$B$5:$G$8,M$11,FALSE)  +  OH!$D$2 ) * IF($D70="NJ",1.07,1))/$L$10, CHOOSE($M$10,$L$9,$M$9) )</f>
        <v xml:space="preserve"> 70.46 </v>
      </c>
      <c r="K70" s="177" t="str">
        <f>TEXT(   (SUMPRODUCT( ((Main!$H$9:$H$1000)=$E70)*((Main!$J$9:$J$1000)=$F70)*((Main!$O$9:$O$1000)=$C70)*(Main!T$9:T$1000) ) +  ( SUMPRODUCT( ((Adders!$D$13:$D$101)=$E70)*((Adders!$E$13:$E$101)=$F70)*(Adders!I$13:I$101)) + VLOOKUP($H70,Adders!$B$5:$G$8,$N$11,FALSE)  +  OH!$D$2 ) * IF($D70="NJ",1.07,1))/$L$10, CHOOSE($M$10,$L$9,$M$9) )</f>
        <v xml:space="preserve"> 69.69 </v>
      </c>
      <c r="L70" s="175" t="str">
        <f>TEXT(   (SUMPRODUCT( ((LMPMain!$H$9:$H$1000)=$E70)*((LMPMain!$J$9:$J$1000)=$F70)*((LMPMain!$O$9:$O$1000)=$C70)*(LMPMain!R$9:R$1000) ) +  ( SUMPRODUCT( ((Adders!$D$13:$D$101)=$E70)*((Adders!$E$13:$E$101)=$F70)*(Adders!F$13:F$101)) + VLOOKUP($H70,Adders!$B$5:$G$8,L$11,FALSE)  +  OH!$D$2 ) * IF($D70="NJ",1.07,1))/$L$10, CHOOSE($M$10,$L$9,$M$9) )</f>
        <v xml:space="preserve"> 20.96 </v>
      </c>
      <c r="M70" s="176" t="str">
        <f>TEXT(   (SUMPRODUCT( ((LMPMain!$H$9:$H$1000)=$E70)*((LMPMain!$J$9:$J$1000)=$F70)*((LMPMain!$O$9:$O$1000)=$C70)*(LMPMain!S$9:S$1000) ) +  ( SUMPRODUCT( ((Adders!$D$13:$D$101)=$E70)*((Adders!$E$13:$E$101)=$F70)*(Adders!G$13:G$101)) + VLOOKUP($H70,Adders!$B$5:$G$8,M$11,FALSE)  +  OH!$D$2 ) * IF($D70="NJ",1.07,1))/$L$10, CHOOSE($M$10,$L$9,$M$9) )</f>
        <v xml:space="preserve"> 19.88 </v>
      </c>
      <c r="N70" s="177" t="str">
        <f>TEXT(   (SUMPRODUCT( ((LMPMain!$H$9:$H$1000)=$E70)*((LMPMain!$J$9:$J$1000)=$F70)*((LMPMain!$O$9:$O$1000)=$C70)*(LMPMain!T$9:T$1000) ) +  ( SUMPRODUCT( ((Adders!$D$13:$D$101)=$E70)*((Adders!$E$13:$E$101)=$F70)*(Adders!H$13:H$101)) + VLOOKUP($H70,Adders!$B$5:$G$8,N$11,FALSE)  +  OH!$D$2 ) * IF($D70="NJ",1.07,1))/$L$10, CHOOSE($M$10,$L$9,$M$9) )</f>
        <v xml:space="preserve"> 20.66 </v>
      </c>
      <c r="O70" s="112"/>
    </row>
    <row r="71" spans="2:15" x14ac:dyDescent="0.25">
      <c r="B71" s="108"/>
      <c r="C71" s="127">
        <f t="shared" si="1"/>
        <v>42370</v>
      </c>
      <c r="D71" s="128" t="s">
        <v>20</v>
      </c>
      <c r="E71" s="129" t="s">
        <v>63</v>
      </c>
      <c r="F71" s="128" t="s">
        <v>21</v>
      </c>
      <c r="G71" s="129" t="str">
        <f t="shared" si="2"/>
        <v>General Service Medium</v>
      </c>
      <c r="H71" s="130" t="s">
        <v>61</v>
      </c>
      <c r="I71" s="180" t="str">
        <f>TEXT(   (SUMPRODUCT( ((Main!$H$9:$H$1000)=$E71)*((Main!$J$9:$J$1000)=$F71)*((Main!$O$9:$O$1000)=$C71)*(Main!R$9:R$1000) ) +  ( SUMPRODUCT( ((Adders!$D$13:$D$101)=$E71)*((Adders!$E$13:$E$101)=$F71)*(Adders!G$13:G$101)) + VLOOKUP($H71,Adders!$B$5:$G$8,L$11,FALSE)  +  OH!$D$2 ) * IF($D71="NJ",1.07,1))/$L$10, CHOOSE($M$10,$L$9,$M$9) )</f>
        <v xml:space="preserve"> 72.71 </v>
      </c>
      <c r="J71" s="178" t="str">
        <f>TEXT(   (SUMPRODUCT( ((Main!$H$9:$H$1000)=$E71)*((Main!$J$9:$J$1000)=$F71)*((Main!$O$9:$O$1000)=$C71)*(Main!S$9:S$1000) ) +  ( SUMPRODUCT( ((Adders!$D$13:$D$101)=$E71)*((Adders!$E$13:$E$101)=$F71)*(Adders!H$13:H$101)) + VLOOKUP($H71,Adders!$B$5:$G$8,M$11,FALSE)  +  OH!$D$2 ) * IF($D71="NJ",1.07,1))/$L$10, CHOOSE($M$10,$L$9,$M$9) )</f>
        <v xml:space="preserve"> 72.73 </v>
      </c>
      <c r="K71" s="179" t="str">
        <f>TEXT(   (SUMPRODUCT( ((Main!$H$9:$H$1000)=$E71)*((Main!$J$9:$J$1000)=$F71)*((Main!$O$9:$O$1000)=$C71)*(Main!T$9:T$1000) ) +  ( SUMPRODUCT( ((Adders!$D$13:$D$101)=$E71)*((Adders!$E$13:$E$101)=$F71)*(Adders!I$13:I$101)) + VLOOKUP($H71,Adders!$B$5:$G$8,$N$11,FALSE)  +  OH!$D$2 ) * IF($D71="NJ",1.07,1))/$L$10, CHOOSE($M$10,$L$9,$M$9) )</f>
        <v xml:space="preserve"> 72.03 </v>
      </c>
      <c r="L71" s="180" t="str">
        <f>TEXT(   (SUMPRODUCT( ((LMPMain!$H$9:$H$1000)=$E71)*((LMPMain!$J$9:$J$1000)=$F71)*((LMPMain!$O$9:$O$1000)=$C71)*(LMPMain!R$9:R$1000) ) +  ( SUMPRODUCT( ((Adders!$D$13:$D$101)=$E71)*((Adders!$E$13:$E$101)=$F71)*(Adders!F$13:F$101)) + VLOOKUP($H71,Adders!$B$5:$G$8,L$11,FALSE)  +  OH!$D$2 ) * IF($D71="NJ",1.07,1))/$L$10, CHOOSE($M$10,$L$9,$M$9) )</f>
        <v xml:space="preserve"> 22.93 </v>
      </c>
      <c r="M71" s="178" t="str">
        <f>TEXT(   (SUMPRODUCT( ((LMPMain!$H$9:$H$1000)=$E71)*((LMPMain!$J$9:$J$1000)=$F71)*((LMPMain!$O$9:$O$1000)=$C71)*(LMPMain!S$9:S$1000) ) +  ( SUMPRODUCT( ((Adders!$D$13:$D$101)=$E71)*((Adders!$E$13:$E$101)=$F71)*(Adders!G$13:G$101)) + VLOOKUP($H71,Adders!$B$5:$G$8,M$11,FALSE)  +  OH!$D$2 ) * IF($D71="NJ",1.07,1))/$L$10, CHOOSE($M$10,$L$9,$M$9) )</f>
        <v xml:space="preserve"> 22.34 </v>
      </c>
      <c r="N71" s="179" t="str">
        <f>TEXT(   (SUMPRODUCT( ((LMPMain!$H$9:$H$1000)=$E71)*((LMPMain!$J$9:$J$1000)=$F71)*((LMPMain!$O$9:$O$1000)=$C71)*(LMPMain!T$9:T$1000) ) +  ( SUMPRODUCT( ((Adders!$D$13:$D$101)=$E71)*((Adders!$E$13:$E$101)=$F71)*(Adders!H$13:H$101)) + VLOOKUP($H71,Adders!$B$5:$G$8,N$11,FALSE)  +  OH!$D$2 ) * IF($D71="NJ",1.07,1))/$L$10, CHOOSE($M$10,$L$9,$M$9) )</f>
        <v xml:space="preserve"> 23.25 </v>
      </c>
      <c r="O71" s="112"/>
    </row>
    <row r="72" spans="2:15" x14ac:dyDescent="0.25">
      <c r="B72" s="108"/>
      <c r="C72" s="131">
        <f t="shared" si="1"/>
        <v>42370</v>
      </c>
      <c r="D72" s="132" t="s">
        <v>20</v>
      </c>
      <c r="E72" s="133" t="s">
        <v>63</v>
      </c>
      <c r="F72" s="132" t="s">
        <v>21</v>
      </c>
      <c r="G72" s="133" t="str">
        <f t="shared" si="2"/>
        <v>General Service Medium</v>
      </c>
      <c r="H72" s="134" t="s">
        <v>62</v>
      </c>
      <c r="I72" s="172" t="str">
        <f>TEXT(   (SUMPRODUCT( ((Main!$H$9:$H$1000)=$E72)*((Main!$J$9:$J$1000)=$F72)*((Main!$O$9:$O$1000)=$C72)*(Main!R$9:R$1000) ) +  ( SUMPRODUCT( ((Adders!$D$13:$D$101)=$E72)*((Adders!$E$13:$E$101)=$F72)*(Adders!G$13:G$101)) + VLOOKUP($H72,Adders!$B$5:$G$8,L$11,FALSE)  +  OH!$D$2 ) * IF($D72="NJ",1.07,1))/$L$10, CHOOSE($M$10,$L$9,$M$9) )</f>
        <v xml:space="preserve"> 71.11 </v>
      </c>
      <c r="J72" s="173" t="str">
        <f>TEXT(   (SUMPRODUCT( ((Main!$H$9:$H$1000)=$E72)*((Main!$J$9:$J$1000)=$F72)*((Main!$O$9:$O$1000)=$C72)*(Main!S$9:S$1000) ) +  ( SUMPRODUCT( ((Adders!$D$13:$D$101)=$E72)*((Adders!$E$13:$E$101)=$F72)*(Adders!H$13:H$101)) + VLOOKUP($H72,Adders!$B$5:$G$8,M$11,FALSE)  +  OH!$D$2 ) * IF($D72="NJ",1.07,1))/$L$10, CHOOSE($M$10,$L$9,$M$9) )</f>
        <v xml:space="preserve"> 71.13 </v>
      </c>
      <c r="K72" s="174" t="str">
        <f>TEXT(   (SUMPRODUCT( ((Main!$H$9:$H$1000)=$E72)*((Main!$J$9:$J$1000)=$F72)*((Main!$O$9:$O$1000)=$C72)*(Main!T$9:T$1000) ) +  ( SUMPRODUCT( ((Adders!$D$13:$D$101)=$E72)*((Adders!$E$13:$E$101)=$F72)*(Adders!I$13:I$101)) + VLOOKUP($H72,Adders!$B$5:$G$8,$N$11,FALSE)  +  OH!$D$2 ) * IF($D72="NJ",1.07,1))/$L$10, CHOOSE($M$10,$L$9,$M$9) )</f>
        <v xml:space="preserve"> 70.43 </v>
      </c>
      <c r="L72" s="172" t="str">
        <f>TEXT(   (SUMPRODUCT( ((LMPMain!$H$9:$H$1000)=$E72)*((LMPMain!$J$9:$J$1000)=$F72)*((LMPMain!$O$9:$O$1000)=$C72)*(LMPMain!R$9:R$1000) ) +  ( SUMPRODUCT( ((Adders!$D$13:$D$101)=$E72)*((Adders!$E$13:$E$101)=$F72)*(Adders!F$13:F$101)) + VLOOKUP($H72,Adders!$B$5:$G$8,L$11,FALSE)  +  OH!$D$2 ) * IF($D72="NJ",1.07,1))/$L$10, CHOOSE($M$10,$L$9,$M$9) )</f>
        <v xml:space="preserve"> 21.33 </v>
      </c>
      <c r="M72" s="173" t="str">
        <f>TEXT(   (SUMPRODUCT( ((LMPMain!$H$9:$H$1000)=$E72)*((LMPMain!$J$9:$J$1000)=$F72)*((LMPMain!$O$9:$O$1000)=$C72)*(LMPMain!S$9:S$1000) ) +  ( SUMPRODUCT( ((Adders!$D$13:$D$101)=$E72)*((Adders!$E$13:$E$101)=$F72)*(Adders!G$13:G$101)) + VLOOKUP($H72,Adders!$B$5:$G$8,M$11,FALSE)  +  OH!$D$2 ) * IF($D72="NJ",1.07,1))/$L$10, CHOOSE($M$10,$L$9,$M$9) )</f>
        <v xml:space="preserve"> 20.74 </v>
      </c>
      <c r="N72" s="174" t="str">
        <f>TEXT(   (SUMPRODUCT( ((LMPMain!$H$9:$H$1000)=$E72)*((LMPMain!$J$9:$J$1000)=$F72)*((LMPMain!$O$9:$O$1000)=$C72)*(LMPMain!T$9:T$1000) ) +  ( SUMPRODUCT( ((Adders!$D$13:$D$101)=$E72)*((Adders!$E$13:$E$101)=$F72)*(Adders!H$13:H$101)) + VLOOKUP($H72,Adders!$B$5:$G$8,N$11,FALSE)  +  OH!$D$2 ) * IF($D72="NJ",1.07,1))/$L$10, CHOOSE($M$10,$L$9,$M$9) )</f>
        <v xml:space="preserve"> 21.65 </v>
      </c>
      <c r="O72" s="112"/>
    </row>
    <row r="73" spans="2:15" x14ac:dyDescent="0.25">
      <c r="B73" s="108"/>
      <c r="C73" s="135">
        <f t="shared" si="1"/>
        <v>42370</v>
      </c>
      <c r="D73" s="136" t="s">
        <v>20</v>
      </c>
      <c r="E73" s="137" t="s">
        <v>63</v>
      </c>
      <c r="F73" s="136" t="s">
        <v>21</v>
      </c>
      <c r="G73" s="137" t="str">
        <f t="shared" si="2"/>
        <v>General Service Medium</v>
      </c>
      <c r="H73" s="138" t="s">
        <v>690</v>
      </c>
      <c r="I73" s="175" t="str">
        <f>TEXT(   (SUMPRODUCT( ((Main!$H$9:$H$1000)=$E73)*((Main!$J$9:$J$1000)=$F73)*((Main!$O$9:$O$1000)=$C73)*(Main!R$9:R$1000) ) +  ( SUMPRODUCT( ((Adders!$D$13:$D$101)=$E73)*((Adders!$E$13:$E$101)=$F73)*(Adders!G$13:G$101)) + VLOOKUP($H73,Adders!$B$5:$G$8,L$11,FALSE)  +  OH!$D$2 ) * IF($D73="NJ",1.07,1))/$L$10, CHOOSE($M$10,$L$9,$M$9) )</f>
        <v xml:space="preserve"> 70.06 </v>
      </c>
      <c r="J73" s="176" t="str">
        <f>TEXT(   (SUMPRODUCT( ((Main!$H$9:$H$1000)=$E73)*((Main!$J$9:$J$1000)=$F73)*((Main!$O$9:$O$1000)=$C73)*(Main!S$9:S$1000) ) +  ( SUMPRODUCT( ((Adders!$D$13:$D$101)=$E73)*((Adders!$E$13:$E$101)=$F73)*(Adders!H$13:H$101)) + VLOOKUP($H73,Adders!$B$5:$G$8,M$11,FALSE)  +  OH!$D$2 ) * IF($D73="NJ",1.07,1))/$L$10, CHOOSE($M$10,$L$9,$M$9) )</f>
        <v xml:space="preserve"> 70.08 </v>
      </c>
      <c r="K73" s="177" t="str">
        <f>TEXT(   (SUMPRODUCT( ((Main!$H$9:$H$1000)=$E73)*((Main!$J$9:$J$1000)=$F73)*((Main!$O$9:$O$1000)=$C73)*(Main!T$9:T$1000) ) +  ( SUMPRODUCT( ((Adders!$D$13:$D$101)=$E73)*((Adders!$E$13:$E$101)=$F73)*(Adders!I$13:I$101)) + VLOOKUP($H73,Adders!$B$5:$G$8,$N$11,FALSE)  +  OH!$D$2 ) * IF($D73="NJ",1.07,1))/$L$10, CHOOSE($M$10,$L$9,$M$9) )</f>
        <v xml:space="preserve"> 69.38 </v>
      </c>
      <c r="L73" s="175" t="str">
        <f>TEXT(   (SUMPRODUCT( ((LMPMain!$H$9:$H$1000)=$E73)*((LMPMain!$J$9:$J$1000)=$F73)*((LMPMain!$O$9:$O$1000)=$C73)*(LMPMain!R$9:R$1000) ) +  ( SUMPRODUCT( ((Adders!$D$13:$D$101)=$E73)*((Adders!$E$13:$E$101)=$F73)*(Adders!F$13:F$101)) + VLOOKUP($H73,Adders!$B$5:$G$8,L$11,FALSE)  +  OH!$D$2 ) * IF($D73="NJ",1.07,1))/$L$10, CHOOSE($M$10,$L$9,$M$9) )</f>
        <v xml:space="preserve"> 20.28 </v>
      </c>
      <c r="M73" s="176" t="str">
        <f>TEXT(   (SUMPRODUCT( ((LMPMain!$H$9:$H$1000)=$E73)*((LMPMain!$J$9:$J$1000)=$F73)*((LMPMain!$O$9:$O$1000)=$C73)*(LMPMain!S$9:S$1000) ) +  ( SUMPRODUCT( ((Adders!$D$13:$D$101)=$E73)*((Adders!$E$13:$E$101)=$F73)*(Adders!G$13:G$101)) + VLOOKUP($H73,Adders!$B$5:$G$8,M$11,FALSE)  +  OH!$D$2 ) * IF($D73="NJ",1.07,1))/$L$10, CHOOSE($M$10,$L$9,$M$9) )</f>
        <v xml:space="preserve"> 19.69 </v>
      </c>
      <c r="N73" s="177" t="str">
        <f>TEXT(   (SUMPRODUCT( ((LMPMain!$H$9:$H$1000)=$E73)*((LMPMain!$J$9:$J$1000)=$F73)*((LMPMain!$O$9:$O$1000)=$C73)*(LMPMain!T$9:T$1000) ) +  ( SUMPRODUCT( ((Adders!$D$13:$D$101)=$E73)*((Adders!$E$13:$E$101)=$F73)*(Adders!H$13:H$101)) + VLOOKUP($H73,Adders!$B$5:$G$8,N$11,FALSE)  +  OH!$D$2 ) * IF($D73="NJ",1.07,1))/$L$10, CHOOSE($M$10,$L$9,$M$9) )</f>
        <v xml:space="preserve"> 20.60 </v>
      </c>
      <c r="O73" s="112"/>
    </row>
    <row r="74" spans="2:15" x14ac:dyDescent="0.25">
      <c r="B74" s="108"/>
      <c r="C74" s="127">
        <f t="shared" si="1"/>
        <v>42401</v>
      </c>
      <c r="D74" s="128" t="s">
        <v>20</v>
      </c>
      <c r="E74" s="129" t="s">
        <v>63</v>
      </c>
      <c r="F74" s="128" t="s">
        <v>21</v>
      </c>
      <c r="G74" s="129" t="str">
        <f t="shared" si="2"/>
        <v>General Service Medium</v>
      </c>
      <c r="H74" s="130" t="s">
        <v>61</v>
      </c>
      <c r="I74" s="180" t="str">
        <f>TEXT(   (SUMPRODUCT( ((Main!$H$9:$H$1000)=$E74)*((Main!$J$9:$J$1000)=$F74)*((Main!$O$9:$O$1000)=$C74)*(Main!R$9:R$1000) ) +  ( SUMPRODUCT( ((Adders!$D$13:$D$101)=$E74)*((Adders!$E$13:$E$101)=$F74)*(Adders!G$13:G$101)) + VLOOKUP($H74,Adders!$B$5:$G$8,L$11,FALSE)  +  OH!$D$2 ) * IF($D74="NJ",1.07,1))/$L$10, CHOOSE($M$10,$L$9,$M$9) )</f>
        <v xml:space="preserve"> 72.37 </v>
      </c>
      <c r="J74" s="178" t="str">
        <f>TEXT(   (SUMPRODUCT( ((Main!$H$9:$H$1000)=$E74)*((Main!$J$9:$J$1000)=$F74)*((Main!$O$9:$O$1000)=$C74)*(Main!S$9:S$1000) ) +  ( SUMPRODUCT( ((Adders!$D$13:$D$101)=$E74)*((Adders!$E$13:$E$101)=$F74)*(Adders!H$13:H$101)) + VLOOKUP($H74,Adders!$B$5:$G$8,M$11,FALSE)  +  OH!$D$2 ) * IF($D74="NJ",1.07,1))/$L$10, CHOOSE($M$10,$L$9,$M$9) )</f>
        <v xml:space="preserve"> 72.26 </v>
      </c>
      <c r="K74" s="179" t="str">
        <f>TEXT(   (SUMPRODUCT( ((Main!$H$9:$H$1000)=$E74)*((Main!$J$9:$J$1000)=$F74)*((Main!$O$9:$O$1000)=$C74)*(Main!T$9:T$1000) ) +  ( SUMPRODUCT( ((Adders!$D$13:$D$101)=$E74)*((Adders!$E$13:$E$101)=$F74)*(Adders!I$13:I$101)) + VLOOKUP($H74,Adders!$B$5:$G$8,$N$11,FALSE)  +  OH!$D$2 ) * IF($D74="NJ",1.07,1))/$L$10, CHOOSE($M$10,$L$9,$M$9) )</f>
        <v xml:space="preserve"> 71.97 </v>
      </c>
      <c r="L74" s="180" t="str">
        <f>TEXT(   (SUMPRODUCT( ((LMPMain!$H$9:$H$1000)=$E74)*((LMPMain!$J$9:$J$1000)=$F74)*((LMPMain!$O$9:$O$1000)=$C74)*(LMPMain!R$9:R$1000) ) +  ( SUMPRODUCT( ((Adders!$D$13:$D$101)=$E74)*((Adders!$E$13:$E$101)=$F74)*(Adders!F$13:F$101)) + VLOOKUP($H74,Adders!$B$5:$G$8,L$11,FALSE)  +  OH!$D$2 ) * IF($D74="NJ",1.07,1))/$L$10, CHOOSE($M$10,$L$9,$M$9) )</f>
        <v xml:space="preserve"> 22.30 </v>
      </c>
      <c r="M74" s="178" t="str">
        <f>TEXT(   (SUMPRODUCT( ((LMPMain!$H$9:$H$1000)=$E74)*((LMPMain!$J$9:$J$1000)=$F74)*((LMPMain!$O$9:$O$1000)=$C74)*(LMPMain!S$9:S$1000) ) +  ( SUMPRODUCT( ((Adders!$D$13:$D$101)=$E74)*((Adders!$E$13:$E$101)=$F74)*(Adders!G$13:G$101)) + VLOOKUP($H74,Adders!$B$5:$G$8,M$11,FALSE)  +  OH!$D$2 ) * IF($D74="NJ",1.07,1))/$L$10, CHOOSE($M$10,$L$9,$M$9) )</f>
        <v xml:space="preserve"> 22.11 </v>
      </c>
      <c r="N74" s="179" t="str">
        <f>TEXT(   (SUMPRODUCT( ((LMPMain!$H$9:$H$1000)=$E74)*((LMPMain!$J$9:$J$1000)=$F74)*((LMPMain!$O$9:$O$1000)=$C74)*(LMPMain!T$9:T$1000) ) +  ( SUMPRODUCT( ((Adders!$D$13:$D$101)=$E74)*((Adders!$E$13:$E$101)=$F74)*(Adders!H$13:H$101)) + VLOOKUP($H74,Adders!$B$5:$G$8,N$11,FALSE)  +  OH!$D$2 ) * IF($D74="NJ",1.07,1))/$L$10, CHOOSE($M$10,$L$9,$M$9) )</f>
        <v xml:space="preserve"> 23.22 </v>
      </c>
      <c r="O74" s="112"/>
    </row>
    <row r="75" spans="2:15" x14ac:dyDescent="0.25">
      <c r="B75" s="108"/>
      <c r="C75" s="131">
        <f t="shared" si="1"/>
        <v>42401</v>
      </c>
      <c r="D75" s="132" t="s">
        <v>20</v>
      </c>
      <c r="E75" s="133" t="s">
        <v>63</v>
      </c>
      <c r="F75" s="132" t="s">
        <v>21</v>
      </c>
      <c r="G75" s="133" t="str">
        <f t="shared" si="2"/>
        <v>General Service Medium</v>
      </c>
      <c r="H75" s="134" t="s">
        <v>62</v>
      </c>
      <c r="I75" s="172" t="str">
        <f>TEXT(   (SUMPRODUCT( ((Main!$H$9:$H$1000)=$E75)*((Main!$J$9:$J$1000)=$F75)*((Main!$O$9:$O$1000)=$C75)*(Main!R$9:R$1000) ) +  ( SUMPRODUCT( ((Adders!$D$13:$D$101)=$E75)*((Adders!$E$13:$E$101)=$F75)*(Adders!G$13:G$101)) + VLOOKUP($H75,Adders!$B$5:$G$8,L$11,FALSE)  +  OH!$D$2 ) * IF($D75="NJ",1.07,1))/$L$10, CHOOSE($M$10,$L$9,$M$9) )</f>
        <v xml:space="preserve"> 70.77 </v>
      </c>
      <c r="J75" s="173" t="str">
        <f>TEXT(   (SUMPRODUCT( ((Main!$H$9:$H$1000)=$E75)*((Main!$J$9:$J$1000)=$F75)*((Main!$O$9:$O$1000)=$C75)*(Main!S$9:S$1000) ) +  ( SUMPRODUCT( ((Adders!$D$13:$D$101)=$E75)*((Adders!$E$13:$E$101)=$F75)*(Adders!H$13:H$101)) + VLOOKUP($H75,Adders!$B$5:$G$8,M$11,FALSE)  +  OH!$D$2 ) * IF($D75="NJ",1.07,1))/$L$10, CHOOSE($M$10,$L$9,$M$9) )</f>
        <v xml:space="preserve"> 70.66 </v>
      </c>
      <c r="K75" s="174" t="str">
        <f>TEXT(   (SUMPRODUCT( ((Main!$H$9:$H$1000)=$E75)*((Main!$J$9:$J$1000)=$F75)*((Main!$O$9:$O$1000)=$C75)*(Main!T$9:T$1000) ) +  ( SUMPRODUCT( ((Adders!$D$13:$D$101)=$E75)*((Adders!$E$13:$E$101)=$F75)*(Adders!I$13:I$101)) + VLOOKUP($H75,Adders!$B$5:$G$8,$N$11,FALSE)  +  OH!$D$2 ) * IF($D75="NJ",1.07,1))/$L$10, CHOOSE($M$10,$L$9,$M$9) )</f>
        <v xml:space="preserve"> 70.37 </v>
      </c>
      <c r="L75" s="172" t="str">
        <f>TEXT(   (SUMPRODUCT( ((LMPMain!$H$9:$H$1000)=$E75)*((LMPMain!$J$9:$J$1000)=$F75)*((LMPMain!$O$9:$O$1000)=$C75)*(LMPMain!R$9:R$1000) ) +  ( SUMPRODUCT( ((Adders!$D$13:$D$101)=$E75)*((Adders!$E$13:$E$101)=$F75)*(Adders!F$13:F$101)) + VLOOKUP($H75,Adders!$B$5:$G$8,L$11,FALSE)  +  OH!$D$2 ) * IF($D75="NJ",1.07,1))/$L$10, CHOOSE($M$10,$L$9,$M$9) )</f>
        <v xml:space="preserve"> 20.70 </v>
      </c>
      <c r="M75" s="173" t="str">
        <f>TEXT(   (SUMPRODUCT( ((LMPMain!$H$9:$H$1000)=$E75)*((LMPMain!$J$9:$J$1000)=$F75)*((LMPMain!$O$9:$O$1000)=$C75)*(LMPMain!S$9:S$1000) ) +  ( SUMPRODUCT( ((Adders!$D$13:$D$101)=$E75)*((Adders!$E$13:$E$101)=$F75)*(Adders!G$13:G$101)) + VLOOKUP($H75,Adders!$B$5:$G$8,M$11,FALSE)  +  OH!$D$2 ) * IF($D75="NJ",1.07,1))/$L$10, CHOOSE($M$10,$L$9,$M$9) )</f>
        <v xml:space="preserve"> 20.51 </v>
      </c>
      <c r="N75" s="174" t="str">
        <f>TEXT(   (SUMPRODUCT( ((LMPMain!$H$9:$H$1000)=$E75)*((LMPMain!$J$9:$J$1000)=$F75)*((LMPMain!$O$9:$O$1000)=$C75)*(LMPMain!T$9:T$1000) ) +  ( SUMPRODUCT( ((Adders!$D$13:$D$101)=$E75)*((Adders!$E$13:$E$101)=$F75)*(Adders!H$13:H$101)) + VLOOKUP($H75,Adders!$B$5:$G$8,N$11,FALSE)  +  OH!$D$2 ) * IF($D75="NJ",1.07,1))/$L$10, CHOOSE($M$10,$L$9,$M$9) )</f>
        <v xml:space="preserve"> 21.62 </v>
      </c>
      <c r="O75" s="112"/>
    </row>
    <row r="76" spans="2:15" x14ac:dyDescent="0.25">
      <c r="B76" s="108"/>
      <c r="C76" s="135">
        <f t="shared" si="1"/>
        <v>42401</v>
      </c>
      <c r="D76" s="136" t="s">
        <v>20</v>
      </c>
      <c r="E76" s="137" t="s">
        <v>63</v>
      </c>
      <c r="F76" s="136" t="s">
        <v>21</v>
      </c>
      <c r="G76" s="137" t="str">
        <f t="shared" si="2"/>
        <v>General Service Medium</v>
      </c>
      <c r="H76" s="138" t="s">
        <v>690</v>
      </c>
      <c r="I76" s="175" t="str">
        <f>TEXT(   (SUMPRODUCT( ((Main!$H$9:$H$1000)=$E76)*((Main!$J$9:$J$1000)=$F76)*((Main!$O$9:$O$1000)=$C76)*(Main!R$9:R$1000) ) +  ( SUMPRODUCT( ((Adders!$D$13:$D$101)=$E76)*((Adders!$E$13:$E$101)=$F76)*(Adders!G$13:G$101)) + VLOOKUP($H76,Adders!$B$5:$G$8,L$11,FALSE)  +  OH!$D$2 ) * IF($D76="NJ",1.07,1))/$L$10, CHOOSE($M$10,$L$9,$M$9) )</f>
        <v xml:space="preserve"> 69.72 </v>
      </c>
      <c r="J76" s="176" t="str">
        <f>TEXT(   (SUMPRODUCT( ((Main!$H$9:$H$1000)=$E76)*((Main!$J$9:$J$1000)=$F76)*((Main!$O$9:$O$1000)=$C76)*(Main!S$9:S$1000) ) +  ( SUMPRODUCT( ((Adders!$D$13:$D$101)=$E76)*((Adders!$E$13:$E$101)=$F76)*(Adders!H$13:H$101)) + VLOOKUP($H76,Adders!$B$5:$G$8,M$11,FALSE)  +  OH!$D$2 ) * IF($D76="NJ",1.07,1))/$L$10, CHOOSE($M$10,$L$9,$M$9) )</f>
        <v xml:space="preserve"> 69.61 </v>
      </c>
      <c r="K76" s="177" t="str">
        <f>TEXT(   (SUMPRODUCT( ((Main!$H$9:$H$1000)=$E76)*((Main!$J$9:$J$1000)=$F76)*((Main!$O$9:$O$1000)=$C76)*(Main!T$9:T$1000) ) +  ( SUMPRODUCT( ((Adders!$D$13:$D$101)=$E76)*((Adders!$E$13:$E$101)=$F76)*(Adders!I$13:I$101)) + VLOOKUP($H76,Adders!$B$5:$G$8,$N$11,FALSE)  +  OH!$D$2 ) * IF($D76="NJ",1.07,1))/$L$10, CHOOSE($M$10,$L$9,$M$9) )</f>
        <v xml:space="preserve"> 69.32 </v>
      </c>
      <c r="L76" s="175" t="str">
        <f>TEXT(   (SUMPRODUCT( ((LMPMain!$H$9:$H$1000)=$E76)*((LMPMain!$J$9:$J$1000)=$F76)*((LMPMain!$O$9:$O$1000)=$C76)*(LMPMain!R$9:R$1000) ) +  ( SUMPRODUCT( ((Adders!$D$13:$D$101)=$E76)*((Adders!$E$13:$E$101)=$F76)*(Adders!F$13:F$101)) + VLOOKUP($H76,Adders!$B$5:$G$8,L$11,FALSE)  +  OH!$D$2 ) * IF($D76="NJ",1.07,1))/$L$10, CHOOSE($M$10,$L$9,$M$9) )</f>
        <v xml:space="preserve"> 19.65 </v>
      </c>
      <c r="M76" s="176" t="str">
        <f>TEXT(   (SUMPRODUCT( ((LMPMain!$H$9:$H$1000)=$E76)*((LMPMain!$J$9:$J$1000)=$F76)*((LMPMain!$O$9:$O$1000)=$C76)*(LMPMain!S$9:S$1000) ) +  ( SUMPRODUCT( ((Adders!$D$13:$D$101)=$E76)*((Adders!$E$13:$E$101)=$F76)*(Adders!G$13:G$101)) + VLOOKUP($H76,Adders!$B$5:$G$8,M$11,FALSE)  +  OH!$D$2 ) * IF($D76="NJ",1.07,1))/$L$10, CHOOSE($M$10,$L$9,$M$9) )</f>
        <v xml:space="preserve"> 19.46 </v>
      </c>
      <c r="N76" s="177" t="str">
        <f>TEXT(   (SUMPRODUCT( ((LMPMain!$H$9:$H$1000)=$E76)*((LMPMain!$J$9:$J$1000)=$F76)*((LMPMain!$O$9:$O$1000)=$C76)*(LMPMain!T$9:T$1000) ) +  ( SUMPRODUCT( ((Adders!$D$13:$D$101)=$E76)*((Adders!$E$13:$E$101)=$F76)*(Adders!H$13:H$101)) + VLOOKUP($H76,Adders!$B$5:$G$8,N$11,FALSE)  +  OH!$D$2 ) * IF($D76="NJ",1.07,1))/$L$10, CHOOSE($M$10,$L$9,$M$9) )</f>
        <v xml:space="preserve"> 20.57 </v>
      </c>
      <c r="O76" s="112"/>
    </row>
    <row r="77" spans="2:15" x14ac:dyDescent="0.25">
      <c r="B77" s="108"/>
      <c r="C77" s="127">
        <f t="shared" si="1"/>
        <v>42430</v>
      </c>
      <c r="D77" s="128" t="s">
        <v>20</v>
      </c>
      <c r="E77" s="129" t="s">
        <v>63</v>
      </c>
      <c r="F77" s="128" t="s">
        <v>21</v>
      </c>
      <c r="G77" s="129" t="str">
        <f t="shared" si="2"/>
        <v>General Service Medium</v>
      </c>
      <c r="H77" s="130" t="s">
        <v>61</v>
      </c>
      <c r="I77" s="180" t="str">
        <f>TEXT(   (SUMPRODUCT( ((Main!$H$9:$H$1000)=$E77)*((Main!$J$9:$J$1000)=$F77)*((Main!$O$9:$O$1000)=$C77)*(Main!R$9:R$1000) ) +  ( SUMPRODUCT( ((Adders!$D$13:$D$101)=$E77)*((Adders!$E$13:$E$101)=$F77)*(Adders!G$13:G$101)) + VLOOKUP($H77,Adders!$B$5:$G$8,L$11,FALSE)  +  OH!$D$2 ) * IF($D77="NJ",1.07,1))/$L$10, CHOOSE($M$10,$L$9,$M$9) )</f>
        <v xml:space="preserve"> 71.98 </v>
      </c>
      <c r="J77" s="178" t="str">
        <f>TEXT(   (SUMPRODUCT( ((Main!$H$9:$H$1000)=$E77)*((Main!$J$9:$J$1000)=$F77)*((Main!$O$9:$O$1000)=$C77)*(Main!S$9:S$1000) ) +  ( SUMPRODUCT( ((Adders!$D$13:$D$101)=$E77)*((Adders!$E$13:$E$101)=$F77)*(Adders!H$13:H$101)) + VLOOKUP($H77,Adders!$B$5:$G$8,M$11,FALSE)  +  OH!$D$2 ) * IF($D77="NJ",1.07,1))/$L$10, CHOOSE($M$10,$L$9,$M$9) )</f>
        <v xml:space="preserve"> 71.75 </v>
      </c>
      <c r="K77" s="179" t="str">
        <f>TEXT(   (SUMPRODUCT( ((Main!$H$9:$H$1000)=$E77)*((Main!$J$9:$J$1000)=$F77)*((Main!$O$9:$O$1000)=$C77)*(Main!T$9:T$1000) ) +  ( SUMPRODUCT( ((Adders!$D$13:$D$101)=$E77)*((Adders!$E$13:$E$101)=$F77)*(Adders!I$13:I$101)) + VLOOKUP($H77,Adders!$B$5:$G$8,$N$11,FALSE)  +  OH!$D$2 ) * IF($D77="NJ",1.07,1))/$L$10, CHOOSE($M$10,$L$9,$M$9) )</f>
        <v xml:space="preserve"> 71.88 </v>
      </c>
      <c r="L77" s="180" t="str">
        <f>TEXT(   (SUMPRODUCT( ((LMPMain!$H$9:$H$1000)=$E77)*((LMPMain!$J$9:$J$1000)=$F77)*((LMPMain!$O$9:$O$1000)=$C77)*(LMPMain!R$9:R$1000) ) +  ( SUMPRODUCT( ((Adders!$D$13:$D$101)=$E77)*((Adders!$E$13:$E$101)=$F77)*(Adders!F$13:F$101)) + VLOOKUP($H77,Adders!$B$5:$G$8,L$11,FALSE)  +  OH!$D$2 ) * IF($D77="NJ",1.07,1))/$L$10, CHOOSE($M$10,$L$9,$M$9) )</f>
        <v xml:space="preserve"> 21.68 </v>
      </c>
      <c r="M77" s="178" t="str">
        <f>TEXT(   (SUMPRODUCT( ((LMPMain!$H$9:$H$1000)=$E77)*((LMPMain!$J$9:$J$1000)=$F77)*((LMPMain!$O$9:$O$1000)=$C77)*(LMPMain!S$9:S$1000) ) +  ( SUMPRODUCT( ((Adders!$D$13:$D$101)=$E77)*((Adders!$E$13:$E$101)=$F77)*(Adders!G$13:G$101)) + VLOOKUP($H77,Adders!$B$5:$G$8,M$11,FALSE)  +  OH!$D$2 ) * IF($D77="NJ",1.07,1))/$L$10, CHOOSE($M$10,$L$9,$M$9) )</f>
        <v xml:space="preserve"> 21.96 </v>
      </c>
      <c r="N77" s="179" t="str">
        <f>TEXT(   (SUMPRODUCT( ((LMPMain!$H$9:$H$1000)=$E77)*((LMPMain!$J$9:$J$1000)=$F77)*((LMPMain!$O$9:$O$1000)=$C77)*(LMPMain!T$9:T$1000) ) +  ( SUMPRODUCT( ((Adders!$D$13:$D$101)=$E77)*((Adders!$E$13:$E$101)=$F77)*(Adders!H$13:H$101)) + VLOOKUP($H77,Adders!$B$5:$G$8,N$11,FALSE)  +  OH!$D$2 ) * IF($D77="NJ",1.07,1))/$L$10, CHOOSE($M$10,$L$9,$M$9) )</f>
        <v xml:space="preserve"> 23.17 </v>
      </c>
      <c r="O77" s="112"/>
    </row>
    <row r="78" spans="2:15" x14ac:dyDescent="0.25">
      <c r="B78" s="108"/>
      <c r="C78" s="131">
        <f t="shared" si="1"/>
        <v>42430</v>
      </c>
      <c r="D78" s="132" t="s">
        <v>20</v>
      </c>
      <c r="E78" s="133" t="s">
        <v>63</v>
      </c>
      <c r="F78" s="132" t="s">
        <v>21</v>
      </c>
      <c r="G78" s="133" t="str">
        <f t="shared" si="2"/>
        <v>General Service Medium</v>
      </c>
      <c r="H78" s="134" t="s">
        <v>62</v>
      </c>
      <c r="I78" s="172" t="str">
        <f>TEXT(   (SUMPRODUCT( ((Main!$H$9:$H$1000)=$E78)*((Main!$J$9:$J$1000)=$F78)*((Main!$O$9:$O$1000)=$C78)*(Main!R$9:R$1000) ) +  ( SUMPRODUCT( ((Adders!$D$13:$D$101)=$E78)*((Adders!$E$13:$E$101)=$F78)*(Adders!G$13:G$101)) + VLOOKUP($H78,Adders!$B$5:$G$8,L$11,FALSE)  +  OH!$D$2 ) * IF($D78="NJ",1.07,1))/$L$10, CHOOSE($M$10,$L$9,$M$9) )</f>
        <v xml:space="preserve"> 70.38 </v>
      </c>
      <c r="J78" s="173" t="str">
        <f>TEXT(   (SUMPRODUCT( ((Main!$H$9:$H$1000)=$E78)*((Main!$J$9:$J$1000)=$F78)*((Main!$O$9:$O$1000)=$C78)*(Main!S$9:S$1000) ) +  ( SUMPRODUCT( ((Adders!$D$13:$D$101)=$E78)*((Adders!$E$13:$E$101)=$F78)*(Adders!H$13:H$101)) + VLOOKUP($H78,Adders!$B$5:$G$8,M$11,FALSE)  +  OH!$D$2 ) * IF($D78="NJ",1.07,1))/$L$10, CHOOSE($M$10,$L$9,$M$9) )</f>
        <v xml:space="preserve"> 70.15 </v>
      </c>
      <c r="K78" s="174" t="str">
        <f>TEXT(   (SUMPRODUCT( ((Main!$H$9:$H$1000)=$E78)*((Main!$J$9:$J$1000)=$F78)*((Main!$O$9:$O$1000)=$C78)*(Main!T$9:T$1000) ) +  ( SUMPRODUCT( ((Adders!$D$13:$D$101)=$E78)*((Adders!$E$13:$E$101)=$F78)*(Adders!I$13:I$101)) + VLOOKUP($H78,Adders!$B$5:$G$8,$N$11,FALSE)  +  OH!$D$2 ) * IF($D78="NJ",1.07,1))/$L$10, CHOOSE($M$10,$L$9,$M$9) )</f>
        <v xml:space="preserve"> 70.28 </v>
      </c>
      <c r="L78" s="172" t="str">
        <f>TEXT(   (SUMPRODUCT( ((LMPMain!$H$9:$H$1000)=$E78)*((LMPMain!$J$9:$J$1000)=$F78)*((LMPMain!$O$9:$O$1000)=$C78)*(LMPMain!R$9:R$1000) ) +  ( SUMPRODUCT( ((Adders!$D$13:$D$101)=$E78)*((Adders!$E$13:$E$101)=$F78)*(Adders!F$13:F$101)) + VLOOKUP($H78,Adders!$B$5:$G$8,L$11,FALSE)  +  OH!$D$2 ) * IF($D78="NJ",1.07,1))/$L$10, CHOOSE($M$10,$L$9,$M$9) )</f>
        <v xml:space="preserve"> 20.08 </v>
      </c>
      <c r="M78" s="173" t="str">
        <f>TEXT(   (SUMPRODUCT( ((LMPMain!$H$9:$H$1000)=$E78)*((LMPMain!$J$9:$J$1000)=$F78)*((LMPMain!$O$9:$O$1000)=$C78)*(LMPMain!S$9:S$1000) ) +  ( SUMPRODUCT( ((Adders!$D$13:$D$101)=$E78)*((Adders!$E$13:$E$101)=$F78)*(Adders!G$13:G$101)) + VLOOKUP($H78,Adders!$B$5:$G$8,M$11,FALSE)  +  OH!$D$2 ) * IF($D78="NJ",1.07,1))/$L$10, CHOOSE($M$10,$L$9,$M$9) )</f>
        <v xml:space="preserve"> 20.36 </v>
      </c>
      <c r="N78" s="174" t="str">
        <f>TEXT(   (SUMPRODUCT( ((LMPMain!$H$9:$H$1000)=$E78)*((LMPMain!$J$9:$J$1000)=$F78)*((LMPMain!$O$9:$O$1000)=$C78)*(LMPMain!T$9:T$1000) ) +  ( SUMPRODUCT( ((Adders!$D$13:$D$101)=$E78)*((Adders!$E$13:$E$101)=$F78)*(Adders!H$13:H$101)) + VLOOKUP($H78,Adders!$B$5:$G$8,N$11,FALSE)  +  OH!$D$2 ) * IF($D78="NJ",1.07,1))/$L$10, CHOOSE($M$10,$L$9,$M$9) )</f>
        <v xml:space="preserve"> 21.57 </v>
      </c>
      <c r="O78" s="112"/>
    </row>
    <row r="79" spans="2:15" x14ac:dyDescent="0.25">
      <c r="B79" s="108"/>
      <c r="C79" s="135">
        <f t="shared" si="1"/>
        <v>42430</v>
      </c>
      <c r="D79" s="136" t="s">
        <v>20</v>
      </c>
      <c r="E79" s="137" t="s">
        <v>63</v>
      </c>
      <c r="F79" s="136" t="s">
        <v>21</v>
      </c>
      <c r="G79" s="137" t="str">
        <f t="shared" si="2"/>
        <v>General Service Medium</v>
      </c>
      <c r="H79" s="138" t="s">
        <v>690</v>
      </c>
      <c r="I79" s="175" t="str">
        <f>TEXT(   (SUMPRODUCT( ((Main!$H$9:$H$1000)=$E79)*((Main!$J$9:$J$1000)=$F79)*((Main!$O$9:$O$1000)=$C79)*(Main!R$9:R$1000) ) +  ( SUMPRODUCT( ((Adders!$D$13:$D$101)=$E79)*((Adders!$E$13:$E$101)=$F79)*(Adders!G$13:G$101)) + VLOOKUP($H79,Adders!$B$5:$G$8,L$11,FALSE)  +  OH!$D$2 ) * IF($D79="NJ",1.07,1))/$L$10, CHOOSE($M$10,$L$9,$M$9) )</f>
        <v xml:space="preserve"> 69.33 </v>
      </c>
      <c r="J79" s="176" t="str">
        <f>TEXT(   (SUMPRODUCT( ((Main!$H$9:$H$1000)=$E79)*((Main!$J$9:$J$1000)=$F79)*((Main!$O$9:$O$1000)=$C79)*(Main!S$9:S$1000) ) +  ( SUMPRODUCT( ((Adders!$D$13:$D$101)=$E79)*((Adders!$E$13:$E$101)=$F79)*(Adders!H$13:H$101)) + VLOOKUP($H79,Adders!$B$5:$G$8,M$11,FALSE)  +  OH!$D$2 ) * IF($D79="NJ",1.07,1))/$L$10, CHOOSE($M$10,$L$9,$M$9) )</f>
        <v xml:space="preserve"> 69.10 </v>
      </c>
      <c r="K79" s="177" t="str">
        <f>TEXT(   (SUMPRODUCT( ((Main!$H$9:$H$1000)=$E79)*((Main!$J$9:$J$1000)=$F79)*((Main!$O$9:$O$1000)=$C79)*(Main!T$9:T$1000) ) +  ( SUMPRODUCT( ((Adders!$D$13:$D$101)=$E79)*((Adders!$E$13:$E$101)=$F79)*(Adders!I$13:I$101)) + VLOOKUP($H79,Adders!$B$5:$G$8,$N$11,FALSE)  +  OH!$D$2 ) * IF($D79="NJ",1.07,1))/$L$10, CHOOSE($M$10,$L$9,$M$9) )</f>
        <v xml:space="preserve"> 69.23 </v>
      </c>
      <c r="L79" s="175" t="str">
        <f>TEXT(   (SUMPRODUCT( ((LMPMain!$H$9:$H$1000)=$E79)*((LMPMain!$J$9:$J$1000)=$F79)*((LMPMain!$O$9:$O$1000)=$C79)*(LMPMain!R$9:R$1000) ) +  ( SUMPRODUCT( ((Adders!$D$13:$D$101)=$E79)*((Adders!$E$13:$E$101)=$F79)*(Adders!F$13:F$101)) + VLOOKUP($H79,Adders!$B$5:$G$8,L$11,FALSE)  +  OH!$D$2 ) * IF($D79="NJ",1.07,1))/$L$10, CHOOSE($M$10,$L$9,$M$9) )</f>
        <v xml:space="preserve"> 19.03 </v>
      </c>
      <c r="M79" s="176" t="str">
        <f>TEXT(   (SUMPRODUCT( ((LMPMain!$H$9:$H$1000)=$E79)*((LMPMain!$J$9:$J$1000)=$F79)*((LMPMain!$O$9:$O$1000)=$C79)*(LMPMain!S$9:S$1000) ) +  ( SUMPRODUCT( ((Adders!$D$13:$D$101)=$E79)*((Adders!$E$13:$E$101)=$F79)*(Adders!G$13:G$101)) + VLOOKUP($H79,Adders!$B$5:$G$8,M$11,FALSE)  +  OH!$D$2 ) * IF($D79="NJ",1.07,1))/$L$10, CHOOSE($M$10,$L$9,$M$9) )</f>
        <v xml:space="preserve"> 19.31 </v>
      </c>
      <c r="N79" s="177" t="str">
        <f>TEXT(   (SUMPRODUCT( ((LMPMain!$H$9:$H$1000)=$E79)*((LMPMain!$J$9:$J$1000)=$F79)*((LMPMain!$O$9:$O$1000)=$C79)*(LMPMain!T$9:T$1000) ) +  ( SUMPRODUCT( ((Adders!$D$13:$D$101)=$E79)*((Adders!$E$13:$E$101)=$F79)*(Adders!H$13:H$101)) + VLOOKUP($H79,Adders!$B$5:$G$8,N$11,FALSE)  +  OH!$D$2 ) * IF($D79="NJ",1.07,1))/$L$10, CHOOSE($M$10,$L$9,$M$9) )</f>
        <v xml:space="preserve"> 20.52 </v>
      </c>
      <c r="O79" s="112"/>
    </row>
    <row r="80" spans="2:15" x14ac:dyDescent="0.25">
      <c r="B80" s="108"/>
      <c r="C80" s="127">
        <f t="shared" si="1"/>
        <v>42461</v>
      </c>
      <c r="D80" s="128" t="s">
        <v>20</v>
      </c>
      <c r="E80" s="129" t="s">
        <v>63</v>
      </c>
      <c r="F80" s="128" t="s">
        <v>21</v>
      </c>
      <c r="G80" s="129" t="str">
        <f t="shared" si="2"/>
        <v>General Service Medium</v>
      </c>
      <c r="H80" s="130" t="s">
        <v>61</v>
      </c>
      <c r="I80" s="180" t="str">
        <f>TEXT(   (SUMPRODUCT( ((Main!$H$9:$H$1000)=$E80)*((Main!$J$9:$J$1000)=$F80)*((Main!$O$9:$O$1000)=$C80)*(Main!R$9:R$1000) ) +  ( SUMPRODUCT( ((Adders!$D$13:$D$101)=$E80)*((Adders!$E$13:$E$101)=$F80)*(Adders!G$13:G$101)) + VLOOKUP($H80,Adders!$B$5:$G$8,L$11,FALSE)  +  OH!$D$2 ) * IF($D80="NJ",1.07,1))/$L$10, CHOOSE($M$10,$L$9,$M$9) )</f>
        <v xml:space="preserve"> 71.44 </v>
      </c>
      <c r="J80" s="178" t="str">
        <f>TEXT(   (SUMPRODUCT( ((Main!$H$9:$H$1000)=$E80)*((Main!$J$9:$J$1000)=$F80)*((Main!$O$9:$O$1000)=$C80)*(Main!S$9:S$1000) ) +  ( SUMPRODUCT( ((Adders!$D$13:$D$101)=$E80)*((Adders!$E$13:$E$101)=$F80)*(Adders!H$13:H$101)) + VLOOKUP($H80,Adders!$B$5:$G$8,M$11,FALSE)  +  OH!$D$2 ) * IF($D80="NJ",1.07,1))/$L$10, CHOOSE($M$10,$L$9,$M$9) )</f>
        <v xml:space="preserve"> 71.00 </v>
      </c>
      <c r="K80" s="179" t="str">
        <f>TEXT(   (SUMPRODUCT( ((Main!$H$9:$H$1000)=$E80)*((Main!$J$9:$J$1000)=$F80)*((Main!$O$9:$O$1000)=$C80)*(Main!T$9:T$1000) ) +  ( SUMPRODUCT( ((Adders!$D$13:$D$101)=$E80)*((Adders!$E$13:$E$101)=$F80)*(Adders!I$13:I$101)) + VLOOKUP($H80,Adders!$B$5:$G$8,$N$11,FALSE)  +  OH!$D$2 ) * IF($D80="NJ",1.07,1))/$L$10, CHOOSE($M$10,$L$9,$M$9) )</f>
        <v xml:space="preserve"> 71.59 </v>
      </c>
      <c r="L80" s="180" t="str">
        <f>TEXT(   (SUMPRODUCT( ((LMPMain!$H$9:$H$1000)=$E80)*((LMPMain!$J$9:$J$1000)=$F80)*((LMPMain!$O$9:$O$1000)=$C80)*(LMPMain!R$9:R$1000) ) +  ( SUMPRODUCT( ((Adders!$D$13:$D$101)=$E80)*((Adders!$E$13:$E$101)=$F80)*(Adders!F$13:F$101)) + VLOOKUP($H80,Adders!$B$5:$G$8,L$11,FALSE)  +  OH!$D$2 ) * IF($D80="NJ",1.07,1))/$L$10, CHOOSE($M$10,$L$9,$M$9) )</f>
        <v xml:space="preserve"> 21.04 </v>
      </c>
      <c r="M80" s="178" t="str">
        <f>TEXT(   (SUMPRODUCT( ((LMPMain!$H$9:$H$1000)=$E80)*((LMPMain!$J$9:$J$1000)=$F80)*((LMPMain!$O$9:$O$1000)=$C80)*(LMPMain!S$9:S$1000) ) +  ( SUMPRODUCT( ((Adders!$D$13:$D$101)=$E80)*((Adders!$E$13:$E$101)=$F80)*(Adders!G$13:G$101)) + VLOOKUP($H80,Adders!$B$5:$G$8,M$11,FALSE)  +  OH!$D$2 ) * IF($D80="NJ",1.07,1))/$L$10, CHOOSE($M$10,$L$9,$M$9) )</f>
        <v xml:space="preserve"> 21.80 </v>
      </c>
      <c r="N80" s="179" t="str">
        <f>TEXT(   (SUMPRODUCT( ((LMPMain!$H$9:$H$1000)=$E80)*((LMPMain!$J$9:$J$1000)=$F80)*((LMPMain!$O$9:$O$1000)=$C80)*(LMPMain!T$9:T$1000) ) +  ( SUMPRODUCT( ((Adders!$D$13:$D$101)=$E80)*((Adders!$E$13:$E$101)=$F80)*(Adders!H$13:H$101)) + VLOOKUP($H80,Adders!$B$5:$G$8,N$11,FALSE)  +  OH!$D$2 ) * IF($D80="NJ",1.07,1))/$L$10, CHOOSE($M$10,$L$9,$M$9) )</f>
        <v xml:space="preserve"> 23.13 </v>
      </c>
      <c r="O80" s="112"/>
    </row>
    <row r="81" spans="2:15" x14ac:dyDescent="0.25">
      <c r="B81" s="108"/>
      <c r="C81" s="131">
        <f t="shared" si="1"/>
        <v>42461</v>
      </c>
      <c r="D81" s="132" t="s">
        <v>20</v>
      </c>
      <c r="E81" s="133" t="s">
        <v>63</v>
      </c>
      <c r="F81" s="132" t="s">
        <v>21</v>
      </c>
      <c r="G81" s="133" t="str">
        <f t="shared" si="2"/>
        <v>General Service Medium</v>
      </c>
      <c r="H81" s="134" t="s">
        <v>62</v>
      </c>
      <c r="I81" s="172" t="str">
        <f>TEXT(   (SUMPRODUCT( ((Main!$H$9:$H$1000)=$E81)*((Main!$J$9:$J$1000)=$F81)*((Main!$O$9:$O$1000)=$C81)*(Main!R$9:R$1000) ) +  ( SUMPRODUCT( ((Adders!$D$13:$D$101)=$E81)*((Adders!$E$13:$E$101)=$F81)*(Adders!G$13:G$101)) + VLOOKUP($H81,Adders!$B$5:$G$8,L$11,FALSE)  +  OH!$D$2 ) * IF($D81="NJ",1.07,1))/$L$10, CHOOSE($M$10,$L$9,$M$9) )</f>
        <v xml:space="preserve"> 69.84 </v>
      </c>
      <c r="J81" s="173" t="str">
        <f>TEXT(   (SUMPRODUCT( ((Main!$H$9:$H$1000)=$E81)*((Main!$J$9:$J$1000)=$F81)*((Main!$O$9:$O$1000)=$C81)*(Main!S$9:S$1000) ) +  ( SUMPRODUCT( ((Adders!$D$13:$D$101)=$E81)*((Adders!$E$13:$E$101)=$F81)*(Adders!H$13:H$101)) + VLOOKUP($H81,Adders!$B$5:$G$8,M$11,FALSE)  +  OH!$D$2 ) * IF($D81="NJ",1.07,1))/$L$10, CHOOSE($M$10,$L$9,$M$9) )</f>
        <v xml:space="preserve"> 69.40 </v>
      </c>
      <c r="K81" s="174" t="str">
        <f>TEXT(   (SUMPRODUCT( ((Main!$H$9:$H$1000)=$E81)*((Main!$J$9:$J$1000)=$F81)*((Main!$O$9:$O$1000)=$C81)*(Main!T$9:T$1000) ) +  ( SUMPRODUCT( ((Adders!$D$13:$D$101)=$E81)*((Adders!$E$13:$E$101)=$F81)*(Adders!I$13:I$101)) + VLOOKUP($H81,Adders!$B$5:$G$8,$N$11,FALSE)  +  OH!$D$2 ) * IF($D81="NJ",1.07,1))/$L$10, CHOOSE($M$10,$L$9,$M$9) )</f>
        <v xml:space="preserve"> 69.99 </v>
      </c>
      <c r="L81" s="172" t="str">
        <f>TEXT(   (SUMPRODUCT( ((LMPMain!$H$9:$H$1000)=$E81)*((LMPMain!$J$9:$J$1000)=$F81)*((LMPMain!$O$9:$O$1000)=$C81)*(LMPMain!R$9:R$1000) ) +  ( SUMPRODUCT( ((Adders!$D$13:$D$101)=$E81)*((Adders!$E$13:$E$101)=$F81)*(Adders!F$13:F$101)) + VLOOKUP($H81,Adders!$B$5:$G$8,L$11,FALSE)  +  OH!$D$2 ) * IF($D81="NJ",1.07,1))/$L$10, CHOOSE($M$10,$L$9,$M$9) )</f>
        <v xml:space="preserve"> 19.44 </v>
      </c>
      <c r="M81" s="173" t="str">
        <f>TEXT(   (SUMPRODUCT( ((LMPMain!$H$9:$H$1000)=$E81)*((LMPMain!$J$9:$J$1000)=$F81)*((LMPMain!$O$9:$O$1000)=$C81)*(LMPMain!S$9:S$1000) ) +  ( SUMPRODUCT( ((Adders!$D$13:$D$101)=$E81)*((Adders!$E$13:$E$101)=$F81)*(Adders!G$13:G$101)) + VLOOKUP($H81,Adders!$B$5:$G$8,M$11,FALSE)  +  OH!$D$2 ) * IF($D81="NJ",1.07,1))/$L$10, CHOOSE($M$10,$L$9,$M$9) )</f>
        <v xml:space="preserve"> 20.20 </v>
      </c>
      <c r="N81" s="174" t="str">
        <f>TEXT(   (SUMPRODUCT( ((LMPMain!$H$9:$H$1000)=$E81)*((LMPMain!$J$9:$J$1000)=$F81)*((LMPMain!$O$9:$O$1000)=$C81)*(LMPMain!T$9:T$1000) ) +  ( SUMPRODUCT( ((Adders!$D$13:$D$101)=$E81)*((Adders!$E$13:$E$101)=$F81)*(Adders!H$13:H$101)) + VLOOKUP($H81,Adders!$B$5:$G$8,N$11,FALSE)  +  OH!$D$2 ) * IF($D81="NJ",1.07,1))/$L$10, CHOOSE($M$10,$L$9,$M$9) )</f>
        <v xml:space="preserve"> 21.53 </v>
      </c>
      <c r="O81" s="112"/>
    </row>
    <row r="82" spans="2:15" x14ac:dyDescent="0.25">
      <c r="B82" s="108"/>
      <c r="C82" s="135">
        <f t="shared" si="1"/>
        <v>42461</v>
      </c>
      <c r="D82" s="136" t="s">
        <v>20</v>
      </c>
      <c r="E82" s="137" t="s">
        <v>63</v>
      </c>
      <c r="F82" s="136" t="s">
        <v>21</v>
      </c>
      <c r="G82" s="137" t="str">
        <f t="shared" si="2"/>
        <v>General Service Medium</v>
      </c>
      <c r="H82" s="138" t="s">
        <v>690</v>
      </c>
      <c r="I82" s="175" t="str">
        <f>TEXT(   (SUMPRODUCT( ((Main!$H$9:$H$1000)=$E82)*((Main!$J$9:$J$1000)=$F82)*((Main!$O$9:$O$1000)=$C82)*(Main!R$9:R$1000) ) +  ( SUMPRODUCT( ((Adders!$D$13:$D$101)=$E82)*((Adders!$E$13:$E$101)=$F82)*(Adders!G$13:G$101)) + VLOOKUP($H82,Adders!$B$5:$G$8,L$11,FALSE)  +  OH!$D$2 ) * IF($D82="NJ",1.07,1))/$L$10, CHOOSE($M$10,$L$9,$M$9) )</f>
        <v xml:space="preserve"> 68.79 </v>
      </c>
      <c r="J82" s="176" t="str">
        <f>TEXT(   (SUMPRODUCT( ((Main!$H$9:$H$1000)=$E82)*((Main!$J$9:$J$1000)=$F82)*((Main!$O$9:$O$1000)=$C82)*(Main!S$9:S$1000) ) +  ( SUMPRODUCT( ((Adders!$D$13:$D$101)=$E82)*((Adders!$E$13:$E$101)=$F82)*(Adders!H$13:H$101)) + VLOOKUP($H82,Adders!$B$5:$G$8,M$11,FALSE)  +  OH!$D$2 ) * IF($D82="NJ",1.07,1))/$L$10, CHOOSE($M$10,$L$9,$M$9) )</f>
        <v xml:space="preserve"> 68.35 </v>
      </c>
      <c r="K82" s="177" t="str">
        <f>TEXT(   (SUMPRODUCT( ((Main!$H$9:$H$1000)=$E82)*((Main!$J$9:$J$1000)=$F82)*((Main!$O$9:$O$1000)=$C82)*(Main!T$9:T$1000) ) +  ( SUMPRODUCT( ((Adders!$D$13:$D$101)=$E82)*((Adders!$E$13:$E$101)=$F82)*(Adders!I$13:I$101)) + VLOOKUP($H82,Adders!$B$5:$G$8,$N$11,FALSE)  +  OH!$D$2 ) * IF($D82="NJ",1.07,1))/$L$10, CHOOSE($M$10,$L$9,$M$9) )</f>
        <v xml:space="preserve"> 68.94 </v>
      </c>
      <c r="L82" s="175" t="str">
        <f>TEXT(   (SUMPRODUCT( ((LMPMain!$H$9:$H$1000)=$E82)*((LMPMain!$J$9:$J$1000)=$F82)*((LMPMain!$O$9:$O$1000)=$C82)*(LMPMain!R$9:R$1000) ) +  ( SUMPRODUCT( ((Adders!$D$13:$D$101)=$E82)*((Adders!$E$13:$E$101)=$F82)*(Adders!F$13:F$101)) + VLOOKUP($H82,Adders!$B$5:$G$8,L$11,FALSE)  +  OH!$D$2 ) * IF($D82="NJ",1.07,1))/$L$10, CHOOSE($M$10,$L$9,$M$9) )</f>
        <v xml:space="preserve"> 18.39 </v>
      </c>
      <c r="M82" s="176" t="str">
        <f>TEXT(   (SUMPRODUCT( ((LMPMain!$H$9:$H$1000)=$E82)*((LMPMain!$J$9:$J$1000)=$F82)*((LMPMain!$O$9:$O$1000)=$C82)*(LMPMain!S$9:S$1000) ) +  ( SUMPRODUCT( ((Adders!$D$13:$D$101)=$E82)*((Adders!$E$13:$E$101)=$F82)*(Adders!G$13:G$101)) + VLOOKUP($H82,Adders!$B$5:$G$8,M$11,FALSE)  +  OH!$D$2 ) * IF($D82="NJ",1.07,1))/$L$10, CHOOSE($M$10,$L$9,$M$9) )</f>
        <v xml:space="preserve"> 19.15 </v>
      </c>
      <c r="N82" s="177" t="str">
        <f>TEXT(   (SUMPRODUCT( ((LMPMain!$H$9:$H$1000)=$E82)*((LMPMain!$J$9:$J$1000)=$F82)*((LMPMain!$O$9:$O$1000)=$C82)*(LMPMain!T$9:T$1000) ) +  ( SUMPRODUCT( ((Adders!$D$13:$D$101)=$E82)*((Adders!$E$13:$E$101)=$F82)*(Adders!H$13:H$101)) + VLOOKUP($H82,Adders!$B$5:$G$8,N$11,FALSE)  +  OH!$D$2 ) * IF($D82="NJ",1.07,1))/$L$10, CHOOSE($M$10,$L$9,$M$9) )</f>
        <v xml:space="preserve"> 20.48 </v>
      </c>
      <c r="O82" s="112"/>
    </row>
    <row r="83" spans="2:15" x14ac:dyDescent="0.25">
      <c r="B83" s="108"/>
      <c r="C83" s="127">
        <f t="shared" si="1"/>
        <v>42491</v>
      </c>
      <c r="D83" s="128" t="s">
        <v>20</v>
      </c>
      <c r="E83" s="129" t="s">
        <v>63</v>
      </c>
      <c r="F83" s="128" t="s">
        <v>21</v>
      </c>
      <c r="G83" s="129" t="str">
        <f t="shared" si="2"/>
        <v>General Service Medium</v>
      </c>
      <c r="H83" s="130" t="s">
        <v>61</v>
      </c>
      <c r="I83" s="180" t="str">
        <f>TEXT(   (SUMPRODUCT( ((Main!$H$9:$H$1000)=$E83)*((Main!$J$9:$J$1000)=$F83)*((Main!$O$9:$O$1000)=$C83)*(Main!R$9:R$1000) ) +  ( SUMPRODUCT( ((Adders!$D$13:$D$101)=$E83)*((Adders!$E$13:$E$101)=$F83)*(Adders!G$13:G$101)) + VLOOKUP($H83,Adders!$B$5:$G$8,L$11,FALSE)  +  OH!$D$2 ) * IF($D83="NJ",1.07,1))/$L$10, CHOOSE($M$10,$L$9,$M$9) )</f>
        <v xml:space="preserve"> 70.84 </v>
      </c>
      <c r="J83" s="178" t="str">
        <f>TEXT(   (SUMPRODUCT( ((Main!$H$9:$H$1000)=$E83)*((Main!$J$9:$J$1000)=$F83)*((Main!$O$9:$O$1000)=$C83)*(Main!S$9:S$1000) ) +  ( SUMPRODUCT( ((Adders!$D$13:$D$101)=$E83)*((Adders!$E$13:$E$101)=$F83)*(Adders!H$13:H$101)) + VLOOKUP($H83,Adders!$B$5:$G$8,M$11,FALSE)  +  OH!$D$2 ) * IF($D83="NJ",1.07,1))/$L$10, CHOOSE($M$10,$L$9,$M$9) )</f>
        <v xml:space="preserve"> 70.56 </v>
      </c>
      <c r="K83" s="179" t="str">
        <f>TEXT(   (SUMPRODUCT( ((Main!$H$9:$H$1000)=$E83)*((Main!$J$9:$J$1000)=$F83)*((Main!$O$9:$O$1000)=$C83)*(Main!T$9:T$1000) ) +  ( SUMPRODUCT( ((Adders!$D$13:$D$101)=$E83)*((Adders!$E$13:$E$101)=$F83)*(Adders!I$13:I$101)) + VLOOKUP($H83,Adders!$B$5:$G$8,$N$11,FALSE)  +  OH!$D$2 ) * IF($D83="NJ",1.07,1))/$L$10, CHOOSE($M$10,$L$9,$M$9) )</f>
        <v xml:space="preserve"> 71.36 </v>
      </c>
      <c r="L83" s="180" t="str">
        <f>TEXT(   (SUMPRODUCT( ((LMPMain!$H$9:$H$1000)=$E83)*((LMPMain!$J$9:$J$1000)=$F83)*((LMPMain!$O$9:$O$1000)=$C83)*(LMPMain!R$9:R$1000) ) +  ( SUMPRODUCT( ((Adders!$D$13:$D$101)=$E83)*((Adders!$E$13:$E$101)=$F83)*(Adders!F$13:F$101)) + VLOOKUP($H83,Adders!$B$5:$G$8,L$11,FALSE)  +  OH!$D$2 ) * IF($D83="NJ",1.07,1))/$L$10, CHOOSE($M$10,$L$9,$M$9) )</f>
        <v xml:space="preserve"> 20.39 </v>
      </c>
      <c r="M83" s="178" t="str">
        <f>TEXT(   (SUMPRODUCT( ((LMPMain!$H$9:$H$1000)=$E83)*((LMPMain!$J$9:$J$1000)=$F83)*((LMPMain!$O$9:$O$1000)=$C83)*(LMPMain!S$9:S$1000) ) +  ( SUMPRODUCT( ((Adders!$D$13:$D$101)=$E83)*((Adders!$E$13:$E$101)=$F83)*(Adders!G$13:G$101)) + VLOOKUP($H83,Adders!$B$5:$G$8,M$11,FALSE)  +  OH!$D$2 ) * IF($D83="NJ",1.07,1))/$L$10, CHOOSE($M$10,$L$9,$M$9) )</f>
        <v xml:space="preserve"> 21.74 </v>
      </c>
      <c r="N83" s="179" t="str">
        <f>TEXT(   (SUMPRODUCT( ((LMPMain!$H$9:$H$1000)=$E83)*((LMPMain!$J$9:$J$1000)=$F83)*((LMPMain!$O$9:$O$1000)=$C83)*(LMPMain!T$9:T$1000) ) +  ( SUMPRODUCT( ((Adders!$D$13:$D$101)=$E83)*((Adders!$E$13:$E$101)=$F83)*(Adders!H$13:H$101)) + VLOOKUP($H83,Adders!$B$5:$G$8,N$11,FALSE)  +  OH!$D$2 ) * IF($D83="NJ",1.07,1))/$L$10, CHOOSE($M$10,$L$9,$M$9) )</f>
        <v xml:space="preserve"> 23.08 </v>
      </c>
      <c r="O83" s="112"/>
    </row>
    <row r="84" spans="2:15" x14ac:dyDescent="0.25">
      <c r="B84" s="108"/>
      <c r="C84" s="131">
        <f t="shared" si="1"/>
        <v>42491</v>
      </c>
      <c r="D84" s="132" t="s">
        <v>20</v>
      </c>
      <c r="E84" s="133" t="s">
        <v>63</v>
      </c>
      <c r="F84" s="132" t="s">
        <v>21</v>
      </c>
      <c r="G84" s="133" t="str">
        <f t="shared" si="2"/>
        <v>General Service Medium</v>
      </c>
      <c r="H84" s="134" t="s">
        <v>62</v>
      </c>
      <c r="I84" s="172" t="str">
        <f>TEXT(   (SUMPRODUCT( ((Main!$H$9:$H$1000)=$E84)*((Main!$J$9:$J$1000)=$F84)*((Main!$O$9:$O$1000)=$C84)*(Main!R$9:R$1000) ) +  ( SUMPRODUCT( ((Adders!$D$13:$D$101)=$E84)*((Adders!$E$13:$E$101)=$F84)*(Adders!G$13:G$101)) + VLOOKUP($H84,Adders!$B$5:$G$8,L$11,FALSE)  +  OH!$D$2 ) * IF($D84="NJ",1.07,1))/$L$10, CHOOSE($M$10,$L$9,$M$9) )</f>
        <v xml:space="preserve"> 69.24 </v>
      </c>
      <c r="J84" s="173" t="str">
        <f>TEXT(   (SUMPRODUCT( ((Main!$H$9:$H$1000)=$E84)*((Main!$J$9:$J$1000)=$F84)*((Main!$O$9:$O$1000)=$C84)*(Main!S$9:S$1000) ) +  ( SUMPRODUCT( ((Adders!$D$13:$D$101)=$E84)*((Adders!$E$13:$E$101)=$F84)*(Adders!H$13:H$101)) + VLOOKUP($H84,Adders!$B$5:$G$8,M$11,FALSE)  +  OH!$D$2 ) * IF($D84="NJ",1.07,1))/$L$10, CHOOSE($M$10,$L$9,$M$9) )</f>
        <v xml:space="preserve"> 68.96 </v>
      </c>
      <c r="K84" s="174" t="str">
        <f>TEXT(   (SUMPRODUCT( ((Main!$H$9:$H$1000)=$E84)*((Main!$J$9:$J$1000)=$F84)*((Main!$O$9:$O$1000)=$C84)*(Main!T$9:T$1000) ) +  ( SUMPRODUCT( ((Adders!$D$13:$D$101)=$E84)*((Adders!$E$13:$E$101)=$F84)*(Adders!I$13:I$101)) + VLOOKUP($H84,Adders!$B$5:$G$8,$N$11,FALSE)  +  OH!$D$2 ) * IF($D84="NJ",1.07,1))/$L$10, CHOOSE($M$10,$L$9,$M$9) )</f>
        <v xml:space="preserve"> 69.76 </v>
      </c>
      <c r="L84" s="172" t="str">
        <f>TEXT(   (SUMPRODUCT( ((LMPMain!$H$9:$H$1000)=$E84)*((LMPMain!$J$9:$J$1000)=$F84)*((LMPMain!$O$9:$O$1000)=$C84)*(LMPMain!R$9:R$1000) ) +  ( SUMPRODUCT( ((Adders!$D$13:$D$101)=$E84)*((Adders!$E$13:$E$101)=$F84)*(Adders!F$13:F$101)) + VLOOKUP($H84,Adders!$B$5:$G$8,L$11,FALSE)  +  OH!$D$2 ) * IF($D84="NJ",1.07,1))/$L$10, CHOOSE($M$10,$L$9,$M$9) )</f>
        <v xml:space="preserve"> 18.79 </v>
      </c>
      <c r="M84" s="173" t="str">
        <f>TEXT(   (SUMPRODUCT( ((LMPMain!$H$9:$H$1000)=$E84)*((LMPMain!$J$9:$J$1000)=$F84)*((LMPMain!$O$9:$O$1000)=$C84)*(LMPMain!S$9:S$1000) ) +  ( SUMPRODUCT( ((Adders!$D$13:$D$101)=$E84)*((Adders!$E$13:$E$101)=$F84)*(Adders!G$13:G$101)) + VLOOKUP($H84,Adders!$B$5:$G$8,M$11,FALSE)  +  OH!$D$2 ) * IF($D84="NJ",1.07,1))/$L$10, CHOOSE($M$10,$L$9,$M$9) )</f>
        <v xml:space="preserve"> 20.14 </v>
      </c>
      <c r="N84" s="174" t="str">
        <f>TEXT(   (SUMPRODUCT( ((LMPMain!$H$9:$H$1000)=$E84)*((LMPMain!$J$9:$J$1000)=$F84)*((LMPMain!$O$9:$O$1000)=$C84)*(LMPMain!T$9:T$1000) ) +  ( SUMPRODUCT( ((Adders!$D$13:$D$101)=$E84)*((Adders!$E$13:$E$101)=$F84)*(Adders!H$13:H$101)) + VLOOKUP($H84,Adders!$B$5:$G$8,N$11,FALSE)  +  OH!$D$2 ) * IF($D84="NJ",1.07,1))/$L$10, CHOOSE($M$10,$L$9,$M$9) )</f>
        <v xml:space="preserve"> 21.48 </v>
      </c>
      <c r="O84" s="112"/>
    </row>
    <row r="85" spans="2:15" x14ac:dyDescent="0.25">
      <c r="B85" s="108"/>
      <c r="C85" s="135">
        <f t="shared" si="1"/>
        <v>42491</v>
      </c>
      <c r="D85" s="136" t="s">
        <v>20</v>
      </c>
      <c r="E85" s="137" t="s">
        <v>63</v>
      </c>
      <c r="F85" s="136" t="s">
        <v>21</v>
      </c>
      <c r="G85" s="137" t="str">
        <f t="shared" si="2"/>
        <v>General Service Medium</v>
      </c>
      <c r="H85" s="138" t="s">
        <v>690</v>
      </c>
      <c r="I85" s="175" t="str">
        <f>TEXT(   (SUMPRODUCT( ((Main!$H$9:$H$1000)=$E85)*((Main!$J$9:$J$1000)=$F85)*((Main!$O$9:$O$1000)=$C85)*(Main!R$9:R$1000) ) +  ( SUMPRODUCT( ((Adders!$D$13:$D$101)=$E85)*((Adders!$E$13:$E$101)=$F85)*(Adders!G$13:G$101)) + VLOOKUP($H85,Adders!$B$5:$G$8,L$11,FALSE)  +  OH!$D$2 ) * IF($D85="NJ",1.07,1))/$L$10, CHOOSE($M$10,$L$9,$M$9) )</f>
        <v xml:space="preserve"> 68.19 </v>
      </c>
      <c r="J85" s="176" t="str">
        <f>TEXT(   (SUMPRODUCT( ((Main!$H$9:$H$1000)=$E85)*((Main!$J$9:$J$1000)=$F85)*((Main!$O$9:$O$1000)=$C85)*(Main!S$9:S$1000) ) +  ( SUMPRODUCT( ((Adders!$D$13:$D$101)=$E85)*((Adders!$E$13:$E$101)=$F85)*(Adders!H$13:H$101)) + VLOOKUP($H85,Adders!$B$5:$G$8,M$11,FALSE)  +  OH!$D$2 ) * IF($D85="NJ",1.07,1))/$L$10, CHOOSE($M$10,$L$9,$M$9) )</f>
        <v xml:space="preserve"> 67.91 </v>
      </c>
      <c r="K85" s="177" t="str">
        <f>TEXT(   (SUMPRODUCT( ((Main!$H$9:$H$1000)=$E85)*((Main!$J$9:$J$1000)=$F85)*((Main!$O$9:$O$1000)=$C85)*(Main!T$9:T$1000) ) +  ( SUMPRODUCT( ((Adders!$D$13:$D$101)=$E85)*((Adders!$E$13:$E$101)=$F85)*(Adders!I$13:I$101)) + VLOOKUP($H85,Adders!$B$5:$G$8,$N$11,FALSE)  +  OH!$D$2 ) * IF($D85="NJ",1.07,1))/$L$10, CHOOSE($M$10,$L$9,$M$9) )</f>
        <v xml:space="preserve"> 68.71 </v>
      </c>
      <c r="L85" s="175" t="str">
        <f>TEXT(   (SUMPRODUCT( ((LMPMain!$H$9:$H$1000)=$E85)*((LMPMain!$J$9:$J$1000)=$F85)*((LMPMain!$O$9:$O$1000)=$C85)*(LMPMain!R$9:R$1000) ) +  ( SUMPRODUCT( ((Adders!$D$13:$D$101)=$E85)*((Adders!$E$13:$E$101)=$F85)*(Adders!F$13:F$101)) + VLOOKUP($H85,Adders!$B$5:$G$8,L$11,FALSE)  +  OH!$D$2 ) * IF($D85="NJ",1.07,1))/$L$10, CHOOSE($M$10,$L$9,$M$9) )</f>
        <v xml:space="preserve"> 17.74 </v>
      </c>
      <c r="M85" s="176" t="str">
        <f>TEXT(   (SUMPRODUCT( ((LMPMain!$H$9:$H$1000)=$E85)*((LMPMain!$J$9:$J$1000)=$F85)*((LMPMain!$O$9:$O$1000)=$C85)*(LMPMain!S$9:S$1000) ) +  ( SUMPRODUCT( ((Adders!$D$13:$D$101)=$E85)*((Adders!$E$13:$E$101)=$F85)*(Adders!G$13:G$101)) + VLOOKUP($H85,Adders!$B$5:$G$8,M$11,FALSE)  +  OH!$D$2 ) * IF($D85="NJ",1.07,1))/$L$10, CHOOSE($M$10,$L$9,$M$9) )</f>
        <v xml:space="preserve"> 19.09 </v>
      </c>
      <c r="N85" s="177" t="str">
        <f>TEXT(   (SUMPRODUCT( ((LMPMain!$H$9:$H$1000)=$E85)*((LMPMain!$J$9:$J$1000)=$F85)*((LMPMain!$O$9:$O$1000)=$C85)*(LMPMain!T$9:T$1000) ) +  ( SUMPRODUCT( ((Adders!$D$13:$D$101)=$E85)*((Adders!$E$13:$E$101)=$F85)*(Adders!H$13:H$101)) + VLOOKUP($H85,Adders!$B$5:$G$8,N$11,FALSE)  +  OH!$D$2 ) * IF($D85="NJ",1.07,1))/$L$10, CHOOSE($M$10,$L$9,$M$9) )</f>
        <v xml:space="preserve"> 20.43 </v>
      </c>
      <c r="O85" s="112"/>
    </row>
    <row r="86" spans="2:15" x14ac:dyDescent="0.25">
      <c r="B86" s="108"/>
      <c r="C86" s="127">
        <f t="shared" si="1"/>
        <v>42156</v>
      </c>
      <c r="D86" s="128" t="s">
        <v>20</v>
      </c>
      <c r="E86" s="129" t="s">
        <v>63</v>
      </c>
      <c r="F86" s="128" t="s">
        <v>16</v>
      </c>
      <c r="G86" s="129" t="str">
        <f>VLOOKUP(SUMPRODUCT( ((LMPMain!$H$9:$H$1000)=$E86)*((LMPMain!$J$9:$J$1000)=$F86)*((LMPMain!$O$9:$O$1000)=$C86)*(LMPMain!A$9:A$1000)),LMPMain!$A$9:$K$1000,11,FALSE)</f>
        <v>General Service Large</v>
      </c>
      <c r="H86" s="130" t="s">
        <v>61</v>
      </c>
      <c r="I86" s="180" t="str">
        <f>TEXT(   (SUMPRODUCT( ((Main!$H$9:$H$1000)=$E86)*((Main!$J$9:$J$1000)=$F86)*((Main!$O$9:$O$1000)=$C86)*(Main!R$9:R$1000) ) +  ( SUMPRODUCT( ((Adders!$D$13:$D$101)=$E86)*((Adders!$E$13:$E$101)=$F86)*(Adders!G$13:G$101)) + VLOOKUP($H86,Adders!$B$5:$G$8,L$11,FALSE)  +  OH!$D$2 ) * IF($D86="NJ",1.07,1))/$L$10, CHOOSE($M$10,$L$9,$M$9) )</f>
        <v xml:space="preserve"> 75.77 </v>
      </c>
      <c r="J86" s="178" t="str">
        <f>TEXT(   (SUMPRODUCT( ((Main!$H$9:$H$1000)=$E86)*((Main!$J$9:$J$1000)=$F86)*((Main!$O$9:$O$1000)=$C86)*(Main!S$9:S$1000) ) +  ( SUMPRODUCT( ((Adders!$D$13:$D$101)=$E86)*((Adders!$E$13:$E$101)=$F86)*(Adders!H$13:H$101)) + VLOOKUP($H86,Adders!$B$5:$G$8,M$11,FALSE)  +  OH!$D$2 ) * IF($D86="NJ",1.07,1))/$L$10, CHOOSE($M$10,$L$9,$M$9) )</f>
        <v xml:space="preserve"> 72.47 </v>
      </c>
      <c r="K86" s="179" t="str">
        <f>TEXT(   (SUMPRODUCT( ((Main!$H$9:$H$1000)=$E86)*((Main!$J$9:$J$1000)=$F86)*((Main!$O$9:$O$1000)=$C86)*(Main!T$9:T$1000) ) +  ( SUMPRODUCT( ((Adders!$D$13:$D$101)=$E86)*((Adders!$E$13:$E$101)=$F86)*(Adders!I$13:I$101)) + VLOOKUP($H86,Adders!$B$5:$G$8,$N$11,FALSE)  +  OH!$D$2 ) * IF($D86="NJ",1.07,1))/$L$10, CHOOSE($M$10,$L$9,$M$9) )</f>
        <v xml:space="preserve"> 72.45 </v>
      </c>
      <c r="L86" s="180" t="str">
        <f>TEXT(   (SUMPRODUCT( ((LMPMain!$H$9:$H$1000)=$E86)*((LMPMain!$J$9:$J$1000)=$F86)*((LMPMain!$O$9:$O$1000)=$C86)*(LMPMain!R$9:R$1000) ) +  ( SUMPRODUCT( ((Adders!$D$13:$D$101)=$E86)*((Adders!$E$13:$E$101)=$F86)*(Adders!F$13:F$101)) + VLOOKUP($H86,Adders!$B$5:$G$8,L$11,FALSE)  +  OH!$D$2 ) * IF($D86="NJ",1.07,1))/$L$10, CHOOSE($M$10,$L$9,$M$9) )</f>
        <v xml:space="preserve"> 27.48 </v>
      </c>
      <c r="M86" s="178" t="str">
        <f>TEXT(   (SUMPRODUCT( ((LMPMain!$H$9:$H$1000)=$E86)*((LMPMain!$J$9:$J$1000)=$F86)*((LMPMain!$O$9:$O$1000)=$C86)*(LMPMain!S$9:S$1000) ) +  ( SUMPRODUCT( ((Adders!$D$13:$D$101)=$E86)*((Adders!$E$13:$E$101)=$F86)*(Adders!G$13:G$101)) + VLOOKUP($H86,Adders!$B$5:$G$8,M$11,FALSE)  +  OH!$D$2 ) * IF($D86="NJ",1.07,1))/$L$10, CHOOSE($M$10,$L$9,$M$9) )</f>
        <v xml:space="preserve"> 24.44 </v>
      </c>
      <c r="N86" s="179" t="str">
        <f>TEXT(   (SUMPRODUCT( ((LMPMain!$H$9:$H$1000)=$E86)*((LMPMain!$J$9:$J$1000)=$F86)*((LMPMain!$O$9:$O$1000)=$C86)*(LMPMain!T$9:T$1000) ) +  ( SUMPRODUCT( ((Adders!$D$13:$D$101)=$E86)*((Adders!$E$13:$E$101)=$F86)*(Adders!H$13:H$101)) + VLOOKUP($H86,Adders!$B$5:$G$8,N$11,FALSE)  +  OH!$D$2 ) * IF($D86="NJ",1.07,1))/$L$10, CHOOSE($M$10,$L$9,$M$9) )</f>
        <v xml:space="preserve"> 23.55 </v>
      </c>
      <c r="O86" s="112"/>
    </row>
    <row r="87" spans="2:15" x14ac:dyDescent="0.25">
      <c r="B87" s="108"/>
      <c r="C87" s="131">
        <f t="shared" si="1"/>
        <v>42156</v>
      </c>
      <c r="D87" s="132" t="s">
        <v>20</v>
      </c>
      <c r="E87" s="133" t="s">
        <v>63</v>
      </c>
      <c r="F87" s="132" t="s">
        <v>16</v>
      </c>
      <c r="G87" s="133" t="str">
        <f>G86</f>
        <v>General Service Large</v>
      </c>
      <c r="H87" s="134" t="s">
        <v>62</v>
      </c>
      <c r="I87" s="172" t="str">
        <f>TEXT(   (SUMPRODUCT( ((Main!$H$9:$H$1000)=$E87)*((Main!$J$9:$J$1000)=$F87)*((Main!$O$9:$O$1000)=$C87)*(Main!R$9:R$1000) ) +  ( SUMPRODUCT( ((Adders!$D$13:$D$101)=$E87)*((Adders!$E$13:$E$101)=$F87)*(Adders!G$13:G$101)) + VLOOKUP($H87,Adders!$B$5:$G$8,L$11,FALSE)  +  OH!$D$2 ) * IF($D87="NJ",1.07,1))/$L$10, CHOOSE($M$10,$L$9,$M$9) )</f>
        <v xml:space="preserve"> 74.17 </v>
      </c>
      <c r="J87" s="173" t="str">
        <f>TEXT(   (SUMPRODUCT( ((Main!$H$9:$H$1000)=$E87)*((Main!$J$9:$J$1000)=$F87)*((Main!$O$9:$O$1000)=$C87)*(Main!S$9:S$1000) ) +  ( SUMPRODUCT( ((Adders!$D$13:$D$101)=$E87)*((Adders!$E$13:$E$101)=$F87)*(Adders!H$13:H$101)) + VLOOKUP($H87,Adders!$B$5:$G$8,M$11,FALSE)  +  OH!$D$2 ) * IF($D87="NJ",1.07,1))/$L$10, CHOOSE($M$10,$L$9,$M$9) )</f>
        <v xml:space="preserve"> 70.87 </v>
      </c>
      <c r="K87" s="174" t="str">
        <f>TEXT(   (SUMPRODUCT( ((Main!$H$9:$H$1000)=$E87)*((Main!$J$9:$J$1000)=$F87)*((Main!$O$9:$O$1000)=$C87)*(Main!T$9:T$1000) ) +  ( SUMPRODUCT( ((Adders!$D$13:$D$101)=$E87)*((Adders!$E$13:$E$101)=$F87)*(Adders!I$13:I$101)) + VLOOKUP($H87,Adders!$B$5:$G$8,$N$11,FALSE)  +  OH!$D$2 ) * IF($D87="NJ",1.07,1))/$L$10, CHOOSE($M$10,$L$9,$M$9) )</f>
        <v xml:space="preserve"> 70.85 </v>
      </c>
      <c r="L87" s="172" t="str">
        <f>TEXT(   (SUMPRODUCT( ((LMPMain!$H$9:$H$1000)=$E87)*((LMPMain!$J$9:$J$1000)=$F87)*((LMPMain!$O$9:$O$1000)=$C87)*(LMPMain!R$9:R$1000) ) +  ( SUMPRODUCT( ((Adders!$D$13:$D$101)=$E87)*((Adders!$E$13:$E$101)=$F87)*(Adders!F$13:F$101)) + VLOOKUP($H87,Adders!$B$5:$G$8,L$11,FALSE)  +  OH!$D$2 ) * IF($D87="NJ",1.07,1))/$L$10, CHOOSE($M$10,$L$9,$M$9) )</f>
        <v xml:space="preserve"> 25.88 </v>
      </c>
      <c r="M87" s="173" t="str">
        <f>TEXT(   (SUMPRODUCT( ((LMPMain!$H$9:$H$1000)=$E87)*((LMPMain!$J$9:$J$1000)=$F87)*((LMPMain!$O$9:$O$1000)=$C87)*(LMPMain!S$9:S$1000) ) +  ( SUMPRODUCT( ((Adders!$D$13:$D$101)=$E87)*((Adders!$E$13:$E$101)=$F87)*(Adders!G$13:G$101)) + VLOOKUP($H87,Adders!$B$5:$G$8,M$11,FALSE)  +  OH!$D$2 ) * IF($D87="NJ",1.07,1))/$L$10, CHOOSE($M$10,$L$9,$M$9) )</f>
        <v xml:space="preserve"> 22.84 </v>
      </c>
      <c r="N87" s="174" t="str">
        <f>TEXT(   (SUMPRODUCT( ((LMPMain!$H$9:$H$1000)=$E87)*((LMPMain!$J$9:$J$1000)=$F87)*((LMPMain!$O$9:$O$1000)=$C87)*(LMPMain!T$9:T$1000) ) +  ( SUMPRODUCT( ((Adders!$D$13:$D$101)=$E87)*((Adders!$E$13:$E$101)=$F87)*(Adders!H$13:H$101)) + VLOOKUP($H87,Adders!$B$5:$G$8,N$11,FALSE)  +  OH!$D$2 ) * IF($D87="NJ",1.07,1))/$L$10, CHOOSE($M$10,$L$9,$M$9) )</f>
        <v xml:space="preserve"> 21.95 </v>
      </c>
      <c r="O87" s="112"/>
    </row>
    <row r="88" spans="2:15" x14ac:dyDescent="0.25">
      <c r="B88" s="108"/>
      <c r="C88" s="135">
        <f t="shared" si="1"/>
        <v>42156</v>
      </c>
      <c r="D88" s="136" t="s">
        <v>20</v>
      </c>
      <c r="E88" s="137" t="s">
        <v>63</v>
      </c>
      <c r="F88" s="136" t="s">
        <v>16</v>
      </c>
      <c r="G88" s="137" t="str">
        <f>G87</f>
        <v>General Service Large</v>
      </c>
      <c r="H88" s="138" t="s">
        <v>690</v>
      </c>
      <c r="I88" s="175" t="str">
        <f>TEXT(   (SUMPRODUCT( ((Main!$H$9:$H$1000)=$E88)*((Main!$J$9:$J$1000)=$F88)*((Main!$O$9:$O$1000)=$C88)*(Main!R$9:R$1000) ) +  ( SUMPRODUCT( ((Adders!$D$13:$D$101)=$E88)*((Adders!$E$13:$E$101)=$F88)*(Adders!G$13:G$101)) + VLOOKUP($H88,Adders!$B$5:$G$8,L$11,FALSE)  +  OH!$D$2 ) * IF($D88="NJ",1.07,1))/$L$10, CHOOSE($M$10,$L$9,$M$9) )</f>
        <v xml:space="preserve"> 73.12 </v>
      </c>
      <c r="J88" s="176" t="str">
        <f>TEXT(   (SUMPRODUCT( ((Main!$H$9:$H$1000)=$E88)*((Main!$J$9:$J$1000)=$F88)*((Main!$O$9:$O$1000)=$C88)*(Main!S$9:S$1000) ) +  ( SUMPRODUCT( ((Adders!$D$13:$D$101)=$E88)*((Adders!$E$13:$E$101)=$F88)*(Adders!H$13:H$101)) + VLOOKUP($H88,Adders!$B$5:$G$8,M$11,FALSE)  +  OH!$D$2 ) * IF($D88="NJ",1.07,1))/$L$10, CHOOSE($M$10,$L$9,$M$9) )</f>
        <v xml:space="preserve"> 69.82 </v>
      </c>
      <c r="K88" s="177" t="str">
        <f>TEXT(   (SUMPRODUCT( ((Main!$H$9:$H$1000)=$E88)*((Main!$J$9:$J$1000)=$F88)*((Main!$O$9:$O$1000)=$C88)*(Main!T$9:T$1000) ) +  ( SUMPRODUCT( ((Adders!$D$13:$D$101)=$E88)*((Adders!$E$13:$E$101)=$F88)*(Adders!I$13:I$101)) + VLOOKUP($H88,Adders!$B$5:$G$8,$N$11,FALSE)  +  OH!$D$2 ) * IF($D88="NJ",1.07,1))/$L$10, CHOOSE($M$10,$L$9,$M$9) )</f>
        <v xml:space="preserve"> 69.80 </v>
      </c>
      <c r="L88" s="175" t="str">
        <f>TEXT(   (SUMPRODUCT( ((LMPMain!$H$9:$H$1000)=$E88)*((LMPMain!$J$9:$J$1000)=$F88)*((LMPMain!$O$9:$O$1000)=$C88)*(LMPMain!R$9:R$1000) ) +  ( SUMPRODUCT( ((Adders!$D$13:$D$101)=$E88)*((Adders!$E$13:$E$101)=$F88)*(Adders!F$13:F$101)) + VLOOKUP($H88,Adders!$B$5:$G$8,L$11,FALSE)  +  OH!$D$2 ) * IF($D88="NJ",1.07,1))/$L$10, CHOOSE($M$10,$L$9,$M$9) )</f>
        <v xml:space="preserve"> 24.83 </v>
      </c>
      <c r="M88" s="176" t="str">
        <f>TEXT(   (SUMPRODUCT( ((LMPMain!$H$9:$H$1000)=$E88)*((LMPMain!$J$9:$J$1000)=$F88)*((LMPMain!$O$9:$O$1000)=$C88)*(LMPMain!S$9:S$1000) ) +  ( SUMPRODUCT( ((Adders!$D$13:$D$101)=$E88)*((Adders!$E$13:$E$101)=$F88)*(Adders!G$13:G$101)) + VLOOKUP($H88,Adders!$B$5:$G$8,M$11,FALSE)  +  OH!$D$2 ) * IF($D88="NJ",1.07,1))/$L$10, CHOOSE($M$10,$L$9,$M$9) )</f>
        <v xml:space="preserve"> 21.79 </v>
      </c>
      <c r="N88" s="177" t="str">
        <f>TEXT(   (SUMPRODUCT( ((LMPMain!$H$9:$H$1000)=$E88)*((LMPMain!$J$9:$J$1000)=$F88)*((LMPMain!$O$9:$O$1000)=$C88)*(LMPMain!T$9:T$1000) ) +  ( SUMPRODUCT( ((Adders!$D$13:$D$101)=$E88)*((Adders!$E$13:$E$101)=$F88)*(Adders!H$13:H$101)) + VLOOKUP($H88,Adders!$B$5:$G$8,N$11,FALSE)  +  OH!$D$2 ) * IF($D88="NJ",1.07,1))/$L$10, CHOOSE($M$10,$L$9,$M$9) )</f>
        <v xml:space="preserve"> 20.90 </v>
      </c>
      <c r="O88" s="112"/>
    </row>
    <row r="89" spans="2:15" x14ac:dyDescent="0.25">
      <c r="B89" s="108"/>
      <c r="C89" s="127">
        <f t="shared" si="1"/>
        <v>42186</v>
      </c>
      <c r="D89" s="128" t="s">
        <v>20</v>
      </c>
      <c r="E89" s="129" t="s">
        <v>63</v>
      </c>
      <c r="F89" s="128" t="s">
        <v>16</v>
      </c>
      <c r="G89" s="129" t="str">
        <f t="shared" si="2"/>
        <v>General Service Large</v>
      </c>
      <c r="H89" s="130" t="s">
        <v>61</v>
      </c>
      <c r="I89" s="180" t="str">
        <f>TEXT(   (SUMPRODUCT( ((Main!$H$9:$H$1000)=$E89)*((Main!$J$9:$J$1000)=$F89)*((Main!$O$9:$O$1000)=$C89)*(Main!R$9:R$1000) ) +  ( SUMPRODUCT( ((Adders!$D$13:$D$101)=$E89)*((Adders!$E$13:$E$101)=$F89)*(Adders!G$13:G$101)) + VLOOKUP($H89,Adders!$B$5:$G$8,L$11,FALSE)  +  OH!$D$2 ) * IF($D89="NJ",1.07,1))/$L$10, CHOOSE($M$10,$L$9,$M$9) )</f>
        <v xml:space="preserve"> 75.32 </v>
      </c>
      <c r="J89" s="178" t="str">
        <f>TEXT(   (SUMPRODUCT( ((Main!$H$9:$H$1000)=$E89)*((Main!$J$9:$J$1000)=$F89)*((Main!$O$9:$O$1000)=$C89)*(Main!S$9:S$1000) ) +  ( SUMPRODUCT( ((Adders!$D$13:$D$101)=$E89)*((Adders!$E$13:$E$101)=$F89)*(Adders!H$13:H$101)) + VLOOKUP($H89,Adders!$B$5:$G$8,M$11,FALSE)  +  OH!$D$2 ) * IF($D89="NJ",1.07,1))/$L$10, CHOOSE($M$10,$L$9,$M$9) )</f>
        <v xml:space="preserve"> 72.25 </v>
      </c>
      <c r="K89" s="179" t="str">
        <f>TEXT(   (SUMPRODUCT( ((Main!$H$9:$H$1000)=$E89)*((Main!$J$9:$J$1000)=$F89)*((Main!$O$9:$O$1000)=$C89)*(Main!T$9:T$1000) ) +  ( SUMPRODUCT( ((Adders!$D$13:$D$101)=$E89)*((Adders!$E$13:$E$101)=$F89)*(Adders!I$13:I$101)) + VLOOKUP($H89,Adders!$B$5:$G$8,$N$11,FALSE)  +  OH!$D$2 ) * IF($D89="NJ",1.07,1))/$L$10, CHOOSE($M$10,$L$9,$M$9) )</f>
        <v xml:space="preserve"> 72.26 </v>
      </c>
      <c r="L89" s="180" t="str">
        <f>TEXT(   (SUMPRODUCT( ((LMPMain!$H$9:$H$1000)=$E89)*((LMPMain!$J$9:$J$1000)=$F89)*((LMPMain!$O$9:$O$1000)=$C89)*(LMPMain!R$9:R$1000) ) +  ( SUMPRODUCT( ((Adders!$D$13:$D$101)=$E89)*((Adders!$E$13:$E$101)=$F89)*(Adders!F$13:F$101)) + VLOOKUP($H89,Adders!$B$5:$G$8,L$11,FALSE)  +  OH!$D$2 ) * IF($D89="NJ",1.07,1))/$L$10, CHOOSE($M$10,$L$9,$M$9) )</f>
        <v xml:space="preserve"> 26.84 </v>
      </c>
      <c r="M89" s="178" t="str">
        <f>TEXT(   (SUMPRODUCT( ((LMPMain!$H$9:$H$1000)=$E89)*((LMPMain!$J$9:$J$1000)=$F89)*((LMPMain!$O$9:$O$1000)=$C89)*(LMPMain!S$9:S$1000) ) +  ( SUMPRODUCT( ((Adders!$D$13:$D$101)=$E89)*((Adders!$E$13:$E$101)=$F89)*(Adders!G$13:G$101)) + VLOOKUP($H89,Adders!$B$5:$G$8,M$11,FALSE)  +  OH!$D$2 ) * IF($D89="NJ",1.07,1))/$L$10, CHOOSE($M$10,$L$9,$M$9) )</f>
        <v xml:space="preserve"> 24.17 </v>
      </c>
      <c r="N89" s="179" t="str">
        <f>TEXT(   (SUMPRODUCT( ((LMPMain!$H$9:$H$1000)=$E89)*((LMPMain!$J$9:$J$1000)=$F89)*((LMPMain!$O$9:$O$1000)=$C89)*(LMPMain!T$9:T$1000) ) +  ( SUMPRODUCT( ((Adders!$D$13:$D$101)=$E89)*((Adders!$E$13:$E$101)=$F89)*(Adders!H$13:H$101)) + VLOOKUP($H89,Adders!$B$5:$G$8,N$11,FALSE)  +  OH!$D$2 ) * IF($D89="NJ",1.07,1))/$L$10, CHOOSE($M$10,$L$9,$M$9) )</f>
        <v xml:space="preserve"> 23.50 </v>
      </c>
      <c r="O89" s="112"/>
    </row>
    <row r="90" spans="2:15" x14ac:dyDescent="0.25">
      <c r="B90" s="108"/>
      <c r="C90" s="131">
        <f t="shared" si="1"/>
        <v>42186</v>
      </c>
      <c r="D90" s="132" t="s">
        <v>20</v>
      </c>
      <c r="E90" s="133" t="s">
        <v>63</v>
      </c>
      <c r="F90" s="132" t="s">
        <v>16</v>
      </c>
      <c r="G90" s="133" t="str">
        <f t="shared" si="2"/>
        <v>General Service Large</v>
      </c>
      <c r="H90" s="134" t="s">
        <v>62</v>
      </c>
      <c r="I90" s="172" t="str">
        <f>TEXT(   (SUMPRODUCT( ((Main!$H$9:$H$1000)=$E90)*((Main!$J$9:$J$1000)=$F90)*((Main!$O$9:$O$1000)=$C90)*(Main!R$9:R$1000) ) +  ( SUMPRODUCT( ((Adders!$D$13:$D$101)=$E90)*((Adders!$E$13:$E$101)=$F90)*(Adders!G$13:G$101)) + VLOOKUP($H90,Adders!$B$5:$G$8,L$11,FALSE)  +  OH!$D$2 ) * IF($D90="NJ",1.07,1))/$L$10, CHOOSE($M$10,$L$9,$M$9) )</f>
        <v xml:space="preserve"> 73.72 </v>
      </c>
      <c r="J90" s="173" t="str">
        <f>TEXT(   (SUMPRODUCT( ((Main!$H$9:$H$1000)=$E90)*((Main!$J$9:$J$1000)=$F90)*((Main!$O$9:$O$1000)=$C90)*(Main!S$9:S$1000) ) +  ( SUMPRODUCT( ((Adders!$D$13:$D$101)=$E90)*((Adders!$E$13:$E$101)=$F90)*(Adders!H$13:H$101)) + VLOOKUP($H90,Adders!$B$5:$G$8,M$11,FALSE)  +  OH!$D$2 ) * IF($D90="NJ",1.07,1))/$L$10, CHOOSE($M$10,$L$9,$M$9) )</f>
        <v xml:space="preserve"> 70.65 </v>
      </c>
      <c r="K90" s="174" t="str">
        <f>TEXT(   (SUMPRODUCT( ((Main!$H$9:$H$1000)=$E90)*((Main!$J$9:$J$1000)=$F90)*((Main!$O$9:$O$1000)=$C90)*(Main!T$9:T$1000) ) +  ( SUMPRODUCT( ((Adders!$D$13:$D$101)=$E90)*((Adders!$E$13:$E$101)=$F90)*(Adders!I$13:I$101)) + VLOOKUP($H90,Adders!$B$5:$G$8,$N$11,FALSE)  +  OH!$D$2 ) * IF($D90="NJ",1.07,1))/$L$10, CHOOSE($M$10,$L$9,$M$9) )</f>
        <v xml:space="preserve"> 70.66 </v>
      </c>
      <c r="L90" s="172" t="str">
        <f>TEXT(   (SUMPRODUCT( ((LMPMain!$H$9:$H$1000)=$E90)*((LMPMain!$J$9:$J$1000)=$F90)*((LMPMain!$O$9:$O$1000)=$C90)*(LMPMain!R$9:R$1000) ) +  ( SUMPRODUCT( ((Adders!$D$13:$D$101)=$E90)*((Adders!$E$13:$E$101)=$F90)*(Adders!F$13:F$101)) + VLOOKUP($H90,Adders!$B$5:$G$8,L$11,FALSE)  +  OH!$D$2 ) * IF($D90="NJ",1.07,1))/$L$10, CHOOSE($M$10,$L$9,$M$9) )</f>
        <v xml:space="preserve"> 25.24 </v>
      </c>
      <c r="M90" s="173" t="str">
        <f>TEXT(   (SUMPRODUCT( ((LMPMain!$H$9:$H$1000)=$E90)*((LMPMain!$J$9:$J$1000)=$F90)*((LMPMain!$O$9:$O$1000)=$C90)*(LMPMain!S$9:S$1000) ) +  ( SUMPRODUCT( ((Adders!$D$13:$D$101)=$E90)*((Adders!$E$13:$E$101)=$F90)*(Adders!G$13:G$101)) + VLOOKUP($H90,Adders!$B$5:$G$8,M$11,FALSE)  +  OH!$D$2 ) * IF($D90="NJ",1.07,1))/$L$10, CHOOSE($M$10,$L$9,$M$9) )</f>
        <v xml:space="preserve"> 22.57 </v>
      </c>
      <c r="N90" s="174" t="str">
        <f>TEXT(   (SUMPRODUCT( ((LMPMain!$H$9:$H$1000)=$E90)*((LMPMain!$J$9:$J$1000)=$F90)*((LMPMain!$O$9:$O$1000)=$C90)*(LMPMain!T$9:T$1000) ) +  ( SUMPRODUCT( ((Adders!$D$13:$D$101)=$E90)*((Adders!$E$13:$E$101)=$F90)*(Adders!H$13:H$101)) + VLOOKUP($H90,Adders!$B$5:$G$8,N$11,FALSE)  +  OH!$D$2 ) * IF($D90="NJ",1.07,1))/$L$10, CHOOSE($M$10,$L$9,$M$9) )</f>
        <v xml:space="preserve"> 21.90 </v>
      </c>
      <c r="O90" s="112"/>
    </row>
    <row r="91" spans="2:15" x14ac:dyDescent="0.25">
      <c r="B91" s="108"/>
      <c r="C91" s="135">
        <f t="shared" si="1"/>
        <v>42186</v>
      </c>
      <c r="D91" s="136" t="s">
        <v>20</v>
      </c>
      <c r="E91" s="137" t="s">
        <v>63</v>
      </c>
      <c r="F91" s="136" t="s">
        <v>16</v>
      </c>
      <c r="G91" s="137" t="str">
        <f t="shared" si="2"/>
        <v>General Service Large</v>
      </c>
      <c r="H91" s="138" t="s">
        <v>690</v>
      </c>
      <c r="I91" s="175" t="str">
        <f>TEXT(   (SUMPRODUCT( ((Main!$H$9:$H$1000)=$E91)*((Main!$J$9:$J$1000)=$F91)*((Main!$O$9:$O$1000)=$C91)*(Main!R$9:R$1000) ) +  ( SUMPRODUCT( ((Adders!$D$13:$D$101)=$E91)*((Adders!$E$13:$E$101)=$F91)*(Adders!G$13:G$101)) + VLOOKUP($H91,Adders!$B$5:$G$8,L$11,FALSE)  +  OH!$D$2 ) * IF($D91="NJ",1.07,1))/$L$10, CHOOSE($M$10,$L$9,$M$9) )</f>
        <v xml:space="preserve"> 72.67 </v>
      </c>
      <c r="J91" s="176" t="str">
        <f>TEXT(   (SUMPRODUCT( ((Main!$H$9:$H$1000)=$E91)*((Main!$J$9:$J$1000)=$F91)*((Main!$O$9:$O$1000)=$C91)*(Main!S$9:S$1000) ) +  ( SUMPRODUCT( ((Adders!$D$13:$D$101)=$E91)*((Adders!$E$13:$E$101)=$F91)*(Adders!H$13:H$101)) + VLOOKUP($H91,Adders!$B$5:$G$8,M$11,FALSE)  +  OH!$D$2 ) * IF($D91="NJ",1.07,1))/$L$10, CHOOSE($M$10,$L$9,$M$9) )</f>
        <v xml:space="preserve"> 69.60 </v>
      </c>
      <c r="K91" s="177" t="str">
        <f>TEXT(   (SUMPRODUCT( ((Main!$H$9:$H$1000)=$E91)*((Main!$J$9:$J$1000)=$F91)*((Main!$O$9:$O$1000)=$C91)*(Main!T$9:T$1000) ) +  ( SUMPRODUCT( ((Adders!$D$13:$D$101)=$E91)*((Adders!$E$13:$E$101)=$F91)*(Adders!I$13:I$101)) + VLOOKUP($H91,Adders!$B$5:$G$8,$N$11,FALSE)  +  OH!$D$2 ) * IF($D91="NJ",1.07,1))/$L$10, CHOOSE($M$10,$L$9,$M$9) )</f>
        <v xml:space="preserve"> 69.61 </v>
      </c>
      <c r="L91" s="175" t="str">
        <f>TEXT(   (SUMPRODUCT( ((LMPMain!$H$9:$H$1000)=$E91)*((LMPMain!$J$9:$J$1000)=$F91)*((LMPMain!$O$9:$O$1000)=$C91)*(LMPMain!R$9:R$1000) ) +  ( SUMPRODUCT( ((Adders!$D$13:$D$101)=$E91)*((Adders!$E$13:$E$101)=$F91)*(Adders!F$13:F$101)) + VLOOKUP($H91,Adders!$B$5:$G$8,L$11,FALSE)  +  OH!$D$2 ) * IF($D91="NJ",1.07,1))/$L$10, CHOOSE($M$10,$L$9,$M$9) )</f>
        <v xml:space="preserve"> 24.19 </v>
      </c>
      <c r="M91" s="176" t="str">
        <f>TEXT(   (SUMPRODUCT( ((LMPMain!$H$9:$H$1000)=$E91)*((LMPMain!$J$9:$J$1000)=$F91)*((LMPMain!$O$9:$O$1000)=$C91)*(LMPMain!S$9:S$1000) ) +  ( SUMPRODUCT( ((Adders!$D$13:$D$101)=$E91)*((Adders!$E$13:$E$101)=$F91)*(Adders!G$13:G$101)) + VLOOKUP($H91,Adders!$B$5:$G$8,M$11,FALSE)  +  OH!$D$2 ) * IF($D91="NJ",1.07,1))/$L$10, CHOOSE($M$10,$L$9,$M$9) )</f>
        <v xml:space="preserve"> 21.52 </v>
      </c>
      <c r="N91" s="177" t="str">
        <f>TEXT(   (SUMPRODUCT( ((LMPMain!$H$9:$H$1000)=$E91)*((LMPMain!$J$9:$J$1000)=$F91)*((LMPMain!$O$9:$O$1000)=$C91)*(LMPMain!T$9:T$1000) ) +  ( SUMPRODUCT( ((Adders!$D$13:$D$101)=$E91)*((Adders!$E$13:$E$101)=$F91)*(Adders!H$13:H$101)) + VLOOKUP($H91,Adders!$B$5:$G$8,N$11,FALSE)  +  OH!$D$2 ) * IF($D91="NJ",1.07,1))/$L$10, CHOOSE($M$10,$L$9,$M$9) )</f>
        <v xml:space="preserve"> 20.85 </v>
      </c>
      <c r="O91" s="112"/>
    </row>
    <row r="92" spans="2:15" x14ac:dyDescent="0.25">
      <c r="B92" s="108"/>
      <c r="C92" s="127">
        <f t="shared" si="1"/>
        <v>42217</v>
      </c>
      <c r="D92" s="128" t="s">
        <v>20</v>
      </c>
      <c r="E92" s="129" t="s">
        <v>63</v>
      </c>
      <c r="F92" s="128" t="s">
        <v>16</v>
      </c>
      <c r="G92" s="129" t="str">
        <f t="shared" si="2"/>
        <v>General Service Large</v>
      </c>
      <c r="H92" s="130" t="s">
        <v>61</v>
      </c>
      <c r="I92" s="180" t="str">
        <f>TEXT(   (SUMPRODUCT( ((Main!$H$9:$H$1000)=$E92)*((Main!$J$9:$J$1000)=$F92)*((Main!$O$9:$O$1000)=$C92)*(Main!R$9:R$1000) ) +  ( SUMPRODUCT( ((Adders!$D$13:$D$101)=$E92)*((Adders!$E$13:$E$101)=$F92)*(Adders!G$13:G$101)) + VLOOKUP($H92,Adders!$B$5:$G$8,L$11,FALSE)  +  OH!$D$2 ) * IF($D92="NJ",1.07,1))/$L$10, CHOOSE($M$10,$L$9,$M$9) )</f>
        <v xml:space="preserve"> 74.74 </v>
      </c>
      <c r="J92" s="178" t="str">
        <f>TEXT(   (SUMPRODUCT( ((Main!$H$9:$H$1000)=$E92)*((Main!$J$9:$J$1000)=$F92)*((Main!$O$9:$O$1000)=$C92)*(Main!S$9:S$1000) ) +  ( SUMPRODUCT( ((Adders!$D$13:$D$101)=$E92)*((Adders!$E$13:$E$101)=$F92)*(Adders!H$13:H$101)) + VLOOKUP($H92,Adders!$B$5:$G$8,M$11,FALSE)  +  OH!$D$2 ) * IF($D92="NJ",1.07,1))/$L$10, CHOOSE($M$10,$L$9,$M$9) )</f>
        <v xml:space="preserve"> 72.53 </v>
      </c>
      <c r="K92" s="179" t="str">
        <f>TEXT(   (SUMPRODUCT( ((Main!$H$9:$H$1000)=$E92)*((Main!$J$9:$J$1000)=$F92)*((Main!$O$9:$O$1000)=$C92)*(Main!T$9:T$1000) ) +  ( SUMPRODUCT( ((Adders!$D$13:$D$101)=$E92)*((Adders!$E$13:$E$101)=$F92)*(Adders!I$13:I$101)) + VLOOKUP($H92,Adders!$B$5:$G$8,$N$11,FALSE)  +  OH!$D$2 ) * IF($D92="NJ",1.07,1))/$L$10, CHOOSE($M$10,$L$9,$M$9) )</f>
        <v xml:space="preserve"> 72.16 </v>
      </c>
      <c r="L92" s="180" t="str">
        <f>TEXT(   (SUMPRODUCT( ((LMPMain!$H$9:$H$1000)=$E92)*((LMPMain!$J$9:$J$1000)=$F92)*((LMPMain!$O$9:$O$1000)=$C92)*(LMPMain!R$9:R$1000) ) +  ( SUMPRODUCT( ((Adders!$D$13:$D$101)=$E92)*((Adders!$E$13:$E$101)=$F92)*(Adders!F$13:F$101)) + VLOOKUP($H92,Adders!$B$5:$G$8,L$11,FALSE)  +  OH!$D$2 ) * IF($D92="NJ",1.07,1))/$L$10, CHOOSE($M$10,$L$9,$M$9) )</f>
        <v xml:space="preserve"> 26.18 </v>
      </c>
      <c r="M92" s="178" t="str">
        <f>TEXT(   (SUMPRODUCT( ((LMPMain!$H$9:$H$1000)=$E92)*((LMPMain!$J$9:$J$1000)=$F92)*((LMPMain!$O$9:$O$1000)=$C92)*(LMPMain!S$9:S$1000) ) +  ( SUMPRODUCT( ((Adders!$D$13:$D$101)=$E92)*((Adders!$E$13:$E$101)=$F92)*(Adders!G$13:G$101)) + VLOOKUP($H92,Adders!$B$5:$G$8,M$11,FALSE)  +  OH!$D$2 ) * IF($D92="NJ",1.07,1))/$L$10, CHOOSE($M$10,$L$9,$M$9) )</f>
        <v xml:space="preserve"> 24.04 </v>
      </c>
      <c r="N92" s="179" t="str">
        <f>TEXT(   (SUMPRODUCT( ((LMPMain!$H$9:$H$1000)=$E92)*((LMPMain!$J$9:$J$1000)=$F92)*((LMPMain!$O$9:$O$1000)=$C92)*(LMPMain!T$9:T$1000) ) +  ( SUMPRODUCT( ((Adders!$D$13:$D$101)=$E92)*((Adders!$E$13:$E$101)=$F92)*(Adders!H$13:H$101)) + VLOOKUP($H92,Adders!$B$5:$G$8,N$11,FALSE)  +  OH!$D$2 ) * IF($D92="NJ",1.07,1))/$L$10, CHOOSE($M$10,$L$9,$M$9) )</f>
        <v xml:space="preserve"> 23.47 </v>
      </c>
      <c r="O92" s="112"/>
    </row>
    <row r="93" spans="2:15" x14ac:dyDescent="0.25">
      <c r="B93" s="108"/>
      <c r="C93" s="131">
        <f t="shared" si="1"/>
        <v>42217</v>
      </c>
      <c r="D93" s="132" t="s">
        <v>20</v>
      </c>
      <c r="E93" s="133" t="s">
        <v>63</v>
      </c>
      <c r="F93" s="132" t="s">
        <v>16</v>
      </c>
      <c r="G93" s="133" t="str">
        <f t="shared" si="2"/>
        <v>General Service Large</v>
      </c>
      <c r="H93" s="134" t="s">
        <v>62</v>
      </c>
      <c r="I93" s="172" t="str">
        <f>TEXT(   (SUMPRODUCT( ((Main!$H$9:$H$1000)=$E93)*((Main!$J$9:$J$1000)=$F93)*((Main!$O$9:$O$1000)=$C93)*(Main!R$9:R$1000) ) +  ( SUMPRODUCT( ((Adders!$D$13:$D$101)=$E93)*((Adders!$E$13:$E$101)=$F93)*(Adders!G$13:G$101)) + VLOOKUP($H93,Adders!$B$5:$G$8,L$11,FALSE)  +  OH!$D$2 ) * IF($D93="NJ",1.07,1))/$L$10, CHOOSE($M$10,$L$9,$M$9) )</f>
        <v xml:space="preserve"> 73.14 </v>
      </c>
      <c r="J93" s="173" t="str">
        <f>TEXT(   (SUMPRODUCT( ((Main!$H$9:$H$1000)=$E93)*((Main!$J$9:$J$1000)=$F93)*((Main!$O$9:$O$1000)=$C93)*(Main!S$9:S$1000) ) +  ( SUMPRODUCT( ((Adders!$D$13:$D$101)=$E93)*((Adders!$E$13:$E$101)=$F93)*(Adders!H$13:H$101)) + VLOOKUP($H93,Adders!$B$5:$G$8,M$11,FALSE)  +  OH!$D$2 ) * IF($D93="NJ",1.07,1))/$L$10, CHOOSE($M$10,$L$9,$M$9) )</f>
        <v xml:space="preserve"> 70.93 </v>
      </c>
      <c r="K93" s="174" t="str">
        <f>TEXT(   (SUMPRODUCT( ((Main!$H$9:$H$1000)=$E93)*((Main!$J$9:$J$1000)=$F93)*((Main!$O$9:$O$1000)=$C93)*(Main!T$9:T$1000) ) +  ( SUMPRODUCT( ((Adders!$D$13:$D$101)=$E93)*((Adders!$E$13:$E$101)=$F93)*(Adders!I$13:I$101)) + VLOOKUP($H93,Adders!$B$5:$G$8,$N$11,FALSE)  +  OH!$D$2 ) * IF($D93="NJ",1.07,1))/$L$10, CHOOSE($M$10,$L$9,$M$9) )</f>
        <v xml:space="preserve"> 70.56 </v>
      </c>
      <c r="L93" s="172" t="str">
        <f>TEXT(   (SUMPRODUCT( ((LMPMain!$H$9:$H$1000)=$E93)*((LMPMain!$J$9:$J$1000)=$F93)*((LMPMain!$O$9:$O$1000)=$C93)*(LMPMain!R$9:R$1000) ) +  ( SUMPRODUCT( ((Adders!$D$13:$D$101)=$E93)*((Adders!$E$13:$E$101)=$F93)*(Adders!F$13:F$101)) + VLOOKUP($H93,Adders!$B$5:$G$8,L$11,FALSE)  +  OH!$D$2 ) * IF($D93="NJ",1.07,1))/$L$10, CHOOSE($M$10,$L$9,$M$9) )</f>
        <v xml:space="preserve"> 24.58 </v>
      </c>
      <c r="M93" s="173" t="str">
        <f>TEXT(   (SUMPRODUCT( ((LMPMain!$H$9:$H$1000)=$E93)*((LMPMain!$J$9:$J$1000)=$F93)*((LMPMain!$O$9:$O$1000)=$C93)*(LMPMain!S$9:S$1000) ) +  ( SUMPRODUCT( ((Adders!$D$13:$D$101)=$E93)*((Adders!$E$13:$E$101)=$F93)*(Adders!G$13:G$101)) + VLOOKUP($H93,Adders!$B$5:$G$8,M$11,FALSE)  +  OH!$D$2 ) * IF($D93="NJ",1.07,1))/$L$10, CHOOSE($M$10,$L$9,$M$9) )</f>
        <v xml:space="preserve"> 22.44 </v>
      </c>
      <c r="N93" s="174" t="str">
        <f>TEXT(   (SUMPRODUCT( ((LMPMain!$H$9:$H$1000)=$E93)*((LMPMain!$J$9:$J$1000)=$F93)*((LMPMain!$O$9:$O$1000)=$C93)*(LMPMain!T$9:T$1000) ) +  ( SUMPRODUCT( ((Adders!$D$13:$D$101)=$E93)*((Adders!$E$13:$E$101)=$F93)*(Adders!H$13:H$101)) + VLOOKUP($H93,Adders!$B$5:$G$8,N$11,FALSE)  +  OH!$D$2 ) * IF($D93="NJ",1.07,1))/$L$10, CHOOSE($M$10,$L$9,$M$9) )</f>
        <v xml:space="preserve"> 21.87 </v>
      </c>
      <c r="O93" s="112"/>
    </row>
    <row r="94" spans="2:15" x14ac:dyDescent="0.25">
      <c r="B94" s="108"/>
      <c r="C94" s="135">
        <f t="shared" si="1"/>
        <v>42217</v>
      </c>
      <c r="D94" s="136" t="s">
        <v>20</v>
      </c>
      <c r="E94" s="137" t="s">
        <v>63</v>
      </c>
      <c r="F94" s="136" t="s">
        <v>16</v>
      </c>
      <c r="G94" s="137" t="str">
        <f t="shared" si="2"/>
        <v>General Service Large</v>
      </c>
      <c r="H94" s="138" t="s">
        <v>690</v>
      </c>
      <c r="I94" s="175" t="str">
        <f>TEXT(   (SUMPRODUCT( ((Main!$H$9:$H$1000)=$E94)*((Main!$J$9:$J$1000)=$F94)*((Main!$O$9:$O$1000)=$C94)*(Main!R$9:R$1000) ) +  ( SUMPRODUCT( ((Adders!$D$13:$D$101)=$E94)*((Adders!$E$13:$E$101)=$F94)*(Adders!G$13:G$101)) + VLOOKUP($H94,Adders!$B$5:$G$8,L$11,FALSE)  +  OH!$D$2 ) * IF($D94="NJ",1.07,1))/$L$10, CHOOSE($M$10,$L$9,$M$9) )</f>
        <v xml:space="preserve"> 72.09 </v>
      </c>
      <c r="J94" s="176" t="str">
        <f>TEXT(   (SUMPRODUCT( ((Main!$H$9:$H$1000)=$E94)*((Main!$J$9:$J$1000)=$F94)*((Main!$O$9:$O$1000)=$C94)*(Main!S$9:S$1000) ) +  ( SUMPRODUCT( ((Adders!$D$13:$D$101)=$E94)*((Adders!$E$13:$E$101)=$F94)*(Adders!H$13:H$101)) + VLOOKUP($H94,Adders!$B$5:$G$8,M$11,FALSE)  +  OH!$D$2 ) * IF($D94="NJ",1.07,1))/$L$10, CHOOSE($M$10,$L$9,$M$9) )</f>
        <v xml:space="preserve"> 69.88 </v>
      </c>
      <c r="K94" s="177" t="str">
        <f>TEXT(   (SUMPRODUCT( ((Main!$H$9:$H$1000)=$E94)*((Main!$J$9:$J$1000)=$F94)*((Main!$O$9:$O$1000)=$C94)*(Main!T$9:T$1000) ) +  ( SUMPRODUCT( ((Adders!$D$13:$D$101)=$E94)*((Adders!$E$13:$E$101)=$F94)*(Adders!I$13:I$101)) + VLOOKUP($H94,Adders!$B$5:$G$8,$N$11,FALSE)  +  OH!$D$2 ) * IF($D94="NJ",1.07,1))/$L$10, CHOOSE($M$10,$L$9,$M$9) )</f>
        <v xml:space="preserve"> 69.51 </v>
      </c>
      <c r="L94" s="175" t="str">
        <f>TEXT(   (SUMPRODUCT( ((LMPMain!$H$9:$H$1000)=$E94)*((LMPMain!$J$9:$J$1000)=$F94)*((LMPMain!$O$9:$O$1000)=$C94)*(LMPMain!R$9:R$1000) ) +  ( SUMPRODUCT( ((Adders!$D$13:$D$101)=$E94)*((Adders!$E$13:$E$101)=$F94)*(Adders!F$13:F$101)) + VLOOKUP($H94,Adders!$B$5:$G$8,L$11,FALSE)  +  OH!$D$2 ) * IF($D94="NJ",1.07,1))/$L$10, CHOOSE($M$10,$L$9,$M$9) )</f>
        <v xml:space="preserve"> 23.53 </v>
      </c>
      <c r="M94" s="176" t="str">
        <f>TEXT(   (SUMPRODUCT( ((LMPMain!$H$9:$H$1000)=$E94)*((LMPMain!$J$9:$J$1000)=$F94)*((LMPMain!$O$9:$O$1000)=$C94)*(LMPMain!S$9:S$1000) ) +  ( SUMPRODUCT( ((Adders!$D$13:$D$101)=$E94)*((Adders!$E$13:$E$101)=$F94)*(Adders!G$13:G$101)) + VLOOKUP($H94,Adders!$B$5:$G$8,M$11,FALSE)  +  OH!$D$2 ) * IF($D94="NJ",1.07,1))/$L$10, CHOOSE($M$10,$L$9,$M$9) )</f>
        <v xml:space="preserve"> 21.39 </v>
      </c>
      <c r="N94" s="177" t="str">
        <f>TEXT(   (SUMPRODUCT( ((LMPMain!$H$9:$H$1000)=$E94)*((LMPMain!$J$9:$J$1000)=$F94)*((LMPMain!$O$9:$O$1000)=$C94)*(LMPMain!T$9:T$1000) ) +  ( SUMPRODUCT( ((Adders!$D$13:$D$101)=$E94)*((Adders!$E$13:$E$101)=$F94)*(Adders!H$13:H$101)) + VLOOKUP($H94,Adders!$B$5:$G$8,N$11,FALSE)  +  OH!$D$2 ) * IF($D94="NJ",1.07,1))/$L$10, CHOOSE($M$10,$L$9,$M$9) )</f>
        <v xml:space="preserve"> 20.82 </v>
      </c>
      <c r="O94" s="112"/>
    </row>
    <row r="95" spans="2:15" x14ac:dyDescent="0.25">
      <c r="B95" s="108"/>
      <c r="C95" s="127">
        <f t="shared" si="1"/>
        <v>42248</v>
      </c>
      <c r="D95" s="128" t="s">
        <v>20</v>
      </c>
      <c r="E95" s="129" t="s">
        <v>63</v>
      </c>
      <c r="F95" s="128" t="s">
        <v>16</v>
      </c>
      <c r="G95" s="129" t="str">
        <f t="shared" si="2"/>
        <v>General Service Large</v>
      </c>
      <c r="H95" s="130" t="s">
        <v>61</v>
      </c>
      <c r="I95" s="180" t="str">
        <f>TEXT(   (SUMPRODUCT( ((Main!$H$9:$H$1000)=$E95)*((Main!$J$9:$J$1000)=$F95)*((Main!$O$9:$O$1000)=$C95)*(Main!R$9:R$1000) ) +  ( SUMPRODUCT( ((Adders!$D$13:$D$101)=$E95)*((Adders!$E$13:$E$101)=$F95)*(Adders!G$13:G$101)) + VLOOKUP($H95,Adders!$B$5:$G$8,L$11,FALSE)  +  OH!$D$2 ) * IF($D95="NJ",1.07,1))/$L$10, CHOOSE($M$10,$L$9,$M$9) )</f>
        <v xml:space="preserve"> 74.28 </v>
      </c>
      <c r="J95" s="178" t="str">
        <f>TEXT(   (SUMPRODUCT( ((Main!$H$9:$H$1000)=$E95)*((Main!$J$9:$J$1000)=$F95)*((Main!$O$9:$O$1000)=$C95)*(Main!S$9:S$1000) ) +  ( SUMPRODUCT( ((Adders!$D$13:$D$101)=$E95)*((Adders!$E$13:$E$101)=$F95)*(Adders!H$13:H$101)) + VLOOKUP($H95,Adders!$B$5:$G$8,M$11,FALSE)  +  OH!$D$2 ) * IF($D95="NJ",1.07,1))/$L$10, CHOOSE($M$10,$L$9,$M$9) )</f>
        <v xml:space="preserve"> 72.86 </v>
      </c>
      <c r="K95" s="179" t="str">
        <f>TEXT(   (SUMPRODUCT( ((Main!$H$9:$H$1000)=$E95)*((Main!$J$9:$J$1000)=$F95)*((Main!$O$9:$O$1000)=$C95)*(Main!T$9:T$1000) ) +  ( SUMPRODUCT( ((Adders!$D$13:$D$101)=$E95)*((Adders!$E$13:$E$101)=$F95)*(Adders!I$13:I$101)) + VLOOKUP($H95,Adders!$B$5:$G$8,$N$11,FALSE)  +  OH!$D$2 ) * IF($D95="NJ",1.07,1))/$L$10, CHOOSE($M$10,$L$9,$M$9) )</f>
        <v xml:space="preserve"> 72.09 </v>
      </c>
      <c r="L95" s="180" t="str">
        <f>TEXT(   (SUMPRODUCT( ((LMPMain!$H$9:$H$1000)=$E95)*((LMPMain!$J$9:$J$1000)=$F95)*((LMPMain!$O$9:$O$1000)=$C95)*(LMPMain!R$9:R$1000) ) +  ( SUMPRODUCT( ((Adders!$D$13:$D$101)=$E95)*((Adders!$E$13:$E$101)=$F95)*(Adders!F$13:F$101)) + VLOOKUP($H95,Adders!$B$5:$G$8,L$11,FALSE)  +  OH!$D$2 ) * IF($D95="NJ",1.07,1))/$L$10, CHOOSE($M$10,$L$9,$M$9) )</f>
        <v xml:space="preserve"> 25.50 </v>
      </c>
      <c r="M95" s="178" t="str">
        <f>TEXT(   (SUMPRODUCT( ((LMPMain!$H$9:$H$1000)=$E95)*((LMPMain!$J$9:$J$1000)=$F95)*((LMPMain!$O$9:$O$1000)=$C95)*(LMPMain!S$9:S$1000) ) +  ( SUMPRODUCT( ((Adders!$D$13:$D$101)=$E95)*((Adders!$E$13:$E$101)=$F95)*(Adders!G$13:G$101)) + VLOOKUP($H95,Adders!$B$5:$G$8,M$11,FALSE)  +  OH!$D$2 ) * IF($D95="NJ",1.07,1))/$L$10, CHOOSE($M$10,$L$9,$M$9) )</f>
        <v xml:space="preserve"> 23.81 </v>
      </c>
      <c r="N95" s="179" t="str">
        <f>TEXT(   (SUMPRODUCT( ((LMPMain!$H$9:$H$1000)=$E95)*((LMPMain!$J$9:$J$1000)=$F95)*((LMPMain!$O$9:$O$1000)=$C95)*(LMPMain!T$9:T$1000) ) +  ( SUMPRODUCT( ((Adders!$D$13:$D$101)=$E95)*((Adders!$E$13:$E$101)=$F95)*(Adders!H$13:H$101)) + VLOOKUP($H95,Adders!$B$5:$G$8,N$11,FALSE)  +  OH!$D$2 ) * IF($D95="NJ",1.07,1))/$L$10, CHOOSE($M$10,$L$9,$M$9) )</f>
        <v xml:space="preserve"> 23.41 </v>
      </c>
      <c r="O95" s="112"/>
    </row>
    <row r="96" spans="2:15" x14ac:dyDescent="0.25">
      <c r="B96" s="108"/>
      <c r="C96" s="131">
        <f t="shared" si="1"/>
        <v>42248</v>
      </c>
      <c r="D96" s="132" t="s">
        <v>20</v>
      </c>
      <c r="E96" s="133" t="s">
        <v>63</v>
      </c>
      <c r="F96" s="132" t="s">
        <v>16</v>
      </c>
      <c r="G96" s="133" t="str">
        <f t="shared" si="2"/>
        <v>General Service Large</v>
      </c>
      <c r="H96" s="134" t="s">
        <v>62</v>
      </c>
      <c r="I96" s="172" t="str">
        <f>TEXT(   (SUMPRODUCT( ((Main!$H$9:$H$1000)=$E96)*((Main!$J$9:$J$1000)=$F96)*((Main!$O$9:$O$1000)=$C96)*(Main!R$9:R$1000) ) +  ( SUMPRODUCT( ((Adders!$D$13:$D$101)=$E96)*((Adders!$E$13:$E$101)=$F96)*(Adders!G$13:G$101)) + VLOOKUP($H96,Adders!$B$5:$G$8,L$11,FALSE)  +  OH!$D$2 ) * IF($D96="NJ",1.07,1))/$L$10, CHOOSE($M$10,$L$9,$M$9) )</f>
        <v xml:space="preserve"> 72.68 </v>
      </c>
      <c r="J96" s="173" t="str">
        <f>TEXT(   (SUMPRODUCT( ((Main!$H$9:$H$1000)=$E96)*((Main!$J$9:$J$1000)=$F96)*((Main!$O$9:$O$1000)=$C96)*(Main!S$9:S$1000) ) +  ( SUMPRODUCT( ((Adders!$D$13:$D$101)=$E96)*((Adders!$E$13:$E$101)=$F96)*(Adders!H$13:H$101)) + VLOOKUP($H96,Adders!$B$5:$G$8,M$11,FALSE)  +  OH!$D$2 ) * IF($D96="NJ",1.07,1))/$L$10, CHOOSE($M$10,$L$9,$M$9) )</f>
        <v xml:space="preserve"> 71.26 </v>
      </c>
      <c r="K96" s="174" t="str">
        <f>TEXT(   (SUMPRODUCT( ((Main!$H$9:$H$1000)=$E96)*((Main!$J$9:$J$1000)=$F96)*((Main!$O$9:$O$1000)=$C96)*(Main!T$9:T$1000) ) +  ( SUMPRODUCT( ((Adders!$D$13:$D$101)=$E96)*((Adders!$E$13:$E$101)=$F96)*(Adders!I$13:I$101)) + VLOOKUP($H96,Adders!$B$5:$G$8,$N$11,FALSE)  +  OH!$D$2 ) * IF($D96="NJ",1.07,1))/$L$10, CHOOSE($M$10,$L$9,$M$9) )</f>
        <v xml:space="preserve"> 70.49 </v>
      </c>
      <c r="L96" s="172" t="str">
        <f>TEXT(   (SUMPRODUCT( ((LMPMain!$H$9:$H$1000)=$E96)*((LMPMain!$J$9:$J$1000)=$F96)*((LMPMain!$O$9:$O$1000)=$C96)*(LMPMain!R$9:R$1000) ) +  ( SUMPRODUCT( ((Adders!$D$13:$D$101)=$E96)*((Adders!$E$13:$E$101)=$F96)*(Adders!F$13:F$101)) + VLOOKUP($H96,Adders!$B$5:$G$8,L$11,FALSE)  +  OH!$D$2 ) * IF($D96="NJ",1.07,1))/$L$10, CHOOSE($M$10,$L$9,$M$9) )</f>
        <v xml:space="preserve"> 23.90 </v>
      </c>
      <c r="M96" s="173" t="str">
        <f>TEXT(   (SUMPRODUCT( ((LMPMain!$H$9:$H$1000)=$E96)*((LMPMain!$J$9:$J$1000)=$F96)*((LMPMain!$O$9:$O$1000)=$C96)*(LMPMain!S$9:S$1000) ) +  ( SUMPRODUCT( ((Adders!$D$13:$D$101)=$E96)*((Adders!$E$13:$E$101)=$F96)*(Adders!G$13:G$101)) + VLOOKUP($H96,Adders!$B$5:$G$8,M$11,FALSE)  +  OH!$D$2 ) * IF($D96="NJ",1.07,1))/$L$10, CHOOSE($M$10,$L$9,$M$9) )</f>
        <v xml:space="preserve"> 22.21 </v>
      </c>
      <c r="N96" s="174" t="str">
        <f>TEXT(   (SUMPRODUCT( ((LMPMain!$H$9:$H$1000)=$E96)*((LMPMain!$J$9:$J$1000)=$F96)*((LMPMain!$O$9:$O$1000)=$C96)*(LMPMain!T$9:T$1000) ) +  ( SUMPRODUCT( ((Adders!$D$13:$D$101)=$E96)*((Adders!$E$13:$E$101)=$F96)*(Adders!H$13:H$101)) + VLOOKUP($H96,Adders!$B$5:$G$8,N$11,FALSE)  +  OH!$D$2 ) * IF($D96="NJ",1.07,1))/$L$10, CHOOSE($M$10,$L$9,$M$9) )</f>
        <v xml:space="preserve"> 21.81 </v>
      </c>
      <c r="O96" s="112"/>
    </row>
    <row r="97" spans="2:15" x14ac:dyDescent="0.25">
      <c r="B97" s="108"/>
      <c r="C97" s="135">
        <f t="shared" si="1"/>
        <v>42248</v>
      </c>
      <c r="D97" s="136" t="s">
        <v>20</v>
      </c>
      <c r="E97" s="137" t="s">
        <v>63</v>
      </c>
      <c r="F97" s="136" t="s">
        <v>16</v>
      </c>
      <c r="G97" s="137" t="str">
        <f t="shared" si="2"/>
        <v>General Service Large</v>
      </c>
      <c r="H97" s="138" t="s">
        <v>690</v>
      </c>
      <c r="I97" s="175" t="str">
        <f>TEXT(   (SUMPRODUCT( ((Main!$H$9:$H$1000)=$E97)*((Main!$J$9:$J$1000)=$F97)*((Main!$O$9:$O$1000)=$C97)*(Main!R$9:R$1000) ) +  ( SUMPRODUCT( ((Adders!$D$13:$D$101)=$E97)*((Adders!$E$13:$E$101)=$F97)*(Adders!G$13:G$101)) + VLOOKUP($H97,Adders!$B$5:$G$8,L$11,FALSE)  +  OH!$D$2 ) * IF($D97="NJ",1.07,1))/$L$10, CHOOSE($M$10,$L$9,$M$9) )</f>
        <v xml:space="preserve"> 71.63 </v>
      </c>
      <c r="J97" s="176" t="str">
        <f>TEXT(   (SUMPRODUCT( ((Main!$H$9:$H$1000)=$E97)*((Main!$J$9:$J$1000)=$F97)*((Main!$O$9:$O$1000)=$C97)*(Main!S$9:S$1000) ) +  ( SUMPRODUCT( ((Adders!$D$13:$D$101)=$E97)*((Adders!$E$13:$E$101)=$F97)*(Adders!H$13:H$101)) + VLOOKUP($H97,Adders!$B$5:$G$8,M$11,FALSE)  +  OH!$D$2 ) * IF($D97="NJ",1.07,1))/$L$10, CHOOSE($M$10,$L$9,$M$9) )</f>
        <v xml:space="preserve"> 70.21 </v>
      </c>
      <c r="K97" s="177" t="str">
        <f>TEXT(   (SUMPRODUCT( ((Main!$H$9:$H$1000)=$E97)*((Main!$J$9:$J$1000)=$F97)*((Main!$O$9:$O$1000)=$C97)*(Main!T$9:T$1000) ) +  ( SUMPRODUCT( ((Adders!$D$13:$D$101)=$E97)*((Adders!$E$13:$E$101)=$F97)*(Adders!I$13:I$101)) + VLOOKUP($H97,Adders!$B$5:$G$8,$N$11,FALSE)  +  OH!$D$2 ) * IF($D97="NJ",1.07,1))/$L$10, CHOOSE($M$10,$L$9,$M$9) )</f>
        <v xml:space="preserve"> 69.44 </v>
      </c>
      <c r="L97" s="175" t="str">
        <f>TEXT(   (SUMPRODUCT( ((LMPMain!$H$9:$H$1000)=$E97)*((LMPMain!$J$9:$J$1000)=$F97)*((LMPMain!$O$9:$O$1000)=$C97)*(LMPMain!R$9:R$1000) ) +  ( SUMPRODUCT( ((Adders!$D$13:$D$101)=$E97)*((Adders!$E$13:$E$101)=$F97)*(Adders!F$13:F$101)) + VLOOKUP($H97,Adders!$B$5:$G$8,L$11,FALSE)  +  OH!$D$2 ) * IF($D97="NJ",1.07,1))/$L$10, CHOOSE($M$10,$L$9,$M$9) )</f>
        <v xml:space="preserve"> 22.85 </v>
      </c>
      <c r="M97" s="176" t="str">
        <f>TEXT(   (SUMPRODUCT( ((LMPMain!$H$9:$H$1000)=$E97)*((LMPMain!$J$9:$J$1000)=$F97)*((LMPMain!$O$9:$O$1000)=$C97)*(LMPMain!S$9:S$1000) ) +  ( SUMPRODUCT( ((Adders!$D$13:$D$101)=$E97)*((Adders!$E$13:$E$101)=$F97)*(Adders!G$13:G$101)) + VLOOKUP($H97,Adders!$B$5:$G$8,M$11,FALSE)  +  OH!$D$2 ) * IF($D97="NJ",1.07,1))/$L$10, CHOOSE($M$10,$L$9,$M$9) )</f>
        <v xml:space="preserve"> 21.16 </v>
      </c>
      <c r="N97" s="177" t="str">
        <f>TEXT(   (SUMPRODUCT( ((LMPMain!$H$9:$H$1000)=$E97)*((LMPMain!$J$9:$J$1000)=$F97)*((LMPMain!$O$9:$O$1000)=$C97)*(LMPMain!T$9:T$1000) ) +  ( SUMPRODUCT( ((Adders!$D$13:$D$101)=$E97)*((Adders!$E$13:$E$101)=$F97)*(Adders!H$13:H$101)) + VLOOKUP($H97,Adders!$B$5:$G$8,N$11,FALSE)  +  OH!$D$2 ) * IF($D97="NJ",1.07,1))/$L$10, CHOOSE($M$10,$L$9,$M$9) )</f>
        <v xml:space="preserve"> 20.76 </v>
      </c>
      <c r="O97" s="112"/>
    </row>
    <row r="98" spans="2:15" x14ac:dyDescent="0.25">
      <c r="B98" s="108"/>
      <c r="C98" s="127">
        <f t="shared" si="1"/>
        <v>42278</v>
      </c>
      <c r="D98" s="128" t="s">
        <v>20</v>
      </c>
      <c r="E98" s="129" t="s">
        <v>63</v>
      </c>
      <c r="F98" s="128" t="s">
        <v>16</v>
      </c>
      <c r="G98" s="129" t="str">
        <f t="shared" si="2"/>
        <v>General Service Large</v>
      </c>
      <c r="H98" s="130" t="s">
        <v>61</v>
      </c>
      <c r="I98" s="180" t="str">
        <f>TEXT(   (SUMPRODUCT( ((Main!$H$9:$H$1000)=$E98)*((Main!$J$9:$J$1000)=$F98)*((Main!$O$9:$O$1000)=$C98)*(Main!R$9:R$1000) ) +  ( SUMPRODUCT( ((Adders!$D$13:$D$101)=$E98)*((Adders!$E$13:$E$101)=$F98)*(Adders!G$13:G$101)) + VLOOKUP($H98,Adders!$B$5:$G$8,L$11,FALSE)  +  OH!$D$2 ) * IF($D98="NJ",1.07,1))/$L$10, CHOOSE($M$10,$L$9,$M$9) )</f>
        <v xml:space="preserve"> 73.69 </v>
      </c>
      <c r="J98" s="178" t="str">
        <f>TEXT(   (SUMPRODUCT( ((Main!$H$9:$H$1000)=$E98)*((Main!$J$9:$J$1000)=$F98)*((Main!$O$9:$O$1000)=$C98)*(Main!S$9:S$1000) ) +  ( SUMPRODUCT( ((Adders!$D$13:$D$101)=$E98)*((Adders!$E$13:$E$101)=$F98)*(Adders!H$13:H$101)) + VLOOKUP($H98,Adders!$B$5:$G$8,M$11,FALSE)  +  OH!$D$2 ) * IF($D98="NJ",1.07,1))/$L$10, CHOOSE($M$10,$L$9,$M$9) )</f>
        <v xml:space="preserve"> 73.09 </v>
      </c>
      <c r="K98" s="179" t="str">
        <f>TEXT(   (SUMPRODUCT( ((Main!$H$9:$H$1000)=$E98)*((Main!$J$9:$J$1000)=$F98)*((Main!$O$9:$O$1000)=$C98)*(Main!T$9:T$1000) ) +  ( SUMPRODUCT( ((Adders!$D$13:$D$101)=$E98)*((Adders!$E$13:$E$101)=$F98)*(Adders!I$13:I$101)) + VLOOKUP($H98,Adders!$B$5:$G$8,$N$11,FALSE)  +  OH!$D$2 ) * IF($D98="NJ",1.07,1))/$L$10, CHOOSE($M$10,$L$9,$M$9) )</f>
        <v xml:space="preserve"> 71.84 </v>
      </c>
      <c r="L98" s="180" t="str">
        <f>TEXT(   (SUMPRODUCT( ((LMPMain!$H$9:$H$1000)=$E98)*((LMPMain!$J$9:$J$1000)=$F98)*((LMPMain!$O$9:$O$1000)=$C98)*(LMPMain!R$9:R$1000) ) +  ( SUMPRODUCT( ((Adders!$D$13:$D$101)=$E98)*((Adders!$E$13:$E$101)=$F98)*(Adders!F$13:F$101)) + VLOOKUP($H98,Adders!$B$5:$G$8,L$11,FALSE)  +  OH!$D$2 ) * IF($D98="NJ",1.07,1))/$L$10, CHOOSE($M$10,$L$9,$M$9) )</f>
        <v xml:space="preserve"> 24.87 </v>
      </c>
      <c r="M98" s="178" t="str">
        <f>TEXT(   (SUMPRODUCT( ((LMPMain!$H$9:$H$1000)=$E98)*((LMPMain!$J$9:$J$1000)=$F98)*((LMPMain!$O$9:$O$1000)=$C98)*(LMPMain!S$9:S$1000) ) +  ( SUMPRODUCT( ((Adders!$D$13:$D$101)=$E98)*((Adders!$E$13:$E$101)=$F98)*(Adders!G$13:G$101)) + VLOOKUP($H98,Adders!$B$5:$G$8,M$11,FALSE)  +  OH!$D$2 ) * IF($D98="NJ",1.07,1))/$L$10, CHOOSE($M$10,$L$9,$M$9) )</f>
        <v xml:space="preserve"> 23.55 </v>
      </c>
      <c r="N98" s="179" t="str">
        <f>TEXT(   (SUMPRODUCT( ((LMPMain!$H$9:$H$1000)=$E98)*((LMPMain!$J$9:$J$1000)=$F98)*((LMPMain!$O$9:$O$1000)=$C98)*(LMPMain!T$9:T$1000) ) +  ( SUMPRODUCT( ((Adders!$D$13:$D$101)=$E98)*((Adders!$E$13:$E$101)=$F98)*(Adders!H$13:H$101)) + VLOOKUP($H98,Adders!$B$5:$G$8,N$11,FALSE)  +  OH!$D$2 ) * IF($D98="NJ",1.07,1))/$L$10, CHOOSE($M$10,$L$9,$M$9) )</f>
        <v xml:space="preserve"> 23.36 </v>
      </c>
      <c r="O98" s="112"/>
    </row>
    <row r="99" spans="2:15" x14ac:dyDescent="0.25">
      <c r="B99" s="108"/>
      <c r="C99" s="131">
        <f t="shared" si="1"/>
        <v>42278</v>
      </c>
      <c r="D99" s="132" t="s">
        <v>20</v>
      </c>
      <c r="E99" s="133" t="s">
        <v>63</v>
      </c>
      <c r="F99" s="132" t="s">
        <v>16</v>
      </c>
      <c r="G99" s="133" t="str">
        <f t="shared" si="2"/>
        <v>General Service Large</v>
      </c>
      <c r="H99" s="134" t="s">
        <v>62</v>
      </c>
      <c r="I99" s="172" t="str">
        <f>TEXT(   (SUMPRODUCT( ((Main!$H$9:$H$1000)=$E99)*((Main!$J$9:$J$1000)=$F99)*((Main!$O$9:$O$1000)=$C99)*(Main!R$9:R$1000) ) +  ( SUMPRODUCT( ((Adders!$D$13:$D$101)=$E99)*((Adders!$E$13:$E$101)=$F99)*(Adders!G$13:G$101)) + VLOOKUP($H99,Adders!$B$5:$G$8,L$11,FALSE)  +  OH!$D$2 ) * IF($D99="NJ",1.07,1))/$L$10, CHOOSE($M$10,$L$9,$M$9) )</f>
        <v xml:space="preserve"> 72.09 </v>
      </c>
      <c r="J99" s="173" t="str">
        <f>TEXT(   (SUMPRODUCT( ((Main!$H$9:$H$1000)=$E99)*((Main!$J$9:$J$1000)=$F99)*((Main!$O$9:$O$1000)=$C99)*(Main!S$9:S$1000) ) +  ( SUMPRODUCT( ((Adders!$D$13:$D$101)=$E99)*((Adders!$E$13:$E$101)=$F99)*(Adders!H$13:H$101)) + VLOOKUP($H99,Adders!$B$5:$G$8,M$11,FALSE)  +  OH!$D$2 ) * IF($D99="NJ",1.07,1))/$L$10, CHOOSE($M$10,$L$9,$M$9) )</f>
        <v xml:space="preserve"> 71.49 </v>
      </c>
      <c r="K99" s="174" t="str">
        <f>TEXT(   (SUMPRODUCT( ((Main!$H$9:$H$1000)=$E99)*((Main!$J$9:$J$1000)=$F99)*((Main!$O$9:$O$1000)=$C99)*(Main!T$9:T$1000) ) +  ( SUMPRODUCT( ((Adders!$D$13:$D$101)=$E99)*((Adders!$E$13:$E$101)=$F99)*(Adders!I$13:I$101)) + VLOOKUP($H99,Adders!$B$5:$G$8,$N$11,FALSE)  +  OH!$D$2 ) * IF($D99="NJ",1.07,1))/$L$10, CHOOSE($M$10,$L$9,$M$9) )</f>
        <v xml:space="preserve"> 70.24 </v>
      </c>
      <c r="L99" s="172" t="str">
        <f>TEXT(   (SUMPRODUCT( ((LMPMain!$H$9:$H$1000)=$E99)*((LMPMain!$J$9:$J$1000)=$F99)*((LMPMain!$O$9:$O$1000)=$C99)*(LMPMain!R$9:R$1000) ) +  ( SUMPRODUCT( ((Adders!$D$13:$D$101)=$E99)*((Adders!$E$13:$E$101)=$F99)*(Adders!F$13:F$101)) + VLOOKUP($H99,Adders!$B$5:$G$8,L$11,FALSE)  +  OH!$D$2 ) * IF($D99="NJ",1.07,1))/$L$10, CHOOSE($M$10,$L$9,$M$9) )</f>
        <v xml:space="preserve"> 23.27 </v>
      </c>
      <c r="M99" s="173" t="str">
        <f>TEXT(   (SUMPRODUCT( ((LMPMain!$H$9:$H$1000)=$E99)*((LMPMain!$J$9:$J$1000)=$F99)*((LMPMain!$O$9:$O$1000)=$C99)*(LMPMain!S$9:S$1000) ) +  ( SUMPRODUCT( ((Adders!$D$13:$D$101)=$E99)*((Adders!$E$13:$E$101)=$F99)*(Adders!G$13:G$101)) + VLOOKUP($H99,Adders!$B$5:$G$8,M$11,FALSE)  +  OH!$D$2 ) * IF($D99="NJ",1.07,1))/$L$10, CHOOSE($M$10,$L$9,$M$9) )</f>
        <v xml:space="preserve"> 21.95 </v>
      </c>
      <c r="N99" s="174" t="str">
        <f>TEXT(   (SUMPRODUCT( ((LMPMain!$H$9:$H$1000)=$E99)*((LMPMain!$J$9:$J$1000)=$F99)*((LMPMain!$O$9:$O$1000)=$C99)*(LMPMain!T$9:T$1000) ) +  ( SUMPRODUCT( ((Adders!$D$13:$D$101)=$E99)*((Adders!$E$13:$E$101)=$F99)*(Adders!H$13:H$101)) + VLOOKUP($H99,Adders!$B$5:$G$8,N$11,FALSE)  +  OH!$D$2 ) * IF($D99="NJ",1.07,1))/$L$10, CHOOSE($M$10,$L$9,$M$9) )</f>
        <v xml:space="preserve"> 21.76 </v>
      </c>
      <c r="O99" s="112"/>
    </row>
    <row r="100" spans="2:15" x14ac:dyDescent="0.25">
      <c r="B100" s="108"/>
      <c r="C100" s="135">
        <f t="shared" si="1"/>
        <v>42278</v>
      </c>
      <c r="D100" s="136" t="s">
        <v>20</v>
      </c>
      <c r="E100" s="137" t="s">
        <v>63</v>
      </c>
      <c r="F100" s="136" t="s">
        <v>16</v>
      </c>
      <c r="G100" s="137" t="str">
        <f t="shared" si="2"/>
        <v>General Service Large</v>
      </c>
      <c r="H100" s="138" t="s">
        <v>690</v>
      </c>
      <c r="I100" s="175" t="str">
        <f>TEXT(   (SUMPRODUCT( ((Main!$H$9:$H$1000)=$E100)*((Main!$J$9:$J$1000)=$F100)*((Main!$O$9:$O$1000)=$C100)*(Main!R$9:R$1000) ) +  ( SUMPRODUCT( ((Adders!$D$13:$D$101)=$E100)*((Adders!$E$13:$E$101)=$F100)*(Adders!G$13:G$101)) + VLOOKUP($H100,Adders!$B$5:$G$8,L$11,FALSE)  +  OH!$D$2 ) * IF($D100="NJ",1.07,1))/$L$10, CHOOSE($M$10,$L$9,$M$9) )</f>
        <v xml:space="preserve"> 71.04 </v>
      </c>
      <c r="J100" s="176" t="str">
        <f>TEXT(   (SUMPRODUCT( ((Main!$H$9:$H$1000)=$E100)*((Main!$J$9:$J$1000)=$F100)*((Main!$O$9:$O$1000)=$C100)*(Main!S$9:S$1000) ) +  ( SUMPRODUCT( ((Adders!$D$13:$D$101)=$E100)*((Adders!$E$13:$E$101)=$F100)*(Adders!H$13:H$101)) + VLOOKUP($H100,Adders!$B$5:$G$8,M$11,FALSE)  +  OH!$D$2 ) * IF($D100="NJ",1.07,1))/$L$10, CHOOSE($M$10,$L$9,$M$9) )</f>
        <v xml:space="preserve"> 70.44 </v>
      </c>
      <c r="K100" s="177" t="str">
        <f>TEXT(   (SUMPRODUCT( ((Main!$H$9:$H$1000)=$E100)*((Main!$J$9:$J$1000)=$F100)*((Main!$O$9:$O$1000)=$C100)*(Main!T$9:T$1000) ) +  ( SUMPRODUCT( ((Adders!$D$13:$D$101)=$E100)*((Adders!$E$13:$E$101)=$F100)*(Adders!I$13:I$101)) + VLOOKUP($H100,Adders!$B$5:$G$8,$N$11,FALSE)  +  OH!$D$2 ) * IF($D100="NJ",1.07,1))/$L$10, CHOOSE($M$10,$L$9,$M$9) )</f>
        <v xml:space="preserve"> 69.19 </v>
      </c>
      <c r="L100" s="175" t="str">
        <f>TEXT(   (SUMPRODUCT( ((LMPMain!$H$9:$H$1000)=$E100)*((LMPMain!$J$9:$J$1000)=$F100)*((LMPMain!$O$9:$O$1000)=$C100)*(LMPMain!R$9:R$1000) ) +  ( SUMPRODUCT( ((Adders!$D$13:$D$101)=$E100)*((Adders!$E$13:$E$101)=$F100)*(Adders!F$13:F$101)) + VLOOKUP($H100,Adders!$B$5:$G$8,L$11,FALSE)  +  OH!$D$2 ) * IF($D100="NJ",1.07,1))/$L$10, CHOOSE($M$10,$L$9,$M$9) )</f>
        <v xml:space="preserve"> 22.22 </v>
      </c>
      <c r="M100" s="176" t="str">
        <f>TEXT(   (SUMPRODUCT( ((LMPMain!$H$9:$H$1000)=$E100)*((LMPMain!$J$9:$J$1000)=$F100)*((LMPMain!$O$9:$O$1000)=$C100)*(LMPMain!S$9:S$1000) ) +  ( SUMPRODUCT( ((Adders!$D$13:$D$101)=$E100)*((Adders!$E$13:$E$101)=$F100)*(Adders!G$13:G$101)) + VLOOKUP($H100,Adders!$B$5:$G$8,M$11,FALSE)  +  OH!$D$2 ) * IF($D100="NJ",1.07,1))/$L$10, CHOOSE($M$10,$L$9,$M$9) )</f>
        <v xml:space="preserve"> 20.90 </v>
      </c>
      <c r="N100" s="177" t="str">
        <f>TEXT(   (SUMPRODUCT( ((LMPMain!$H$9:$H$1000)=$E100)*((LMPMain!$J$9:$J$1000)=$F100)*((LMPMain!$O$9:$O$1000)=$C100)*(LMPMain!T$9:T$1000) ) +  ( SUMPRODUCT( ((Adders!$D$13:$D$101)=$E100)*((Adders!$E$13:$E$101)=$F100)*(Adders!H$13:H$101)) + VLOOKUP($H100,Adders!$B$5:$G$8,N$11,FALSE)  +  OH!$D$2 ) * IF($D100="NJ",1.07,1))/$L$10, CHOOSE($M$10,$L$9,$M$9) )</f>
        <v xml:space="preserve"> 20.71 </v>
      </c>
      <c r="O100" s="112"/>
    </row>
    <row r="101" spans="2:15" x14ac:dyDescent="0.25">
      <c r="B101" s="108"/>
      <c r="C101" s="127">
        <f t="shared" si="1"/>
        <v>42309</v>
      </c>
      <c r="D101" s="128" t="s">
        <v>20</v>
      </c>
      <c r="E101" s="129" t="s">
        <v>63</v>
      </c>
      <c r="F101" s="128" t="s">
        <v>16</v>
      </c>
      <c r="G101" s="129" t="str">
        <f t="shared" si="2"/>
        <v>General Service Large</v>
      </c>
      <c r="H101" s="130" t="s">
        <v>61</v>
      </c>
      <c r="I101" s="180" t="str">
        <f>TEXT(   (SUMPRODUCT( ((Main!$H$9:$H$1000)=$E101)*((Main!$J$9:$J$1000)=$F101)*((Main!$O$9:$O$1000)=$C101)*(Main!R$9:R$1000) ) +  ( SUMPRODUCT( ((Adders!$D$13:$D$101)=$E101)*((Adders!$E$13:$E$101)=$F101)*(Adders!G$13:G$101)) + VLOOKUP($H101,Adders!$B$5:$G$8,L$11,FALSE)  +  OH!$D$2 ) * IF($D101="NJ",1.07,1))/$L$10, CHOOSE($M$10,$L$9,$M$9) )</f>
        <v xml:space="preserve"> 73.04 </v>
      </c>
      <c r="J101" s="178" t="str">
        <f>TEXT(   (SUMPRODUCT( ((Main!$H$9:$H$1000)=$E101)*((Main!$J$9:$J$1000)=$F101)*((Main!$O$9:$O$1000)=$C101)*(Main!S$9:S$1000) ) +  ( SUMPRODUCT( ((Adders!$D$13:$D$101)=$E101)*((Adders!$E$13:$E$101)=$F101)*(Adders!H$13:H$101)) + VLOOKUP($H101,Adders!$B$5:$G$8,M$11,FALSE)  +  OH!$D$2 ) * IF($D101="NJ",1.07,1))/$L$10, CHOOSE($M$10,$L$9,$M$9) )</f>
        <v xml:space="preserve"> 72.92 </v>
      </c>
      <c r="K101" s="179" t="str">
        <f>TEXT(   (SUMPRODUCT( ((Main!$H$9:$H$1000)=$E101)*((Main!$J$9:$J$1000)=$F101)*((Main!$O$9:$O$1000)=$C101)*(Main!T$9:T$1000) ) +  ( SUMPRODUCT( ((Adders!$D$13:$D$101)=$E101)*((Adders!$E$13:$E$101)=$F101)*(Adders!I$13:I$101)) + VLOOKUP($H101,Adders!$B$5:$G$8,$N$11,FALSE)  +  OH!$D$2 ) * IF($D101="NJ",1.07,1))/$L$10, CHOOSE($M$10,$L$9,$M$9) )</f>
        <v xml:space="preserve"> 71.57 </v>
      </c>
      <c r="L101" s="180" t="str">
        <f>TEXT(   (SUMPRODUCT( ((LMPMain!$H$9:$H$1000)=$E101)*((LMPMain!$J$9:$J$1000)=$F101)*((LMPMain!$O$9:$O$1000)=$C101)*(LMPMain!R$9:R$1000) ) +  ( SUMPRODUCT( ((Adders!$D$13:$D$101)=$E101)*((Adders!$E$13:$E$101)=$F101)*(Adders!F$13:F$101)) + VLOOKUP($H101,Adders!$B$5:$G$8,L$11,FALSE)  +  OH!$D$2 ) * IF($D101="NJ",1.07,1))/$L$10, CHOOSE($M$10,$L$9,$M$9) )</f>
        <v xml:space="preserve"> 24.20 </v>
      </c>
      <c r="M101" s="178" t="str">
        <f>TEXT(   (SUMPRODUCT( ((LMPMain!$H$9:$H$1000)=$E101)*((LMPMain!$J$9:$J$1000)=$F101)*((LMPMain!$O$9:$O$1000)=$C101)*(LMPMain!S$9:S$1000) ) +  ( SUMPRODUCT( ((Adders!$D$13:$D$101)=$E101)*((Adders!$E$13:$E$101)=$F101)*(Adders!G$13:G$101)) + VLOOKUP($H101,Adders!$B$5:$G$8,M$11,FALSE)  +  OH!$D$2 ) * IF($D101="NJ",1.07,1))/$L$10, CHOOSE($M$10,$L$9,$M$9) )</f>
        <v xml:space="preserve"> 23.14 </v>
      </c>
      <c r="N101" s="179" t="str">
        <f>TEXT(   (SUMPRODUCT( ((LMPMain!$H$9:$H$1000)=$E101)*((LMPMain!$J$9:$J$1000)=$F101)*((LMPMain!$O$9:$O$1000)=$C101)*(LMPMain!T$9:T$1000) ) +  ( SUMPRODUCT( ((Adders!$D$13:$D$101)=$E101)*((Adders!$E$13:$E$101)=$F101)*(Adders!H$13:H$101)) + VLOOKUP($H101,Adders!$B$5:$G$8,N$11,FALSE)  +  OH!$D$2 ) * IF($D101="NJ",1.07,1))/$L$10, CHOOSE($M$10,$L$9,$M$9) )</f>
        <v xml:space="preserve"> 23.31 </v>
      </c>
      <c r="O101" s="112"/>
    </row>
    <row r="102" spans="2:15" x14ac:dyDescent="0.25">
      <c r="B102" s="108"/>
      <c r="C102" s="131">
        <f t="shared" si="1"/>
        <v>42309</v>
      </c>
      <c r="D102" s="132" t="s">
        <v>20</v>
      </c>
      <c r="E102" s="133" t="s">
        <v>63</v>
      </c>
      <c r="F102" s="132" t="s">
        <v>16</v>
      </c>
      <c r="G102" s="133" t="str">
        <f t="shared" si="2"/>
        <v>General Service Large</v>
      </c>
      <c r="H102" s="134" t="s">
        <v>62</v>
      </c>
      <c r="I102" s="172" t="str">
        <f>TEXT(   (SUMPRODUCT( ((Main!$H$9:$H$1000)=$E102)*((Main!$J$9:$J$1000)=$F102)*((Main!$O$9:$O$1000)=$C102)*(Main!R$9:R$1000) ) +  ( SUMPRODUCT( ((Adders!$D$13:$D$101)=$E102)*((Adders!$E$13:$E$101)=$F102)*(Adders!G$13:G$101)) + VLOOKUP($H102,Adders!$B$5:$G$8,L$11,FALSE)  +  OH!$D$2 ) * IF($D102="NJ",1.07,1))/$L$10, CHOOSE($M$10,$L$9,$M$9) )</f>
        <v xml:space="preserve"> 71.44 </v>
      </c>
      <c r="J102" s="173" t="str">
        <f>TEXT(   (SUMPRODUCT( ((Main!$H$9:$H$1000)=$E102)*((Main!$J$9:$J$1000)=$F102)*((Main!$O$9:$O$1000)=$C102)*(Main!S$9:S$1000) ) +  ( SUMPRODUCT( ((Adders!$D$13:$D$101)=$E102)*((Adders!$E$13:$E$101)=$F102)*(Adders!H$13:H$101)) + VLOOKUP($H102,Adders!$B$5:$G$8,M$11,FALSE)  +  OH!$D$2 ) * IF($D102="NJ",1.07,1))/$L$10, CHOOSE($M$10,$L$9,$M$9) )</f>
        <v xml:space="preserve"> 71.32 </v>
      </c>
      <c r="K102" s="174" t="str">
        <f>TEXT(   (SUMPRODUCT( ((Main!$H$9:$H$1000)=$E102)*((Main!$J$9:$J$1000)=$F102)*((Main!$O$9:$O$1000)=$C102)*(Main!T$9:T$1000) ) +  ( SUMPRODUCT( ((Adders!$D$13:$D$101)=$E102)*((Adders!$E$13:$E$101)=$F102)*(Adders!I$13:I$101)) + VLOOKUP($H102,Adders!$B$5:$G$8,$N$11,FALSE)  +  OH!$D$2 ) * IF($D102="NJ",1.07,1))/$L$10, CHOOSE($M$10,$L$9,$M$9) )</f>
        <v xml:space="preserve"> 69.97 </v>
      </c>
      <c r="L102" s="172" t="str">
        <f>TEXT(   (SUMPRODUCT( ((LMPMain!$H$9:$H$1000)=$E102)*((LMPMain!$J$9:$J$1000)=$F102)*((LMPMain!$O$9:$O$1000)=$C102)*(LMPMain!R$9:R$1000) ) +  ( SUMPRODUCT( ((Adders!$D$13:$D$101)=$E102)*((Adders!$E$13:$E$101)=$F102)*(Adders!F$13:F$101)) + VLOOKUP($H102,Adders!$B$5:$G$8,L$11,FALSE)  +  OH!$D$2 ) * IF($D102="NJ",1.07,1))/$L$10, CHOOSE($M$10,$L$9,$M$9) )</f>
        <v xml:space="preserve"> 22.60 </v>
      </c>
      <c r="M102" s="173" t="str">
        <f>TEXT(   (SUMPRODUCT( ((LMPMain!$H$9:$H$1000)=$E102)*((LMPMain!$J$9:$J$1000)=$F102)*((LMPMain!$O$9:$O$1000)=$C102)*(LMPMain!S$9:S$1000) ) +  ( SUMPRODUCT( ((Adders!$D$13:$D$101)=$E102)*((Adders!$E$13:$E$101)=$F102)*(Adders!G$13:G$101)) + VLOOKUP($H102,Adders!$B$5:$G$8,M$11,FALSE)  +  OH!$D$2 ) * IF($D102="NJ",1.07,1))/$L$10, CHOOSE($M$10,$L$9,$M$9) )</f>
        <v xml:space="preserve"> 21.54 </v>
      </c>
      <c r="N102" s="174" t="str">
        <f>TEXT(   (SUMPRODUCT( ((LMPMain!$H$9:$H$1000)=$E102)*((LMPMain!$J$9:$J$1000)=$F102)*((LMPMain!$O$9:$O$1000)=$C102)*(LMPMain!T$9:T$1000) ) +  ( SUMPRODUCT( ((Adders!$D$13:$D$101)=$E102)*((Adders!$E$13:$E$101)=$F102)*(Adders!H$13:H$101)) + VLOOKUP($H102,Adders!$B$5:$G$8,N$11,FALSE)  +  OH!$D$2 ) * IF($D102="NJ",1.07,1))/$L$10, CHOOSE($M$10,$L$9,$M$9) )</f>
        <v xml:space="preserve"> 21.71 </v>
      </c>
      <c r="O102" s="112"/>
    </row>
    <row r="103" spans="2:15" x14ac:dyDescent="0.25">
      <c r="B103" s="108"/>
      <c r="C103" s="135">
        <f t="shared" si="1"/>
        <v>42309</v>
      </c>
      <c r="D103" s="136" t="s">
        <v>20</v>
      </c>
      <c r="E103" s="137" t="s">
        <v>63</v>
      </c>
      <c r="F103" s="136" t="s">
        <v>16</v>
      </c>
      <c r="G103" s="137" t="str">
        <f t="shared" si="2"/>
        <v>General Service Large</v>
      </c>
      <c r="H103" s="138" t="s">
        <v>690</v>
      </c>
      <c r="I103" s="175" t="str">
        <f>TEXT(   (SUMPRODUCT( ((Main!$H$9:$H$1000)=$E103)*((Main!$J$9:$J$1000)=$F103)*((Main!$O$9:$O$1000)=$C103)*(Main!R$9:R$1000) ) +  ( SUMPRODUCT( ((Adders!$D$13:$D$101)=$E103)*((Adders!$E$13:$E$101)=$F103)*(Adders!G$13:G$101)) + VLOOKUP($H103,Adders!$B$5:$G$8,L$11,FALSE)  +  OH!$D$2 ) * IF($D103="NJ",1.07,1))/$L$10, CHOOSE($M$10,$L$9,$M$9) )</f>
        <v xml:space="preserve"> 70.39 </v>
      </c>
      <c r="J103" s="176" t="str">
        <f>TEXT(   (SUMPRODUCT( ((Main!$H$9:$H$1000)=$E103)*((Main!$J$9:$J$1000)=$F103)*((Main!$O$9:$O$1000)=$C103)*(Main!S$9:S$1000) ) +  ( SUMPRODUCT( ((Adders!$D$13:$D$101)=$E103)*((Adders!$E$13:$E$101)=$F103)*(Adders!H$13:H$101)) + VLOOKUP($H103,Adders!$B$5:$G$8,M$11,FALSE)  +  OH!$D$2 ) * IF($D103="NJ",1.07,1))/$L$10, CHOOSE($M$10,$L$9,$M$9) )</f>
        <v xml:space="preserve"> 70.27 </v>
      </c>
      <c r="K103" s="177" t="str">
        <f>TEXT(   (SUMPRODUCT( ((Main!$H$9:$H$1000)=$E103)*((Main!$J$9:$J$1000)=$F103)*((Main!$O$9:$O$1000)=$C103)*(Main!T$9:T$1000) ) +  ( SUMPRODUCT( ((Adders!$D$13:$D$101)=$E103)*((Adders!$E$13:$E$101)=$F103)*(Adders!I$13:I$101)) + VLOOKUP($H103,Adders!$B$5:$G$8,$N$11,FALSE)  +  OH!$D$2 ) * IF($D103="NJ",1.07,1))/$L$10, CHOOSE($M$10,$L$9,$M$9) )</f>
        <v xml:space="preserve"> 68.92 </v>
      </c>
      <c r="L103" s="175" t="str">
        <f>TEXT(   (SUMPRODUCT( ((LMPMain!$H$9:$H$1000)=$E103)*((LMPMain!$J$9:$J$1000)=$F103)*((LMPMain!$O$9:$O$1000)=$C103)*(LMPMain!R$9:R$1000) ) +  ( SUMPRODUCT( ((Adders!$D$13:$D$101)=$E103)*((Adders!$E$13:$E$101)=$F103)*(Adders!F$13:F$101)) + VLOOKUP($H103,Adders!$B$5:$G$8,L$11,FALSE)  +  OH!$D$2 ) * IF($D103="NJ",1.07,1))/$L$10, CHOOSE($M$10,$L$9,$M$9) )</f>
        <v xml:space="preserve"> 21.55 </v>
      </c>
      <c r="M103" s="176" t="str">
        <f>TEXT(   (SUMPRODUCT( ((LMPMain!$H$9:$H$1000)=$E103)*((LMPMain!$J$9:$J$1000)=$F103)*((LMPMain!$O$9:$O$1000)=$C103)*(LMPMain!S$9:S$1000) ) +  ( SUMPRODUCT( ((Adders!$D$13:$D$101)=$E103)*((Adders!$E$13:$E$101)=$F103)*(Adders!G$13:G$101)) + VLOOKUP($H103,Adders!$B$5:$G$8,M$11,FALSE)  +  OH!$D$2 ) * IF($D103="NJ",1.07,1))/$L$10, CHOOSE($M$10,$L$9,$M$9) )</f>
        <v xml:space="preserve"> 20.49 </v>
      </c>
      <c r="N103" s="177" t="str">
        <f>TEXT(   (SUMPRODUCT( ((LMPMain!$H$9:$H$1000)=$E103)*((LMPMain!$J$9:$J$1000)=$F103)*((LMPMain!$O$9:$O$1000)=$C103)*(LMPMain!T$9:T$1000) ) +  ( SUMPRODUCT( ((Adders!$D$13:$D$101)=$E103)*((Adders!$E$13:$E$101)=$F103)*(Adders!H$13:H$101)) + VLOOKUP($H103,Adders!$B$5:$G$8,N$11,FALSE)  +  OH!$D$2 ) * IF($D103="NJ",1.07,1))/$L$10, CHOOSE($M$10,$L$9,$M$9) )</f>
        <v xml:space="preserve"> 20.66 </v>
      </c>
      <c r="O103" s="112"/>
    </row>
    <row r="104" spans="2:15" x14ac:dyDescent="0.25">
      <c r="B104" s="108"/>
      <c r="C104" s="127">
        <f t="shared" si="1"/>
        <v>42339</v>
      </c>
      <c r="D104" s="128" t="s">
        <v>20</v>
      </c>
      <c r="E104" s="129" t="s">
        <v>63</v>
      </c>
      <c r="F104" s="128" t="s">
        <v>16</v>
      </c>
      <c r="G104" s="129" t="str">
        <f t="shared" si="2"/>
        <v>General Service Large</v>
      </c>
      <c r="H104" s="130" t="s">
        <v>61</v>
      </c>
      <c r="I104" s="180" t="str">
        <f>TEXT(   (SUMPRODUCT( ((Main!$H$9:$H$1000)=$E104)*((Main!$J$9:$J$1000)=$F104)*((Main!$O$9:$O$1000)=$C104)*(Main!R$9:R$1000) ) +  ( SUMPRODUCT( ((Adders!$D$13:$D$101)=$E104)*((Adders!$E$13:$E$101)=$F104)*(Adders!G$13:G$101)) + VLOOKUP($H104,Adders!$B$5:$G$8,L$11,FALSE)  +  OH!$D$2 ) * IF($D104="NJ",1.07,1))/$L$10, CHOOSE($M$10,$L$9,$M$9) )</f>
        <v xml:space="preserve"> 72.45 </v>
      </c>
      <c r="J104" s="178" t="str">
        <f>TEXT(   (SUMPRODUCT( ((Main!$H$9:$H$1000)=$E104)*((Main!$J$9:$J$1000)=$F104)*((Main!$O$9:$O$1000)=$C104)*(Main!S$9:S$1000) ) +  ( SUMPRODUCT( ((Adders!$D$13:$D$101)=$E104)*((Adders!$E$13:$E$101)=$F104)*(Adders!H$13:H$101)) + VLOOKUP($H104,Adders!$B$5:$G$8,M$11,FALSE)  +  OH!$D$2 ) * IF($D104="NJ",1.07,1))/$L$10, CHOOSE($M$10,$L$9,$M$9) )</f>
        <v xml:space="preserve"> 72.43 </v>
      </c>
      <c r="K104" s="179" t="str">
        <f>TEXT(   (SUMPRODUCT( ((Main!$H$9:$H$1000)=$E104)*((Main!$J$9:$J$1000)=$F104)*((Main!$O$9:$O$1000)=$C104)*(Main!T$9:T$1000) ) +  ( SUMPRODUCT( ((Adders!$D$13:$D$101)=$E104)*((Adders!$E$13:$E$101)=$F104)*(Adders!I$13:I$101)) + VLOOKUP($H104,Adders!$B$5:$G$8,$N$11,FALSE)  +  OH!$D$2 ) * IF($D104="NJ",1.07,1))/$L$10, CHOOSE($M$10,$L$9,$M$9) )</f>
        <v xml:space="preserve"> 71.32 </v>
      </c>
      <c r="L104" s="180" t="str">
        <f>TEXT(   (SUMPRODUCT( ((LMPMain!$H$9:$H$1000)=$E104)*((LMPMain!$J$9:$J$1000)=$F104)*((LMPMain!$O$9:$O$1000)=$C104)*(LMPMain!R$9:R$1000) ) +  ( SUMPRODUCT( ((Adders!$D$13:$D$101)=$E104)*((Adders!$E$13:$E$101)=$F104)*(Adders!F$13:F$101)) + VLOOKUP($H104,Adders!$B$5:$G$8,L$11,FALSE)  +  OH!$D$2 ) * IF($D104="NJ",1.07,1))/$L$10, CHOOSE($M$10,$L$9,$M$9) )</f>
        <v xml:space="preserve"> 23.54 </v>
      </c>
      <c r="M104" s="178" t="str">
        <f>TEXT(   (SUMPRODUCT( ((LMPMain!$H$9:$H$1000)=$E104)*((LMPMain!$J$9:$J$1000)=$F104)*((LMPMain!$O$9:$O$1000)=$C104)*(LMPMain!S$9:S$1000) ) +  ( SUMPRODUCT( ((Adders!$D$13:$D$101)=$E104)*((Adders!$E$13:$E$101)=$F104)*(Adders!G$13:G$101)) + VLOOKUP($H104,Adders!$B$5:$G$8,M$11,FALSE)  +  OH!$D$2 ) * IF($D104="NJ",1.07,1))/$L$10, CHOOSE($M$10,$L$9,$M$9) )</f>
        <v xml:space="preserve"> 22.60 </v>
      </c>
      <c r="N104" s="179" t="str">
        <f>TEXT(   (SUMPRODUCT( ((LMPMain!$H$9:$H$1000)=$E104)*((LMPMain!$J$9:$J$1000)=$F104)*((LMPMain!$O$9:$O$1000)=$C104)*(LMPMain!T$9:T$1000) ) +  ( SUMPRODUCT( ((Adders!$D$13:$D$101)=$E104)*((Adders!$E$13:$E$101)=$F104)*(Adders!H$13:H$101)) + VLOOKUP($H104,Adders!$B$5:$G$8,N$11,FALSE)  +  OH!$D$2 ) * IF($D104="NJ",1.07,1))/$L$10, CHOOSE($M$10,$L$9,$M$9) )</f>
        <v xml:space="preserve"> 23.24 </v>
      </c>
      <c r="O104" s="112"/>
    </row>
    <row r="105" spans="2:15" x14ac:dyDescent="0.25">
      <c r="B105" s="108"/>
      <c r="C105" s="131">
        <f t="shared" si="1"/>
        <v>42339</v>
      </c>
      <c r="D105" s="132" t="s">
        <v>20</v>
      </c>
      <c r="E105" s="133" t="s">
        <v>63</v>
      </c>
      <c r="F105" s="132" t="s">
        <v>16</v>
      </c>
      <c r="G105" s="133" t="str">
        <f t="shared" si="2"/>
        <v>General Service Large</v>
      </c>
      <c r="H105" s="134" t="s">
        <v>62</v>
      </c>
      <c r="I105" s="172" t="str">
        <f>TEXT(   (SUMPRODUCT( ((Main!$H$9:$H$1000)=$E105)*((Main!$J$9:$J$1000)=$F105)*((Main!$O$9:$O$1000)=$C105)*(Main!R$9:R$1000) ) +  ( SUMPRODUCT( ((Adders!$D$13:$D$101)=$E105)*((Adders!$E$13:$E$101)=$F105)*(Adders!G$13:G$101)) + VLOOKUP($H105,Adders!$B$5:$G$8,L$11,FALSE)  +  OH!$D$2 ) * IF($D105="NJ",1.07,1))/$L$10, CHOOSE($M$10,$L$9,$M$9) )</f>
        <v xml:space="preserve"> 70.85 </v>
      </c>
      <c r="J105" s="173" t="str">
        <f>TEXT(   (SUMPRODUCT( ((Main!$H$9:$H$1000)=$E105)*((Main!$J$9:$J$1000)=$F105)*((Main!$O$9:$O$1000)=$C105)*(Main!S$9:S$1000) ) +  ( SUMPRODUCT( ((Adders!$D$13:$D$101)=$E105)*((Adders!$E$13:$E$101)=$F105)*(Adders!H$13:H$101)) + VLOOKUP($H105,Adders!$B$5:$G$8,M$11,FALSE)  +  OH!$D$2 ) * IF($D105="NJ",1.07,1))/$L$10, CHOOSE($M$10,$L$9,$M$9) )</f>
        <v xml:space="preserve"> 70.83 </v>
      </c>
      <c r="K105" s="174" t="str">
        <f>TEXT(   (SUMPRODUCT( ((Main!$H$9:$H$1000)=$E105)*((Main!$J$9:$J$1000)=$F105)*((Main!$O$9:$O$1000)=$C105)*(Main!T$9:T$1000) ) +  ( SUMPRODUCT( ((Adders!$D$13:$D$101)=$E105)*((Adders!$E$13:$E$101)=$F105)*(Adders!I$13:I$101)) + VLOOKUP($H105,Adders!$B$5:$G$8,$N$11,FALSE)  +  OH!$D$2 ) * IF($D105="NJ",1.07,1))/$L$10, CHOOSE($M$10,$L$9,$M$9) )</f>
        <v xml:space="preserve"> 69.72 </v>
      </c>
      <c r="L105" s="172" t="str">
        <f>TEXT(   (SUMPRODUCT( ((LMPMain!$H$9:$H$1000)=$E105)*((LMPMain!$J$9:$J$1000)=$F105)*((LMPMain!$O$9:$O$1000)=$C105)*(LMPMain!R$9:R$1000) ) +  ( SUMPRODUCT( ((Adders!$D$13:$D$101)=$E105)*((Adders!$E$13:$E$101)=$F105)*(Adders!F$13:F$101)) + VLOOKUP($H105,Adders!$B$5:$G$8,L$11,FALSE)  +  OH!$D$2 ) * IF($D105="NJ",1.07,1))/$L$10, CHOOSE($M$10,$L$9,$M$9) )</f>
        <v xml:space="preserve"> 21.94 </v>
      </c>
      <c r="M105" s="173" t="str">
        <f>TEXT(   (SUMPRODUCT( ((LMPMain!$H$9:$H$1000)=$E105)*((LMPMain!$J$9:$J$1000)=$F105)*((LMPMain!$O$9:$O$1000)=$C105)*(LMPMain!S$9:S$1000) ) +  ( SUMPRODUCT( ((Adders!$D$13:$D$101)=$E105)*((Adders!$E$13:$E$101)=$F105)*(Adders!G$13:G$101)) + VLOOKUP($H105,Adders!$B$5:$G$8,M$11,FALSE)  +  OH!$D$2 ) * IF($D105="NJ",1.07,1))/$L$10, CHOOSE($M$10,$L$9,$M$9) )</f>
        <v xml:space="preserve"> 21.00 </v>
      </c>
      <c r="N105" s="174" t="str">
        <f>TEXT(   (SUMPRODUCT( ((LMPMain!$H$9:$H$1000)=$E105)*((LMPMain!$J$9:$J$1000)=$F105)*((LMPMain!$O$9:$O$1000)=$C105)*(LMPMain!T$9:T$1000) ) +  ( SUMPRODUCT( ((Adders!$D$13:$D$101)=$E105)*((Adders!$E$13:$E$101)=$F105)*(Adders!H$13:H$101)) + VLOOKUP($H105,Adders!$B$5:$G$8,N$11,FALSE)  +  OH!$D$2 ) * IF($D105="NJ",1.07,1))/$L$10, CHOOSE($M$10,$L$9,$M$9) )</f>
        <v xml:space="preserve"> 21.64 </v>
      </c>
      <c r="O105" s="112"/>
    </row>
    <row r="106" spans="2:15" x14ac:dyDescent="0.25">
      <c r="B106" s="108"/>
      <c r="C106" s="135">
        <f t="shared" si="1"/>
        <v>42339</v>
      </c>
      <c r="D106" s="136" t="s">
        <v>20</v>
      </c>
      <c r="E106" s="137" t="s">
        <v>63</v>
      </c>
      <c r="F106" s="136" t="s">
        <v>16</v>
      </c>
      <c r="G106" s="137" t="str">
        <f t="shared" si="2"/>
        <v>General Service Large</v>
      </c>
      <c r="H106" s="138" t="s">
        <v>690</v>
      </c>
      <c r="I106" s="175" t="str">
        <f>TEXT(   (SUMPRODUCT( ((Main!$H$9:$H$1000)=$E106)*((Main!$J$9:$J$1000)=$F106)*((Main!$O$9:$O$1000)=$C106)*(Main!R$9:R$1000) ) +  ( SUMPRODUCT( ((Adders!$D$13:$D$101)=$E106)*((Adders!$E$13:$E$101)=$F106)*(Adders!G$13:G$101)) + VLOOKUP($H106,Adders!$B$5:$G$8,L$11,FALSE)  +  OH!$D$2 ) * IF($D106="NJ",1.07,1))/$L$10, CHOOSE($M$10,$L$9,$M$9) )</f>
        <v xml:space="preserve"> 69.80 </v>
      </c>
      <c r="J106" s="176" t="str">
        <f>TEXT(   (SUMPRODUCT( ((Main!$H$9:$H$1000)=$E106)*((Main!$J$9:$J$1000)=$F106)*((Main!$O$9:$O$1000)=$C106)*(Main!S$9:S$1000) ) +  ( SUMPRODUCT( ((Adders!$D$13:$D$101)=$E106)*((Adders!$E$13:$E$101)=$F106)*(Adders!H$13:H$101)) + VLOOKUP($H106,Adders!$B$5:$G$8,M$11,FALSE)  +  OH!$D$2 ) * IF($D106="NJ",1.07,1))/$L$10, CHOOSE($M$10,$L$9,$M$9) )</f>
        <v xml:space="preserve"> 69.78 </v>
      </c>
      <c r="K106" s="177" t="str">
        <f>TEXT(   (SUMPRODUCT( ((Main!$H$9:$H$1000)=$E106)*((Main!$J$9:$J$1000)=$F106)*((Main!$O$9:$O$1000)=$C106)*(Main!T$9:T$1000) ) +  ( SUMPRODUCT( ((Adders!$D$13:$D$101)=$E106)*((Adders!$E$13:$E$101)=$F106)*(Adders!I$13:I$101)) + VLOOKUP($H106,Adders!$B$5:$G$8,$N$11,FALSE)  +  OH!$D$2 ) * IF($D106="NJ",1.07,1))/$L$10, CHOOSE($M$10,$L$9,$M$9) )</f>
        <v xml:space="preserve"> 68.67 </v>
      </c>
      <c r="L106" s="175" t="str">
        <f>TEXT(   (SUMPRODUCT( ((LMPMain!$H$9:$H$1000)=$E106)*((LMPMain!$J$9:$J$1000)=$F106)*((LMPMain!$O$9:$O$1000)=$C106)*(LMPMain!R$9:R$1000) ) +  ( SUMPRODUCT( ((Adders!$D$13:$D$101)=$E106)*((Adders!$E$13:$E$101)=$F106)*(Adders!F$13:F$101)) + VLOOKUP($H106,Adders!$B$5:$G$8,L$11,FALSE)  +  OH!$D$2 ) * IF($D106="NJ",1.07,1))/$L$10, CHOOSE($M$10,$L$9,$M$9) )</f>
        <v xml:space="preserve"> 20.89 </v>
      </c>
      <c r="M106" s="176" t="str">
        <f>TEXT(   (SUMPRODUCT( ((LMPMain!$H$9:$H$1000)=$E106)*((LMPMain!$J$9:$J$1000)=$F106)*((LMPMain!$O$9:$O$1000)=$C106)*(LMPMain!S$9:S$1000) ) +  ( SUMPRODUCT( ((Adders!$D$13:$D$101)=$E106)*((Adders!$E$13:$E$101)=$F106)*(Adders!G$13:G$101)) + VLOOKUP($H106,Adders!$B$5:$G$8,M$11,FALSE)  +  OH!$D$2 ) * IF($D106="NJ",1.07,1))/$L$10, CHOOSE($M$10,$L$9,$M$9) )</f>
        <v xml:space="preserve"> 19.95 </v>
      </c>
      <c r="N106" s="177" t="str">
        <f>TEXT(   (SUMPRODUCT( ((LMPMain!$H$9:$H$1000)=$E106)*((LMPMain!$J$9:$J$1000)=$F106)*((LMPMain!$O$9:$O$1000)=$C106)*(LMPMain!T$9:T$1000) ) +  ( SUMPRODUCT( ((Adders!$D$13:$D$101)=$E106)*((Adders!$E$13:$E$101)=$F106)*(Adders!H$13:H$101)) + VLOOKUP($H106,Adders!$B$5:$G$8,N$11,FALSE)  +  OH!$D$2 ) * IF($D106="NJ",1.07,1))/$L$10, CHOOSE($M$10,$L$9,$M$9) )</f>
        <v xml:space="preserve"> 20.59 </v>
      </c>
      <c r="O106" s="112"/>
    </row>
    <row r="107" spans="2:15" x14ac:dyDescent="0.25">
      <c r="B107" s="108"/>
      <c r="C107" s="127">
        <f t="shared" si="1"/>
        <v>42370</v>
      </c>
      <c r="D107" s="128" t="s">
        <v>20</v>
      </c>
      <c r="E107" s="129" t="s">
        <v>63</v>
      </c>
      <c r="F107" s="128" t="s">
        <v>16</v>
      </c>
      <c r="G107" s="129" t="str">
        <f t="shared" si="2"/>
        <v>General Service Large</v>
      </c>
      <c r="H107" s="130" t="s">
        <v>61</v>
      </c>
      <c r="I107" s="180" t="str">
        <f>TEXT(   (SUMPRODUCT( ((Main!$H$9:$H$1000)=$E107)*((Main!$J$9:$J$1000)=$F107)*((Main!$O$9:$O$1000)=$C107)*(Main!R$9:R$1000) ) +  ( SUMPRODUCT( ((Adders!$D$13:$D$101)=$E107)*((Adders!$E$13:$E$101)=$F107)*(Adders!G$13:G$101)) + VLOOKUP($H107,Adders!$B$5:$G$8,L$11,FALSE)  +  OH!$D$2 ) * IF($D107="NJ",1.07,1))/$L$10, CHOOSE($M$10,$L$9,$M$9) )</f>
        <v xml:space="preserve"> 71.75 </v>
      </c>
      <c r="J107" s="178" t="str">
        <f>TEXT(   (SUMPRODUCT( ((Main!$H$9:$H$1000)=$E107)*((Main!$J$9:$J$1000)=$F107)*((Main!$O$9:$O$1000)=$C107)*(Main!S$9:S$1000) ) +  ( SUMPRODUCT( ((Adders!$D$13:$D$101)=$E107)*((Adders!$E$13:$E$101)=$F107)*(Adders!H$13:H$101)) + VLOOKUP($H107,Adders!$B$5:$G$8,M$11,FALSE)  +  OH!$D$2 ) * IF($D107="NJ",1.07,1))/$L$10, CHOOSE($M$10,$L$9,$M$9) )</f>
        <v xml:space="preserve"> 71.92 </v>
      </c>
      <c r="K107" s="179" t="str">
        <f>TEXT(   (SUMPRODUCT( ((Main!$H$9:$H$1000)=$E107)*((Main!$J$9:$J$1000)=$F107)*((Main!$O$9:$O$1000)=$C107)*(Main!T$9:T$1000) ) +  ( SUMPRODUCT( ((Adders!$D$13:$D$101)=$E107)*((Adders!$E$13:$E$101)=$F107)*(Adders!I$13:I$101)) + VLOOKUP($H107,Adders!$B$5:$G$8,$N$11,FALSE)  +  OH!$D$2 ) * IF($D107="NJ",1.07,1))/$L$10, CHOOSE($M$10,$L$9,$M$9) )</f>
        <v xml:space="preserve"> 71.02 </v>
      </c>
      <c r="L107" s="180" t="str">
        <f>TEXT(   (SUMPRODUCT( ((LMPMain!$H$9:$H$1000)=$E107)*((LMPMain!$J$9:$J$1000)=$F107)*((LMPMain!$O$9:$O$1000)=$C107)*(LMPMain!R$9:R$1000) ) +  ( SUMPRODUCT( ((Adders!$D$13:$D$101)=$E107)*((Adders!$E$13:$E$101)=$F107)*(Adders!F$13:F$101)) + VLOOKUP($H107,Adders!$B$5:$G$8,L$11,FALSE)  +  OH!$D$2 ) * IF($D107="NJ",1.07,1))/$L$10, CHOOSE($M$10,$L$9,$M$9) )</f>
        <v xml:space="preserve"> 22.87 </v>
      </c>
      <c r="M107" s="178" t="str">
        <f>TEXT(   (SUMPRODUCT( ((LMPMain!$H$9:$H$1000)=$E107)*((LMPMain!$J$9:$J$1000)=$F107)*((LMPMain!$O$9:$O$1000)=$C107)*(LMPMain!S$9:S$1000) ) +  ( SUMPRODUCT( ((Adders!$D$13:$D$101)=$E107)*((Adders!$E$13:$E$101)=$F107)*(Adders!G$13:G$101)) + VLOOKUP($H107,Adders!$B$5:$G$8,M$11,FALSE)  +  OH!$D$2 ) * IF($D107="NJ",1.07,1))/$L$10, CHOOSE($M$10,$L$9,$M$9) )</f>
        <v xml:space="preserve"> 22.38 </v>
      </c>
      <c r="N107" s="179" t="str">
        <f>TEXT(   (SUMPRODUCT( ((LMPMain!$H$9:$H$1000)=$E107)*((LMPMain!$J$9:$J$1000)=$F107)*((LMPMain!$O$9:$O$1000)=$C107)*(LMPMain!T$9:T$1000) ) +  ( SUMPRODUCT( ((Adders!$D$13:$D$101)=$E107)*((Adders!$E$13:$E$101)=$F107)*(Adders!H$13:H$101)) + VLOOKUP($H107,Adders!$B$5:$G$8,N$11,FALSE)  +  OH!$D$2 ) * IF($D107="NJ",1.07,1))/$L$10, CHOOSE($M$10,$L$9,$M$9) )</f>
        <v xml:space="preserve"> 23.18 </v>
      </c>
      <c r="O107" s="112"/>
    </row>
    <row r="108" spans="2:15" x14ac:dyDescent="0.25">
      <c r="B108" s="108"/>
      <c r="C108" s="131">
        <f t="shared" si="1"/>
        <v>42370</v>
      </c>
      <c r="D108" s="132" t="s">
        <v>20</v>
      </c>
      <c r="E108" s="133" t="s">
        <v>63</v>
      </c>
      <c r="F108" s="132" t="s">
        <v>16</v>
      </c>
      <c r="G108" s="133" t="str">
        <f t="shared" si="2"/>
        <v>General Service Large</v>
      </c>
      <c r="H108" s="134" t="s">
        <v>62</v>
      </c>
      <c r="I108" s="172" t="str">
        <f>TEXT(   (SUMPRODUCT( ((Main!$H$9:$H$1000)=$E108)*((Main!$J$9:$J$1000)=$F108)*((Main!$O$9:$O$1000)=$C108)*(Main!R$9:R$1000) ) +  ( SUMPRODUCT( ((Adders!$D$13:$D$101)=$E108)*((Adders!$E$13:$E$101)=$F108)*(Adders!G$13:G$101)) + VLOOKUP($H108,Adders!$B$5:$G$8,L$11,FALSE)  +  OH!$D$2 ) * IF($D108="NJ",1.07,1))/$L$10, CHOOSE($M$10,$L$9,$M$9) )</f>
        <v xml:space="preserve"> 70.15 </v>
      </c>
      <c r="J108" s="173" t="str">
        <f>TEXT(   (SUMPRODUCT( ((Main!$H$9:$H$1000)=$E108)*((Main!$J$9:$J$1000)=$F108)*((Main!$O$9:$O$1000)=$C108)*(Main!S$9:S$1000) ) +  ( SUMPRODUCT( ((Adders!$D$13:$D$101)=$E108)*((Adders!$E$13:$E$101)=$F108)*(Adders!H$13:H$101)) + VLOOKUP($H108,Adders!$B$5:$G$8,M$11,FALSE)  +  OH!$D$2 ) * IF($D108="NJ",1.07,1))/$L$10, CHOOSE($M$10,$L$9,$M$9) )</f>
        <v xml:space="preserve"> 70.32 </v>
      </c>
      <c r="K108" s="174" t="str">
        <f>TEXT(   (SUMPRODUCT( ((Main!$H$9:$H$1000)=$E108)*((Main!$J$9:$J$1000)=$F108)*((Main!$O$9:$O$1000)=$C108)*(Main!T$9:T$1000) ) +  ( SUMPRODUCT( ((Adders!$D$13:$D$101)=$E108)*((Adders!$E$13:$E$101)=$F108)*(Adders!I$13:I$101)) + VLOOKUP($H108,Adders!$B$5:$G$8,$N$11,FALSE)  +  OH!$D$2 ) * IF($D108="NJ",1.07,1))/$L$10, CHOOSE($M$10,$L$9,$M$9) )</f>
        <v xml:space="preserve"> 69.42 </v>
      </c>
      <c r="L108" s="172" t="str">
        <f>TEXT(   (SUMPRODUCT( ((LMPMain!$H$9:$H$1000)=$E108)*((LMPMain!$J$9:$J$1000)=$F108)*((LMPMain!$O$9:$O$1000)=$C108)*(LMPMain!R$9:R$1000) ) +  ( SUMPRODUCT( ((Adders!$D$13:$D$101)=$E108)*((Adders!$E$13:$E$101)=$F108)*(Adders!F$13:F$101)) + VLOOKUP($H108,Adders!$B$5:$G$8,L$11,FALSE)  +  OH!$D$2 ) * IF($D108="NJ",1.07,1))/$L$10, CHOOSE($M$10,$L$9,$M$9) )</f>
        <v xml:space="preserve"> 21.27 </v>
      </c>
      <c r="M108" s="173" t="str">
        <f>TEXT(   (SUMPRODUCT( ((LMPMain!$H$9:$H$1000)=$E108)*((LMPMain!$J$9:$J$1000)=$F108)*((LMPMain!$O$9:$O$1000)=$C108)*(LMPMain!S$9:S$1000) ) +  ( SUMPRODUCT( ((Adders!$D$13:$D$101)=$E108)*((Adders!$E$13:$E$101)=$F108)*(Adders!G$13:G$101)) + VLOOKUP($H108,Adders!$B$5:$G$8,M$11,FALSE)  +  OH!$D$2 ) * IF($D108="NJ",1.07,1))/$L$10, CHOOSE($M$10,$L$9,$M$9) )</f>
        <v xml:space="preserve"> 20.78 </v>
      </c>
      <c r="N108" s="174" t="str">
        <f>TEXT(   (SUMPRODUCT( ((LMPMain!$H$9:$H$1000)=$E108)*((LMPMain!$J$9:$J$1000)=$F108)*((LMPMain!$O$9:$O$1000)=$C108)*(LMPMain!T$9:T$1000) ) +  ( SUMPRODUCT( ((Adders!$D$13:$D$101)=$E108)*((Adders!$E$13:$E$101)=$F108)*(Adders!H$13:H$101)) + VLOOKUP($H108,Adders!$B$5:$G$8,N$11,FALSE)  +  OH!$D$2 ) * IF($D108="NJ",1.07,1))/$L$10, CHOOSE($M$10,$L$9,$M$9) )</f>
        <v xml:space="preserve"> 21.58 </v>
      </c>
      <c r="O108" s="112"/>
    </row>
    <row r="109" spans="2:15" x14ac:dyDescent="0.25">
      <c r="B109" s="108"/>
      <c r="C109" s="135">
        <f t="shared" si="1"/>
        <v>42370</v>
      </c>
      <c r="D109" s="136" t="s">
        <v>20</v>
      </c>
      <c r="E109" s="137" t="s">
        <v>63</v>
      </c>
      <c r="F109" s="136" t="s">
        <v>16</v>
      </c>
      <c r="G109" s="137" t="str">
        <f t="shared" si="2"/>
        <v>General Service Large</v>
      </c>
      <c r="H109" s="138" t="s">
        <v>690</v>
      </c>
      <c r="I109" s="175" t="str">
        <f>TEXT(   (SUMPRODUCT( ((Main!$H$9:$H$1000)=$E109)*((Main!$J$9:$J$1000)=$F109)*((Main!$O$9:$O$1000)=$C109)*(Main!R$9:R$1000) ) +  ( SUMPRODUCT( ((Adders!$D$13:$D$101)=$E109)*((Adders!$E$13:$E$101)=$F109)*(Adders!G$13:G$101)) + VLOOKUP($H109,Adders!$B$5:$G$8,L$11,FALSE)  +  OH!$D$2 ) * IF($D109="NJ",1.07,1))/$L$10, CHOOSE($M$10,$L$9,$M$9) )</f>
        <v xml:space="preserve"> 69.10 </v>
      </c>
      <c r="J109" s="176" t="str">
        <f>TEXT(   (SUMPRODUCT( ((Main!$H$9:$H$1000)=$E109)*((Main!$J$9:$J$1000)=$F109)*((Main!$O$9:$O$1000)=$C109)*(Main!S$9:S$1000) ) +  ( SUMPRODUCT( ((Adders!$D$13:$D$101)=$E109)*((Adders!$E$13:$E$101)=$F109)*(Adders!H$13:H$101)) + VLOOKUP($H109,Adders!$B$5:$G$8,M$11,FALSE)  +  OH!$D$2 ) * IF($D109="NJ",1.07,1))/$L$10, CHOOSE($M$10,$L$9,$M$9) )</f>
        <v xml:space="preserve"> 69.27 </v>
      </c>
      <c r="K109" s="177" t="str">
        <f>TEXT(   (SUMPRODUCT( ((Main!$H$9:$H$1000)=$E109)*((Main!$J$9:$J$1000)=$F109)*((Main!$O$9:$O$1000)=$C109)*(Main!T$9:T$1000) ) +  ( SUMPRODUCT( ((Adders!$D$13:$D$101)=$E109)*((Adders!$E$13:$E$101)=$F109)*(Adders!I$13:I$101)) + VLOOKUP($H109,Adders!$B$5:$G$8,$N$11,FALSE)  +  OH!$D$2 ) * IF($D109="NJ",1.07,1))/$L$10, CHOOSE($M$10,$L$9,$M$9) )</f>
        <v xml:space="preserve"> 68.37 </v>
      </c>
      <c r="L109" s="175" t="str">
        <f>TEXT(   (SUMPRODUCT( ((LMPMain!$H$9:$H$1000)=$E109)*((LMPMain!$J$9:$J$1000)=$F109)*((LMPMain!$O$9:$O$1000)=$C109)*(LMPMain!R$9:R$1000) ) +  ( SUMPRODUCT( ((Adders!$D$13:$D$101)=$E109)*((Adders!$E$13:$E$101)=$F109)*(Adders!F$13:F$101)) + VLOOKUP($H109,Adders!$B$5:$G$8,L$11,FALSE)  +  OH!$D$2 ) * IF($D109="NJ",1.07,1))/$L$10, CHOOSE($M$10,$L$9,$M$9) )</f>
        <v xml:space="preserve"> 20.22 </v>
      </c>
      <c r="M109" s="176" t="str">
        <f>TEXT(   (SUMPRODUCT( ((LMPMain!$H$9:$H$1000)=$E109)*((LMPMain!$J$9:$J$1000)=$F109)*((LMPMain!$O$9:$O$1000)=$C109)*(LMPMain!S$9:S$1000) ) +  ( SUMPRODUCT( ((Adders!$D$13:$D$101)=$E109)*((Adders!$E$13:$E$101)=$F109)*(Adders!G$13:G$101)) + VLOOKUP($H109,Adders!$B$5:$G$8,M$11,FALSE)  +  OH!$D$2 ) * IF($D109="NJ",1.07,1))/$L$10, CHOOSE($M$10,$L$9,$M$9) )</f>
        <v xml:space="preserve"> 19.73 </v>
      </c>
      <c r="N109" s="177" t="str">
        <f>TEXT(   (SUMPRODUCT( ((LMPMain!$H$9:$H$1000)=$E109)*((LMPMain!$J$9:$J$1000)=$F109)*((LMPMain!$O$9:$O$1000)=$C109)*(LMPMain!T$9:T$1000) ) +  ( SUMPRODUCT( ((Adders!$D$13:$D$101)=$E109)*((Adders!$E$13:$E$101)=$F109)*(Adders!H$13:H$101)) + VLOOKUP($H109,Adders!$B$5:$G$8,N$11,FALSE)  +  OH!$D$2 ) * IF($D109="NJ",1.07,1))/$L$10, CHOOSE($M$10,$L$9,$M$9) )</f>
        <v xml:space="preserve"> 20.53 </v>
      </c>
      <c r="O109" s="112"/>
    </row>
    <row r="110" spans="2:15" x14ac:dyDescent="0.25">
      <c r="B110" s="108"/>
      <c r="C110" s="127">
        <f t="shared" si="1"/>
        <v>42401</v>
      </c>
      <c r="D110" s="128" t="s">
        <v>20</v>
      </c>
      <c r="E110" s="129" t="s">
        <v>63</v>
      </c>
      <c r="F110" s="128" t="s">
        <v>16</v>
      </c>
      <c r="G110" s="129" t="str">
        <f t="shared" si="2"/>
        <v>General Service Large</v>
      </c>
      <c r="H110" s="130" t="s">
        <v>61</v>
      </c>
      <c r="I110" s="180" t="str">
        <f>TEXT(   (SUMPRODUCT( ((Main!$H$9:$H$1000)=$E110)*((Main!$J$9:$J$1000)=$F110)*((Main!$O$9:$O$1000)=$C110)*(Main!R$9:R$1000) ) +  ( SUMPRODUCT( ((Adders!$D$13:$D$101)=$E110)*((Adders!$E$13:$E$101)=$F110)*(Adders!G$13:G$101)) + VLOOKUP($H110,Adders!$B$5:$G$8,L$11,FALSE)  +  OH!$D$2 ) * IF($D110="NJ",1.07,1))/$L$10, CHOOSE($M$10,$L$9,$M$9) )</f>
        <v xml:space="preserve"> 71.37 </v>
      </c>
      <c r="J110" s="178" t="str">
        <f>TEXT(   (SUMPRODUCT( ((Main!$H$9:$H$1000)=$E110)*((Main!$J$9:$J$1000)=$F110)*((Main!$O$9:$O$1000)=$C110)*(Main!S$9:S$1000) ) +  ( SUMPRODUCT( ((Adders!$D$13:$D$101)=$E110)*((Adders!$E$13:$E$101)=$F110)*(Adders!H$13:H$101)) + VLOOKUP($H110,Adders!$B$5:$G$8,M$11,FALSE)  +  OH!$D$2 ) * IF($D110="NJ",1.07,1))/$L$10, CHOOSE($M$10,$L$9,$M$9) )</f>
        <v xml:space="preserve"> 71.26 </v>
      </c>
      <c r="K110" s="179" t="str">
        <f>TEXT(   (SUMPRODUCT( ((Main!$H$9:$H$1000)=$E110)*((Main!$J$9:$J$1000)=$F110)*((Main!$O$9:$O$1000)=$C110)*(Main!T$9:T$1000) ) +  ( SUMPRODUCT( ((Adders!$D$13:$D$101)=$E110)*((Adders!$E$13:$E$101)=$F110)*(Adders!I$13:I$101)) + VLOOKUP($H110,Adders!$B$5:$G$8,$N$11,FALSE)  +  OH!$D$2 ) * IF($D110="NJ",1.07,1))/$L$10, CHOOSE($M$10,$L$9,$M$9) )</f>
        <v xml:space="preserve"> 70.94 </v>
      </c>
      <c r="L110" s="180" t="str">
        <f>TEXT(   (SUMPRODUCT( ((LMPMain!$H$9:$H$1000)=$E110)*((LMPMain!$J$9:$J$1000)=$F110)*((LMPMain!$O$9:$O$1000)=$C110)*(LMPMain!R$9:R$1000) ) +  ( SUMPRODUCT( ((Adders!$D$13:$D$101)=$E110)*((Adders!$E$13:$E$101)=$F110)*(Adders!F$13:F$101)) + VLOOKUP($H110,Adders!$B$5:$G$8,L$11,FALSE)  +  OH!$D$2 ) * IF($D110="NJ",1.07,1))/$L$10, CHOOSE($M$10,$L$9,$M$9) )</f>
        <v xml:space="preserve"> 22.23 </v>
      </c>
      <c r="M110" s="178" t="str">
        <f>TEXT(   (SUMPRODUCT( ((LMPMain!$H$9:$H$1000)=$E110)*((LMPMain!$J$9:$J$1000)=$F110)*((LMPMain!$O$9:$O$1000)=$C110)*(LMPMain!S$9:S$1000) ) +  ( SUMPRODUCT( ((Adders!$D$13:$D$101)=$E110)*((Adders!$E$13:$E$101)=$F110)*(Adders!G$13:G$101)) + VLOOKUP($H110,Adders!$B$5:$G$8,M$11,FALSE)  +  OH!$D$2 ) * IF($D110="NJ",1.07,1))/$L$10, CHOOSE($M$10,$L$9,$M$9) )</f>
        <v xml:space="preserve"> 22.07 </v>
      </c>
      <c r="N110" s="179" t="str">
        <f>TEXT(   (SUMPRODUCT( ((LMPMain!$H$9:$H$1000)=$E110)*((LMPMain!$J$9:$J$1000)=$F110)*((LMPMain!$O$9:$O$1000)=$C110)*(LMPMain!T$9:T$1000) ) +  ( SUMPRODUCT( ((Adders!$D$13:$D$101)=$E110)*((Adders!$E$13:$E$101)=$F110)*(Adders!H$13:H$101)) + VLOOKUP($H110,Adders!$B$5:$G$8,N$11,FALSE)  +  OH!$D$2 ) * IF($D110="NJ",1.07,1))/$L$10, CHOOSE($M$10,$L$9,$M$9) )</f>
        <v xml:space="preserve"> 23.15 </v>
      </c>
      <c r="O110" s="112"/>
    </row>
    <row r="111" spans="2:15" x14ac:dyDescent="0.25">
      <c r="B111" s="108"/>
      <c r="C111" s="131">
        <f t="shared" si="1"/>
        <v>42401</v>
      </c>
      <c r="D111" s="132" t="s">
        <v>20</v>
      </c>
      <c r="E111" s="133" t="s">
        <v>63</v>
      </c>
      <c r="F111" s="132" t="s">
        <v>16</v>
      </c>
      <c r="G111" s="133" t="str">
        <f t="shared" si="2"/>
        <v>General Service Large</v>
      </c>
      <c r="H111" s="134" t="s">
        <v>62</v>
      </c>
      <c r="I111" s="172" t="str">
        <f>TEXT(   (SUMPRODUCT( ((Main!$H$9:$H$1000)=$E111)*((Main!$J$9:$J$1000)=$F111)*((Main!$O$9:$O$1000)=$C111)*(Main!R$9:R$1000) ) +  ( SUMPRODUCT( ((Adders!$D$13:$D$101)=$E111)*((Adders!$E$13:$E$101)=$F111)*(Adders!G$13:G$101)) + VLOOKUP($H111,Adders!$B$5:$G$8,L$11,FALSE)  +  OH!$D$2 ) * IF($D111="NJ",1.07,1))/$L$10, CHOOSE($M$10,$L$9,$M$9) )</f>
        <v xml:space="preserve"> 69.77 </v>
      </c>
      <c r="J111" s="173" t="str">
        <f>TEXT(   (SUMPRODUCT( ((Main!$H$9:$H$1000)=$E111)*((Main!$J$9:$J$1000)=$F111)*((Main!$O$9:$O$1000)=$C111)*(Main!S$9:S$1000) ) +  ( SUMPRODUCT( ((Adders!$D$13:$D$101)=$E111)*((Adders!$E$13:$E$101)=$F111)*(Adders!H$13:H$101)) + VLOOKUP($H111,Adders!$B$5:$G$8,M$11,FALSE)  +  OH!$D$2 ) * IF($D111="NJ",1.07,1))/$L$10, CHOOSE($M$10,$L$9,$M$9) )</f>
        <v xml:space="preserve"> 69.66 </v>
      </c>
      <c r="K111" s="174" t="str">
        <f>TEXT(   (SUMPRODUCT( ((Main!$H$9:$H$1000)=$E111)*((Main!$J$9:$J$1000)=$F111)*((Main!$O$9:$O$1000)=$C111)*(Main!T$9:T$1000) ) +  ( SUMPRODUCT( ((Adders!$D$13:$D$101)=$E111)*((Adders!$E$13:$E$101)=$F111)*(Adders!I$13:I$101)) + VLOOKUP($H111,Adders!$B$5:$G$8,$N$11,FALSE)  +  OH!$D$2 ) * IF($D111="NJ",1.07,1))/$L$10, CHOOSE($M$10,$L$9,$M$9) )</f>
        <v xml:space="preserve"> 69.34 </v>
      </c>
      <c r="L111" s="172" t="str">
        <f>TEXT(   (SUMPRODUCT( ((LMPMain!$H$9:$H$1000)=$E111)*((LMPMain!$J$9:$J$1000)=$F111)*((LMPMain!$O$9:$O$1000)=$C111)*(LMPMain!R$9:R$1000) ) +  ( SUMPRODUCT( ((Adders!$D$13:$D$101)=$E111)*((Adders!$E$13:$E$101)=$F111)*(Adders!F$13:F$101)) + VLOOKUP($H111,Adders!$B$5:$G$8,L$11,FALSE)  +  OH!$D$2 ) * IF($D111="NJ",1.07,1))/$L$10, CHOOSE($M$10,$L$9,$M$9) )</f>
        <v xml:space="preserve"> 20.63 </v>
      </c>
      <c r="M111" s="173" t="str">
        <f>TEXT(   (SUMPRODUCT( ((LMPMain!$H$9:$H$1000)=$E111)*((LMPMain!$J$9:$J$1000)=$F111)*((LMPMain!$O$9:$O$1000)=$C111)*(LMPMain!S$9:S$1000) ) +  ( SUMPRODUCT( ((Adders!$D$13:$D$101)=$E111)*((Adders!$E$13:$E$101)=$F111)*(Adders!G$13:G$101)) + VLOOKUP($H111,Adders!$B$5:$G$8,M$11,FALSE)  +  OH!$D$2 ) * IF($D111="NJ",1.07,1))/$L$10, CHOOSE($M$10,$L$9,$M$9) )</f>
        <v xml:space="preserve"> 20.47 </v>
      </c>
      <c r="N111" s="174" t="str">
        <f>TEXT(   (SUMPRODUCT( ((LMPMain!$H$9:$H$1000)=$E111)*((LMPMain!$J$9:$J$1000)=$F111)*((LMPMain!$O$9:$O$1000)=$C111)*(LMPMain!T$9:T$1000) ) +  ( SUMPRODUCT( ((Adders!$D$13:$D$101)=$E111)*((Adders!$E$13:$E$101)=$F111)*(Adders!H$13:H$101)) + VLOOKUP($H111,Adders!$B$5:$G$8,N$11,FALSE)  +  OH!$D$2 ) * IF($D111="NJ",1.07,1))/$L$10, CHOOSE($M$10,$L$9,$M$9) )</f>
        <v xml:space="preserve"> 21.55 </v>
      </c>
      <c r="O111" s="112"/>
    </row>
    <row r="112" spans="2:15" x14ac:dyDescent="0.25">
      <c r="B112" s="108"/>
      <c r="C112" s="135">
        <f t="shared" si="1"/>
        <v>42401</v>
      </c>
      <c r="D112" s="136" t="s">
        <v>20</v>
      </c>
      <c r="E112" s="137" t="s">
        <v>63</v>
      </c>
      <c r="F112" s="136" t="s">
        <v>16</v>
      </c>
      <c r="G112" s="137" t="str">
        <f t="shared" si="2"/>
        <v>General Service Large</v>
      </c>
      <c r="H112" s="138" t="s">
        <v>690</v>
      </c>
      <c r="I112" s="175" t="str">
        <f>TEXT(   (SUMPRODUCT( ((Main!$H$9:$H$1000)=$E112)*((Main!$J$9:$J$1000)=$F112)*((Main!$O$9:$O$1000)=$C112)*(Main!R$9:R$1000) ) +  ( SUMPRODUCT( ((Adders!$D$13:$D$101)=$E112)*((Adders!$E$13:$E$101)=$F112)*(Adders!G$13:G$101)) + VLOOKUP($H112,Adders!$B$5:$G$8,L$11,FALSE)  +  OH!$D$2 ) * IF($D112="NJ",1.07,1))/$L$10, CHOOSE($M$10,$L$9,$M$9) )</f>
        <v xml:space="preserve"> 68.72 </v>
      </c>
      <c r="J112" s="176" t="str">
        <f>TEXT(   (SUMPRODUCT( ((Main!$H$9:$H$1000)=$E112)*((Main!$J$9:$J$1000)=$F112)*((Main!$O$9:$O$1000)=$C112)*(Main!S$9:S$1000) ) +  ( SUMPRODUCT( ((Adders!$D$13:$D$101)=$E112)*((Adders!$E$13:$E$101)=$F112)*(Adders!H$13:H$101)) + VLOOKUP($H112,Adders!$B$5:$G$8,M$11,FALSE)  +  OH!$D$2 ) * IF($D112="NJ",1.07,1))/$L$10, CHOOSE($M$10,$L$9,$M$9) )</f>
        <v xml:space="preserve"> 68.61 </v>
      </c>
      <c r="K112" s="177" t="str">
        <f>TEXT(   (SUMPRODUCT( ((Main!$H$9:$H$1000)=$E112)*((Main!$J$9:$J$1000)=$F112)*((Main!$O$9:$O$1000)=$C112)*(Main!T$9:T$1000) ) +  ( SUMPRODUCT( ((Adders!$D$13:$D$101)=$E112)*((Adders!$E$13:$E$101)=$F112)*(Adders!I$13:I$101)) + VLOOKUP($H112,Adders!$B$5:$G$8,$N$11,FALSE)  +  OH!$D$2 ) * IF($D112="NJ",1.07,1))/$L$10, CHOOSE($M$10,$L$9,$M$9) )</f>
        <v xml:space="preserve"> 68.29 </v>
      </c>
      <c r="L112" s="175" t="str">
        <f>TEXT(   (SUMPRODUCT( ((LMPMain!$H$9:$H$1000)=$E112)*((LMPMain!$J$9:$J$1000)=$F112)*((LMPMain!$O$9:$O$1000)=$C112)*(LMPMain!R$9:R$1000) ) +  ( SUMPRODUCT( ((Adders!$D$13:$D$101)=$E112)*((Adders!$E$13:$E$101)=$F112)*(Adders!F$13:F$101)) + VLOOKUP($H112,Adders!$B$5:$G$8,L$11,FALSE)  +  OH!$D$2 ) * IF($D112="NJ",1.07,1))/$L$10, CHOOSE($M$10,$L$9,$M$9) )</f>
        <v xml:space="preserve"> 19.58 </v>
      </c>
      <c r="M112" s="176" t="str">
        <f>TEXT(   (SUMPRODUCT( ((LMPMain!$H$9:$H$1000)=$E112)*((LMPMain!$J$9:$J$1000)=$F112)*((LMPMain!$O$9:$O$1000)=$C112)*(LMPMain!S$9:S$1000) ) +  ( SUMPRODUCT( ((Adders!$D$13:$D$101)=$E112)*((Adders!$E$13:$E$101)=$F112)*(Adders!G$13:G$101)) + VLOOKUP($H112,Adders!$B$5:$G$8,M$11,FALSE)  +  OH!$D$2 ) * IF($D112="NJ",1.07,1))/$L$10, CHOOSE($M$10,$L$9,$M$9) )</f>
        <v xml:space="preserve"> 19.42 </v>
      </c>
      <c r="N112" s="177" t="str">
        <f>TEXT(   (SUMPRODUCT( ((LMPMain!$H$9:$H$1000)=$E112)*((LMPMain!$J$9:$J$1000)=$F112)*((LMPMain!$O$9:$O$1000)=$C112)*(LMPMain!T$9:T$1000) ) +  ( SUMPRODUCT( ((Adders!$D$13:$D$101)=$E112)*((Adders!$E$13:$E$101)=$F112)*(Adders!H$13:H$101)) + VLOOKUP($H112,Adders!$B$5:$G$8,N$11,FALSE)  +  OH!$D$2 ) * IF($D112="NJ",1.07,1))/$L$10, CHOOSE($M$10,$L$9,$M$9) )</f>
        <v xml:space="preserve"> 20.50 </v>
      </c>
      <c r="O112" s="112"/>
    </row>
    <row r="113" spans="2:15" x14ac:dyDescent="0.25">
      <c r="B113" s="108"/>
      <c r="C113" s="127">
        <f t="shared" si="1"/>
        <v>42430</v>
      </c>
      <c r="D113" s="128" t="s">
        <v>20</v>
      </c>
      <c r="E113" s="129" t="s">
        <v>63</v>
      </c>
      <c r="F113" s="128" t="s">
        <v>16</v>
      </c>
      <c r="G113" s="129" t="str">
        <f t="shared" si="2"/>
        <v>General Service Large</v>
      </c>
      <c r="H113" s="130" t="s">
        <v>61</v>
      </c>
      <c r="I113" s="180" t="str">
        <f>TEXT(   (SUMPRODUCT( ((Main!$H$9:$H$1000)=$E113)*((Main!$J$9:$J$1000)=$F113)*((Main!$O$9:$O$1000)=$C113)*(Main!R$9:R$1000) ) +  ( SUMPRODUCT( ((Adders!$D$13:$D$101)=$E113)*((Adders!$E$13:$E$101)=$F113)*(Adders!G$13:G$101)) + VLOOKUP($H113,Adders!$B$5:$G$8,L$11,FALSE)  +  OH!$D$2 ) * IF($D113="NJ",1.07,1))/$L$10, CHOOSE($M$10,$L$9,$M$9) )</f>
        <v xml:space="preserve"> 70.94 </v>
      </c>
      <c r="J113" s="178" t="str">
        <f>TEXT(   (SUMPRODUCT( ((Main!$H$9:$H$1000)=$E113)*((Main!$J$9:$J$1000)=$F113)*((Main!$O$9:$O$1000)=$C113)*(Main!S$9:S$1000) ) +  ( SUMPRODUCT( ((Adders!$D$13:$D$101)=$E113)*((Adders!$E$13:$E$101)=$F113)*(Adders!H$13:H$101)) + VLOOKUP($H113,Adders!$B$5:$G$8,M$11,FALSE)  +  OH!$D$2 ) * IF($D113="NJ",1.07,1))/$L$10, CHOOSE($M$10,$L$9,$M$9) )</f>
        <v xml:space="preserve"> 70.61 </v>
      </c>
      <c r="K113" s="179" t="str">
        <f>TEXT(   (SUMPRODUCT( ((Main!$H$9:$H$1000)=$E113)*((Main!$J$9:$J$1000)=$F113)*((Main!$O$9:$O$1000)=$C113)*(Main!T$9:T$1000) ) +  ( SUMPRODUCT( ((Adders!$D$13:$D$101)=$E113)*((Adders!$E$13:$E$101)=$F113)*(Adders!I$13:I$101)) + VLOOKUP($H113,Adders!$B$5:$G$8,$N$11,FALSE)  +  OH!$D$2 ) * IF($D113="NJ",1.07,1))/$L$10, CHOOSE($M$10,$L$9,$M$9) )</f>
        <v xml:space="preserve"> 70.82 </v>
      </c>
      <c r="L113" s="180" t="str">
        <f>TEXT(   (SUMPRODUCT( ((LMPMain!$H$9:$H$1000)=$E113)*((LMPMain!$J$9:$J$1000)=$F113)*((LMPMain!$O$9:$O$1000)=$C113)*(LMPMain!R$9:R$1000) ) +  ( SUMPRODUCT( ((Adders!$D$13:$D$101)=$E113)*((Adders!$E$13:$E$101)=$F113)*(Adders!F$13:F$101)) + VLOOKUP($H113,Adders!$B$5:$G$8,L$11,FALSE)  +  OH!$D$2 ) * IF($D113="NJ",1.07,1))/$L$10, CHOOSE($M$10,$L$9,$M$9) )</f>
        <v xml:space="preserve"> 21.61 </v>
      </c>
      <c r="M113" s="178" t="str">
        <f>TEXT(   (SUMPRODUCT( ((LMPMain!$H$9:$H$1000)=$E113)*((LMPMain!$J$9:$J$1000)=$F113)*((LMPMain!$O$9:$O$1000)=$C113)*(LMPMain!S$9:S$1000) ) +  ( SUMPRODUCT( ((Adders!$D$13:$D$101)=$E113)*((Adders!$E$13:$E$101)=$F113)*(Adders!G$13:G$101)) + VLOOKUP($H113,Adders!$B$5:$G$8,M$11,FALSE)  +  OH!$D$2 ) * IF($D113="NJ",1.07,1))/$L$10, CHOOSE($M$10,$L$9,$M$9) )</f>
        <v xml:space="preserve"> 21.86 </v>
      </c>
      <c r="N113" s="179" t="str">
        <f>TEXT(   (SUMPRODUCT( ((LMPMain!$H$9:$H$1000)=$E113)*((LMPMain!$J$9:$J$1000)=$F113)*((LMPMain!$O$9:$O$1000)=$C113)*(LMPMain!T$9:T$1000) ) +  ( SUMPRODUCT( ((Adders!$D$13:$D$101)=$E113)*((Adders!$E$13:$E$101)=$F113)*(Adders!H$13:H$101)) + VLOOKUP($H113,Adders!$B$5:$G$8,N$11,FALSE)  +  OH!$D$2 ) * IF($D113="NJ",1.07,1))/$L$10, CHOOSE($M$10,$L$9,$M$9) )</f>
        <v xml:space="preserve"> 23.10 </v>
      </c>
      <c r="O113" s="112"/>
    </row>
    <row r="114" spans="2:15" x14ac:dyDescent="0.25">
      <c r="B114" s="108"/>
      <c r="C114" s="131">
        <f t="shared" si="1"/>
        <v>42430</v>
      </c>
      <c r="D114" s="132" t="s">
        <v>20</v>
      </c>
      <c r="E114" s="133" t="s">
        <v>63</v>
      </c>
      <c r="F114" s="132" t="s">
        <v>16</v>
      </c>
      <c r="G114" s="133" t="str">
        <f t="shared" si="2"/>
        <v>General Service Large</v>
      </c>
      <c r="H114" s="134" t="s">
        <v>62</v>
      </c>
      <c r="I114" s="172" t="str">
        <f>TEXT(   (SUMPRODUCT( ((Main!$H$9:$H$1000)=$E114)*((Main!$J$9:$J$1000)=$F114)*((Main!$O$9:$O$1000)=$C114)*(Main!R$9:R$1000) ) +  ( SUMPRODUCT( ((Adders!$D$13:$D$101)=$E114)*((Adders!$E$13:$E$101)=$F114)*(Adders!G$13:G$101)) + VLOOKUP($H114,Adders!$B$5:$G$8,L$11,FALSE)  +  OH!$D$2 ) * IF($D114="NJ",1.07,1))/$L$10, CHOOSE($M$10,$L$9,$M$9) )</f>
        <v xml:space="preserve"> 69.34 </v>
      </c>
      <c r="J114" s="173" t="str">
        <f>TEXT(   (SUMPRODUCT( ((Main!$H$9:$H$1000)=$E114)*((Main!$J$9:$J$1000)=$F114)*((Main!$O$9:$O$1000)=$C114)*(Main!S$9:S$1000) ) +  ( SUMPRODUCT( ((Adders!$D$13:$D$101)=$E114)*((Adders!$E$13:$E$101)=$F114)*(Adders!H$13:H$101)) + VLOOKUP($H114,Adders!$B$5:$G$8,M$11,FALSE)  +  OH!$D$2 ) * IF($D114="NJ",1.07,1))/$L$10, CHOOSE($M$10,$L$9,$M$9) )</f>
        <v xml:space="preserve"> 69.01 </v>
      </c>
      <c r="K114" s="174" t="str">
        <f>TEXT(   (SUMPRODUCT( ((Main!$H$9:$H$1000)=$E114)*((Main!$J$9:$J$1000)=$F114)*((Main!$O$9:$O$1000)=$C114)*(Main!T$9:T$1000) ) +  ( SUMPRODUCT( ((Adders!$D$13:$D$101)=$E114)*((Adders!$E$13:$E$101)=$F114)*(Adders!I$13:I$101)) + VLOOKUP($H114,Adders!$B$5:$G$8,$N$11,FALSE)  +  OH!$D$2 ) * IF($D114="NJ",1.07,1))/$L$10, CHOOSE($M$10,$L$9,$M$9) )</f>
        <v xml:space="preserve"> 69.22 </v>
      </c>
      <c r="L114" s="172" t="str">
        <f>TEXT(   (SUMPRODUCT( ((LMPMain!$H$9:$H$1000)=$E114)*((LMPMain!$J$9:$J$1000)=$F114)*((LMPMain!$O$9:$O$1000)=$C114)*(LMPMain!R$9:R$1000) ) +  ( SUMPRODUCT( ((Adders!$D$13:$D$101)=$E114)*((Adders!$E$13:$E$101)=$F114)*(Adders!F$13:F$101)) + VLOOKUP($H114,Adders!$B$5:$G$8,L$11,FALSE)  +  OH!$D$2 ) * IF($D114="NJ",1.07,1))/$L$10, CHOOSE($M$10,$L$9,$M$9) )</f>
        <v xml:space="preserve"> 20.01 </v>
      </c>
      <c r="M114" s="173" t="str">
        <f>TEXT(   (SUMPRODUCT( ((LMPMain!$H$9:$H$1000)=$E114)*((LMPMain!$J$9:$J$1000)=$F114)*((LMPMain!$O$9:$O$1000)=$C114)*(LMPMain!S$9:S$1000) ) +  ( SUMPRODUCT( ((Adders!$D$13:$D$101)=$E114)*((Adders!$E$13:$E$101)=$F114)*(Adders!G$13:G$101)) + VLOOKUP($H114,Adders!$B$5:$G$8,M$11,FALSE)  +  OH!$D$2 ) * IF($D114="NJ",1.07,1))/$L$10, CHOOSE($M$10,$L$9,$M$9) )</f>
        <v xml:space="preserve"> 20.26 </v>
      </c>
      <c r="N114" s="174" t="str">
        <f>TEXT(   (SUMPRODUCT( ((LMPMain!$H$9:$H$1000)=$E114)*((LMPMain!$J$9:$J$1000)=$F114)*((LMPMain!$O$9:$O$1000)=$C114)*(LMPMain!T$9:T$1000) ) +  ( SUMPRODUCT( ((Adders!$D$13:$D$101)=$E114)*((Adders!$E$13:$E$101)=$F114)*(Adders!H$13:H$101)) + VLOOKUP($H114,Adders!$B$5:$G$8,N$11,FALSE)  +  OH!$D$2 ) * IF($D114="NJ",1.07,1))/$L$10, CHOOSE($M$10,$L$9,$M$9) )</f>
        <v xml:space="preserve"> 21.50 </v>
      </c>
      <c r="O114" s="112"/>
    </row>
    <row r="115" spans="2:15" x14ac:dyDescent="0.25">
      <c r="B115" s="108"/>
      <c r="C115" s="135">
        <f t="shared" ref="C115:C178" si="3">C79</f>
        <v>42430</v>
      </c>
      <c r="D115" s="136" t="s">
        <v>20</v>
      </c>
      <c r="E115" s="137" t="s">
        <v>63</v>
      </c>
      <c r="F115" s="136" t="s">
        <v>16</v>
      </c>
      <c r="G115" s="137" t="str">
        <f t="shared" ref="G115:G178" si="4">G114</f>
        <v>General Service Large</v>
      </c>
      <c r="H115" s="138" t="s">
        <v>690</v>
      </c>
      <c r="I115" s="175" t="str">
        <f>TEXT(   (SUMPRODUCT( ((Main!$H$9:$H$1000)=$E115)*((Main!$J$9:$J$1000)=$F115)*((Main!$O$9:$O$1000)=$C115)*(Main!R$9:R$1000) ) +  ( SUMPRODUCT( ((Adders!$D$13:$D$101)=$E115)*((Adders!$E$13:$E$101)=$F115)*(Adders!G$13:G$101)) + VLOOKUP($H115,Adders!$B$5:$G$8,L$11,FALSE)  +  OH!$D$2 ) * IF($D115="NJ",1.07,1))/$L$10, CHOOSE($M$10,$L$9,$M$9) )</f>
        <v xml:space="preserve"> 68.29 </v>
      </c>
      <c r="J115" s="176" t="str">
        <f>TEXT(   (SUMPRODUCT( ((Main!$H$9:$H$1000)=$E115)*((Main!$J$9:$J$1000)=$F115)*((Main!$O$9:$O$1000)=$C115)*(Main!S$9:S$1000) ) +  ( SUMPRODUCT( ((Adders!$D$13:$D$101)=$E115)*((Adders!$E$13:$E$101)=$F115)*(Adders!H$13:H$101)) + VLOOKUP($H115,Adders!$B$5:$G$8,M$11,FALSE)  +  OH!$D$2 ) * IF($D115="NJ",1.07,1))/$L$10, CHOOSE($M$10,$L$9,$M$9) )</f>
        <v xml:space="preserve"> 67.96 </v>
      </c>
      <c r="K115" s="177" t="str">
        <f>TEXT(   (SUMPRODUCT( ((Main!$H$9:$H$1000)=$E115)*((Main!$J$9:$J$1000)=$F115)*((Main!$O$9:$O$1000)=$C115)*(Main!T$9:T$1000) ) +  ( SUMPRODUCT( ((Adders!$D$13:$D$101)=$E115)*((Adders!$E$13:$E$101)=$F115)*(Adders!I$13:I$101)) + VLOOKUP($H115,Adders!$B$5:$G$8,$N$11,FALSE)  +  OH!$D$2 ) * IF($D115="NJ",1.07,1))/$L$10, CHOOSE($M$10,$L$9,$M$9) )</f>
        <v xml:space="preserve"> 68.17 </v>
      </c>
      <c r="L115" s="175" t="str">
        <f>TEXT(   (SUMPRODUCT( ((LMPMain!$H$9:$H$1000)=$E115)*((LMPMain!$J$9:$J$1000)=$F115)*((LMPMain!$O$9:$O$1000)=$C115)*(LMPMain!R$9:R$1000) ) +  ( SUMPRODUCT( ((Adders!$D$13:$D$101)=$E115)*((Adders!$E$13:$E$101)=$F115)*(Adders!F$13:F$101)) + VLOOKUP($H115,Adders!$B$5:$G$8,L$11,FALSE)  +  OH!$D$2 ) * IF($D115="NJ",1.07,1))/$L$10, CHOOSE($M$10,$L$9,$M$9) )</f>
        <v xml:space="preserve"> 18.96 </v>
      </c>
      <c r="M115" s="176" t="str">
        <f>TEXT(   (SUMPRODUCT( ((LMPMain!$H$9:$H$1000)=$E115)*((LMPMain!$J$9:$J$1000)=$F115)*((LMPMain!$O$9:$O$1000)=$C115)*(LMPMain!S$9:S$1000) ) +  ( SUMPRODUCT( ((Adders!$D$13:$D$101)=$E115)*((Adders!$E$13:$E$101)=$F115)*(Adders!G$13:G$101)) + VLOOKUP($H115,Adders!$B$5:$G$8,M$11,FALSE)  +  OH!$D$2 ) * IF($D115="NJ",1.07,1))/$L$10, CHOOSE($M$10,$L$9,$M$9) )</f>
        <v xml:space="preserve"> 19.21 </v>
      </c>
      <c r="N115" s="177" t="str">
        <f>TEXT(   (SUMPRODUCT( ((LMPMain!$H$9:$H$1000)=$E115)*((LMPMain!$J$9:$J$1000)=$F115)*((LMPMain!$O$9:$O$1000)=$C115)*(LMPMain!T$9:T$1000) ) +  ( SUMPRODUCT( ((Adders!$D$13:$D$101)=$E115)*((Adders!$E$13:$E$101)=$F115)*(Adders!H$13:H$101)) + VLOOKUP($H115,Adders!$B$5:$G$8,N$11,FALSE)  +  OH!$D$2 ) * IF($D115="NJ",1.07,1))/$L$10, CHOOSE($M$10,$L$9,$M$9) )</f>
        <v xml:space="preserve"> 20.45 </v>
      </c>
      <c r="O115" s="112"/>
    </row>
    <row r="116" spans="2:15" x14ac:dyDescent="0.25">
      <c r="B116" s="108"/>
      <c r="C116" s="127">
        <f t="shared" si="3"/>
        <v>42461</v>
      </c>
      <c r="D116" s="128" t="s">
        <v>20</v>
      </c>
      <c r="E116" s="129" t="s">
        <v>63</v>
      </c>
      <c r="F116" s="128" t="s">
        <v>16</v>
      </c>
      <c r="G116" s="129" t="str">
        <f t="shared" si="4"/>
        <v>General Service Large</v>
      </c>
      <c r="H116" s="130" t="s">
        <v>61</v>
      </c>
      <c r="I116" s="180" t="str">
        <f>TEXT(   (SUMPRODUCT( ((Main!$H$9:$H$1000)=$E116)*((Main!$J$9:$J$1000)=$F116)*((Main!$O$9:$O$1000)=$C116)*(Main!R$9:R$1000) ) +  ( SUMPRODUCT( ((Adders!$D$13:$D$101)=$E116)*((Adders!$E$13:$E$101)=$F116)*(Adders!G$13:G$101)) + VLOOKUP($H116,Adders!$B$5:$G$8,L$11,FALSE)  +  OH!$D$2 ) * IF($D116="NJ",1.07,1))/$L$10, CHOOSE($M$10,$L$9,$M$9) )</f>
        <v xml:space="preserve"> 70.39 </v>
      </c>
      <c r="J116" s="178" t="str">
        <f>TEXT(   (SUMPRODUCT( ((Main!$H$9:$H$1000)=$E116)*((Main!$J$9:$J$1000)=$F116)*((Main!$O$9:$O$1000)=$C116)*(Main!S$9:S$1000) ) +  ( SUMPRODUCT( ((Adders!$D$13:$D$101)=$E116)*((Adders!$E$13:$E$101)=$F116)*(Adders!H$13:H$101)) + VLOOKUP($H116,Adders!$B$5:$G$8,M$11,FALSE)  +  OH!$D$2 ) * IF($D116="NJ",1.07,1))/$L$10, CHOOSE($M$10,$L$9,$M$9) )</f>
        <v xml:space="preserve"> 69.73 </v>
      </c>
      <c r="K116" s="179" t="str">
        <f>TEXT(   (SUMPRODUCT( ((Main!$H$9:$H$1000)=$E116)*((Main!$J$9:$J$1000)=$F116)*((Main!$O$9:$O$1000)=$C116)*(Main!T$9:T$1000) ) +  ( SUMPRODUCT( ((Adders!$D$13:$D$101)=$E116)*((Adders!$E$13:$E$101)=$F116)*(Adders!I$13:I$101)) + VLOOKUP($H116,Adders!$B$5:$G$8,$N$11,FALSE)  +  OH!$D$2 ) * IF($D116="NJ",1.07,1))/$L$10, CHOOSE($M$10,$L$9,$M$9) )</f>
        <v xml:space="preserve"> 70.53 </v>
      </c>
      <c r="L116" s="180" t="str">
        <f>TEXT(   (SUMPRODUCT( ((LMPMain!$H$9:$H$1000)=$E116)*((LMPMain!$J$9:$J$1000)=$F116)*((LMPMain!$O$9:$O$1000)=$C116)*(LMPMain!R$9:R$1000) ) +  ( SUMPRODUCT( ((Adders!$D$13:$D$101)=$E116)*((Adders!$E$13:$E$101)=$F116)*(Adders!F$13:F$101)) + VLOOKUP($H116,Adders!$B$5:$G$8,L$11,FALSE)  +  OH!$D$2 ) * IF($D116="NJ",1.07,1))/$L$10, CHOOSE($M$10,$L$9,$M$9) )</f>
        <v xml:space="preserve"> 20.97 </v>
      </c>
      <c r="M116" s="178" t="str">
        <f>TEXT(   (SUMPRODUCT( ((LMPMain!$H$9:$H$1000)=$E116)*((LMPMain!$J$9:$J$1000)=$F116)*((LMPMain!$O$9:$O$1000)=$C116)*(LMPMain!S$9:S$1000) ) +  ( SUMPRODUCT( ((Adders!$D$13:$D$101)=$E116)*((Adders!$E$13:$E$101)=$F116)*(Adders!G$13:G$101)) + VLOOKUP($H116,Adders!$B$5:$G$8,M$11,FALSE)  +  OH!$D$2 ) * IF($D116="NJ",1.07,1))/$L$10, CHOOSE($M$10,$L$9,$M$9) )</f>
        <v xml:space="preserve"> 21.64 </v>
      </c>
      <c r="N116" s="179" t="str">
        <f>TEXT(   (SUMPRODUCT( ((LMPMain!$H$9:$H$1000)=$E116)*((LMPMain!$J$9:$J$1000)=$F116)*((LMPMain!$O$9:$O$1000)=$C116)*(LMPMain!T$9:T$1000) ) +  ( SUMPRODUCT( ((Adders!$D$13:$D$101)=$E116)*((Adders!$E$13:$E$101)=$F116)*(Adders!H$13:H$101)) + VLOOKUP($H116,Adders!$B$5:$G$8,N$11,FALSE)  +  OH!$D$2 ) * IF($D116="NJ",1.07,1))/$L$10, CHOOSE($M$10,$L$9,$M$9) )</f>
        <v xml:space="preserve"> 23.06 </v>
      </c>
      <c r="O116" s="112"/>
    </row>
    <row r="117" spans="2:15" x14ac:dyDescent="0.25">
      <c r="B117" s="108"/>
      <c r="C117" s="131">
        <f t="shared" si="3"/>
        <v>42461</v>
      </c>
      <c r="D117" s="132" t="s">
        <v>20</v>
      </c>
      <c r="E117" s="133" t="s">
        <v>63</v>
      </c>
      <c r="F117" s="132" t="s">
        <v>16</v>
      </c>
      <c r="G117" s="133" t="str">
        <f t="shared" si="4"/>
        <v>General Service Large</v>
      </c>
      <c r="H117" s="134" t="s">
        <v>62</v>
      </c>
      <c r="I117" s="172" t="str">
        <f>TEXT(   (SUMPRODUCT( ((Main!$H$9:$H$1000)=$E117)*((Main!$J$9:$J$1000)=$F117)*((Main!$O$9:$O$1000)=$C117)*(Main!R$9:R$1000) ) +  ( SUMPRODUCT( ((Adders!$D$13:$D$101)=$E117)*((Adders!$E$13:$E$101)=$F117)*(Adders!G$13:G$101)) + VLOOKUP($H117,Adders!$B$5:$G$8,L$11,FALSE)  +  OH!$D$2 ) * IF($D117="NJ",1.07,1))/$L$10, CHOOSE($M$10,$L$9,$M$9) )</f>
        <v xml:space="preserve"> 68.79 </v>
      </c>
      <c r="J117" s="173" t="str">
        <f>TEXT(   (SUMPRODUCT( ((Main!$H$9:$H$1000)=$E117)*((Main!$J$9:$J$1000)=$F117)*((Main!$O$9:$O$1000)=$C117)*(Main!S$9:S$1000) ) +  ( SUMPRODUCT( ((Adders!$D$13:$D$101)=$E117)*((Adders!$E$13:$E$101)=$F117)*(Adders!H$13:H$101)) + VLOOKUP($H117,Adders!$B$5:$G$8,M$11,FALSE)  +  OH!$D$2 ) * IF($D117="NJ",1.07,1))/$L$10, CHOOSE($M$10,$L$9,$M$9) )</f>
        <v xml:space="preserve"> 68.13 </v>
      </c>
      <c r="K117" s="174" t="str">
        <f>TEXT(   (SUMPRODUCT( ((Main!$H$9:$H$1000)=$E117)*((Main!$J$9:$J$1000)=$F117)*((Main!$O$9:$O$1000)=$C117)*(Main!T$9:T$1000) ) +  ( SUMPRODUCT( ((Adders!$D$13:$D$101)=$E117)*((Adders!$E$13:$E$101)=$F117)*(Adders!I$13:I$101)) + VLOOKUP($H117,Adders!$B$5:$G$8,$N$11,FALSE)  +  OH!$D$2 ) * IF($D117="NJ",1.07,1))/$L$10, CHOOSE($M$10,$L$9,$M$9) )</f>
        <v xml:space="preserve"> 68.93 </v>
      </c>
      <c r="L117" s="172" t="str">
        <f>TEXT(   (SUMPRODUCT( ((LMPMain!$H$9:$H$1000)=$E117)*((LMPMain!$J$9:$J$1000)=$F117)*((LMPMain!$O$9:$O$1000)=$C117)*(LMPMain!R$9:R$1000) ) +  ( SUMPRODUCT( ((Adders!$D$13:$D$101)=$E117)*((Adders!$E$13:$E$101)=$F117)*(Adders!F$13:F$101)) + VLOOKUP($H117,Adders!$B$5:$G$8,L$11,FALSE)  +  OH!$D$2 ) * IF($D117="NJ",1.07,1))/$L$10, CHOOSE($M$10,$L$9,$M$9) )</f>
        <v xml:space="preserve"> 19.37 </v>
      </c>
      <c r="M117" s="173" t="str">
        <f>TEXT(   (SUMPRODUCT( ((LMPMain!$H$9:$H$1000)=$E117)*((LMPMain!$J$9:$J$1000)=$F117)*((LMPMain!$O$9:$O$1000)=$C117)*(LMPMain!S$9:S$1000) ) +  ( SUMPRODUCT( ((Adders!$D$13:$D$101)=$E117)*((Adders!$E$13:$E$101)=$F117)*(Adders!G$13:G$101)) + VLOOKUP($H117,Adders!$B$5:$G$8,M$11,FALSE)  +  OH!$D$2 ) * IF($D117="NJ",1.07,1))/$L$10, CHOOSE($M$10,$L$9,$M$9) )</f>
        <v xml:space="preserve"> 20.04 </v>
      </c>
      <c r="N117" s="174" t="str">
        <f>TEXT(   (SUMPRODUCT( ((LMPMain!$H$9:$H$1000)=$E117)*((LMPMain!$J$9:$J$1000)=$F117)*((LMPMain!$O$9:$O$1000)=$C117)*(LMPMain!T$9:T$1000) ) +  ( SUMPRODUCT( ((Adders!$D$13:$D$101)=$E117)*((Adders!$E$13:$E$101)=$F117)*(Adders!H$13:H$101)) + VLOOKUP($H117,Adders!$B$5:$G$8,N$11,FALSE)  +  OH!$D$2 ) * IF($D117="NJ",1.07,1))/$L$10, CHOOSE($M$10,$L$9,$M$9) )</f>
        <v xml:space="preserve"> 21.46 </v>
      </c>
      <c r="O117" s="112"/>
    </row>
    <row r="118" spans="2:15" x14ac:dyDescent="0.25">
      <c r="B118" s="108"/>
      <c r="C118" s="135">
        <f t="shared" si="3"/>
        <v>42461</v>
      </c>
      <c r="D118" s="136" t="s">
        <v>20</v>
      </c>
      <c r="E118" s="137" t="s">
        <v>63</v>
      </c>
      <c r="F118" s="136" t="s">
        <v>16</v>
      </c>
      <c r="G118" s="137" t="str">
        <f t="shared" si="4"/>
        <v>General Service Large</v>
      </c>
      <c r="H118" s="138" t="s">
        <v>690</v>
      </c>
      <c r="I118" s="175" t="str">
        <f>TEXT(   (SUMPRODUCT( ((Main!$H$9:$H$1000)=$E118)*((Main!$J$9:$J$1000)=$F118)*((Main!$O$9:$O$1000)=$C118)*(Main!R$9:R$1000) ) +  ( SUMPRODUCT( ((Adders!$D$13:$D$101)=$E118)*((Adders!$E$13:$E$101)=$F118)*(Adders!G$13:G$101)) + VLOOKUP($H118,Adders!$B$5:$G$8,L$11,FALSE)  +  OH!$D$2 ) * IF($D118="NJ",1.07,1))/$L$10, CHOOSE($M$10,$L$9,$M$9) )</f>
        <v xml:space="preserve"> 67.74 </v>
      </c>
      <c r="J118" s="176" t="str">
        <f>TEXT(   (SUMPRODUCT( ((Main!$H$9:$H$1000)=$E118)*((Main!$J$9:$J$1000)=$F118)*((Main!$O$9:$O$1000)=$C118)*(Main!S$9:S$1000) ) +  ( SUMPRODUCT( ((Adders!$D$13:$D$101)=$E118)*((Adders!$E$13:$E$101)=$F118)*(Adders!H$13:H$101)) + VLOOKUP($H118,Adders!$B$5:$G$8,M$11,FALSE)  +  OH!$D$2 ) * IF($D118="NJ",1.07,1))/$L$10, CHOOSE($M$10,$L$9,$M$9) )</f>
        <v xml:space="preserve"> 67.08 </v>
      </c>
      <c r="K118" s="177" t="str">
        <f>TEXT(   (SUMPRODUCT( ((Main!$H$9:$H$1000)=$E118)*((Main!$J$9:$J$1000)=$F118)*((Main!$O$9:$O$1000)=$C118)*(Main!T$9:T$1000) ) +  ( SUMPRODUCT( ((Adders!$D$13:$D$101)=$E118)*((Adders!$E$13:$E$101)=$F118)*(Adders!I$13:I$101)) + VLOOKUP($H118,Adders!$B$5:$G$8,$N$11,FALSE)  +  OH!$D$2 ) * IF($D118="NJ",1.07,1))/$L$10, CHOOSE($M$10,$L$9,$M$9) )</f>
        <v xml:space="preserve"> 67.88 </v>
      </c>
      <c r="L118" s="175" t="str">
        <f>TEXT(   (SUMPRODUCT( ((LMPMain!$H$9:$H$1000)=$E118)*((LMPMain!$J$9:$J$1000)=$F118)*((LMPMain!$O$9:$O$1000)=$C118)*(LMPMain!R$9:R$1000) ) +  ( SUMPRODUCT( ((Adders!$D$13:$D$101)=$E118)*((Adders!$E$13:$E$101)=$F118)*(Adders!F$13:F$101)) + VLOOKUP($H118,Adders!$B$5:$G$8,L$11,FALSE)  +  OH!$D$2 ) * IF($D118="NJ",1.07,1))/$L$10, CHOOSE($M$10,$L$9,$M$9) )</f>
        <v xml:space="preserve"> 18.32 </v>
      </c>
      <c r="M118" s="176" t="str">
        <f>TEXT(   (SUMPRODUCT( ((LMPMain!$H$9:$H$1000)=$E118)*((LMPMain!$J$9:$J$1000)=$F118)*((LMPMain!$O$9:$O$1000)=$C118)*(LMPMain!S$9:S$1000) ) +  ( SUMPRODUCT( ((Adders!$D$13:$D$101)=$E118)*((Adders!$E$13:$E$101)=$F118)*(Adders!G$13:G$101)) + VLOOKUP($H118,Adders!$B$5:$G$8,M$11,FALSE)  +  OH!$D$2 ) * IF($D118="NJ",1.07,1))/$L$10, CHOOSE($M$10,$L$9,$M$9) )</f>
        <v xml:space="preserve"> 18.99 </v>
      </c>
      <c r="N118" s="177" t="str">
        <f>TEXT(   (SUMPRODUCT( ((LMPMain!$H$9:$H$1000)=$E118)*((LMPMain!$J$9:$J$1000)=$F118)*((LMPMain!$O$9:$O$1000)=$C118)*(LMPMain!T$9:T$1000) ) +  ( SUMPRODUCT( ((Adders!$D$13:$D$101)=$E118)*((Adders!$E$13:$E$101)=$F118)*(Adders!H$13:H$101)) + VLOOKUP($H118,Adders!$B$5:$G$8,N$11,FALSE)  +  OH!$D$2 ) * IF($D118="NJ",1.07,1))/$L$10, CHOOSE($M$10,$L$9,$M$9) )</f>
        <v xml:space="preserve"> 20.41 </v>
      </c>
      <c r="O118" s="112"/>
    </row>
    <row r="119" spans="2:15" x14ac:dyDescent="0.25">
      <c r="B119" s="108"/>
      <c r="C119" s="127">
        <f t="shared" si="3"/>
        <v>42491</v>
      </c>
      <c r="D119" s="128" t="s">
        <v>20</v>
      </c>
      <c r="E119" s="129" t="s">
        <v>63</v>
      </c>
      <c r="F119" s="128" t="s">
        <v>16</v>
      </c>
      <c r="G119" s="129" t="str">
        <f t="shared" si="4"/>
        <v>General Service Large</v>
      </c>
      <c r="H119" s="130" t="s">
        <v>61</v>
      </c>
      <c r="I119" s="180" t="str">
        <f>TEXT(   (SUMPRODUCT( ((Main!$H$9:$H$1000)=$E119)*((Main!$J$9:$J$1000)=$F119)*((Main!$O$9:$O$1000)=$C119)*(Main!R$9:R$1000) ) +  ( SUMPRODUCT( ((Adders!$D$13:$D$101)=$E119)*((Adders!$E$13:$E$101)=$F119)*(Adders!G$13:G$101)) + VLOOKUP($H119,Adders!$B$5:$G$8,L$11,FALSE)  +  OH!$D$2 ) * IF($D119="NJ",1.07,1))/$L$10, CHOOSE($M$10,$L$9,$M$9) )</f>
        <v xml:space="preserve"> 69.78 </v>
      </c>
      <c r="J119" s="178" t="str">
        <f>TEXT(   (SUMPRODUCT( ((Main!$H$9:$H$1000)=$E119)*((Main!$J$9:$J$1000)=$F119)*((Main!$O$9:$O$1000)=$C119)*(Main!S$9:S$1000) ) +  ( SUMPRODUCT( ((Adders!$D$13:$D$101)=$E119)*((Adders!$E$13:$E$101)=$F119)*(Adders!H$13:H$101)) + VLOOKUP($H119,Adders!$B$5:$G$8,M$11,FALSE)  +  OH!$D$2 ) * IF($D119="NJ",1.07,1))/$L$10, CHOOSE($M$10,$L$9,$M$9) )</f>
        <v xml:space="preserve"> 69.18 </v>
      </c>
      <c r="K119" s="179" t="str">
        <f>TEXT(   (SUMPRODUCT( ((Main!$H$9:$H$1000)=$E119)*((Main!$J$9:$J$1000)=$F119)*((Main!$O$9:$O$1000)=$C119)*(Main!T$9:T$1000) ) +  ( SUMPRODUCT( ((Adders!$D$13:$D$101)=$E119)*((Adders!$E$13:$E$101)=$F119)*(Adders!I$13:I$101)) + VLOOKUP($H119,Adders!$B$5:$G$8,$N$11,FALSE)  +  OH!$D$2 ) * IF($D119="NJ",1.07,1))/$L$10, CHOOSE($M$10,$L$9,$M$9) )</f>
        <v xml:space="preserve"> 70.29 </v>
      </c>
      <c r="L119" s="180" t="str">
        <f>TEXT(   (SUMPRODUCT( ((LMPMain!$H$9:$H$1000)=$E119)*((LMPMain!$J$9:$J$1000)=$F119)*((LMPMain!$O$9:$O$1000)=$C119)*(LMPMain!R$9:R$1000) ) +  ( SUMPRODUCT( ((Adders!$D$13:$D$101)=$E119)*((Adders!$E$13:$E$101)=$F119)*(Adders!F$13:F$101)) + VLOOKUP($H119,Adders!$B$5:$G$8,L$11,FALSE)  +  OH!$D$2 ) * IF($D119="NJ",1.07,1))/$L$10, CHOOSE($M$10,$L$9,$M$9) )</f>
        <v xml:space="preserve"> 20.32 </v>
      </c>
      <c r="M119" s="178" t="str">
        <f>TEXT(   (SUMPRODUCT( ((LMPMain!$H$9:$H$1000)=$E119)*((LMPMain!$J$9:$J$1000)=$F119)*((LMPMain!$O$9:$O$1000)=$C119)*(LMPMain!S$9:S$1000) ) +  ( SUMPRODUCT( ((Adders!$D$13:$D$101)=$E119)*((Adders!$E$13:$E$101)=$F119)*(Adders!G$13:G$101)) + VLOOKUP($H119,Adders!$B$5:$G$8,M$11,FALSE)  +  OH!$D$2 ) * IF($D119="NJ",1.07,1))/$L$10, CHOOSE($M$10,$L$9,$M$9) )</f>
        <v xml:space="preserve"> 21.55 </v>
      </c>
      <c r="N119" s="179" t="str">
        <f>TEXT(   (SUMPRODUCT( ((LMPMain!$H$9:$H$1000)=$E119)*((LMPMain!$J$9:$J$1000)=$F119)*((LMPMain!$O$9:$O$1000)=$C119)*(LMPMain!T$9:T$1000) ) +  ( SUMPRODUCT( ((Adders!$D$13:$D$101)=$E119)*((Adders!$E$13:$E$101)=$F119)*(Adders!H$13:H$101)) + VLOOKUP($H119,Adders!$B$5:$G$8,N$11,FALSE)  +  OH!$D$2 ) * IF($D119="NJ",1.07,1))/$L$10, CHOOSE($M$10,$L$9,$M$9) )</f>
        <v xml:space="preserve"> 23.00 </v>
      </c>
      <c r="O119" s="112"/>
    </row>
    <row r="120" spans="2:15" x14ac:dyDescent="0.25">
      <c r="B120" s="108"/>
      <c r="C120" s="131">
        <f t="shared" si="3"/>
        <v>42491</v>
      </c>
      <c r="D120" s="132" t="s">
        <v>20</v>
      </c>
      <c r="E120" s="133" t="s">
        <v>63</v>
      </c>
      <c r="F120" s="132" t="s">
        <v>16</v>
      </c>
      <c r="G120" s="133" t="str">
        <f t="shared" si="4"/>
        <v>General Service Large</v>
      </c>
      <c r="H120" s="134" t="s">
        <v>62</v>
      </c>
      <c r="I120" s="172" t="str">
        <f>TEXT(   (SUMPRODUCT( ((Main!$H$9:$H$1000)=$E120)*((Main!$J$9:$J$1000)=$F120)*((Main!$O$9:$O$1000)=$C120)*(Main!R$9:R$1000) ) +  ( SUMPRODUCT( ((Adders!$D$13:$D$101)=$E120)*((Adders!$E$13:$E$101)=$F120)*(Adders!G$13:G$101)) + VLOOKUP($H120,Adders!$B$5:$G$8,L$11,FALSE)  +  OH!$D$2 ) * IF($D120="NJ",1.07,1))/$L$10, CHOOSE($M$10,$L$9,$M$9) )</f>
        <v xml:space="preserve"> 68.18 </v>
      </c>
      <c r="J120" s="173" t="str">
        <f>TEXT(   (SUMPRODUCT( ((Main!$H$9:$H$1000)=$E120)*((Main!$J$9:$J$1000)=$F120)*((Main!$O$9:$O$1000)=$C120)*(Main!S$9:S$1000) ) +  ( SUMPRODUCT( ((Adders!$D$13:$D$101)=$E120)*((Adders!$E$13:$E$101)=$F120)*(Adders!H$13:H$101)) + VLOOKUP($H120,Adders!$B$5:$G$8,M$11,FALSE)  +  OH!$D$2 ) * IF($D120="NJ",1.07,1))/$L$10, CHOOSE($M$10,$L$9,$M$9) )</f>
        <v xml:space="preserve"> 67.58 </v>
      </c>
      <c r="K120" s="174" t="str">
        <f>TEXT(   (SUMPRODUCT( ((Main!$H$9:$H$1000)=$E120)*((Main!$J$9:$J$1000)=$F120)*((Main!$O$9:$O$1000)=$C120)*(Main!T$9:T$1000) ) +  ( SUMPRODUCT( ((Adders!$D$13:$D$101)=$E120)*((Adders!$E$13:$E$101)=$F120)*(Adders!I$13:I$101)) + VLOOKUP($H120,Adders!$B$5:$G$8,$N$11,FALSE)  +  OH!$D$2 ) * IF($D120="NJ",1.07,1))/$L$10, CHOOSE($M$10,$L$9,$M$9) )</f>
        <v xml:space="preserve"> 68.69 </v>
      </c>
      <c r="L120" s="172" t="str">
        <f>TEXT(   (SUMPRODUCT( ((LMPMain!$H$9:$H$1000)=$E120)*((LMPMain!$J$9:$J$1000)=$F120)*((LMPMain!$O$9:$O$1000)=$C120)*(LMPMain!R$9:R$1000) ) +  ( SUMPRODUCT( ((Adders!$D$13:$D$101)=$E120)*((Adders!$E$13:$E$101)=$F120)*(Adders!F$13:F$101)) + VLOOKUP($H120,Adders!$B$5:$G$8,L$11,FALSE)  +  OH!$D$2 ) * IF($D120="NJ",1.07,1))/$L$10, CHOOSE($M$10,$L$9,$M$9) )</f>
        <v xml:space="preserve"> 18.72 </v>
      </c>
      <c r="M120" s="173" t="str">
        <f>TEXT(   (SUMPRODUCT( ((LMPMain!$H$9:$H$1000)=$E120)*((LMPMain!$J$9:$J$1000)=$F120)*((LMPMain!$O$9:$O$1000)=$C120)*(LMPMain!S$9:S$1000) ) +  ( SUMPRODUCT( ((Adders!$D$13:$D$101)=$E120)*((Adders!$E$13:$E$101)=$F120)*(Adders!G$13:G$101)) + VLOOKUP($H120,Adders!$B$5:$G$8,M$11,FALSE)  +  OH!$D$2 ) * IF($D120="NJ",1.07,1))/$L$10, CHOOSE($M$10,$L$9,$M$9) )</f>
        <v xml:space="preserve"> 19.95 </v>
      </c>
      <c r="N120" s="174" t="str">
        <f>TEXT(   (SUMPRODUCT( ((LMPMain!$H$9:$H$1000)=$E120)*((LMPMain!$J$9:$J$1000)=$F120)*((LMPMain!$O$9:$O$1000)=$C120)*(LMPMain!T$9:T$1000) ) +  ( SUMPRODUCT( ((Adders!$D$13:$D$101)=$E120)*((Adders!$E$13:$E$101)=$F120)*(Adders!H$13:H$101)) + VLOOKUP($H120,Adders!$B$5:$G$8,N$11,FALSE)  +  OH!$D$2 ) * IF($D120="NJ",1.07,1))/$L$10, CHOOSE($M$10,$L$9,$M$9) )</f>
        <v xml:space="preserve"> 21.40 </v>
      </c>
      <c r="O120" s="112"/>
    </row>
    <row r="121" spans="2:15" x14ac:dyDescent="0.25">
      <c r="B121" s="108"/>
      <c r="C121" s="135">
        <f t="shared" si="3"/>
        <v>42491</v>
      </c>
      <c r="D121" s="136" t="s">
        <v>20</v>
      </c>
      <c r="E121" s="137" t="s">
        <v>63</v>
      </c>
      <c r="F121" s="136" t="s">
        <v>16</v>
      </c>
      <c r="G121" s="137" t="str">
        <f t="shared" si="4"/>
        <v>General Service Large</v>
      </c>
      <c r="H121" s="138" t="s">
        <v>690</v>
      </c>
      <c r="I121" s="175" t="str">
        <f>TEXT(   (SUMPRODUCT( ((Main!$H$9:$H$1000)=$E121)*((Main!$J$9:$J$1000)=$F121)*((Main!$O$9:$O$1000)=$C121)*(Main!R$9:R$1000) ) +  ( SUMPRODUCT( ((Adders!$D$13:$D$101)=$E121)*((Adders!$E$13:$E$101)=$F121)*(Adders!G$13:G$101)) + VLOOKUP($H121,Adders!$B$5:$G$8,L$11,FALSE)  +  OH!$D$2 ) * IF($D121="NJ",1.07,1))/$L$10, CHOOSE($M$10,$L$9,$M$9) )</f>
        <v xml:space="preserve"> 67.13 </v>
      </c>
      <c r="J121" s="176" t="str">
        <f>TEXT(   (SUMPRODUCT( ((Main!$H$9:$H$1000)=$E121)*((Main!$J$9:$J$1000)=$F121)*((Main!$O$9:$O$1000)=$C121)*(Main!S$9:S$1000) ) +  ( SUMPRODUCT( ((Adders!$D$13:$D$101)=$E121)*((Adders!$E$13:$E$101)=$F121)*(Adders!H$13:H$101)) + VLOOKUP($H121,Adders!$B$5:$G$8,M$11,FALSE)  +  OH!$D$2 ) * IF($D121="NJ",1.07,1))/$L$10, CHOOSE($M$10,$L$9,$M$9) )</f>
        <v xml:space="preserve"> 66.53 </v>
      </c>
      <c r="K121" s="177" t="str">
        <f>TEXT(   (SUMPRODUCT( ((Main!$H$9:$H$1000)=$E121)*((Main!$J$9:$J$1000)=$F121)*((Main!$O$9:$O$1000)=$C121)*(Main!T$9:T$1000) ) +  ( SUMPRODUCT( ((Adders!$D$13:$D$101)=$E121)*((Adders!$E$13:$E$101)=$F121)*(Adders!I$13:I$101)) + VLOOKUP($H121,Adders!$B$5:$G$8,$N$11,FALSE)  +  OH!$D$2 ) * IF($D121="NJ",1.07,1))/$L$10, CHOOSE($M$10,$L$9,$M$9) )</f>
        <v xml:space="preserve"> 67.64 </v>
      </c>
      <c r="L121" s="175" t="str">
        <f>TEXT(   (SUMPRODUCT( ((LMPMain!$H$9:$H$1000)=$E121)*((LMPMain!$J$9:$J$1000)=$F121)*((LMPMain!$O$9:$O$1000)=$C121)*(LMPMain!R$9:R$1000) ) +  ( SUMPRODUCT( ((Adders!$D$13:$D$101)=$E121)*((Adders!$E$13:$E$101)=$F121)*(Adders!F$13:F$101)) + VLOOKUP($H121,Adders!$B$5:$G$8,L$11,FALSE)  +  OH!$D$2 ) * IF($D121="NJ",1.07,1))/$L$10, CHOOSE($M$10,$L$9,$M$9) )</f>
        <v xml:space="preserve"> 17.67 </v>
      </c>
      <c r="M121" s="176" t="str">
        <f>TEXT(   (SUMPRODUCT( ((LMPMain!$H$9:$H$1000)=$E121)*((LMPMain!$J$9:$J$1000)=$F121)*((LMPMain!$O$9:$O$1000)=$C121)*(LMPMain!S$9:S$1000) ) +  ( SUMPRODUCT( ((Adders!$D$13:$D$101)=$E121)*((Adders!$E$13:$E$101)=$F121)*(Adders!G$13:G$101)) + VLOOKUP($H121,Adders!$B$5:$G$8,M$11,FALSE)  +  OH!$D$2 ) * IF($D121="NJ",1.07,1))/$L$10, CHOOSE($M$10,$L$9,$M$9) )</f>
        <v xml:space="preserve"> 18.90 </v>
      </c>
      <c r="N121" s="177" t="str">
        <f>TEXT(   (SUMPRODUCT( ((LMPMain!$H$9:$H$1000)=$E121)*((LMPMain!$J$9:$J$1000)=$F121)*((LMPMain!$O$9:$O$1000)=$C121)*(LMPMain!T$9:T$1000) ) +  ( SUMPRODUCT( ((Adders!$D$13:$D$101)=$E121)*((Adders!$E$13:$E$101)=$F121)*(Adders!H$13:H$101)) + VLOOKUP($H121,Adders!$B$5:$G$8,N$11,FALSE)  +  OH!$D$2 ) * IF($D121="NJ",1.07,1))/$L$10, CHOOSE($M$10,$L$9,$M$9) )</f>
        <v xml:space="preserve"> 20.35 </v>
      </c>
      <c r="O121" s="112"/>
    </row>
    <row r="122" spans="2:15" x14ac:dyDescent="0.25">
      <c r="B122" s="108"/>
      <c r="C122" s="127">
        <f t="shared" si="3"/>
        <v>42156</v>
      </c>
      <c r="D122" s="128" t="s">
        <v>20</v>
      </c>
      <c r="E122" s="129" t="s">
        <v>105</v>
      </c>
      <c r="F122" s="128" t="s">
        <v>22</v>
      </c>
      <c r="G122" s="129" t="str">
        <f>VLOOKUP(SUMPRODUCT( ((LMPMain!$H$9:$H$1000)=$E122)*((LMPMain!$J$9:$J$1000)=$F122)*((LMPMain!$O$9:$O$1000)=$C122)*(LMPMain!A$9:A$1000)),LMPMain!$A$9:$K$1000,11,FALSE)</f>
        <v>Sec. Service</v>
      </c>
      <c r="H122" s="130" t="s">
        <v>61</v>
      </c>
      <c r="I122" s="180" t="str">
        <f>TEXT(   (SUMPRODUCT( ((Main!$H$9:$H$1000)=$E122)*((Main!$J$9:$J$1000)=$F122)*((Main!$O$9:$O$1000)=$C122)*(Main!R$9:R$1000) ) +  ( SUMPRODUCT( ((Adders!$D$13:$D$101)=$E122)*((Adders!$E$13:$E$101)=$F122)*(Adders!G$13:G$101)) + VLOOKUP($H122,Adders!$B$5:$G$8,L$11,FALSE)  +  OH!$D$2 ) * IF($D122="NJ",1.07,1))/$L$10, CHOOSE($M$10,$L$9,$M$9) )</f>
        <v xml:space="preserve"> 67.33 </v>
      </c>
      <c r="J122" s="178" t="str">
        <f>TEXT(   (SUMPRODUCT( ((Main!$H$9:$H$1000)=$E122)*((Main!$J$9:$J$1000)=$F122)*((Main!$O$9:$O$1000)=$C122)*(Main!S$9:S$1000) ) +  ( SUMPRODUCT( ((Adders!$D$13:$D$101)=$E122)*((Adders!$E$13:$E$101)=$F122)*(Adders!H$13:H$101)) + VLOOKUP($H122,Adders!$B$5:$G$8,M$11,FALSE)  +  OH!$D$2 ) * IF($D122="NJ",1.07,1))/$L$10, CHOOSE($M$10,$L$9,$M$9) )</f>
        <v xml:space="preserve"> 64.41 </v>
      </c>
      <c r="K122" s="179" t="str">
        <f>TEXT(   (SUMPRODUCT( ((Main!$H$9:$H$1000)=$E122)*((Main!$J$9:$J$1000)=$F122)*((Main!$O$9:$O$1000)=$C122)*(Main!T$9:T$1000) ) +  ( SUMPRODUCT( ((Adders!$D$13:$D$101)=$E122)*((Adders!$E$13:$E$101)=$F122)*(Adders!I$13:I$101)) + VLOOKUP($H122,Adders!$B$5:$G$8,$N$11,FALSE)  +  OH!$D$2 ) * IF($D122="NJ",1.07,1))/$L$10, CHOOSE($M$10,$L$9,$M$9) )</f>
        <v xml:space="preserve"> 63.81 </v>
      </c>
      <c r="L122" s="180" t="str">
        <f>TEXT(   (SUMPRODUCT( ((LMPMain!$H$9:$H$1000)=$E122)*((LMPMain!$J$9:$J$1000)=$F122)*((LMPMain!$O$9:$O$1000)=$C122)*(LMPMain!R$9:R$1000) ) +  ( SUMPRODUCT( ((Adders!$D$13:$D$101)=$E122)*((Adders!$E$13:$E$101)=$F122)*(Adders!F$13:F$101)) + VLOOKUP($H122,Adders!$B$5:$G$8,L$11,FALSE)  +  OH!$D$2 ) * IF($D122="NJ",1.07,1))/$L$10, CHOOSE($M$10,$L$9,$M$9) )</f>
        <v xml:space="preserve"> 26.59 </v>
      </c>
      <c r="M122" s="178" t="str">
        <f>TEXT(   (SUMPRODUCT( ((LMPMain!$H$9:$H$1000)=$E122)*((LMPMain!$J$9:$J$1000)=$F122)*((LMPMain!$O$9:$O$1000)=$C122)*(LMPMain!S$9:S$1000) ) +  ( SUMPRODUCT( ((Adders!$D$13:$D$101)=$E122)*((Adders!$E$13:$E$101)=$F122)*(Adders!G$13:G$101)) + VLOOKUP($H122,Adders!$B$5:$G$8,M$11,FALSE)  +  OH!$D$2 ) * IF($D122="NJ",1.07,1))/$L$10, CHOOSE($M$10,$L$9,$M$9) )</f>
        <v xml:space="preserve"> 24.07 </v>
      </c>
      <c r="N122" s="179" t="str">
        <f>TEXT(   (SUMPRODUCT( ((LMPMain!$H$9:$H$1000)=$E122)*((LMPMain!$J$9:$J$1000)=$F122)*((LMPMain!$O$9:$O$1000)=$C122)*(LMPMain!T$9:T$1000) ) +  ( SUMPRODUCT( ((Adders!$D$13:$D$101)=$E122)*((Adders!$E$13:$E$101)=$F122)*(Adders!H$13:H$101)) + VLOOKUP($H122,Adders!$B$5:$G$8,N$11,FALSE)  +  OH!$D$2 ) * IF($D122="NJ",1.07,1))/$L$10, CHOOSE($M$10,$L$9,$M$9) )</f>
        <v xml:space="preserve"> 22.58 </v>
      </c>
      <c r="O122" s="112"/>
    </row>
    <row r="123" spans="2:15" x14ac:dyDescent="0.25">
      <c r="B123" s="108"/>
      <c r="C123" s="131">
        <f t="shared" si="3"/>
        <v>42156</v>
      </c>
      <c r="D123" s="132" t="s">
        <v>20</v>
      </c>
      <c r="E123" s="133" t="s">
        <v>105</v>
      </c>
      <c r="F123" s="132" t="s">
        <v>22</v>
      </c>
      <c r="G123" s="133" t="str">
        <f>G122</f>
        <v>Sec. Service</v>
      </c>
      <c r="H123" s="134" t="s">
        <v>62</v>
      </c>
      <c r="I123" s="172" t="str">
        <f>TEXT(   (SUMPRODUCT( ((Main!$H$9:$H$1000)=$E123)*((Main!$J$9:$J$1000)=$F123)*((Main!$O$9:$O$1000)=$C123)*(Main!R$9:R$1000) ) +  ( SUMPRODUCT( ((Adders!$D$13:$D$101)=$E123)*((Adders!$E$13:$E$101)=$F123)*(Adders!G$13:G$101)) + VLOOKUP($H123,Adders!$B$5:$G$8,L$11,FALSE)  +  OH!$D$2 ) * IF($D123="NJ",1.07,1))/$L$10, CHOOSE($M$10,$L$9,$M$9) )</f>
        <v xml:space="preserve"> 65.73 </v>
      </c>
      <c r="J123" s="173" t="str">
        <f>TEXT(   (SUMPRODUCT( ((Main!$H$9:$H$1000)=$E123)*((Main!$J$9:$J$1000)=$F123)*((Main!$O$9:$O$1000)=$C123)*(Main!S$9:S$1000) ) +  ( SUMPRODUCT( ((Adders!$D$13:$D$101)=$E123)*((Adders!$E$13:$E$101)=$F123)*(Adders!H$13:H$101)) + VLOOKUP($H123,Adders!$B$5:$G$8,M$11,FALSE)  +  OH!$D$2 ) * IF($D123="NJ",1.07,1))/$L$10, CHOOSE($M$10,$L$9,$M$9) )</f>
        <v xml:space="preserve"> 62.81 </v>
      </c>
      <c r="K123" s="174" t="str">
        <f>TEXT(   (SUMPRODUCT( ((Main!$H$9:$H$1000)=$E123)*((Main!$J$9:$J$1000)=$F123)*((Main!$O$9:$O$1000)=$C123)*(Main!T$9:T$1000) ) +  ( SUMPRODUCT( ((Adders!$D$13:$D$101)=$E123)*((Adders!$E$13:$E$101)=$F123)*(Adders!I$13:I$101)) + VLOOKUP($H123,Adders!$B$5:$G$8,$N$11,FALSE)  +  OH!$D$2 ) * IF($D123="NJ",1.07,1))/$L$10, CHOOSE($M$10,$L$9,$M$9) )</f>
        <v xml:space="preserve"> 62.21 </v>
      </c>
      <c r="L123" s="172" t="str">
        <f>TEXT(   (SUMPRODUCT( ((LMPMain!$H$9:$H$1000)=$E123)*((LMPMain!$J$9:$J$1000)=$F123)*((LMPMain!$O$9:$O$1000)=$C123)*(LMPMain!R$9:R$1000) ) +  ( SUMPRODUCT( ((Adders!$D$13:$D$101)=$E123)*((Adders!$E$13:$E$101)=$F123)*(Adders!F$13:F$101)) + VLOOKUP($H123,Adders!$B$5:$G$8,L$11,FALSE)  +  OH!$D$2 ) * IF($D123="NJ",1.07,1))/$L$10, CHOOSE($M$10,$L$9,$M$9) )</f>
        <v xml:space="preserve"> 24.99 </v>
      </c>
      <c r="M123" s="173" t="str">
        <f>TEXT(   (SUMPRODUCT( ((LMPMain!$H$9:$H$1000)=$E123)*((LMPMain!$J$9:$J$1000)=$F123)*((LMPMain!$O$9:$O$1000)=$C123)*(LMPMain!S$9:S$1000) ) +  ( SUMPRODUCT( ((Adders!$D$13:$D$101)=$E123)*((Adders!$E$13:$E$101)=$F123)*(Adders!G$13:G$101)) + VLOOKUP($H123,Adders!$B$5:$G$8,M$11,FALSE)  +  OH!$D$2 ) * IF($D123="NJ",1.07,1))/$L$10, CHOOSE($M$10,$L$9,$M$9) )</f>
        <v xml:space="preserve"> 22.47 </v>
      </c>
      <c r="N123" s="174" t="str">
        <f>TEXT(   (SUMPRODUCT( ((LMPMain!$H$9:$H$1000)=$E123)*((LMPMain!$J$9:$J$1000)=$F123)*((LMPMain!$O$9:$O$1000)=$C123)*(LMPMain!T$9:T$1000) ) +  ( SUMPRODUCT( ((Adders!$D$13:$D$101)=$E123)*((Adders!$E$13:$E$101)=$F123)*(Adders!H$13:H$101)) + VLOOKUP($H123,Adders!$B$5:$G$8,N$11,FALSE)  +  OH!$D$2 ) * IF($D123="NJ",1.07,1))/$L$10, CHOOSE($M$10,$L$9,$M$9) )</f>
        <v xml:space="preserve"> 20.98 </v>
      </c>
      <c r="O123" s="112"/>
    </row>
    <row r="124" spans="2:15" x14ac:dyDescent="0.25">
      <c r="B124" s="108"/>
      <c r="C124" s="135">
        <f t="shared" si="3"/>
        <v>42156</v>
      </c>
      <c r="D124" s="136" t="s">
        <v>20</v>
      </c>
      <c r="E124" s="137" t="s">
        <v>105</v>
      </c>
      <c r="F124" s="136" t="s">
        <v>22</v>
      </c>
      <c r="G124" s="137" t="str">
        <f>G123</f>
        <v>Sec. Service</v>
      </c>
      <c r="H124" s="138" t="s">
        <v>690</v>
      </c>
      <c r="I124" s="175" t="str">
        <f>TEXT(   (SUMPRODUCT( ((Main!$H$9:$H$1000)=$E124)*((Main!$J$9:$J$1000)=$F124)*((Main!$O$9:$O$1000)=$C124)*(Main!R$9:R$1000) ) +  ( SUMPRODUCT( ((Adders!$D$13:$D$101)=$E124)*((Adders!$E$13:$E$101)=$F124)*(Adders!G$13:G$101)) + VLOOKUP($H124,Adders!$B$5:$G$8,L$11,FALSE)  +  OH!$D$2 ) * IF($D124="NJ",1.07,1))/$L$10, CHOOSE($M$10,$L$9,$M$9) )</f>
        <v xml:space="preserve"> 64.68 </v>
      </c>
      <c r="J124" s="176" t="str">
        <f>TEXT(   (SUMPRODUCT( ((Main!$H$9:$H$1000)=$E124)*((Main!$J$9:$J$1000)=$F124)*((Main!$O$9:$O$1000)=$C124)*(Main!S$9:S$1000) ) +  ( SUMPRODUCT( ((Adders!$D$13:$D$101)=$E124)*((Adders!$E$13:$E$101)=$F124)*(Adders!H$13:H$101)) + VLOOKUP($H124,Adders!$B$5:$G$8,M$11,FALSE)  +  OH!$D$2 ) * IF($D124="NJ",1.07,1))/$L$10, CHOOSE($M$10,$L$9,$M$9) )</f>
        <v xml:space="preserve"> 61.76 </v>
      </c>
      <c r="K124" s="177" t="str">
        <f>TEXT(   (SUMPRODUCT( ((Main!$H$9:$H$1000)=$E124)*((Main!$J$9:$J$1000)=$F124)*((Main!$O$9:$O$1000)=$C124)*(Main!T$9:T$1000) ) +  ( SUMPRODUCT( ((Adders!$D$13:$D$101)=$E124)*((Adders!$E$13:$E$101)=$F124)*(Adders!I$13:I$101)) + VLOOKUP($H124,Adders!$B$5:$G$8,$N$11,FALSE)  +  OH!$D$2 ) * IF($D124="NJ",1.07,1))/$L$10, CHOOSE($M$10,$L$9,$M$9) )</f>
        <v xml:space="preserve"> 61.16 </v>
      </c>
      <c r="L124" s="175" t="str">
        <f>TEXT(   (SUMPRODUCT( ((LMPMain!$H$9:$H$1000)=$E124)*((LMPMain!$J$9:$J$1000)=$F124)*((LMPMain!$O$9:$O$1000)=$C124)*(LMPMain!R$9:R$1000) ) +  ( SUMPRODUCT( ((Adders!$D$13:$D$101)=$E124)*((Adders!$E$13:$E$101)=$F124)*(Adders!F$13:F$101)) + VLOOKUP($H124,Adders!$B$5:$G$8,L$11,FALSE)  +  OH!$D$2 ) * IF($D124="NJ",1.07,1))/$L$10, CHOOSE($M$10,$L$9,$M$9) )</f>
        <v xml:space="preserve"> 23.94 </v>
      </c>
      <c r="M124" s="176" t="str">
        <f>TEXT(   (SUMPRODUCT( ((LMPMain!$H$9:$H$1000)=$E124)*((LMPMain!$J$9:$J$1000)=$F124)*((LMPMain!$O$9:$O$1000)=$C124)*(LMPMain!S$9:S$1000) ) +  ( SUMPRODUCT( ((Adders!$D$13:$D$101)=$E124)*((Adders!$E$13:$E$101)=$F124)*(Adders!G$13:G$101)) + VLOOKUP($H124,Adders!$B$5:$G$8,M$11,FALSE)  +  OH!$D$2 ) * IF($D124="NJ",1.07,1))/$L$10, CHOOSE($M$10,$L$9,$M$9) )</f>
        <v xml:space="preserve"> 21.42 </v>
      </c>
      <c r="N124" s="177" t="str">
        <f>TEXT(   (SUMPRODUCT( ((LMPMain!$H$9:$H$1000)=$E124)*((LMPMain!$J$9:$J$1000)=$F124)*((LMPMain!$O$9:$O$1000)=$C124)*(LMPMain!T$9:T$1000) ) +  ( SUMPRODUCT( ((Adders!$D$13:$D$101)=$E124)*((Adders!$E$13:$E$101)=$F124)*(Adders!H$13:H$101)) + VLOOKUP($H124,Adders!$B$5:$G$8,N$11,FALSE)  +  OH!$D$2 ) * IF($D124="NJ",1.07,1))/$L$10, CHOOSE($M$10,$L$9,$M$9) )</f>
        <v xml:space="preserve"> 19.93 </v>
      </c>
      <c r="O124" s="112"/>
    </row>
    <row r="125" spans="2:15" x14ac:dyDescent="0.25">
      <c r="B125" s="108"/>
      <c r="C125" s="127">
        <f t="shared" si="3"/>
        <v>42186</v>
      </c>
      <c r="D125" s="128" t="s">
        <v>20</v>
      </c>
      <c r="E125" s="129" t="s">
        <v>105</v>
      </c>
      <c r="F125" s="128" t="s">
        <v>22</v>
      </c>
      <c r="G125" s="129" t="str">
        <f t="shared" si="4"/>
        <v>Sec. Service</v>
      </c>
      <c r="H125" s="130" t="s">
        <v>61</v>
      </c>
      <c r="I125" s="180" t="str">
        <f>TEXT(   (SUMPRODUCT( ((Main!$H$9:$H$1000)=$E125)*((Main!$J$9:$J$1000)=$F125)*((Main!$O$9:$O$1000)=$C125)*(Main!R$9:R$1000) ) +  ( SUMPRODUCT( ((Adders!$D$13:$D$101)=$E125)*((Adders!$E$13:$E$101)=$F125)*(Adders!G$13:G$101)) + VLOOKUP($H125,Adders!$B$5:$G$8,L$11,FALSE)  +  OH!$D$2 ) * IF($D125="NJ",1.07,1))/$L$10, CHOOSE($M$10,$L$9,$M$9) )</f>
        <v xml:space="preserve"> 66.78 </v>
      </c>
      <c r="J125" s="178" t="str">
        <f>TEXT(   (SUMPRODUCT( ((Main!$H$9:$H$1000)=$E125)*((Main!$J$9:$J$1000)=$F125)*((Main!$O$9:$O$1000)=$C125)*(Main!S$9:S$1000) ) +  ( SUMPRODUCT( ((Adders!$D$13:$D$101)=$E125)*((Adders!$E$13:$E$101)=$F125)*(Adders!H$13:H$101)) + VLOOKUP($H125,Adders!$B$5:$G$8,M$11,FALSE)  +  OH!$D$2 ) * IF($D125="NJ",1.07,1))/$L$10, CHOOSE($M$10,$L$9,$M$9) )</f>
        <v xml:space="preserve"> 63.85 </v>
      </c>
      <c r="K125" s="179" t="str">
        <f>TEXT(   (SUMPRODUCT( ((Main!$H$9:$H$1000)=$E125)*((Main!$J$9:$J$1000)=$F125)*((Main!$O$9:$O$1000)=$C125)*(Main!T$9:T$1000) ) +  ( SUMPRODUCT( ((Adders!$D$13:$D$101)=$E125)*((Adders!$E$13:$E$101)=$F125)*(Adders!I$13:I$101)) + VLOOKUP($H125,Adders!$B$5:$G$8,$N$11,FALSE)  +  OH!$D$2 ) * IF($D125="NJ",1.07,1))/$L$10, CHOOSE($M$10,$L$9,$M$9) )</f>
        <v xml:space="preserve"> 63.82 </v>
      </c>
      <c r="L125" s="180" t="str">
        <f>TEXT(   (SUMPRODUCT( ((LMPMain!$H$9:$H$1000)=$E125)*((LMPMain!$J$9:$J$1000)=$F125)*((LMPMain!$O$9:$O$1000)=$C125)*(LMPMain!R$9:R$1000) ) +  ( SUMPRODUCT( ((Adders!$D$13:$D$101)=$E125)*((Adders!$E$13:$E$101)=$F125)*(Adders!F$13:F$101)) + VLOOKUP($H125,Adders!$B$5:$G$8,L$11,FALSE)  +  OH!$D$2 ) * IF($D125="NJ",1.07,1))/$L$10, CHOOSE($M$10,$L$9,$M$9) )</f>
        <v xml:space="preserve"> 25.92 </v>
      </c>
      <c r="M125" s="178" t="str">
        <f>TEXT(   (SUMPRODUCT( ((LMPMain!$H$9:$H$1000)=$E125)*((LMPMain!$J$9:$J$1000)=$F125)*((LMPMain!$O$9:$O$1000)=$C125)*(LMPMain!S$9:S$1000) ) +  ( SUMPRODUCT( ((Adders!$D$13:$D$101)=$E125)*((Adders!$E$13:$E$101)=$F125)*(Adders!G$13:G$101)) + VLOOKUP($H125,Adders!$B$5:$G$8,M$11,FALSE)  +  OH!$D$2 ) * IF($D125="NJ",1.07,1))/$L$10, CHOOSE($M$10,$L$9,$M$9) )</f>
        <v xml:space="preserve"> 23.64 </v>
      </c>
      <c r="N125" s="179" t="str">
        <f>TEXT(   (SUMPRODUCT( ((LMPMain!$H$9:$H$1000)=$E125)*((LMPMain!$J$9:$J$1000)=$F125)*((LMPMain!$O$9:$O$1000)=$C125)*(LMPMain!T$9:T$1000) ) +  ( SUMPRODUCT( ((Adders!$D$13:$D$101)=$E125)*((Adders!$E$13:$E$101)=$F125)*(Adders!H$13:H$101)) + VLOOKUP($H125,Adders!$B$5:$G$8,N$11,FALSE)  +  OH!$D$2 ) * IF($D125="NJ",1.07,1))/$L$10, CHOOSE($M$10,$L$9,$M$9) )</f>
        <v xml:space="preserve"> 22.53 </v>
      </c>
      <c r="O125" s="112"/>
    </row>
    <row r="126" spans="2:15" x14ac:dyDescent="0.25">
      <c r="B126" s="108"/>
      <c r="C126" s="131">
        <f t="shared" si="3"/>
        <v>42186</v>
      </c>
      <c r="D126" s="132" t="s">
        <v>20</v>
      </c>
      <c r="E126" s="133" t="s">
        <v>105</v>
      </c>
      <c r="F126" s="132" t="s">
        <v>22</v>
      </c>
      <c r="G126" s="133" t="str">
        <f t="shared" si="4"/>
        <v>Sec. Service</v>
      </c>
      <c r="H126" s="134" t="s">
        <v>62</v>
      </c>
      <c r="I126" s="172" t="str">
        <f>TEXT(   (SUMPRODUCT( ((Main!$H$9:$H$1000)=$E126)*((Main!$J$9:$J$1000)=$F126)*((Main!$O$9:$O$1000)=$C126)*(Main!R$9:R$1000) ) +  ( SUMPRODUCT( ((Adders!$D$13:$D$101)=$E126)*((Adders!$E$13:$E$101)=$F126)*(Adders!G$13:G$101)) + VLOOKUP($H126,Adders!$B$5:$G$8,L$11,FALSE)  +  OH!$D$2 ) * IF($D126="NJ",1.07,1))/$L$10, CHOOSE($M$10,$L$9,$M$9) )</f>
        <v xml:space="preserve"> 65.18 </v>
      </c>
      <c r="J126" s="173" t="str">
        <f>TEXT(   (SUMPRODUCT( ((Main!$H$9:$H$1000)=$E126)*((Main!$J$9:$J$1000)=$F126)*((Main!$O$9:$O$1000)=$C126)*(Main!S$9:S$1000) ) +  ( SUMPRODUCT( ((Adders!$D$13:$D$101)=$E126)*((Adders!$E$13:$E$101)=$F126)*(Adders!H$13:H$101)) + VLOOKUP($H126,Adders!$B$5:$G$8,M$11,FALSE)  +  OH!$D$2 ) * IF($D126="NJ",1.07,1))/$L$10, CHOOSE($M$10,$L$9,$M$9) )</f>
        <v xml:space="preserve"> 62.25 </v>
      </c>
      <c r="K126" s="174" t="str">
        <f>TEXT(   (SUMPRODUCT( ((Main!$H$9:$H$1000)=$E126)*((Main!$J$9:$J$1000)=$F126)*((Main!$O$9:$O$1000)=$C126)*(Main!T$9:T$1000) ) +  ( SUMPRODUCT( ((Adders!$D$13:$D$101)=$E126)*((Adders!$E$13:$E$101)=$F126)*(Adders!I$13:I$101)) + VLOOKUP($H126,Adders!$B$5:$G$8,$N$11,FALSE)  +  OH!$D$2 ) * IF($D126="NJ",1.07,1))/$L$10, CHOOSE($M$10,$L$9,$M$9) )</f>
        <v xml:space="preserve"> 62.22 </v>
      </c>
      <c r="L126" s="172" t="str">
        <f>TEXT(   (SUMPRODUCT( ((LMPMain!$H$9:$H$1000)=$E126)*((LMPMain!$J$9:$J$1000)=$F126)*((LMPMain!$O$9:$O$1000)=$C126)*(LMPMain!R$9:R$1000) ) +  ( SUMPRODUCT( ((Adders!$D$13:$D$101)=$E126)*((Adders!$E$13:$E$101)=$F126)*(Adders!F$13:F$101)) + VLOOKUP($H126,Adders!$B$5:$G$8,L$11,FALSE)  +  OH!$D$2 ) * IF($D126="NJ",1.07,1))/$L$10, CHOOSE($M$10,$L$9,$M$9) )</f>
        <v xml:space="preserve"> 24.32 </v>
      </c>
      <c r="M126" s="173" t="str">
        <f>TEXT(   (SUMPRODUCT( ((LMPMain!$H$9:$H$1000)=$E126)*((LMPMain!$J$9:$J$1000)=$F126)*((LMPMain!$O$9:$O$1000)=$C126)*(LMPMain!S$9:S$1000) ) +  ( SUMPRODUCT( ((Adders!$D$13:$D$101)=$E126)*((Adders!$E$13:$E$101)=$F126)*(Adders!G$13:G$101)) + VLOOKUP($H126,Adders!$B$5:$G$8,M$11,FALSE)  +  OH!$D$2 ) * IF($D126="NJ",1.07,1))/$L$10, CHOOSE($M$10,$L$9,$M$9) )</f>
        <v xml:space="preserve"> 22.04 </v>
      </c>
      <c r="N126" s="174" t="str">
        <f>TEXT(   (SUMPRODUCT( ((LMPMain!$H$9:$H$1000)=$E126)*((LMPMain!$J$9:$J$1000)=$F126)*((LMPMain!$O$9:$O$1000)=$C126)*(LMPMain!T$9:T$1000) ) +  ( SUMPRODUCT( ((Adders!$D$13:$D$101)=$E126)*((Adders!$E$13:$E$101)=$F126)*(Adders!H$13:H$101)) + VLOOKUP($H126,Adders!$B$5:$G$8,N$11,FALSE)  +  OH!$D$2 ) * IF($D126="NJ",1.07,1))/$L$10, CHOOSE($M$10,$L$9,$M$9) )</f>
        <v xml:space="preserve"> 20.93 </v>
      </c>
      <c r="O126" s="112"/>
    </row>
    <row r="127" spans="2:15" x14ac:dyDescent="0.25">
      <c r="B127" s="108"/>
      <c r="C127" s="135">
        <f t="shared" si="3"/>
        <v>42186</v>
      </c>
      <c r="D127" s="136" t="s">
        <v>20</v>
      </c>
      <c r="E127" s="137" t="s">
        <v>105</v>
      </c>
      <c r="F127" s="136" t="s">
        <v>22</v>
      </c>
      <c r="G127" s="137" t="str">
        <f t="shared" si="4"/>
        <v>Sec. Service</v>
      </c>
      <c r="H127" s="138" t="s">
        <v>690</v>
      </c>
      <c r="I127" s="175" t="str">
        <f>TEXT(   (SUMPRODUCT( ((Main!$H$9:$H$1000)=$E127)*((Main!$J$9:$J$1000)=$F127)*((Main!$O$9:$O$1000)=$C127)*(Main!R$9:R$1000) ) +  ( SUMPRODUCT( ((Adders!$D$13:$D$101)=$E127)*((Adders!$E$13:$E$101)=$F127)*(Adders!G$13:G$101)) + VLOOKUP($H127,Adders!$B$5:$G$8,L$11,FALSE)  +  OH!$D$2 ) * IF($D127="NJ",1.07,1))/$L$10, CHOOSE($M$10,$L$9,$M$9) )</f>
        <v xml:space="preserve"> 64.13 </v>
      </c>
      <c r="J127" s="176" t="str">
        <f>TEXT(   (SUMPRODUCT( ((Main!$H$9:$H$1000)=$E127)*((Main!$J$9:$J$1000)=$F127)*((Main!$O$9:$O$1000)=$C127)*(Main!S$9:S$1000) ) +  ( SUMPRODUCT( ((Adders!$D$13:$D$101)=$E127)*((Adders!$E$13:$E$101)=$F127)*(Adders!H$13:H$101)) + VLOOKUP($H127,Adders!$B$5:$G$8,M$11,FALSE)  +  OH!$D$2 ) * IF($D127="NJ",1.07,1))/$L$10, CHOOSE($M$10,$L$9,$M$9) )</f>
        <v xml:space="preserve"> 61.20 </v>
      </c>
      <c r="K127" s="177" t="str">
        <f>TEXT(   (SUMPRODUCT( ((Main!$H$9:$H$1000)=$E127)*((Main!$J$9:$J$1000)=$F127)*((Main!$O$9:$O$1000)=$C127)*(Main!T$9:T$1000) ) +  ( SUMPRODUCT( ((Adders!$D$13:$D$101)=$E127)*((Adders!$E$13:$E$101)=$F127)*(Adders!I$13:I$101)) + VLOOKUP($H127,Adders!$B$5:$G$8,$N$11,FALSE)  +  OH!$D$2 ) * IF($D127="NJ",1.07,1))/$L$10, CHOOSE($M$10,$L$9,$M$9) )</f>
        <v xml:space="preserve"> 61.17 </v>
      </c>
      <c r="L127" s="175" t="str">
        <f>TEXT(   (SUMPRODUCT( ((LMPMain!$H$9:$H$1000)=$E127)*((LMPMain!$J$9:$J$1000)=$F127)*((LMPMain!$O$9:$O$1000)=$C127)*(LMPMain!R$9:R$1000) ) +  ( SUMPRODUCT( ((Adders!$D$13:$D$101)=$E127)*((Adders!$E$13:$E$101)=$F127)*(Adders!F$13:F$101)) + VLOOKUP($H127,Adders!$B$5:$G$8,L$11,FALSE)  +  OH!$D$2 ) * IF($D127="NJ",1.07,1))/$L$10, CHOOSE($M$10,$L$9,$M$9) )</f>
        <v xml:space="preserve"> 23.27 </v>
      </c>
      <c r="M127" s="176" t="str">
        <f>TEXT(   (SUMPRODUCT( ((LMPMain!$H$9:$H$1000)=$E127)*((LMPMain!$J$9:$J$1000)=$F127)*((LMPMain!$O$9:$O$1000)=$C127)*(LMPMain!S$9:S$1000) ) +  ( SUMPRODUCT( ((Adders!$D$13:$D$101)=$E127)*((Adders!$E$13:$E$101)=$F127)*(Adders!G$13:G$101)) + VLOOKUP($H127,Adders!$B$5:$G$8,M$11,FALSE)  +  OH!$D$2 ) * IF($D127="NJ",1.07,1))/$L$10, CHOOSE($M$10,$L$9,$M$9) )</f>
        <v xml:space="preserve"> 20.99 </v>
      </c>
      <c r="N127" s="177" t="str">
        <f>TEXT(   (SUMPRODUCT( ((LMPMain!$H$9:$H$1000)=$E127)*((LMPMain!$J$9:$J$1000)=$F127)*((LMPMain!$O$9:$O$1000)=$C127)*(LMPMain!T$9:T$1000) ) +  ( SUMPRODUCT( ((Adders!$D$13:$D$101)=$E127)*((Adders!$E$13:$E$101)=$F127)*(Adders!H$13:H$101)) + VLOOKUP($H127,Adders!$B$5:$G$8,N$11,FALSE)  +  OH!$D$2 ) * IF($D127="NJ",1.07,1))/$L$10, CHOOSE($M$10,$L$9,$M$9) )</f>
        <v xml:space="preserve"> 19.88 </v>
      </c>
      <c r="O127" s="112"/>
    </row>
    <row r="128" spans="2:15" x14ac:dyDescent="0.25">
      <c r="B128" s="108"/>
      <c r="C128" s="127">
        <f t="shared" si="3"/>
        <v>42217</v>
      </c>
      <c r="D128" s="128" t="s">
        <v>20</v>
      </c>
      <c r="E128" s="129" t="s">
        <v>105</v>
      </c>
      <c r="F128" s="128" t="s">
        <v>22</v>
      </c>
      <c r="G128" s="129" t="str">
        <f t="shared" si="4"/>
        <v>Sec. Service</v>
      </c>
      <c r="H128" s="130" t="s">
        <v>61</v>
      </c>
      <c r="I128" s="180" t="str">
        <f>TEXT(   (SUMPRODUCT( ((Main!$H$9:$H$1000)=$E128)*((Main!$J$9:$J$1000)=$F128)*((Main!$O$9:$O$1000)=$C128)*(Main!R$9:R$1000) ) +  ( SUMPRODUCT( ((Adders!$D$13:$D$101)=$E128)*((Adders!$E$13:$E$101)=$F128)*(Adders!G$13:G$101)) + VLOOKUP($H128,Adders!$B$5:$G$8,L$11,FALSE)  +  OH!$D$2 ) * IF($D128="NJ",1.07,1))/$L$10, CHOOSE($M$10,$L$9,$M$9) )</f>
        <v xml:space="preserve"> 66.13 </v>
      </c>
      <c r="J128" s="178" t="str">
        <f>TEXT(   (SUMPRODUCT( ((Main!$H$9:$H$1000)=$E128)*((Main!$J$9:$J$1000)=$F128)*((Main!$O$9:$O$1000)=$C128)*(Main!S$9:S$1000) ) +  ( SUMPRODUCT( ((Adders!$D$13:$D$101)=$E128)*((Adders!$E$13:$E$101)=$F128)*(Adders!H$13:H$101)) + VLOOKUP($H128,Adders!$B$5:$G$8,M$11,FALSE)  +  OH!$D$2 ) * IF($D128="NJ",1.07,1))/$L$10, CHOOSE($M$10,$L$9,$M$9) )</f>
        <v xml:space="preserve"> 63.55 </v>
      </c>
      <c r="K128" s="179" t="str">
        <f>TEXT(   (SUMPRODUCT( ((Main!$H$9:$H$1000)=$E128)*((Main!$J$9:$J$1000)=$F128)*((Main!$O$9:$O$1000)=$C128)*(Main!T$9:T$1000) ) +  ( SUMPRODUCT( ((Adders!$D$13:$D$101)=$E128)*((Adders!$E$13:$E$101)=$F128)*(Adders!I$13:I$101)) + VLOOKUP($H128,Adders!$B$5:$G$8,$N$11,FALSE)  +  OH!$D$2 ) * IF($D128="NJ",1.07,1))/$L$10, CHOOSE($M$10,$L$9,$M$9) )</f>
        <v xml:space="preserve"> 63.86 </v>
      </c>
      <c r="L128" s="180" t="str">
        <f>TEXT(   (SUMPRODUCT( ((LMPMain!$H$9:$H$1000)=$E128)*((LMPMain!$J$9:$J$1000)=$F128)*((LMPMain!$O$9:$O$1000)=$C128)*(LMPMain!R$9:R$1000) ) +  ( SUMPRODUCT( ((Adders!$D$13:$D$101)=$E128)*((Adders!$E$13:$E$101)=$F128)*(Adders!F$13:F$101)) + VLOOKUP($H128,Adders!$B$5:$G$8,L$11,FALSE)  +  OH!$D$2 ) * IF($D128="NJ",1.07,1))/$L$10, CHOOSE($M$10,$L$9,$M$9) )</f>
        <v xml:space="preserve"> 25.25 </v>
      </c>
      <c r="M128" s="178" t="str">
        <f>TEXT(   (SUMPRODUCT( ((LMPMain!$H$9:$H$1000)=$E128)*((LMPMain!$J$9:$J$1000)=$F128)*((LMPMain!$O$9:$O$1000)=$C128)*(LMPMain!S$9:S$1000) ) +  ( SUMPRODUCT( ((Adders!$D$13:$D$101)=$E128)*((Adders!$E$13:$E$101)=$F128)*(Adders!G$13:G$101)) + VLOOKUP($H128,Adders!$B$5:$G$8,M$11,FALSE)  +  OH!$D$2 ) * IF($D128="NJ",1.07,1))/$L$10, CHOOSE($M$10,$L$9,$M$9) )</f>
        <v xml:space="preserve"> 22.91 </v>
      </c>
      <c r="N128" s="179" t="str">
        <f>TEXT(   (SUMPRODUCT( ((LMPMain!$H$9:$H$1000)=$E128)*((LMPMain!$J$9:$J$1000)=$F128)*((LMPMain!$O$9:$O$1000)=$C128)*(LMPMain!T$9:T$1000) ) +  ( SUMPRODUCT( ((Adders!$D$13:$D$101)=$E128)*((Adders!$E$13:$E$101)=$F128)*(Adders!H$13:H$101)) + VLOOKUP($H128,Adders!$B$5:$G$8,N$11,FALSE)  +  OH!$D$2 ) * IF($D128="NJ",1.07,1))/$L$10, CHOOSE($M$10,$L$9,$M$9) )</f>
        <v xml:space="preserve"> 22.48 </v>
      </c>
      <c r="O128" s="112"/>
    </row>
    <row r="129" spans="2:15" x14ac:dyDescent="0.25">
      <c r="B129" s="108"/>
      <c r="C129" s="131">
        <f t="shared" si="3"/>
        <v>42217</v>
      </c>
      <c r="D129" s="132" t="s">
        <v>20</v>
      </c>
      <c r="E129" s="133" t="s">
        <v>105</v>
      </c>
      <c r="F129" s="132" t="s">
        <v>22</v>
      </c>
      <c r="G129" s="133" t="str">
        <f t="shared" si="4"/>
        <v>Sec. Service</v>
      </c>
      <c r="H129" s="134" t="s">
        <v>62</v>
      </c>
      <c r="I129" s="172" t="str">
        <f>TEXT(   (SUMPRODUCT( ((Main!$H$9:$H$1000)=$E129)*((Main!$J$9:$J$1000)=$F129)*((Main!$O$9:$O$1000)=$C129)*(Main!R$9:R$1000) ) +  ( SUMPRODUCT( ((Adders!$D$13:$D$101)=$E129)*((Adders!$E$13:$E$101)=$F129)*(Adders!G$13:G$101)) + VLOOKUP($H129,Adders!$B$5:$G$8,L$11,FALSE)  +  OH!$D$2 ) * IF($D129="NJ",1.07,1))/$L$10, CHOOSE($M$10,$L$9,$M$9) )</f>
        <v xml:space="preserve"> 64.53 </v>
      </c>
      <c r="J129" s="173" t="str">
        <f>TEXT(   (SUMPRODUCT( ((Main!$H$9:$H$1000)=$E129)*((Main!$J$9:$J$1000)=$F129)*((Main!$O$9:$O$1000)=$C129)*(Main!S$9:S$1000) ) +  ( SUMPRODUCT( ((Adders!$D$13:$D$101)=$E129)*((Adders!$E$13:$E$101)=$F129)*(Adders!H$13:H$101)) + VLOOKUP($H129,Adders!$B$5:$G$8,M$11,FALSE)  +  OH!$D$2 ) * IF($D129="NJ",1.07,1))/$L$10, CHOOSE($M$10,$L$9,$M$9) )</f>
        <v xml:space="preserve"> 61.95 </v>
      </c>
      <c r="K129" s="174" t="str">
        <f>TEXT(   (SUMPRODUCT( ((Main!$H$9:$H$1000)=$E129)*((Main!$J$9:$J$1000)=$F129)*((Main!$O$9:$O$1000)=$C129)*(Main!T$9:T$1000) ) +  ( SUMPRODUCT( ((Adders!$D$13:$D$101)=$E129)*((Adders!$E$13:$E$101)=$F129)*(Adders!I$13:I$101)) + VLOOKUP($H129,Adders!$B$5:$G$8,$N$11,FALSE)  +  OH!$D$2 ) * IF($D129="NJ",1.07,1))/$L$10, CHOOSE($M$10,$L$9,$M$9) )</f>
        <v xml:space="preserve"> 62.26 </v>
      </c>
      <c r="L129" s="172" t="str">
        <f>TEXT(   (SUMPRODUCT( ((LMPMain!$H$9:$H$1000)=$E129)*((LMPMain!$J$9:$J$1000)=$F129)*((LMPMain!$O$9:$O$1000)=$C129)*(LMPMain!R$9:R$1000) ) +  ( SUMPRODUCT( ((Adders!$D$13:$D$101)=$E129)*((Adders!$E$13:$E$101)=$F129)*(Adders!F$13:F$101)) + VLOOKUP($H129,Adders!$B$5:$G$8,L$11,FALSE)  +  OH!$D$2 ) * IF($D129="NJ",1.07,1))/$L$10, CHOOSE($M$10,$L$9,$M$9) )</f>
        <v xml:space="preserve"> 23.65 </v>
      </c>
      <c r="M129" s="173" t="str">
        <f>TEXT(   (SUMPRODUCT( ((LMPMain!$H$9:$H$1000)=$E129)*((LMPMain!$J$9:$J$1000)=$F129)*((LMPMain!$O$9:$O$1000)=$C129)*(LMPMain!S$9:S$1000) ) +  ( SUMPRODUCT( ((Adders!$D$13:$D$101)=$E129)*((Adders!$E$13:$E$101)=$F129)*(Adders!G$13:G$101)) + VLOOKUP($H129,Adders!$B$5:$G$8,M$11,FALSE)  +  OH!$D$2 ) * IF($D129="NJ",1.07,1))/$L$10, CHOOSE($M$10,$L$9,$M$9) )</f>
        <v xml:space="preserve"> 21.31 </v>
      </c>
      <c r="N129" s="174" t="str">
        <f>TEXT(   (SUMPRODUCT( ((LMPMain!$H$9:$H$1000)=$E129)*((LMPMain!$J$9:$J$1000)=$F129)*((LMPMain!$O$9:$O$1000)=$C129)*(LMPMain!T$9:T$1000) ) +  ( SUMPRODUCT( ((Adders!$D$13:$D$101)=$E129)*((Adders!$E$13:$E$101)=$F129)*(Adders!H$13:H$101)) + VLOOKUP($H129,Adders!$B$5:$G$8,N$11,FALSE)  +  OH!$D$2 ) * IF($D129="NJ",1.07,1))/$L$10, CHOOSE($M$10,$L$9,$M$9) )</f>
        <v xml:space="preserve"> 20.88 </v>
      </c>
      <c r="O129" s="112"/>
    </row>
    <row r="130" spans="2:15" x14ac:dyDescent="0.25">
      <c r="B130" s="108"/>
      <c r="C130" s="135">
        <f t="shared" si="3"/>
        <v>42217</v>
      </c>
      <c r="D130" s="136" t="s">
        <v>20</v>
      </c>
      <c r="E130" s="137" t="s">
        <v>105</v>
      </c>
      <c r="F130" s="136" t="s">
        <v>22</v>
      </c>
      <c r="G130" s="137" t="str">
        <f t="shared" si="4"/>
        <v>Sec. Service</v>
      </c>
      <c r="H130" s="138" t="s">
        <v>690</v>
      </c>
      <c r="I130" s="175" t="str">
        <f>TEXT(   (SUMPRODUCT( ((Main!$H$9:$H$1000)=$E130)*((Main!$J$9:$J$1000)=$F130)*((Main!$O$9:$O$1000)=$C130)*(Main!R$9:R$1000) ) +  ( SUMPRODUCT( ((Adders!$D$13:$D$101)=$E130)*((Adders!$E$13:$E$101)=$F130)*(Adders!G$13:G$101)) + VLOOKUP($H130,Adders!$B$5:$G$8,L$11,FALSE)  +  OH!$D$2 ) * IF($D130="NJ",1.07,1))/$L$10, CHOOSE($M$10,$L$9,$M$9) )</f>
        <v xml:space="preserve"> 63.48 </v>
      </c>
      <c r="J130" s="176" t="str">
        <f>TEXT(   (SUMPRODUCT( ((Main!$H$9:$H$1000)=$E130)*((Main!$J$9:$J$1000)=$F130)*((Main!$O$9:$O$1000)=$C130)*(Main!S$9:S$1000) ) +  ( SUMPRODUCT( ((Adders!$D$13:$D$101)=$E130)*((Adders!$E$13:$E$101)=$F130)*(Adders!H$13:H$101)) + VLOOKUP($H130,Adders!$B$5:$G$8,M$11,FALSE)  +  OH!$D$2 ) * IF($D130="NJ",1.07,1))/$L$10, CHOOSE($M$10,$L$9,$M$9) )</f>
        <v xml:space="preserve"> 60.90 </v>
      </c>
      <c r="K130" s="177" t="str">
        <f>TEXT(   (SUMPRODUCT( ((Main!$H$9:$H$1000)=$E130)*((Main!$J$9:$J$1000)=$F130)*((Main!$O$9:$O$1000)=$C130)*(Main!T$9:T$1000) ) +  ( SUMPRODUCT( ((Adders!$D$13:$D$101)=$E130)*((Adders!$E$13:$E$101)=$F130)*(Adders!I$13:I$101)) + VLOOKUP($H130,Adders!$B$5:$G$8,$N$11,FALSE)  +  OH!$D$2 ) * IF($D130="NJ",1.07,1))/$L$10, CHOOSE($M$10,$L$9,$M$9) )</f>
        <v xml:space="preserve"> 61.21 </v>
      </c>
      <c r="L130" s="175" t="str">
        <f>TEXT(   (SUMPRODUCT( ((LMPMain!$H$9:$H$1000)=$E130)*((LMPMain!$J$9:$J$1000)=$F130)*((LMPMain!$O$9:$O$1000)=$C130)*(LMPMain!R$9:R$1000) ) +  ( SUMPRODUCT( ((Adders!$D$13:$D$101)=$E130)*((Adders!$E$13:$E$101)=$F130)*(Adders!F$13:F$101)) + VLOOKUP($H130,Adders!$B$5:$G$8,L$11,FALSE)  +  OH!$D$2 ) * IF($D130="NJ",1.07,1))/$L$10, CHOOSE($M$10,$L$9,$M$9) )</f>
        <v xml:space="preserve"> 22.60 </v>
      </c>
      <c r="M130" s="176" t="str">
        <f>TEXT(   (SUMPRODUCT( ((LMPMain!$H$9:$H$1000)=$E130)*((LMPMain!$J$9:$J$1000)=$F130)*((LMPMain!$O$9:$O$1000)=$C130)*(LMPMain!S$9:S$1000) ) +  ( SUMPRODUCT( ((Adders!$D$13:$D$101)=$E130)*((Adders!$E$13:$E$101)=$F130)*(Adders!G$13:G$101)) + VLOOKUP($H130,Adders!$B$5:$G$8,M$11,FALSE)  +  OH!$D$2 ) * IF($D130="NJ",1.07,1))/$L$10, CHOOSE($M$10,$L$9,$M$9) )</f>
        <v xml:space="preserve"> 20.26 </v>
      </c>
      <c r="N130" s="177" t="str">
        <f>TEXT(   (SUMPRODUCT( ((LMPMain!$H$9:$H$1000)=$E130)*((LMPMain!$J$9:$J$1000)=$F130)*((LMPMain!$O$9:$O$1000)=$C130)*(LMPMain!T$9:T$1000) ) +  ( SUMPRODUCT( ((Adders!$D$13:$D$101)=$E130)*((Adders!$E$13:$E$101)=$F130)*(Adders!H$13:H$101)) + VLOOKUP($H130,Adders!$B$5:$G$8,N$11,FALSE)  +  OH!$D$2 ) * IF($D130="NJ",1.07,1))/$L$10, CHOOSE($M$10,$L$9,$M$9) )</f>
        <v xml:space="preserve"> 19.83 </v>
      </c>
      <c r="O130" s="112"/>
    </row>
    <row r="131" spans="2:15" x14ac:dyDescent="0.25">
      <c r="B131" s="108"/>
      <c r="C131" s="127">
        <f t="shared" si="3"/>
        <v>42248</v>
      </c>
      <c r="D131" s="128" t="s">
        <v>20</v>
      </c>
      <c r="E131" s="129" t="s">
        <v>105</v>
      </c>
      <c r="F131" s="128" t="s">
        <v>22</v>
      </c>
      <c r="G131" s="129" t="str">
        <f t="shared" si="4"/>
        <v>Sec. Service</v>
      </c>
      <c r="H131" s="130" t="s">
        <v>61</v>
      </c>
      <c r="I131" s="180" t="str">
        <f>TEXT(   (SUMPRODUCT( ((Main!$H$9:$H$1000)=$E131)*((Main!$J$9:$J$1000)=$F131)*((Main!$O$9:$O$1000)=$C131)*(Main!R$9:R$1000) ) +  ( SUMPRODUCT( ((Adders!$D$13:$D$101)=$E131)*((Adders!$E$13:$E$101)=$F131)*(Adders!G$13:G$101)) + VLOOKUP($H131,Adders!$B$5:$G$8,L$11,FALSE)  +  OH!$D$2 ) * IF($D131="NJ",1.07,1))/$L$10, CHOOSE($M$10,$L$9,$M$9) )</f>
        <v xml:space="preserve"> 65.56 </v>
      </c>
      <c r="J131" s="178" t="str">
        <f>TEXT(   (SUMPRODUCT( ((Main!$H$9:$H$1000)=$E131)*((Main!$J$9:$J$1000)=$F131)*((Main!$O$9:$O$1000)=$C131)*(Main!S$9:S$1000) ) +  ( SUMPRODUCT( ((Adders!$D$13:$D$101)=$E131)*((Adders!$E$13:$E$101)=$F131)*(Adders!H$13:H$101)) + VLOOKUP($H131,Adders!$B$5:$G$8,M$11,FALSE)  +  OH!$D$2 ) * IF($D131="NJ",1.07,1))/$L$10, CHOOSE($M$10,$L$9,$M$9) )</f>
        <v xml:space="preserve"> 63.40 </v>
      </c>
      <c r="K131" s="179" t="str">
        <f>TEXT(   (SUMPRODUCT( ((Main!$H$9:$H$1000)=$E131)*((Main!$J$9:$J$1000)=$F131)*((Main!$O$9:$O$1000)=$C131)*(Main!T$9:T$1000) ) +  ( SUMPRODUCT( ((Adders!$D$13:$D$101)=$E131)*((Adders!$E$13:$E$101)=$F131)*(Adders!I$13:I$101)) + VLOOKUP($H131,Adders!$B$5:$G$8,$N$11,FALSE)  +  OH!$D$2 ) * IF($D131="NJ",1.07,1))/$L$10, CHOOSE($M$10,$L$9,$M$9) )</f>
        <v xml:space="preserve"> 63.95 </v>
      </c>
      <c r="L131" s="180" t="str">
        <f>TEXT(   (SUMPRODUCT( ((LMPMain!$H$9:$H$1000)=$E131)*((LMPMain!$J$9:$J$1000)=$F131)*((LMPMain!$O$9:$O$1000)=$C131)*(LMPMain!R$9:R$1000) ) +  ( SUMPRODUCT( ((Adders!$D$13:$D$101)=$E131)*((Adders!$E$13:$E$101)=$F131)*(Adders!F$13:F$101)) + VLOOKUP($H131,Adders!$B$5:$G$8,L$11,FALSE)  +  OH!$D$2 ) * IF($D131="NJ",1.07,1))/$L$10, CHOOSE($M$10,$L$9,$M$9) )</f>
        <v xml:space="preserve"> 24.53 </v>
      </c>
      <c r="M131" s="178" t="str">
        <f>TEXT(   (SUMPRODUCT( ((LMPMain!$H$9:$H$1000)=$E131)*((LMPMain!$J$9:$J$1000)=$F131)*((LMPMain!$O$9:$O$1000)=$C131)*(LMPMain!S$9:S$1000) ) +  ( SUMPRODUCT( ((Adders!$D$13:$D$101)=$E131)*((Adders!$E$13:$E$101)=$F131)*(Adders!G$13:G$101)) + VLOOKUP($H131,Adders!$B$5:$G$8,M$11,FALSE)  +  OH!$D$2 ) * IF($D131="NJ",1.07,1))/$L$10, CHOOSE($M$10,$L$9,$M$9) )</f>
        <v xml:space="preserve"> 22.37 </v>
      </c>
      <c r="N131" s="179" t="str">
        <f>TEXT(   (SUMPRODUCT( ((LMPMain!$H$9:$H$1000)=$E131)*((LMPMain!$J$9:$J$1000)=$F131)*((LMPMain!$O$9:$O$1000)=$C131)*(LMPMain!T$9:T$1000) ) +  ( SUMPRODUCT( ((Adders!$D$13:$D$101)=$E131)*((Adders!$E$13:$E$101)=$F131)*(Adders!H$13:H$101)) + VLOOKUP($H131,Adders!$B$5:$G$8,N$11,FALSE)  +  OH!$D$2 ) * IF($D131="NJ",1.07,1))/$L$10, CHOOSE($M$10,$L$9,$M$9) )</f>
        <v xml:space="preserve"> 22.40 </v>
      </c>
      <c r="O131" s="112"/>
    </row>
    <row r="132" spans="2:15" x14ac:dyDescent="0.25">
      <c r="B132" s="108"/>
      <c r="C132" s="131">
        <f t="shared" si="3"/>
        <v>42248</v>
      </c>
      <c r="D132" s="132" t="s">
        <v>20</v>
      </c>
      <c r="E132" s="133" t="s">
        <v>105</v>
      </c>
      <c r="F132" s="132" t="s">
        <v>22</v>
      </c>
      <c r="G132" s="133" t="str">
        <f t="shared" si="4"/>
        <v>Sec. Service</v>
      </c>
      <c r="H132" s="134" t="s">
        <v>62</v>
      </c>
      <c r="I132" s="172" t="str">
        <f>TEXT(   (SUMPRODUCT( ((Main!$H$9:$H$1000)=$E132)*((Main!$J$9:$J$1000)=$F132)*((Main!$O$9:$O$1000)=$C132)*(Main!R$9:R$1000) ) +  ( SUMPRODUCT( ((Adders!$D$13:$D$101)=$E132)*((Adders!$E$13:$E$101)=$F132)*(Adders!G$13:G$101)) + VLOOKUP($H132,Adders!$B$5:$G$8,L$11,FALSE)  +  OH!$D$2 ) * IF($D132="NJ",1.07,1))/$L$10, CHOOSE($M$10,$L$9,$M$9) )</f>
        <v xml:space="preserve"> 63.96 </v>
      </c>
      <c r="J132" s="173" t="str">
        <f>TEXT(   (SUMPRODUCT( ((Main!$H$9:$H$1000)=$E132)*((Main!$J$9:$J$1000)=$F132)*((Main!$O$9:$O$1000)=$C132)*(Main!S$9:S$1000) ) +  ( SUMPRODUCT( ((Adders!$D$13:$D$101)=$E132)*((Adders!$E$13:$E$101)=$F132)*(Adders!H$13:H$101)) + VLOOKUP($H132,Adders!$B$5:$G$8,M$11,FALSE)  +  OH!$D$2 ) * IF($D132="NJ",1.07,1))/$L$10, CHOOSE($M$10,$L$9,$M$9) )</f>
        <v xml:space="preserve"> 61.80 </v>
      </c>
      <c r="K132" s="174" t="str">
        <f>TEXT(   (SUMPRODUCT( ((Main!$H$9:$H$1000)=$E132)*((Main!$J$9:$J$1000)=$F132)*((Main!$O$9:$O$1000)=$C132)*(Main!T$9:T$1000) ) +  ( SUMPRODUCT( ((Adders!$D$13:$D$101)=$E132)*((Adders!$E$13:$E$101)=$F132)*(Adders!I$13:I$101)) + VLOOKUP($H132,Adders!$B$5:$G$8,$N$11,FALSE)  +  OH!$D$2 ) * IF($D132="NJ",1.07,1))/$L$10, CHOOSE($M$10,$L$9,$M$9) )</f>
        <v xml:space="preserve"> 62.35 </v>
      </c>
      <c r="L132" s="172" t="str">
        <f>TEXT(   (SUMPRODUCT( ((LMPMain!$H$9:$H$1000)=$E132)*((LMPMain!$J$9:$J$1000)=$F132)*((LMPMain!$O$9:$O$1000)=$C132)*(LMPMain!R$9:R$1000) ) +  ( SUMPRODUCT( ((Adders!$D$13:$D$101)=$E132)*((Adders!$E$13:$E$101)=$F132)*(Adders!F$13:F$101)) + VLOOKUP($H132,Adders!$B$5:$G$8,L$11,FALSE)  +  OH!$D$2 ) * IF($D132="NJ",1.07,1))/$L$10, CHOOSE($M$10,$L$9,$M$9) )</f>
        <v xml:space="preserve"> 22.93 </v>
      </c>
      <c r="M132" s="173" t="str">
        <f>TEXT(   (SUMPRODUCT( ((LMPMain!$H$9:$H$1000)=$E132)*((LMPMain!$J$9:$J$1000)=$F132)*((LMPMain!$O$9:$O$1000)=$C132)*(LMPMain!S$9:S$1000) ) +  ( SUMPRODUCT( ((Adders!$D$13:$D$101)=$E132)*((Adders!$E$13:$E$101)=$F132)*(Adders!G$13:G$101)) + VLOOKUP($H132,Adders!$B$5:$G$8,M$11,FALSE)  +  OH!$D$2 ) * IF($D132="NJ",1.07,1))/$L$10, CHOOSE($M$10,$L$9,$M$9) )</f>
        <v xml:space="preserve"> 20.77 </v>
      </c>
      <c r="N132" s="174" t="str">
        <f>TEXT(   (SUMPRODUCT( ((LMPMain!$H$9:$H$1000)=$E132)*((LMPMain!$J$9:$J$1000)=$F132)*((LMPMain!$O$9:$O$1000)=$C132)*(LMPMain!T$9:T$1000) ) +  ( SUMPRODUCT( ((Adders!$D$13:$D$101)=$E132)*((Adders!$E$13:$E$101)=$F132)*(Adders!H$13:H$101)) + VLOOKUP($H132,Adders!$B$5:$G$8,N$11,FALSE)  +  OH!$D$2 ) * IF($D132="NJ",1.07,1))/$L$10, CHOOSE($M$10,$L$9,$M$9) )</f>
        <v xml:space="preserve"> 20.80 </v>
      </c>
      <c r="O132" s="112"/>
    </row>
    <row r="133" spans="2:15" x14ac:dyDescent="0.25">
      <c r="B133" s="108"/>
      <c r="C133" s="135">
        <f t="shared" si="3"/>
        <v>42248</v>
      </c>
      <c r="D133" s="136" t="s">
        <v>20</v>
      </c>
      <c r="E133" s="137" t="s">
        <v>105</v>
      </c>
      <c r="F133" s="136" t="s">
        <v>22</v>
      </c>
      <c r="G133" s="137" t="str">
        <f t="shared" si="4"/>
        <v>Sec. Service</v>
      </c>
      <c r="H133" s="138" t="s">
        <v>690</v>
      </c>
      <c r="I133" s="175" t="str">
        <f>TEXT(   (SUMPRODUCT( ((Main!$H$9:$H$1000)=$E133)*((Main!$J$9:$J$1000)=$F133)*((Main!$O$9:$O$1000)=$C133)*(Main!R$9:R$1000) ) +  ( SUMPRODUCT( ((Adders!$D$13:$D$101)=$E133)*((Adders!$E$13:$E$101)=$F133)*(Adders!G$13:G$101)) + VLOOKUP($H133,Adders!$B$5:$G$8,L$11,FALSE)  +  OH!$D$2 ) * IF($D133="NJ",1.07,1))/$L$10, CHOOSE($M$10,$L$9,$M$9) )</f>
        <v xml:space="preserve"> 62.91 </v>
      </c>
      <c r="J133" s="176" t="str">
        <f>TEXT(   (SUMPRODUCT( ((Main!$H$9:$H$1000)=$E133)*((Main!$J$9:$J$1000)=$F133)*((Main!$O$9:$O$1000)=$C133)*(Main!S$9:S$1000) ) +  ( SUMPRODUCT( ((Adders!$D$13:$D$101)=$E133)*((Adders!$E$13:$E$101)=$F133)*(Adders!H$13:H$101)) + VLOOKUP($H133,Adders!$B$5:$G$8,M$11,FALSE)  +  OH!$D$2 ) * IF($D133="NJ",1.07,1))/$L$10, CHOOSE($M$10,$L$9,$M$9) )</f>
        <v xml:space="preserve"> 60.75 </v>
      </c>
      <c r="K133" s="177" t="str">
        <f>TEXT(   (SUMPRODUCT( ((Main!$H$9:$H$1000)=$E133)*((Main!$J$9:$J$1000)=$F133)*((Main!$O$9:$O$1000)=$C133)*(Main!T$9:T$1000) ) +  ( SUMPRODUCT( ((Adders!$D$13:$D$101)=$E133)*((Adders!$E$13:$E$101)=$F133)*(Adders!I$13:I$101)) + VLOOKUP($H133,Adders!$B$5:$G$8,$N$11,FALSE)  +  OH!$D$2 ) * IF($D133="NJ",1.07,1))/$L$10, CHOOSE($M$10,$L$9,$M$9) )</f>
        <v xml:space="preserve"> 61.30 </v>
      </c>
      <c r="L133" s="175" t="str">
        <f>TEXT(   (SUMPRODUCT( ((LMPMain!$H$9:$H$1000)=$E133)*((LMPMain!$J$9:$J$1000)=$F133)*((LMPMain!$O$9:$O$1000)=$C133)*(LMPMain!R$9:R$1000) ) +  ( SUMPRODUCT( ((Adders!$D$13:$D$101)=$E133)*((Adders!$E$13:$E$101)=$F133)*(Adders!F$13:F$101)) + VLOOKUP($H133,Adders!$B$5:$G$8,L$11,FALSE)  +  OH!$D$2 ) * IF($D133="NJ",1.07,1))/$L$10, CHOOSE($M$10,$L$9,$M$9) )</f>
        <v xml:space="preserve"> 21.88 </v>
      </c>
      <c r="M133" s="176" t="str">
        <f>TEXT(   (SUMPRODUCT( ((LMPMain!$H$9:$H$1000)=$E133)*((LMPMain!$J$9:$J$1000)=$F133)*((LMPMain!$O$9:$O$1000)=$C133)*(LMPMain!S$9:S$1000) ) +  ( SUMPRODUCT( ((Adders!$D$13:$D$101)=$E133)*((Adders!$E$13:$E$101)=$F133)*(Adders!G$13:G$101)) + VLOOKUP($H133,Adders!$B$5:$G$8,M$11,FALSE)  +  OH!$D$2 ) * IF($D133="NJ",1.07,1))/$L$10, CHOOSE($M$10,$L$9,$M$9) )</f>
        <v xml:space="preserve"> 19.72 </v>
      </c>
      <c r="N133" s="177" t="str">
        <f>TEXT(   (SUMPRODUCT( ((LMPMain!$H$9:$H$1000)=$E133)*((LMPMain!$J$9:$J$1000)=$F133)*((LMPMain!$O$9:$O$1000)=$C133)*(LMPMain!T$9:T$1000) ) +  ( SUMPRODUCT( ((Adders!$D$13:$D$101)=$E133)*((Adders!$E$13:$E$101)=$F133)*(Adders!H$13:H$101)) + VLOOKUP($H133,Adders!$B$5:$G$8,N$11,FALSE)  +  OH!$D$2 ) * IF($D133="NJ",1.07,1))/$L$10, CHOOSE($M$10,$L$9,$M$9) )</f>
        <v xml:space="preserve"> 19.75 </v>
      </c>
      <c r="O133" s="112"/>
    </row>
    <row r="134" spans="2:15" x14ac:dyDescent="0.25">
      <c r="B134" s="108"/>
      <c r="C134" s="127">
        <f t="shared" si="3"/>
        <v>42278</v>
      </c>
      <c r="D134" s="128" t="s">
        <v>20</v>
      </c>
      <c r="E134" s="129" t="s">
        <v>105</v>
      </c>
      <c r="F134" s="128" t="s">
        <v>22</v>
      </c>
      <c r="G134" s="129" t="str">
        <f t="shared" si="4"/>
        <v>Sec. Service</v>
      </c>
      <c r="H134" s="130" t="s">
        <v>61</v>
      </c>
      <c r="I134" s="180" t="str">
        <f>TEXT(   (SUMPRODUCT( ((Main!$H$9:$H$1000)=$E134)*((Main!$J$9:$J$1000)=$F134)*((Main!$O$9:$O$1000)=$C134)*(Main!R$9:R$1000) ) +  ( SUMPRODUCT( ((Adders!$D$13:$D$101)=$E134)*((Adders!$E$13:$E$101)=$F134)*(Adders!G$13:G$101)) + VLOOKUP($H134,Adders!$B$5:$G$8,L$11,FALSE)  +  OH!$D$2 ) * IF($D134="NJ",1.07,1))/$L$10, CHOOSE($M$10,$L$9,$M$9) )</f>
        <v xml:space="preserve"> 64.87 </v>
      </c>
      <c r="J134" s="178" t="str">
        <f>TEXT(   (SUMPRODUCT( ((Main!$H$9:$H$1000)=$E134)*((Main!$J$9:$J$1000)=$F134)*((Main!$O$9:$O$1000)=$C134)*(Main!S$9:S$1000) ) +  ( SUMPRODUCT( ((Adders!$D$13:$D$101)=$E134)*((Adders!$E$13:$E$101)=$F134)*(Adders!H$13:H$101)) + VLOOKUP($H134,Adders!$B$5:$G$8,M$11,FALSE)  +  OH!$D$2 ) * IF($D134="NJ",1.07,1))/$L$10, CHOOSE($M$10,$L$9,$M$9) )</f>
        <v xml:space="preserve"> 62.95 </v>
      </c>
      <c r="K134" s="179" t="str">
        <f>TEXT(   (SUMPRODUCT( ((Main!$H$9:$H$1000)=$E134)*((Main!$J$9:$J$1000)=$F134)*((Main!$O$9:$O$1000)=$C134)*(Main!T$9:T$1000) ) +  ( SUMPRODUCT( ((Adders!$D$13:$D$101)=$E134)*((Adders!$E$13:$E$101)=$F134)*(Adders!I$13:I$101)) + VLOOKUP($H134,Adders!$B$5:$G$8,$N$11,FALSE)  +  OH!$D$2 ) * IF($D134="NJ",1.07,1))/$L$10, CHOOSE($M$10,$L$9,$M$9) )</f>
        <v xml:space="preserve"> 63.90 </v>
      </c>
      <c r="L134" s="180" t="str">
        <f>TEXT(   (SUMPRODUCT( ((LMPMain!$H$9:$H$1000)=$E134)*((LMPMain!$J$9:$J$1000)=$F134)*((LMPMain!$O$9:$O$1000)=$C134)*(LMPMain!R$9:R$1000) ) +  ( SUMPRODUCT( ((Adders!$D$13:$D$101)=$E134)*((Adders!$E$13:$E$101)=$F134)*(Adders!F$13:F$101)) + VLOOKUP($H134,Adders!$B$5:$G$8,L$11,FALSE)  +  OH!$D$2 ) * IF($D134="NJ",1.07,1))/$L$10, CHOOSE($M$10,$L$9,$M$9) )</f>
        <v xml:space="preserve"> 23.86 </v>
      </c>
      <c r="M134" s="178" t="str">
        <f>TEXT(   (SUMPRODUCT( ((LMPMain!$H$9:$H$1000)=$E134)*((LMPMain!$J$9:$J$1000)=$F134)*((LMPMain!$O$9:$O$1000)=$C134)*(LMPMain!S$9:S$1000) ) +  ( SUMPRODUCT( ((Adders!$D$13:$D$101)=$E134)*((Adders!$E$13:$E$101)=$F134)*(Adders!G$13:G$101)) + VLOOKUP($H134,Adders!$B$5:$G$8,M$11,FALSE)  +  OH!$D$2 ) * IF($D134="NJ",1.07,1))/$L$10, CHOOSE($M$10,$L$9,$M$9) )</f>
        <v xml:space="preserve"> 21.63 </v>
      </c>
      <c r="N134" s="179" t="str">
        <f>TEXT(   (SUMPRODUCT( ((LMPMain!$H$9:$H$1000)=$E134)*((LMPMain!$J$9:$J$1000)=$F134)*((LMPMain!$O$9:$O$1000)=$C134)*(LMPMain!T$9:T$1000) ) +  ( SUMPRODUCT( ((Adders!$D$13:$D$101)=$E134)*((Adders!$E$13:$E$101)=$F134)*(Adders!H$13:H$101)) + VLOOKUP($H134,Adders!$B$5:$G$8,N$11,FALSE)  +  OH!$D$2 ) * IF($D134="NJ",1.07,1))/$L$10, CHOOSE($M$10,$L$9,$M$9) )</f>
        <v xml:space="preserve"> 22.35 </v>
      </c>
      <c r="O134" s="112"/>
    </row>
    <row r="135" spans="2:15" x14ac:dyDescent="0.25">
      <c r="B135" s="108"/>
      <c r="C135" s="131">
        <f t="shared" si="3"/>
        <v>42278</v>
      </c>
      <c r="D135" s="132" t="s">
        <v>20</v>
      </c>
      <c r="E135" s="133" t="s">
        <v>105</v>
      </c>
      <c r="F135" s="132" t="s">
        <v>22</v>
      </c>
      <c r="G135" s="133" t="str">
        <f t="shared" si="4"/>
        <v>Sec. Service</v>
      </c>
      <c r="H135" s="134" t="s">
        <v>62</v>
      </c>
      <c r="I135" s="172" t="str">
        <f>TEXT(   (SUMPRODUCT( ((Main!$H$9:$H$1000)=$E135)*((Main!$J$9:$J$1000)=$F135)*((Main!$O$9:$O$1000)=$C135)*(Main!R$9:R$1000) ) +  ( SUMPRODUCT( ((Adders!$D$13:$D$101)=$E135)*((Adders!$E$13:$E$101)=$F135)*(Adders!G$13:G$101)) + VLOOKUP($H135,Adders!$B$5:$G$8,L$11,FALSE)  +  OH!$D$2 ) * IF($D135="NJ",1.07,1))/$L$10, CHOOSE($M$10,$L$9,$M$9) )</f>
        <v xml:space="preserve"> 63.27 </v>
      </c>
      <c r="J135" s="173" t="str">
        <f>TEXT(   (SUMPRODUCT( ((Main!$H$9:$H$1000)=$E135)*((Main!$J$9:$J$1000)=$F135)*((Main!$O$9:$O$1000)=$C135)*(Main!S$9:S$1000) ) +  ( SUMPRODUCT( ((Adders!$D$13:$D$101)=$E135)*((Adders!$E$13:$E$101)=$F135)*(Adders!H$13:H$101)) + VLOOKUP($H135,Adders!$B$5:$G$8,M$11,FALSE)  +  OH!$D$2 ) * IF($D135="NJ",1.07,1))/$L$10, CHOOSE($M$10,$L$9,$M$9) )</f>
        <v xml:space="preserve"> 61.35 </v>
      </c>
      <c r="K135" s="174" t="str">
        <f>TEXT(   (SUMPRODUCT( ((Main!$H$9:$H$1000)=$E135)*((Main!$J$9:$J$1000)=$F135)*((Main!$O$9:$O$1000)=$C135)*(Main!T$9:T$1000) ) +  ( SUMPRODUCT( ((Adders!$D$13:$D$101)=$E135)*((Adders!$E$13:$E$101)=$F135)*(Adders!I$13:I$101)) + VLOOKUP($H135,Adders!$B$5:$G$8,$N$11,FALSE)  +  OH!$D$2 ) * IF($D135="NJ",1.07,1))/$L$10, CHOOSE($M$10,$L$9,$M$9) )</f>
        <v xml:space="preserve"> 62.30 </v>
      </c>
      <c r="L135" s="172" t="str">
        <f>TEXT(   (SUMPRODUCT( ((LMPMain!$H$9:$H$1000)=$E135)*((LMPMain!$J$9:$J$1000)=$F135)*((LMPMain!$O$9:$O$1000)=$C135)*(LMPMain!R$9:R$1000) ) +  ( SUMPRODUCT( ((Adders!$D$13:$D$101)=$E135)*((Adders!$E$13:$E$101)=$F135)*(Adders!F$13:F$101)) + VLOOKUP($H135,Adders!$B$5:$G$8,L$11,FALSE)  +  OH!$D$2 ) * IF($D135="NJ",1.07,1))/$L$10, CHOOSE($M$10,$L$9,$M$9) )</f>
        <v xml:space="preserve"> 22.26 </v>
      </c>
      <c r="M135" s="173" t="str">
        <f>TEXT(   (SUMPRODUCT( ((LMPMain!$H$9:$H$1000)=$E135)*((LMPMain!$J$9:$J$1000)=$F135)*((LMPMain!$O$9:$O$1000)=$C135)*(LMPMain!S$9:S$1000) ) +  ( SUMPRODUCT( ((Adders!$D$13:$D$101)=$E135)*((Adders!$E$13:$E$101)=$F135)*(Adders!G$13:G$101)) + VLOOKUP($H135,Adders!$B$5:$G$8,M$11,FALSE)  +  OH!$D$2 ) * IF($D135="NJ",1.07,1))/$L$10, CHOOSE($M$10,$L$9,$M$9) )</f>
        <v xml:space="preserve"> 20.03 </v>
      </c>
      <c r="N135" s="174" t="str">
        <f>TEXT(   (SUMPRODUCT( ((LMPMain!$H$9:$H$1000)=$E135)*((LMPMain!$J$9:$J$1000)=$F135)*((LMPMain!$O$9:$O$1000)=$C135)*(LMPMain!T$9:T$1000) ) +  ( SUMPRODUCT( ((Adders!$D$13:$D$101)=$E135)*((Adders!$E$13:$E$101)=$F135)*(Adders!H$13:H$101)) + VLOOKUP($H135,Adders!$B$5:$G$8,N$11,FALSE)  +  OH!$D$2 ) * IF($D135="NJ",1.07,1))/$L$10, CHOOSE($M$10,$L$9,$M$9) )</f>
        <v xml:space="preserve"> 20.75 </v>
      </c>
      <c r="O135" s="112"/>
    </row>
    <row r="136" spans="2:15" x14ac:dyDescent="0.25">
      <c r="B136" s="108"/>
      <c r="C136" s="135">
        <f t="shared" si="3"/>
        <v>42278</v>
      </c>
      <c r="D136" s="136" t="s">
        <v>20</v>
      </c>
      <c r="E136" s="137" t="s">
        <v>105</v>
      </c>
      <c r="F136" s="136" t="s">
        <v>22</v>
      </c>
      <c r="G136" s="137" t="str">
        <f t="shared" si="4"/>
        <v>Sec. Service</v>
      </c>
      <c r="H136" s="138" t="s">
        <v>690</v>
      </c>
      <c r="I136" s="175" t="str">
        <f>TEXT(   (SUMPRODUCT( ((Main!$H$9:$H$1000)=$E136)*((Main!$J$9:$J$1000)=$F136)*((Main!$O$9:$O$1000)=$C136)*(Main!R$9:R$1000) ) +  ( SUMPRODUCT( ((Adders!$D$13:$D$101)=$E136)*((Adders!$E$13:$E$101)=$F136)*(Adders!G$13:G$101)) + VLOOKUP($H136,Adders!$B$5:$G$8,L$11,FALSE)  +  OH!$D$2 ) * IF($D136="NJ",1.07,1))/$L$10, CHOOSE($M$10,$L$9,$M$9) )</f>
        <v xml:space="preserve"> 62.22 </v>
      </c>
      <c r="J136" s="176" t="str">
        <f>TEXT(   (SUMPRODUCT( ((Main!$H$9:$H$1000)=$E136)*((Main!$J$9:$J$1000)=$F136)*((Main!$O$9:$O$1000)=$C136)*(Main!S$9:S$1000) ) +  ( SUMPRODUCT( ((Adders!$D$13:$D$101)=$E136)*((Adders!$E$13:$E$101)=$F136)*(Adders!H$13:H$101)) + VLOOKUP($H136,Adders!$B$5:$G$8,M$11,FALSE)  +  OH!$D$2 ) * IF($D136="NJ",1.07,1))/$L$10, CHOOSE($M$10,$L$9,$M$9) )</f>
        <v xml:space="preserve"> 60.30 </v>
      </c>
      <c r="K136" s="177" t="str">
        <f>TEXT(   (SUMPRODUCT( ((Main!$H$9:$H$1000)=$E136)*((Main!$J$9:$J$1000)=$F136)*((Main!$O$9:$O$1000)=$C136)*(Main!T$9:T$1000) ) +  ( SUMPRODUCT( ((Adders!$D$13:$D$101)=$E136)*((Adders!$E$13:$E$101)=$F136)*(Adders!I$13:I$101)) + VLOOKUP($H136,Adders!$B$5:$G$8,$N$11,FALSE)  +  OH!$D$2 ) * IF($D136="NJ",1.07,1))/$L$10, CHOOSE($M$10,$L$9,$M$9) )</f>
        <v xml:space="preserve"> 61.25 </v>
      </c>
      <c r="L136" s="175" t="str">
        <f>TEXT(   (SUMPRODUCT( ((LMPMain!$H$9:$H$1000)=$E136)*((LMPMain!$J$9:$J$1000)=$F136)*((LMPMain!$O$9:$O$1000)=$C136)*(LMPMain!R$9:R$1000) ) +  ( SUMPRODUCT( ((Adders!$D$13:$D$101)=$E136)*((Adders!$E$13:$E$101)=$F136)*(Adders!F$13:F$101)) + VLOOKUP($H136,Adders!$B$5:$G$8,L$11,FALSE)  +  OH!$D$2 ) * IF($D136="NJ",1.07,1))/$L$10, CHOOSE($M$10,$L$9,$M$9) )</f>
        <v xml:space="preserve"> 21.21 </v>
      </c>
      <c r="M136" s="176" t="str">
        <f>TEXT(   (SUMPRODUCT( ((LMPMain!$H$9:$H$1000)=$E136)*((LMPMain!$J$9:$J$1000)=$F136)*((LMPMain!$O$9:$O$1000)=$C136)*(LMPMain!S$9:S$1000) ) +  ( SUMPRODUCT( ((Adders!$D$13:$D$101)=$E136)*((Adders!$E$13:$E$101)=$F136)*(Adders!G$13:G$101)) + VLOOKUP($H136,Adders!$B$5:$G$8,M$11,FALSE)  +  OH!$D$2 ) * IF($D136="NJ",1.07,1))/$L$10, CHOOSE($M$10,$L$9,$M$9) )</f>
        <v xml:space="preserve"> 18.98 </v>
      </c>
      <c r="N136" s="177" t="str">
        <f>TEXT(   (SUMPRODUCT( ((LMPMain!$H$9:$H$1000)=$E136)*((LMPMain!$J$9:$J$1000)=$F136)*((LMPMain!$O$9:$O$1000)=$C136)*(LMPMain!T$9:T$1000) ) +  ( SUMPRODUCT( ((Adders!$D$13:$D$101)=$E136)*((Adders!$E$13:$E$101)=$F136)*(Adders!H$13:H$101)) + VLOOKUP($H136,Adders!$B$5:$G$8,N$11,FALSE)  +  OH!$D$2 ) * IF($D136="NJ",1.07,1))/$L$10, CHOOSE($M$10,$L$9,$M$9) )</f>
        <v xml:space="preserve"> 19.70 </v>
      </c>
      <c r="O136" s="112"/>
    </row>
    <row r="137" spans="2:15" x14ac:dyDescent="0.25">
      <c r="B137" s="108"/>
      <c r="C137" s="127">
        <f t="shared" si="3"/>
        <v>42309</v>
      </c>
      <c r="D137" s="128" t="s">
        <v>20</v>
      </c>
      <c r="E137" s="129" t="s">
        <v>105</v>
      </c>
      <c r="F137" s="128" t="s">
        <v>22</v>
      </c>
      <c r="G137" s="129" t="str">
        <f t="shared" si="4"/>
        <v>Sec. Service</v>
      </c>
      <c r="H137" s="130" t="s">
        <v>61</v>
      </c>
      <c r="I137" s="180" t="str">
        <f>TEXT(   (SUMPRODUCT( ((Main!$H$9:$H$1000)=$E137)*((Main!$J$9:$J$1000)=$F137)*((Main!$O$9:$O$1000)=$C137)*(Main!R$9:R$1000) ) +  ( SUMPRODUCT( ((Adders!$D$13:$D$101)=$E137)*((Adders!$E$13:$E$101)=$F137)*(Adders!G$13:G$101)) + VLOOKUP($H137,Adders!$B$5:$G$8,L$11,FALSE)  +  OH!$D$2 ) * IF($D137="NJ",1.07,1))/$L$10, CHOOSE($M$10,$L$9,$M$9) )</f>
        <v xml:space="preserve"> 64.18 </v>
      </c>
      <c r="J137" s="178" t="str">
        <f>TEXT(   (SUMPRODUCT( ((Main!$H$9:$H$1000)=$E137)*((Main!$J$9:$J$1000)=$F137)*((Main!$O$9:$O$1000)=$C137)*(Main!S$9:S$1000) ) +  ( SUMPRODUCT( ((Adders!$D$13:$D$101)=$E137)*((Adders!$E$13:$E$101)=$F137)*(Adders!H$13:H$101)) + VLOOKUP($H137,Adders!$B$5:$G$8,M$11,FALSE)  +  OH!$D$2 ) * IF($D137="NJ",1.07,1))/$L$10, CHOOSE($M$10,$L$9,$M$9) )</f>
        <v xml:space="preserve"> 63.01 </v>
      </c>
      <c r="K137" s="179" t="str">
        <f>TEXT(   (SUMPRODUCT( ((Main!$H$9:$H$1000)=$E137)*((Main!$J$9:$J$1000)=$F137)*((Main!$O$9:$O$1000)=$C137)*(Main!T$9:T$1000) ) +  ( SUMPRODUCT( ((Adders!$D$13:$D$101)=$E137)*((Adders!$E$13:$E$101)=$F137)*(Adders!I$13:I$101)) + VLOOKUP($H137,Adders!$B$5:$G$8,$N$11,FALSE)  +  OH!$D$2 ) * IF($D137="NJ",1.07,1))/$L$10, CHOOSE($M$10,$L$9,$M$9) )</f>
        <v xml:space="preserve"> 63.86 </v>
      </c>
      <c r="L137" s="180" t="str">
        <f>TEXT(   (SUMPRODUCT( ((LMPMain!$H$9:$H$1000)=$E137)*((LMPMain!$J$9:$J$1000)=$F137)*((LMPMain!$O$9:$O$1000)=$C137)*(LMPMain!R$9:R$1000) ) +  ( SUMPRODUCT( ((Adders!$D$13:$D$101)=$E137)*((Adders!$E$13:$E$101)=$F137)*(Adders!F$13:F$101)) + VLOOKUP($H137,Adders!$B$5:$G$8,L$11,FALSE)  +  OH!$D$2 ) * IF($D137="NJ",1.07,1))/$L$10, CHOOSE($M$10,$L$9,$M$9) )</f>
        <v xml:space="preserve"> 23.18 </v>
      </c>
      <c r="M137" s="178" t="str">
        <f>TEXT(   (SUMPRODUCT( ((LMPMain!$H$9:$H$1000)=$E137)*((LMPMain!$J$9:$J$1000)=$F137)*((LMPMain!$O$9:$O$1000)=$C137)*(LMPMain!S$9:S$1000) ) +  ( SUMPRODUCT( ((Adders!$D$13:$D$101)=$E137)*((Adders!$E$13:$E$101)=$F137)*(Adders!G$13:G$101)) + VLOOKUP($H137,Adders!$B$5:$G$8,M$11,FALSE)  +  OH!$D$2 ) * IF($D137="NJ",1.07,1))/$L$10, CHOOSE($M$10,$L$9,$M$9) )</f>
        <v xml:space="preserve"> 21.37 </v>
      </c>
      <c r="N137" s="179" t="str">
        <f>TEXT(   (SUMPRODUCT( ((LMPMain!$H$9:$H$1000)=$E137)*((LMPMain!$J$9:$J$1000)=$F137)*((LMPMain!$O$9:$O$1000)=$C137)*(LMPMain!T$9:T$1000) ) +  ( SUMPRODUCT( ((Adders!$D$13:$D$101)=$E137)*((Adders!$E$13:$E$101)=$F137)*(Adders!H$13:H$101)) + VLOOKUP($H137,Adders!$B$5:$G$8,N$11,FALSE)  +  OH!$D$2 ) * IF($D137="NJ",1.07,1))/$L$10, CHOOSE($M$10,$L$9,$M$9) )</f>
        <v xml:space="preserve"> 22.29 </v>
      </c>
      <c r="O137" s="112"/>
    </row>
    <row r="138" spans="2:15" x14ac:dyDescent="0.25">
      <c r="B138" s="108"/>
      <c r="C138" s="131">
        <f t="shared" si="3"/>
        <v>42309</v>
      </c>
      <c r="D138" s="132" t="s">
        <v>20</v>
      </c>
      <c r="E138" s="133" t="s">
        <v>105</v>
      </c>
      <c r="F138" s="132" t="s">
        <v>22</v>
      </c>
      <c r="G138" s="133" t="str">
        <f t="shared" si="4"/>
        <v>Sec. Service</v>
      </c>
      <c r="H138" s="134" t="s">
        <v>62</v>
      </c>
      <c r="I138" s="172" t="str">
        <f>TEXT(   (SUMPRODUCT( ((Main!$H$9:$H$1000)=$E138)*((Main!$J$9:$J$1000)=$F138)*((Main!$O$9:$O$1000)=$C138)*(Main!R$9:R$1000) ) +  ( SUMPRODUCT( ((Adders!$D$13:$D$101)=$E138)*((Adders!$E$13:$E$101)=$F138)*(Adders!G$13:G$101)) + VLOOKUP($H138,Adders!$B$5:$G$8,L$11,FALSE)  +  OH!$D$2 ) * IF($D138="NJ",1.07,1))/$L$10, CHOOSE($M$10,$L$9,$M$9) )</f>
        <v xml:space="preserve"> 62.58 </v>
      </c>
      <c r="J138" s="173" t="str">
        <f>TEXT(   (SUMPRODUCT( ((Main!$H$9:$H$1000)=$E138)*((Main!$J$9:$J$1000)=$F138)*((Main!$O$9:$O$1000)=$C138)*(Main!S$9:S$1000) ) +  ( SUMPRODUCT( ((Adders!$D$13:$D$101)=$E138)*((Adders!$E$13:$E$101)=$F138)*(Adders!H$13:H$101)) + VLOOKUP($H138,Adders!$B$5:$G$8,M$11,FALSE)  +  OH!$D$2 ) * IF($D138="NJ",1.07,1))/$L$10, CHOOSE($M$10,$L$9,$M$9) )</f>
        <v xml:space="preserve"> 61.41 </v>
      </c>
      <c r="K138" s="174" t="str">
        <f>TEXT(   (SUMPRODUCT( ((Main!$H$9:$H$1000)=$E138)*((Main!$J$9:$J$1000)=$F138)*((Main!$O$9:$O$1000)=$C138)*(Main!T$9:T$1000) ) +  ( SUMPRODUCT( ((Adders!$D$13:$D$101)=$E138)*((Adders!$E$13:$E$101)=$F138)*(Adders!I$13:I$101)) + VLOOKUP($H138,Adders!$B$5:$G$8,$N$11,FALSE)  +  OH!$D$2 ) * IF($D138="NJ",1.07,1))/$L$10, CHOOSE($M$10,$L$9,$M$9) )</f>
        <v xml:space="preserve"> 62.26 </v>
      </c>
      <c r="L138" s="172" t="str">
        <f>TEXT(   (SUMPRODUCT( ((LMPMain!$H$9:$H$1000)=$E138)*((LMPMain!$J$9:$J$1000)=$F138)*((LMPMain!$O$9:$O$1000)=$C138)*(LMPMain!R$9:R$1000) ) +  ( SUMPRODUCT( ((Adders!$D$13:$D$101)=$E138)*((Adders!$E$13:$E$101)=$F138)*(Adders!F$13:F$101)) + VLOOKUP($H138,Adders!$B$5:$G$8,L$11,FALSE)  +  OH!$D$2 ) * IF($D138="NJ",1.07,1))/$L$10, CHOOSE($M$10,$L$9,$M$9) )</f>
        <v xml:space="preserve"> 21.58 </v>
      </c>
      <c r="M138" s="173" t="str">
        <f>TEXT(   (SUMPRODUCT( ((LMPMain!$H$9:$H$1000)=$E138)*((LMPMain!$J$9:$J$1000)=$F138)*((LMPMain!$O$9:$O$1000)=$C138)*(LMPMain!S$9:S$1000) ) +  ( SUMPRODUCT( ((Adders!$D$13:$D$101)=$E138)*((Adders!$E$13:$E$101)=$F138)*(Adders!G$13:G$101)) + VLOOKUP($H138,Adders!$B$5:$G$8,M$11,FALSE)  +  OH!$D$2 ) * IF($D138="NJ",1.07,1))/$L$10, CHOOSE($M$10,$L$9,$M$9) )</f>
        <v xml:space="preserve"> 19.77 </v>
      </c>
      <c r="N138" s="174" t="str">
        <f>TEXT(   (SUMPRODUCT( ((LMPMain!$H$9:$H$1000)=$E138)*((LMPMain!$J$9:$J$1000)=$F138)*((LMPMain!$O$9:$O$1000)=$C138)*(LMPMain!T$9:T$1000) ) +  ( SUMPRODUCT( ((Adders!$D$13:$D$101)=$E138)*((Adders!$E$13:$E$101)=$F138)*(Adders!H$13:H$101)) + VLOOKUP($H138,Adders!$B$5:$G$8,N$11,FALSE)  +  OH!$D$2 ) * IF($D138="NJ",1.07,1))/$L$10, CHOOSE($M$10,$L$9,$M$9) )</f>
        <v xml:space="preserve"> 20.69 </v>
      </c>
      <c r="O138" s="112"/>
    </row>
    <row r="139" spans="2:15" x14ac:dyDescent="0.25">
      <c r="B139" s="108"/>
      <c r="C139" s="135">
        <f t="shared" si="3"/>
        <v>42309</v>
      </c>
      <c r="D139" s="136" t="s">
        <v>20</v>
      </c>
      <c r="E139" s="137" t="s">
        <v>105</v>
      </c>
      <c r="F139" s="136" t="s">
        <v>22</v>
      </c>
      <c r="G139" s="137" t="str">
        <f t="shared" si="4"/>
        <v>Sec. Service</v>
      </c>
      <c r="H139" s="138" t="s">
        <v>690</v>
      </c>
      <c r="I139" s="175" t="str">
        <f>TEXT(   (SUMPRODUCT( ((Main!$H$9:$H$1000)=$E139)*((Main!$J$9:$J$1000)=$F139)*((Main!$O$9:$O$1000)=$C139)*(Main!R$9:R$1000) ) +  ( SUMPRODUCT( ((Adders!$D$13:$D$101)=$E139)*((Adders!$E$13:$E$101)=$F139)*(Adders!G$13:G$101)) + VLOOKUP($H139,Adders!$B$5:$G$8,L$11,FALSE)  +  OH!$D$2 ) * IF($D139="NJ",1.07,1))/$L$10, CHOOSE($M$10,$L$9,$M$9) )</f>
        <v xml:space="preserve"> 61.53 </v>
      </c>
      <c r="J139" s="176" t="str">
        <f>TEXT(   (SUMPRODUCT( ((Main!$H$9:$H$1000)=$E139)*((Main!$J$9:$J$1000)=$F139)*((Main!$O$9:$O$1000)=$C139)*(Main!S$9:S$1000) ) +  ( SUMPRODUCT( ((Adders!$D$13:$D$101)=$E139)*((Adders!$E$13:$E$101)=$F139)*(Adders!H$13:H$101)) + VLOOKUP($H139,Adders!$B$5:$G$8,M$11,FALSE)  +  OH!$D$2 ) * IF($D139="NJ",1.07,1))/$L$10, CHOOSE($M$10,$L$9,$M$9) )</f>
        <v xml:space="preserve"> 60.36 </v>
      </c>
      <c r="K139" s="177" t="str">
        <f>TEXT(   (SUMPRODUCT( ((Main!$H$9:$H$1000)=$E139)*((Main!$J$9:$J$1000)=$F139)*((Main!$O$9:$O$1000)=$C139)*(Main!T$9:T$1000) ) +  ( SUMPRODUCT( ((Adders!$D$13:$D$101)=$E139)*((Adders!$E$13:$E$101)=$F139)*(Adders!I$13:I$101)) + VLOOKUP($H139,Adders!$B$5:$G$8,$N$11,FALSE)  +  OH!$D$2 ) * IF($D139="NJ",1.07,1))/$L$10, CHOOSE($M$10,$L$9,$M$9) )</f>
        <v xml:space="preserve"> 61.21 </v>
      </c>
      <c r="L139" s="175" t="str">
        <f>TEXT(   (SUMPRODUCT( ((LMPMain!$H$9:$H$1000)=$E139)*((LMPMain!$J$9:$J$1000)=$F139)*((LMPMain!$O$9:$O$1000)=$C139)*(LMPMain!R$9:R$1000) ) +  ( SUMPRODUCT( ((Adders!$D$13:$D$101)=$E139)*((Adders!$E$13:$E$101)=$F139)*(Adders!F$13:F$101)) + VLOOKUP($H139,Adders!$B$5:$G$8,L$11,FALSE)  +  OH!$D$2 ) * IF($D139="NJ",1.07,1))/$L$10, CHOOSE($M$10,$L$9,$M$9) )</f>
        <v xml:space="preserve"> 20.53 </v>
      </c>
      <c r="M139" s="176" t="str">
        <f>TEXT(   (SUMPRODUCT( ((LMPMain!$H$9:$H$1000)=$E139)*((LMPMain!$J$9:$J$1000)=$F139)*((LMPMain!$O$9:$O$1000)=$C139)*(LMPMain!S$9:S$1000) ) +  ( SUMPRODUCT( ((Adders!$D$13:$D$101)=$E139)*((Adders!$E$13:$E$101)=$F139)*(Adders!G$13:G$101)) + VLOOKUP($H139,Adders!$B$5:$G$8,M$11,FALSE)  +  OH!$D$2 ) * IF($D139="NJ",1.07,1))/$L$10, CHOOSE($M$10,$L$9,$M$9) )</f>
        <v xml:space="preserve"> 18.72 </v>
      </c>
      <c r="N139" s="177" t="str">
        <f>TEXT(   (SUMPRODUCT( ((LMPMain!$H$9:$H$1000)=$E139)*((LMPMain!$J$9:$J$1000)=$F139)*((LMPMain!$O$9:$O$1000)=$C139)*(LMPMain!T$9:T$1000) ) +  ( SUMPRODUCT( ((Adders!$D$13:$D$101)=$E139)*((Adders!$E$13:$E$101)=$F139)*(Adders!H$13:H$101)) + VLOOKUP($H139,Adders!$B$5:$G$8,N$11,FALSE)  +  OH!$D$2 ) * IF($D139="NJ",1.07,1))/$L$10, CHOOSE($M$10,$L$9,$M$9) )</f>
        <v xml:space="preserve"> 19.64 </v>
      </c>
      <c r="O139" s="112"/>
    </row>
    <row r="140" spans="2:15" x14ac:dyDescent="0.25">
      <c r="B140" s="108"/>
      <c r="C140" s="127">
        <f t="shared" si="3"/>
        <v>42339</v>
      </c>
      <c r="D140" s="128" t="s">
        <v>20</v>
      </c>
      <c r="E140" s="129" t="s">
        <v>105</v>
      </c>
      <c r="F140" s="128" t="s">
        <v>22</v>
      </c>
      <c r="G140" s="129" t="str">
        <f t="shared" si="4"/>
        <v>Sec. Service</v>
      </c>
      <c r="H140" s="130" t="s">
        <v>61</v>
      </c>
      <c r="I140" s="180" t="str">
        <f>TEXT(   (SUMPRODUCT( ((Main!$H$9:$H$1000)=$E140)*((Main!$J$9:$J$1000)=$F140)*((Main!$O$9:$O$1000)=$C140)*(Main!R$9:R$1000) ) +  ( SUMPRODUCT( ((Adders!$D$13:$D$101)=$E140)*((Adders!$E$13:$E$101)=$F140)*(Adders!G$13:G$101)) + VLOOKUP($H140,Adders!$B$5:$G$8,L$11,FALSE)  +  OH!$D$2 ) * IF($D140="NJ",1.07,1))/$L$10, CHOOSE($M$10,$L$9,$M$9) )</f>
        <v xml:space="preserve"> 63.62 </v>
      </c>
      <c r="J140" s="178" t="str">
        <f>TEXT(   (SUMPRODUCT( ((Main!$H$9:$H$1000)=$E140)*((Main!$J$9:$J$1000)=$F140)*((Main!$O$9:$O$1000)=$C140)*(Main!S$9:S$1000) ) +  ( SUMPRODUCT( ((Adders!$D$13:$D$101)=$E140)*((Adders!$E$13:$E$101)=$F140)*(Adders!H$13:H$101)) + VLOOKUP($H140,Adders!$B$5:$G$8,M$11,FALSE)  +  OH!$D$2 ) * IF($D140="NJ",1.07,1))/$L$10, CHOOSE($M$10,$L$9,$M$9) )</f>
        <v xml:space="preserve"> 63.09 </v>
      </c>
      <c r="K140" s="179" t="str">
        <f>TEXT(   (SUMPRODUCT( ((Main!$H$9:$H$1000)=$E140)*((Main!$J$9:$J$1000)=$F140)*((Main!$O$9:$O$1000)=$C140)*(Main!T$9:T$1000) ) +  ( SUMPRODUCT( ((Adders!$D$13:$D$101)=$E140)*((Adders!$E$13:$E$101)=$F140)*(Adders!I$13:I$101)) + VLOOKUP($H140,Adders!$B$5:$G$8,$N$11,FALSE)  +  OH!$D$2 ) * IF($D140="NJ",1.07,1))/$L$10, CHOOSE($M$10,$L$9,$M$9) )</f>
        <v xml:space="preserve"> 63.88 </v>
      </c>
      <c r="L140" s="180" t="str">
        <f>TEXT(   (SUMPRODUCT( ((LMPMain!$H$9:$H$1000)=$E140)*((LMPMain!$J$9:$J$1000)=$F140)*((LMPMain!$O$9:$O$1000)=$C140)*(LMPMain!R$9:R$1000) ) +  ( SUMPRODUCT( ((Adders!$D$13:$D$101)=$E140)*((Adders!$E$13:$E$101)=$F140)*(Adders!F$13:F$101)) + VLOOKUP($H140,Adders!$B$5:$G$8,L$11,FALSE)  +  OH!$D$2 ) * IF($D140="NJ",1.07,1))/$L$10, CHOOSE($M$10,$L$9,$M$9) )</f>
        <v xml:space="preserve"> 22.53 </v>
      </c>
      <c r="M140" s="178" t="str">
        <f>TEXT(   (SUMPRODUCT( ((LMPMain!$H$9:$H$1000)=$E140)*((LMPMain!$J$9:$J$1000)=$F140)*((LMPMain!$O$9:$O$1000)=$C140)*(LMPMain!S$9:S$1000) ) +  ( SUMPRODUCT( ((Adders!$D$13:$D$101)=$E140)*((Adders!$E$13:$E$101)=$F140)*(Adders!G$13:G$101)) + VLOOKUP($H140,Adders!$B$5:$G$8,M$11,FALSE)  +  OH!$D$2 ) * IF($D140="NJ",1.07,1))/$L$10, CHOOSE($M$10,$L$9,$M$9) )</f>
        <v xml:space="preserve"> 21.11 </v>
      </c>
      <c r="N140" s="179" t="str">
        <f>TEXT(   (SUMPRODUCT( ((LMPMain!$H$9:$H$1000)=$E140)*((LMPMain!$J$9:$J$1000)=$F140)*((LMPMain!$O$9:$O$1000)=$C140)*(LMPMain!T$9:T$1000) ) +  ( SUMPRODUCT( ((Adders!$D$13:$D$101)=$E140)*((Adders!$E$13:$E$101)=$F140)*(Adders!H$13:H$101)) + VLOOKUP($H140,Adders!$B$5:$G$8,N$11,FALSE)  +  OH!$D$2 ) * IF($D140="NJ",1.07,1))/$L$10, CHOOSE($M$10,$L$9,$M$9) )</f>
        <v xml:space="preserve"> 22.24 </v>
      </c>
      <c r="O140" s="112"/>
    </row>
    <row r="141" spans="2:15" x14ac:dyDescent="0.25">
      <c r="B141" s="108"/>
      <c r="C141" s="131">
        <f t="shared" si="3"/>
        <v>42339</v>
      </c>
      <c r="D141" s="132" t="s">
        <v>20</v>
      </c>
      <c r="E141" s="133" t="s">
        <v>105</v>
      </c>
      <c r="F141" s="132" t="s">
        <v>22</v>
      </c>
      <c r="G141" s="133" t="str">
        <f t="shared" si="4"/>
        <v>Sec. Service</v>
      </c>
      <c r="H141" s="134" t="s">
        <v>62</v>
      </c>
      <c r="I141" s="172" t="str">
        <f>TEXT(   (SUMPRODUCT( ((Main!$H$9:$H$1000)=$E141)*((Main!$J$9:$J$1000)=$F141)*((Main!$O$9:$O$1000)=$C141)*(Main!R$9:R$1000) ) +  ( SUMPRODUCT( ((Adders!$D$13:$D$101)=$E141)*((Adders!$E$13:$E$101)=$F141)*(Adders!G$13:G$101)) + VLOOKUP($H141,Adders!$B$5:$G$8,L$11,FALSE)  +  OH!$D$2 ) * IF($D141="NJ",1.07,1))/$L$10, CHOOSE($M$10,$L$9,$M$9) )</f>
        <v xml:space="preserve"> 62.02 </v>
      </c>
      <c r="J141" s="173" t="str">
        <f>TEXT(   (SUMPRODUCT( ((Main!$H$9:$H$1000)=$E141)*((Main!$J$9:$J$1000)=$F141)*((Main!$O$9:$O$1000)=$C141)*(Main!S$9:S$1000) ) +  ( SUMPRODUCT( ((Adders!$D$13:$D$101)=$E141)*((Adders!$E$13:$E$101)=$F141)*(Adders!H$13:H$101)) + VLOOKUP($H141,Adders!$B$5:$G$8,M$11,FALSE)  +  OH!$D$2 ) * IF($D141="NJ",1.07,1))/$L$10, CHOOSE($M$10,$L$9,$M$9) )</f>
        <v xml:space="preserve"> 61.49 </v>
      </c>
      <c r="K141" s="174" t="str">
        <f>TEXT(   (SUMPRODUCT( ((Main!$H$9:$H$1000)=$E141)*((Main!$J$9:$J$1000)=$F141)*((Main!$O$9:$O$1000)=$C141)*(Main!T$9:T$1000) ) +  ( SUMPRODUCT( ((Adders!$D$13:$D$101)=$E141)*((Adders!$E$13:$E$101)=$F141)*(Adders!I$13:I$101)) + VLOOKUP($H141,Adders!$B$5:$G$8,$N$11,FALSE)  +  OH!$D$2 ) * IF($D141="NJ",1.07,1))/$L$10, CHOOSE($M$10,$L$9,$M$9) )</f>
        <v xml:space="preserve"> 62.28 </v>
      </c>
      <c r="L141" s="172" t="str">
        <f>TEXT(   (SUMPRODUCT( ((LMPMain!$H$9:$H$1000)=$E141)*((LMPMain!$J$9:$J$1000)=$F141)*((LMPMain!$O$9:$O$1000)=$C141)*(LMPMain!R$9:R$1000) ) +  ( SUMPRODUCT( ((Adders!$D$13:$D$101)=$E141)*((Adders!$E$13:$E$101)=$F141)*(Adders!F$13:F$101)) + VLOOKUP($H141,Adders!$B$5:$G$8,L$11,FALSE)  +  OH!$D$2 ) * IF($D141="NJ",1.07,1))/$L$10, CHOOSE($M$10,$L$9,$M$9) )</f>
        <v xml:space="preserve"> 20.93 </v>
      </c>
      <c r="M141" s="173" t="str">
        <f>TEXT(   (SUMPRODUCT( ((LMPMain!$H$9:$H$1000)=$E141)*((LMPMain!$J$9:$J$1000)=$F141)*((LMPMain!$O$9:$O$1000)=$C141)*(LMPMain!S$9:S$1000) ) +  ( SUMPRODUCT( ((Adders!$D$13:$D$101)=$E141)*((Adders!$E$13:$E$101)=$F141)*(Adders!G$13:G$101)) + VLOOKUP($H141,Adders!$B$5:$G$8,M$11,FALSE)  +  OH!$D$2 ) * IF($D141="NJ",1.07,1))/$L$10, CHOOSE($M$10,$L$9,$M$9) )</f>
        <v xml:space="preserve"> 19.51 </v>
      </c>
      <c r="N141" s="174" t="str">
        <f>TEXT(   (SUMPRODUCT( ((LMPMain!$H$9:$H$1000)=$E141)*((LMPMain!$J$9:$J$1000)=$F141)*((LMPMain!$O$9:$O$1000)=$C141)*(LMPMain!T$9:T$1000) ) +  ( SUMPRODUCT( ((Adders!$D$13:$D$101)=$E141)*((Adders!$E$13:$E$101)=$F141)*(Adders!H$13:H$101)) + VLOOKUP($H141,Adders!$B$5:$G$8,N$11,FALSE)  +  OH!$D$2 ) * IF($D141="NJ",1.07,1))/$L$10, CHOOSE($M$10,$L$9,$M$9) )</f>
        <v xml:space="preserve"> 20.64 </v>
      </c>
      <c r="O141" s="112"/>
    </row>
    <row r="142" spans="2:15" x14ac:dyDescent="0.25">
      <c r="B142" s="108"/>
      <c r="C142" s="135">
        <f t="shared" si="3"/>
        <v>42339</v>
      </c>
      <c r="D142" s="136" t="s">
        <v>20</v>
      </c>
      <c r="E142" s="137" t="s">
        <v>105</v>
      </c>
      <c r="F142" s="136" t="s">
        <v>22</v>
      </c>
      <c r="G142" s="137" t="str">
        <f t="shared" si="4"/>
        <v>Sec. Service</v>
      </c>
      <c r="H142" s="138" t="s">
        <v>690</v>
      </c>
      <c r="I142" s="175" t="str">
        <f>TEXT(   (SUMPRODUCT( ((Main!$H$9:$H$1000)=$E142)*((Main!$J$9:$J$1000)=$F142)*((Main!$O$9:$O$1000)=$C142)*(Main!R$9:R$1000) ) +  ( SUMPRODUCT( ((Adders!$D$13:$D$101)=$E142)*((Adders!$E$13:$E$101)=$F142)*(Adders!G$13:G$101)) + VLOOKUP($H142,Adders!$B$5:$G$8,L$11,FALSE)  +  OH!$D$2 ) * IF($D142="NJ",1.07,1))/$L$10, CHOOSE($M$10,$L$9,$M$9) )</f>
        <v xml:space="preserve"> 60.97 </v>
      </c>
      <c r="J142" s="176" t="str">
        <f>TEXT(   (SUMPRODUCT( ((Main!$H$9:$H$1000)=$E142)*((Main!$J$9:$J$1000)=$F142)*((Main!$O$9:$O$1000)=$C142)*(Main!S$9:S$1000) ) +  ( SUMPRODUCT( ((Adders!$D$13:$D$101)=$E142)*((Adders!$E$13:$E$101)=$F142)*(Adders!H$13:H$101)) + VLOOKUP($H142,Adders!$B$5:$G$8,M$11,FALSE)  +  OH!$D$2 ) * IF($D142="NJ",1.07,1))/$L$10, CHOOSE($M$10,$L$9,$M$9) )</f>
        <v xml:space="preserve"> 60.44 </v>
      </c>
      <c r="K142" s="177" t="str">
        <f>TEXT(   (SUMPRODUCT( ((Main!$H$9:$H$1000)=$E142)*((Main!$J$9:$J$1000)=$F142)*((Main!$O$9:$O$1000)=$C142)*(Main!T$9:T$1000) ) +  ( SUMPRODUCT( ((Adders!$D$13:$D$101)=$E142)*((Adders!$E$13:$E$101)=$F142)*(Adders!I$13:I$101)) + VLOOKUP($H142,Adders!$B$5:$G$8,$N$11,FALSE)  +  OH!$D$2 ) * IF($D142="NJ",1.07,1))/$L$10, CHOOSE($M$10,$L$9,$M$9) )</f>
        <v xml:space="preserve"> 61.23 </v>
      </c>
      <c r="L142" s="175" t="str">
        <f>TEXT(   (SUMPRODUCT( ((LMPMain!$H$9:$H$1000)=$E142)*((LMPMain!$J$9:$J$1000)=$F142)*((LMPMain!$O$9:$O$1000)=$C142)*(LMPMain!R$9:R$1000) ) +  ( SUMPRODUCT( ((Adders!$D$13:$D$101)=$E142)*((Adders!$E$13:$E$101)=$F142)*(Adders!F$13:F$101)) + VLOOKUP($H142,Adders!$B$5:$G$8,L$11,FALSE)  +  OH!$D$2 ) * IF($D142="NJ",1.07,1))/$L$10, CHOOSE($M$10,$L$9,$M$9) )</f>
        <v xml:space="preserve"> 19.88 </v>
      </c>
      <c r="M142" s="176" t="str">
        <f>TEXT(   (SUMPRODUCT( ((LMPMain!$H$9:$H$1000)=$E142)*((LMPMain!$J$9:$J$1000)=$F142)*((LMPMain!$O$9:$O$1000)=$C142)*(LMPMain!S$9:S$1000) ) +  ( SUMPRODUCT( ((Adders!$D$13:$D$101)=$E142)*((Adders!$E$13:$E$101)=$F142)*(Adders!G$13:G$101)) + VLOOKUP($H142,Adders!$B$5:$G$8,M$11,FALSE)  +  OH!$D$2 ) * IF($D142="NJ",1.07,1))/$L$10, CHOOSE($M$10,$L$9,$M$9) )</f>
        <v xml:space="preserve"> 18.46 </v>
      </c>
      <c r="N142" s="177" t="str">
        <f>TEXT(   (SUMPRODUCT( ((LMPMain!$H$9:$H$1000)=$E142)*((LMPMain!$J$9:$J$1000)=$F142)*((LMPMain!$O$9:$O$1000)=$C142)*(LMPMain!T$9:T$1000) ) +  ( SUMPRODUCT( ((Adders!$D$13:$D$101)=$E142)*((Adders!$E$13:$E$101)=$F142)*(Adders!H$13:H$101)) + VLOOKUP($H142,Adders!$B$5:$G$8,N$11,FALSE)  +  OH!$D$2 ) * IF($D142="NJ",1.07,1))/$L$10, CHOOSE($M$10,$L$9,$M$9) )</f>
        <v xml:space="preserve"> 19.59 </v>
      </c>
      <c r="O142" s="112"/>
    </row>
    <row r="143" spans="2:15" x14ac:dyDescent="0.25">
      <c r="B143" s="108"/>
      <c r="C143" s="127">
        <f t="shared" si="3"/>
        <v>42370</v>
      </c>
      <c r="D143" s="128" t="s">
        <v>20</v>
      </c>
      <c r="E143" s="129" t="s">
        <v>105</v>
      </c>
      <c r="F143" s="128" t="s">
        <v>22</v>
      </c>
      <c r="G143" s="129" t="str">
        <f t="shared" si="4"/>
        <v>Sec. Service</v>
      </c>
      <c r="H143" s="130" t="s">
        <v>61</v>
      </c>
      <c r="I143" s="180" t="str">
        <f>TEXT(   (SUMPRODUCT( ((Main!$H$9:$H$1000)=$E143)*((Main!$J$9:$J$1000)=$F143)*((Main!$O$9:$O$1000)=$C143)*(Main!R$9:R$1000) ) +  ( SUMPRODUCT( ((Adders!$D$13:$D$101)=$E143)*((Adders!$E$13:$E$101)=$F143)*(Adders!G$13:G$101)) + VLOOKUP($H143,Adders!$B$5:$G$8,L$11,FALSE)  +  OH!$D$2 ) * IF($D143="NJ",1.07,1))/$L$10, CHOOSE($M$10,$L$9,$M$9) )</f>
        <v xml:space="preserve"> 62.85 </v>
      </c>
      <c r="J143" s="178" t="str">
        <f>TEXT(   (SUMPRODUCT( ((Main!$H$9:$H$1000)=$E143)*((Main!$J$9:$J$1000)=$F143)*((Main!$O$9:$O$1000)=$C143)*(Main!S$9:S$1000) ) +  ( SUMPRODUCT( ((Adders!$D$13:$D$101)=$E143)*((Adders!$E$13:$E$101)=$F143)*(Adders!H$13:H$101)) + VLOOKUP($H143,Adders!$B$5:$G$8,M$11,FALSE)  +  OH!$D$2 ) * IF($D143="NJ",1.07,1))/$L$10, CHOOSE($M$10,$L$9,$M$9) )</f>
        <v xml:space="preserve"> 63.15 </v>
      </c>
      <c r="K143" s="179" t="str">
        <f>TEXT(   (SUMPRODUCT( ((Main!$H$9:$H$1000)=$E143)*((Main!$J$9:$J$1000)=$F143)*((Main!$O$9:$O$1000)=$C143)*(Main!T$9:T$1000) ) +  ( SUMPRODUCT( ((Adders!$D$13:$D$101)=$E143)*((Adders!$E$13:$E$101)=$F143)*(Adders!I$13:I$101)) + VLOOKUP($H143,Adders!$B$5:$G$8,$N$11,FALSE)  +  OH!$D$2 ) * IF($D143="NJ",1.07,1))/$L$10, CHOOSE($M$10,$L$9,$M$9) )</f>
        <v xml:space="preserve"> 63.81 </v>
      </c>
      <c r="L143" s="180" t="str">
        <f>TEXT(   (SUMPRODUCT( ((LMPMain!$H$9:$H$1000)=$E143)*((LMPMain!$J$9:$J$1000)=$F143)*((LMPMain!$O$9:$O$1000)=$C143)*(LMPMain!R$9:R$1000) ) +  ( SUMPRODUCT( ((Adders!$D$13:$D$101)=$E143)*((Adders!$E$13:$E$101)=$F143)*(Adders!F$13:F$101)) + VLOOKUP($H143,Adders!$B$5:$G$8,L$11,FALSE)  +  OH!$D$2 ) * IF($D143="NJ",1.07,1))/$L$10, CHOOSE($M$10,$L$9,$M$9) )</f>
        <v xml:space="preserve"> 21.84 </v>
      </c>
      <c r="M143" s="178" t="str">
        <f>TEXT(   (SUMPRODUCT( ((LMPMain!$H$9:$H$1000)=$E143)*((LMPMain!$J$9:$J$1000)=$F143)*((LMPMain!$O$9:$O$1000)=$C143)*(LMPMain!S$9:S$1000) ) +  ( SUMPRODUCT( ((Adders!$D$13:$D$101)=$E143)*((Adders!$E$13:$E$101)=$F143)*(Adders!G$13:G$101)) + VLOOKUP($H143,Adders!$B$5:$G$8,M$11,FALSE)  +  OH!$D$2 ) * IF($D143="NJ",1.07,1))/$L$10, CHOOSE($M$10,$L$9,$M$9) )</f>
        <v xml:space="preserve"> 20.96 </v>
      </c>
      <c r="N143" s="179" t="str">
        <f>TEXT(   (SUMPRODUCT( ((LMPMain!$H$9:$H$1000)=$E143)*((LMPMain!$J$9:$J$1000)=$F143)*((LMPMain!$O$9:$O$1000)=$C143)*(LMPMain!T$9:T$1000) ) +  ( SUMPRODUCT( ((Adders!$D$13:$D$101)=$E143)*((Adders!$E$13:$E$101)=$F143)*(Adders!H$13:H$101)) + VLOOKUP($H143,Adders!$B$5:$G$8,N$11,FALSE)  +  OH!$D$2 ) * IF($D143="NJ",1.07,1))/$L$10, CHOOSE($M$10,$L$9,$M$9) )</f>
        <v xml:space="preserve"> 22.19 </v>
      </c>
      <c r="O143" s="112"/>
    </row>
    <row r="144" spans="2:15" x14ac:dyDescent="0.25">
      <c r="B144" s="108"/>
      <c r="C144" s="131">
        <f t="shared" si="3"/>
        <v>42370</v>
      </c>
      <c r="D144" s="132" t="s">
        <v>20</v>
      </c>
      <c r="E144" s="133" t="s">
        <v>105</v>
      </c>
      <c r="F144" s="132" t="s">
        <v>22</v>
      </c>
      <c r="G144" s="133" t="str">
        <f t="shared" si="4"/>
        <v>Sec. Service</v>
      </c>
      <c r="H144" s="134" t="s">
        <v>62</v>
      </c>
      <c r="I144" s="172" t="str">
        <f>TEXT(   (SUMPRODUCT( ((Main!$H$9:$H$1000)=$E144)*((Main!$J$9:$J$1000)=$F144)*((Main!$O$9:$O$1000)=$C144)*(Main!R$9:R$1000) ) +  ( SUMPRODUCT( ((Adders!$D$13:$D$101)=$E144)*((Adders!$E$13:$E$101)=$F144)*(Adders!G$13:G$101)) + VLOOKUP($H144,Adders!$B$5:$G$8,L$11,FALSE)  +  OH!$D$2 ) * IF($D144="NJ",1.07,1))/$L$10, CHOOSE($M$10,$L$9,$M$9) )</f>
        <v xml:space="preserve"> 61.25 </v>
      </c>
      <c r="J144" s="173" t="str">
        <f>TEXT(   (SUMPRODUCT( ((Main!$H$9:$H$1000)=$E144)*((Main!$J$9:$J$1000)=$F144)*((Main!$O$9:$O$1000)=$C144)*(Main!S$9:S$1000) ) +  ( SUMPRODUCT( ((Adders!$D$13:$D$101)=$E144)*((Adders!$E$13:$E$101)=$F144)*(Adders!H$13:H$101)) + VLOOKUP($H144,Adders!$B$5:$G$8,M$11,FALSE)  +  OH!$D$2 ) * IF($D144="NJ",1.07,1))/$L$10, CHOOSE($M$10,$L$9,$M$9) )</f>
        <v xml:space="preserve"> 61.55 </v>
      </c>
      <c r="K144" s="174" t="str">
        <f>TEXT(   (SUMPRODUCT( ((Main!$H$9:$H$1000)=$E144)*((Main!$J$9:$J$1000)=$F144)*((Main!$O$9:$O$1000)=$C144)*(Main!T$9:T$1000) ) +  ( SUMPRODUCT( ((Adders!$D$13:$D$101)=$E144)*((Adders!$E$13:$E$101)=$F144)*(Adders!I$13:I$101)) + VLOOKUP($H144,Adders!$B$5:$G$8,$N$11,FALSE)  +  OH!$D$2 ) * IF($D144="NJ",1.07,1))/$L$10, CHOOSE($M$10,$L$9,$M$9) )</f>
        <v xml:space="preserve"> 62.21 </v>
      </c>
      <c r="L144" s="172" t="str">
        <f>TEXT(   (SUMPRODUCT( ((LMPMain!$H$9:$H$1000)=$E144)*((LMPMain!$J$9:$J$1000)=$F144)*((LMPMain!$O$9:$O$1000)=$C144)*(LMPMain!R$9:R$1000) ) +  ( SUMPRODUCT( ((Adders!$D$13:$D$101)=$E144)*((Adders!$E$13:$E$101)=$F144)*(Adders!F$13:F$101)) + VLOOKUP($H144,Adders!$B$5:$G$8,L$11,FALSE)  +  OH!$D$2 ) * IF($D144="NJ",1.07,1))/$L$10, CHOOSE($M$10,$L$9,$M$9) )</f>
        <v xml:space="preserve"> 20.24 </v>
      </c>
      <c r="M144" s="173" t="str">
        <f>TEXT(   (SUMPRODUCT( ((LMPMain!$H$9:$H$1000)=$E144)*((LMPMain!$J$9:$J$1000)=$F144)*((LMPMain!$O$9:$O$1000)=$C144)*(LMPMain!S$9:S$1000) ) +  ( SUMPRODUCT( ((Adders!$D$13:$D$101)=$E144)*((Adders!$E$13:$E$101)=$F144)*(Adders!G$13:G$101)) + VLOOKUP($H144,Adders!$B$5:$G$8,M$11,FALSE)  +  OH!$D$2 ) * IF($D144="NJ",1.07,1))/$L$10, CHOOSE($M$10,$L$9,$M$9) )</f>
        <v xml:space="preserve"> 19.36 </v>
      </c>
      <c r="N144" s="174" t="str">
        <f>TEXT(   (SUMPRODUCT( ((LMPMain!$H$9:$H$1000)=$E144)*((LMPMain!$J$9:$J$1000)=$F144)*((LMPMain!$O$9:$O$1000)=$C144)*(LMPMain!T$9:T$1000) ) +  ( SUMPRODUCT( ((Adders!$D$13:$D$101)=$E144)*((Adders!$E$13:$E$101)=$F144)*(Adders!H$13:H$101)) + VLOOKUP($H144,Adders!$B$5:$G$8,N$11,FALSE)  +  OH!$D$2 ) * IF($D144="NJ",1.07,1))/$L$10, CHOOSE($M$10,$L$9,$M$9) )</f>
        <v xml:space="preserve"> 20.59 </v>
      </c>
      <c r="O144" s="112"/>
    </row>
    <row r="145" spans="2:15" x14ac:dyDescent="0.25">
      <c r="B145" s="108"/>
      <c r="C145" s="135">
        <f t="shared" si="3"/>
        <v>42370</v>
      </c>
      <c r="D145" s="136" t="s">
        <v>20</v>
      </c>
      <c r="E145" s="137" t="s">
        <v>105</v>
      </c>
      <c r="F145" s="136" t="s">
        <v>22</v>
      </c>
      <c r="G145" s="137" t="str">
        <f t="shared" si="4"/>
        <v>Sec. Service</v>
      </c>
      <c r="H145" s="138" t="s">
        <v>690</v>
      </c>
      <c r="I145" s="175" t="str">
        <f>TEXT(   (SUMPRODUCT( ((Main!$H$9:$H$1000)=$E145)*((Main!$J$9:$J$1000)=$F145)*((Main!$O$9:$O$1000)=$C145)*(Main!R$9:R$1000) ) +  ( SUMPRODUCT( ((Adders!$D$13:$D$101)=$E145)*((Adders!$E$13:$E$101)=$F145)*(Adders!G$13:G$101)) + VLOOKUP($H145,Adders!$B$5:$G$8,L$11,FALSE)  +  OH!$D$2 ) * IF($D145="NJ",1.07,1))/$L$10, CHOOSE($M$10,$L$9,$M$9) )</f>
        <v xml:space="preserve"> 60.20 </v>
      </c>
      <c r="J145" s="176" t="str">
        <f>TEXT(   (SUMPRODUCT( ((Main!$H$9:$H$1000)=$E145)*((Main!$J$9:$J$1000)=$F145)*((Main!$O$9:$O$1000)=$C145)*(Main!S$9:S$1000) ) +  ( SUMPRODUCT( ((Adders!$D$13:$D$101)=$E145)*((Adders!$E$13:$E$101)=$F145)*(Adders!H$13:H$101)) + VLOOKUP($H145,Adders!$B$5:$G$8,M$11,FALSE)  +  OH!$D$2 ) * IF($D145="NJ",1.07,1))/$L$10, CHOOSE($M$10,$L$9,$M$9) )</f>
        <v xml:space="preserve"> 60.50 </v>
      </c>
      <c r="K145" s="177" t="str">
        <f>TEXT(   (SUMPRODUCT( ((Main!$H$9:$H$1000)=$E145)*((Main!$J$9:$J$1000)=$F145)*((Main!$O$9:$O$1000)=$C145)*(Main!T$9:T$1000) ) +  ( SUMPRODUCT( ((Adders!$D$13:$D$101)=$E145)*((Adders!$E$13:$E$101)=$F145)*(Adders!I$13:I$101)) + VLOOKUP($H145,Adders!$B$5:$G$8,$N$11,FALSE)  +  OH!$D$2 ) * IF($D145="NJ",1.07,1))/$L$10, CHOOSE($M$10,$L$9,$M$9) )</f>
        <v xml:space="preserve"> 61.16 </v>
      </c>
      <c r="L145" s="175" t="str">
        <f>TEXT(   (SUMPRODUCT( ((LMPMain!$H$9:$H$1000)=$E145)*((LMPMain!$J$9:$J$1000)=$F145)*((LMPMain!$O$9:$O$1000)=$C145)*(LMPMain!R$9:R$1000) ) +  ( SUMPRODUCT( ((Adders!$D$13:$D$101)=$E145)*((Adders!$E$13:$E$101)=$F145)*(Adders!F$13:F$101)) + VLOOKUP($H145,Adders!$B$5:$G$8,L$11,FALSE)  +  OH!$D$2 ) * IF($D145="NJ",1.07,1))/$L$10, CHOOSE($M$10,$L$9,$M$9) )</f>
        <v xml:space="preserve"> 19.19 </v>
      </c>
      <c r="M145" s="176" t="str">
        <f>TEXT(   (SUMPRODUCT( ((LMPMain!$H$9:$H$1000)=$E145)*((LMPMain!$J$9:$J$1000)=$F145)*((LMPMain!$O$9:$O$1000)=$C145)*(LMPMain!S$9:S$1000) ) +  ( SUMPRODUCT( ((Adders!$D$13:$D$101)=$E145)*((Adders!$E$13:$E$101)=$F145)*(Adders!G$13:G$101)) + VLOOKUP($H145,Adders!$B$5:$G$8,M$11,FALSE)  +  OH!$D$2 ) * IF($D145="NJ",1.07,1))/$L$10, CHOOSE($M$10,$L$9,$M$9) )</f>
        <v xml:space="preserve"> 18.31 </v>
      </c>
      <c r="N145" s="177" t="str">
        <f>TEXT(   (SUMPRODUCT( ((LMPMain!$H$9:$H$1000)=$E145)*((LMPMain!$J$9:$J$1000)=$F145)*((LMPMain!$O$9:$O$1000)=$C145)*(LMPMain!T$9:T$1000) ) +  ( SUMPRODUCT( ((Adders!$D$13:$D$101)=$E145)*((Adders!$E$13:$E$101)=$F145)*(Adders!H$13:H$101)) + VLOOKUP($H145,Adders!$B$5:$G$8,N$11,FALSE)  +  OH!$D$2 ) * IF($D145="NJ",1.07,1))/$L$10, CHOOSE($M$10,$L$9,$M$9) )</f>
        <v xml:space="preserve"> 19.54 </v>
      </c>
      <c r="O145" s="112"/>
    </row>
    <row r="146" spans="2:15" x14ac:dyDescent="0.25">
      <c r="B146" s="108"/>
      <c r="C146" s="127">
        <f t="shared" si="3"/>
        <v>42401</v>
      </c>
      <c r="D146" s="128" t="s">
        <v>20</v>
      </c>
      <c r="E146" s="129" t="s">
        <v>105</v>
      </c>
      <c r="F146" s="128" t="s">
        <v>22</v>
      </c>
      <c r="G146" s="129" t="str">
        <f t="shared" si="4"/>
        <v>Sec. Service</v>
      </c>
      <c r="H146" s="130" t="s">
        <v>61</v>
      </c>
      <c r="I146" s="180" t="str">
        <f>TEXT(   (SUMPRODUCT( ((Main!$H$9:$H$1000)=$E146)*((Main!$J$9:$J$1000)=$F146)*((Main!$O$9:$O$1000)=$C146)*(Main!R$9:R$1000) ) +  ( SUMPRODUCT( ((Adders!$D$13:$D$101)=$E146)*((Adders!$E$13:$E$101)=$F146)*(Adders!G$13:G$101)) + VLOOKUP($H146,Adders!$B$5:$G$8,L$11,FALSE)  +  OH!$D$2 ) * IF($D146="NJ",1.07,1))/$L$10, CHOOSE($M$10,$L$9,$M$9) )</f>
        <v xml:space="preserve"> 62.51 </v>
      </c>
      <c r="J146" s="178" t="str">
        <f>TEXT(   (SUMPRODUCT( ((Main!$H$9:$H$1000)=$E146)*((Main!$J$9:$J$1000)=$F146)*((Main!$O$9:$O$1000)=$C146)*(Main!S$9:S$1000) ) +  ( SUMPRODUCT( ((Adders!$D$13:$D$101)=$E146)*((Adders!$E$13:$E$101)=$F146)*(Adders!H$13:H$101)) + VLOOKUP($H146,Adders!$B$5:$G$8,M$11,FALSE)  +  OH!$D$2 ) * IF($D146="NJ",1.07,1))/$L$10, CHOOSE($M$10,$L$9,$M$9) )</f>
        <v xml:space="preserve"> 63.27 </v>
      </c>
      <c r="K146" s="179" t="str">
        <f>TEXT(   (SUMPRODUCT( ((Main!$H$9:$H$1000)=$E146)*((Main!$J$9:$J$1000)=$F146)*((Main!$O$9:$O$1000)=$C146)*(Main!T$9:T$1000) ) +  ( SUMPRODUCT( ((Adders!$D$13:$D$101)=$E146)*((Adders!$E$13:$E$101)=$F146)*(Adders!I$13:I$101)) + VLOOKUP($H146,Adders!$B$5:$G$8,$N$11,FALSE)  +  OH!$D$2 ) * IF($D146="NJ",1.07,1))/$L$10, CHOOSE($M$10,$L$9,$M$9) )</f>
        <v xml:space="preserve"> 63.99 </v>
      </c>
      <c r="L146" s="180" t="str">
        <f>TEXT(   (SUMPRODUCT( ((LMPMain!$H$9:$H$1000)=$E146)*((LMPMain!$J$9:$J$1000)=$F146)*((LMPMain!$O$9:$O$1000)=$C146)*(LMPMain!R$9:R$1000) ) +  ( SUMPRODUCT( ((Adders!$D$13:$D$101)=$E146)*((Adders!$E$13:$E$101)=$F146)*(Adders!F$13:F$101)) + VLOOKUP($H146,Adders!$B$5:$G$8,L$11,FALSE)  +  OH!$D$2 ) * IF($D146="NJ",1.07,1))/$L$10, CHOOSE($M$10,$L$9,$M$9) )</f>
        <v xml:space="preserve"> 21.17 </v>
      </c>
      <c r="M146" s="178" t="str">
        <f>TEXT(   (SUMPRODUCT( ((LMPMain!$H$9:$H$1000)=$E146)*((LMPMain!$J$9:$J$1000)=$F146)*((LMPMain!$O$9:$O$1000)=$C146)*(LMPMain!S$9:S$1000) ) +  ( SUMPRODUCT( ((Adders!$D$13:$D$101)=$E146)*((Adders!$E$13:$E$101)=$F146)*(Adders!G$13:G$101)) + VLOOKUP($H146,Adders!$B$5:$G$8,M$11,FALSE)  +  OH!$D$2 ) * IF($D146="NJ",1.07,1))/$L$10, CHOOSE($M$10,$L$9,$M$9) )</f>
        <v xml:space="preserve"> 21.15 </v>
      </c>
      <c r="N146" s="179" t="str">
        <f>TEXT(   (SUMPRODUCT( ((LMPMain!$H$9:$H$1000)=$E146)*((LMPMain!$J$9:$J$1000)=$F146)*((LMPMain!$O$9:$O$1000)=$C146)*(LMPMain!T$9:T$1000) ) +  ( SUMPRODUCT( ((Adders!$D$13:$D$101)=$E146)*((Adders!$E$13:$E$101)=$F146)*(Adders!H$13:H$101)) + VLOOKUP($H146,Adders!$B$5:$G$8,N$11,FALSE)  +  OH!$D$2 ) * IF($D146="NJ",1.07,1))/$L$10, CHOOSE($M$10,$L$9,$M$9) )</f>
        <v xml:space="preserve"> 22.14 </v>
      </c>
      <c r="O146" s="112"/>
    </row>
    <row r="147" spans="2:15" x14ac:dyDescent="0.25">
      <c r="B147" s="108"/>
      <c r="C147" s="131">
        <f t="shared" si="3"/>
        <v>42401</v>
      </c>
      <c r="D147" s="132" t="s">
        <v>20</v>
      </c>
      <c r="E147" s="133" t="s">
        <v>105</v>
      </c>
      <c r="F147" s="132" t="s">
        <v>22</v>
      </c>
      <c r="G147" s="133" t="str">
        <f t="shared" si="4"/>
        <v>Sec. Service</v>
      </c>
      <c r="H147" s="134" t="s">
        <v>62</v>
      </c>
      <c r="I147" s="172" t="str">
        <f>TEXT(   (SUMPRODUCT( ((Main!$H$9:$H$1000)=$E147)*((Main!$J$9:$J$1000)=$F147)*((Main!$O$9:$O$1000)=$C147)*(Main!R$9:R$1000) ) +  ( SUMPRODUCT( ((Adders!$D$13:$D$101)=$E147)*((Adders!$E$13:$E$101)=$F147)*(Adders!G$13:G$101)) + VLOOKUP($H147,Adders!$B$5:$G$8,L$11,FALSE)  +  OH!$D$2 ) * IF($D147="NJ",1.07,1))/$L$10, CHOOSE($M$10,$L$9,$M$9) )</f>
        <v xml:space="preserve"> 60.91 </v>
      </c>
      <c r="J147" s="173" t="str">
        <f>TEXT(   (SUMPRODUCT( ((Main!$H$9:$H$1000)=$E147)*((Main!$J$9:$J$1000)=$F147)*((Main!$O$9:$O$1000)=$C147)*(Main!S$9:S$1000) ) +  ( SUMPRODUCT( ((Adders!$D$13:$D$101)=$E147)*((Adders!$E$13:$E$101)=$F147)*(Adders!H$13:H$101)) + VLOOKUP($H147,Adders!$B$5:$G$8,M$11,FALSE)  +  OH!$D$2 ) * IF($D147="NJ",1.07,1))/$L$10, CHOOSE($M$10,$L$9,$M$9) )</f>
        <v xml:space="preserve"> 61.67 </v>
      </c>
      <c r="K147" s="174" t="str">
        <f>TEXT(   (SUMPRODUCT( ((Main!$H$9:$H$1000)=$E147)*((Main!$J$9:$J$1000)=$F147)*((Main!$O$9:$O$1000)=$C147)*(Main!T$9:T$1000) ) +  ( SUMPRODUCT( ((Adders!$D$13:$D$101)=$E147)*((Adders!$E$13:$E$101)=$F147)*(Adders!I$13:I$101)) + VLOOKUP($H147,Adders!$B$5:$G$8,$N$11,FALSE)  +  OH!$D$2 ) * IF($D147="NJ",1.07,1))/$L$10, CHOOSE($M$10,$L$9,$M$9) )</f>
        <v xml:space="preserve"> 62.39 </v>
      </c>
      <c r="L147" s="172" t="str">
        <f>TEXT(   (SUMPRODUCT( ((LMPMain!$H$9:$H$1000)=$E147)*((LMPMain!$J$9:$J$1000)=$F147)*((LMPMain!$O$9:$O$1000)=$C147)*(LMPMain!R$9:R$1000) ) +  ( SUMPRODUCT( ((Adders!$D$13:$D$101)=$E147)*((Adders!$E$13:$E$101)=$F147)*(Adders!F$13:F$101)) + VLOOKUP($H147,Adders!$B$5:$G$8,L$11,FALSE)  +  OH!$D$2 ) * IF($D147="NJ",1.07,1))/$L$10, CHOOSE($M$10,$L$9,$M$9) )</f>
        <v xml:space="preserve"> 19.57 </v>
      </c>
      <c r="M147" s="173" t="str">
        <f>TEXT(   (SUMPRODUCT( ((LMPMain!$H$9:$H$1000)=$E147)*((LMPMain!$J$9:$J$1000)=$F147)*((LMPMain!$O$9:$O$1000)=$C147)*(LMPMain!S$9:S$1000) ) +  ( SUMPRODUCT( ((Adders!$D$13:$D$101)=$E147)*((Adders!$E$13:$E$101)=$F147)*(Adders!G$13:G$101)) + VLOOKUP($H147,Adders!$B$5:$G$8,M$11,FALSE)  +  OH!$D$2 ) * IF($D147="NJ",1.07,1))/$L$10, CHOOSE($M$10,$L$9,$M$9) )</f>
        <v xml:space="preserve"> 19.55 </v>
      </c>
      <c r="N147" s="174" t="str">
        <f>TEXT(   (SUMPRODUCT( ((LMPMain!$H$9:$H$1000)=$E147)*((LMPMain!$J$9:$J$1000)=$F147)*((LMPMain!$O$9:$O$1000)=$C147)*(LMPMain!T$9:T$1000) ) +  ( SUMPRODUCT( ((Adders!$D$13:$D$101)=$E147)*((Adders!$E$13:$E$101)=$F147)*(Adders!H$13:H$101)) + VLOOKUP($H147,Adders!$B$5:$G$8,N$11,FALSE)  +  OH!$D$2 ) * IF($D147="NJ",1.07,1))/$L$10, CHOOSE($M$10,$L$9,$M$9) )</f>
        <v xml:space="preserve"> 20.54 </v>
      </c>
      <c r="O147" s="112"/>
    </row>
    <row r="148" spans="2:15" x14ac:dyDescent="0.25">
      <c r="B148" s="108"/>
      <c r="C148" s="135">
        <f t="shared" si="3"/>
        <v>42401</v>
      </c>
      <c r="D148" s="136" t="s">
        <v>20</v>
      </c>
      <c r="E148" s="137" t="s">
        <v>105</v>
      </c>
      <c r="F148" s="136" t="s">
        <v>22</v>
      </c>
      <c r="G148" s="137" t="str">
        <f t="shared" si="4"/>
        <v>Sec. Service</v>
      </c>
      <c r="H148" s="138" t="s">
        <v>690</v>
      </c>
      <c r="I148" s="175" t="str">
        <f>TEXT(   (SUMPRODUCT( ((Main!$H$9:$H$1000)=$E148)*((Main!$J$9:$J$1000)=$F148)*((Main!$O$9:$O$1000)=$C148)*(Main!R$9:R$1000) ) +  ( SUMPRODUCT( ((Adders!$D$13:$D$101)=$E148)*((Adders!$E$13:$E$101)=$F148)*(Adders!G$13:G$101)) + VLOOKUP($H148,Adders!$B$5:$G$8,L$11,FALSE)  +  OH!$D$2 ) * IF($D148="NJ",1.07,1))/$L$10, CHOOSE($M$10,$L$9,$M$9) )</f>
        <v xml:space="preserve"> 59.86 </v>
      </c>
      <c r="J148" s="176" t="str">
        <f>TEXT(   (SUMPRODUCT( ((Main!$H$9:$H$1000)=$E148)*((Main!$J$9:$J$1000)=$F148)*((Main!$O$9:$O$1000)=$C148)*(Main!S$9:S$1000) ) +  ( SUMPRODUCT( ((Adders!$D$13:$D$101)=$E148)*((Adders!$E$13:$E$101)=$F148)*(Adders!H$13:H$101)) + VLOOKUP($H148,Adders!$B$5:$G$8,M$11,FALSE)  +  OH!$D$2 ) * IF($D148="NJ",1.07,1))/$L$10, CHOOSE($M$10,$L$9,$M$9) )</f>
        <v xml:space="preserve"> 60.62 </v>
      </c>
      <c r="K148" s="177" t="str">
        <f>TEXT(   (SUMPRODUCT( ((Main!$H$9:$H$1000)=$E148)*((Main!$J$9:$J$1000)=$F148)*((Main!$O$9:$O$1000)=$C148)*(Main!T$9:T$1000) ) +  ( SUMPRODUCT( ((Adders!$D$13:$D$101)=$E148)*((Adders!$E$13:$E$101)=$F148)*(Adders!I$13:I$101)) + VLOOKUP($H148,Adders!$B$5:$G$8,$N$11,FALSE)  +  OH!$D$2 ) * IF($D148="NJ",1.07,1))/$L$10, CHOOSE($M$10,$L$9,$M$9) )</f>
        <v xml:space="preserve"> 61.34 </v>
      </c>
      <c r="L148" s="175" t="str">
        <f>TEXT(   (SUMPRODUCT( ((LMPMain!$H$9:$H$1000)=$E148)*((LMPMain!$J$9:$J$1000)=$F148)*((LMPMain!$O$9:$O$1000)=$C148)*(LMPMain!R$9:R$1000) ) +  ( SUMPRODUCT( ((Adders!$D$13:$D$101)=$E148)*((Adders!$E$13:$E$101)=$F148)*(Adders!F$13:F$101)) + VLOOKUP($H148,Adders!$B$5:$G$8,L$11,FALSE)  +  OH!$D$2 ) * IF($D148="NJ",1.07,1))/$L$10, CHOOSE($M$10,$L$9,$M$9) )</f>
        <v xml:space="preserve"> 18.52 </v>
      </c>
      <c r="M148" s="176" t="str">
        <f>TEXT(   (SUMPRODUCT( ((LMPMain!$H$9:$H$1000)=$E148)*((LMPMain!$J$9:$J$1000)=$F148)*((LMPMain!$O$9:$O$1000)=$C148)*(LMPMain!S$9:S$1000) ) +  ( SUMPRODUCT( ((Adders!$D$13:$D$101)=$E148)*((Adders!$E$13:$E$101)=$F148)*(Adders!G$13:G$101)) + VLOOKUP($H148,Adders!$B$5:$G$8,M$11,FALSE)  +  OH!$D$2 ) * IF($D148="NJ",1.07,1))/$L$10, CHOOSE($M$10,$L$9,$M$9) )</f>
        <v xml:space="preserve"> 18.50 </v>
      </c>
      <c r="N148" s="177" t="str">
        <f>TEXT(   (SUMPRODUCT( ((LMPMain!$H$9:$H$1000)=$E148)*((LMPMain!$J$9:$J$1000)=$F148)*((LMPMain!$O$9:$O$1000)=$C148)*(LMPMain!T$9:T$1000) ) +  ( SUMPRODUCT( ((Adders!$D$13:$D$101)=$E148)*((Adders!$E$13:$E$101)=$F148)*(Adders!H$13:H$101)) + VLOOKUP($H148,Adders!$B$5:$G$8,N$11,FALSE)  +  OH!$D$2 ) * IF($D148="NJ",1.07,1))/$L$10, CHOOSE($M$10,$L$9,$M$9) )</f>
        <v xml:space="preserve"> 19.49 </v>
      </c>
      <c r="O148" s="112"/>
    </row>
    <row r="149" spans="2:15" x14ac:dyDescent="0.25">
      <c r="B149" s="108"/>
      <c r="C149" s="127">
        <f t="shared" si="3"/>
        <v>42430</v>
      </c>
      <c r="D149" s="128" t="s">
        <v>20</v>
      </c>
      <c r="E149" s="129" t="s">
        <v>105</v>
      </c>
      <c r="F149" s="128" t="s">
        <v>22</v>
      </c>
      <c r="G149" s="129" t="str">
        <f t="shared" si="4"/>
        <v>Sec. Service</v>
      </c>
      <c r="H149" s="130" t="s">
        <v>61</v>
      </c>
      <c r="I149" s="180" t="str">
        <f>TEXT(   (SUMPRODUCT( ((Main!$H$9:$H$1000)=$E149)*((Main!$J$9:$J$1000)=$F149)*((Main!$O$9:$O$1000)=$C149)*(Main!R$9:R$1000) ) +  ( SUMPRODUCT( ((Adders!$D$13:$D$101)=$E149)*((Adders!$E$13:$E$101)=$F149)*(Adders!G$13:G$101)) + VLOOKUP($H149,Adders!$B$5:$G$8,L$11,FALSE)  +  OH!$D$2 ) * IF($D149="NJ",1.07,1))/$L$10, CHOOSE($M$10,$L$9,$M$9) )</f>
        <v xml:space="preserve"> 62.10 </v>
      </c>
      <c r="J149" s="178" t="str">
        <f>TEXT(   (SUMPRODUCT( ((Main!$H$9:$H$1000)=$E149)*((Main!$J$9:$J$1000)=$F149)*((Main!$O$9:$O$1000)=$C149)*(Main!S$9:S$1000) ) +  ( SUMPRODUCT( ((Adders!$D$13:$D$101)=$E149)*((Adders!$E$13:$E$101)=$F149)*(Adders!H$13:H$101)) + VLOOKUP($H149,Adders!$B$5:$G$8,M$11,FALSE)  +  OH!$D$2 ) * IF($D149="NJ",1.07,1))/$L$10, CHOOSE($M$10,$L$9,$M$9) )</f>
        <v xml:space="preserve"> 63.27 </v>
      </c>
      <c r="K149" s="179" t="str">
        <f>TEXT(   (SUMPRODUCT( ((Main!$H$9:$H$1000)=$E149)*((Main!$J$9:$J$1000)=$F149)*((Main!$O$9:$O$1000)=$C149)*(Main!T$9:T$1000) ) +  ( SUMPRODUCT( ((Adders!$D$13:$D$101)=$E149)*((Adders!$E$13:$E$101)=$F149)*(Adders!I$13:I$101)) + VLOOKUP($H149,Adders!$B$5:$G$8,$N$11,FALSE)  +  OH!$D$2 ) * IF($D149="NJ",1.07,1))/$L$10, CHOOSE($M$10,$L$9,$M$9) )</f>
        <v xml:space="preserve"> 64.13 </v>
      </c>
      <c r="L149" s="180" t="str">
        <f>TEXT(   (SUMPRODUCT( ((LMPMain!$H$9:$H$1000)=$E149)*((LMPMain!$J$9:$J$1000)=$F149)*((LMPMain!$O$9:$O$1000)=$C149)*(LMPMain!R$9:R$1000) ) +  ( SUMPRODUCT( ((Adders!$D$13:$D$101)=$E149)*((Adders!$E$13:$E$101)=$F149)*(Adders!F$13:F$101)) + VLOOKUP($H149,Adders!$B$5:$G$8,L$11,FALSE)  +  OH!$D$2 ) * IF($D149="NJ",1.07,1))/$L$10, CHOOSE($M$10,$L$9,$M$9) )</f>
        <v xml:space="preserve"> 20.54 </v>
      </c>
      <c r="M149" s="178" t="str">
        <f>TEXT(   (SUMPRODUCT( ((LMPMain!$H$9:$H$1000)=$E149)*((LMPMain!$J$9:$J$1000)=$F149)*((LMPMain!$O$9:$O$1000)=$C149)*(LMPMain!S$9:S$1000) ) +  ( SUMPRODUCT( ((Adders!$D$13:$D$101)=$E149)*((Adders!$E$13:$E$101)=$F149)*(Adders!G$13:G$101)) + VLOOKUP($H149,Adders!$B$5:$G$8,M$11,FALSE)  +  OH!$D$2 ) * IF($D149="NJ",1.07,1))/$L$10, CHOOSE($M$10,$L$9,$M$9) )</f>
        <v xml:space="preserve"> 21.17 </v>
      </c>
      <c r="N149" s="179" t="str">
        <f>TEXT(   (SUMPRODUCT( ((LMPMain!$H$9:$H$1000)=$E149)*((LMPMain!$J$9:$J$1000)=$F149)*((LMPMain!$O$9:$O$1000)=$C149)*(LMPMain!T$9:T$1000) ) +  ( SUMPRODUCT( ((Adders!$D$13:$D$101)=$E149)*((Adders!$E$13:$E$101)=$F149)*(Adders!H$13:H$101)) + VLOOKUP($H149,Adders!$B$5:$G$8,N$11,FALSE)  +  OH!$D$2 ) * IF($D149="NJ",1.07,1))/$L$10, CHOOSE($M$10,$L$9,$M$9) )</f>
        <v xml:space="preserve"> 22.09 </v>
      </c>
      <c r="O149" s="112"/>
    </row>
    <row r="150" spans="2:15" x14ac:dyDescent="0.25">
      <c r="B150" s="108"/>
      <c r="C150" s="131">
        <f t="shared" si="3"/>
        <v>42430</v>
      </c>
      <c r="D150" s="132" t="s">
        <v>20</v>
      </c>
      <c r="E150" s="133" t="s">
        <v>105</v>
      </c>
      <c r="F150" s="132" t="s">
        <v>22</v>
      </c>
      <c r="G150" s="133" t="str">
        <f t="shared" si="4"/>
        <v>Sec. Service</v>
      </c>
      <c r="H150" s="134" t="s">
        <v>62</v>
      </c>
      <c r="I150" s="172" t="str">
        <f>TEXT(   (SUMPRODUCT( ((Main!$H$9:$H$1000)=$E150)*((Main!$J$9:$J$1000)=$F150)*((Main!$O$9:$O$1000)=$C150)*(Main!R$9:R$1000) ) +  ( SUMPRODUCT( ((Adders!$D$13:$D$101)=$E150)*((Adders!$E$13:$E$101)=$F150)*(Adders!G$13:G$101)) + VLOOKUP($H150,Adders!$B$5:$G$8,L$11,FALSE)  +  OH!$D$2 ) * IF($D150="NJ",1.07,1))/$L$10, CHOOSE($M$10,$L$9,$M$9) )</f>
        <v xml:space="preserve"> 60.50 </v>
      </c>
      <c r="J150" s="173" t="str">
        <f>TEXT(   (SUMPRODUCT( ((Main!$H$9:$H$1000)=$E150)*((Main!$J$9:$J$1000)=$F150)*((Main!$O$9:$O$1000)=$C150)*(Main!S$9:S$1000) ) +  ( SUMPRODUCT( ((Adders!$D$13:$D$101)=$E150)*((Adders!$E$13:$E$101)=$F150)*(Adders!H$13:H$101)) + VLOOKUP($H150,Adders!$B$5:$G$8,M$11,FALSE)  +  OH!$D$2 ) * IF($D150="NJ",1.07,1))/$L$10, CHOOSE($M$10,$L$9,$M$9) )</f>
        <v xml:space="preserve"> 61.67 </v>
      </c>
      <c r="K150" s="174" t="str">
        <f>TEXT(   (SUMPRODUCT( ((Main!$H$9:$H$1000)=$E150)*((Main!$J$9:$J$1000)=$F150)*((Main!$O$9:$O$1000)=$C150)*(Main!T$9:T$1000) ) +  ( SUMPRODUCT( ((Adders!$D$13:$D$101)=$E150)*((Adders!$E$13:$E$101)=$F150)*(Adders!I$13:I$101)) + VLOOKUP($H150,Adders!$B$5:$G$8,$N$11,FALSE)  +  OH!$D$2 ) * IF($D150="NJ",1.07,1))/$L$10, CHOOSE($M$10,$L$9,$M$9) )</f>
        <v xml:space="preserve"> 62.53 </v>
      </c>
      <c r="L150" s="172" t="str">
        <f>TEXT(   (SUMPRODUCT( ((LMPMain!$H$9:$H$1000)=$E150)*((LMPMain!$J$9:$J$1000)=$F150)*((LMPMain!$O$9:$O$1000)=$C150)*(LMPMain!R$9:R$1000) ) +  ( SUMPRODUCT( ((Adders!$D$13:$D$101)=$E150)*((Adders!$E$13:$E$101)=$F150)*(Adders!F$13:F$101)) + VLOOKUP($H150,Adders!$B$5:$G$8,L$11,FALSE)  +  OH!$D$2 ) * IF($D150="NJ",1.07,1))/$L$10, CHOOSE($M$10,$L$9,$M$9) )</f>
        <v xml:space="preserve"> 18.94 </v>
      </c>
      <c r="M150" s="173" t="str">
        <f>TEXT(   (SUMPRODUCT( ((LMPMain!$H$9:$H$1000)=$E150)*((LMPMain!$J$9:$J$1000)=$F150)*((LMPMain!$O$9:$O$1000)=$C150)*(LMPMain!S$9:S$1000) ) +  ( SUMPRODUCT( ((Adders!$D$13:$D$101)=$E150)*((Adders!$E$13:$E$101)=$F150)*(Adders!G$13:G$101)) + VLOOKUP($H150,Adders!$B$5:$G$8,M$11,FALSE)  +  OH!$D$2 ) * IF($D150="NJ",1.07,1))/$L$10, CHOOSE($M$10,$L$9,$M$9) )</f>
        <v xml:space="preserve"> 19.57 </v>
      </c>
      <c r="N150" s="174" t="str">
        <f>TEXT(   (SUMPRODUCT( ((LMPMain!$H$9:$H$1000)=$E150)*((LMPMain!$J$9:$J$1000)=$F150)*((LMPMain!$O$9:$O$1000)=$C150)*(LMPMain!T$9:T$1000) ) +  ( SUMPRODUCT( ((Adders!$D$13:$D$101)=$E150)*((Adders!$E$13:$E$101)=$F150)*(Adders!H$13:H$101)) + VLOOKUP($H150,Adders!$B$5:$G$8,N$11,FALSE)  +  OH!$D$2 ) * IF($D150="NJ",1.07,1))/$L$10, CHOOSE($M$10,$L$9,$M$9) )</f>
        <v xml:space="preserve"> 20.49 </v>
      </c>
      <c r="O150" s="112"/>
    </row>
    <row r="151" spans="2:15" x14ac:dyDescent="0.25">
      <c r="B151" s="108"/>
      <c r="C151" s="135">
        <f t="shared" si="3"/>
        <v>42430</v>
      </c>
      <c r="D151" s="136" t="s">
        <v>20</v>
      </c>
      <c r="E151" s="137" t="s">
        <v>105</v>
      </c>
      <c r="F151" s="136" t="s">
        <v>22</v>
      </c>
      <c r="G151" s="137" t="str">
        <f t="shared" si="4"/>
        <v>Sec. Service</v>
      </c>
      <c r="H151" s="138" t="s">
        <v>690</v>
      </c>
      <c r="I151" s="175" t="str">
        <f>TEXT(   (SUMPRODUCT( ((Main!$H$9:$H$1000)=$E151)*((Main!$J$9:$J$1000)=$F151)*((Main!$O$9:$O$1000)=$C151)*(Main!R$9:R$1000) ) +  ( SUMPRODUCT( ((Adders!$D$13:$D$101)=$E151)*((Adders!$E$13:$E$101)=$F151)*(Adders!G$13:G$101)) + VLOOKUP($H151,Adders!$B$5:$G$8,L$11,FALSE)  +  OH!$D$2 ) * IF($D151="NJ",1.07,1))/$L$10, CHOOSE($M$10,$L$9,$M$9) )</f>
        <v xml:space="preserve"> 59.45 </v>
      </c>
      <c r="J151" s="176" t="str">
        <f>TEXT(   (SUMPRODUCT( ((Main!$H$9:$H$1000)=$E151)*((Main!$J$9:$J$1000)=$F151)*((Main!$O$9:$O$1000)=$C151)*(Main!S$9:S$1000) ) +  ( SUMPRODUCT( ((Adders!$D$13:$D$101)=$E151)*((Adders!$E$13:$E$101)=$F151)*(Adders!H$13:H$101)) + VLOOKUP($H151,Adders!$B$5:$G$8,M$11,FALSE)  +  OH!$D$2 ) * IF($D151="NJ",1.07,1))/$L$10, CHOOSE($M$10,$L$9,$M$9) )</f>
        <v xml:space="preserve"> 60.62 </v>
      </c>
      <c r="K151" s="177" t="str">
        <f>TEXT(   (SUMPRODUCT( ((Main!$H$9:$H$1000)=$E151)*((Main!$J$9:$J$1000)=$F151)*((Main!$O$9:$O$1000)=$C151)*(Main!T$9:T$1000) ) +  ( SUMPRODUCT( ((Adders!$D$13:$D$101)=$E151)*((Adders!$E$13:$E$101)=$F151)*(Adders!I$13:I$101)) + VLOOKUP($H151,Adders!$B$5:$G$8,$N$11,FALSE)  +  OH!$D$2 ) * IF($D151="NJ",1.07,1))/$L$10, CHOOSE($M$10,$L$9,$M$9) )</f>
        <v xml:space="preserve"> 61.48 </v>
      </c>
      <c r="L151" s="175" t="str">
        <f>TEXT(   (SUMPRODUCT( ((LMPMain!$H$9:$H$1000)=$E151)*((LMPMain!$J$9:$J$1000)=$F151)*((LMPMain!$O$9:$O$1000)=$C151)*(LMPMain!R$9:R$1000) ) +  ( SUMPRODUCT( ((Adders!$D$13:$D$101)=$E151)*((Adders!$E$13:$E$101)=$F151)*(Adders!F$13:F$101)) + VLOOKUP($H151,Adders!$B$5:$G$8,L$11,FALSE)  +  OH!$D$2 ) * IF($D151="NJ",1.07,1))/$L$10, CHOOSE($M$10,$L$9,$M$9) )</f>
        <v xml:space="preserve"> 17.89 </v>
      </c>
      <c r="M151" s="176" t="str">
        <f>TEXT(   (SUMPRODUCT( ((LMPMain!$H$9:$H$1000)=$E151)*((LMPMain!$J$9:$J$1000)=$F151)*((LMPMain!$O$9:$O$1000)=$C151)*(LMPMain!S$9:S$1000) ) +  ( SUMPRODUCT( ((Adders!$D$13:$D$101)=$E151)*((Adders!$E$13:$E$101)=$F151)*(Adders!G$13:G$101)) + VLOOKUP($H151,Adders!$B$5:$G$8,M$11,FALSE)  +  OH!$D$2 ) * IF($D151="NJ",1.07,1))/$L$10, CHOOSE($M$10,$L$9,$M$9) )</f>
        <v xml:space="preserve"> 18.52 </v>
      </c>
      <c r="N151" s="177" t="str">
        <f>TEXT(   (SUMPRODUCT( ((LMPMain!$H$9:$H$1000)=$E151)*((LMPMain!$J$9:$J$1000)=$F151)*((LMPMain!$O$9:$O$1000)=$C151)*(LMPMain!T$9:T$1000) ) +  ( SUMPRODUCT( ((Adders!$D$13:$D$101)=$E151)*((Adders!$E$13:$E$101)=$F151)*(Adders!H$13:H$101)) + VLOOKUP($H151,Adders!$B$5:$G$8,N$11,FALSE)  +  OH!$D$2 ) * IF($D151="NJ",1.07,1))/$L$10, CHOOSE($M$10,$L$9,$M$9) )</f>
        <v xml:space="preserve"> 19.44 </v>
      </c>
      <c r="O151" s="112"/>
    </row>
    <row r="152" spans="2:15" x14ac:dyDescent="0.25">
      <c r="B152" s="108"/>
      <c r="C152" s="127">
        <f t="shared" si="3"/>
        <v>42461</v>
      </c>
      <c r="D152" s="128" t="s">
        <v>20</v>
      </c>
      <c r="E152" s="129" t="s">
        <v>105</v>
      </c>
      <c r="F152" s="128" t="s">
        <v>22</v>
      </c>
      <c r="G152" s="129" t="str">
        <f t="shared" si="4"/>
        <v>Sec. Service</v>
      </c>
      <c r="H152" s="130" t="s">
        <v>61</v>
      </c>
      <c r="I152" s="180" t="str">
        <f>TEXT(   (SUMPRODUCT( ((Main!$H$9:$H$1000)=$E152)*((Main!$J$9:$J$1000)=$F152)*((Main!$O$9:$O$1000)=$C152)*(Main!R$9:R$1000) ) +  ( SUMPRODUCT( ((Adders!$D$13:$D$101)=$E152)*((Adders!$E$13:$E$101)=$F152)*(Adders!G$13:G$101)) + VLOOKUP($H152,Adders!$B$5:$G$8,L$11,FALSE)  +  OH!$D$2 ) * IF($D152="NJ",1.07,1))/$L$10, CHOOSE($M$10,$L$9,$M$9) )</f>
        <v xml:space="preserve"> 61.56 </v>
      </c>
      <c r="J152" s="178" t="str">
        <f>TEXT(   (SUMPRODUCT( ((Main!$H$9:$H$1000)=$E152)*((Main!$J$9:$J$1000)=$F152)*((Main!$O$9:$O$1000)=$C152)*(Main!S$9:S$1000) ) +  ( SUMPRODUCT( ((Adders!$D$13:$D$101)=$E152)*((Adders!$E$13:$E$101)=$F152)*(Adders!H$13:H$101)) + VLOOKUP($H152,Adders!$B$5:$G$8,M$11,FALSE)  +  OH!$D$2 ) * IF($D152="NJ",1.07,1))/$L$10, CHOOSE($M$10,$L$9,$M$9) )</f>
        <v xml:space="preserve"> 63.31 </v>
      </c>
      <c r="K152" s="179" t="str">
        <f>TEXT(   (SUMPRODUCT( ((Main!$H$9:$H$1000)=$E152)*((Main!$J$9:$J$1000)=$F152)*((Main!$O$9:$O$1000)=$C152)*(Main!T$9:T$1000) ) +  ( SUMPRODUCT( ((Adders!$D$13:$D$101)=$E152)*((Adders!$E$13:$E$101)=$F152)*(Adders!I$13:I$101)) + VLOOKUP($H152,Adders!$B$5:$G$8,$N$11,FALSE)  +  OH!$D$2 ) * IF($D152="NJ",1.07,1))/$L$10, CHOOSE($M$10,$L$9,$M$9) )</f>
        <v xml:space="preserve"> 64.07 </v>
      </c>
      <c r="L152" s="180" t="str">
        <f>TEXT(   (SUMPRODUCT( ((LMPMain!$H$9:$H$1000)=$E152)*((LMPMain!$J$9:$J$1000)=$F152)*((LMPMain!$O$9:$O$1000)=$C152)*(LMPMain!R$9:R$1000) ) +  ( SUMPRODUCT( ((Adders!$D$13:$D$101)=$E152)*((Adders!$E$13:$E$101)=$F152)*(Adders!F$13:F$101)) + VLOOKUP($H152,Adders!$B$5:$G$8,L$11,FALSE)  +  OH!$D$2 ) * IF($D152="NJ",1.07,1))/$L$10, CHOOSE($M$10,$L$9,$M$9) )</f>
        <v xml:space="preserve"> 19.87 </v>
      </c>
      <c r="M152" s="178" t="str">
        <f>TEXT(   (SUMPRODUCT( ((LMPMain!$H$9:$H$1000)=$E152)*((LMPMain!$J$9:$J$1000)=$F152)*((LMPMain!$O$9:$O$1000)=$C152)*(LMPMain!S$9:S$1000) ) +  ( SUMPRODUCT( ((Adders!$D$13:$D$101)=$E152)*((Adders!$E$13:$E$101)=$F152)*(Adders!G$13:G$101)) + VLOOKUP($H152,Adders!$B$5:$G$8,M$11,FALSE)  +  OH!$D$2 ) * IF($D152="NJ",1.07,1))/$L$10, CHOOSE($M$10,$L$9,$M$9) )</f>
        <v xml:space="preserve"> 21.40 </v>
      </c>
      <c r="N152" s="179" t="str">
        <f>TEXT(   (SUMPRODUCT( ((LMPMain!$H$9:$H$1000)=$E152)*((LMPMain!$J$9:$J$1000)=$F152)*((LMPMain!$O$9:$O$1000)=$C152)*(LMPMain!T$9:T$1000) ) +  ( SUMPRODUCT( ((Adders!$D$13:$D$101)=$E152)*((Adders!$E$13:$E$101)=$F152)*(Adders!H$13:H$101)) + VLOOKUP($H152,Adders!$B$5:$G$8,N$11,FALSE)  +  OH!$D$2 ) * IF($D152="NJ",1.07,1))/$L$10, CHOOSE($M$10,$L$9,$M$9) )</f>
        <v xml:space="preserve"> 22.04 </v>
      </c>
      <c r="O152" s="112"/>
    </row>
    <row r="153" spans="2:15" x14ac:dyDescent="0.25">
      <c r="B153" s="108"/>
      <c r="C153" s="131">
        <f t="shared" si="3"/>
        <v>42461</v>
      </c>
      <c r="D153" s="132" t="s">
        <v>20</v>
      </c>
      <c r="E153" s="133" t="s">
        <v>105</v>
      </c>
      <c r="F153" s="132" t="s">
        <v>22</v>
      </c>
      <c r="G153" s="133" t="str">
        <f t="shared" si="4"/>
        <v>Sec. Service</v>
      </c>
      <c r="H153" s="134" t="s">
        <v>62</v>
      </c>
      <c r="I153" s="172" t="str">
        <f>TEXT(   (SUMPRODUCT( ((Main!$H$9:$H$1000)=$E153)*((Main!$J$9:$J$1000)=$F153)*((Main!$O$9:$O$1000)=$C153)*(Main!R$9:R$1000) ) +  ( SUMPRODUCT( ((Adders!$D$13:$D$101)=$E153)*((Adders!$E$13:$E$101)=$F153)*(Adders!G$13:G$101)) + VLOOKUP($H153,Adders!$B$5:$G$8,L$11,FALSE)  +  OH!$D$2 ) * IF($D153="NJ",1.07,1))/$L$10, CHOOSE($M$10,$L$9,$M$9) )</f>
        <v xml:space="preserve"> 59.96 </v>
      </c>
      <c r="J153" s="173" t="str">
        <f>TEXT(   (SUMPRODUCT( ((Main!$H$9:$H$1000)=$E153)*((Main!$J$9:$J$1000)=$F153)*((Main!$O$9:$O$1000)=$C153)*(Main!S$9:S$1000) ) +  ( SUMPRODUCT( ((Adders!$D$13:$D$101)=$E153)*((Adders!$E$13:$E$101)=$F153)*(Adders!H$13:H$101)) + VLOOKUP($H153,Adders!$B$5:$G$8,M$11,FALSE)  +  OH!$D$2 ) * IF($D153="NJ",1.07,1))/$L$10, CHOOSE($M$10,$L$9,$M$9) )</f>
        <v xml:space="preserve"> 61.71 </v>
      </c>
      <c r="K153" s="174" t="str">
        <f>TEXT(   (SUMPRODUCT( ((Main!$H$9:$H$1000)=$E153)*((Main!$J$9:$J$1000)=$F153)*((Main!$O$9:$O$1000)=$C153)*(Main!T$9:T$1000) ) +  ( SUMPRODUCT( ((Adders!$D$13:$D$101)=$E153)*((Adders!$E$13:$E$101)=$F153)*(Adders!I$13:I$101)) + VLOOKUP($H153,Adders!$B$5:$G$8,$N$11,FALSE)  +  OH!$D$2 ) * IF($D153="NJ",1.07,1))/$L$10, CHOOSE($M$10,$L$9,$M$9) )</f>
        <v xml:space="preserve"> 62.47 </v>
      </c>
      <c r="L153" s="172" t="str">
        <f>TEXT(   (SUMPRODUCT( ((LMPMain!$H$9:$H$1000)=$E153)*((LMPMain!$J$9:$J$1000)=$F153)*((LMPMain!$O$9:$O$1000)=$C153)*(LMPMain!R$9:R$1000) ) +  ( SUMPRODUCT( ((Adders!$D$13:$D$101)=$E153)*((Adders!$E$13:$E$101)=$F153)*(Adders!F$13:F$101)) + VLOOKUP($H153,Adders!$B$5:$G$8,L$11,FALSE)  +  OH!$D$2 ) * IF($D153="NJ",1.07,1))/$L$10, CHOOSE($M$10,$L$9,$M$9) )</f>
        <v xml:space="preserve"> 18.27 </v>
      </c>
      <c r="M153" s="173" t="str">
        <f>TEXT(   (SUMPRODUCT( ((LMPMain!$H$9:$H$1000)=$E153)*((LMPMain!$J$9:$J$1000)=$F153)*((LMPMain!$O$9:$O$1000)=$C153)*(LMPMain!S$9:S$1000) ) +  ( SUMPRODUCT( ((Adders!$D$13:$D$101)=$E153)*((Adders!$E$13:$E$101)=$F153)*(Adders!G$13:G$101)) + VLOOKUP($H153,Adders!$B$5:$G$8,M$11,FALSE)  +  OH!$D$2 ) * IF($D153="NJ",1.07,1))/$L$10, CHOOSE($M$10,$L$9,$M$9) )</f>
        <v xml:space="preserve"> 19.80 </v>
      </c>
      <c r="N153" s="174" t="str">
        <f>TEXT(   (SUMPRODUCT( ((LMPMain!$H$9:$H$1000)=$E153)*((LMPMain!$J$9:$J$1000)=$F153)*((LMPMain!$O$9:$O$1000)=$C153)*(LMPMain!T$9:T$1000) ) +  ( SUMPRODUCT( ((Adders!$D$13:$D$101)=$E153)*((Adders!$E$13:$E$101)=$F153)*(Adders!H$13:H$101)) + VLOOKUP($H153,Adders!$B$5:$G$8,N$11,FALSE)  +  OH!$D$2 ) * IF($D153="NJ",1.07,1))/$L$10, CHOOSE($M$10,$L$9,$M$9) )</f>
        <v xml:space="preserve"> 20.44 </v>
      </c>
      <c r="O153" s="112"/>
    </row>
    <row r="154" spans="2:15" x14ac:dyDescent="0.25">
      <c r="B154" s="108"/>
      <c r="C154" s="135">
        <f t="shared" si="3"/>
        <v>42461</v>
      </c>
      <c r="D154" s="136" t="s">
        <v>20</v>
      </c>
      <c r="E154" s="137" t="s">
        <v>105</v>
      </c>
      <c r="F154" s="136" t="s">
        <v>22</v>
      </c>
      <c r="G154" s="137" t="str">
        <f t="shared" si="4"/>
        <v>Sec. Service</v>
      </c>
      <c r="H154" s="138" t="s">
        <v>690</v>
      </c>
      <c r="I154" s="175" t="str">
        <f>TEXT(   (SUMPRODUCT( ((Main!$H$9:$H$1000)=$E154)*((Main!$J$9:$J$1000)=$F154)*((Main!$O$9:$O$1000)=$C154)*(Main!R$9:R$1000) ) +  ( SUMPRODUCT( ((Adders!$D$13:$D$101)=$E154)*((Adders!$E$13:$E$101)=$F154)*(Adders!G$13:G$101)) + VLOOKUP($H154,Adders!$B$5:$G$8,L$11,FALSE)  +  OH!$D$2 ) * IF($D154="NJ",1.07,1))/$L$10, CHOOSE($M$10,$L$9,$M$9) )</f>
        <v xml:space="preserve"> 58.91 </v>
      </c>
      <c r="J154" s="176" t="str">
        <f>TEXT(   (SUMPRODUCT( ((Main!$H$9:$H$1000)=$E154)*((Main!$J$9:$J$1000)=$F154)*((Main!$O$9:$O$1000)=$C154)*(Main!S$9:S$1000) ) +  ( SUMPRODUCT( ((Adders!$D$13:$D$101)=$E154)*((Adders!$E$13:$E$101)=$F154)*(Adders!H$13:H$101)) + VLOOKUP($H154,Adders!$B$5:$G$8,M$11,FALSE)  +  OH!$D$2 ) * IF($D154="NJ",1.07,1))/$L$10, CHOOSE($M$10,$L$9,$M$9) )</f>
        <v xml:space="preserve"> 60.66 </v>
      </c>
      <c r="K154" s="177" t="str">
        <f>TEXT(   (SUMPRODUCT( ((Main!$H$9:$H$1000)=$E154)*((Main!$J$9:$J$1000)=$F154)*((Main!$O$9:$O$1000)=$C154)*(Main!T$9:T$1000) ) +  ( SUMPRODUCT( ((Adders!$D$13:$D$101)=$E154)*((Adders!$E$13:$E$101)=$F154)*(Adders!I$13:I$101)) + VLOOKUP($H154,Adders!$B$5:$G$8,$N$11,FALSE)  +  OH!$D$2 ) * IF($D154="NJ",1.07,1))/$L$10, CHOOSE($M$10,$L$9,$M$9) )</f>
        <v xml:space="preserve"> 61.42 </v>
      </c>
      <c r="L154" s="175" t="str">
        <f>TEXT(   (SUMPRODUCT( ((LMPMain!$H$9:$H$1000)=$E154)*((LMPMain!$J$9:$J$1000)=$F154)*((LMPMain!$O$9:$O$1000)=$C154)*(LMPMain!R$9:R$1000) ) +  ( SUMPRODUCT( ((Adders!$D$13:$D$101)=$E154)*((Adders!$E$13:$E$101)=$F154)*(Adders!F$13:F$101)) + VLOOKUP($H154,Adders!$B$5:$G$8,L$11,FALSE)  +  OH!$D$2 ) * IF($D154="NJ",1.07,1))/$L$10, CHOOSE($M$10,$L$9,$M$9) )</f>
        <v xml:space="preserve"> 17.22 </v>
      </c>
      <c r="M154" s="176" t="str">
        <f>TEXT(   (SUMPRODUCT( ((LMPMain!$H$9:$H$1000)=$E154)*((LMPMain!$J$9:$J$1000)=$F154)*((LMPMain!$O$9:$O$1000)=$C154)*(LMPMain!S$9:S$1000) ) +  ( SUMPRODUCT( ((Adders!$D$13:$D$101)=$E154)*((Adders!$E$13:$E$101)=$F154)*(Adders!G$13:G$101)) + VLOOKUP($H154,Adders!$B$5:$G$8,M$11,FALSE)  +  OH!$D$2 ) * IF($D154="NJ",1.07,1))/$L$10, CHOOSE($M$10,$L$9,$M$9) )</f>
        <v xml:space="preserve"> 18.75 </v>
      </c>
      <c r="N154" s="177" t="str">
        <f>TEXT(   (SUMPRODUCT( ((LMPMain!$H$9:$H$1000)=$E154)*((LMPMain!$J$9:$J$1000)=$F154)*((LMPMain!$O$9:$O$1000)=$C154)*(LMPMain!T$9:T$1000) ) +  ( SUMPRODUCT( ((Adders!$D$13:$D$101)=$E154)*((Adders!$E$13:$E$101)=$F154)*(Adders!H$13:H$101)) + VLOOKUP($H154,Adders!$B$5:$G$8,N$11,FALSE)  +  OH!$D$2 ) * IF($D154="NJ",1.07,1))/$L$10, CHOOSE($M$10,$L$9,$M$9) )</f>
        <v xml:space="preserve"> 19.39 </v>
      </c>
      <c r="O154" s="112"/>
    </row>
    <row r="155" spans="2:15" x14ac:dyDescent="0.25">
      <c r="B155" s="108"/>
      <c r="C155" s="127">
        <f t="shared" si="3"/>
        <v>42491</v>
      </c>
      <c r="D155" s="128" t="s">
        <v>20</v>
      </c>
      <c r="E155" s="129" t="s">
        <v>105</v>
      </c>
      <c r="F155" s="128" t="s">
        <v>22</v>
      </c>
      <c r="G155" s="129" t="str">
        <f t="shared" si="4"/>
        <v>Sec. Service</v>
      </c>
      <c r="H155" s="130" t="s">
        <v>61</v>
      </c>
      <c r="I155" s="180" t="str">
        <f>TEXT(   (SUMPRODUCT( ((Main!$H$9:$H$1000)=$E155)*((Main!$J$9:$J$1000)=$F155)*((Main!$O$9:$O$1000)=$C155)*(Main!R$9:R$1000) ) +  ( SUMPRODUCT( ((Adders!$D$13:$D$101)=$E155)*((Adders!$E$13:$E$101)=$F155)*(Adders!G$13:G$101)) + VLOOKUP($H155,Adders!$B$5:$G$8,L$11,FALSE)  +  OH!$D$2 ) * IF($D155="NJ",1.07,1))/$L$10, CHOOSE($M$10,$L$9,$M$9) )</f>
        <v xml:space="preserve"> 60.95 </v>
      </c>
      <c r="J155" s="178" t="str">
        <f>TEXT(   (SUMPRODUCT( ((Main!$H$9:$H$1000)=$E155)*((Main!$J$9:$J$1000)=$F155)*((Main!$O$9:$O$1000)=$C155)*(Main!S$9:S$1000) ) +  ( SUMPRODUCT( ((Adders!$D$13:$D$101)=$E155)*((Adders!$E$13:$E$101)=$F155)*(Adders!H$13:H$101)) + VLOOKUP($H155,Adders!$B$5:$G$8,M$11,FALSE)  +  OH!$D$2 ) * IF($D155="NJ",1.07,1))/$L$10, CHOOSE($M$10,$L$9,$M$9) )</f>
        <v xml:space="preserve"> 62.77 </v>
      </c>
      <c r="K155" s="179" t="str">
        <f>TEXT(   (SUMPRODUCT( ((Main!$H$9:$H$1000)=$E155)*((Main!$J$9:$J$1000)=$F155)*((Main!$O$9:$O$1000)=$C155)*(Main!T$9:T$1000) ) +  ( SUMPRODUCT( ((Adders!$D$13:$D$101)=$E155)*((Adders!$E$13:$E$101)=$F155)*(Adders!I$13:I$101)) + VLOOKUP($H155,Adders!$B$5:$G$8,$N$11,FALSE)  +  OH!$D$2 ) * IF($D155="NJ",1.07,1))/$L$10, CHOOSE($M$10,$L$9,$M$9) )</f>
        <v xml:space="preserve"> 64.09 </v>
      </c>
      <c r="L155" s="180" t="str">
        <f>TEXT(   (SUMPRODUCT( ((LMPMain!$H$9:$H$1000)=$E155)*((LMPMain!$J$9:$J$1000)=$F155)*((LMPMain!$O$9:$O$1000)=$C155)*(LMPMain!R$9:R$1000) ) +  ( SUMPRODUCT( ((Adders!$D$13:$D$101)=$E155)*((Adders!$E$13:$E$101)=$F155)*(Adders!F$13:F$101)) + VLOOKUP($H155,Adders!$B$5:$G$8,L$11,FALSE)  +  OH!$D$2 ) * IF($D155="NJ",1.07,1))/$L$10, CHOOSE($M$10,$L$9,$M$9) )</f>
        <v xml:space="preserve"> 19.25 </v>
      </c>
      <c r="M155" s="178" t="str">
        <f>TEXT(   (SUMPRODUCT( ((LMPMain!$H$9:$H$1000)=$E155)*((LMPMain!$J$9:$J$1000)=$F155)*((LMPMain!$O$9:$O$1000)=$C155)*(LMPMain!S$9:S$1000) ) +  ( SUMPRODUCT( ((Adders!$D$13:$D$101)=$E155)*((Adders!$E$13:$E$101)=$F155)*(Adders!G$13:G$101)) + VLOOKUP($H155,Adders!$B$5:$G$8,M$11,FALSE)  +  OH!$D$2 ) * IF($D155="NJ",1.07,1))/$L$10, CHOOSE($M$10,$L$9,$M$9) )</f>
        <v xml:space="preserve"> 21.17 </v>
      </c>
      <c r="N155" s="179" t="str">
        <f>TEXT(   (SUMPRODUCT( ((LMPMain!$H$9:$H$1000)=$E155)*((LMPMain!$J$9:$J$1000)=$F155)*((LMPMain!$O$9:$O$1000)=$C155)*(LMPMain!T$9:T$1000) ) +  ( SUMPRODUCT( ((Adders!$D$13:$D$101)=$E155)*((Adders!$E$13:$E$101)=$F155)*(Adders!H$13:H$101)) + VLOOKUP($H155,Adders!$B$5:$G$8,N$11,FALSE)  +  OH!$D$2 ) * IF($D155="NJ",1.07,1))/$L$10, CHOOSE($M$10,$L$9,$M$9) )</f>
        <v xml:space="preserve"> 22.02 </v>
      </c>
      <c r="O155" s="112"/>
    </row>
    <row r="156" spans="2:15" x14ac:dyDescent="0.25">
      <c r="B156" s="108"/>
      <c r="C156" s="131">
        <f t="shared" si="3"/>
        <v>42491</v>
      </c>
      <c r="D156" s="132" t="s">
        <v>20</v>
      </c>
      <c r="E156" s="133" t="s">
        <v>105</v>
      </c>
      <c r="F156" s="132" t="s">
        <v>22</v>
      </c>
      <c r="G156" s="133" t="str">
        <f t="shared" si="4"/>
        <v>Sec. Service</v>
      </c>
      <c r="H156" s="134" t="s">
        <v>62</v>
      </c>
      <c r="I156" s="172" t="str">
        <f>TEXT(   (SUMPRODUCT( ((Main!$H$9:$H$1000)=$E156)*((Main!$J$9:$J$1000)=$F156)*((Main!$O$9:$O$1000)=$C156)*(Main!R$9:R$1000) ) +  ( SUMPRODUCT( ((Adders!$D$13:$D$101)=$E156)*((Adders!$E$13:$E$101)=$F156)*(Adders!G$13:G$101)) + VLOOKUP($H156,Adders!$B$5:$G$8,L$11,FALSE)  +  OH!$D$2 ) * IF($D156="NJ",1.07,1))/$L$10, CHOOSE($M$10,$L$9,$M$9) )</f>
        <v xml:space="preserve"> 59.35 </v>
      </c>
      <c r="J156" s="173" t="str">
        <f>TEXT(   (SUMPRODUCT( ((Main!$H$9:$H$1000)=$E156)*((Main!$J$9:$J$1000)=$F156)*((Main!$O$9:$O$1000)=$C156)*(Main!S$9:S$1000) ) +  ( SUMPRODUCT( ((Adders!$D$13:$D$101)=$E156)*((Adders!$E$13:$E$101)=$F156)*(Adders!H$13:H$101)) + VLOOKUP($H156,Adders!$B$5:$G$8,M$11,FALSE)  +  OH!$D$2 ) * IF($D156="NJ",1.07,1))/$L$10, CHOOSE($M$10,$L$9,$M$9) )</f>
        <v xml:space="preserve"> 61.17 </v>
      </c>
      <c r="K156" s="174" t="str">
        <f>TEXT(   (SUMPRODUCT( ((Main!$H$9:$H$1000)=$E156)*((Main!$J$9:$J$1000)=$F156)*((Main!$O$9:$O$1000)=$C156)*(Main!T$9:T$1000) ) +  ( SUMPRODUCT( ((Adders!$D$13:$D$101)=$E156)*((Adders!$E$13:$E$101)=$F156)*(Adders!I$13:I$101)) + VLOOKUP($H156,Adders!$B$5:$G$8,$N$11,FALSE)  +  OH!$D$2 ) * IF($D156="NJ",1.07,1))/$L$10, CHOOSE($M$10,$L$9,$M$9) )</f>
        <v xml:space="preserve"> 62.49 </v>
      </c>
      <c r="L156" s="172" t="str">
        <f>TEXT(   (SUMPRODUCT( ((LMPMain!$H$9:$H$1000)=$E156)*((LMPMain!$J$9:$J$1000)=$F156)*((LMPMain!$O$9:$O$1000)=$C156)*(LMPMain!R$9:R$1000) ) +  ( SUMPRODUCT( ((Adders!$D$13:$D$101)=$E156)*((Adders!$E$13:$E$101)=$F156)*(Adders!F$13:F$101)) + VLOOKUP($H156,Adders!$B$5:$G$8,L$11,FALSE)  +  OH!$D$2 ) * IF($D156="NJ",1.07,1))/$L$10, CHOOSE($M$10,$L$9,$M$9) )</f>
        <v xml:space="preserve"> 17.65 </v>
      </c>
      <c r="M156" s="173" t="str">
        <f>TEXT(   (SUMPRODUCT( ((LMPMain!$H$9:$H$1000)=$E156)*((LMPMain!$J$9:$J$1000)=$F156)*((LMPMain!$O$9:$O$1000)=$C156)*(LMPMain!S$9:S$1000) ) +  ( SUMPRODUCT( ((Adders!$D$13:$D$101)=$E156)*((Adders!$E$13:$E$101)=$F156)*(Adders!G$13:G$101)) + VLOOKUP($H156,Adders!$B$5:$G$8,M$11,FALSE)  +  OH!$D$2 ) * IF($D156="NJ",1.07,1))/$L$10, CHOOSE($M$10,$L$9,$M$9) )</f>
        <v xml:space="preserve"> 19.57 </v>
      </c>
      <c r="N156" s="174" t="str">
        <f>TEXT(   (SUMPRODUCT( ((LMPMain!$H$9:$H$1000)=$E156)*((LMPMain!$J$9:$J$1000)=$F156)*((LMPMain!$O$9:$O$1000)=$C156)*(LMPMain!T$9:T$1000) ) +  ( SUMPRODUCT( ((Adders!$D$13:$D$101)=$E156)*((Adders!$E$13:$E$101)=$F156)*(Adders!H$13:H$101)) + VLOOKUP($H156,Adders!$B$5:$G$8,N$11,FALSE)  +  OH!$D$2 ) * IF($D156="NJ",1.07,1))/$L$10, CHOOSE($M$10,$L$9,$M$9) )</f>
        <v xml:space="preserve"> 20.42 </v>
      </c>
      <c r="O156" s="112"/>
    </row>
    <row r="157" spans="2:15" x14ac:dyDescent="0.25">
      <c r="B157" s="108"/>
      <c r="C157" s="135">
        <f t="shared" si="3"/>
        <v>42491</v>
      </c>
      <c r="D157" s="136" t="s">
        <v>20</v>
      </c>
      <c r="E157" s="137" t="s">
        <v>105</v>
      </c>
      <c r="F157" s="136" t="s">
        <v>22</v>
      </c>
      <c r="G157" s="137" t="str">
        <f t="shared" si="4"/>
        <v>Sec. Service</v>
      </c>
      <c r="H157" s="138" t="s">
        <v>690</v>
      </c>
      <c r="I157" s="175" t="str">
        <f>TEXT(   (SUMPRODUCT( ((Main!$H$9:$H$1000)=$E157)*((Main!$J$9:$J$1000)=$F157)*((Main!$O$9:$O$1000)=$C157)*(Main!R$9:R$1000) ) +  ( SUMPRODUCT( ((Adders!$D$13:$D$101)=$E157)*((Adders!$E$13:$E$101)=$F157)*(Adders!G$13:G$101)) + VLOOKUP($H157,Adders!$B$5:$G$8,L$11,FALSE)  +  OH!$D$2 ) * IF($D157="NJ",1.07,1))/$L$10, CHOOSE($M$10,$L$9,$M$9) )</f>
        <v xml:space="preserve"> 58.30 </v>
      </c>
      <c r="J157" s="176" t="str">
        <f>TEXT(   (SUMPRODUCT( ((Main!$H$9:$H$1000)=$E157)*((Main!$J$9:$J$1000)=$F157)*((Main!$O$9:$O$1000)=$C157)*(Main!S$9:S$1000) ) +  ( SUMPRODUCT( ((Adders!$D$13:$D$101)=$E157)*((Adders!$E$13:$E$101)=$F157)*(Adders!H$13:H$101)) + VLOOKUP($H157,Adders!$B$5:$G$8,M$11,FALSE)  +  OH!$D$2 ) * IF($D157="NJ",1.07,1))/$L$10, CHOOSE($M$10,$L$9,$M$9) )</f>
        <v xml:space="preserve"> 60.12 </v>
      </c>
      <c r="K157" s="177" t="str">
        <f>TEXT(   (SUMPRODUCT( ((Main!$H$9:$H$1000)=$E157)*((Main!$J$9:$J$1000)=$F157)*((Main!$O$9:$O$1000)=$C157)*(Main!T$9:T$1000) ) +  ( SUMPRODUCT( ((Adders!$D$13:$D$101)=$E157)*((Adders!$E$13:$E$101)=$F157)*(Adders!I$13:I$101)) + VLOOKUP($H157,Adders!$B$5:$G$8,$N$11,FALSE)  +  OH!$D$2 ) * IF($D157="NJ",1.07,1))/$L$10, CHOOSE($M$10,$L$9,$M$9) )</f>
        <v xml:space="preserve"> 61.44 </v>
      </c>
      <c r="L157" s="175" t="str">
        <f>TEXT(   (SUMPRODUCT( ((LMPMain!$H$9:$H$1000)=$E157)*((LMPMain!$J$9:$J$1000)=$F157)*((LMPMain!$O$9:$O$1000)=$C157)*(LMPMain!R$9:R$1000) ) +  ( SUMPRODUCT( ((Adders!$D$13:$D$101)=$E157)*((Adders!$E$13:$E$101)=$F157)*(Adders!F$13:F$101)) + VLOOKUP($H157,Adders!$B$5:$G$8,L$11,FALSE)  +  OH!$D$2 ) * IF($D157="NJ",1.07,1))/$L$10, CHOOSE($M$10,$L$9,$M$9) )</f>
        <v xml:space="preserve"> 16.60 </v>
      </c>
      <c r="M157" s="176" t="str">
        <f>TEXT(   (SUMPRODUCT( ((LMPMain!$H$9:$H$1000)=$E157)*((LMPMain!$J$9:$J$1000)=$F157)*((LMPMain!$O$9:$O$1000)=$C157)*(LMPMain!S$9:S$1000) ) +  ( SUMPRODUCT( ((Adders!$D$13:$D$101)=$E157)*((Adders!$E$13:$E$101)=$F157)*(Adders!G$13:G$101)) + VLOOKUP($H157,Adders!$B$5:$G$8,M$11,FALSE)  +  OH!$D$2 ) * IF($D157="NJ",1.07,1))/$L$10, CHOOSE($M$10,$L$9,$M$9) )</f>
        <v xml:space="preserve"> 18.52 </v>
      </c>
      <c r="N157" s="177" t="str">
        <f>TEXT(   (SUMPRODUCT( ((LMPMain!$H$9:$H$1000)=$E157)*((LMPMain!$J$9:$J$1000)=$F157)*((LMPMain!$O$9:$O$1000)=$C157)*(LMPMain!T$9:T$1000) ) +  ( SUMPRODUCT( ((Adders!$D$13:$D$101)=$E157)*((Adders!$E$13:$E$101)=$F157)*(Adders!H$13:H$101)) + VLOOKUP($H157,Adders!$B$5:$G$8,N$11,FALSE)  +  OH!$D$2 ) * IF($D157="NJ",1.07,1))/$L$10, CHOOSE($M$10,$L$9,$M$9) )</f>
        <v xml:space="preserve"> 19.37 </v>
      </c>
      <c r="O157" s="112"/>
    </row>
    <row r="158" spans="2:15" x14ac:dyDescent="0.25">
      <c r="B158" s="108"/>
      <c r="C158" s="127">
        <f t="shared" si="3"/>
        <v>42156</v>
      </c>
      <c r="D158" s="128" t="s">
        <v>20</v>
      </c>
      <c r="E158" s="129" t="s">
        <v>23</v>
      </c>
      <c r="F158" s="128" t="s">
        <v>24</v>
      </c>
      <c r="G158" s="129" t="str">
        <f>VLOOKUP(SUMPRODUCT( ((LMPMain!$H$9:$H$1000)=$E158)*((LMPMain!$J$9:$J$1000)=$F158)*((LMPMain!$O$9:$O$1000)=$C158)*(LMPMain!A$9:A$1000)),LMPMain!$A$9:$K$1000,11,FALSE)</f>
        <v>General Service</v>
      </c>
      <c r="H158" s="130" t="s">
        <v>61</v>
      </c>
      <c r="I158" s="180" t="str">
        <f>TEXT(   (SUMPRODUCT( ((Main!$H$9:$H$1000)=$E158)*((Main!$J$9:$J$1000)=$F158)*((Main!$O$9:$O$1000)=$C158)*(Main!R$9:R$1000) ) +  ( SUMPRODUCT( ((Adders!$D$13:$D$101)=$E158)*((Adders!$E$13:$E$101)=$F158)*(Adders!G$13:G$101)) + VLOOKUP($H158,Adders!$B$5:$G$8,L$11,FALSE)  +  OH!$D$2 ) * IF($D158="NJ",1.07,1))/$L$10, CHOOSE($M$10,$L$9,$M$9) )</f>
        <v xml:space="preserve"> 65.23 </v>
      </c>
      <c r="J158" s="178" t="str">
        <f>TEXT(   (SUMPRODUCT( ((Main!$H$9:$H$1000)=$E158)*((Main!$J$9:$J$1000)=$F158)*((Main!$O$9:$O$1000)=$C158)*(Main!S$9:S$1000) ) +  ( SUMPRODUCT( ((Adders!$D$13:$D$101)=$E158)*((Adders!$E$13:$E$101)=$F158)*(Adders!H$13:H$101)) + VLOOKUP($H158,Adders!$B$5:$G$8,M$11,FALSE)  +  OH!$D$2 ) * IF($D158="NJ",1.07,1))/$L$10, CHOOSE($M$10,$L$9,$M$9) )</f>
        <v xml:space="preserve"> 62.23 </v>
      </c>
      <c r="K158" s="179" t="str">
        <f>TEXT(   (SUMPRODUCT( ((Main!$H$9:$H$1000)=$E158)*((Main!$J$9:$J$1000)=$F158)*((Main!$O$9:$O$1000)=$C158)*(Main!T$9:T$1000) ) +  ( SUMPRODUCT( ((Adders!$D$13:$D$101)=$E158)*((Adders!$E$13:$E$101)=$F158)*(Adders!I$13:I$101)) + VLOOKUP($H158,Adders!$B$5:$G$8,$N$11,FALSE)  +  OH!$D$2 ) * IF($D158="NJ",1.07,1))/$L$10, CHOOSE($M$10,$L$9,$M$9) )</f>
        <v xml:space="preserve"> 61.73 </v>
      </c>
      <c r="L158" s="180" t="str">
        <f>TEXT(   (SUMPRODUCT( ((LMPMain!$H$9:$H$1000)=$E158)*((LMPMain!$J$9:$J$1000)=$F158)*((LMPMain!$O$9:$O$1000)=$C158)*(LMPMain!R$9:R$1000) ) +  ( SUMPRODUCT( ((Adders!$D$13:$D$101)=$E158)*((Adders!$E$13:$E$101)=$F158)*(Adders!F$13:F$101)) + VLOOKUP($H158,Adders!$B$5:$G$8,L$11,FALSE)  +  OH!$D$2 ) * IF($D158="NJ",1.07,1))/$L$10, CHOOSE($M$10,$L$9,$M$9) )</f>
        <v xml:space="preserve"> 26.38 </v>
      </c>
      <c r="M158" s="178" t="str">
        <f>TEXT(   (SUMPRODUCT( ((LMPMain!$H$9:$H$1000)=$E158)*((LMPMain!$J$9:$J$1000)=$F158)*((LMPMain!$O$9:$O$1000)=$C158)*(LMPMain!S$9:S$1000) ) +  ( SUMPRODUCT( ((Adders!$D$13:$D$101)=$E158)*((Adders!$E$13:$E$101)=$F158)*(Adders!G$13:G$101)) + VLOOKUP($H158,Adders!$B$5:$G$8,M$11,FALSE)  +  OH!$D$2 ) * IF($D158="NJ",1.07,1))/$L$10, CHOOSE($M$10,$L$9,$M$9) )</f>
        <v xml:space="preserve"> 23.49 </v>
      </c>
      <c r="N158" s="179" t="str">
        <f>TEXT(   (SUMPRODUCT( ((LMPMain!$H$9:$H$1000)=$E158)*((LMPMain!$J$9:$J$1000)=$F158)*((LMPMain!$O$9:$O$1000)=$C158)*(LMPMain!T$9:T$1000) ) +  ( SUMPRODUCT( ((Adders!$D$13:$D$101)=$E158)*((Adders!$E$13:$E$101)=$F158)*(Adders!H$13:H$101)) + VLOOKUP($H158,Adders!$B$5:$G$8,N$11,FALSE)  +  OH!$D$2 ) * IF($D158="NJ",1.07,1))/$L$10, CHOOSE($M$10,$L$9,$M$9) )</f>
        <v xml:space="preserve"> 22.42 </v>
      </c>
      <c r="O158" s="112"/>
    </row>
    <row r="159" spans="2:15" x14ac:dyDescent="0.25">
      <c r="B159" s="108"/>
      <c r="C159" s="131">
        <f t="shared" si="3"/>
        <v>42156</v>
      </c>
      <c r="D159" s="132" t="s">
        <v>20</v>
      </c>
      <c r="E159" s="133" t="s">
        <v>23</v>
      </c>
      <c r="F159" s="132" t="s">
        <v>24</v>
      </c>
      <c r="G159" s="133" t="str">
        <f>G158</f>
        <v>General Service</v>
      </c>
      <c r="H159" s="134" t="s">
        <v>62</v>
      </c>
      <c r="I159" s="172" t="str">
        <f>TEXT(   (SUMPRODUCT( ((Main!$H$9:$H$1000)=$E159)*((Main!$J$9:$J$1000)=$F159)*((Main!$O$9:$O$1000)=$C159)*(Main!R$9:R$1000) ) +  ( SUMPRODUCT( ((Adders!$D$13:$D$101)=$E159)*((Adders!$E$13:$E$101)=$F159)*(Adders!G$13:G$101)) + VLOOKUP($H159,Adders!$B$5:$G$8,L$11,FALSE)  +  OH!$D$2 ) * IF($D159="NJ",1.07,1))/$L$10, CHOOSE($M$10,$L$9,$M$9) )</f>
        <v xml:space="preserve"> 63.63 </v>
      </c>
      <c r="J159" s="173" t="str">
        <f>TEXT(   (SUMPRODUCT( ((Main!$H$9:$H$1000)=$E159)*((Main!$J$9:$J$1000)=$F159)*((Main!$O$9:$O$1000)=$C159)*(Main!S$9:S$1000) ) +  ( SUMPRODUCT( ((Adders!$D$13:$D$101)=$E159)*((Adders!$E$13:$E$101)=$F159)*(Adders!H$13:H$101)) + VLOOKUP($H159,Adders!$B$5:$G$8,M$11,FALSE)  +  OH!$D$2 ) * IF($D159="NJ",1.07,1))/$L$10, CHOOSE($M$10,$L$9,$M$9) )</f>
        <v xml:space="preserve"> 60.63 </v>
      </c>
      <c r="K159" s="174" t="str">
        <f>TEXT(   (SUMPRODUCT( ((Main!$H$9:$H$1000)=$E159)*((Main!$J$9:$J$1000)=$F159)*((Main!$O$9:$O$1000)=$C159)*(Main!T$9:T$1000) ) +  ( SUMPRODUCT( ((Adders!$D$13:$D$101)=$E159)*((Adders!$E$13:$E$101)=$F159)*(Adders!I$13:I$101)) + VLOOKUP($H159,Adders!$B$5:$G$8,$N$11,FALSE)  +  OH!$D$2 ) * IF($D159="NJ",1.07,1))/$L$10, CHOOSE($M$10,$L$9,$M$9) )</f>
        <v xml:space="preserve"> 60.13 </v>
      </c>
      <c r="L159" s="172" t="str">
        <f>TEXT(   (SUMPRODUCT( ((LMPMain!$H$9:$H$1000)=$E159)*((LMPMain!$J$9:$J$1000)=$F159)*((LMPMain!$O$9:$O$1000)=$C159)*(LMPMain!R$9:R$1000) ) +  ( SUMPRODUCT( ((Adders!$D$13:$D$101)=$E159)*((Adders!$E$13:$E$101)=$F159)*(Adders!F$13:F$101)) + VLOOKUP($H159,Adders!$B$5:$G$8,L$11,FALSE)  +  OH!$D$2 ) * IF($D159="NJ",1.07,1))/$L$10, CHOOSE($M$10,$L$9,$M$9) )</f>
        <v xml:space="preserve"> 24.78 </v>
      </c>
      <c r="M159" s="173" t="str">
        <f>TEXT(   (SUMPRODUCT( ((LMPMain!$H$9:$H$1000)=$E159)*((LMPMain!$J$9:$J$1000)=$F159)*((LMPMain!$O$9:$O$1000)=$C159)*(LMPMain!S$9:S$1000) ) +  ( SUMPRODUCT( ((Adders!$D$13:$D$101)=$E159)*((Adders!$E$13:$E$101)=$F159)*(Adders!G$13:G$101)) + VLOOKUP($H159,Adders!$B$5:$G$8,M$11,FALSE)  +  OH!$D$2 ) * IF($D159="NJ",1.07,1))/$L$10, CHOOSE($M$10,$L$9,$M$9) )</f>
        <v xml:space="preserve"> 21.89 </v>
      </c>
      <c r="N159" s="174" t="str">
        <f>TEXT(   (SUMPRODUCT( ((LMPMain!$H$9:$H$1000)=$E159)*((LMPMain!$J$9:$J$1000)=$F159)*((LMPMain!$O$9:$O$1000)=$C159)*(LMPMain!T$9:T$1000) ) +  ( SUMPRODUCT( ((Adders!$D$13:$D$101)=$E159)*((Adders!$E$13:$E$101)=$F159)*(Adders!H$13:H$101)) + VLOOKUP($H159,Adders!$B$5:$G$8,N$11,FALSE)  +  OH!$D$2 ) * IF($D159="NJ",1.07,1))/$L$10, CHOOSE($M$10,$L$9,$M$9) )</f>
        <v xml:space="preserve"> 20.82 </v>
      </c>
      <c r="O159" s="112"/>
    </row>
    <row r="160" spans="2:15" x14ac:dyDescent="0.25">
      <c r="B160" s="108"/>
      <c r="C160" s="135">
        <f t="shared" si="3"/>
        <v>42156</v>
      </c>
      <c r="D160" s="136" t="s">
        <v>20</v>
      </c>
      <c r="E160" s="137" t="s">
        <v>23</v>
      </c>
      <c r="F160" s="136" t="s">
        <v>24</v>
      </c>
      <c r="G160" s="137" t="str">
        <f>G159</f>
        <v>General Service</v>
      </c>
      <c r="H160" s="138" t="s">
        <v>690</v>
      </c>
      <c r="I160" s="175" t="str">
        <f>TEXT(   (SUMPRODUCT( ((Main!$H$9:$H$1000)=$E160)*((Main!$J$9:$J$1000)=$F160)*((Main!$O$9:$O$1000)=$C160)*(Main!R$9:R$1000) ) +  ( SUMPRODUCT( ((Adders!$D$13:$D$101)=$E160)*((Adders!$E$13:$E$101)=$F160)*(Adders!G$13:G$101)) + VLOOKUP($H160,Adders!$B$5:$G$8,L$11,FALSE)  +  OH!$D$2 ) * IF($D160="NJ",1.07,1))/$L$10, CHOOSE($M$10,$L$9,$M$9) )</f>
        <v xml:space="preserve"> 62.58 </v>
      </c>
      <c r="J160" s="176" t="str">
        <f>TEXT(   (SUMPRODUCT( ((Main!$H$9:$H$1000)=$E160)*((Main!$J$9:$J$1000)=$F160)*((Main!$O$9:$O$1000)=$C160)*(Main!S$9:S$1000) ) +  ( SUMPRODUCT( ((Adders!$D$13:$D$101)=$E160)*((Adders!$E$13:$E$101)=$F160)*(Adders!H$13:H$101)) + VLOOKUP($H160,Adders!$B$5:$G$8,M$11,FALSE)  +  OH!$D$2 ) * IF($D160="NJ",1.07,1))/$L$10, CHOOSE($M$10,$L$9,$M$9) )</f>
        <v xml:space="preserve"> 59.58 </v>
      </c>
      <c r="K160" s="177" t="str">
        <f>TEXT(   (SUMPRODUCT( ((Main!$H$9:$H$1000)=$E160)*((Main!$J$9:$J$1000)=$F160)*((Main!$O$9:$O$1000)=$C160)*(Main!T$9:T$1000) ) +  ( SUMPRODUCT( ((Adders!$D$13:$D$101)=$E160)*((Adders!$E$13:$E$101)=$F160)*(Adders!I$13:I$101)) + VLOOKUP($H160,Adders!$B$5:$G$8,$N$11,FALSE)  +  OH!$D$2 ) * IF($D160="NJ",1.07,1))/$L$10, CHOOSE($M$10,$L$9,$M$9) )</f>
        <v xml:space="preserve"> 59.08 </v>
      </c>
      <c r="L160" s="175" t="str">
        <f>TEXT(   (SUMPRODUCT( ((LMPMain!$H$9:$H$1000)=$E160)*((LMPMain!$J$9:$J$1000)=$F160)*((LMPMain!$O$9:$O$1000)=$C160)*(LMPMain!R$9:R$1000) ) +  ( SUMPRODUCT( ((Adders!$D$13:$D$101)=$E160)*((Adders!$E$13:$E$101)=$F160)*(Adders!F$13:F$101)) + VLOOKUP($H160,Adders!$B$5:$G$8,L$11,FALSE)  +  OH!$D$2 ) * IF($D160="NJ",1.07,1))/$L$10, CHOOSE($M$10,$L$9,$M$9) )</f>
        <v xml:space="preserve"> 23.73 </v>
      </c>
      <c r="M160" s="176" t="str">
        <f>TEXT(   (SUMPRODUCT( ((LMPMain!$H$9:$H$1000)=$E160)*((LMPMain!$J$9:$J$1000)=$F160)*((LMPMain!$O$9:$O$1000)=$C160)*(LMPMain!S$9:S$1000) ) +  ( SUMPRODUCT( ((Adders!$D$13:$D$101)=$E160)*((Adders!$E$13:$E$101)=$F160)*(Adders!G$13:G$101)) + VLOOKUP($H160,Adders!$B$5:$G$8,M$11,FALSE)  +  OH!$D$2 ) * IF($D160="NJ",1.07,1))/$L$10, CHOOSE($M$10,$L$9,$M$9) )</f>
        <v xml:space="preserve"> 20.84 </v>
      </c>
      <c r="N160" s="177" t="str">
        <f>TEXT(   (SUMPRODUCT( ((LMPMain!$H$9:$H$1000)=$E160)*((LMPMain!$J$9:$J$1000)=$F160)*((LMPMain!$O$9:$O$1000)=$C160)*(LMPMain!T$9:T$1000) ) +  ( SUMPRODUCT( ((Adders!$D$13:$D$101)=$E160)*((Adders!$E$13:$E$101)=$F160)*(Adders!H$13:H$101)) + VLOOKUP($H160,Adders!$B$5:$G$8,N$11,FALSE)  +  OH!$D$2 ) * IF($D160="NJ",1.07,1))/$L$10, CHOOSE($M$10,$L$9,$M$9) )</f>
        <v xml:space="preserve"> 19.77 </v>
      </c>
      <c r="O160" s="112"/>
    </row>
    <row r="161" spans="2:15" x14ac:dyDescent="0.25">
      <c r="B161" s="108"/>
      <c r="C161" s="127">
        <f t="shared" si="3"/>
        <v>42186</v>
      </c>
      <c r="D161" s="128" t="s">
        <v>20</v>
      </c>
      <c r="E161" s="129" t="s">
        <v>23</v>
      </c>
      <c r="F161" s="128" t="s">
        <v>24</v>
      </c>
      <c r="G161" s="129" t="str">
        <f t="shared" si="4"/>
        <v>General Service</v>
      </c>
      <c r="H161" s="130" t="s">
        <v>61</v>
      </c>
      <c r="I161" s="180" t="str">
        <f>TEXT(   (SUMPRODUCT( ((Main!$H$9:$H$1000)=$E161)*((Main!$J$9:$J$1000)=$F161)*((Main!$O$9:$O$1000)=$C161)*(Main!R$9:R$1000) ) +  ( SUMPRODUCT( ((Adders!$D$13:$D$101)=$E161)*((Adders!$E$13:$E$101)=$F161)*(Adders!G$13:G$101)) + VLOOKUP($H161,Adders!$B$5:$G$8,L$11,FALSE)  +  OH!$D$2 ) * IF($D161="NJ",1.07,1))/$L$10, CHOOSE($M$10,$L$9,$M$9) )</f>
        <v xml:space="preserve"> 64.75 </v>
      </c>
      <c r="J161" s="178" t="str">
        <f>TEXT(   (SUMPRODUCT( ((Main!$H$9:$H$1000)=$E161)*((Main!$J$9:$J$1000)=$F161)*((Main!$O$9:$O$1000)=$C161)*(Main!S$9:S$1000) ) +  ( SUMPRODUCT( ((Adders!$D$13:$D$101)=$E161)*((Adders!$E$13:$E$101)=$F161)*(Adders!H$13:H$101)) + VLOOKUP($H161,Adders!$B$5:$G$8,M$11,FALSE)  +  OH!$D$2 ) * IF($D161="NJ",1.07,1))/$L$10, CHOOSE($M$10,$L$9,$M$9) )</f>
        <v xml:space="preserve"> 61.83 </v>
      </c>
      <c r="K161" s="179" t="str">
        <f>TEXT(   (SUMPRODUCT( ((Main!$H$9:$H$1000)=$E161)*((Main!$J$9:$J$1000)=$F161)*((Main!$O$9:$O$1000)=$C161)*(Main!T$9:T$1000) ) +  ( SUMPRODUCT( ((Adders!$D$13:$D$101)=$E161)*((Adders!$E$13:$E$101)=$F161)*(Adders!I$13:I$101)) + VLOOKUP($H161,Adders!$B$5:$G$8,$N$11,FALSE)  +  OH!$D$2 ) * IF($D161="NJ",1.07,1))/$L$10, CHOOSE($M$10,$L$9,$M$9) )</f>
        <v xml:space="preserve"> 61.76 </v>
      </c>
      <c r="L161" s="180" t="str">
        <f>TEXT(   (SUMPRODUCT( ((LMPMain!$H$9:$H$1000)=$E161)*((LMPMain!$J$9:$J$1000)=$F161)*((LMPMain!$O$9:$O$1000)=$C161)*(LMPMain!R$9:R$1000) ) +  ( SUMPRODUCT( ((Adders!$D$13:$D$101)=$E161)*((Adders!$E$13:$E$101)=$F161)*(Adders!F$13:F$101)) + VLOOKUP($H161,Adders!$B$5:$G$8,L$11,FALSE)  +  OH!$D$2 ) * IF($D161="NJ",1.07,1))/$L$10, CHOOSE($M$10,$L$9,$M$9) )</f>
        <v xml:space="preserve"> 25.72 </v>
      </c>
      <c r="M161" s="178" t="str">
        <f>TEXT(   (SUMPRODUCT( ((LMPMain!$H$9:$H$1000)=$E161)*((LMPMain!$J$9:$J$1000)=$F161)*((LMPMain!$O$9:$O$1000)=$C161)*(LMPMain!S$9:S$1000) ) +  ( SUMPRODUCT( ((Adders!$D$13:$D$101)=$E161)*((Adders!$E$13:$E$101)=$F161)*(Adders!G$13:G$101)) + VLOOKUP($H161,Adders!$B$5:$G$8,M$11,FALSE)  +  OH!$D$2 ) * IF($D161="NJ",1.07,1))/$L$10, CHOOSE($M$10,$L$9,$M$9) )</f>
        <v xml:space="preserve"> 23.16 </v>
      </c>
      <c r="N161" s="179" t="str">
        <f>TEXT(   (SUMPRODUCT( ((LMPMain!$H$9:$H$1000)=$E161)*((LMPMain!$J$9:$J$1000)=$F161)*((LMPMain!$O$9:$O$1000)=$C161)*(LMPMain!T$9:T$1000) ) +  ( SUMPRODUCT( ((Adders!$D$13:$D$101)=$E161)*((Adders!$E$13:$E$101)=$F161)*(Adders!H$13:H$101)) + VLOOKUP($H161,Adders!$B$5:$G$8,N$11,FALSE)  +  OH!$D$2 ) * IF($D161="NJ",1.07,1))/$L$10, CHOOSE($M$10,$L$9,$M$9) )</f>
        <v xml:space="preserve"> 22.35 </v>
      </c>
      <c r="O161" s="112"/>
    </row>
    <row r="162" spans="2:15" x14ac:dyDescent="0.25">
      <c r="B162" s="108"/>
      <c r="C162" s="131">
        <f t="shared" si="3"/>
        <v>42186</v>
      </c>
      <c r="D162" s="132" t="s">
        <v>20</v>
      </c>
      <c r="E162" s="133" t="s">
        <v>23</v>
      </c>
      <c r="F162" s="132" t="s">
        <v>24</v>
      </c>
      <c r="G162" s="133" t="str">
        <f t="shared" si="4"/>
        <v>General Service</v>
      </c>
      <c r="H162" s="134" t="s">
        <v>62</v>
      </c>
      <c r="I162" s="172" t="str">
        <f>TEXT(   (SUMPRODUCT( ((Main!$H$9:$H$1000)=$E162)*((Main!$J$9:$J$1000)=$F162)*((Main!$O$9:$O$1000)=$C162)*(Main!R$9:R$1000) ) +  ( SUMPRODUCT( ((Adders!$D$13:$D$101)=$E162)*((Adders!$E$13:$E$101)=$F162)*(Adders!G$13:G$101)) + VLOOKUP($H162,Adders!$B$5:$G$8,L$11,FALSE)  +  OH!$D$2 ) * IF($D162="NJ",1.07,1))/$L$10, CHOOSE($M$10,$L$9,$M$9) )</f>
        <v xml:space="preserve"> 63.15 </v>
      </c>
      <c r="J162" s="173" t="str">
        <f>TEXT(   (SUMPRODUCT( ((Main!$H$9:$H$1000)=$E162)*((Main!$J$9:$J$1000)=$F162)*((Main!$O$9:$O$1000)=$C162)*(Main!S$9:S$1000) ) +  ( SUMPRODUCT( ((Adders!$D$13:$D$101)=$E162)*((Adders!$E$13:$E$101)=$F162)*(Adders!H$13:H$101)) + VLOOKUP($H162,Adders!$B$5:$G$8,M$11,FALSE)  +  OH!$D$2 ) * IF($D162="NJ",1.07,1))/$L$10, CHOOSE($M$10,$L$9,$M$9) )</f>
        <v xml:space="preserve"> 60.23 </v>
      </c>
      <c r="K162" s="174" t="str">
        <f>TEXT(   (SUMPRODUCT( ((Main!$H$9:$H$1000)=$E162)*((Main!$J$9:$J$1000)=$F162)*((Main!$O$9:$O$1000)=$C162)*(Main!T$9:T$1000) ) +  ( SUMPRODUCT( ((Adders!$D$13:$D$101)=$E162)*((Adders!$E$13:$E$101)=$F162)*(Adders!I$13:I$101)) + VLOOKUP($H162,Adders!$B$5:$G$8,$N$11,FALSE)  +  OH!$D$2 ) * IF($D162="NJ",1.07,1))/$L$10, CHOOSE($M$10,$L$9,$M$9) )</f>
        <v xml:space="preserve"> 60.16 </v>
      </c>
      <c r="L162" s="172" t="str">
        <f>TEXT(   (SUMPRODUCT( ((LMPMain!$H$9:$H$1000)=$E162)*((LMPMain!$J$9:$J$1000)=$F162)*((LMPMain!$O$9:$O$1000)=$C162)*(LMPMain!R$9:R$1000) ) +  ( SUMPRODUCT( ((Adders!$D$13:$D$101)=$E162)*((Adders!$E$13:$E$101)=$F162)*(Adders!F$13:F$101)) + VLOOKUP($H162,Adders!$B$5:$G$8,L$11,FALSE)  +  OH!$D$2 ) * IF($D162="NJ",1.07,1))/$L$10, CHOOSE($M$10,$L$9,$M$9) )</f>
        <v xml:space="preserve"> 24.12 </v>
      </c>
      <c r="M162" s="173" t="str">
        <f>TEXT(   (SUMPRODUCT( ((LMPMain!$H$9:$H$1000)=$E162)*((LMPMain!$J$9:$J$1000)=$F162)*((LMPMain!$O$9:$O$1000)=$C162)*(LMPMain!S$9:S$1000) ) +  ( SUMPRODUCT( ((Adders!$D$13:$D$101)=$E162)*((Adders!$E$13:$E$101)=$F162)*(Adders!G$13:G$101)) + VLOOKUP($H162,Adders!$B$5:$G$8,M$11,FALSE)  +  OH!$D$2 ) * IF($D162="NJ",1.07,1))/$L$10, CHOOSE($M$10,$L$9,$M$9) )</f>
        <v xml:space="preserve"> 21.56 </v>
      </c>
      <c r="N162" s="174" t="str">
        <f>TEXT(   (SUMPRODUCT( ((LMPMain!$H$9:$H$1000)=$E162)*((LMPMain!$J$9:$J$1000)=$F162)*((LMPMain!$O$9:$O$1000)=$C162)*(LMPMain!T$9:T$1000) ) +  ( SUMPRODUCT( ((Adders!$D$13:$D$101)=$E162)*((Adders!$E$13:$E$101)=$F162)*(Adders!H$13:H$101)) + VLOOKUP($H162,Adders!$B$5:$G$8,N$11,FALSE)  +  OH!$D$2 ) * IF($D162="NJ",1.07,1))/$L$10, CHOOSE($M$10,$L$9,$M$9) )</f>
        <v xml:space="preserve"> 20.75 </v>
      </c>
      <c r="O162" s="112"/>
    </row>
    <row r="163" spans="2:15" x14ac:dyDescent="0.25">
      <c r="B163" s="108"/>
      <c r="C163" s="135">
        <f t="shared" si="3"/>
        <v>42186</v>
      </c>
      <c r="D163" s="136" t="s">
        <v>20</v>
      </c>
      <c r="E163" s="137" t="s">
        <v>23</v>
      </c>
      <c r="F163" s="136" t="s">
        <v>24</v>
      </c>
      <c r="G163" s="137" t="str">
        <f t="shared" si="4"/>
        <v>General Service</v>
      </c>
      <c r="H163" s="138" t="s">
        <v>690</v>
      </c>
      <c r="I163" s="175" t="str">
        <f>TEXT(   (SUMPRODUCT( ((Main!$H$9:$H$1000)=$E163)*((Main!$J$9:$J$1000)=$F163)*((Main!$O$9:$O$1000)=$C163)*(Main!R$9:R$1000) ) +  ( SUMPRODUCT( ((Adders!$D$13:$D$101)=$E163)*((Adders!$E$13:$E$101)=$F163)*(Adders!G$13:G$101)) + VLOOKUP($H163,Adders!$B$5:$G$8,L$11,FALSE)  +  OH!$D$2 ) * IF($D163="NJ",1.07,1))/$L$10, CHOOSE($M$10,$L$9,$M$9) )</f>
        <v xml:space="preserve"> 62.10 </v>
      </c>
      <c r="J163" s="176" t="str">
        <f>TEXT(   (SUMPRODUCT( ((Main!$H$9:$H$1000)=$E163)*((Main!$J$9:$J$1000)=$F163)*((Main!$O$9:$O$1000)=$C163)*(Main!S$9:S$1000) ) +  ( SUMPRODUCT( ((Adders!$D$13:$D$101)=$E163)*((Adders!$E$13:$E$101)=$F163)*(Adders!H$13:H$101)) + VLOOKUP($H163,Adders!$B$5:$G$8,M$11,FALSE)  +  OH!$D$2 ) * IF($D163="NJ",1.07,1))/$L$10, CHOOSE($M$10,$L$9,$M$9) )</f>
        <v xml:space="preserve"> 59.18 </v>
      </c>
      <c r="K163" s="177" t="str">
        <f>TEXT(   (SUMPRODUCT( ((Main!$H$9:$H$1000)=$E163)*((Main!$J$9:$J$1000)=$F163)*((Main!$O$9:$O$1000)=$C163)*(Main!T$9:T$1000) ) +  ( SUMPRODUCT( ((Adders!$D$13:$D$101)=$E163)*((Adders!$E$13:$E$101)=$F163)*(Adders!I$13:I$101)) + VLOOKUP($H163,Adders!$B$5:$G$8,$N$11,FALSE)  +  OH!$D$2 ) * IF($D163="NJ",1.07,1))/$L$10, CHOOSE($M$10,$L$9,$M$9) )</f>
        <v xml:space="preserve"> 59.11 </v>
      </c>
      <c r="L163" s="175" t="str">
        <f>TEXT(   (SUMPRODUCT( ((LMPMain!$H$9:$H$1000)=$E163)*((LMPMain!$J$9:$J$1000)=$F163)*((LMPMain!$O$9:$O$1000)=$C163)*(LMPMain!R$9:R$1000) ) +  ( SUMPRODUCT( ((Adders!$D$13:$D$101)=$E163)*((Adders!$E$13:$E$101)=$F163)*(Adders!F$13:F$101)) + VLOOKUP($H163,Adders!$B$5:$G$8,L$11,FALSE)  +  OH!$D$2 ) * IF($D163="NJ",1.07,1))/$L$10, CHOOSE($M$10,$L$9,$M$9) )</f>
        <v xml:space="preserve"> 23.07 </v>
      </c>
      <c r="M163" s="176" t="str">
        <f>TEXT(   (SUMPRODUCT( ((LMPMain!$H$9:$H$1000)=$E163)*((LMPMain!$J$9:$J$1000)=$F163)*((LMPMain!$O$9:$O$1000)=$C163)*(LMPMain!S$9:S$1000) ) +  ( SUMPRODUCT( ((Adders!$D$13:$D$101)=$E163)*((Adders!$E$13:$E$101)=$F163)*(Adders!G$13:G$101)) + VLOOKUP($H163,Adders!$B$5:$G$8,M$11,FALSE)  +  OH!$D$2 ) * IF($D163="NJ",1.07,1))/$L$10, CHOOSE($M$10,$L$9,$M$9) )</f>
        <v xml:space="preserve"> 20.51 </v>
      </c>
      <c r="N163" s="177" t="str">
        <f>TEXT(   (SUMPRODUCT( ((LMPMain!$H$9:$H$1000)=$E163)*((LMPMain!$J$9:$J$1000)=$F163)*((LMPMain!$O$9:$O$1000)=$C163)*(LMPMain!T$9:T$1000) ) +  ( SUMPRODUCT( ((Adders!$D$13:$D$101)=$E163)*((Adders!$E$13:$E$101)=$F163)*(Adders!H$13:H$101)) + VLOOKUP($H163,Adders!$B$5:$G$8,N$11,FALSE)  +  OH!$D$2 ) * IF($D163="NJ",1.07,1))/$L$10, CHOOSE($M$10,$L$9,$M$9) )</f>
        <v xml:space="preserve"> 19.70 </v>
      </c>
      <c r="O163" s="112"/>
    </row>
    <row r="164" spans="2:15" x14ac:dyDescent="0.25">
      <c r="B164" s="108"/>
      <c r="C164" s="127">
        <f t="shared" si="3"/>
        <v>42217</v>
      </c>
      <c r="D164" s="128" t="s">
        <v>20</v>
      </c>
      <c r="E164" s="129" t="s">
        <v>23</v>
      </c>
      <c r="F164" s="128" t="s">
        <v>24</v>
      </c>
      <c r="G164" s="129" t="str">
        <f t="shared" si="4"/>
        <v>General Service</v>
      </c>
      <c r="H164" s="130" t="s">
        <v>61</v>
      </c>
      <c r="I164" s="180" t="str">
        <f>TEXT(   (SUMPRODUCT( ((Main!$H$9:$H$1000)=$E164)*((Main!$J$9:$J$1000)=$F164)*((Main!$O$9:$O$1000)=$C164)*(Main!R$9:R$1000) ) +  ( SUMPRODUCT( ((Adders!$D$13:$D$101)=$E164)*((Adders!$E$13:$E$101)=$F164)*(Adders!G$13:G$101)) + VLOOKUP($H164,Adders!$B$5:$G$8,L$11,FALSE)  +  OH!$D$2 ) * IF($D164="NJ",1.07,1))/$L$10, CHOOSE($M$10,$L$9,$M$9) )</f>
        <v xml:space="preserve"> 64.10 </v>
      </c>
      <c r="J164" s="178" t="str">
        <f>TEXT(   (SUMPRODUCT( ((Main!$H$9:$H$1000)=$E164)*((Main!$J$9:$J$1000)=$F164)*((Main!$O$9:$O$1000)=$C164)*(Main!S$9:S$1000) ) +  ( SUMPRODUCT( ((Adders!$D$13:$D$101)=$E164)*((Adders!$E$13:$E$101)=$F164)*(Adders!H$13:H$101)) + VLOOKUP($H164,Adders!$B$5:$G$8,M$11,FALSE)  +  OH!$D$2 ) * IF($D164="NJ",1.07,1))/$L$10, CHOOSE($M$10,$L$9,$M$9) )</f>
        <v xml:space="preserve"> 61.78 </v>
      </c>
      <c r="K164" s="179" t="str">
        <f>TEXT(   (SUMPRODUCT( ((Main!$H$9:$H$1000)=$E164)*((Main!$J$9:$J$1000)=$F164)*((Main!$O$9:$O$1000)=$C164)*(Main!T$9:T$1000) ) +  ( SUMPRODUCT( ((Adders!$D$13:$D$101)=$E164)*((Adders!$E$13:$E$101)=$F164)*(Adders!I$13:I$101)) + VLOOKUP($H164,Adders!$B$5:$G$8,$N$11,FALSE)  +  OH!$D$2 ) * IF($D164="NJ",1.07,1))/$L$10, CHOOSE($M$10,$L$9,$M$9) )</f>
        <v xml:space="preserve"> 61.86 </v>
      </c>
      <c r="L164" s="180" t="str">
        <f>TEXT(   (SUMPRODUCT( ((LMPMain!$H$9:$H$1000)=$E164)*((LMPMain!$J$9:$J$1000)=$F164)*((LMPMain!$O$9:$O$1000)=$C164)*(LMPMain!R$9:R$1000) ) +  ( SUMPRODUCT( ((Adders!$D$13:$D$101)=$E164)*((Adders!$E$13:$E$101)=$F164)*(Adders!F$13:F$101)) + VLOOKUP($H164,Adders!$B$5:$G$8,L$11,FALSE)  +  OH!$D$2 ) * IF($D164="NJ",1.07,1))/$L$10, CHOOSE($M$10,$L$9,$M$9) )</f>
        <v xml:space="preserve"> 25.06 </v>
      </c>
      <c r="M164" s="178" t="str">
        <f>TEXT(   (SUMPRODUCT( ((LMPMain!$H$9:$H$1000)=$E164)*((LMPMain!$J$9:$J$1000)=$F164)*((LMPMain!$O$9:$O$1000)=$C164)*(LMPMain!S$9:S$1000) ) +  ( SUMPRODUCT( ((Adders!$D$13:$D$101)=$E164)*((Adders!$E$13:$E$101)=$F164)*(Adders!G$13:G$101)) + VLOOKUP($H164,Adders!$B$5:$G$8,M$11,FALSE)  +  OH!$D$2 ) * IF($D164="NJ",1.07,1))/$L$10, CHOOSE($M$10,$L$9,$M$9) )</f>
        <v xml:space="preserve"> 22.90 </v>
      </c>
      <c r="N164" s="179" t="str">
        <f>TEXT(   (SUMPRODUCT( ((LMPMain!$H$9:$H$1000)=$E164)*((LMPMain!$J$9:$J$1000)=$F164)*((LMPMain!$O$9:$O$1000)=$C164)*(LMPMain!T$9:T$1000) ) +  ( SUMPRODUCT( ((Adders!$D$13:$D$101)=$E164)*((Adders!$E$13:$E$101)=$F164)*(Adders!H$13:H$101)) + VLOOKUP($H164,Adders!$B$5:$G$8,N$11,FALSE)  +  OH!$D$2 ) * IF($D164="NJ",1.07,1))/$L$10, CHOOSE($M$10,$L$9,$M$9) )</f>
        <v xml:space="preserve"> 22.30 </v>
      </c>
      <c r="O164" s="112"/>
    </row>
    <row r="165" spans="2:15" x14ac:dyDescent="0.25">
      <c r="B165" s="108"/>
      <c r="C165" s="131">
        <f t="shared" si="3"/>
        <v>42217</v>
      </c>
      <c r="D165" s="132" t="s">
        <v>20</v>
      </c>
      <c r="E165" s="133" t="s">
        <v>23</v>
      </c>
      <c r="F165" s="132" t="s">
        <v>24</v>
      </c>
      <c r="G165" s="133" t="str">
        <f t="shared" si="4"/>
        <v>General Service</v>
      </c>
      <c r="H165" s="134" t="s">
        <v>62</v>
      </c>
      <c r="I165" s="172" t="str">
        <f>TEXT(   (SUMPRODUCT( ((Main!$H$9:$H$1000)=$E165)*((Main!$J$9:$J$1000)=$F165)*((Main!$O$9:$O$1000)=$C165)*(Main!R$9:R$1000) ) +  ( SUMPRODUCT( ((Adders!$D$13:$D$101)=$E165)*((Adders!$E$13:$E$101)=$F165)*(Adders!G$13:G$101)) + VLOOKUP($H165,Adders!$B$5:$G$8,L$11,FALSE)  +  OH!$D$2 ) * IF($D165="NJ",1.07,1))/$L$10, CHOOSE($M$10,$L$9,$M$9) )</f>
        <v xml:space="preserve"> 62.50 </v>
      </c>
      <c r="J165" s="173" t="str">
        <f>TEXT(   (SUMPRODUCT( ((Main!$H$9:$H$1000)=$E165)*((Main!$J$9:$J$1000)=$F165)*((Main!$O$9:$O$1000)=$C165)*(Main!S$9:S$1000) ) +  ( SUMPRODUCT( ((Adders!$D$13:$D$101)=$E165)*((Adders!$E$13:$E$101)=$F165)*(Adders!H$13:H$101)) + VLOOKUP($H165,Adders!$B$5:$G$8,M$11,FALSE)  +  OH!$D$2 ) * IF($D165="NJ",1.07,1))/$L$10, CHOOSE($M$10,$L$9,$M$9) )</f>
        <v xml:space="preserve"> 60.18 </v>
      </c>
      <c r="K165" s="174" t="str">
        <f>TEXT(   (SUMPRODUCT( ((Main!$H$9:$H$1000)=$E165)*((Main!$J$9:$J$1000)=$F165)*((Main!$O$9:$O$1000)=$C165)*(Main!T$9:T$1000) ) +  ( SUMPRODUCT( ((Adders!$D$13:$D$101)=$E165)*((Adders!$E$13:$E$101)=$F165)*(Adders!I$13:I$101)) + VLOOKUP($H165,Adders!$B$5:$G$8,$N$11,FALSE)  +  OH!$D$2 ) * IF($D165="NJ",1.07,1))/$L$10, CHOOSE($M$10,$L$9,$M$9) )</f>
        <v xml:space="preserve"> 60.26 </v>
      </c>
      <c r="L165" s="172" t="str">
        <f>TEXT(   (SUMPRODUCT( ((LMPMain!$H$9:$H$1000)=$E165)*((LMPMain!$J$9:$J$1000)=$F165)*((LMPMain!$O$9:$O$1000)=$C165)*(LMPMain!R$9:R$1000) ) +  ( SUMPRODUCT( ((Adders!$D$13:$D$101)=$E165)*((Adders!$E$13:$E$101)=$F165)*(Adders!F$13:F$101)) + VLOOKUP($H165,Adders!$B$5:$G$8,L$11,FALSE)  +  OH!$D$2 ) * IF($D165="NJ",1.07,1))/$L$10, CHOOSE($M$10,$L$9,$M$9) )</f>
        <v xml:space="preserve"> 23.46 </v>
      </c>
      <c r="M165" s="173" t="str">
        <f>TEXT(   (SUMPRODUCT( ((LMPMain!$H$9:$H$1000)=$E165)*((LMPMain!$J$9:$J$1000)=$F165)*((LMPMain!$O$9:$O$1000)=$C165)*(LMPMain!S$9:S$1000) ) +  ( SUMPRODUCT( ((Adders!$D$13:$D$101)=$E165)*((Adders!$E$13:$E$101)=$F165)*(Adders!G$13:G$101)) + VLOOKUP($H165,Adders!$B$5:$G$8,M$11,FALSE)  +  OH!$D$2 ) * IF($D165="NJ",1.07,1))/$L$10, CHOOSE($M$10,$L$9,$M$9) )</f>
        <v xml:space="preserve"> 21.30 </v>
      </c>
      <c r="N165" s="174" t="str">
        <f>TEXT(   (SUMPRODUCT( ((LMPMain!$H$9:$H$1000)=$E165)*((LMPMain!$J$9:$J$1000)=$F165)*((LMPMain!$O$9:$O$1000)=$C165)*(LMPMain!T$9:T$1000) ) +  ( SUMPRODUCT( ((Adders!$D$13:$D$101)=$E165)*((Adders!$E$13:$E$101)=$F165)*(Adders!H$13:H$101)) + VLOOKUP($H165,Adders!$B$5:$G$8,N$11,FALSE)  +  OH!$D$2 ) * IF($D165="NJ",1.07,1))/$L$10, CHOOSE($M$10,$L$9,$M$9) )</f>
        <v xml:space="preserve"> 20.70 </v>
      </c>
      <c r="O165" s="112"/>
    </row>
    <row r="166" spans="2:15" x14ac:dyDescent="0.25">
      <c r="B166" s="108"/>
      <c r="C166" s="135">
        <f t="shared" si="3"/>
        <v>42217</v>
      </c>
      <c r="D166" s="136" t="s">
        <v>20</v>
      </c>
      <c r="E166" s="137" t="s">
        <v>23</v>
      </c>
      <c r="F166" s="136" t="s">
        <v>24</v>
      </c>
      <c r="G166" s="137" t="str">
        <f t="shared" si="4"/>
        <v>General Service</v>
      </c>
      <c r="H166" s="138" t="s">
        <v>690</v>
      </c>
      <c r="I166" s="175" t="str">
        <f>TEXT(   (SUMPRODUCT( ((Main!$H$9:$H$1000)=$E166)*((Main!$J$9:$J$1000)=$F166)*((Main!$O$9:$O$1000)=$C166)*(Main!R$9:R$1000) ) +  ( SUMPRODUCT( ((Adders!$D$13:$D$101)=$E166)*((Adders!$E$13:$E$101)=$F166)*(Adders!G$13:G$101)) + VLOOKUP($H166,Adders!$B$5:$G$8,L$11,FALSE)  +  OH!$D$2 ) * IF($D166="NJ",1.07,1))/$L$10, CHOOSE($M$10,$L$9,$M$9) )</f>
        <v xml:space="preserve"> 61.45 </v>
      </c>
      <c r="J166" s="176" t="str">
        <f>TEXT(   (SUMPRODUCT( ((Main!$H$9:$H$1000)=$E166)*((Main!$J$9:$J$1000)=$F166)*((Main!$O$9:$O$1000)=$C166)*(Main!S$9:S$1000) ) +  ( SUMPRODUCT( ((Adders!$D$13:$D$101)=$E166)*((Adders!$E$13:$E$101)=$F166)*(Adders!H$13:H$101)) + VLOOKUP($H166,Adders!$B$5:$G$8,M$11,FALSE)  +  OH!$D$2 ) * IF($D166="NJ",1.07,1))/$L$10, CHOOSE($M$10,$L$9,$M$9) )</f>
        <v xml:space="preserve"> 59.13 </v>
      </c>
      <c r="K166" s="177" t="str">
        <f>TEXT(   (SUMPRODUCT( ((Main!$H$9:$H$1000)=$E166)*((Main!$J$9:$J$1000)=$F166)*((Main!$O$9:$O$1000)=$C166)*(Main!T$9:T$1000) ) +  ( SUMPRODUCT( ((Adders!$D$13:$D$101)=$E166)*((Adders!$E$13:$E$101)=$F166)*(Adders!I$13:I$101)) + VLOOKUP($H166,Adders!$B$5:$G$8,$N$11,FALSE)  +  OH!$D$2 ) * IF($D166="NJ",1.07,1))/$L$10, CHOOSE($M$10,$L$9,$M$9) )</f>
        <v xml:space="preserve"> 59.21 </v>
      </c>
      <c r="L166" s="175" t="str">
        <f>TEXT(   (SUMPRODUCT( ((LMPMain!$H$9:$H$1000)=$E166)*((LMPMain!$J$9:$J$1000)=$F166)*((LMPMain!$O$9:$O$1000)=$C166)*(LMPMain!R$9:R$1000) ) +  ( SUMPRODUCT( ((Adders!$D$13:$D$101)=$E166)*((Adders!$E$13:$E$101)=$F166)*(Adders!F$13:F$101)) + VLOOKUP($H166,Adders!$B$5:$G$8,L$11,FALSE)  +  OH!$D$2 ) * IF($D166="NJ",1.07,1))/$L$10, CHOOSE($M$10,$L$9,$M$9) )</f>
        <v xml:space="preserve"> 22.41 </v>
      </c>
      <c r="M166" s="176" t="str">
        <f>TEXT(   (SUMPRODUCT( ((LMPMain!$H$9:$H$1000)=$E166)*((LMPMain!$J$9:$J$1000)=$F166)*((LMPMain!$O$9:$O$1000)=$C166)*(LMPMain!S$9:S$1000) ) +  ( SUMPRODUCT( ((Adders!$D$13:$D$101)=$E166)*((Adders!$E$13:$E$101)=$F166)*(Adders!G$13:G$101)) + VLOOKUP($H166,Adders!$B$5:$G$8,M$11,FALSE)  +  OH!$D$2 ) * IF($D166="NJ",1.07,1))/$L$10, CHOOSE($M$10,$L$9,$M$9) )</f>
        <v xml:space="preserve"> 20.25 </v>
      </c>
      <c r="N166" s="177" t="str">
        <f>TEXT(   (SUMPRODUCT( ((LMPMain!$H$9:$H$1000)=$E166)*((LMPMain!$J$9:$J$1000)=$F166)*((LMPMain!$O$9:$O$1000)=$C166)*(LMPMain!T$9:T$1000) ) +  ( SUMPRODUCT( ((Adders!$D$13:$D$101)=$E166)*((Adders!$E$13:$E$101)=$F166)*(Adders!H$13:H$101)) + VLOOKUP($H166,Adders!$B$5:$G$8,N$11,FALSE)  +  OH!$D$2 ) * IF($D166="NJ",1.07,1))/$L$10, CHOOSE($M$10,$L$9,$M$9) )</f>
        <v xml:space="preserve"> 19.65 </v>
      </c>
      <c r="O166" s="112"/>
    </row>
    <row r="167" spans="2:15" x14ac:dyDescent="0.25">
      <c r="B167" s="108"/>
      <c r="C167" s="127">
        <f t="shared" si="3"/>
        <v>42248</v>
      </c>
      <c r="D167" s="128" t="s">
        <v>20</v>
      </c>
      <c r="E167" s="129" t="s">
        <v>23</v>
      </c>
      <c r="F167" s="128" t="s">
        <v>24</v>
      </c>
      <c r="G167" s="129" t="str">
        <f t="shared" si="4"/>
        <v>General Service</v>
      </c>
      <c r="H167" s="130" t="s">
        <v>61</v>
      </c>
      <c r="I167" s="180" t="str">
        <f>TEXT(   (SUMPRODUCT( ((Main!$H$9:$H$1000)=$E167)*((Main!$J$9:$J$1000)=$F167)*((Main!$O$9:$O$1000)=$C167)*(Main!R$9:R$1000) ) +  ( SUMPRODUCT( ((Adders!$D$13:$D$101)=$E167)*((Adders!$E$13:$E$101)=$F167)*(Adders!G$13:G$101)) + VLOOKUP($H167,Adders!$B$5:$G$8,L$11,FALSE)  +  OH!$D$2 ) * IF($D167="NJ",1.07,1))/$L$10, CHOOSE($M$10,$L$9,$M$9) )</f>
        <v xml:space="preserve"> 63.61 </v>
      </c>
      <c r="J167" s="178" t="str">
        <f>TEXT(   (SUMPRODUCT( ((Main!$H$9:$H$1000)=$E167)*((Main!$J$9:$J$1000)=$F167)*((Main!$O$9:$O$1000)=$C167)*(Main!S$9:S$1000) ) +  ( SUMPRODUCT( ((Adders!$D$13:$D$101)=$E167)*((Adders!$E$13:$E$101)=$F167)*(Adders!H$13:H$101)) + VLOOKUP($H167,Adders!$B$5:$G$8,M$11,FALSE)  +  OH!$D$2 ) * IF($D167="NJ",1.07,1))/$L$10, CHOOSE($M$10,$L$9,$M$9) )</f>
        <v xml:space="preserve"> 61.87 </v>
      </c>
      <c r="K167" s="179" t="str">
        <f>TEXT(   (SUMPRODUCT( ((Main!$H$9:$H$1000)=$E167)*((Main!$J$9:$J$1000)=$F167)*((Main!$O$9:$O$1000)=$C167)*(Main!T$9:T$1000) ) +  ( SUMPRODUCT( ((Adders!$D$13:$D$101)=$E167)*((Adders!$E$13:$E$101)=$F167)*(Adders!I$13:I$101)) + VLOOKUP($H167,Adders!$B$5:$G$8,$N$11,FALSE)  +  OH!$D$2 ) * IF($D167="NJ",1.07,1))/$L$10, CHOOSE($M$10,$L$9,$M$9) )</f>
        <v xml:space="preserve"> 62.03 </v>
      </c>
      <c r="L167" s="180" t="str">
        <f>TEXT(   (SUMPRODUCT( ((LMPMain!$H$9:$H$1000)=$E167)*((LMPMain!$J$9:$J$1000)=$F167)*((LMPMain!$O$9:$O$1000)=$C167)*(LMPMain!R$9:R$1000) ) +  ( SUMPRODUCT( ((Adders!$D$13:$D$101)=$E167)*((Adders!$E$13:$E$101)=$F167)*(Adders!F$13:F$101)) + VLOOKUP($H167,Adders!$B$5:$G$8,L$11,FALSE)  +  OH!$D$2 ) * IF($D167="NJ",1.07,1))/$L$10, CHOOSE($M$10,$L$9,$M$9) )</f>
        <v xml:space="preserve"> 24.37 </v>
      </c>
      <c r="M167" s="178" t="str">
        <f>TEXT(   (SUMPRODUCT( ((LMPMain!$H$9:$H$1000)=$E167)*((LMPMain!$J$9:$J$1000)=$F167)*((LMPMain!$O$9:$O$1000)=$C167)*(LMPMain!S$9:S$1000) ) +  ( SUMPRODUCT( ((Adders!$D$13:$D$101)=$E167)*((Adders!$E$13:$E$101)=$F167)*(Adders!G$13:G$101)) + VLOOKUP($H167,Adders!$B$5:$G$8,M$11,FALSE)  +  OH!$D$2 ) * IF($D167="NJ",1.07,1))/$L$10, CHOOSE($M$10,$L$9,$M$9) )</f>
        <v xml:space="preserve"> 22.60 </v>
      </c>
      <c r="N167" s="179" t="str">
        <f>TEXT(   (SUMPRODUCT( ((LMPMain!$H$9:$H$1000)=$E167)*((LMPMain!$J$9:$J$1000)=$F167)*((LMPMain!$O$9:$O$1000)=$C167)*(LMPMain!T$9:T$1000) ) +  ( SUMPRODUCT( ((Adders!$D$13:$D$101)=$E167)*((Adders!$E$13:$E$101)=$F167)*(Adders!H$13:H$101)) + VLOOKUP($H167,Adders!$B$5:$G$8,N$11,FALSE)  +  OH!$D$2 ) * IF($D167="NJ",1.07,1))/$L$10, CHOOSE($M$10,$L$9,$M$9) )</f>
        <v xml:space="preserve"> 22.23 </v>
      </c>
      <c r="O167" s="112"/>
    </row>
    <row r="168" spans="2:15" x14ac:dyDescent="0.25">
      <c r="B168" s="108"/>
      <c r="C168" s="131">
        <f t="shared" si="3"/>
        <v>42248</v>
      </c>
      <c r="D168" s="132" t="s">
        <v>20</v>
      </c>
      <c r="E168" s="133" t="s">
        <v>23</v>
      </c>
      <c r="F168" s="132" t="s">
        <v>24</v>
      </c>
      <c r="G168" s="133" t="str">
        <f t="shared" si="4"/>
        <v>General Service</v>
      </c>
      <c r="H168" s="134" t="s">
        <v>62</v>
      </c>
      <c r="I168" s="172" t="str">
        <f>TEXT(   (SUMPRODUCT( ((Main!$H$9:$H$1000)=$E168)*((Main!$J$9:$J$1000)=$F168)*((Main!$O$9:$O$1000)=$C168)*(Main!R$9:R$1000) ) +  ( SUMPRODUCT( ((Adders!$D$13:$D$101)=$E168)*((Adders!$E$13:$E$101)=$F168)*(Adders!G$13:G$101)) + VLOOKUP($H168,Adders!$B$5:$G$8,L$11,FALSE)  +  OH!$D$2 ) * IF($D168="NJ",1.07,1))/$L$10, CHOOSE($M$10,$L$9,$M$9) )</f>
        <v xml:space="preserve"> 62.01 </v>
      </c>
      <c r="J168" s="173" t="str">
        <f>TEXT(   (SUMPRODUCT( ((Main!$H$9:$H$1000)=$E168)*((Main!$J$9:$J$1000)=$F168)*((Main!$O$9:$O$1000)=$C168)*(Main!S$9:S$1000) ) +  ( SUMPRODUCT( ((Adders!$D$13:$D$101)=$E168)*((Adders!$E$13:$E$101)=$F168)*(Adders!H$13:H$101)) + VLOOKUP($H168,Adders!$B$5:$G$8,M$11,FALSE)  +  OH!$D$2 ) * IF($D168="NJ",1.07,1))/$L$10, CHOOSE($M$10,$L$9,$M$9) )</f>
        <v xml:space="preserve"> 60.27 </v>
      </c>
      <c r="K168" s="174" t="str">
        <f>TEXT(   (SUMPRODUCT( ((Main!$H$9:$H$1000)=$E168)*((Main!$J$9:$J$1000)=$F168)*((Main!$O$9:$O$1000)=$C168)*(Main!T$9:T$1000) ) +  ( SUMPRODUCT( ((Adders!$D$13:$D$101)=$E168)*((Adders!$E$13:$E$101)=$F168)*(Adders!I$13:I$101)) + VLOOKUP($H168,Adders!$B$5:$G$8,$N$11,FALSE)  +  OH!$D$2 ) * IF($D168="NJ",1.07,1))/$L$10, CHOOSE($M$10,$L$9,$M$9) )</f>
        <v xml:space="preserve"> 60.43 </v>
      </c>
      <c r="L168" s="172" t="str">
        <f>TEXT(   (SUMPRODUCT( ((LMPMain!$H$9:$H$1000)=$E168)*((LMPMain!$J$9:$J$1000)=$F168)*((LMPMain!$O$9:$O$1000)=$C168)*(LMPMain!R$9:R$1000) ) +  ( SUMPRODUCT( ((Adders!$D$13:$D$101)=$E168)*((Adders!$E$13:$E$101)=$F168)*(Adders!F$13:F$101)) + VLOOKUP($H168,Adders!$B$5:$G$8,L$11,FALSE)  +  OH!$D$2 ) * IF($D168="NJ",1.07,1))/$L$10, CHOOSE($M$10,$L$9,$M$9) )</f>
        <v xml:space="preserve"> 22.77 </v>
      </c>
      <c r="M168" s="173" t="str">
        <f>TEXT(   (SUMPRODUCT( ((LMPMain!$H$9:$H$1000)=$E168)*((LMPMain!$J$9:$J$1000)=$F168)*((LMPMain!$O$9:$O$1000)=$C168)*(LMPMain!S$9:S$1000) ) +  ( SUMPRODUCT( ((Adders!$D$13:$D$101)=$E168)*((Adders!$E$13:$E$101)=$F168)*(Adders!G$13:G$101)) + VLOOKUP($H168,Adders!$B$5:$G$8,M$11,FALSE)  +  OH!$D$2 ) * IF($D168="NJ",1.07,1))/$L$10, CHOOSE($M$10,$L$9,$M$9) )</f>
        <v xml:space="preserve"> 21.00 </v>
      </c>
      <c r="N168" s="174" t="str">
        <f>TEXT(   (SUMPRODUCT( ((LMPMain!$H$9:$H$1000)=$E168)*((LMPMain!$J$9:$J$1000)=$F168)*((LMPMain!$O$9:$O$1000)=$C168)*(LMPMain!T$9:T$1000) ) +  ( SUMPRODUCT( ((Adders!$D$13:$D$101)=$E168)*((Adders!$E$13:$E$101)=$F168)*(Adders!H$13:H$101)) + VLOOKUP($H168,Adders!$B$5:$G$8,N$11,FALSE)  +  OH!$D$2 ) * IF($D168="NJ",1.07,1))/$L$10, CHOOSE($M$10,$L$9,$M$9) )</f>
        <v xml:space="preserve"> 20.63 </v>
      </c>
      <c r="O168" s="112"/>
    </row>
    <row r="169" spans="2:15" x14ac:dyDescent="0.25">
      <c r="B169" s="108"/>
      <c r="C169" s="135">
        <f t="shared" si="3"/>
        <v>42248</v>
      </c>
      <c r="D169" s="136" t="s">
        <v>20</v>
      </c>
      <c r="E169" s="137" t="s">
        <v>23</v>
      </c>
      <c r="F169" s="136" t="s">
        <v>24</v>
      </c>
      <c r="G169" s="137" t="str">
        <f t="shared" si="4"/>
        <v>General Service</v>
      </c>
      <c r="H169" s="138" t="s">
        <v>690</v>
      </c>
      <c r="I169" s="175" t="str">
        <f>TEXT(   (SUMPRODUCT( ((Main!$H$9:$H$1000)=$E169)*((Main!$J$9:$J$1000)=$F169)*((Main!$O$9:$O$1000)=$C169)*(Main!R$9:R$1000) ) +  ( SUMPRODUCT( ((Adders!$D$13:$D$101)=$E169)*((Adders!$E$13:$E$101)=$F169)*(Adders!G$13:G$101)) + VLOOKUP($H169,Adders!$B$5:$G$8,L$11,FALSE)  +  OH!$D$2 ) * IF($D169="NJ",1.07,1))/$L$10, CHOOSE($M$10,$L$9,$M$9) )</f>
        <v xml:space="preserve"> 60.96 </v>
      </c>
      <c r="J169" s="176" t="str">
        <f>TEXT(   (SUMPRODUCT( ((Main!$H$9:$H$1000)=$E169)*((Main!$J$9:$J$1000)=$F169)*((Main!$O$9:$O$1000)=$C169)*(Main!S$9:S$1000) ) +  ( SUMPRODUCT( ((Adders!$D$13:$D$101)=$E169)*((Adders!$E$13:$E$101)=$F169)*(Adders!H$13:H$101)) + VLOOKUP($H169,Adders!$B$5:$G$8,M$11,FALSE)  +  OH!$D$2 ) * IF($D169="NJ",1.07,1))/$L$10, CHOOSE($M$10,$L$9,$M$9) )</f>
        <v xml:space="preserve"> 59.22 </v>
      </c>
      <c r="K169" s="177" t="str">
        <f>TEXT(   (SUMPRODUCT( ((Main!$H$9:$H$1000)=$E169)*((Main!$J$9:$J$1000)=$F169)*((Main!$O$9:$O$1000)=$C169)*(Main!T$9:T$1000) ) +  ( SUMPRODUCT( ((Adders!$D$13:$D$101)=$E169)*((Adders!$E$13:$E$101)=$F169)*(Adders!I$13:I$101)) + VLOOKUP($H169,Adders!$B$5:$G$8,$N$11,FALSE)  +  OH!$D$2 ) * IF($D169="NJ",1.07,1))/$L$10, CHOOSE($M$10,$L$9,$M$9) )</f>
        <v xml:space="preserve"> 59.38 </v>
      </c>
      <c r="L169" s="175" t="str">
        <f>TEXT(   (SUMPRODUCT( ((LMPMain!$H$9:$H$1000)=$E169)*((LMPMain!$J$9:$J$1000)=$F169)*((LMPMain!$O$9:$O$1000)=$C169)*(LMPMain!R$9:R$1000) ) +  ( SUMPRODUCT( ((Adders!$D$13:$D$101)=$E169)*((Adders!$E$13:$E$101)=$F169)*(Adders!F$13:F$101)) + VLOOKUP($H169,Adders!$B$5:$G$8,L$11,FALSE)  +  OH!$D$2 ) * IF($D169="NJ",1.07,1))/$L$10, CHOOSE($M$10,$L$9,$M$9) )</f>
        <v xml:space="preserve"> 21.72 </v>
      </c>
      <c r="M169" s="176" t="str">
        <f>TEXT(   (SUMPRODUCT( ((LMPMain!$H$9:$H$1000)=$E169)*((LMPMain!$J$9:$J$1000)=$F169)*((LMPMain!$O$9:$O$1000)=$C169)*(LMPMain!S$9:S$1000) ) +  ( SUMPRODUCT( ((Adders!$D$13:$D$101)=$E169)*((Adders!$E$13:$E$101)=$F169)*(Adders!G$13:G$101)) + VLOOKUP($H169,Adders!$B$5:$G$8,M$11,FALSE)  +  OH!$D$2 ) * IF($D169="NJ",1.07,1))/$L$10, CHOOSE($M$10,$L$9,$M$9) )</f>
        <v xml:space="preserve"> 19.95 </v>
      </c>
      <c r="N169" s="177" t="str">
        <f>TEXT(   (SUMPRODUCT( ((LMPMain!$H$9:$H$1000)=$E169)*((LMPMain!$J$9:$J$1000)=$F169)*((LMPMain!$O$9:$O$1000)=$C169)*(LMPMain!T$9:T$1000) ) +  ( SUMPRODUCT( ((Adders!$D$13:$D$101)=$E169)*((Adders!$E$13:$E$101)=$F169)*(Adders!H$13:H$101)) + VLOOKUP($H169,Adders!$B$5:$G$8,N$11,FALSE)  +  OH!$D$2 ) * IF($D169="NJ",1.07,1))/$L$10, CHOOSE($M$10,$L$9,$M$9) )</f>
        <v xml:space="preserve"> 19.58 </v>
      </c>
      <c r="O169" s="112"/>
    </row>
    <row r="170" spans="2:15" x14ac:dyDescent="0.25">
      <c r="B170" s="108"/>
      <c r="C170" s="127">
        <f t="shared" si="3"/>
        <v>42278</v>
      </c>
      <c r="D170" s="128" t="s">
        <v>20</v>
      </c>
      <c r="E170" s="129" t="s">
        <v>23</v>
      </c>
      <c r="F170" s="128" t="s">
        <v>24</v>
      </c>
      <c r="G170" s="129" t="str">
        <f t="shared" si="4"/>
        <v>General Service</v>
      </c>
      <c r="H170" s="130" t="s">
        <v>61</v>
      </c>
      <c r="I170" s="180" t="str">
        <f>TEXT(   (SUMPRODUCT( ((Main!$H$9:$H$1000)=$E170)*((Main!$J$9:$J$1000)=$F170)*((Main!$O$9:$O$1000)=$C170)*(Main!R$9:R$1000) ) +  ( SUMPRODUCT( ((Adders!$D$13:$D$101)=$E170)*((Adders!$E$13:$E$101)=$F170)*(Adders!G$13:G$101)) + VLOOKUP($H170,Adders!$B$5:$G$8,L$11,FALSE)  +  OH!$D$2 ) * IF($D170="NJ",1.07,1))/$L$10, CHOOSE($M$10,$L$9,$M$9) )</f>
        <v xml:space="preserve"> 62.97 </v>
      </c>
      <c r="J170" s="178" t="str">
        <f>TEXT(   (SUMPRODUCT( ((Main!$H$9:$H$1000)=$E170)*((Main!$J$9:$J$1000)=$F170)*((Main!$O$9:$O$1000)=$C170)*(Main!S$9:S$1000) ) +  ( SUMPRODUCT( ((Adders!$D$13:$D$101)=$E170)*((Adders!$E$13:$E$101)=$F170)*(Adders!H$13:H$101)) + VLOOKUP($H170,Adders!$B$5:$G$8,M$11,FALSE)  +  OH!$D$2 ) * IF($D170="NJ",1.07,1))/$L$10, CHOOSE($M$10,$L$9,$M$9) )</f>
        <v xml:space="preserve"> 61.88 </v>
      </c>
      <c r="K170" s="179" t="str">
        <f>TEXT(   (SUMPRODUCT( ((Main!$H$9:$H$1000)=$E170)*((Main!$J$9:$J$1000)=$F170)*((Main!$O$9:$O$1000)=$C170)*(Main!T$9:T$1000) ) +  ( SUMPRODUCT( ((Adders!$D$13:$D$101)=$E170)*((Adders!$E$13:$E$101)=$F170)*(Adders!I$13:I$101)) + VLOOKUP($H170,Adders!$B$5:$G$8,$N$11,FALSE)  +  OH!$D$2 ) * IF($D170="NJ",1.07,1))/$L$10, CHOOSE($M$10,$L$9,$M$9) )</f>
        <v xml:space="preserve"> 61.99 </v>
      </c>
      <c r="L170" s="180" t="str">
        <f>TEXT(   (SUMPRODUCT( ((LMPMain!$H$9:$H$1000)=$E170)*((LMPMain!$J$9:$J$1000)=$F170)*((LMPMain!$O$9:$O$1000)=$C170)*(LMPMain!R$9:R$1000) ) +  ( SUMPRODUCT( ((Adders!$D$13:$D$101)=$E170)*((Adders!$E$13:$E$101)=$F170)*(Adders!F$13:F$101)) + VLOOKUP($H170,Adders!$B$5:$G$8,L$11,FALSE)  +  OH!$D$2 ) * IF($D170="NJ",1.07,1))/$L$10, CHOOSE($M$10,$L$9,$M$9) )</f>
        <v xml:space="preserve"> 23.73 </v>
      </c>
      <c r="M170" s="178" t="str">
        <f>TEXT(   (SUMPRODUCT( ((LMPMain!$H$9:$H$1000)=$E170)*((LMPMain!$J$9:$J$1000)=$F170)*((LMPMain!$O$9:$O$1000)=$C170)*(LMPMain!S$9:S$1000) ) +  ( SUMPRODUCT( ((Adders!$D$13:$D$101)=$E170)*((Adders!$E$13:$E$101)=$F170)*(Adders!G$13:G$101)) + VLOOKUP($H170,Adders!$B$5:$G$8,M$11,FALSE)  +  OH!$D$2 ) * IF($D170="NJ",1.07,1))/$L$10, CHOOSE($M$10,$L$9,$M$9) )</f>
        <v xml:space="preserve"> 22.24 </v>
      </c>
      <c r="N170" s="179" t="str">
        <f>TEXT(   (SUMPRODUCT( ((LMPMain!$H$9:$H$1000)=$E170)*((LMPMain!$J$9:$J$1000)=$F170)*((LMPMain!$O$9:$O$1000)=$C170)*(LMPMain!T$9:T$1000) ) +  ( SUMPRODUCT( ((Adders!$D$13:$D$101)=$E170)*((Adders!$E$13:$E$101)=$F170)*(Adders!H$13:H$101)) + VLOOKUP($H170,Adders!$B$5:$G$8,N$11,FALSE)  +  OH!$D$2 ) * IF($D170="NJ",1.07,1))/$L$10, CHOOSE($M$10,$L$9,$M$9) )</f>
        <v xml:space="preserve"> 22.18 </v>
      </c>
      <c r="O170" s="112"/>
    </row>
    <row r="171" spans="2:15" x14ac:dyDescent="0.25">
      <c r="B171" s="108"/>
      <c r="C171" s="131">
        <f t="shared" si="3"/>
        <v>42278</v>
      </c>
      <c r="D171" s="132" t="s">
        <v>20</v>
      </c>
      <c r="E171" s="133" t="s">
        <v>23</v>
      </c>
      <c r="F171" s="132" t="s">
        <v>24</v>
      </c>
      <c r="G171" s="133" t="str">
        <f t="shared" si="4"/>
        <v>General Service</v>
      </c>
      <c r="H171" s="134" t="s">
        <v>62</v>
      </c>
      <c r="I171" s="172" t="str">
        <f>TEXT(   (SUMPRODUCT( ((Main!$H$9:$H$1000)=$E171)*((Main!$J$9:$J$1000)=$F171)*((Main!$O$9:$O$1000)=$C171)*(Main!R$9:R$1000) ) +  ( SUMPRODUCT( ((Adders!$D$13:$D$101)=$E171)*((Adders!$E$13:$E$101)=$F171)*(Adders!G$13:G$101)) + VLOOKUP($H171,Adders!$B$5:$G$8,L$11,FALSE)  +  OH!$D$2 ) * IF($D171="NJ",1.07,1))/$L$10, CHOOSE($M$10,$L$9,$M$9) )</f>
        <v xml:space="preserve"> 61.37 </v>
      </c>
      <c r="J171" s="173" t="str">
        <f>TEXT(   (SUMPRODUCT( ((Main!$H$9:$H$1000)=$E171)*((Main!$J$9:$J$1000)=$F171)*((Main!$O$9:$O$1000)=$C171)*(Main!S$9:S$1000) ) +  ( SUMPRODUCT( ((Adders!$D$13:$D$101)=$E171)*((Adders!$E$13:$E$101)=$F171)*(Adders!H$13:H$101)) + VLOOKUP($H171,Adders!$B$5:$G$8,M$11,FALSE)  +  OH!$D$2 ) * IF($D171="NJ",1.07,1))/$L$10, CHOOSE($M$10,$L$9,$M$9) )</f>
        <v xml:space="preserve"> 60.28 </v>
      </c>
      <c r="K171" s="174" t="str">
        <f>TEXT(   (SUMPRODUCT( ((Main!$H$9:$H$1000)=$E171)*((Main!$J$9:$J$1000)=$F171)*((Main!$O$9:$O$1000)=$C171)*(Main!T$9:T$1000) ) +  ( SUMPRODUCT( ((Adders!$D$13:$D$101)=$E171)*((Adders!$E$13:$E$101)=$F171)*(Adders!I$13:I$101)) + VLOOKUP($H171,Adders!$B$5:$G$8,$N$11,FALSE)  +  OH!$D$2 ) * IF($D171="NJ",1.07,1))/$L$10, CHOOSE($M$10,$L$9,$M$9) )</f>
        <v xml:space="preserve"> 60.39 </v>
      </c>
      <c r="L171" s="172" t="str">
        <f>TEXT(   (SUMPRODUCT( ((LMPMain!$H$9:$H$1000)=$E171)*((LMPMain!$J$9:$J$1000)=$F171)*((LMPMain!$O$9:$O$1000)=$C171)*(LMPMain!R$9:R$1000) ) +  ( SUMPRODUCT( ((Adders!$D$13:$D$101)=$E171)*((Adders!$E$13:$E$101)=$F171)*(Adders!F$13:F$101)) + VLOOKUP($H171,Adders!$B$5:$G$8,L$11,FALSE)  +  OH!$D$2 ) * IF($D171="NJ",1.07,1))/$L$10, CHOOSE($M$10,$L$9,$M$9) )</f>
        <v xml:space="preserve"> 22.13 </v>
      </c>
      <c r="M171" s="173" t="str">
        <f>TEXT(   (SUMPRODUCT( ((LMPMain!$H$9:$H$1000)=$E171)*((LMPMain!$J$9:$J$1000)=$F171)*((LMPMain!$O$9:$O$1000)=$C171)*(LMPMain!S$9:S$1000) ) +  ( SUMPRODUCT( ((Adders!$D$13:$D$101)=$E171)*((Adders!$E$13:$E$101)=$F171)*(Adders!G$13:G$101)) + VLOOKUP($H171,Adders!$B$5:$G$8,M$11,FALSE)  +  OH!$D$2 ) * IF($D171="NJ",1.07,1))/$L$10, CHOOSE($M$10,$L$9,$M$9) )</f>
        <v xml:space="preserve"> 20.64 </v>
      </c>
      <c r="N171" s="174" t="str">
        <f>TEXT(   (SUMPRODUCT( ((LMPMain!$H$9:$H$1000)=$E171)*((LMPMain!$J$9:$J$1000)=$F171)*((LMPMain!$O$9:$O$1000)=$C171)*(LMPMain!T$9:T$1000) ) +  ( SUMPRODUCT( ((Adders!$D$13:$D$101)=$E171)*((Adders!$E$13:$E$101)=$F171)*(Adders!H$13:H$101)) + VLOOKUP($H171,Adders!$B$5:$G$8,N$11,FALSE)  +  OH!$D$2 ) * IF($D171="NJ",1.07,1))/$L$10, CHOOSE($M$10,$L$9,$M$9) )</f>
        <v xml:space="preserve"> 20.58 </v>
      </c>
      <c r="O171" s="112"/>
    </row>
    <row r="172" spans="2:15" x14ac:dyDescent="0.25">
      <c r="B172" s="108"/>
      <c r="C172" s="135">
        <f t="shared" si="3"/>
        <v>42278</v>
      </c>
      <c r="D172" s="136" t="s">
        <v>20</v>
      </c>
      <c r="E172" s="137" t="s">
        <v>23</v>
      </c>
      <c r="F172" s="136" t="s">
        <v>24</v>
      </c>
      <c r="G172" s="137" t="str">
        <f t="shared" si="4"/>
        <v>General Service</v>
      </c>
      <c r="H172" s="138" t="s">
        <v>690</v>
      </c>
      <c r="I172" s="175" t="str">
        <f>TEXT(   (SUMPRODUCT( ((Main!$H$9:$H$1000)=$E172)*((Main!$J$9:$J$1000)=$F172)*((Main!$O$9:$O$1000)=$C172)*(Main!R$9:R$1000) ) +  ( SUMPRODUCT( ((Adders!$D$13:$D$101)=$E172)*((Adders!$E$13:$E$101)=$F172)*(Adders!G$13:G$101)) + VLOOKUP($H172,Adders!$B$5:$G$8,L$11,FALSE)  +  OH!$D$2 ) * IF($D172="NJ",1.07,1))/$L$10, CHOOSE($M$10,$L$9,$M$9) )</f>
        <v xml:space="preserve"> 60.32 </v>
      </c>
      <c r="J172" s="176" t="str">
        <f>TEXT(   (SUMPRODUCT( ((Main!$H$9:$H$1000)=$E172)*((Main!$J$9:$J$1000)=$F172)*((Main!$O$9:$O$1000)=$C172)*(Main!S$9:S$1000) ) +  ( SUMPRODUCT( ((Adders!$D$13:$D$101)=$E172)*((Adders!$E$13:$E$101)=$F172)*(Adders!H$13:H$101)) + VLOOKUP($H172,Adders!$B$5:$G$8,M$11,FALSE)  +  OH!$D$2 ) * IF($D172="NJ",1.07,1))/$L$10, CHOOSE($M$10,$L$9,$M$9) )</f>
        <v xml:space="preserve"> 59.23 </v>
      </c>
      <c r="K172" s="177" t="str">
        <f>TEXT(   (SUMPRODUCT( ((Main!$H$9:$H$1000)=$E172)*((Main!$J$9:$J$1000)=$F172)*((Main!$O$9:$O$1000)=$C172)*(Main!T$9:T$1000) ) +  ( SUMPRODUCT( ((Adders!$D$13:$D$101)=$E172)*((Adders!$E$13:$E$101)=$F172)*(Adders!I$13:I$101)) + VLOOKUP($H172,Adders!$B$5:$G$8,$N$11,FALSE)  +  OH!$D$2 ) * IF($D172="NJ",1.07,1))/$L$10, CHOOSE($M$10,$L$9,$M$9) )</f>
        <v xml:space="preserve"> 59.34 </v>
      </c>
      <c r="L172" s="175" t="str">
        <f>TEXT(   (SUMPRODUCT( ((LMPMain!$H$9:$H$1000)=$E172)*((LMPMain!$J$9:$J$1000)=$F172)*((LMPMain!$O$9:$O$1000)=$C172)*(LMPMain!R$9:R$1000) ) +  ( SUMPRODUCT( ((Adders!$D$13:$D$101)=$E172)*((Adders!$E$13:$E$101)=$F172)*(Adders!F$13:F$101)) + VLOOKUP($H172,Adders!$B$5:$G$8,L$11,FALSE)  +  OH!$D$2 ) * IF($D172="NJ",1.07,1))/$L$10, CHOOSE($M$10,$L$9,$M$9) )</f>
        <v xml:space="preserve"> 21.08 </v>
      </c>
      <c r="M172" s="176" t="str">
        <f>TEXT(   (SUMPRODUCT( ((LMPMain!$H$9:$H$1000)=$E172)*((LMPMain!$J$9:$J$1000)=$F172)*((LMPMain!$O$9:$O$1000)=$C172)*(LMPMain!S$9:S$1000) ) +  ( SUMPRODUCT( ((Adders!$D$13:$D$101)=$E172)*((Adders!$E$13:$E$101)=$F172)*(Adders!G$13:G$101)) + VLOOKUP($H172,Adders!$B$5:$G$8,M$11,FALSE)  +  OH!$D$2 ) * IF($D172="NJ",1.07,1))/$L$10, CHOOSE($M$10,$L$9,$M$9) )</f>
        <v xml:space="preserve"> 19.59 </v>
      </c>
      <c r="N172" s="177" t="str">
        <f>TEXT(   (SUMPRODUCT( ((LMPMain!$H$9:$H$1000)=$E172)*((LMPMain!$J$9:$J$1000)=$F172)*((LMPMain!$O$9:$O$1000)=$C172)*(LMPMain!T$9:T$1000) ) +  ( SUMPRODUCT( ((Adders!$D$13:$D$101)=$E172)*((Adders!$E$13:$E$101)=$F172)*(Adders!H$13:H$101)) + VLOOKUP($H172,Adders!$B$5:$G$8,N$11,FALSE)  +  OH!$D$2 ) * IF($D172="NJ",1.07,1))/$L$10, CHOOSE($M$10,$L$9,$M$9) )</f>
        <v xml:space="preserve"> 19.53 </v>
      </c>
      <c r="O172" s="112"/>
    </row>
    <row r="173" spans="2:15" x14ac:dyDescent="0.25">
      <c r="B173" s="108"/>
      <c r="C173" s="127">
        <f t="shared" si="3"/>
        <v>42309</v>
      </c>
      <c r="D173" s="128" t="s">
        <v>20</v>
      </c>
      <c r="E173" s="129" t="s">
        <v>23</v>
      </c>
      <c r="F173" s="128" t="s">
        <v>24</v>
      </c>
      <c r="G173" s="129" t="str">
        <f t="shared" si="4"/>
        <v>General Service</v>
      </c>
      <c r="H173" s="130" t="s">
        <v>61</v>
      </c>
      <c r="I173" s="180" t="str">
        <f>TEXT(   (SUMPRODUCT( ((Main!$H$9:$H$1000)=$E173)*((Main!$J$9:$J$1000)=$F173)*((Main!$O$9:$O$1000)=$C173)*(Main!R$9:R$1000) ) +  ( SUMPRODUCT( ((Adders!$D$13:$D$101)=$E173)*((Adders!$E$13:$E$101)=$F173)*(Adders!G$13:G$101)) + VLOOKUP($H173,Adders!$B$5:$G$8,L$11,FALSE)  +  OH!$D$2 ) * IF($D173="NJ",1.07,1))/$L$10, CHOOSE($M$10,$L$9,$M$9) )</f>
        <v xml:space="preserve"> 62.29 </v>
      </c>
      <c r="J173" s="178" t="str">
        <f>TEXT(   (SUMPRODUCT( ((Main!$H$9:$H$1000)=$E173)*((Main!$J$9:$J$1000)=$F173)*((Main!$O$9:$O$1000)=$C173)*(Main!S$9:S$1000) ) +  ( SUMPRODUCT( ((Adders!$D$13:$D$101)=$E173)*((Adders!$E$13:$E$101)=$F173)*(Adders!H$13:H$101)) + VLOOKUP($H173,Adders!$B$5:$G$8,M$11,FALSE)  +  OH!$D$2 ) * IF($D173="NJ",1.07,1))/$L$10, CHOOSE($M$10,$L$9,$M$9) )</f>
        <v xml:space="preserve"> 61.57 </v>
      </c>
      <c r="K173" s="179" t="str">
        <f>TEXT(   (SUMPRODUCT( ((Main!$H$9:$H$1000)=$E173)*((Main!$J$9:$J$1000)=$F173)*((Main!$O$9:$O$1000)=$C173)*(Main!T$9:T$1000) ) +  ( SUMPRODUCT( ((Adders!$D$13:$D$101)=$E173)*((Adders!$E$13:$E$101)=$F173)*(Adders!I$13:I$101)) + VLOOKUP($H173,Adders!$B$5:$G$8,$N$11,FALSE)  +  OH!$D$2 ) * IF($D173="NJ",1.07,1))/$L$10, CHOOSE($M$10,$L$9,$M$9) )</f>
        <v xml:space="preserve"> 61.97 </v>
      </c>
      <c r="L173" s="180" t="str">
        <f>TEXT(   (SUMPRODUCT( ((LMPMain!$H$9:$H$1000)=$E173)*((LMPMain!$J$9:$J$1000)=$F173)*((LMPMain!$O$9:$O$1000)=$C173)*(LMPMain!R$9:R$1000) ) +  ( SUMPRODUCT( ((Adders!$D$13:$D$101)=$E173)*((Adders!$E$13:$E$101)=$F173)*(Adders!F$13:F$101)) + VLOOKUP($H173,Adders!$B$5:$G$8,L$11,FALSE)  +  OH!$D$2 ) * IF($D173="NJ",1.07,1))/$L$10, CHOOSE($M$10,$L$9,$M$9) )</f>
        <v xml:space="preserve"> 23.06 </v>
      </c>
      <c r="M173" s="178" t="str">
        <f>TEXT(   (SUMPRODUCT( ((LMPMain!$H$9:$H$1000)=$E173)*((LMPMain!$J$9:$J$1000)=$F173)*((LMPMain!$O$9:$O$1000)=$C173)*(LMPMain!S$9:S$1000) ) +  ( SUMPRODUCT( ((Adders!$D$13:$D$101)=$E173)*((Adders!$E$13:$E$101)=$F173)*(Adders!G$13:G$101)) + VLOOKUP($H173,Adders!$B$5:$G$8,M$11,FALSE)  +  OH!$D$2 ) * IF($D173="NJ",1.07,1))/$L$10, CHOOSE($M$10,$L$9,$M$9) )</f>
        <v xml:space="preserve"> 21.81 </v>
      </c>
      <c r="N173" s="179" t="str">
        <f>TEXT(   (SUMPRODUCT( ((LMPMain!$H$9:$H$1000)=$E173)*((LMPMain!$J$9:$J$1000)=$F173)*((LMPMain!$O$9:$O$1000)=$C173)*(LMPMain!T$9:T$1000) ) +  ( SUMPRODUCT( ((Adders!$D$13:$D$101)=$E173)*((Adders!$E$13:$E$101)=$F173)*(Adders!H$13:H$101)) + VLOOKUP($H173,Adders!$B$5:$G$8,N$11,FALSE)  +  OH!$D$2 ) * IF($D173="NJ",1.07,1))/$L$10, CHOOSE($M$10,$L$9,$M$9) )</f>
        <v xml:space="preserve"> 22.12 </v>
      </c>
      <c r="O173" s="112"/>
    </row>
    <row r="174" spans="2:15" x14ac:dyDescent="0.25">
      <c r="B174" s="108"/>
      <c r="C174" s="131">
        <f t="shared" si="3"/>
        <v>42309</v>
      </c>
      <c r="D174" s="132" t="s">
        <v>20</v>
      </c>
      <c r="E174" s="133" t="s">
        <v>23</v>
      </c>
      <c r="F174" s="132" t="s">
        <v>24</v>
      </c>
      <c r="G174" s="133" t="str">
        <f t="shared" si="4"/>
        <v>General Service</v>
      </c>
      <c r="H174" s="134" t="s">
        <v>62</v>
      </c>
      <c r="I174" s="172" t="str">
        <f>TEXT(   (SUMPRODUCT( ((Main!$H$9:$H$1000)=$E174)*((Main!$J$9:$J$1000)=$F174)*((Main!$O$9:$O$1000)=$C174)*(Main!R$9:R$1000) ) +  ( SUMPRODUCT( ((Adders!$D$13:$D$101)=$E174)*((Adders!$E$13:$E$101)=$F174)*(Adders!G$13:G$101)) + VLOOKUP($H174,Adders!$B$5:$G$8,L$11,FALSE)  +  OH!$D$2 ) * IF($D174="NJ",1.07,1))/$L$10, CHOOSE($M$10,$L$9,$M$9) )</f>
        <v xml:space="preserve"> 60.69 </v>
      </c>
      <c r="J174" s="173" t="str">
        <f>TEXT(   (SUMPRODUCT( ((Main!$H$9:$H$1000)=$E174)*((Main!$J$9:$J$1000)=$F174)*((Main!$O$9:$O$1000)=$C174)*(Main!S$9:S$1000) ) +  ( SUMPRODUCT( ((Adders!$D$13:$D$101)=$E174)*((Adders!$E$13:$E$101)=$F174)*(Adders!H$13:H$101)) + VLOOKUP($H174,Adders!$B$5:$G$8,M$11,FALSE)  +  OH!$D$2 ) * IF($D174="NJ",1.07,1))/$L$10, CHOOSE($M$10,$L$9,$M$9) )</f>
        <v xml:space="preserve"> 59.97 </v>
      </c>
      <c r="K174" s="174" t="str">
        <f>TEXT(   (SUMPRODUCT( ((Main!$H$9:$H$1000)=$E174)*((Main!$J$9:$J$1000)=$F174)*((Main!$O$9:$O$1000)=$C174)*(Main!T$9:T$1000) ) +  ( SUMPRODUCT( ((Adders!$D$13:$D$101)=$E174)*((Adders!$E$13:$E$101)=$F174)*(Adders!I$13:I$101)) + VLOOKUP($H174,Adders!$B$5:$G$8,$N$11,FALSE)  +  OH!$D$2 ) * IF($D174="NJ",1.07,1))/$L$10, CHOOSE($M$10,$L$9,$M$9) )</f>
        <v xml:space="preserve"> 60.37 </v>
      </c>
      <c r="L174" s="172" t="str">
        <f>TEXT(   (SUMPRODUCT( ((LMPMain!$H$9:$H$1000)=$E174)*((LMPMain!$J$9:$J$1000)=$F174)*((LMPMain!$O$9:$O$1000)=$C174)*(LMPMain!R$9:R$1000) ) +  ( SUMPRODUCT( ((Adders!$D$13:$D$101)=$E174)*((Adders!$E$13:$E$101)=$F174)*(Adders!F$13:F$101)) + VLOOKUP($H174,Adders!$B$5:$G$8,L$11,FALSE)  +  OH!$D$2 ) * IF($D174="NJ",1.07,1))/$L$10, CHOOSE($M$10,$L$9,$M$9) )</f>
        <v xml:space="preserve"> 21.46 </v>
      </c>
      <c r="M174" s="173" t="str">
        <f>TEXT(   (SUMPRODUCT( ((LMPMain!$H$9:$H$1000)=$E174)*((LMPMain!$J$9:$J$1000)=$F174)*((LMPMain!$O$9:$O$1000)=$C174)*(LMPMain!S$9:S$1000) ) +  ( SUMPRODUCT( ((Adders!$D$13:$D$101)=$E174)*((Adders!$E$13:$E$101)=$F174)*(Adders!G$13:G$101)) + VLOOKUP($H174,Adders!$B$5:$G$8,M$11,FALSE)  +  OH!$D$2 ) * IF($D174="NJ",1.07,1))/$L$10, CHOOSE($M$10,$L$9,$M$9) )</f>
        <v xml:space="preserve"> 20.21 </v>
      </c>
      <c r="N174" s="174" t="str">
        <f>TEXT(   (SUMPRODUCT( ((LMPMain!$H$9:$H$1000)=$E174)*((LMPMain!$J$9:$J$1000)=$F174)*((LMPMain!$O$9:$O$1000)=$C174)*(LMPMain!T$9:T$1000) ) +  ( SUMPRODUCT( ((Adders!$D$13:$D$101)=$E174)*((Adders!$E$13:$E$101)=$F174)*(Adders!H$13:H$101)) + VLOOKUP($H174,Adders!$B$5:$G$8,N$11,FALSE)  +  OH!$D$2 ) * IF($D174="NJ",1.07,1))/$L$10, CHOOSE($M$10,$L$9,$M$9) )</f>
        <v xml:space="preserve"> 20.52 </v>
      </c>
      <c r="O174" s="112"/>
    </row>
    <row r="175" spans="2:15" x14ac:dyDescent="0.25">
      <c r="B175" s="108"/>
      <c r="C175" s="135">
        <f t="shared" si="3"/>
        <v>42309</v>
      </c>
      <c r="D175" s="136" t="s">
        <v>20</v>
      </c>
      <c r="E175" s="137" t="s">
        <v>23</v>
      </c>
      <c r="F175" s="136" t="s">
        <v>24</v>
      </c>
      <c r="G175" s="137" t="str">
        <f t="shared" si="4"/>
        <v>General Service</v>
      </c>
      <c r="H175" s="138" t="s">
        <v>690</v>
      </c>
      <c r="I175" s="175" t="str">
        <f>TEXT(   (SUMPRODUCT( ((Main!$H$9:$H$1000)=$E175)*((Main!$J$9:$J$1000)=$F175)*((Main!$O$9:$O$1000)=$C175)*(Main!R$9:R$1000) ) +  ( SUMPRODUCT( ((Adders!$D$13:$D$101)=$E175)*((Adders!$E$13:$E$101)=$F175)*(Adders!G$13:G$101)) + VLOOKUP($H175,Adders!$B$5:$G$8,L$11,FALSE)  +  OH!$D$2 ) * IF($D175="NJ",1.07,1))/$L$10, CHOOSE($M$10,$L$9,$M$9) )</f>
        <v xml:space="preserve"> 59.64 </v>
      </c>
      <c r="J175" s="176" t="str">
        <f>TEXT(   (SUMPRODUCT( ((Main!$H$9:$H$1000)=$E175)*((Main!$J$9:$J$1000)=$F175)*((Main!$O$9:$O$1000)=$C175)*(Main!S$9:S$1000) ) +  ( SUMPRODUCT( ((Adders!$D$13:$D$101)=$E175)*((Adders!$E$13:$E$101)=$F175)*(Adders!H$13:H$101)) + VLOOKUP($H175,Adders!$B$5:$G$8,M$11,FALSE)  +  OH!$D$2 ) * IF($D175="NJ",1.07,1))/$L$10, CHOOSE($M$10,$L$9,$M$9) )</f>
        <v xml:space="preserve"> 58.92 </v>
      </c>
      <c r="K175" s="177" t="str">
        <f>TEXT(   (SUMPRODUCT( ((Main!$H$9:$H$1000)=$E175)*((Main!$J$9:$J$1000)=$F175)*((Main!$O$9:$O$1000)=$C175)*(Main!T$9:T$1000) ) +  ( SUMPRODUCT( ((Adders!$D$13:$D$101)=$E175)*((Adders!$E$13:$E$101)=$F175)*(Adders!I$13:I$101)) + VLOOKUP($H175,Adders!$B$5:$G$8,$N$11,FALSE)  +  OH!$D$2 ) * IF($D175="NJ",1.07,1))/$L$10, CHOOSE($M$10,$L$9,$M$9) )</f>
        <v xml:space="preserve"> 59.32 </v>
      </c>
      <c r="L175" s="175" t="str">
        <f>TEXT(   (SUMPRODUCT( ((LMPMain!$H$9:$H$1000)=$E175)*((LMPMain!$J$9:$J$1000)=$F175)*((LMPMain!$O$9:$O$1000)=$C175)*(LMPMain!R$9:R$1000) ) +  ( SUMPRODUCT( ((Adders!$D$13:$D$101)=$E175)*((Adders!$E$13:$E$101)=$F175)*(Adders!F$13:F$101)) + VLOOKUP($H175,Adders!$B$5:$G$8,L$11,FALSE)  +  OH!$D$2 ) * IF($D175="NJ",1.07,1))/$L$10, CHOOSE($M$10,$L$9,$M$9) )</f>
        <v xml:space="preserve"> 20.41 </v>
      </c>
      <c r="M175" s="176" t="str">
        <f>TEXT(   (SUMPRODUCT( ((LMPMain!$H$9:$H$1000)=$E175)*((LMPMain!$J$9:$J$1000)=$F175)*((LMPMain!$O$9:$O$1000)=$C175)*(LMPMain!S$9:S$1000) ) +  ( SUMPRODUCT( ((Adders!$D$13:$D$101)=$E175)*((Adders!$E$13:$E$101)=$F175)*(Adders!G$13:G$101)) + VLOOKUP($H175,Adders!$B$5:$G$8,M$11,FALSE)  +  OH!$D$2 ) * IF($D175="NJ",1.07,1))/$L$10, CHOOSE($M$10,$L$9,$M$9) )</f>
        <v xml:space="preserve"> 19.16 </v>
      </c>
      <c r="N175" s="177" t="str">
        <f>TEXT(   (SUMPRODUCT( ((LMPMain!$H$9:$H$1000)=$E175)*((LMPMain!$J$9:$J$1000)=$F175)*((LMPMain!$O$9:$O$1000)=$C175)*(LMPMain!T$9:T$1000) ) +  ( SUMPRODUCT( ((Adders!$D$13:$D$101)=$E175)*((Adders!$E$13:$E$101)=$F175)*(Adders!H$13:H$101)) + VLOOKUP($H175,Adders!$B$5:$G$8,N$11,FALSE)  +  OH!$D$2 ) * IF($D175="NJ",1.07,1))/$L$10, CHOOSE($M$10,$L$9,$M$9) )</f>
        <v xml:space="preserve"> 19.47 </v>
      </c>
      <c r="O175" s="112"/>
    </row>
    <row r="176" spans="2:15" x14ac:dyDescent="0.25">
      <c r="B176" s="108"/>
      <c r="C176" s="127">
        <f t="shared" si="3"/>
        <v>42339</v>
      </c>
      <c r="D176" s="128" t="s">
        <v>20</v>
      </c>
      <c r="E176" s="129" t="s">
        <v>23</v>
      </c>
      <c r="F176" s="128" t="s">
        <v>24</v>
      </c>
      <c r="G176" s="129" t="str">
        <f t="shared" si="4"/>
        <v>General Service</v>
      </c>
      <c r="H176" s="130" t="s">
        <v>61</v>
      </c>
      <c r="I176" s="180" t="str">
        <f>TEXT(   (SUMPRODUCT( ((Main!$H$9:$H$1000)=$E176)*((Main!$J$9:$J$1000)=$F176)*((Main!$O$9:$O$1000)=$C176)*(Main!R$9:R$1000) ) +  ( SUMPRODUCT( ((Adders!$D$13:$D$101)=$E176)*((Adders!$E$13:$E$101)=$F176)*(Adders!G$13:G$101)) + VLOOKUP($H176,Adders!$B$5:$G$8,L$11,FALSE)  +  OH!$D$2 ) * IF($D176="NJ",1.07,1))/$L$10, CHOOSE($M$10,$L$9,$M$9) )</f>
        <v xml:space="preserve"> 61.67 </v>
      </c>
      <c r="J176" s="178" t="str">
        <f>TEXT(   (SUMPRODUCT( ((Main!$H$9:$H$1000)=$E176)*((Main!$J$9:$J$1000)=$F176)*((Main!$O$9:$O$1000)=$C176)*(Main!S$9:S$1000) ) +  ( SUMPRODUCT( ((Adders!$D$13:$D$101)=$E176)*((Adders!$E$13:$E$101)=$F176)*(Adders!H$13:H$101)) + VLOOKUP($H176,Adders!$B$5:$G$8,M$11,FALSE)  +  OH!$D$2 ) * IF($D176="NJ",1.07,1))/$L$10, CHOOSE($M$10,$L$9,$M$9) )</f>
        <v xml:space="preserve"> 61.17 </v>
      </c>
      <c r="K176" s="179" t="str">
        <f>TEXT(   (SUMPRODUCT( ((Main!$H$9:$H$1000)=$E176)*((Main!$J$9:$J$1000)=$F176)*((Main!$O$9:$O$1000)=$C176)*(Main!T$9:T$1000) ) +  ( SUMPRODUCT( ((Adders!$D$13:$D$101)=$E176)*((Adders!$E$13:$E$101)=$F176)*(Adders!I$13:I$101)) + VLOOKUP($H176,Adders!$B$5:$G$8,$N$11,FALSE)  +  OH!$D$2 ) * IF($D176="NJ",1.07,1))/$L$10, CHOOSE($M$10,$L$9,$M$9) )</f>
        <v xml:space="preserve"> 61.95 </v>
      </c>
      <c r="L176" s="180" t="str">
        <f>TEXT(   (SUMPRODUCT( ((LMPMain!$H$9:$H$1000)=$E176)*((LMPMain!$J$9:$J$1000)=$F176)*((LMPMain!$O$9:$O$1000)=$C176)*(LMPMain!R$9:R$1000) ) +  ( SUMPRODUCT( ((Adders!$D$13:$D$101)=$E176)*((Adders!$E$13:$E$101)=$F176)*(Adders!F$13:F$101)) + VLOOKUP($H176,Adders!$B$5:$G$8,L$11,FALSE)  +  OH!$D$2 ) * IF($D176="NJ",1.07,1))/$L$10, CHOOSE($M$10,$L$9,$M$9) )</f>
        <v xml:space="preserve"> 22.40 </v>
      </c>
      <c r="M176" s="178" t="str">
        <f>TEXT(   (SUMPRODUCT( ((LMPMain!$H$9:$H$1000)=$E176)*((LMPMain!$J$9:$J$1000)=$F176)*((LMPMain!$O$9:$O$1000)=$C176)*(LMPMain!S$9:S$1000) ) +  ( SUMPRODUCT( ((Adders!$D$13:$D$101)=$E176)*((Adders!$E$13:$E$101)=$F176)*(Adders!G$13:G$101)) + VLOOKUP($H176,Adders!$B$5:$G$8,M$11,FALSE)  +  OH!$D$2 ) * IF($D176="NJ",1.07,1))/$L$10, CHOOSE($M$10,$L$9,$M$9) )</f>
        <v xml:space="preserve"> 21.28 </v>
      </c>
      <c r="N176" s="179" t="str">
        <f>TEXT(   (SUMPRODUCT( ((LMPMain!$H$9:$H$1000)=$E176)*((LMPMain!$J$9:$J$1000)=$F176)*((LMPMain!$O$9:$O$1000)=$C176)*(LMPMain!T$9:T$1000) ) +  ( SUMPRODUCT( ((Adders!$D$13:$D$101)=$E176)*((Adders!$E$13:$E$101)=$F176)*(Adders!H$13:H$101)) + VLOOKUP($H176,Adders!$B$5:$G$8,N$11,FALSE)  +  OH!$D$2 ) * IF($D176="NJ",1.07,1))/$L$10, CHOOSE($M$10,$L$9,$M$9) )</f>
        <v xml:space="preserve"> 22.06 </v>
      </c>
      <c r="O176" s="112"/>
    </row>
    <row r="177" spans="2:15" x14ac:dyDescent="0.25">
      <c r="B177" s="108"/>
      <c r="C177" s="131">
        <f t="shared" si="3"/>
        <v>42339</v>
      </c>
      <c r="D177" s="132" t="s">
        <v>20</v>
      </c>
      <c r="E177" s="133" t="s">
        <v>23</v>
      </c>
      <c r="F177" s="132" t="s">
        <v>24</v>
      </c>
      <c r="G177" s="133" t="str">
        <f t="shared" si="4"/>
        <v>General Service</v>
      </c>
      <c r="H177" s="134" t="s">
        <v>62</v>
      </c>
      <c r="I177" s="172" t="str">
        <f>TEXT(   (SUMPRODUCT( ((Main!$H$9:$H$1000)=$E177)*((Main!$J$9:$J$1000)=$F177)*((Main!$O$9:$O$1000)=$C177)*(Main!R$9:R$1000) ) +  ( SUMPRODUCT( ((Adders!$D$13:$D$101)=$E177)*((Adders!$E$13:$E$101)=$F177)*(Adders!G$13:G$101)) + VLOOKUP($H177,Adders!$B$5:$G$8,L$11,FALSE)  +  OH!$D$2 ) * IF($D177="NJ",1.07,1))/$L$10, CHOOSE($M$10,$L$9,$M$9) )</f>
        <v xml:space="preserve"> 60.07 </v>
      </c>
      <c r="J177" s="173" t="str">
        <f>TEXT(   (SUMPRODUCT( ((Main!$H$9:$H$1000)=$E177)*((Main!$J$9:$J$1000)=$F177)*((Main!$O$9:$O$1000)=$C177)*(Main!S$9:S$1000) ) +  ( SUMPRODUCT( ((Adders!$D$13:$D$101)=$E177)*((Adders!$E$13:$E$101)=$F177)*(Adders!H$13:H$101)) + VLOOKUP($H177,Adders!$B$5:$G$8,M$11,FALSE)  +  OH!$D$2 ) * IF($D177="NJ",1.07,1))/$L$10, CHOOSE($M$10,$L$9,$M$9) )</f>
        <v xml:space="preserve"> 59.57 </v>
      </c>
      <c r="K177" s="174" t="str">
        <f>TEXT(   (SUMPRODUCT( ((Main!$H$9:$H$1000)=$E177)*((Main!$J$9:$J$1000)=$F177)*((Main!$O$9:$O$1000)=$C177)*(Main!T$9:T$1000) ) +  ( SUMPRODUCT( ((Adders!$D$13:$D$101)=$E177)*((Adders!$E$13:$E$101)=$F177)*(Adders!I$13:I$101)) + VLOOKUP($H177,Adders!$B$5:$G$8,$N$11,FALSE)  +  OH!$D$2 ) * IF($D177="NJ",1.07,1))/$L$10, CHOOSE($M$10,$L$9,$M$9) )</f>
        <v xml:space="preserve"> 60.35 </v>
      </c>
      <c r="L177" s="172" t="str">
        <f>TEXT(   (SUMPRODUCT( ((LMPMain!$H$9:$H$1000)=$E177)*((LMPMain!$J$9:$J$1000)=$F177)*((LMPMain!$O$9:$O$1000)=$C177)*(LMPMain!R$9:R$1000) ) +  ( SUMPRODUCT( ((Adders!$D$13:$D$101)=$E177)*((Adders!$E$13:$E$101)=$F177)*(Adders!F$13:F$101)) + VLOOKUP($H177,Adders!$B$5:$G$8,L$11,FALSE)  +  OH!$D$2 ) * IF($D177="NJ",1.07,1))/$L$10, CHOOSE($M$10,$L$9,$M$9) )</f>
        <v xml:space="preserve"> 20.80 </v>
      </c>
      <c r="M177" s="173" t="str">
        <f>TEXT(   (SUMPRODUCT( ((LMPMain!$H$9:$H$1000)=$E177)*((LMPMain!$J$9:$J$1000)=$F177)*((LMPMain!$O$9:$O$1000)=$C177)*(LMPMain!S$9:S$1000) ) +  ( SUMPRODUCT( ((Adders!$D$13:$D$101)=$E177)*((Adders!$E$13:$E$101)=$F177)*(Adders!G$13:G$101)) + VLOOKUP($H177,Adders!$B$5:$G$8,M$11,FALSE)  +  OH!$D$2 ) * IF($D177="NJ",1.07,1))/$L$10, CHOOSE($M$10,$L$9,$M$9) )</f>
        <v xml:space="preserve"> 19.68 </v>
      </c>
      <c r="N177" s="174" t="str">
        <f>TEXT(   (SUMPRODUCT( ((LMPMain!$H$9:$H$1000)=$E177)*((LMPMain!$J$9:$J$1000)=$F177)*((LMPMain!$O$9:$O$1000)=$C177)*(LMPMain!T$9:T$1000) ) +  ( SUMPRODUCT( ((Adders!$D$13:$D$101)=$E177)*((Adders!$E$13:$E$101)=$F177)*(Adders!H$13:H$101)) + VLOOKUP($H177,Adders!$B$5:$G$8,N$11,FALSE)  +  OH!$D$2 ) * IF($D177="NJ",1.07,1))/$L$10, CHOOSE($M$10,$L$9,$M$9) )</f>
        <v xml:space="preserve"> 20.46 </v>
      </c>
      <c r="O177" s="112"/>
    </row>
    <row r="178" spans="2:15" x14ac:dyDescent="0.25">
      <c r="B178" s="108"/>
      <c r="C178" s="135">
        <f t="shared" si="3"/>
        <v>42339</v>
      </c>
      <c r="D178" s="136" t="s">
        <v>20</v>
      </c>
      <c r="E178" s="137" t="s">
        <v>23</v>
      </c>
      <c r="F178" s="136" t="s">
        <v>24</v>
      </c>
      <c r="G178" s="137" t="str">
        <f t="shared" si="4"/>
        <v>General Service</v>
      </c>
      <c r="H178" s="138" t="s">
        <v>690</v>
      </c>
      <c r="I178" s="175" t="str">
        <f>TEXT(   (SUMPRODUCT( ((Main!$H$9:$H$1000)=$E178)*((Main!$J$9:$J$1000)=$F178)*((Main!$O$9:$O$1000)=$C178)*(Main!R$9:R$1000) ) +  ( SUMPRODUCT( ((Adders!$D$13:$D$101)=$E178)*((Adders!$E$13:$E$101)=$F178)*(Adders!G$13:G$101)) + VLOOKUP($H178,Adders!$B$5:$G$8,L$11,FALSE)  +  OH!$D$2 ) * IF($D178="NJ",1.07,1))/$L$10, CHOOSE($M$10,$L$9,$M$9) )</f>
        <v xml:space="preserve"> 59.02 </v>
      </c>
      <c r="J178" s="176" t="str">
        <f>TEXT(   (SUMPRODUCT( ((Main!$H$9:$H$1000)=$E178)*((Main!$J$9:$J$1000)=$F178)*((Main!$O$9:$O$1000)=$C178)*(Main!S$9:S$1000) ) +  ( SUMPRODUCT( ((Adders!$D$13:$D$101)=$E178)*((Adders!$E$13:$E$101)=$F178)*(Adders!H$13:H$101)) + VLOOKUP($H178,Adders!$B$5:$G$8,M$11,FALSE)  +  OH!$D$2 ) * IF($D178="NJ",1.07,1))/$L$10, CHOOSE($M$10,$L$9,$M$9) )</f>
        <v xml:space="preserve"> 58.52 </v>
      </c>
      <c r="K178" s="177" t="str">
        <f>TEXT(   (SUMPRODUCT( ((Main!$H$9:$H$1000)=$E178)*((Main!$J$9:$J$1000)=$F178)*((Main!$O$9:$O$1000)=$C178)*(Main!T$9:T$1000) ) +  ( SUMPRODUCT( ((Adders!$D$13:$D$101)=$E178)*((Adders!$E$13:$E$101)=$F178)*(Adders!I$13:I$101)) + VLOOKUP($H178,Adders!$B$5:$G$8,$N$11,FALSE)  +  OH!$D$2 ) * IF($D178="NJ",1.07,1))/$L$10, CHOOSE($M$10,$L$9,$M$9) )</f>
        <v xml:space="preserve"> 59.30 </v>
      </c>
      <c r="L178" s="175" t="str">
        <f>TEXT(   (SUMPRODUCT( ((LMPMain!$H$9:$H$1000)=$E178)*((LMPMain!$J$9:$J$1000)=$F178)*((LMPMain!$O$9:$O$1000)=$C178)*(LMPMain!R$9:R$1000) ) +  ( SUMPRODUCT( ((Adders!$D$13:$D$101)=$E178)*((Adders!$E$13:$E$101)=$F178)*(Adders!F$13:F$101)) + VLOOKUP($H178,Adders!$B$5:$G$8,L$11,FALSE)  +  OH!$D$2 ) * IF($D178="NJ",1.07,1))/$L$10, CHOOSE($M$10,$L$9,$M$9) )</f>
        <v xml:space="preserve"> 19.75 </v>
      </c>
      <c r="M178" s="176" t="str">
        <f>TEXT(   (SUMPRODUCT( ((LMPMain!$H$9:$H$1000)=$E178)*((LMPMain!$J$9:$J$1000)=$F178)*((LMPMain!$O$9:$O$1000)=$C178)*(LMPMain!S$9:S$1000) ) +  ( SUMPRODUCT( ((Adders!$D$13:$D$101)=$E178)*((Adders!$E$13:$E$101)=$F178)*(Adders!G$13:G$101)) + VLOOKUP($H178,Adders!$B$5:$G$8,M$11,FALSE)  +  OH!$D$2 ) * IF($D178="NJ",1.07,1))/$L$10, CHOOSE($M$10,$L$9,$M$9) )</f>
        <v xml:space="preserve"> 18.63 </v>
      </c>
      <c r="N178" s="177" t="str">
        <f>TEXT(   (SUMPRODUCT( ((LMPMain!$H$9:$H$1000)=$E178)*((LMPMain!$J$9:$J$1000)=$F178)*((LMPMain!$O$9:$O$1000)=$C178)*(LMPMain!T$9:T$1000) ) +  ( SUMPRODUCT( ((Adders!$D$13:$D$101)=$E178)*((Adders!$E$13:$E$101)=$F178)*(Adders!H$13:H$101)) + VLOOKUP($H178,Adders!$B$5:$G$8,N$11,FALSE)  +  OH!$D$2 ) * IF($D178="NJ",1.07,1))/$L$10, CHOOSE($M$10,$L$9,$M$9) )</f>
        <v xml:space="preserve"> 19.41 </v>
      </c>
      <c r="O178" s="112"/>
    </row>
    <row r="179" spans="2:15" x14ac:dyDescent="0.25">
      <c r="B179" s="108"/>
      <c r="C179" s="127">
        <f t="shared" ref="C179:C229" si="5">C143</f>
        <v>42370</v>
      </c>
      <c r="D179" s="128" t="s">
        <v>20</v>
      </c>
      <c r="E179" s="129" t="s">
        <v>23</v>
      </c>
      <c r="F179" s="128" t="s">
        <v>24</v>
      </c>
      <c r="G179" s="129" t="str">
        <f t="shared" ref="G179:G229" si="6">G178</f>
        <v>General Service</v>
      </c>
      <c r="H179" s="130" t="s">
        <v>61</v>
      </c>
      <c r="I179" s="180" t="str">
        <f>TEXT(   (SUMPRODUCT( ((Main!$H$9:$H$1000)=$E179)*((Main!$J$9:$J$1000)=$F179)*((Main!$O$9:$O$1000)=$C179)*(Main!R$9:R$1000) ) +  ( SUMPRODUCT( ((Adders!$D$13:$D$101)=$E179)*((Adders!$E$13:$E$101)=$F179)*(Adders!G$13:G$101)) + VLOOKUP($H179,Adders!$B$5:$G$8,L$11,FALSE)  +  OH!$D$2 ) * IF($D179="NJ",1.07,1))/$L$10, CHOOSE($M$10,$L$9,$M$9) )</f>
        <v xml:space="preserve"> 60.94 </v>
      </c>
      <c r="J179" s="178" t="str">
        <f>TEXT(   (SUMPRODUCT( ((Main!$H$9:$H$1000)=$E179)*((Main!$J$9:$J$1000)=$F179)*((Main!$O$9:$O$1000)=$C179)*(Main!S$9:S$1000) ) +  ( SUMPRODUCT( ((Adders!$D$13:$D$101)=$E179)*((Adders!$E$13:$E$101)=$F179)*(Adders!H$13:H$101)) + VLOOKUP($H179,Adders!$B$5:$G$8,M$11,FALSE)  +  OH!$D$2 ) * IF($D179="NJ",1.07,1))/$L$10, CHOOSE($M$10,$L$9,$M$9) )</f>
        <v xml:space="preserve"> 61.13 </v>
      </c>
      <c r="K179" s="179" t="str">
        <f>TEXT(   (SUMPRODUCT( ((Main!$H$9:$H$1000)=$E179)*((Main!$J$9:$J$1000)=$F179)*((Main!$O$9:$O$1000)=$C179)*(Main!T$9:T$1000) ) +  ( SUMPRODUCT( ((Adders!$D$13:$D$101)=$E179)*((Adders!$E$13:$E$101)=$F179)*(Adders!I$13:I$101)) + VLOOKUP($H179,Adders!$B$5:$G$8,$N$11,FALSE)  +  OH!$D$2 ) * IF($D179="NJ",1.07,1))/$L$10, CHOOSE($M$10,$L$9,$M$9) )</f>
        <v xml:space="preserve"> 61.88 </v>
      </c>
      <c r="L179" s="180" t="str">
        <f>TEXT(   (SUMPRODUCT( ((LMPMain!$H$9:$H$1000)=$E179)*((LMPMain!$J$9:$J$1000)=$F179)*((LMPMain!$O$9:$O$1000)=$C179)*(LMPMain!R$9:R$1000) ) +  ( SUMPRODUCT( ((Adders!$D$13:$D$101)=$E179)*((Adders!$E$13:$E$101)=$F179)*(Adders!F$13:F$101)) + VLOOKUP($H179,Adders!$B$5:$G$8,L$11,FALSE)  +  OH!$D$2 ) * IF($D179="NJ",1.07,1))/$L$10, CHOOSE($M$10,$L$9,$M$9) )</f>
        <v xml:space="preserve"> 21.73 </v>
      </c>
      <c r="M179" s="178" t="str">
        <f>TEXT(   (SUMPRODUCT( ((LMPMain!$H$9:$H$1000)=$E179)*((LMPMain!$J$9:$J$1000)=$F179)*((LMPMain!$O$9:$O$1000)=$C179)*(LMPMain!S$9:S$1000) ) +  ( SUMPRODUCT( ((Adders!$D$13:$D$101)=$E179)*((Adders!$E$13:$E$101)=$F179)*(Adders!G$13:G$101)) + VLOOKUP($H179,Adders!$B$5:$G$8,M$11,FALSE)  +  OH!$D$2 ) * IF($D179="NJ",1.07,1))/$L$10, CHOOSE($M$10,$L$9,$M$9) )</f>
        <v xml:space="preserve"> 21.11 </v>
      </c>
      <c r="N179" s="179" t="str">
        <f>TEXT(   (SUMPRODUCT( ((LMPMain!$H$9:$H$1000)=$E179)*((LMPMain!$J$9:$J$1000)=$F179)*((LMPMain!$O$9:$O$1000)=$C179)*(LMPMain!T$9:T$1000) ) +  ( SUMPRODUCT( ((Adders!$D$13:$D$101)=$E179)*((Adders!$E$13:$E$101)=$F179)*(Adders!H$13:H$101)) + VLOOKUP($H179,Adders!$B$5:$G$8,N$11,FALSE)  +  OH!$D$2 ) * IF($D179="NJ",1.07,1))/$L$10, CHOOSE($M$10,$L$9,$M$9) )</f>
        <v xml:space="preserve"> 22.00 </v>
      </c>
      <c r="O179" s="112"/>
    </row>
    <row r="180" spans="2:15" x14ac:dyDescent="0.25">
      <c r="B180" s="108"/>
      <c r="C180" s="131">
        <f t="shared" si="5"/>
        <v>42370</v>
      </c>
      <c r="D180" s="132" t="s">
        <v>20</v>
      </c>
      <c r="E180" s="133" t="s">
        <v>23</v>
      </c>
      <c r="F180" s="132" t="s">
        <v>24</v>
      </c>
      <c r="G180" s="133" t="str">
        <f t="shared" si="6"/>
        <v>General Service</v>
      </c>
      <c r="H180" s="134" t="s">
        <v>62</v>
      </c>
      <c r="I180" s="172" t="str">
        <f>TEXT(   (SUMPRODUCT( ((Main!$H$9:$H$1000)=$E180)*((Main!$J$9:$J$1000)=$F180)*((Main!$O$9:$O$1000)=$C180)*(Main!R$9:R$1000) ) +  ( SUMPRODUCT( ((Adders!$D$13:$D$101)=$E180)*((Adders!$E$13:$E$101)=$F180)*(Adders!G$13:G$101)) + VLOOKUP($H180,Adders!$B$5:$G$8,L$11,FALSE)  +  OH!$D$2 ) * IF($D180="NJ",1.07,1))/$L$10, CHOOSE($M$10,$L$9,$M$9) )</f>
        <v xml:space="preserve"> 59.34 </v>
      </c>
      <c r="J180" s="173" t="str">
        <f>TEXT(   (SUMPRODUCT( ((Main!$H$9:$H$1000)=$E180)*((Main!$J$9:$J$1000)=$F180)*((Main!$O$9:$O$1000)=$C180)*(Main!S$9:S$1000) ) +  ( SUMPRODUCT( ((Adders!$D$13:$D$101)=$E180)*((Adders!$E$13:$E$101)=$F180)*(Adders!H$13:H$101)) + VLOOKUP($H180,Adders!$B$5:$G$8,M$11,FALSE)  +  OH!$D$2 ) * IF($D180="NJ",1.07,1))/$L$10, CHOOSE($M$10,$L$9,$M$9) )</f>
        <v xml:space="preserve"> 59.53 </v>
      </c>
      <c r="K180" s="174" t="str">
        <f>TEXT(   (SUMPRODUCT( ((Main!$H$9:$H$1000)=$E180)*((Main!$J$9:$J$1000)=$F180)*((Main!$O$9:$O$1000)=$C180)*(Main!T$9:T$1000) ) +  ( SUMPRODUCT( ((Adders!$D$13:$D$101)=$E180)*((Adders!$E$13:$E$101)=$F180)*(Adders!I$13:I$101)) + VLOOKUP($H180,Adders!$B$5:$G$8,$N$11,FALSE)  +  OH!$D$2 ) * IF($D180="NJ",1.07,1))/$L$10, CHOOSE($M$10,$L$9,$M$9) )</f>
        <v xml:space="preserve"> 60.28 </v>
      </c>
      <c r="L180" s="172" t="str">
        <f>TEXT(   (SUMPRODUCT( ((LMPMain!$H$9:$H$1000)=$E180)*((LMPMain!$J$9:$J$1000)=$F180)*((LMPMain!$O$9:$O$1000)=$C180)*(LMPMain!R$9:R$1000) ) +  ( SUMPRODUCT( ((Adders!$D$13:$D$101)=$E180)*((Adders!$E$13:$E$101)=$F180)*(Adders!F$13:F$101)) + VLOOKUP($H180,Adders!$B$5:$G$8,L$11,FALSE)  +  OH!$D$2 ) * IF($D180="NJ",1.07,1))/$L$10, CHOOSE($M$10,$L$9,$M$9) )</f>
        <v xml:space="preserve"> 20.13 </v>
      </c>
      <c r="M180" s="173" t="str">
        <f>TEXT(   (SUMPRODUCT( ((LMPMain!$H$9:$H$1000)=$E180)*((LMPMain!$J$9:$J$1000)=$F180)*((LMPMain!$O$9:$O$1000)=$C180)*(LMPMain!S$9:S$1000) ) +  ( SUMPRODUCT( ((Adders!$D$13:$D$101)=$E180)*((Adders!$E$13:$E$101)=$F180)*(Adders!G$13:G$101)) + VLOOKUP($H180,Adders!$B$5:$G$8,M$11,FALSE)  +  OH!$D$2 ) * IF($D180="NJ",1.07,1))/$L$10, CHOOSE($M$10,$L$9,$M$9) )</f>
        <v xml:space="preserve"> 19.51 </v>
      </c>
      <c r="N180" s="174" t="str">
        <f>TEXT(   (SUMPRODUCT( ((LMPMain!$H$9:$H$1000)=$E180)*((LMPMain!$J$9:$J$1000)=$F180)*((LMPMain!$O$9:$O$1000)=$C180)*(LMPMain!T$9:T$1000) ) +  ( SUMPRODUCT( ((Adders!$D$13:$D$101)=$E180)*((Adders!$E$13:$E$101)=$F180)*(Adders!H$13:H$101)) + VLOOKUP($H180,Adders!$B$5:$G$8,N$11,FALSE)  +  OH!$D$2 ) * IF($D180="NJ",1.07,1))/$L$10, CHOOSE($M$10,$L$9,$M$9) )</f>
        <v xml:space="preserve"> 20.40 </v>
      </c>
      <c r="O180" s="112"/>
    </row>
    <row r="181" spans="2:15" x14ac:dyDescent="0.25">
      <c r="B181" s="108"/>
      <c r="C181" s="135">
        <f t="shared" si="5"/>
        <v>42370</v>
      </c>
      <c r="D181" s="136" t="s">
        <v>20</v>
      </c>
      <c r="E181" s="137" t="s">
        <v>23</v>
      </c>
      <c r="F181" s="136" t="s">
        <v>24</v>
      </c>
      <c r="G181" s="137" t="str">
        <f t="shared" si="6"/>
        <v>General Service</v>
      </c>
      <c r="H181" s="138" t="s">
        <v>690</v>
      </c>
      <c r="I181" s="175" t="str">
        <f>TEXT(   (SUMPRODUCT( ((Main!$H$9:$H$1000)=$E181)*((Main!$J$9:$J$1000)=$F181)*((Main!$O$9:$O$1000)=$C181)*(Main!R$9:R$1000) ) +  ( SUMPRODUCT( ((Adders!$D$13:$D$101)=$E181)*((Adders!$E$13:$E$101)=$F181)*(Adders!G$13:G$101)) + VLOOKUP($H181,Adders!$B$5:$G$8,L$11,FALSE)  +  OH!$D$2 ) * IF($D181="NJ",1.07,1))/$L$10, CHOOSE($M$10,$L$9,$M$9) )</f>
        <v xml:space="preserve"> 58.29 </v>
      </c>
      <c r="J181" s="176" t="str">
        <f>TEXT(   (SUMPRODUCT( ((Main!$H$9:$H$1000)=$E181)*((Main!$J$9:$J$1000)=$F181)*((Main!$O$9:$O$1000)=$C181)*(Main!S$9:S$1000) ) +  ( SUMPRODUCT( ((Adders!$D$13:$D$101)=$E181)*((Adders!$E$13:$E$101)=$F181)*(Adders!H$13:H$101)) + VLOOKUP($H181,Adders!$B$5:$G$8,M$11,FALSE)  +  OH!$D$2 ) * IF($D181="NJ",1.07,1))/$L$10, CHOOSE($M$10,$L$9,$M$9) )</f>
        <v xml:space="preserve"> 58.48 </v>
      </c>
      <c r="K181" s="177" t="str">
        <f>TEXT(   (SUMPRODUCT( ((Main!$H$9:$H$1000)=$E181)*((Main!$J$9:$J$1000)=$F181)*((Main!$O$9:$O$1000)=$C181)*(Main!T$9:T$1000) ) +  ( SUMPRODUCT( ((Adders!$D$13:$D$101)=$E181)*((Adders!$E$13:$E$101)=$F181)*(Adders!I$13:I$101)) + VLOOKUP($H181,Adders!$B$5:$G$8,$N$11,FALSE)  +  OH!$D$2 ) * IF($D181="NJ",1.07,1))/$L$10, CHOOSE($M$10,$L$9,$M$9) )</f>
        <v xml:space="preserve"> 59.23 </v>
      </c>
      <c r="L181" s="175" t="str">
        <f>TEXT(   (SUMPRODUCT( ((LMPMain!$H$9:$H$1000)=$E181)*((LMPMain!$J$9:$J$1000)=$F181)*((LMPMain!$O$9:$O$1000)=$C181)*(LMPMain!R$9:R$1000) ) +  ( SUMPRODUCT( ((Adders!$D$13:$D$101)=$E181)*((Adders!$E$13:$E$101)=$F181)*(Adders!F$13:F$101)) + VLOOKUP($H181,Adders!$B$5:$G$8,L$11,FALSE)  +  OH!$D$2 ) * IF($D181="NJ",1.07,1))/$L$10, CHOOSE($M$10,$L$9,$M$9) )</f>
        <v xml:space="preserve"> 19.08 </v>
      </c>
      <c r="M181" s="176" t="str">
        <f>TEXT(   (SUMPRODUCT( ((LMPMain!$H$9:$H$1000)=$E181)*((LMPMain!$J$9:$J$1000)=$F181)*((LMPMain!$O$9:$O$1000)=$C181)*(LMPMain!S$9:S$1000) ) +  ( SUMPRODUCT( ((Adders!$D$13:$D$101)=$E181)*((Adders!$E$13:$E$101)=$F181)*(Adders!G$13:G$101)) + VLOOKUP($H181,Adders!$B$5:$G$8,M$11,FALSE)  +  OH!$D$2 ) * IF($D181="NJ",1.07,1))/$L$10, CHOOSE($M$10,$L$9,$M$9) )</f>
        <v xml:space="preserve"> 18.46 </v>
      </c>
      <c r="N181" s="177" t="str">
        <f>TEXT(   (SUMPRODUCT( ((LMPMain!$H$9:$H$1000)=$E181)*((LMPMain!$J$9:$J$1000)=$F181)*((LMPMain!$O$9:$O$1000)=$C181)*(LMPMain!T$9:T$1000) ) +  ( SUMPRODUCT( ((Adders!$D$13:$D$101)=$E181)*((Adders!$E$13:$E$101)=$F181)*(Adders!H$13:H$101)) + VLOOKUP($H181,Adders!$B$5:$G$8,N$11,FALSE)  +  OH!$D$2 ) * IF($D181="NJ",1.07,1))/$L$10, CHOOSE($M$10,$L$9,$M$9) )</f>
        <v xml:space="preserve"> 19.35 </v>
      </c>
      <c r="O181" s="112"/>
    </row>
    <row r="182" spans="2:15" x14ac:dyDescent="0.25">
      <c r="B182" s="108"/>
      <c r="C182" s="127">
        <f t="shared" si="5"/>
        <v>42401</v>
      </c>
      <c r="D182" s="128" t="s">
        <v>20</v>
      </c>
      <c r="E182" s="129" t="s">
        <v>23</v>
      </c>
      <c r="F182" s="128" t="s">
        <v>24</v>
      </c>
      <c r="G182" s="129" t="str">
        <f t="shared" si="6"/>
        <v>General Service</v>
      </c>
      <c r="H182" s="130" t="s">
        <v>61</v>
      </c>
      <c r="I182" s="180" t="str">
        <f>TEXT(   (SUMPRODUCT( ((Main!$H$9:$H$1000)=$E182)*((Main!$J$9:$J$1000)=$F182)*((Main!$O$9:$O$1000)=$C182)*(Main!R$9:R$1000) ) +  ( SUMPRODUCT( ((Adders!$D$13:$D$101)=$E182)*((Adders!$E$13:$E$101)=$F182)*(Adders!G$13:G$101)) + VLOOKUP($H182,Adders!$B$5:$G$8,L$11,FALSE)  +  OH!$D$2 ) * IF($D182="NJ",1.07,1))/$L$10, CHOOSE($M$10,$L$9,$M$9) )</f>
        <v xml:space="preserve"> 60.55 </v>
      </c>
      <c r="J182" s="178" t="str">
        <f>TEXT(   (SUMPRODUCT( ((Main!$H$9:$H$1000)=$E182)*((Main!$J$9:$J$1000)=$F182)*((Main!$O$9:$O$1000)=$C182)*(Main!S$9:S$1000) ) +  ( SUMPRODUCT( ((Adders!$D$13:$D$101)=$E182)*((Adders!$E$13:$E$101)=$F182)*(Adders!H$13:H$101)) + VLOOKUP($H182,Adders!$B$5:$G$8,M$11,FALSE)  +  OH!$D$2 ) * IF($D182="NJ",1.07,1))/$L$10, CHOOSE($M$10,$L$9,$M$9) )</f>
        <v xml:space="preserve"> 61.08 </v>
      </c>
      <c r="K182" s="179" t="str">
        <f>TEXT(   (SUMPRODUCT( ((Main!$H$9:$H$1000)=$E182)*((Main!$J$9:$J$1000)=$F182)*((Main!$O$9:$O$1000)=$C182)*(Main!T$9:T$1000) ) +  ( SUMPRODUCT( ((Adders!$D$13:$D$101)=$E182)*((Adders!$E$13:$E$101)=$F182)*(Adders!I$13:I$101)) + VLOOKUP($H182,Adders!$B$5:$G$8,$N$11,FALSE)  +  OH!$D$2 ) * IF($D182="NJ",1.07,1))/$L$10, CHOOSE($M$10,$L$9,$M$9) )</f>
        <v xml:space="preserve"> 62.03 </v>
      </c>
      <c r="L182" s="180" t="str">
        <f>TEXT(   (SUMPRODUCT( ((LMPMain!$H$9:$H$1000)=$E182)*((LMPMain!$J$9:$J$1000)=$F182)*((LMPMain!$O$9:$O$1000)=$C182)*(LMPMain!R$9:R$1000) ) +  ( SUMPRODUCT( ((Adders!$D$13:$D$101)=$E182)*((Adders!$E$13:$E$101)=$F182)*(Adders!F$13:F$101)) + VLOOKUP($H182,Adders!$B$5:$G$8,L$11,FALSE)  +  OH!$D$2 ) * IF($D182="NJ",1.07,1))/$L$10, CHOOSE($M$10,$L$9,$M$9) )</f>
        <v xml:space="preserve"> 21.05 </v>
      </c>
      <c r="M182" s="178" t="str">
        <f>TEXT(   (SUMPRODUCT( ((LMPMain!$H$9:$H$1000)=$E182)*((LMPMain!$J$9:$J$1000)=$F182)*((LMPMain!$O$9:$O$1000)=$C182)*(LMPMain!S$9:S$1000) ) +  ( SUMPRODUCT( ((Adders!$D$13:$D$101)=$E182)*((Adders!$E$13:$E$101)=$F182)*(Adders!G$13:G$101)) + VLOOKUP($H182,Adders!$B$5:$G$8,M$11,FALSE)  +  OH!$D$2 ) * IF($D182="NJ",1.07,1))/$L$10, CHOOSE($M$10,$L$9,$M$9) )</f>
        <v xml:space="preserve"> 20.88 </v>
      </c>
      <c r="N182" s="179" t="str">
        <f>TEXT(   (SUMPRODUCT( ((LMPMain!$H$9:$H$1000)=$E182)*((LMPMain!$J$9:$J$1000)=$F182)*((LMPMain!$O$9:$O$1000)=$C182)*(LMPMain!T$9:T$1000) ) +  ( SUMPRODUCT( ((Adders!$D$13:$D$101)=$E182)*((Adders!$E$13:$E$101)=$F182)*(Adders!H$13:H$101)) + VLOOKUP($H182,Adders!$B$5:$G$8,N$11,FALSE)  +  OH!$D$2 ) * IF($D182="NJ",1.07,1))/$L$10, CHOOSE($M$10,$L$9,$M$9) )</f>
        <v xml:space="preserve"> 21.94 </v>
      </c>
      <c r="O182" s="112"/>
    </row>
    <row r="183" spans="2:15" x14ac:dyDescent="0.25">
      <c r="B183" s="108"/>
      <c r="C183" s="131">
        <f t="shared" si="5"/>
        <v>42401</v>
      </c>
      <c r="D183" s="132" t="s">
        <v>20</v>
      </c>
      <c r="E183" s="133" t="s">
        <v>23</v>
      </c>
      <c r="F183" s="132" t="s">
        <v>24</v>
      </c>
      <c r="G183" s="133" t="str">
        <f t="shared" si="6"/>
        <v>General Service</v>
      </c>
      <c r="H183" s="134" t="s">
        <v>62</v>
      </c>
      <c r="I183" s="172" t="str">
        <f>TEXT(   (SUMPRODUCT( ((Main!$H$9:$H$1000)=$E183)*((Main!$J$9:$J$1000)=$F183)*((Main!$O$9:$O$1000)=$C183)*(Main!R$9:R$1000) ) +  ( SUMPRODUCT( ((Adders!$D$13:$D$101)=$E183)*((Adders!$E$13:$E$101)=$F183)*(Adders!G$13:G$101)) + VLOOKUP($H183,Adders!$B$5:$G$8,L$11,FALSE)  +  OH!$D$2 ) * IF($D183="NJ",1.07,1))/$L$10, CHOOSE($M$10,$L$9,$M$9) )</f>
        <v xml:space="preserve"> 58.95 </v>
      </c>
      <c r="J183" s="173" t="str">
        <f>TEXT(   (SUMPRODUCT( ((Main!$H$9:$H$1000)=$E183)*((Main!$J$9:$J$1000)=$F183)*((Main!$O$9:$O$1000)=$C183)*(Main!S$9:S$1000) ) +  ( SUMPRODUCT( ((Adders!$D$13:$D$101)=$E183)*((Adders!$E$13:$E$101)=$F183)*(Adders!H$13:H$101)) + VLOOKUP($H183,Adders!$B$5:$G$8,M$11,FALSE)  +  OH!$D$2 ) * IF($D183="NJ",1.07,1))/$L$10, CHOOSE($M$10,$L$9,$M$9) )</f>
        <v xml:space="preserve"> 59.48 </v>
      </c>
      <c r="K183" s="174" t="str">
        <f>TEXT(   (SUMPRODUCT( ((Main!$H$9:$H$1000)=$E183)*((Main!$J$9:$J$1000)=$F183)*((Main!$O$9:$O$1000)=$C183)*(Main!T$9:T$1000) ) +  ( SUMPRODUCT( ((Adders!$D$13:$D$101)=$E183)*((Adders!$E$13:$E$101)=$F183)*(Adders!I$13:I$101)) + VLOOKUP($H183,Adders!$B$5:$G$8,$N$11,FALSE)  +  OH!$D$2 ) * IF($D183="NJ",1.07,1))/$L$10, CHOOSE($M$10,$L$9,$M$9) )</f>
        <v xml:space="preserve"> 60.43 </v>
      </c>
      <c r="L183" s="172" t="str">
        <f>TEXT(   (SUMPRODUCT( ((LMPMain!$H$9:$H$1000)=$E183)*((LMPMain!$J$9:$J$1000)=$F183)*((LMPMain!$O$9:$O$1000)=$C183)*(LMPMain!R$9:R$1000) ) +  ( SUMPRODUCT( ((Adders!$D$13:$D$101)=$E183)*((Adders!$E$13:$E$101)=$F183)*(Adders!F$13:F$101)) + VLOOKUP($H183,Adders!$B$5:$G$8,L$11,FALSE)  +  OH!$D$2 ) * IF($D183="NJ",1.07,1))/$L$10, CHOOSE($M$10,$L$9,$M$9) )</f>
        <v xml:space="preserve"> 19.45 </v>
      </c>
      <c r="M183" s="173" t="str">
        <f>TEXT(   (SUMPRODUCT( ((LMPMain!$H$9:$H$1000)=$E183)*((LMPMain!$J$9:$J$1000)=$F183)*((LMPMain!$O$9:$O$1000)=$C183)*(LMPMain!S$9:S$1000) ) +  ( SUMPRODUCT( ((Adders!$D$13:$D$101)=$E183)*((Adders!$E$13:$E$101)=$F183)*(Adders!G$13:G$101)) + VLOOKUP($H183,Adders!$B$5:$G$8,M$11,FALSE)  +  OH!$D$2 ) * IF($D183="NJ",1.07,1))/$L$10, CHOOSE($M$10,$L$9,$M$9) )</f>
        <v xml:space="preserve"> 19.28 </v>
      </c>
      <c r="N183" s="174" t="str">
        <f>TEXT(   (SUMPRODUCT( ((LMPMain!$H$9:$H$1000)=$E183)*((LMPMain!$J$9:$J$1000)=$F183)*((LMPMain!$O$9:$O$1000)=$C183)*(LMPMain!T$9:T$1000) ) +  ( SUMPRODUCT( ((Adders!$D$13:$D$101)=$E183)*((Adders!$E$13:$E$101)=$F183)*(Adders!H$13:H$101)) + VLOOKUP($H183,Adders!$B$5:$G$8,N$11,FALSE)  +  OH!$D$2 ) * IF($D183="NJ",1.07,1))/$L$10, CHOOSE($M$10,$L$9,$M$9) )</f>
        <v xml:space="preserve"> 20.34 </v>
      </c>
      <c r="O183" s="112"/>
    </row>
    <row r="184" spans="2:15" x14ac:dyDescent="0.25">
      <c r="B184" s="108"/>
      <c r="C184" s="135">
        <f t="shared" si="5"/>
        <v>42401</v>
      </c>
      <c r="D184" s="136" t="s">
        <v>20</v>
      </c>
      <c r="E184" s="137" t="s">
        <v>23</v>
      </c>
      <c r="F184" s="136" t="s">
        <v>24</v>
      </c>
      <c r="G184" s="137" t="str">
        <f t="shared" si="6"/>
        <v>General Service</v>
      </c>
      <c r="H184" s="138" t="s">
        <v>690</v>
      </c>
      <c r="I184" s="175" t="str">
        <f>TEXT(   (SUMPRODUCT( ((Main!$H$9:$H$1000)=$E184)*((Main!$J$9:$J$1000)=$F184)*((Main!$O$9:$O$1000)=$C184)*(Main!R$9:R$1000) ) +  ( SUMPRODUCT( ((Adders!$D$13:$D$101)=$E184)*((Adders!$E$13:$E$101)=$F184)*(Adders!G$13:G$101)) + VLOOKUP($H184,Adders!$B$5:$G$8,L$11,FALSE)  +  OH!$D$2 ) * IF($D184="NJ",1.07,1))/$L$10, CHOOSE($M$10,$L$9,$M$9) )</f>
        <v xml:space="preserve"> 57.90 </v>
      </c>
      <c r="J184" s="176" t="str">
        <f>TEXT(   (SUMPRODUCT( ((Main!$H$9:$H$1000)=$E184)*((Main!$J$9:$J$1000)=$F184)*((Main!$O$9:$O$1000)=$C184)*(Main!S$9:S$1000) ) +  ( SUMPRODUCT( ((Adders!$D$13:$D$101)=$E184)*((Adders!$E$13:$E$101)=$F184)*(Adders!H$13:H$101)) + VLOOKUP($H184,Adders!$B$5:$G$8,M$11,FALSE)  +  OH!$D$2 ) * IF($D184="NJ",1.07,1))/$L$10, CHOOSE($M$10,$L$9,$M$9) )</f>
        <v xml:space="preserve"> 58.43 </v>
      </c>
      <c r="K184" s="177" t="str">
        <f>TEXT(   (SUMPRODUCT( ((Main!$H$9:$H$1000)=$E184)*((Main!$J$9:$J$1000)=$F184)*((Main!$O$9:$O$1000)=$C184)*(Main!T$9:T$1000) ) +  ( SUMPRODUCT( ((Adders!$D$13:$D$101)=$E184)*((Adders!$E$13:$E$101)=$F184)*(Adders!I$13:I$101)) + VLOOKUP($H184,Adders!$B$5:$G$8,$N$11,FALSE)  +  OH!$D$2 ) * IF($D184="NJ",1.07,1))/$L$10, CHOOSE($M$10,$L$9,$M$9) )</f>
        <v xml:space="preserve"> 59.38 </v>
      </c>
      <c r="L184" s="175" t="str">
        <f>TEXT(   (SUMPRODUCT( ((LMPMain!$H$9:$H$1000)=$E184)*((LMPMain!$J$9:$J$1000)=$F184)*((LMPMain!$O$9:$O$1000)=$C184)*(LMPMain!R$9:R$1000) ) +  ( SUMPRODUCT( ((Adders!$D$13:$D$101)=$E184)*((Adders!$E$13:$E$101)=$F184)*(Adders!F$13:F$101)) + VLOOKUP($H184,Adders!$B$5:$G$8,L$11,FALSE)  +  OH!$D$2 ) * IF($D184="NJ",1.07,1))/$L$10, CHOOSE($M$10,$L$9,$M$9) )</f>
        <v xml:space="preserve"> 18.40 </v>
      </c>
      <c r="M184" s="176" t="str">
        <f>TEXT(   (SUMPRODUCT( ((LMPMain!$H$9:$H$1000)=$E184)*((LMPMain!$J$9:$J$1000)=$F184)*((LMPMain!$O$9:$O$1000)=$C184)*(LMPMain!S$9:S$1000) ) +  ( SUMPRODUCT( ((Adders!$D$13:$D$101)=$E184)*((Adders!$E$13:$E$101)=$F184)*(Adders!G$13:G$101)) + VLOOKUP($H184,Adders!$B$5:$G$8,M$11,FALSE)  +  OH!$D$2 ) * IF($D184="NJ",1.07,1))/$L$10, CHOOSE($M$10,$L$9,$M$9) )</f>
        <v xml:space="preserve"> 18.23 </v>
      </c>
      <c r="N184" s="177" t="str">
        <f>TEXT(   (SUMPRODUCT( ((LMPMain!$H$9:$H$1000)=$E184)*((LMPMain!$J$9:$J$1000)=$F184)*((LMPMain!$O$9:$O$1000)=$C184)*(LMPMain!T$9:T$1000) ) +  ( SUMPRODUCT( ((Adders!$D$13:$D$101)=$E184)*((Adders!$E$13:$E$101)=$F184)*(Adders!H$13:H$101)) + VLOOKUP($H184,Adders!$B$5:$G$8,N$11,FALSE)  +  OH!$D$2 ) * IF($D184="NJ",1.07,1))/$L$10, CHOOSE($M$10,$L$9,$M$9) )</f>
        <v xml:space="preserve"> 19.29 </v>
      </c>
      <c r="O184" s="112"/>
    </row>
    <row r="185" spans="2:15" x14ac:dyDescent="0.25">
      <c r="B185" s="108"/>
      <c r="C185" s="127">
        <f t="shared" si="5"/>
        <v>42430</v>
      </c>
      <c r="D185" s="128" t="s">
        <v>20</v>
      </c>
      <c r="E185" s="129" t="s">
        <v>23</v>
      </c>
      <c r="F185" s="128" t="s">
        <v>24</v>
      </c>
      <c r="G185" s="129" t="str">
        <f t="shared" si="6"/>
        <v>General Service</v>
      </c>
      <c r="H185" s="130" t="s">
        <v>61</v>
      </c>
      <c r="I185" s="180" t="str">
        <f>TEXT(   (SUMPRODUCT( ((Main!$H$9:$H$1000)=$E185)*((Main!$J$9:$J$1000)=$F185)*((Main!$O$9:$O$1000)=$C185)*(Main!R$9:R$1000) ) +  ( SUMPRODUCT( ((Adders!$D$13:$D$101)=$E185)*((Adders!$E$13:$E$101)=$F185)*(Adders!G$13:G$101)) + VLOOKUP($H185,Adders!$B$5:$G$8,L$11,FALSE)  +  OH!$D$2 ) * IF($D185="NJ",1.07,1))/$L$10, CHOOSE($M$10,$L$9,$M$9) )</f>
        <v xml:space="preserve"> 60.11 </v>
      </c>
      <c r="J185" s="178" t="str">
        <f>TEXT(   (SUMPRODUCT( ((Main!$H$9:$H$1000)=$E185)*((Main!$J$9:$J$1000)=$F185)*((Main!$O$9:$O$1000)=$C185)*(Main!S$9:S$1000) ) +  ( SUMPRODUCT( ((Adders!$D$13:$D$101)=$E185)*((Adders!$E$13:$E$101)=$F185)*(Adders!H$13:H$101)) + VLOOKUP($H185,Adders!$B$5:$G$8,M$11,FALSE)  +  OH!$D$2 ) * IF($D185="NJ",1.07,1))/$L$10, CHOOSE($M$10,$L$9,$M$9) )</f>
        <v xml:space="preserve"> 60.93 </v>
      </c>
      <c r="K185" s="179" t="str">
        <f>TEXT(   (SUMPRODUCT( ((Main!$H$9:$H$1000)=$E185)*((Main!$J$9:$J$1000)=$F185)*((Main!$O$9:$O$1000)=$C185)*(Main!T$9:T$1000) ) +  ( SUMPRODUCT( ((Adders!$D$13:$D$101)=$E185)*((Adders!$E$13:$E$101)=$F185)*(Adders!I$13:I$101)) + VLOOKUP($H185,Adders!$B$5:$G$8,$N$11,FALSE)  +  OH!$D$2 ) * IF($D185="NJ",1.07,1))/$L$10, CHOOSE($M$10,$L$9,$M$9) )</f>
        <v xml:space="preserve"> 62.13 </v>
      </c>
      <c r="L185" s="180" t="str">
        <f>TEXT(   (SUMPRODUCT( ((LMPMain!$H$9:$H$1000)=$E185)*((LMPMain!$J$9:$J$1000)=$F185)*((LMPMain!$O$9:$O$1000)=$C185)*(LMPMain!R$9:R$1000) ) +  ( SUMPRODUCT( ((Adders!$D$13:$D$101)=$E185)*((Adders!$E$13:$E$101)=$F185)*(Adders!F$13:F$101)) + VLOOKUP($H185,Adders!$B$5:$G$8,L$11,FALSE)  +  OH!$D$2 ) * IF($D185="NJ",1.07,1))/$L$10, CHOOSE($M$10,$L$9,$M$9) )</f>
        <v xml:space="preserve"> 20.43 </v>
      </c>
      <c r="M185" s="178" t="str">
        <f>TEXT(   (SUMPRODUCT( ((LMPMain!$H$9:$H$1000)=$E185)*((LMPMain!$J$9:$J$1000)=$F185)*((LMPMain!$O$9:$O$1000)=$C185)*(LMPMain!S$9:S$1000) ) +  ( SUMPRODUCT( ((Adders!$D$13:$D$101)=$E185)*((Adders!$E$13:$E$101)=$F185)*(Adders!G$13:G$101)) + VLOOKUP($H185,Adders!$B$5:$G$8,M$11,FALSE)  +  OH!$D$2 ) * IF($D185="NJ",1.07,1))/$L$10, CHOOSE($M$10,$L$9,$M$9) )</f>
        <v xml:space="preserve"> 20.71 </v>
      </c>
      <c r="N185" s="179" t="str">
        <f>TEXT(   (SUMPRODUCT( ((LMPMain!$H$9:$H$1000)=$E185)*((LMPMain!$J$9:$J$1000)=$F185)*((LMPMain!$O$9:$O$1000)=$C185)*(LMPMain!T$9:T$1000) ) +  ( SUMPRODUCT( ((Adders!$D$13:$D$101)=$E185)*((Adders!$E$13:$E$101)=$F185)*(Adders!H$13:H$101)) + VLOOKUP($H185,Adders!$B$5:$G$8,N$11,FALSE)  +  OH!$D$2 ) * IF($D185="NJ",1.07,1))/$L$10, CHOOSE($M$10,$L$9,$M$9) )</f>
        <v xml:space="preserve"> 21.89 </v>
      </c>
      <c r="O185" s="112"/>
    </row>
    <row r="186" spans="2:15" x14ac:dyDescent="0.25">
      <c r="B186" s="108"/>
      <c r="C186" s="131">
        <f t="shared" si="5"/>
        <v>42430</v>
      </c>
      <c r="D186" s="132" t="s">
        <v>20</v>
      </c>
      <c r="E186" s="133" t="s">
        <v>23</v>
      </c>
      <c r="F186" s="132" t="s">
        <v>24</v>
      </c>
      <c r="G186" s="133" t="str">
        <f t="shared" si="6"/>
        <v>General Service</v>
      </c>
      <c r="H186" s="134" t="s">
        <v>62</v>
      </c>
      <c r="I186" s="172" t="str">
        <f>TEXT(   (SUMPRODUCT( ((Main!$H$9:$H$1000)=$E186)*((Main!$J$9:$J$1000)=$F186)*((Main!$O$9:$O$1000)=$C186)*(Main!R$9:R$1000) ) +  ( SUMPRODUCT( ((Adders!$D$13:$D$101)=$E186)*((Adders!$E$13:$E$101)=$F186)*(Adders!G$13:G$101)) + VLOOKUP($H186,Adders!$B$5:$G$8,L$11,FALSE)  +  OH!$D$2 ) * IF($D186="NJ",1.07,1))/$L$10, CHOOSE($M$10,$L$9,$M$9) )</f>
        <v xml:space="preserve"> 58.51 </v>
      </c>
      <c r="J186" s="173" t="str">
        <f>TEXT(   (SUMPRODUCT( ((Main!$H$9:$H$1000)=$E186)*((Main!$J$9:$J$1000)=$F186)*((Main!$O$9:$O$1000)=$C186)*(Main!S$9:S$1000) ) +  ( SUMPRODUCT( ((Adders!$D$13:$D$101)=$E186)*((Adders!$E$13:$E$101)=$F186)*(Adders!H$13:H$101)) + VLOOKUP($H186,Adders!$B$5:$G$8,M$11,FALSE)  +  OH!$D$2 ) * IF($D186="NJ",1.07,1))/$L$10, CHOOSE($M$10,$L$9,$M$9) )</f>
        <v xml:space="preserve"> 59.33 </v>
      </c>
      <c r="K186" s="174" t="str">
        <f>TEXT(   (SUMPRODUCT( ((Main!$H$9:$H$1000)=$E186)*((Main!$J$9:$J$1000)=$F186)*((Main!$O$9:$O$1000)=$C186)*(Main!T$9:T$1000) ) +  ( SUMPRODUCT( ((Adders!$D$13:$D$101)=$E186)*((Adders!$E$13:$E$101)=$F186)*(Adders!I$13:I$101)) + VLOOKUP($H186,Adders!$B$5:$G$8,$N$11,FALSE)  +  OH!$D$2 ) * IF($D186="NJ",1.07,1))/$L$10, CHOOSE($M$10,$L$9,$M$9) )</f>
        <v xml:space="preserve"> 60.53 </v>
      </c>
      <c r="L186" s="172" t="str">
        <f>TEXT(   (SUMPRODUCT( ((LMPMain!$H$9:$H$1000)=$E186)*((LMPMain!$J$9:$J$1000)=$F186)*((LMPMain!$O$9:$O$1000)=$C186)*(LMPMain!R$9:R$1000) ) +  ( SUMPRODUCT( ((Adders!$D$13:$D$101)=$E186)*((Adders!$E$13:$E$101)=$F186)*(Adders!F$13:F$101)) + VLOOKUP($H186,Adders!$B$5:$G$8,L$11,FALSE)  +  OH!$D$2 ) * IF($D186="NJ",1.07,1))/$L$10, CHOOSE($M$10,$L$9,$M$9) )</f>
        <v xml:space="preserve"> 18.83 </v>
      </c>
      <c r="M186" s="173" t="str">
        <f>TEXT(   (SUMPRODUCT( ((LMPMain!$H$9:$H$1000)=$E186)*((LMPMain!$J$9:$J$1000)=$F186)*((LMPMain!$O$9:$O$1000)=$C186)*(LMPMain!S$9:S$1000) ) +  ( SUMPRODUCT( ((Adders!$D$13:$D$101)=$E186)*((Adders!$E$13:$E$101)=$F186)*(Adders!G$13:G$101)) + VLOOKUP($H186,Adders!$B$5:$G$8,M$11,FALSE)  +  OH!$D$2 ) * IF($D186="NJ",1.07,1))/$L$10, CHOOSE($M$10,$L$9,$M$9) )</f>
        <v xml:space="preserve"> 19.11 </v>
      </c>
      <c r="N186" s="174" t="str">
        <f>TEXT(   (SUMPRODUCT( ((LMPMain!$H$9:$H$1000)=$E186)*((LMPMain!$J$9:$J$1000)=$F186)*((LMPMain!$O$9:$O$1000)=$C186)*(LMPMain!T$9:T$1000) ) +  ( SUMPRODUCT( ((Adders!$D$13:$D$101)=$E186)*((Adders!$E$13:$E$101)=$F186)*(Adders!H$13:H$101)) + VLOOKUP($H186,Adders!$B$5:$G$8,N$11,FALSE)  +  OH!$D$2 ) * IF($D186="NJ",1.07,1))/$L$10, CHOOSE($M$10,$L$9,$M$9) )</f>
        <v xml:space="preserve"> 20.29 </v>
      </c>
      <c r="O186" s="112"/>
    </row>
    <row r="187" spans="2:15" x14ac:dyDescent="0.25">
      <c r="B187" s="108"/>
      <c r="C187" s="135">
        <f t="shared" si="5"/>
        <v>42430</v>
      </c>
      <c r="D187" s="136" t="s">
        <v>20</v>
      </c>
      <c r="E187" s="137" t="s">
        <v>23</v>
      </c>
      <c r="F187" s="136" t="s">
        <v>24</v>
      </c>
      <c r="G187" s="137" t="str">
        <f t="shared" si="6"/>
        <v>General Service</v>
      </c>
      <c r="H187" s="138" t="s">
        <v>690</v>
      </c>
      <c r="I187" s="175" t="str">
        <f>TEXT(   (SUMPRODUCT( ((Main!$H$9:$H$1000)=$E187)*((Main!$J$9:$J$1000)=$F187)*((Main!$O$9:$O$1000)=$C187)*(Main!R$9:R$1000) ) +  ( SUMPRODUCT( ((Adders!$D$13:$D$101)=$E187)*((Adders!$E$13:$E$101)=$F187)*(Adders!G$13:G$101)) + VLOOKUP($H187,Adders!$B$5:$G$8,L$11,FALSE)  +  OH!$D$2 ) * IF($D187="NJ",1.07,1))/$L$10, CHOOSE($M$10,$L$9,$M$9) )</f>
        <v xml:space="preserve"> 57.46 </v>
      </c>
      <c r="J187" s="176" t="str">
        <f>TEXT(   (SUMPRODUCT( ((Main!$H$9:$H$1000)=$E187)*((Main!$J$9:$J$1000)=$F187)*((Main!$O$9:$O$1000)=$C187)*(Main!S$9:S$1000) ) +  ( SUMPRODUCT( ((Adders!$D$13:$D$101)=$E187)*((Adders!$E$13:$E$101)=$F187)*(Adders!H$13:H$101)) + VLOOKUP($H187,Adders!$B$5:$G$8,M$11,FALSE)  +  OH!$D$2 ) * IF($D187="NJ",1.07,1))/$L$10, CHOOSE($M$10,$L$9,$M$9) )</f>
        <v xml:space="preserve"> 58.28 </v>
      </c>
      <c r="K187" s="177" t="str">
        <f>TEXT(   (SUMPRODUCT( ((Main!$H$9:$H$1000)=$E187)*((Main!$J$9:$J$1000)=$F187)*((Main!$O$9:$O$1000)=$C187)*(Main!T$9:T$1000) ) +  ( SUMPRODUCT( ((Adders!$D$13:$D$101)=$E187)*((Adders!$E$13:$E$101)=$F187)*(Adders!I$13:I$101)) + VLOOKUP($H187,Adders!$B$5:$G$8,$N$11,FALSE)  +  OH!$D$2 ) * IF($D187="NJ",1.07,1))/$L$10, CHOOSE($M$10,$L$9,$M$9) )</f>
        <v xml:space="preserve"> 59.48 </v>
      </c>
      <c r="L187" s="175" t="str">
        <f>TEXT(   (SUMPRODUCT( ((LMPMain!$H$9:$H$1000)=$E187)*((LMPMain!$J$9:$J$1000)=$F187)*((LMPMain!$O$9:$O$1000)=$C187)*(LMPMain!R$9:R$1000) ) +  ( SUMPRODUCT( ((Adders!$D$13:$D$101)=$E187)*((Adders!$E$13:$E$101)=$F187)*(Adders!F$13:F$101)) + VLOOKUP($H187,Adders!$B$5:$G$8,L$11,FALSE)  +  OH!$D$2 ) * IF($D187="NJ",1.07,1))/$L$10, CHOOSE($M$10,$L$9,$M$9) )</f>
        <v xml:space="preserve"> 17.78 </v>
      </c>
      <c r="M187" s="176" t="str">
        <f>TEXT(   (SUMPRODUCT( ((LMPMain!$H$9:$H$1000)=$E187)*((LMPMain!$J$9:$J$1000)=$F187)*((LMPMain!$O$9:$O$1000)=$C187)*(LMPMain!S$9:S$1000) ) +  ( SUMPRODUCT( ((Adders!$D$13:$D$101)=$E187)*((Adders!$E$13:$E$101)=$F187)*(Adders!G$13:G$101)) + VLOOKUP($H187,Adders!$B$5:$G$8,M$11,FALSE)  +  OH!$D$2 ) * IF($D187="NJ",1.07,1))/$L$10, CHOOSE($M$10,$L$9,$M$9) )</f>
        <v xml:space="preserve"> 18.06 </v>
      </c>
      <c r="N187" s="177" t="str">
        <f>TEXT(   (SUMPRODUCT( ((LMPMain!$H$9:$H$1000)=$E187)*((LMPMain!$J$9:$J$1000)=$F187)*((LMPMain!$O$9:$O$1000)=$C187)*(LMPMain!T$9:T$1000) ) +  ( SUMPRODUCT( ((Adders!$D$13:$D$101)=$E187)*((Adders!$E$13:$E$101)=$F187)*(Adders!H$13:H$101)) + VLOOKUP($H187,Adders!$B$5:$G$8,N$11,FALSE)  +  OH!$D$2 ) * IF($D187="NJ",1.07,1))/$L$10, CHOOSE($M$10,$L$9,$M$9) )</f>
        <v xml:space="preserve"> 19.24 </v>
      </c>
      <c r="O187" s="112"/>
    </row>
    <row r="188" spans="2:15" x14ac:dyDescent="0.25">
      <c r="B188" s="108"/>
      <c r="C188" s="127">
        <f t="shared" si="5"/>
        <v>42461</v>
      </c>
      <c r="D188" s="128" t="s">
        <v>20</v>
      </c>
      <c r="E188" s="129" t="s">
        <v>23</v>
      </c>
      <c r="F188" s="128" t="s">
        <v>24</v>
      </c>
      <c r="G188" s="129" t="str">
        <f t="shared" si="6"/>
        <v>General Service</v>
      </c>
      <c r="H188" s="130" t="s">
        <v>61</v>
      </c>
      <c r="I188" s="180" t="str">
        <f>TEXT(   (SUMPRODUCT( ((Main!$H$9:$H$1000)=$E188)*((Main!$J$9:$J$1000)=$F188)*((Main!$O$9:$O$1000)=$C188)*(Main!R$9:R$1000) ) +  ( SUMPRODUCT( ((Adders!$D$13:$D$101)=$E188)*((Adders!$E$13:$E$101)=$F188)*(Adders!G$13:G$101)) + VLOOKUP($H188,Adders!$B$5:$G$8,L$11,FALSE)  +  OH!$D$2 ) * IF($D188="NJ",1.07,1))/$L$10, CHOOSE($M$10,$L$9,$M$9) )</f>
        <v xml:space="preserve"> 59.54 </v>
      </c>
      <c r="J188" s="178" t="str">
        <f>TEXT(   (SUMPRODUCT( ((Main!$H$9:$H$1000)=$E188)*((Main!$J$9:$J$1000)=$F188)*((Main!$O$9:$O$1000)=$C188)*(Main!S$9:S$1000) ) +  ( SUMPRODUCT( ((Adders!$D$13:$D$101)=$E188)*((Adders!$E$13:$E$101)=$F188)*(Adders!H$13:H$101)) + VLOOKUP($H188,Adders!$B$5:$G$8,M$11,FALSE)  +  OH!$D$2 ) * IF($D188="NJ",1.07,1))/$L$10, CHOOSE($M$10,$L$9,$M$9) )</f>
        <v xml:space="preserve"> 60.51 </v>
      </c>
      <c r="K188" s="179" t="str">
        <f>TEXT(   (SUMPRODUCT( ((Main!$H$9:$H$1000)=$E188)*((Main!$J$9:$J$1000)=$F188)*((Main!$O$9:$O$1000)=$C188)*(Main!T$9:T$1000) ) +  ( SUMPRODUCT( ((Adders!$D$13:$D$101)=$E188)*((Adders!$E$13:$E$101)=$F188)*(Adders!I$13:I$101)) + VLOOKUP($H188,Adders!$B$5:$G$8,$N$11,FALSE)  +  OH!$D$2 ) * IF($D188="NJ",1.07,1))/$L$10, CHOOSE($M$10,$L$9,$M$9) )</f>
        <v xml:space="preserve"> 62.06 </v>
      </c>
      <c r="L188" s="180" t="str">
        <f>TEXT(   (SUMPRODUCT( ((LMPMain!$H$9:$H$1000)=$E188)*((LMPMain!$J$9:$J$1000)=$F188)*((LMPMain!$O$9:$O$1000)=$C188)*(LMPMain!R$9:R$1000) ) +  ( SUMPRODUCT( ((Adders!$D$13:$D$101)=$E188)*((Adders!$E$13:$E$101)=$F188)*(Adders!F$13:F$101)) + VLOOKUP($H188,Adders!$B$5:$G$8,L$11,FALSE)  +  OH!$D$2 ) * IF($D188="NJ",1.07,1))/$L$10, CHOOSE($M$10,$L$9,$M$9) )</f>
        <v xml:space="preserve"> 19.77 </v>
      </c>
      <c r="M188" s="178" t="str">
        <f>TEXT(   (SUMPRODUCT( ((LMPMain!$H$9:$H$1000)=$E188)*((LMPMain!$J$9:$J$1000)=$F188)*((LMPMain!$O$9:$O$1000)=$C188)*(LMPMain!S$9:S$1000) ) +  ( SUMPRODUCT( ((Adders!$D$13:$D$101)=$E188)*((Adders!$E$13:$E$101)=$F188)*(Adders!G$13:G$101)) + VLOOKUP($H188,Adders!$B$5:$G$8,M$11,FALSE)  +  OH!$D$2 ) * IF($D188="NJ",1.07,1))/$L$10, CHOOSE($M$10,$L$9,$M$9) )</f>
        <v xml:space="preserve"> 20.56 </v>
      </c>
      <c r="N188" s="179" t="str">
        <f>TEXT(   (SUMPRODUCT( ((LMPMain!$H$9:$H$1000)=$E188)*((LMPMain!$J$9:$J$1000)=$F188)*((LMPMain!$O$9:$O$1000)=$C188)*(LMPMain!T$9:T$1000) ) +  ( SUMPRODUCT( ((Adders!$D$13:$D$101)=$E188)*((Adders!$E$13:$E$101)=$F188)*(Adders!H$13:H$101)) + VLOOKUP($H188,Adders!$B$5:$G$8,N$11,FALSE)  +  OH!$D$2 ) * IF($D188="NJ",1.07,1))/$L$10, CHOOSE($M$10,$L$9,$M$9) )</f>
        <v xml:space="preserve"> 21.83 </v>
      </c>
      <c r="O188" s="112"/>
    </row>
    <row r="189" spans="2:15" x14ac:dyDescent="0.25">
      <c r="B189" s="108"/>
      <c r="C189" s="131">
        <f t="shared" si="5"/>
        <v>42461</v>
      </c>
      <c r="D189" s="132" t="s">
        <v>20</v>
      </c>
      <c r="E189" s="133" t="s">
        <v>23</v>
      </c>
      <c r="F189" s="132" t="s">
        <v>24</v>
      </c>
      <c r="G189" s="133" t="str">
        <f t="shared" si="6"/>
        <v>General Service</v>
      </c>
      <c r="H189" s="134" t="s">
        <v>62</v>
      </c>
      <c r="I189" s="172" t="str">
        <f>TEXT(   (SUMPRODUCT( ((Main!$H$9:$H$1000)=$E189)*((Main!$J$9:$J$1000)=$F189)*((Main!$O$9:$O$1000)=$C189)*(Main!R$9:R$1000) ) +  ( SUMPRODUCT( ((Adders!$D$13:$D$101)=$E189)*((Adders!$E$13:$E$101)=$F189)*(Adders!G$13:G$101)) + VLOOKUP($H189,Adders!$B$5:$G$8,L$11,FALSE)  +  OH!$D$2 ) * IF($D189="NJ",1.07,1))/$L$10, CHOOSE($M$10,$L$9,$M$9) )</f>
        <v xml:space="preserve"> 57.94 </v>
      </c>
      <c r="J189" s="173" t="str">
        <f>TEXT(   (SUMPRODUCT( ((Main!$H$9:$H$1000)=$E189)*((Main!$J$9:$J$1000)=$F189)*((Main!$O$9:$O$1000)=$C189)*(Main!S$9:S$1000) ) +  ( SUMPRODUCT( ((Adders!$D$13:$D$101)=$E189)*((Adders!$E$13:$E$101)=$F189)*(Adders!H$13:H$101)) + VLOOKUP($H189,Adders!$B$5:$G$8,M$11,FALSE)  +  OH!$D$2 ) * IF($D189="NJ",1.07,1))/$L$10, CHOOSE($M$10,$L$9,$M$9) )</f>
        <v xml:space="preserve"> 58.91 </v>
      </c>
      <c r="K189" s="174" t="str">
        <f>TEXT(   (SUMPRODUCT( ((Main!$H$9:$H$1000)=$E189)*((Main!$J$9:$J$1000)=$F189)*((Main!$O$9:$O$1000)=$C189)*(Main!T$9:T$1000) ) +  ( SUMPRODUCT( ((Adders!$D$13:$D$101)=$E189)*((Adders!$E$13:$E$101)=$F189)*(Adders!I$13:I$101)) + VLOOKUP($H189,Adders!$B$5:$G$8,$N$11,FALSE)  +  OH!$D$2 ) * IF($D189="NJ",1.07,1))/$L$10, CHOOSE($M$10,$L$9,$M$9) )</f>
        <v xml:space="preserve"> 60.46 </v>
      </c>
      <c r="L189" s="172" t="str">
        <f>TEXT(   (SUMPRODUCT( ((LMPMain!$H$9:$H$1000)=$E189)*((LMPMain!$J$9:$J$1000)=$F189)*((LMPMain!$O$9:$O$1000)=$C189)*(LMPMain!R$9:R$1000) ) +  ( SUMPRODUCT( ((Adders!$D$13:$D$101)=$E189)*((Adders!$E$13:$E$101)=$F189)*(Adders!F$13:F$101)) + VLOOKUP($H189,Adders!$B$5:$G$8,L$11,FALSE)  +  OH!$D$2 ) * IF($D189="NJ",1.07,1))/$L$10, CHOOSE($M$10,$L$9,$M$9) )</f>
        <v xml:space="preserve"> 18.17 </v>
      </c>
      <c r="M189" s="173" t="str">
        <f>TEXT(   (SUMPRODUCT( ((LMPMain!$H$9:$H$1000)=$E189)*((LMPMain!$J$9:$J$1000)=$F189)*((LMPMain!$O$9:$O$1000)=$C189)*(LMPMain!S$9:S$1000) ) +  ( SUMPRODUCT( ((Adders!$D$13:$D$101)=$E189)*((Adders!$E$13:$E$101)=$F189)*(Adders!G$13:G$101)) + VLOOKUP($H189,Adders!$B$5:$G$8,M$11,FALSE)  +  OH!$D$2 ) * IF($D189="NJ",1.07,1))/$L$10, CHOOSE($M$10,$L$9,$M$9) )</f>
        <v xml:space="preserve"> 18.96 </v>
      </c>
      <c r="N189" s="174" t="str">
        <f>TEXT(   (SUMPRODUCT( ((LMPMain!$H$9:$H$1000)=$E189)*((LMPMain!$J$9:$J$1000)=$F189)*((LMPMain!$O$9:$O$1000)=$C189)*(LMPMain!T$9:T$1000) ) +  ( SUMPRODUCT( ((Adders!$D$13:$D$101)=$E189)*((Adders!$E$13:$E$101)=$F189)*(Adders!H$13:H$101)) + VLOOKUP($H189,Adders!$B$5:$G$8,N$11,FALSE)  +  OH!$D$2 ) * IF($D189="NJ",1.07,1))/$L$10, CHOOSE($M$10,$L$9,$M$9) )</f>
        <v xml:space="preserve"> 20.23 </v>
      </c>
      <c r="O189" s="112"/>
    </row>
    <row r="190" spans="2:15" x14ac:dyDescent="0.25">
      <c r="B190" s="108"/>
      <c r="C190" s="135">
        <f t="shared" si="5"/>
        <v>42461</v>
      </c>
      <c r="D190" s="136" t="s">
        <v>20</v>
      </c>
      <c r="E190" s="137" t="s">
        <v>23</v>
      </c>
      <c r="F190" s="136" t="s">
        <v>24</v>
      </c>
      <c r="G190" s="137" t="str">
        <f t="shared" si="6"/>
        <v>General Service</v>
      </c>
      <c r="H190" s="138" t="s">
        <v>690</v>
      </c>
      <c r="I190" s="175" t="str">
        <f>TEXT(   (SUMPRODUCT( ((Main!$H$9:$H$1000)=$E190)*((Main!$J$9:$J$1000)=$F190)*((Main!$O$9:$O$1000)=$C190)*(Main!R$9:R$1000) ) +  ( SUMPRODUCT( ((Adders!$D$13:$D$101)=$E190)*((Adders!$E$13:$E$101)=$F190)*(Adders!G$13:G$101)) + VLOOKUP($H190,Adders!$B$5:$G$8,L$11,FALSE)  +  OH!$D$2 ) * IF($D190="NJ",1.07,1))/$L$10, CHOOSE($M$10,$L$9,$M$9) )</f>
        <v xml:space="preserve"> 56.89 </v>
      </c>
      <c r="J190" s="176" t="str">
        <f>TEXT(   (SUMPRODUCT( ((Main!$H$9:$H$1000)=$E190)*((Main!$J$9:$J$1000)=$F190)*((Main!$O$9:$O$1000)=$C190)*(Main!S$9:S$1000) ) +  ( SUMPRODUCT( ((Adders!$D$13:$D$101)=$E190)*((Adders!$E$13:$E$101)=$F190)*(Adders!H$13:H$101)) + VLOOKUP($H190,Adders!$B$5:$G$8,M$11,FALSE)  +  OH!$D$2 ) * IF($D190="NJ",1.07,1))/$L$10, CHOOSE($M$10,$L$9,$M$9) )</f>
        <v xml:space="preserve"> 57.86 </v>
      </c>
      <c r="K190" s="177" t="str">
        <f>TEXT(   (SUMPRODUCT( ((Main!$H$9:$H$1000)=$E190)*((Main!$J$9:$J$1000)=$F190)*((Main!$O$9:$O$1000)=$C190)*(Main!T$9:T$1000) ) +  ( SUMPRODUCT( ((Adders!$D$13:$D$101)=$E190)*((Adders!$E$13:$E$101)=$F190)*(Adders!I$13:I$101)) + VLOOKUP($H190,Adders!$B$5:$G$8,$N$11,FALSE)  +  OH!$D$2 ) * IF($D190="NJ",1.07,1))/$L$10, CHOOSE($M$10,$L$9,$M$9) )</f>
        <v xml:space="preserve"> 59.41 </v>
      </c>
      <c r="L190" s="175" t="str">
        <f>TEXT(   (SUMPRODUCT( ((LMPMain!$H$9:$H$1000)=$E190)*((LMPMain!$J$9:$J$1000)=$F190)*((LMPMain!$O$9:$O$1000)=$C190)*(LMPMain!R$9:R$1000) ) +  ( SUMPRODUCT( ((Adders!$D$13:$D$101)=$E190)*((Adders!$E$13:$E$101)=$F190)*(Adders!F$13:F$101)) + VLOOKUP($H190,Adders!$B$5:$G$8,L$11,FALSE)  +  OH!$D$2 ) * IF($D190="NJ",1.07,1))/$L$10, CHOOSE($M$10,$L$9,$M$9) )</f>
        <v xml:space="preserve"> 17.12 </v>
      </c>
      <c r="M190" s="176" t="str">
        <f>TEXT(   (SUMPRODUCT( ((LMPMain!$H$9:$H$1000)=$E190)*((LMPMain!$J$9:$J$1000)=$F190)*((LMPMain!$O$9:$O$1000)=$C190)*(LMPMain!S$9:S$1000) ) +  ( SUMPRODUCT( ((Adders!$D$13:$D$101)=$E190)*((Adders!$E$13:$E$101)=$F190)*(Adders!G$13:G$101)) + VLOOKUP($H190,Adders!$B$5:$G$8,M$11,FALSE)  +  OH!$D$2 ) * IF($D190="NJ",1.07,1))/$L$10, CHOOSE($M$10,$L$9,$M$9) )</f>
        <v xml:space="preserve"> 17.91 </v>
      </c>
      <c r="N190" s="177" t="str">
        <f>TEXT(   (SUMPRODUCT( ((LMPMain!$H$9:$H$1000)=$E190)*((LMPMain!$J$9:$J$1000)=$F190)*((LMPMain!$O$9:$O$1000)=$C190)*(LMPMain!T$9:T$1000) ) +  ( SUMPRODUCT( ((Adders!$D$13:$D$101)=$E190)*((Adders!$E$13:$E$101)=$F190)*(Adders!H$13:H$101)) + VLOOKUP($H190,Adders!$B$5:$G$8,N$11,FALSE)  +  OH!$D$2 ) * IF($D190="NJ",1.07,1))/$L$10, CHOOSE($M$10,$L$9,$M$9) )</f>
        <v xml:space="preserve"> 19.18 </v>
      </c>
      <c r="O190" s="112"/>
    </row>
    <row r="191" spans="2:15" x14ac:dyDescent="0.25">
      <c r="B191" s="108"/>
      <c r="C191" s="127">
        <f t="shared" si="5"/>
        <v>42491</v>
      </c>
      <c r="D191" s="128" t="s">
        <v>20</v>
      </c>
      <c r="E191" s="129" t="s">
        <v>23</v>
      </c>
      <c r="F191" s="128" t="s">
        <v>24</v>
      </c>
      <c r="G191" s="129" t="str">
        <f t="shared" si="6"/>
        <v>General Service</v>
      </c>
      <c r="H191" s="130" t="s">
        <v>61</v>
      </c>
      <c r="I191" s="180" t="str">
        <f>TEXT(   (SUMPRODUCT( ((Main!$H$9:$H$1000)=$E191)*((Main!$J$9:$J$1000)=$F191)*((Main!$O$9:$O$1000)=$C191)*(Main!R$9:R$1000) ) +  ( SUMPRODUCT( ((Adders!$D$13:$D$101)=$E191)*((Adders!$E$13:$E$101)=$F191)*(Adders!G$13:G$101)) + VLOOKUP($H191,Adders!$B$5:$G$8,L$11,FALSE)  +  OH!$D$2 ) * IF($D191="NJ",1.07,1))/$L$10, CHOOSE($M$10,$L$9,$M$9) )</f>
        <v xml:space="preserve"> 58.90 </v>
      </c>
      <c r="J191" s="178" t="str">
        <f>TEXT(   (SUMPRODUCT( ((Main!$H$9:$H$1000)=$E191)*((Main!$J$9:$J$1000)=$F191)*((Main!$O$9:$O$1000)=$C191)*(Main!S$9:S$1000) ) +  ( SUMPRODUCT( ((Adders!$D$13:$D$101)=$E191)*((Adders!$E$13:$E$101)=$F191)*(Adders!H$13:H$101)) + VLOOKUP($H191,Adders!$B$5:$G$8,M$11,FALSE)  +  OH!$D$2 ) * IF($D191="NJ",1.07,1))/$L$10, CHOOSE($M$10,$L$9,$M$9) )</f>
        <v xml:space="preserve"> 60.35 </v>
      </c>
      <c r="K191" s="179" t="str">
        <f>TEXT(   (SUMPRODUCT( ((Main!$H$9:$H$1000)=$E191)*((Main!$J$9:$J$1000)=$F191)*((Main!$O$9:$O$1000)=$C191)*(Main!T$9:T$1000) ) +  ( SUMPRODUCT( ((Adders!$D$13:$D$101)=$E191)*((Adders!$E$13:$E$101)=$F191)*(Adders!I$13:I$101)) + VLOOKUP($H191,Adders!$B$5:$G$8,$N$11,FALSE)  +  OH!$D$2 ) * IF($D191="NJ",1.07,1))/$L$10, CHOOSE($M$10,$L$9,$M$9) )</f>
        <v xml:space="preserve"> 62.04 </v>
      </c>
      <c r="L191" s="180" t="str">
        <f>TEXT(   (SUMPRODUCT( ((LMPMain!$H$9:$H$1000)=$E191)*((LMPMain!$J$9:$J$1000)=$F191)*((LMPMain!$O$9:$O$1000)=$C191)*(LMPMain!R$9:R$1000) ) +  ( SUMPRODUCT( ((Adders!$D$13:$D$101)=$E191)*((Adders!$E$13:$E$101)=$F191)*(Adders!F$13:F$101)) + VLOOKUP($H191,Adders!$B$5:$G$8,L$11,FALSE)  +  OH!$D$2 ) * IF($D191="NJ",1.07,1))/$L$10, CHOOSE($M$10,$L$9,$M$9) )</f>
        <v xml:space="preserve"> 19.12 </v>
      </c>
      <c r="M191" s="178" t="str">
        <f>TEXT(   (SUMPRODUCT( ((LMPMain!$H$9:$H$1000)=$E191)*((LMPMain!$J$9:$J$1000)=$F191)*((LMPMain!$O$9:$O$1000)=$C191)*(LMPMain!S$9:S$1000) ) +  ( SUMPRODUCT( ((Adders!$D$13:$D$101)=$E191)*((Adders!$E$13:$E$101)=$F191)*(Adders!G$13:G$101)) + VLOOKUP($H191,Adders!$B$5:$G$8,M$11,FALSE)  +  OH!$D$2 ) * IF($D191="NJ",1.07,1))/$L$10, CHOOSE($M$10,$L$9,$M$9) )</f>
        <v xml:space="preserve"> 20.48 </v>
      </c>
      <c r="N191" s="179" t="str">
        <f>TEXT(   (SUMPRODUCT( ((LMPMain!$H$9:$H$1000)=$E191)*((LMPMain!$J$9:$J$1000)=$F191)*((LMPMain!$O$9:$O$1000)=$C191)*(LMPMain!T$9:T$1000) ) +  ( SUMPRODUCT( ((Adders!$D$13:$D$101)=$E191)*((Adders!$E$13:$E$101)=$F191)*(Adders!H$13:H$101)) + VLOOKUP($H191,Adders!$B$5:$G$8,N$11,FALSE)  +  OH!$D$2 ) * IF($D191="NJ",1.07,1))/$L$10, CHOOSE($M$10,$L$9,$M$9) )</f>
        <v xml:space="preserve"> 21.78 </v>
      </c>
      <c r="O191" s="112"/>
    </row>
    <row r="192" spans="2:15" x14ac:dyDescent="0.25">
      <c r="B192" s="108"/>
      <c r="C192" s="131">
        <f t="shared" si="5"/>
        <v>42491</v>
      </c>
      <c r="D192" s="132" t="s">
        <v>20</v>
      </c>
      <c r="E192" s="133" t="s">
        <v>23</v>
      </c>
      <c r="F192" s="132" t="s">
        <v>24</v>
      </c>
      <c r="G192" s="133" t="str">
        <f t="shared" si="6"/>
        <v>General Service</v>
      </c>
      <c r="H192" s="134" t="s">
        <v>62</v>
      </c>
      <c r="I192" s="172" t="str">
        <f>TEXT(   (SUMPRODUCT( ((Main!$H$9:$H$1000)=$E192)*((Main!$J$9:$J$1000)=$F192)*((Main!$O$9:$O$1000)=$C192)*(Main!R$9:R$1000) ) +  ( SUMPRODUCT( ((Adders!$D$13:$D$101)=$E192)*((Adders!$E$13:$E$101)=$F192)*(Adders!G$13:G$101)) + VLOOKUP($H192,Adders!$B$5:$G$8,L$11,FALSE)  +  OH!$D$2 ) * IF($D192="NJ",1.07,1))/$L$10, CHOOSE($M$10,$L$9,$M$9) )</f>
        <v xml:space="preserve"> 57.30 </v>
      </c>
      <c r="J192" s="173" t="str">
        <f>TEXT(   (SUMPRODUCT( ((Main!$H$9:$H$1000)=$E192)*((Main!$J$9:$J$1000)=$F192)*((Main!$O$9:$O$1000)=$C192)*(Main!S$9:S$1000) ) +  ( SUMPRODUCT( ((Adders!$D$13:$D$101)=$E192)*((Adders!$E$13:$E$101)=$F192)*(Adders!H$13:H$101)) + VLOOKUP($H192,Adders!$B$5:$G$8,M$11,FALSE)  +  OH!$D$2 ) * IF($D192="NJ",1.07,1))/$L$10, CHOOSE($M$10,$L$9,$M$9) )</f>
        <v xml:space="preserve"> 58.75 </v>
      </c>
      <c r="K192" s="174" t="str">
        <f>TEXT(   (SUMPRODUCT( ((Main!$H$9:$H$1000)=$E192)*((Main!$J$9:$J$1000)=$F192)*((Main!$O$9:$O$1000)=$C192)*(Main!T$9:T$1000) ) +  ( SUMPRODUCT( ((Adders!$D$13:$D$101)=$E192)*((Adders!$E$13:$E$101)=$F192)*(Adders!I$13:I$101)) + VLOOKUP($H192,Adders!$B$5:$G$8,$N$11,FALSE)  +  OH!$D$2 ) * IF($D192="NJ",1.07,1))/$L$10, CHOOSE($M$10,$L$9,$M$9) )</f>
        <v xml:space="preserve"> 60.44 </v>
      </c>
      <c r="L192" s="172" t="str">
        <f>TEXT(   (SUMPRODUCT( ((LMPMain!$H$9:$H$1000)=$E192)*((LMPMain!$J$9:$J$1000)=$F192)*((LMPMain!$O$9:$O$1000)=$C192)*(LMPMain!R$9:R$1000) ) +  ( SUMPRODUCT( ((Adders!$D$13:$D$101)=$E192)*((Adders!$E$13:$E$101)=$F192)*(Adders!F$13:F$101)) + VLOOKUP($H192,Adders!$B$5:$G$8,L$11,FALSE)  +  OH!$D$2 ) * IF($D192="NJ",1.07,1))/$L$10, CHOOSE($M$10,$L$9,$M$9) )</f>
        <v xml:space="preserve"> 17.52 </v>
      </c>
      <c r="M192" s="173" t="str">
        <f>TEXT(   (SUMPRODUCT( ((LMPMain!$H$9:$H$1000)=$E192)*((LMPMain!$J$9:$J$1000)=$F192)*((LMPMain!$O$9:$O$1000)=$C192)*(LMPMain!S$9:S$1000) ) +  ( SUMPRODUCT( ((Adders!$D$13:$D$101)=$E192)*((Adders!$E$13:$E$101)=$F192)*(Adders!G$13:G$101)) + VLOOKUP($H192,Adders!$B$5:$G$8,M$11,FALSE)  +  OH!$D$2 ) * IF($D192="NJ",1.07,1))/$L$10, CHOOSE($M$10,$L$9,$M$9) )</f>
        <v xml:space="preserve"> 18.88 </v>
      </c>
      <c r="N192" s="174" t="str">
        <f>TEXT(   (SUMPRODUCT( ((LMPMain!$H$9:$H$1000)=$E192)*((LMPMain!$J$9:$J$1000)=$F192)*((LMPMain!$O$9:$O$1000)=$C192)*(LMPMain!T$9:T$1000) ) +  ( SUMPRODUCT( ((Adders!$D$13:$D$101)=$E192)*((Adders!$E$13:$E$101)=$F192)*(Adders!H$13:H$101)) + VLOOKUP($H192,Adders!$B$5:$G$8,N$11,FALSE)  +  OH!$D$2 ) * IF($D192="NJ",1.07,1))/$L$10, CHOOSE($M$10,$L$9,$M$9) )</f>
        <v xml:space="preserve"> 20.18 </v>
      </c>
      <c r="O192" s="112"/>
    </row>
    <row r="193" spans="2:15" x14ac:dyDescent="0.25">
      <c r="B193" s="108"/>
      <c r="C193" s="135">
        <f t="shared" si="5"/>
        <v>42491</v>
      </c>
      <c r="D193" s="136" t="s">
        <v>20</v>
      </c>
      <c r="E193" s="137" t="s">
        <v>23</v>
      </c>
      <c r="F193" s="136" t="s">
        <v>24</v>
      </c>
      <c r="G193" s="137" t="str">
        <f t="shared" si="6"/>
        <v>General Service</v>
      </c>
      <c r="H193" s="138" t="s">
        <v>690</v>
      </c>
      <c r="I193" s="175" t="str">
        <f>TEXT(   (SUMPRODUCT( ((Main!$H$9:$H$1000)=$E193)*((Main!$J$9:$J$1000)=$F193)*((Main!$O$9:$O$1000)=$C193)*(Main!R$9:R$1000) ) +  ( SUMPRODUCT( ((Adders!$D$13:$D$101)=$E193)*((Adders!$E$13:$E$101)=$F193)*(Adders!G$13:G$101)) + VLOOKUP($H193,Adders!$B$5:$G$8,L$11,FALSE)  +  OH!$D$2 ) * IF($D193="NJ",1.07,1))/$L$10, CHOOSE($M$10,$L$9,$M$9) )</f>
        <v xml:space="preserve"> 56.25 </v>
      </c>
      <c r="J193" s="176" t="str">
        <f>TEXT(   (SUMPRODUCT( ((Main!$H$9:$H$1000)=$E193)*((Main!$J$9:$J$1000)=$F193)*((Main!$O$9:$O$1000)=$C193)*(Main!S$9:S$1000) ) +  ( SUMPRODUCT( ((Adders!$D$13:$D$101)=$E193)*((Adders!$E$13:$E$101)=$F193)*(Adders!H$13:H$101)) + VLOOKUP($H193,Adders!$B$5:$G$8,M$11,FALSE)  +  OH!$D$2 ) * IF($D193="NJ",1.07,1))/$L$10, CHOOSE($M$10,$L$9,$M$9) )</f>
        <v xml:space="preserve"> 57.70 </v>
      </c>
      <c r="K193" s="177" t="str">
        <f>TEXT(   (SUMPRODUCT( ((Main!$H$9:$H$1000)=$E193)*((Main!$J$9:$J$1000)=$F193)*((Main!$O$9:$O$1000)=$C193)*(Main!T$9:T$1000) ) +  ( SUMPRODUCT( ((Adders!$D$13:$D$101)=$E193)*((Adders!$E$13:$E$101)=$F193)*(Adders!I$13:I$101)) + VLOOKUP($H193,Adders!$B$5:$G$8,$N$11,FALSE)  +  OH!$D$2 ) * IF($D193="NJ",1.07,1))/$L$10, CHOOSE($M$10,$L$9,$M$9) )</f>
        <v xml:space="preserve"> 59.39 </v>
      </c>
      <c r="L193" s="175" t="str">
        <f>TEXT(   (SUMPRODUCT( ((LMPMain!$H$9:$H$1000)=$E193)*((LMPMain!$J$9:$J$1000)=$F193)*((LMPMain!$O$9:$O$1000)=$C193)*(LMPMain!R$9:R$1000) ) +  ( SUMPRODUCT( ((Adders!$D$13:$D$101)=$E193)*((Adders!$E$13:$E$101)=$F193)*(Adders!F$13:F$101)) + VLOOKUP($H193,Adders!$B$5:$G$8,L$11,FALSE)  +  OH!$D$2 ) * IF($D193="NJ",1.07,1))/$L$10, CHOOSE($M$10,$L$9,$M$9) )</f>
        <v xml:space="preserve"> 16.47 </v>
      </c>
      <c r="M193" s="176" t="str">
        <f>TEXT(   (SUMPRODUCT( ((LMPMain!$H$9:$H$1000)=$E193)*((LMPMain!$J$9:$J$1000)=$F193)*((LMPMain!$O$9:$O$1000)=$C193)*(LMPMain!S$9:S$1000) ) +  ( SUMPRODUCT( ((Adders!$D$13:$D$101)=$E193)*((Adders!$E$13:$E$101)=$F193)*(Adders!G$13:G$101)) + VLOOKUP($H193,Adders!$B$5:$G$8,M$11,FALSE)  +  OH!$D$2 ) * IF($D193="NJ",1.07,1))/$L$10, CHOOSE($M$10,$L$9,$M$9) )</f>
        <v xml:space="preserve"> 17.83 </v>
      </c>
      <c r="N193" s="177" t="str">
        <f>TEXT(   (SUMPRODUCT( ((LMPMain!$H$9:$H$1000)=$E193)*((LMPMain!$J$9:$J$1000)=$F193)*((LMPMain!$O$9:$O$1000)=$C193)*(LMPMain!T$9:T$1000) ) +  ( SUMPRODUCT( ((Adders!$D$13:$D$101)=$E193)*((Adders!$E$13:$E$101)=$F193)*(Adders!H$13:H$101)) + VLOOKUP($H193,Adders!$B$5:$G$8,N$11,FALSE)  +  OH!$D$2 ) * IF($D193="NJ",1.07,1))/$L$10, CHOOSE($M$10,$L$9,$M$9) )</f>
        <v xml:space="preserve"> 19.13 </v>
      </c>
      <c r="O193" s="112"/>
    </row>
    <row r="194" spans="2:15" x14ac:dyDescent="0.25">
      <c r="B194" s="108"/>
      <c r="C194" s="127">
        <f t="shared" si="5"/>
        <v>42156</v>
      </c>
      <c r="D194" s="128" t="s">
        <v>20</v>
      </c>
      <c r="E194" s="129" t="s">
        <v>64</v>
      </c>
      <c r="F194" s="128" t="s">
        <v>7</v>
      </c>
      <c r="G194" s="129" t="str">
        <f>VLOOKUP(SUMPRODUCT( ((LMPMain!$H$9:$H$1000)=$E194)*((LMPMain!$J$9:$J$1000)=$F194)*((LMPMain!$O$9:$O$1000)=$C194)*(LMPMain!A$9:A$1000)),LMPMain!$A$9:$K$1000,11,FALSE)</f>
        <v>General Service</v>
      </c>
      <c r="H194" s="130" t="s">
        <v>61</v>
      </c>
      <c r="I194" s="180" t="str">
        <f>TEXT(   (SUMPRODUCT( ((Main!$H$9:$H$1000)=$E194)*((Main!$J$9:$J$1000)=$F194)*((Main!$O$9:$O$1000)=$C194)*(Main!R$9:R$1000) ) +  ( SUMPRODUCT( ((Adders!$D$13:$D$101)=$E194)*((Adders!$E$13:$E$101)=$F194)*(Adders!G$13:G$101)) + VLOOKUP($H194,Adders!$B$5:$G$8,L$11,FALSE)  +  OH!$D$2 ) * IF($D194="NJ",1.07,1))/$L$10, CHOOSE($M$10,$L$9,$M$9) )</f>
        <v xml:space="preserve"> 87.77 </v>
      </c>
      <c r="J194" s="178" t="str">
        <f>TEXT(   (SUMPRODUCT( ((Main!$H$9:$H$1000)=$E194)*((Main!$J$9:$J$1000)=$F194)*((Main!$O$9:$O$1000)=$C194)*(Main!S$9:S$1000) ) +  ( SUMPRODUCT( ((Adders!$D$13:$D$101)=$E194)*((Adders!$E$13:$E$101)=$F194)*(Adders!H$13:H$101)) + VLOOKUP($H194,Adders!$B$5:$G$8,M$11,FALSE)  +  OH!$D$2 ) * IF($D194="NJ",1.07,1))/$L$10, CHOOSE($M$10,$L$9,$M$9) )</f>
        <v xml:space="preserve"> 80.85 </v>
      </c>
      <c r="K194" s="179" t="str">
        <f>TEXT(   (SUMPRODUCT( ((Main!$H$9:$H$1000)=$E194)*((Main!$J$9:$J$1000)=$F194)*((Main!$O$9:$O$1000)=$C194)*(Main!T$9:T$1000) ) +  ( SUMPRODUCT( ((Adders!$D$13:$D$101)=$E194)*((Adders!$E$13:$E$101)=$F194)*(Adders!I$13:I$101)) + VLOOKUP($H194,Adders!$B$5:$G$8,$N$11,FALSE)  +  OH!$D$2 ) * IF($D194="NJ",1.07,1))/$L$10, CHOOSE($M$10,$L$9,$M$9) )</f>
        <v xml:space="preserve"> 77.51 </v>
      </c>
      <c r="L194" s="180" t="str">
        <f>TEXT(   (SUMPRODUCT( ((LMPMain!$H$9:$H$1000)=$E194)*((LMPMain!$J$9:$J$1000)=$F194)*((LMPMain!$O$9:$O$1000)=$C194)*(LMPMain!R$9:R$1000) ) +  ( SUMPRODUCT( ((Adders!$D$13:$D$101)=$E194)*((Adders!$E$13:$E$101)=$F194)*(Adders!F$13:F$101)) + VLOOKUP($H194,Adders!$B$5:$G$8,L$11,FALSE)  +  OH!$D$2 ) * IF($D194="NJ",1.07,1))/$L$10, CHOOSE($M$10,$L$9,$M$9) )</f>
        <v xml:space="preserve"> 45.53 </v>
      </c>
      <c r="M194" s="178" t="str">
        <f>TEXT(   (SUMPRODUCT( ((LMPMain!$H$9:$H$1000)=$E194)*((LMPMain!$J$9:$J$1000)=$F194)*((LMPMain!$O$9:$O$1000)=$C194)*(LMPMain!S$9:S$1000) ) +  ( SUMPRODUCT( ((Adders!$D$13:$D$101)=$E194)*((Adders!$E$13:$E$101)=$F194)*(Adders!G$13:G$101)) + VLOOKUP($H194,Adders!$B$5:$G$8,M$11,FALSE)  +  OH!$D$2 ) * IF($D194="NJ",1.07,1))/$L$10, CHOOSE($M$10,$L$9,$M$9) )</f>
        <v xml:space="preserve"> 38.55 </v>
      </c>
      <c r="N194" s="179" t="str">
        <f>TEXT(   (SUMPRODUCT( ((LMPMain!$H$9:$H$1000)=$E194)*((LMPMain!$J$9:$J$1000)=$F194)*((LMPMain!$O$9:$O$1000)=$C194)*(LMPMain!T$9:T$1000) ) +  ( SUMPRODUCT( ((Adders!$D$13:$D$101)=$E194)*((Adders!$E$13:$E$101)=$F194)*(Adders!H$13:H$101)) + VLOOKUP($H194,Adders!$B$5:$G$8,N$11,FALSE)  +  OH!$D$2 ) * IF($D194="NJ",1.07,1))/$L$10, CHOOSE($M$10,$L$9,$M$9) )</f>
        <v xml:space="preserve"> 34.89 </v>
      </c>
      <c r="O194" s="112"/>
    </row>
    <row r="195" spans="2:15" x14ac:dyDescent="0.25">
      <c r="B195" s="108"/>
      <c r="C195" s="131">
        <f t="shared" si="5"/>
        <v>42156</v>
      </c>
      <c r="D195" s="132" t="s">
        <v>20</v>
      </c>
      <c r="E195" s="133" t="s">
        <v>64</v>
      </c>
      <c r="F195" s="132" t="s">
        <v>7</v>
      </c>
      <c r="G195" s="133" t="str">
        <f>G194</f>
        <v>General Service</v>
      </c>
      <c r="H195" s="134" t="s">
        <v>62</v>
      </c>
      <c r="I195" s="172" t="str">
        <f>TEXT(   (SUMPRODUCT( ((Main!$H$9:$H$1000)=$E195)*((Main!$J$9:$J$1000)=$F195)*((Main!$O$9:$O$1000)=$C195)*(Main!R$9:R$1000) ) +  ( SUMPRODUCT( ((Adders!$D$13:$D$101)=$E195)*((Adders!$E$13:$E$101)=$F195)*(Adders!G$13:G$101)) + VLOOKUP($H195,Adders!$B$5:$G$8,L$11,FALSE)  +  OH!$D$2 ) * IF($D195="NJ",1.07,1))/$L$10, CHOOSE($M$10,$L$9,$M$9) )</f>
        <v xml:space="preserve"> 86.17 </v>
      </c>
      <c r="J195" s="173" t="str">
        <f>TEXT(   (SUMPRODUCT( ((Main!$H$9:$H$1000)=$E195)*((Main!$J$9:$J$1000)=$F195)*((Main!$O$9:$O$1000)=$C195)*(Main!S$9:S$1000) ) +  ( SUMPRODUCT( ((Adders!$D$13:$D$101)=$E195)*((Adders!$E$13:$E$101)=$F195)*(Adders!H$13:H$101)) + VLOOKUP($H195,Adders!$B$5:$G$8,M$11,FALSE)  +  OH!$D$2 ) * IF($D195="NJ",1.07,1))/$L$10, CHOOSE($M$10,$L$9,$M$9) )</f>
        <v xml:space="preserve"> 79.25 </v>
      </c>
      <c r="K195" s="174" t="str">
        <f>TEXT(   (SUMPRODUCT( ((Main!$H$9:$H$1000)=$E195)*((Main!$J$9:$J$1000)=$F195)*((Main!$O$9:$O$1000)=$C195)*(Main!T$9:T$1000) ) +  ( SUMPRODUCT( ((Adders!$D$13:$D$101)=$E195)*((Adders!$E$13:$E$101)=$F195)*(Adders!I$13:I$101)) + VLOOKUP($H195,Adders!$B$5:$G$8,$N$11,FALSE)  +  OH!$D$2 ) * IF($D195="NJ",1.07,1))/$L$10, CHOOSE($M$10,$L$9,$M$9) )</f>
        <v xml:space="preserve"> 75.91 </v>
      </c>
      <c r="L195" s="172" t="str">
        <f>TEXT(   (SUMPRODUCT( ((LMPMain!$H$9:$H$1000)=$E195)*((LMPMain!$J$9:$J$1000)=$F195)*((LMPMain!$O$9:$O$1000)=$C195)*(LMPMain!R$9:R$1000) ) +  ( SUMPRODUCT( ((Adders!$D$13:$D$101)=$E195)*((Adders!$E$13:$E$101)=$F195)*(Adders!F$13:F$101)) + VLOOKUP($H195,Adders!$B$5:$G$8,L$11,FALSE)  +  OH!$D$2 ) * IF($D195="NJ",1.07,1))/$L$10, CHOOSE($M$10,$L$9,$M$9) )</f>
        <v xml:space="preserve"> 43.93 </v>
      </c>
      <c r="M195" s="173" t="str">
        <f>TEXT(   (SUMPRODUCT( ((LMPMain!$H$9:$H$1000)=$E195)*((LMPMain!$J$9:$J$1000)=$F195)*((LMPMain!$O$9:$O$1000)=$C195)*(LMPMain!S$9:S$1000) ) +  ( SUMPRODUCT( ((Adders!$D$13:$D$101)=$E195)*((Adders!$E$13:$E$101)=$F195)*(Adders!G$13:G$101)) + VLOOKUP($H195,Adders!$B$5:$G$8,M$11,FALSE)  +  OH!$D$2 ) * IF($D195="NJ",1.07,1))/$L$10, CHOOSE($M$10,$L$9,$M$9) )</f>
        <v xml:space="preserve"> 36.95 </v>
      </c>
      <c r="N195" s="174" t="str">
        <f>TEXT(   (SUMPRODUCT( ((LMPMain!$H$9:$H$1000)=$E195)*((LMPMain!$J$9:$J$1000)=$F195)*((LMPMain!$O$9:$O$1000)=$C195)*(LMPMain!T$9:T$1000) ) +  ( SUMPRODUCT( ((Adders!$D$13:$D$101)=$E195)*((Adders!$E$13:$E$101)=$F195)*(Adders!H$13:H$101)) + VLOOKUP($H195,Adders!$B$5:$G$8,N$11,FALSE)  +  OH!$D$2 ) * IF($D195="NJ",1.07,1))/$L$10, CHOOSE($M$10,$L$9,$M$9) )</f>
        <v xml:space="preserve"> 33.29 </v>
      </c>
      <c r="O195" s="112"/>
    </row>
    <row r="196" spans="2:15" x14ac:dyDescent="0.25">
      <c r="B196" s="108"/>
      <c r="C196" s="135">
        <f t="shared" si="5"/>
        <v>42156</v>
      </c>
      <c r="D196" s="136" t="s">
        <v>20</v>
      </c>
      <c r="E196" s="137" t="s">
        <v>64</v>
      </c>
      <c r="F196" s="136" t="s">
        <v>7</v>
      </c>
      <c r="G196" s="137" t="str">
        <f>G195</f>
        <v>General Service</v>
      </c>
      <c r="H196" s="138" t="s">
        <v>690</v>
      </c>
      <c r="I196" s="175" t="str">
        <f>TEXT(   (SUMPRODUCT( ((Main!$H$9:$H$1000)=$E196)*((Main!$J$9:$J$1000)=$F196)*((Main!$O$9:$O$1000)=$C196)*(Main!R$9:R$1000) ) +  ( SUMPRODUCT( ((Adders!$D$13:$D$101)=$E196)*((Adders!$E$13:$E$101)=$F196)*(Adders!G$13:G$101)) + VLOOKUP($H196,Adders!$B$5:$G$8,L$11,FALSE)  +  OH!$D$2 ) * IF($D196="NJ",1.07,1))/$L$10, CHOOSE($M$10,$L$9,$M$9) )</f>
        <v xml:space="preserve"> 85.12 </v>
      </c>
      <c r="J196" s="176" t="str">
        <f>TEXT(   (SUMPRODUCT( ((Main!$H$9:$H$1000)=$E196)*((Main!$J$9:$J$1000)=$F196)*((Main!$O$9:$O$1000)=$C196)*(Main!S$9:S$1000) ) +  ( SUMPRODUCT( ((Adders!$D$13:$D$101)=$E196)*((Adders!$E$13:$E$101)=$F196)*(Adders!H$13:H$101)) + VLOOKUP($H196,Adders!$B$5:$G$8,M$11,FALSE)  +  OH!$D$2 ) * IF($D196="NJ",1.07,1))/$L$10, CHOOSE($M$10,$L$9,$M$9) )</f>
        <v xml:space="preserve"> 78.20 </v>
      </c>
      <c r="K196" s="177" t="str">
        <f>TEXT(   (SUMPRODUCT( ((Main!$H$9:$H$1000)=$E196)*((Main!$J$9:$J$1000)=$F196)*((Main!$O$9:$O$1000)=$C196)*(Main!T$9:T$1000) ) +  ( SUMPRODUCT( ((Adders!$D$13:$D$101)=$E196)*((Adders!$E$13:$E$101)=$F196)*(Adders!I$13:I$101)) + VLOOKUP($H196,Adders!$B$5:$G$8,$N$11,FALSE)  +  OH!$D$2 ) * IF($D196="NJ",1.07,1))/$L$10, CHOOSE($M$10,$L$9,$M$9) )</f>
        <v xml:space="preserve"> 74.86 </v>
      </c>
      <c r="L196" s="175" t="str">
        <f>TEXT(   (SUMPRODUCT( ((LMPMain!$H$9:$H$1000)=$E196)*((LMPMain!$J$9:$J$1000)=$F196)*((LMPMain!$O$9:$O$1000)=$C196)*(LMPMain!R$9:R$1000) ) +  ( SUMPRODUCT( ((Adders!$D$13:$D$101)=$E196)*((Adders!$E$13:$E$101)=$F196)*(Adders!F$13:F$101)) + VLOOKUP($H196,Adders!$B$5:$G$8,L$11,FALSE)  +  OH!$D$2 ) * IF($D196="NJ",1.07,1))/$L$10, CHOOSE($M$10,$L$9,$M$9) )</f>
        <v xml:space="preserve"> 42.88 </v>
      </c>
      <c r="M196" s="176" t="str">
        <f>TEXT(   (SUMPRODUCT( ((LMPMain!$H$9:$H$1000)=$E196)*((LMPMain!$J$9:$J$1000)=$F196)*((LMPMain!$O$9:$O$1000)=$C196)*(LMPMain!S$9:S$1000) ) +  ( SUMPRODUCT( ((Adders!$D$13:$D$101)=$E196)*((Adders!$E$13:$E$101)=$F196)*(Adders!G$13:G$101)) + VLOOKUP($H196,Adders!$B$5:$G$8,M$11,FALSE)  +  OH!$D$2 ) * IF($D196="NJ",1.07,1))/$L$10, CHOOSE($M$10,$L$9,$M$9) )</f>
        <v xml:space="preserve"> 35.90 </v>
      </c>
      <c r="N196" s="177" t="str">
        <f>TEXT(   (SUMPRODUCT( ((LMPMain!$H$9:$H$1000)=$E196)*((LMPMain!$J$9:$J$1000)=$F196)*((LMPMain!$O$9:$O$1000)=$C196)*(LMPMain!T$9:T$1000) ) +  ( SUMPRODUCT( ((Adders!$D$13:$D$101)=$E196)*((Adders!$E$13:$E$101)=$F196)*(Adders!H$13:H$101)) + VLOOKUP($H196,Adders!$B$5:$G$8,N$11,FALSE)  +  OH!$D$2 ) * IF($D196="NJ",1.07,1))/$L$10, CHOOSE($M$10,$L$9,$M$9) )</f>
        <v xml:space="preserve"> 32.24 </v>
      </c>
      <c r="O196" s="112"/>
    </row>
    <row r="197" spans="2:15" x14ac:dyDescent="0.25">
      <c r="B197" s="108"/>
      <c r="C197" s="127">
        <f t="shared" si="5"/>
        <v>42186</v>
      </c>
      <c r="D197" s="128" t="s">
        <v>20</v>
      </c>
      <c r="E197" s="129" t="s">
        <v>64</v>
      </c>
      <c r="F197" s="128" t="s">
        <v>7</v>
      </c>
      <c r="G197" s="129" t="str">
        <f t="shared" si="6"/>
        <v>General Service</v>
      </c>
      <c r="H197" s="130" t="s">
        <v>61</v>
      </c>
      <c r="I197" s="180" t="str">
        <f>TEXT(   (SUMPRODUCT( ((Main!$H$9:$H$1000)=$E197)*((Main!$J$9:$J$1000)=$F197)*((Main!$O$9:$O$1000)=$C197)*(Main!R$9:R$1000) ) +  ( SUMPRODUCT( ((Adders!$D$13:$D$101)=$E197)*((Adders!$E$13:$E$101)=$F197)*(Adders!G$13:G$101)) + VLOOKUP($H197,Adders!$B$5:$G$8,L$11,FALSE)  +  OH!$D$2 ) * IF($D197="NJ",1.07,1))/$L$10, CHOOSE($M$10,$L$9,$M$9) )</f>
        <v xml:space="preserve"> 86.13 </v>
      </c>
      <c r="J197" s="178" t="str">
        <f>TEXT(   (SUMPRODUCT( ((Main!$H$9:$H$1000)=$E197)*((Main!$J$9:$J$1000)=$F197)*((Main!$O$9:$O$1000)=$C197)*(Main!S$9:S$1000) ) +  ( SUMPRODUCT( ((Adders!$D$13:$D$101)=$E197)*((Adders!$E$13:$E$101)=$F197)*(Adders!H$13:H$101)) + VLOOKUP($H197,Adders!$B$5:$G$8,M$11,FALSE)  +  OH!$D$2 ) * IF($D197="NJ",1.07,1))/$L$10, CHOOSE($M$10,$L$9,$M$9) )</f>
        <v xml:space="preserve"> 79.39 </v>
      </c>
      <c r="K197" s="179" t="str">
        <f>TEXT(   (SUMPRODUCT( ((Main!$H$9:$H$1000)=$E197)*((Main!$J$9:$J$1000)=$F197)*((Main!$O$9:$O$1000)=$C197)*(Main!T$9:T$1000) ) +  ( SUMPRODUCT( ((Adders!$D$13:$D$101)=$E197)*((Adders!$E$13:$E$101)=$F197)*(Adders!I$13:I$101)) + VLOOKUP($H197,Adders!$B$5:$G$8,$N$11,FALSE)  +  OH!$D$2 ) * IF($D197="NJ",1.07,1))/$L$10, CHOOSE($M$10,$L$9,$M$9) )</f>
        <v xml:space="preserve"> 76.83 </v>
      </c>
      <c r="L197" s="180" t="str">
        <f>TEXT(   (SUMPRODUCT( ((LMPMain!$H$9:$H$1000)=$E197)*((LMPMain!$J$9:$J$1000)=$F197)*((LMPMain!$O$9:$O$1000)=$C197)*(LMPMain!R$9:R$1000) ) +  ( SUMPRODUCT( ((Adders!$D$13:$D$101)=$E197)*((Adders!$E$13:$E$101)=$F197)*(Adders!F$13:F$101)) + VLOOKUP($H197,Adders!$B$5:$G$8,L$11,FALSE)  +  OH!$D$2 ) * IF($D197="NJ",1.07,1))/$L$10, CHOOSE($M$10,$L$9,$M$9) )</f>
        <v xml:space="preserve"> 43.74 </v>
      </c>
      <c r="M197" s="178" t="str">
        <f>TEXT(   (SUMPRODUCT( ((LMPMain!$H$9:$H$1000)=$E197)*((LMPMain!$J$9:$J$1000)=$F197)*((LMPMain!$O$9:$O$1000)=$C197)*(LMPMain!S$9:S$1000) ) +  ( SUMPRODUCT( ((Adders!$D$13:$D$101)=$E197)*((Adders!$E$13:$E$101)=$F197)*(Adders!G$13:G$101)) + VLOOKUP($H197,Adders!$B$5:$G$8,M$11,FALSE)  +  OH!$D$2 ) * IF($D197="NJ",1.07,1))/$L$10, CHOOSE($M$10,$L$9,$M$9) )</f>
        <v xml:space="preserve"> 37.25 </v>
      </c>
      <c r="N197" s="179" t="str">
        <f>TEXT(   (SUMPRODUCT( ((LMPMain!$H$9:$H$1000)=$E197)*((LMPMain!$J$9:$J$1000)=$F197)*((LMPMain!$O$9:$O$1000)=$C197)*(LMPMain!T$9:T$1000) ) +  ( SUMPRODUCT( ((Adders!$D$13:$D$101)=$E197)*((Adders!$E$13:$E$101)=$F197)*(Adders!H$13:H$101)) + VLOOKUP($H197,Adders!$B$5:$G$8,N$11,FALSE)  +  OH!$D$2 ) * IF($D197="NJ",1.07,1))/$L$10, CHOOSE($M$10,$L$9,$M$9) )</f>
        <v xml:space="preserve"> 34.14 </v>
      </c>
      <c r="O197" s="112"/>
    </row>
    <row r="198" spans="2:15" x14ac:dyDescent="0.25">
      <c r="B198" s="108"/>
      <c r="C198" s="131">
        <f t="shared" si="5"/>
        <v>42186</v>
      </c>
      <c r="D198" s="132" t="s">
        <v>20</v>
      </c>
      <c r="E198" s="133" t="s">
        <v>64</v>
      </c>
      <c r="F198" s="132" t="s">
        <v>7</v>
      </c>
      <c r="G198" s="133" t="str">
        <f t="shared" si="6"/>
        <v>General Service</v>
      </c>
      <c r="H198" s="134" t="s">
        <v>62</v>
      </c>
      <c r="I198" s="172" t="str">
        <f>TEXT(   (SUMPRODUCT( ((Main!$H$9:$H$1000)=$E198)*((Main!$J$9:$J$1000)=$F198)*((Main!$O$9:$O$1000)=$C198)*(Main!R$9:R$1000) ) +  ( SUMPRODUCT( ((Adders!$D$13:$D$101)=$E198)*((Adders!$E$13:$E$101)=$F198)*(Adders!G$13:G$101)) + VLOOKUP($H198,Adders!$B$5:$G$8,L$11,FALSE)  +  OH!$D$2 ) * IF($D198="NJ",1.07,1))/$L$10, CHOOSE($M$10,$L$9,$M$9) )</f>
        <v xml:space="preserve"> 84.53 </v>
      </c>
      <c r="J198" s="173" t="str">
        <f>TEXT(   (SUMPRODUCT( ((Main!$H$9:$H$1000)=$E198)*((Main!$J$9:$J$1000)=$F198)*((Main!$O$9:$O$1000)=$C198)*(Main!S$9:S$1000) ) +  ( SUMPRODUCT( ((Adders!$D$13:$D$101)=$E198)*((Adders!$E$13:$E$101)=$F198)*(Adders!H$13:H$101)) + VLOOKUP($H198,Adders!$B$5:$G$8,M$11,FALSE)  +  OH!$D$2 ) * IF($D198="NJ",1.07,1))/$L$10, CHOOSE($M$10,$L$9,$M$9) )</f>
        <v xml:space="preserve"> 77.79 </v>
      </c>
      <c r="K198" s="174" t="str">
        <f>TEXT(   (SUMPRODUCT( ((Main!$H$9:$H$1000)=$E198)*((Main!$J$9:$J$1000)=$F198)*((Main!$O$9:$O$1000)=$C198)*(Main!T$9:T$1000) ) +  ( SUMPRODUCT( ((Adders!$D$13:$D$101)=$E198)*((Adders!$E$13:$E$101)=$F198)*(Adders!I$13:I$101)) + VLOOKUP($H198,Adders!$B$5:$G$8,$N$11,FALSE)  +  OH!$D$2 ) * IF($D198="NJ",1.07,1))/$L$10, CHOOSE($M$10,$L$9,$M$9) )</f>
        <v xml:space="preserve"> 75.23 </v>
      </c>
      <c r="L198" s="172" t="str">
        <f>TEXT(   (SUMPRODUCT( ((LMPMain!$H$9:$H$1000)=$E198)*((LMPMain!$J$9:$J$1000)=$F198)*((LMPMain!$O$9:$O$1000)=$C198)*(LMPMain!R$9:R$1000) ) +  ( SUMPRODUCT( ((Adders!$D$13:$D$101)=$E198)*((Adders!$E$13:$E$101)=$F198)*(Adders!F$13:F$101)) + VLOOKUP($H198,Adders!$B$5:$G$8,L$11,FALSE)  +  OH!$D$2 ) * IF($D198="NJ",1.07,1))/$L$10, CHOOSE($M$10,$L$9,$M$9) )</f>
        <v xml:space="preserve"> 42.14 </v>
      </c>
      <c r="M198" s="173" t="str">
        <f>TEXT(   (SUMPRODUCT( ((LMPMain!$H$9:$H$1000)=$E198)*((LMPMain!$J$9:$J$1000)=$F198)*((LMPMain!$O$9:$O$1000)=$C198)*(LMPMain!S$9:S$1000) ) +  ( SUMPRODUCT( ((Adders!$D$13:$D$101)=$E198)*((Adders!$E$13:$E$101)=$F198)*(Adders!G$13:G$101)) + VLOOKUP($H198,Adders!$B$5:$G$8,M$11,FALSE)  +  OH!$D$2 ) * IF($D198="NJ",1.07,1))/$L$10, CHOOSE($M$10,$L$9,$M$9) )</f>
        <v xml:space="preserve"> 35.65 </v>
      </c>
      <c r="N198" s="174" t="str">
        <f>TEXT(   (SUMPRODUCT( ((LMPMain!$H$9:$H$1000)=$E198)*((LMPMain!$J$9:$J$1000)=$F198)*((LMPMain!$O$9:$O$1000)=$C198)*(LMPMain!T$9:T$1000) ) +  ( SUMPRODUCT( ((Adders!$D$13:$D$101)=$E198)*((Adders!$E$13:$E$101)=$F198)*(Adders!H$13:H$101)) + VLOOKUP($H198,Adders!$B$5:$G$8,N$11,FALSE)  +  OH!$D$2 ) * IF($D198="NJ",1.07,1))/$L$10, CHOOSE($M$10,$L$9,$M$9) )</f>
        <v xml:space="preserve"> 32.54 </v>
      </c>
      <c r="O198" s="112"/>
    </row>
    <row r="199" spans="2:15" x14ac:dyDescent="0.25">
      <c r="B199" s="108"/>
      <c r="C199" s="135">
        <f t="shared" si="5"/>
        <v>42186</v>
      </c>
      <c r="D199" s="136" t="s">
        <v>20</v>
      </c>
      <c r="E199" s="137" t="s">
        <v>64</v>
      </c>
      <c r="F199" s="136" t="s">
        <v>7</v>
      </c>
      <c r="G199" s="137" t="str">
        <f t="shared" si="6"/>
        <v>General Service</v>
      </c>
      <c r="H199" s="138" t="s">
        <v>690</v>
      </c>
      <c r="I199" s="175" t="str">
        <f>TEXT(   (SUMPRODUCT( ((Main!$H$9:$H$1000)=$E199)*((Main!$J$9:$J$1000)=$F199)*((Main!$O$9:$O$1000)=$C199)*(Main!R$9:R$1000) ) +  ( SUMPRODUCT( ((Adders!$D$13:$D$101)=$E199)*((Adders!$E$13:$E$101)=$F199)*(Adders!G$13:G$101)) + VLOOKUP($H199,Adders!$B$5:$G$8,L$11,FALSE)  +  OH!$D$2 ) * IF($D199="NJ",1.07,1))/$L$10, CHOOSE($M$10,$L$9,$M$9) )</f>
        <v xml:space="preserve"> 83.48 </v>
      </c>
      <c r="J199" s="176" t="str">
        <f>TEXT(   (SUMPRODUCT( ((Main!$H$9:$H$1000)=$E199)*((Main!$J$9:$J$1000)=$F199)*((Main!$O$9:$O$1000)=$C199)*(Main!S$9:S$1000) ) +  ( SUMPRODUCT( ((Adders!$D$13:$D$101)=$E199)*((Adders!$E$13:$E$101)=$F199)*(Adders!H$13:H$101)) + VLOOKUP($H199,Adders!$B$5:$G$8,M$11,FALSE)  +  OH!$D$2 ) * IF($D199="NJ",1.07,1))/$L$10, CHOOSE($M$10,$L$9,$M$9) )</f>
        <v xml:space="preserve"> 76.74 </v>
      </c>
      <c r="K199" s="177" t="str">
        <f>TEXT(   (SUMPRODUCT( ((Main!$H$9:$H$1000)=$E199)*((Main!$J$9:$J$1000)=$F199)*((Main!$O$9:$O$1000)=$C199)*(Main!T$9:T$1000) ) +  ( SUMPRODUCT( ((Adders!$D$13:$D$101)=$E199)*((Adders!$E$13:$E$101)=$F199)*(Adders!I$13:I$101)) + VLOOKUP($H199,Adders!$B$5:$G$8,$N$11,FALSE)  +  OH!$D$2 ) * IF($D199="NJ",1.07,1))/$L$10, CHOOSE($M$10,$L$9,$M$9) )</f>
        <v xml:space="preserve"> 74.18 </v>
      </c>
      <c r="L199" s="175" t="str">
        <f>TEXT(   (SUMPRODUCT( ((LMPMain!$H$9:$H$1000)=$E199)*((LMPMain!$J$9:$J$1000)=$F199)*((LMPMain!$O$9:$O$1000)=$C199)*(LMPMain!R$9:R$1000) ) +  ( SUMPRODUCT( ((Adders!$D$13:$D$101)=$E199)*((Adders!$E$13:$E$101)=$F199)*(Adders!F$13:F$101)) + VLOOKUP($H199,Adders!$B$5:$G$8,L$11,FALSE)  +  OH!$D$2 ) * IF($D199="NJ",1.07,1))/$L$10, CHOOSE($M$10,$L$9,$M$9) )</f>
        <v xml:space="preserve"> 41.09 </v>
      </c>
      <c r="M199" s="176" t="str">
        <f>TEXT(   (SUMPRODUCT( ((LMPMain!$H$9:$H$1000)=$E199)*((LMPMain!$J$9:$J$1000)=$F199)*((LMPMain!$O$9:$O$1000)=$C199)*(LMPMain!S$9:S$1000) ) +  ( SUMPRODUCT( ((Adders!$D$13:$D$101)=$E199)*((Adders!$E$13:$E$101)=$F199)*(Adders!G$13:G$101)) + VLOOKUP($H199,Adders!$B$5:$G$8,M$11,FALSE)  +  OH!$D$2 ) * IF($D199="NJ",1.07,1))/$L$10, CHOOSE($M$10,$L$9,$M$9) )</f>
        <v xml:space="preserve"> 34.60 </v>
      </c>
      <c r="N199" s="177" t="str">
        <f>TEXT(   (SUMPRODUCT( ((LMPMain!$H$9:$H$1000)=$E199)*((LMPMain!$J$9:$J$1000)=$F199)*((LMPMain!$O$9:$O$1000)=$C199)*(LMPMain!T$9:T$1000) ) +  ( SUMPRODUCT( ((Adders!$D$13:$D$101)=$E199)*((Adders!$E$13:$E$101)=$F199)*(Adders!H$13:H$101)) + VLOOKUP($H199,Adders!$B$5:$G$8,N$11,FALSE)  +  OH!$D$2 ) * IF($D199="NJ",1.07,1))/$L$10, CHOOSE($M$10,$L$9,$M$9) )</f>
        <v xml:space="preserve"> 31.49 </v>
      </c>
      <c r="O199" s="112"/>
    </row>
    <row r="200" spans="2:15" x14ac:dyDescent="0.25">
      <c r="B200" s="108"/>
      <c r="C200" s="127">
        <f t="shared" si="5"/>
        <v>42217</v>
      </c>
      <c r="D200" s="128" t="s">
        <v>20</v>
      </c>
      <c r="E200" s="129" t="s">
        <v>64</v>
      </c>
      <c r="F200" s="128" t="s">
        <v>7</v>
      </c>
      <c r="G200" s="129" t="str">
        <f t="shared" si="6"/>
        <v>General Service</v>
      </c>
      <c r="H200" s="130" t="s">
        <v>61</v>
      </c>
      <c r="I200" s="180" t="str">
        <f>TEXT(   (SUMPRODUCT( ((Main!$H$9:$H$1000)=$E200)*((Main!$J$9:$J$1000)=$F200)*((Main!$O$9:$O$1000)=$C200)*(Main!R$9:R$1000) ) +  ( SUMPRODUCT( ((Adders!$D$13:$D$101)=$E200)*((Adders!$E$13:$E$101)=$F200)*(Adders!G$13:G$101)) + VLOOKUP($H200,Adders!$B$5:$G$8,L$11,FALSE)  +  OH!$D$2 ) * IF($D200="NJ",1.07,1))/$L$10, CHOOSE($M$10,$L$9,$M$9) )</f>
        <v xml:space="preserve"> 84.29 </v>
      </c>
      <c r="J200" s="178" t="str">
        <f>TEXT(   (SUMPRODUCT( ((Main!$H$9:$H$1000)=$E200)*((Main!$J$9:$J$1000)=$F200)*((Main!$O$9:$O$1000)=$C200)*(Main!S$9:S$1000) ) +  ( SUMPRODUCT( ((Adders!$D$13:$D$101)=$E200)*((Adders!$E$13:$E$101)=$F200)*(Adders!H$13:H$101)) + VLOOKUP($H200,Adders!$B$5:$G$8,M$11,FALSE)  +  OH!$D$2 ) * IF($D200="NJ",1.07,1))/$L$10, CHOOSE($M$10,$L$9,$M$9) )</f>
        <v xml:space="preserve"> 78.07 </v>
      </c>
      <c r="K200" s="179" t="str">
        <f>TEXT(   (SUMPRODUCT( ((Main!$H$9:$H$1000)=$E200)*((Main!$J$9:$J$1000)=$F200)*((Main!$O$9:$O$1000)=$C200)*(Main!T$9:T$1000) ) +  ( SUMPRODUCT( ((Adders!$D$13:$D$101)=$E200)*((Adders!$E$13:$E$101)=$F200)*(Adders!I$13:I$101)) + VLOOKUP($H200,Adders!$B$5:$G$8,$N$11,FALSE)  +  OH!$D$2 ) * IF($D200="NJ",1.07,1))/$L$10, CHOOSE($M$10,$L$9,$M$9) )</f>
        <v xml:space="preserve"> 76.16 </v>
      </c>
      <c r="L200" s="180" t="str">
        <f>TEXT(   (SUMPRODUCT( ((LMPMain!$H$9:$H$1000)=$E200)*((LMPMain!$J$9:$J$1000)=$F200)*((LMPMain!$O$9:$O$1000)=$C200)*(LMPMain!R$9:R$1000) ) +  ( SUMPRODUCT( ((Adders!$D$13:$D$101)=$E200)*((Adders!$E$13:$E$101)=$F200)*(Adders!F$13:F$101)) + VLOOKUP($H200,Adders!$B$5:$G$8,L$11,FALSE)  +  OH!$D$2 ) * IF($D200="NJ",1.07,1))/$L$10, CHOOSE($M$10,$L$9,$M$9) )</f>
        <v xml:space="preserve"> 42.00 </v>
      </c>
      <c r="M200" s="178" t="str">
        <f>TEXT(   (SUMPRODUCT( ((LMPMain!$H$9:$H$1000)=$E200)*((LMPMain!$J$9:$J$1000)=$F200)*((LMPMain!$O$9:$O$1000)=$C200)*(LMPMain!S$9:S$1000) ) +  ( SUMPRODUCT( ((Adders!$D$13:$D$101)=$E200)*((Adders!$E$13:$E$101)=$F200)*(Adders!G$13:G$101)) + VLOOKUP($H200,Adders!$B$5:$G$8,M$11,FALSE)  +  OH!$D$2 ) * IF($D200="NJ",1.07,1))/$L$10, CHOOSE($M$10,$L$9,$M$9) )</f>
        <v xml:space="preserve"> 35.94 </v>
      </c>
      <c r="N200" s="179" t="str">
        <f>TEXT(   (SUMPRODUCT( ((LMPMain!$H$9:$H$1000)=$E200)*((LMPMain!$J$9:$J$1000)=$F200)*((LMPMain!$O$9:$O$1000)=$C200)*(LMPMain!T$9:T$1000) ) +  ( SUMPRODUCT( ((Adders!$D$13:$D$101)=$E200)*((Adders!$E$13:$E$101)=$F200)*(Adders!H$13:H$101)) + VLOOKUP($H200,Adders!$B$5:$G$8,N$11,FALSE)  +  OH!$D$2 ) * IF($D200="NJ",1.07,1))/$L$10, CHOOSE($M$10,$L$9,$M$9) )</f>
        <v xml:space="preserve"> 33.38 </v>
      </c>
      <c r="O200" s="112"/>
    </row>
    <row r="201" spans="2:15" x14ac:dyDescent="0.25">
      <c r="B201" s="108"/>
      <c r="C201" s="131">
        <f t="shared" si="5"/>
        <v>42217</v>
      </c>
      <c r="D201" s="132" t="s">
        <v>20</v>
      </c>
      <c r="E201" s="133" t="s">
        <v>64</v>
      </c>
      <c r="F201" s="132" t="s">
        <v>7</v>
      </c>
      <c r="G201" s="133" t="str">
        <f t="shared" si="6"/>
        <v>General Service</v>
      </c>
      <c r="H201" s="134" t="s">
        <v>62</v>
      </c>
      <c r="I201" s="172" t="str">
        <f>TEXT(   (SUMPRODUCT( ((Main!$H$9:$H$1000)=$E201)*((Main!$J$9:$J$1000)=$F201)*((Main!$O$9:$O$1000)=$C201)*(Main!R$9:R$1000) ) +  ( SUMPRODUCT( ((Adders!$D$13:$D$101)=$E201)*((Adders!$E$13:$E$101)=$F201)*(Adders!G$13:G$101)) + VLOOKUP($H201,Adders!$B$5:$G$8,L$11,FALSE)  +  OH!$D$2 ) * IF($D201="NJ",1.07,1))/$L$10, CHOOSE($M$10,$L$9,$M$9) )</f>
        <v xml:space="preserve"> 82.69 </v>
      </c>
      <c r="J201" s="173" t="str">
        <f>TEXT(   (SUMPRODUCT( ((Main!$H$9:$H$1000)=$E201)*((Main!$J$9:$J$1000)=$F201)*((Main!$O$9:$O$1000)=$C201)*(Main!S$9:S$1000) ) +  ( SUMPRODUCT( ((Adders!$D$13:$D$101)=$E201)*((Adders!$E$13:$E$101)=$F201)*(Adders!H$13:H$101)) + VLOOKUP($H201,Adders!$B$5:$G$8,M$11,FALSE)  +  OH!$D$2 ) * IF($D201="NJ",1.07,1))/$L$10, CHOOSE($M$10,$L$9,$M$9) )</f>
        <v xml:space="preserve"> 76.47 </v>
      </c>
      <c r="K201" s="174" t="str">
        <f>TEXT(   (SUMPRODUCT( ((Main!$H$9:$H$1000)=$E201)*((Main!$J$9:$J$1000)=$F201)*((Main!$O$9:$O$1000)=$C201)*(Main!T$9:T$1000) ) +  ( SUMPRODUCT( ((Adders!$D$13:$D$101)=$E201)*((Adders!$E$13:$E$101)=$F201)*(Adders!I$13:I$101)) + VLOOKUP($H201,Adders!$B$5:$G$8,$N$11,FALSE)  +  OH!$D$2 ) * IF($D201="NJ",1.07,1))/$L$10, CHOOSE($M$10,$L$9,$M$9) )</f>
        <v xml:space="preserve"> 74.56 </v>
      </c>
      <c r="L201" s="172" t="str">
        <f>TEXT(   (SUMPRODUCT( ((LMPMain!$H$9:$H$1000)=$E201)*((LMPMain!$J$9:$J$1000)=$F201)*((LMPMain!$O$9:$O$1000)=$C201)*(LMPMain!R$9:R$1000) ) +  ( SUMPRODUCT( ((Adders!$D$13:$D$101)=$E201)*((Adders!$E$13:$E$101)=$F201)*(Adders!F$13:F$101)) + VLOOKUP($H201,Adders!$B$5:$G$8,L$11,FALSE)  +  OH!$D$2 ) * IF($D201="NJ",1.07,1))/$L$10, CHOOSE($M$10,$L$9,$M$9) )</f>
        <v xml:space="preserve"> 40.40 </v>
      </c>
      <c r="M201" s="173" t="str">
        <f>TEXT(   (SUMPRODUCT( ((LMPMain!$H$9:$H$1000)=$E201)*((LMPMain!$J$9:$J$1000)=$F201)*((LMPMain!$O$9:$O$1000)=$C201)*(LMPMain!S$9:S$1000) ) +  ( SUMPRODUCT( ((Adders!$D$13:$D$101)=$E201)*((Adders!$E$13:$E$101)=$F201)*(Adders!G$13:G$101)) + VLOOKUP($H201,Adders!$B$5:$G$8,M$11,FALSE)  +  OH!$D$2 ) * IF($D201="NJ",1.07,1))/$L$10, CHOOSE($M$10,$L$9,$M$9) )</f>
        <v xml:space="preserve"> 34.34 </v>
      </c>
      <c r="N201" s="174" t="str">
        <f>TEXT(   (SUMPRODUCT( ((LMPMain!$H$9:$H$1000)=$E201)*((LMPMain!$J$9:$J$1000)=$F201)*((LMPMain!$O$9:$O$1000)=$C201)*(LMPMain!T$9:T$1000) ) +  ( SUMPRODUCT( ((Adders!$D$13:$D$101)=$E201)*((Adders!$E$13:$E$101)=$F201)*(Adders!H$13:H$101)) + VLOOKUP($H201,Adders!$B$5:$G$8,N$11,FALSE)  +  OH!$D$2 ) * IF($D201="NJ",1.07,1))/$L$10, CHOOSE($M$10,$L$9,$M$9) )</f>
        <v xml:space="preserve"> 31.78 </v>
      </c>
      <c r="O201" s="112"/>
    </row>
    <row r="202" spans="2:15" x14ac:dyDescent="0.25">
      <c r="B202" s="108"/>
      <c r="C202" s="135">
        <f t="shared" si="5"/>
        <v>42217</v>
      </c>
      <c r="D202" s="136" t="s">
        <v>20</v>
      </c>
      <c r="E202" s="137" t="s">
        <v>64</v>
      </c>
      <c r="F202" s="136" t="s">
        <v>7</v>
      </c>
      <c r="G202" s="137" t="str">
        <f t="shared" si="6"/>
        <v>General Service</v>
      </c>
      <c r="H202" s="138" t="s">
        <v>690</v>
      </c>
      <c r="I202" s="175" t="str">
        <f>TEXT(   (SUMPRODUCT( ((Main!$H$9:$H$1000)=$E202)*((Main!$J$9:$J$1000)=$F202)*((Main!$O$9:$O$1000)=$C202)*(Main!R$9:R$1000) ) +  ( SUMPRODUCT( ((Adders!$D$13:$D$101)=$E202)*((Adders!$E$13:$E$101)=$F202)*(Adders!G$13:G$101)) + VLOOKUP($H202,Adders!$B$5:$G$8,L$11,FALSE)  +  OH!$D$2 ) * IF($D202="NJ",1.07,1))/$L$10, CHOOSE($M$10,$L$9,$M$9) )</f>
        <v xml:space="preserve"> 81.64 </v>
      </c>
      <c r="J202" s="176" t="str">
        <f>TEXT(   (SUMPRODUCT( ((Main!$H$9:$H$1000)=$E202)*((Main!$J$9:$J$1000)=$F202)*((Main!$O$9:$O$1000)=$C202)*(Main!S$9:S$1000) ) +  ( SUMPRODUCT( ((Adders!$D$13:$D$101)=$E202)*((Adders!$E$13:$E$101)=$F202)*(Adders!H$13:H$101)) + VLOOKUP($H202,Adders!$B$5:$G$8,M$11,FALSE)  +  OH!$D$2 ) * IF($D202="NJ",1.07,1))/$L$10, CHOOSE($M$10,$L$9,$M$9) )</f>
        <v xml:space="preserve"> 75.42 </v>
      </c>
      <c r="K202" s="177" t="str">
        <f>TEXT(   (SUMPRODUCT( ((Main!$H$9:$H$1000)=$E202)*((Main!$J$9:$J$1000)=$F202)*((Main!$O$9:$O$1000)=$C202)*(Main!T$9:T$1000) ) +  ( SUMPRODUCT( ((Adders!$D$13:$D$101)=$E202)*((Adders!$E$13:$E$101)=$F202)*(Adders!I$13:I$101)) + VLOOKUP($H202,Adders!$B$5:$G$8,$N$11,FALSE)  +  OH!$D$2 ) * IF($D202="NJ",1.07,1))/$L$10, CHOOSE($M$10,$L$9,$M$9) )</f>
        <v xml:space="preserve"> 73.51 </v>
      </c>
      <c r="L202" s="175" t="str">
        <f>TEXT(   (SUMPRODUCT( ((LMPMain!$H$9:$H$1000)=$E202)*((LMPMain!$J$9:$J$1000)=$F202)*((LMPMain!$O$9:$O$1000)=$C202)*(LMPMain!R$9:R$1000) ) +  ( SUMPRODUCT( ((Adders!$D$13:$D$101)=$E202)*((Adders!$E$13:$E$101)=$F202)*(Adders!F$13:F$101)) + VLOOKUP($H202,Adders!$B$5:$G$8,L$11,FALSE)  +  OH!$D$2 ) * IF($D202="NJ",1.07,1))/$L$10, CHOOSE($M$10,$L$9,$M$9) )</f>
        <v xml:space="preserve"> 39.35 </v>
      </c>
      <c r="M202" s="176" t="str">
        <f>TEXT(   (SUMPRODUCT( ((LMPMain!$H$9:$H$1000)=$E202)*((LMPMain!$J$9:$J$1000)=$F202)*((LMPMain!$O$9:$O$1000)=$C202)*(LMPMain!S$9:S$1000) ) +  ( SUMPRODUCT( ((Adders!$D$13:$D$101)=$E202)*((Adders!$E$13:$E$101)=$F202)*(Adders!G$13:G$101)) + VLOOKUP($H202,Adders!$B$5:$G$8,M$11,FALSE)  +  OH!$D$2 ) * IF($D202="NJ",1.07,1))/$L$10, CHOOSE($M$10,$L$9,$M$9) )</f>
        <v xml:space="preserve"> 33.29 </v>
      </c>
      <c r="N202" s="177" t="str">
        <f>TEXT(   (SUMPRODUCT( ((LMPMain!$H$9:$H$1000)=$E202)*((LMPMain!$J$9:$J$1000)=$F202)*((LMPMain!$O$9:$O$1000)=$C202)*(LMPMain!T$9:T$1000) ) +  ( SUMPRODUCT( ((Adders!$D$13:$D$101)=$E202)*((Adders!$E$13:$E$101)=$F202)*(Adders!H$13:H$101)) + VLOOKUP($H202,Adders!$B$5:$G$8,N$11,FALSE)  +  OH!$D$2 ) * IF($D202="NJ",1.07,1))/$L$10, CHOOSE($M$10,$L$9,$M$9) )</f>
        <v xml:space="preserve"> 30.73 </v>
      </c>
      <c r="O202" s="112"/>
    </row>
    <row r="203" spans="2:15" x14ac:dyDescent="0.25">
      <c r="B203" s="108"/>
      <c r="C203" s="127">
        <f t="shared" si="5"/>
        <v>42248</v>
      </c>
      <c r="D203" s="128" t="s">
        <v>20</v>
      </c>
      <c r="E203" s="129" t="s">
        <v>64</v>
      </c>
      <c r="F203" s="128" t="s">
        <v>7</v>
      </c>
      <c r="G203" s="129" t="str">
        <f t="shared" si="6"/>
        <v>General Service</v>
      </c>
      <c r="H203" s="130" t="s">
        <v>61</v>
      </c>
      <c r="I203" s="180" t="str">
        <f>TEXT(   (SUMPRODUCT( ((Main!$H$9:$H$1000)=$E203)*((Main!$J$9:$J$1000)=$F203)*((Main!$O$9:$O$1000)=$C203)*(Main!R$9:R$1000) ) +  ( SUMPRODUCT( ((Adders!$D$13:$D$101)=$E203)*((Adders!$E$13:$E$101)=$F203)*(Adders!G$13:G$101)) + VLOOKUP($H203,Adders!$B$5:$G$8,L$11,FALSE)  +  OH!$D$2 ) * IF($D203="NJ",1.07,1))/$L$10, CHOOSE($M$10,$L$9,$M$9) )</f>
        <v xml:space="preserve"> 82.64 </v>
      </c>
      <c r="J203" s="178" t="str">
        <f>TEXT(   (SUMPRODUCT( ((Main!$H$9:$H$1000)=$E203)*((Main!$J$9:$J$1000)=$F203)*((Main!$O$9:$O$1000)=$C203)*(Main!S$9:S$1000) ) +  ( SUMPRODUCT( ((Adders!$D$13:$D$101)=$E203)*((Adders!$E$13:$E$101)=$F203)*(Adders!H$13:H$101)) + VLOOKUP($H203,Adders!$B$5:$G$8,M$11,FALSE)  +  OH!$D$2 ) * IF($D203="NJ",1.07,1))/$L$10, CHOOSE($M$10,$L$9,$M$9) )</f>
        <v xml:space="preserve"> 76.99 </v>
      </c>
      <c r="K203" s="179" t="str">
        <f>TEXT(   (SUMPRODUCT( ((Main!$H$9:$H$1000)=$E203)*((Main!$J$9:$J$1000)=$F203)*((Main!$O$9:$O$1000)=$C203)*(Main!T$9:T$1000) ) +  ( SUMPRODUCT( ((Adders!$D$13:$D$101)=$E203)*((Adders!$E$13:$E$101)=$F203)*(Adders!I$13:I$101)) + VLOOKUP($H203,Adders!$B$5:$G$8,$N$11,FALSE)  +  OH!$D$2 ) * IF($D203="NJ",1.07,1))/$L$10, CHOOSE($M$10,$L$9,$M$9) )</f>
        <v xml:space="preserve"> 75.59 </v>
      </c>
      <c r="L203" s="180" t="str">
        <f>TEXT(   (SUMPRODUCT( ((LMPMain!$H$9:$H$1000)=$E203)*((LMPMain!$J$9:$J$1000)=$F203)*((LMPMain!$O$9:$O$1000)=$C203)*(LMPMain!R$9:R$1000) ) +  ( SUMPRODUCT( ((Adders!$D$13:$D$101)=$E203)*((Adders!$E$13:$E$101)=$F203)*(Adders!F$13:F$101)) + VLOOKUP($H203,Adders!$B$5:$G$8,L$11,FALSE)  +  OH!$D$2 ) * IF($D203="NJ",1.07,1))/$L$10, CHOOSE($M$10,$L$9,$M$9) )</f>
        <v xml:space="preserve"> 40.17 </v>
      </c>
      <c r="M203" s="178" t="str">
        <f>TEXT(   (SUMPRODUCT( ((LMPMain!$H$9:$H$1000)=$E203)*((LMPMain!$J$9:$J$1000)=$F203)*((LMPMain!$O$9:$O$1000)=$C203)*(LMPMain!S$9:S$1000) ) +  ( SUMPRODUCT( ((Adders!$D$13:$D$101)=$E203)*((Adders!$E$13:$E$101)=$F203)*(Adders!G$13:G$101)) + VLOOKUP($H203,Adders!$B$5:$G$8,M$11,FALSE)  +  OH!$D$2 ) * IF($D203="NJ",1.07,1))/$L$10, CHOOSE($M$10,$L$9,$M$9) )</f>
        <v xml:space="preserve"> 34.71 </v>
      </c>
      <c r="N203" s="179" t="str">
        <f>TEXT(   (SUMPRODUCT( ((LMPMain!$H$9:$H$1000)=$E203)*((LMPMain!$J$9:$J$1000)=$F203)*((LMPMain!$O$9:$O$1000)=$C203)*(LMPMain!T$9:T$1000) ) +  ( SUMPRODUCT( ((Adders!$D$13:$D$101)=$E203)*((Adders!$E$13:$E$101)=$F203)*(Adders!H$13:H$101)) + VLOOKUP($H203,Adders!$B$5:$G$8,N$11,FALSE)  +  OH!$D$2 ) * IF($D203="NJ",1.07,1))/$L$10, CHOOSE($M$10,$L$9,$M$9) )</f>
        <v xml:space="preserve"> 32.62 </v>
      </c>
      <c r="O203" s="112"/>
    </row>
    <row r="204" spans="2:15" x14ac:dyDescent="0.25">
      <c r="B204" s="108"/>
      <c r="C204" s="131">
        <f t="shared" si="5"/>
        <v>42248</v>
      </c>
      <c r="D204" s="132" t="s">
        <v>20</v>
      </c>
      <c r="E204" s="133" t="s">
        <v>64</v>
      </c>
      <c r="F204" s="132" t="s">
        <v>7</v>
      </c>
      <c r="G204" s="133" t="str">
        <f t="shared" si="6"/>
        <v>General Service</v>
      </c>
      <c r="H204" s="134" t="s">
        <v>62</v>
      </c>
      <c r="I204" s="172" t="str">
        <f>TEXT(   (SUMPRODUCT( ((Main!$H$9:$H$1000)=$E204)*((Main!$J$9:$J$1000)=$F204)*((Main!$O$9:$O$1000)=$C204)*(Main!R$9:R$1000) ) +  ( SUMPRODUCT( ((Adders!$D$13:$D$101)=$E204)*((Adders!$E$13:$E$101)=$F204)*(Adders!G$13:G$101)) + VLOOKUP($H204,Adders!$B$5:$G$8,L$11,FALSE)  +  OH!$D$2 ) * IF($D204="NJ",1.07,1))/$L$10, CHOOSE($M$10,$L$9,$M$9) )</f>
        <v xml:space="preserve"> 81.04 </v>
      </c>
      <c r="J204" s="173" t="str">
        <f>TEXT(   (SUMPRODUCT( ((Main!$H$9:$H$1000)=$E204)*((Main!$J$9:$J$1000)=$F204)*((Main!$O$9:$O$1000)=$C204)*(Main!S$9:S$1000) ) +  ( SUMPRODUCT( ((Adders!$D$13:$D$101)=$E204)*((Adders!$E$13:$E$101)=$F204)*(Adders!H$13:H$101)) + VLOOKUP($H204,Adders!$B$5:$G$8,M$11,FALSE)  +  OH!$D$2 ) * IF($D204="NJ",1.07,1))/$L$10, CHOOSE($M$10,$L$9,$M$9) )</f>
        <v xml:space="preserve"> 75.39 </v>
      </c>
      <c r="K204" s="174" t="str">
        <f>TEXT(   (SUMPRODUCT( ((Main!$H$9:$H$1000)=$E204)*((Main!$J$9:$J$1000)=$F204)*((Main!$O$9:$O$1000)=$C204)*(Main!T$9:T$1000) ) +  ( SUMPRODUCT( ((Adders!$D$13:$D$101)=$E204)*((Adders!$E$13:$E$101)=$F204)*(Adders!I$13:I$101)) + VLOOKUP($H204,Adders!$B$5:$G$8,$N$11,FALSE)  +  OH!$D$2 ) * IF($D204="NJ",1.07,1))/$L$10, CHOOSE($M$10,$L$9,$M$9) )</f>
        <v xml:space="preserve"> 73.99 </v>
      </c>
      <c r="L204" s="172" t="str">
        <f>TEXT(   (SUMPRODUCT( ((LMPMain!$H$9:$H$1000)=$E204)*((LMPMain!$J$9:$J$1000)=$F204)*((LMPMain!$O$9:$O$1000)=$C204)*(LMPMain!R$9:R$1000) ) +  ( SUMPRODUCT( ((Adders!$D$13:$D$101)=$E204)*((Adders!$E$13:$E$101)=$F204)*(Adders!F$13:F$101)) + VLOOKUP($H204,Adders!$B$5:$G$8,L$11,FALSE)  +  OH!$D$2 ) * IF($D204="NJ",1.07,1))/$L$10, CHOOSE($M$10,$L$9,$M$9) )</f>
        <v xml:space="preserve"> 38.57 </v>
      </c>
      <c r="M204" s="173" t="str">
        <f>TEXT(   (SUMPRODUCT( ((LMPMain!$H$9:$H$1000)=$E204)*((LMPMain!$J$9:$J$1000)=$F204)*((LMPMain!$O$9:$O$1000)=$C204)*(LMPMain!S$9:S$1000) ) +  ( SUMPRODUCT( ((Adders!$D$13:$D$101)=$E204)*((Adders!$E$13:$E$101)=$F204)*(Adders!G$13:G$101)) + VLOOKUP($H204,Adders!$B$5:$G$8,M$11,FALSE)  +  OH!$D$2 ) * IF($D204="NJ",1.07,1))/$L$10, CHOOSE($M$10,$L$9,$M$9) )</f>
        <v xml:space="preserve"> 33.11 </v>
      </c>
      <c r="N204" s="174" t="str">
        <f>TEXT(   (SUMPRODUCT( ((LMPMain!$H$9:$H$1000)=$E204)*((LMPMain!$J$9:$J$1000)=$F204)*((LMPMain!$O$9:$O$1000)=$C204)*(LMPMain!T$9:T$1000) ) +  ( SUMPRODUCT( ((Adders!$D$13:$D$101)=$E204)*((Adders!$E$13:$E$101)=$F204)*(Adders!H$13:H$101)) + VLOOKUP($H204,Adders!$B$5:$G$8,N$11,FALSE)  +  OH!$D$2 ) * IF($D204="NJ",1.07,1))/$L$10, CHOOSE($M$10,$L$9,$M$9) )</f>
        <v xml:space="preserve"> 31.02 </v>
      </c>
      <c r="O204" s="112"/>
    </row>
    <row r="205" spans="2:15" x14ac:dyDescent="0.25">
      <c r="B205" s="108"/>
      <c r="C205" s="135">
        <f t="shared" si="5"/>
        <v>42248</v>
      </c>
      <c r="D205" s="136" t="s">
        <v>20</v>
      </c>
      <c r="E205" s="137" t="s">
        <v>64</v>
      </c>
      <c r="F205" s="136" t="s">
        <v>7</v>
      </c>
      <c r="G205" s="137" t="str">
        <f t="shared" si="6"/>
        <v>General Service</v>
      </c>
      <c r="H205" s="138" t="s">
        <v>690</v>
      </c>
      <c r="I205" s="175" t="str">
        <f>TEXT(   (SUMPRODUCT( ((Main!$H$9:$H$1000)=$E205)*((Main!$J$9:$J$1000)=$F205)*((Main!$O$9:$O$1000)=$C205)*(Main!R$9:R$1000) ) +  ( SUMPRODUCT( ((Adders!$D$13:$D$101)=$E205)*((Adders!$E$13:$E$101)=$F205)*(Adders!G$13:G$101)) + VLOOKUP($H205,Adders!$B$5:$G$8,L$11,FALSE)  +  OH!$D$2 ) * IF($D205="NJ",1.07,1))/$L$10, CHOOSE($M$10,$L$9,$M$9) )</f>
        <v xml:space="preserve"> 79.99 </v>
      </c>
      <c r="J205" s="176" t="str">
        <f>TEXT(   (SUMPRODUCT( ((Main!$H$9:$H$1000)=$E205)*((Main!$J$9:$J$1000)=$F205)*((Main!$O$9:$O$1000)=$C205)*(Main!S$9:S$1000) ) +  ( SUMPRODUCT( ((Adders!$D$13:$D$101)=$E205)*((Adders!$E$13:$E$101)=$F205)*(Adders!H$13:H$101)) + VLOOKUP($H205,Adders!$B$5:$G$8,M$11,FALSE)  +  OH!$D$2 ) * IF($D205="NJ",1.07,1))/$L$10, CHOOSE($M$10,$L$9,$M$9) )</f>
        <v xml:space="preserve"> 74.34 </v>
      </c>
      <c r="K205" s="177" t="str">
        <f>TEXT(   (SUMPRODUCT( ((Main!$H$9:$H$1000)=$E205)*((Main!$J$9:$J$1000)=$F205)*((Main!$O$9:$O$1000)=$C205)*(Main!T$9:T$1000) ) +  ( SUMPRODUCT( ((Adders!$D$13:$D$101)=$E205)*((Adders!$E$13:$E$101)=$F205)*(Adders!I$13:I$101)) + VLOOKUP($H205,Adders!$B$5:$G$8,$N$11,FALSE)  +  OH!$D$2 ) * IF($D205="NJ",1.07,1))/$L$10, CHOOSE($M$10,$L$9,$M$9) )</f>
        <v xml:space="preserve"> 72.94 </v>
      </c>
      <c r="L205" s="175" t="str">
        <f>TEXT(   (SUMPRODUCT( ((LMPMain!$H$9:$H$1000)=$E205)*((LMPMain!$J$9:$J$1000)=$F205)*((LMPMain!$O$9:$O$1000)=$C205)*(LMPMain!R$9:R$1000) ) +  ( SUMPRODUCT( ((Adders!$D$13:$D$101)=$E205)*((Adders!$E$13:$E$101)=$F205)*(Adders!F$13:F$101)) + VLOOKUP($H205,Adders!$B$5:$G$8,L$11,FALSE)  +  OH!$D$2 ) * IF($D205="NJ",1.07,1))/$L$10, CHOOSE($M$10,$L$9,$M$9) )</f>
        <v xml:space="preserve"> 37.52 </v>
      </c>
      <c r="M205" s="176" t="str">
        <f>TEXT(   (SUMPRODUCT( ((LMPMain!$H$9:$H$1000)=$E205)*((LMPMain!$J$9:$J$1000)=$F205)*((LMPMain!$O$9:$O$1000)=$C205)*(LMPMain!S$9:S$1000) ) +  ( SUMPRODUCT( ((Adders!$D$13:$D$101)=$E205)*((Adders!$E$13:$E$101)=$F205)*(Adders!G$13:G$101)) + VLOOKUP($H205,Adders!$B$5:$G$8,M$11,FALSE)  +  OH!$D$2 ) * IF($D205="NJ",1.07,1))/$L$10, CHOOSE($M$10,$L$9,$M$9) )</f>
        <v xml:space="preserve"> 32.06 </v>
      </c>
      <c r="N205" s="177" t="str">
        <f>TEXT(   (SUMPRODUCT( ((LMPMain!$H$9:$H$1000)=$E205)*((LMPMain!$J$9:$J$1000)=$F205)*((LMPMain!$O$9:$O$1000)=$C205)*(LMPMain!T$9:T$1000) ) +  ( SUMPRODUCT( ((Adders!$D$13:$D$101)=$E205)*((Adders!$E$13:$E$101)=$F205)*(Adders!H$13:H$101)) + VLOOKUP($H205,Adders!$B$5:$G$8,N$11,FALSE)  +  OH!$D$2 ) * IF($D205="NJ",1.07,1))/$L$10, CHOOSE($M$10,$L$9,$M$9) )</f>
        <v xml:space="preserve"> 29.97 </v>
      </c>
      <c r="O205" s="112"/>
    </row>
    <row r="206" spans="2:15" x14ac:dyDescent="0.25">
      <c r="B206" s="108"/>
      <c r="C206" s="127">
        <f t="shared" si="5"/>
        <v>42278</v>
      </c>
      <c r="D206" s="128" t="s">
        <v>20</v>
      </c>
      <c r="E206" s="129" t="s">
        <v>64</v>
      </c>
      <c r="F206" s="128" t="s">
        <v>7</v>
      </c>
      <c r="G206" s="129" t="str">
        <f t="shared" si="6"/>
        <v>General Service</v>
      </c>
      <c r="H206" s="130" t="s">
        <v>61</v>
      </c>
      <c r="I206" s="180" t="str">
        <f>TEXT(   (SUMPRODUCT( ((Main!$H$9:$H$1000)=$E206)*((Main!$J$9:$J$1000)=$F206)*((Main!$O$9:$O$1000)=$C206)*(Main!R$9:R$1000) ) +  ( SUMPRODUCT( ((Adders!$D$13:$D$101)=$E206)*((Adders!$E$13:$E$101)=$F206)*(Adders!G$13:G$101)) + VLOOKUP($H206,Adders!$B$5:$G$8,L$11,FALSE)  +  OH!$D$2 ) * IF($D206="NJ",1.07,1))/$L$10, CHOOSE($M$10,$L$9,$M$9) )</f>
        <v xml:space="preserve"> 80.86 </v>
      </c>
      <c r="J206" s="178" t="str">
        <f>TEXT(   (SUMPRODUCT( ((Main!$H$9:$H$1000)=$E206)*((Main!$J$9:$J$1000)=$F206)*((Main!$O$9:$O$1000)=$C206)*(Main!S$9:S$1000) ) +  ( SUMPRODUCT( ((Adders!$D$13:$D$101)=$E206)*((Adders!$E$13:$E$101)=$F206)*(Adders!H$13:H$101)) + VLOOKUP($H206,Adders!$B$5:$G$8,M$11,FALSE)  +  OH!$D$2 ) * IF($D206="NJ",1.07,1))/$L$10, CHOOSE($M$10,$L$9,$M$9) )</f>
        <v xml:space="preserve"> 76.05 </v>
      </c>
      <c r="K206" s="179" t="str">
        <f>TEXT(   (SUMPRODUCT( ((Main!$H$9:$H$1000)=$E206)*((Main!$J$9:$J$1000)=$F206)*((Main!$O$9:$O$1000)=$C206)*(Main!T$9:T$1000) ) +  ( SUMPRODUCT( ((Adders!$D$13:$D$101)=$E206)*((Adders!$E$13:$E$101)=$F206)*(Adders!I$13:I$101)) + VLOOKUP($H206,Adders!$B$5:$G$8,$N$11,FALSE)  +  OH!$D$2 ) * IF($D206="NJ",1.07,1))/$L$10, CHOOSE($M$10,$L$9,$M$9) )</f>
        <v xml:space="preserve"> 74.84 </v>
      </c>
      <c r="L206" s="180" t="str">
        <f>TEXT(   (SUMPRODUCT( ((LMPMain!$H$9:$H$1000)=$E206)*((LMPMain!$J$9:$J$1000)=$F206)*((LMPMain!$O$9:$O$1000)=$C206)*(LMPMain!R$9:R$1000) ) +  ( SUMPRODUCT( ((Adders!$D$13:$D$101)=$E206)*((Adders!$E$13:$E$101)=$F206)*(Adders!F$13:F$101)) + VLOOKUP($H206,Adders!$B$5:$G$8,L$11,FALSE)  +  OH!$D$2 ) * IF($D206="NJ",1.07,1))/$L$10, CHOOSE($M$10,$L$9,$M$9) )</f>
        <v xml:space="preserve"> 38.41 </v>
      </c>
      <c r="M206" s="178" t="str">
        <f>TEXT(   (SUMPRODUCT( ((LMPMain!$H$9:$H$1000)=$E206)*((LMPMain!$J$9:$J$1000)=$F206)*((LMPMain!$O$9:$O$1000)=$C206)*(LMPMain!S$9:S$1000) ) +  ( SUMPRODUCT( ((Adders!$D$13:$D$101)=$E206)*((Adders!$E$13:$E$101)=$F206)*(Adders!G$13:G$101)) + VLOOKUP($H206,Adders!$B$5:$G$8,M$11,FALSE)  +  OH!$D$2 ) * IF($D206="NJ",1.07,1))/$L$10, CHOOSE($M$10,$L$9,$M$9) )</f>
        <v xml:space="preserve"> 33.45 </v>
      </c>
      <c r="N206" s="179" t="str">
        <f>TEXT(   (SUMPRODUCT( ((LMPMain!$H$9:$H$1000)=$E206)*((LMPMain!$J$9:$J$1000)=$F206)*((LMPMain!$O$9:$O$1000)=$C206)*(LMPMain!T$9:T$1000) ) +  ( SUMPRODUCT( ((Adders!$D$13:$D$101)=$E206)*((Adders!$E$13:$E$101)=$F206)*(Adders!H$13:H$101)) + VLOOKUP($H206,Adders!$B$5:$G$8,N$11,FALSE)  +  OH!$D$2 ) * IF($D206="NJ",1.07,1))/$L$10, CHOOSE($M$10,$L$9,$M$9) )</f>
        <v xml:space="preserve"> 31.87 </v>
      </c>
      <c r="O206" s="112"/>
    </row>
    <row r="207" spans="2:15" x14ac:dyDescent="0.25">
      <c r="B207" s="108"/>
      <c r="C207" s="131">
        <f t="shared" si="5"/>
        <v>42278</v>
      </c>
      <c r="D207" s="132" t="s">
        <v>20</v>
      </c>
      <c r="E207" s="133" t="s">
        <v>64</v>
      </c>
      <c r="F207" s="132" t="s">
        <v>7</v>
      </c>
      <c r="G207" s="133" t="str">
        <f t="shared" si="6"/>
        <v>General Service</v>
      </c>
      <c r="H207" s="134" t="s">
        <v>62</v>
      </c>
      <c r="I207" s="172" t="str">
        <f>TEXT(   (SUMPRODUCT( ((Main!$H$9:$H$1000)=$E207)*((Main!$J$9:$J$1000)=$F207)*((Main!$O$9:$O$1000)=$C207)*(Main!R$9:R$1000) ) +  ( SUMPRODUCT( ((Adders!$D$13:$D$101)=$E207)*((Adders!$E$13:$E$101)=$F207)*(Adders!G$13:G$101)) + VLOOKUP($H207,Adders!$B$5:$G$8,L$11,FALSE)  +  OH!$D$2 ) * IF($D207="NJ",1.07,1))/$L$10, CHOOSE($M$10,$L$9,$M$9) )</f>
        <v xml:space="preserve"> 79.26 </v>
      </c>
      <c r="J207" s="173" t="str">
        <f>TEXT(   (SUMPRODUCT( ((Main!$H$9:$H$1000)=$E207)*((Main!$J$9:$J$1000)=$F207)*((Main!$O$9:$O$1000)=$C207)*(Main!S$9:S$1000) ) +  ( SUMPRODUCT( ((Adders!$D$13:$D$101)=$E207)*((Adders!$E$13:$E$101)=$F207)*(Adders!H$13:H$101)) + VLOOKUP($H207,Adders!$B$5:$G$8,M$11,FALSE)  +  OH!$D$2 ) * IF($D207="NJ",1.07,1))/$L$10, CHOOSE($M$10,$L$9,$M$9) )</f>
        <v xml:space="preserve"> 74.45 </v>
      </c>
      <c r="K207" s="174" t="str">
        <f>TEXT(   (SUMPRODUCT( ((Main!$H$9:$H$1000)=$E207)*((Main!$J$9:$J$1000)=$F207)*((Main!$O$9:$O$1000)=$C207)*(Main!T$9:T$1000) ) +  ( SUMPRODUCT( ((Adders!$D$13:$D$101)=$E207)*((Adders!$E$13:$E$101)=$F207)*(Adders!I$13:I$101)) + VLOOKUP($H207,Adders!$B$5:$G$8,$N$11,FALSE)  +  OH!$D$2 ) * IF($D207="NJ",1.07,1))/$L$10, CHOOSE($M$10,$L$9,$M$9) )</f>
        <v xml:space="preserve"> 73.24 </v>
      </c>
      <c r="L207" s="172" t="str">
        <f>TEXT(   (SUMPRODUCT( ((LMPMain!$H$9:$H$1000)=$E207)*((LMPMain!$J$9:$J$1000)=$F207)*((LMPMain!$O$9:$O$1000)=$C207)*(LMPMain!R$9:R$1000) ) +  ( SUMPRODUCT( ((Adders!$D$13:$D$101)=$E207)*((Adders!$E$13:$E$101)=$F207)*(Adders!F$13:F$101)) + VLOOKUP($H207,Adders!$B$5:$G$8,L$11,FALSE)  +  OH!$D$2 ) * IF($D207="NJ",1.07,1))/$L$10, CHOOSE($M$10,$L$9,$M$9) )</f>
        <v xml:space="preserve"> 36.81 </v>
      </c>
      <c r="M207" s="173" t="str">
        <f>TEXT(   (SUMPRODUCT( ((LMPMain!$H$9:$H$1000)=$E207)*((LMPMain!$J$9:$J$1000)=$F207)*((LMPMain!$O$9:$O$1000)=$C207)*(LMPMain!S$9:S$1000) ) +  ( SUMPRODUCT( ((Adders!$D$13:$D$101)=$E207)*((Adders!$E$13:$E$101)=$F207)*(Adders!G$13:G$101)) + VLOOKUP($H207,Adders!$B$5:$G$8,M$11,FALSE)  +  OH!$D$2 ) * IF($D207="NJ",1.07,1))/$L$10, CHOOSE($M$10,$L$9,$M$9) )</f>
        <v xml:space="preserve"> 31.85 </v>
      </c>
      <c r="N207" s="174" t="str">
        <f>TEXT(   (SUMPRODUCT( ((LMPMain!$H$9:$H$1000)=$E207)*((LMPMain!$J$9:$J$1000)=$F207)*((LMPMain!$O$9:$O$1000)=$C207)*(LMPMain!T$9:T$1000) ) +  ( SUMPRODUCT( ((Adders!$D$13:$D$101)=$E207)*((Adders!$E$13:$E$101)=$F207)*(Adders!H$13:H$101)) + VLOOKUP($H207,Adders!$B$5:$G$8,N$11,FALSE)  +  OH!$D$2 ) * IF($D207="NJ",1.07,1))/$L$10, CHOOSE($M$10,$L$9,$M$9) )</f>
        <v xml:space="preserve"> 30.27 </v>
      </c>
      <c r="O207" s="112"/>
    </row>
    <row r="208" spans="2:15" x14ac:dyDescent="0.25">
      <c r="B208" s="108"/>
      <c r="C208" s="135">
        <f t="shared" si="5"/>
        <v>42278</v>
      </c>
      <c r="D208" s="136" t="s">
        <v>20</v>
      </c>
      <c r="E208" s="137" t="s">
        <v>64</v>
      </c>
      <c r="F208" s="136" t="s">
        <v>7</v>
      </c>
      <c r="G208" s="137" t="str">
        <f t="shared" si="6"/>
        <v>General Service</v>
      </c>
      <c r="H208" s="138" t="s">
        <v>690</v>
      </c>
      <c r="I208" s="175" t="str">
        <f>TEXT(   (SUMPRODUCT( ((Main!$H$9:$H$1000)=$E208)*((Main!$J$9:$J$1000)=$F208)*((Main!$O$9:$O$1000)=$C208)*(Main!R$9:R$1000) ) +  ( SUMPRODUCT( ((Adders!$D$13:$D$101)=$E208)*((Adders!$E$13:$E$101)=$F208)*(Adders!G$13:G$101)) + VLOOKUP($H208,Adders!$B$5:$G$8,L$11,FALSE)  +  OH!$D$2 ) * IF($D208="NJ",1.07,1))/$L$10, CHOOSE($M$10,$L$9,$M$9) )</f>
        <v xml:space="preserve"> 78.21 </v>
      </c>
      <c r="J208" s="176" t="str">
        <f>TEXT(   (SUMPRODUCT( ((Main!$H$9:$H$1000)=$E208)*((Main!$J$9:$J$1000)=$F208)*((Main!$O$9:$O$1000)=$C208)*(Main!S$9:S$1000) ) +  ( SUMPRODUCT( ((Adders!$D$13:$D$101)=$E208)*((Adders!$E$13:$E$101)=$F208)*(Adders!H$13:H$101)) + VLOOKUP($H208,Adders!$B$5:$G$8,M$11,FALSE)  +  OH!$D$2 ) * IF($D208="NJ",1.07,1))/$L$10, CHOOSE($M$10,$L$9,$M$9) )</f>
        <v xml:space="preserve"> 73.40 </v>
      </c>
      <c r="K208" s="177" t="str">
        <f>TEXT(   (SUMPRODUCT( ((Main!$H$9:$H$1000)=$E208)*((Main!$J$9:$J$1000)=$F208)*((Main!$O$9:$O$1000)=$C208)*(Main!T$9:T$1000) ) +  ( SUMPRODUCT( ((Adders!$D$13:$D$101)=$E208)*((Adders!$E$13:$E$101)=$F208)*(Adders!I$13:I$101)) + VLOOKUP($H208,Adders!$B$5:$G$8,$N$11,FALSE)  +  OH!$D$2 ) * IF($D208="NJ",1.07,1))/$L$10, CHOOSE($M$10,$L$9,$M$9) )</f>
        <v xml:space="preserve"> 72.19 </v>
      </c>
      <c r="L208" s="175" t="str">
        <f>TEXT(   (SUMPRODUCT( ((LMPMain!$H$9:$H$1000)=$E208)*((LMPMain!$J$9:$J$1000)=$F208)*((LMPMain!$O$9:$O$1000)=$C208)*(LMPMain!R$9:R$1000) ) +  ( SUMPRODUCT( ((Adders!$D$13:$D$101)=$E208)*((Adders!$E$13:$E$101)=$F208)*(Adders!F$13:F$101)) + VLOOKUP($H208,Adders!$B$5:$G$8,L$11,FALSE)  +  OH!$D$2 ) * IF($D208="NJ",1.07,1))/$L$10, CHOOSE($M$10,$L$9,$M$9) )</f>
        <v xml:space="preserve"> 35.76 </v>
      </c>
      <c r="M208" s="176" t="str">
        <f>TEXT(   (SUMPRODUCT( ((LMPMain!$H$9:$H$1000)=$E208)*((LMPMain!$J$9:$J$1000)=$F208)*((LMPMain!$O$9:$O$1000)=$C208)*(LMPMain!S$9:S$1000) ) +  ( SUMPRODUCT( ((Adders!$D$13:$D$101)=$E208)*((Adders!$E$13:$E$101)=$F208)*(Adders!G$13:G$101)) + VLOOKUP($H208,Adders!$B$5:$G$8,M$11,FALSE)  +  OH!$D$2 ) * IF($D208="NJ",1.07,1))/$L$10, CHOOSE($M$10,$L$9,$M$9) )</f>
        <v xml:space="preserve"> 30.80 </v>
      </c>
      <c r="N208" s="177" t="str">
        <f>TEXT(   (SUMPRODUCT( ((LMPMain!$H$9:$H$1000)=$E208)*((LMPMain!$J$9:$J$1000)=$F208)*((LMPMain!$O$9:$O$1000)=$C208)*(LMPMain!T$9:T$1000) ) +  ( SUMPRODUCT( ((Adders!$D$13:$D$101)=$E208)*((Adders!$E$13:$E$101)=$F208)*(Adders!H$13:H$101)) + VLOOKUP($H208,Adders!$B$5:$G$8,N$11,FALSE)  +  OH!$D$2 ) * IF($D208="NJ",1.07,1))/$L$10, CHOOSE($M$10,$L$9,$M$9) )</f>
        <v xml:space="preserve"> 29.22 </v>
      </c>
      <c r="O208" s="112"/>
    </row>
    <row r="209" spans="2:15" x14ac:dyDescent="0.25">
      <c r="B209" s="108"/>
      <c r="C209" s="127">
        <f t="shared" si="5"/>
        <v>42309</v>
      </c>
      <c r="D209" s="128" t="s">
        <v>20</v>
      </c>
      <c r="E209" s="129" t="s">
        <v>64</v>
      </c>
      <c r="F209" s="128" t="s">
        <v>7</v>
      </c>
      <c r="G209" s="129" t="str">
        <f t="shared" si="6"/>
        <v>General Service</v>
      </c>
      <c r="H209" s="130" t="s">
        <v>61</v>
      </c>
      <c r="I209" s="180" t="str">
        <f>TEXT(   (SUMPRODUCT( ((Main!$H$9:$H$1000)=$E209)*((Main!$J$9:$J$1000)=$F209)*((Main!$O$9:$O$1000)=$C209)*(Main!R$9:R$1000) ) +  ( SUMPRODUCT( ((Adders!$D$13:$D$101)=$E209)*((Adders!$E$13:$E$101)=$F209)*(Adders!G$13:G$101)) + VLOOKUP($H209,Adders!$B$5:$G$8,L$11,FALSE)  +  OH!$D$2 ) * IF($D209="NJ",1.07,1))/$L$10, CHOOSE($M$10,$L$9,$M$9) )</f>
        <v xml:space="preserve"> 79.05 </v>
      </c>
      <c r="J209" s="178" t="str">
        <f>TEXT(   (SUMPRODUCT( ((Main!$H$9:$H$1000)=$E209)*((Main!$J$9:$J$1000)=$F209)*((Main!$O$9:$O$1000)=$C209)*(Main!S$9:S$1000) ) +  ( SUMPRODUCT( ((Adders!$D$13:$D$101)=$E209)*((Adders!$E$13:$E$101)=$F209)*(Adders!H$13:H$101)) + VLOOKUP($H209,Adders!$B$5:$G$8,M$11,FALSE)  +  OH!$D$2 ) * IF($D209="NJ",1.07,1))/$L$10, CHOOSE($M$10,$L$9,$M$9) )</f>
        <v xml:space="preserve"> 75.09 </v>
      </c>
      <c r="K209" s="179" t="str">
        <f>TEXT(   (SUMPRODUCT( ((Main!$H$9:$H$1000)=$E209)*((Main!$J$9:$J$1000)=$F209)*((Main!$O$9:$O$1000)=$C209)*(Main!T$9:T$1000) ) +  ( SUMPRODUCT( ((Adders!$D$13:$D$101)=$E209)*((Adders!$E$13:$E$101)=$F209)*(Adders!I$13:I$101)) + VLOOKUP($H209,Adders!$B$5:$G$8,$N$11,FALSE)  +  OH!$D$2 ) * IF($D209="NJ",1.07,1))/$L$10, CHOOSE($M$10,$L$9,$M$9) )</f>
        <v xml:space="preserve"> 74.10 </v>
      </c>
      <c r="L209" s="180" t="str">
        <f>TEXT(   (SUMPRODUCT( ((LMPMain!$H$9:$H$1000)=$E209)*((LMPMain!$J$9:$J$1000)=$F209)*((LMPMain!$O$9:$O$1000)=$C209)*(LMPMain!R$9:R$1000) ) +  ( SUMPRODUCT( ((Adders!$D$13:$D$101)=$E209)*((Adders!$E$13:$E$101)=$F209)*(Adders!F$13:F$101)) + VLOOKUP($H209,Adders!$B$5:$G$8,L$11,FALSE)  +  OH!$D$2 ) * IF($D209="NJ",1.07,1))/$L$10, CHOOSE($M$10,$L$9,$M$9) )</f>
        <v xml:space="preserve"> 36.62 </v>
      </c>
      <c r="M209" s="178" t="str">
        <f>TEXT(   (SUMPRODUCT( ((LMPMain!$H$9:$H$1000)=$E209)*((LMPMain!$J$9:$J$1000)=$F209)*((LMPMain!$O$9:$O$1000)=$C209)*(LMPMain!S$9:S$1000) ) +  ( SUMPRODUCT( ((Adders!$D$13:$D$101)=$E209)*((Adders!$E$13:$E$101)=$F209)*(Adders!G$13:G$101)) + VLOOKUP($H209,Adders!$B$5:$G$8,M$11,FALSE)  +  OH!$D$2 ) * IF($D209="NJ",1.07,1))/$L$10, CHOOSE($M$10,$L$9,$M$9) )</f>
        <v xml:space="preserve"> 32.38 </v>
      </c>
      <c r="N209" s="179" t="str">
        <f>TEXT(   (SUMPRODUCT( ((LMPMain!$H$9:$H$1000)=$E209)*((LMPMain!$J$9:$J$1000)=$F209)*((LMPMain!$O$9:$O$1000)=$C209)*(LMPMain!T$9:T$1000) ) +  ( SUMPRODUCT( ((Adders!$D$13:$D$101)=$E209)*((Adders!$E$13:$E$101)=$F209)*(Adders!H$13:H$101)) + VLOOKUP($H209,Adders!$B$5:$G$8,N$11,FALSE)  +  OH!$D$2 ) * IF($D209="NJ",1.07,1))/$L$10, CHOOSE($M$10,$L$9,$M$9) )</f>
        <v xml:space="preserve"> 31.10 </v>
      </c>
      <c r="O209" s="112"/>
    </row>
    <row r="210" spans="2:15" x14ac:dyDescent="0.25">
      <c r="B210" s="108"/>
      <c r="C210" s="131">
        <f t="shared" si="5"/>
        <v>42309</v>
      </c>
      <c r="D210" s="132" t="s">
        <v>20</v>
      </c>
      <c r="E210" s="133" t="s">
        <v>64</v>
      </c>
      <c r="F210" s="132" t="s">
        <v>7</v>
      </c>
      <c r="G210" s="133" t="str">
        <f t="shared" si="6"/>
        <v>General Service</v>
      </c>
      <c r="H210" s="134" t="s">
        <v>62</v>
      </c>
      <c r="I210" s="172" t="str">
        <f>TEXT(   (SUMPRODUCT( ((Main!$H$9:$H$1000)=$E210)*((Main!$J$9:$J$1000)=$F210)*((Main!$O$9:$O$1000)=$C210)*(Main!R$9:R$1000) ) +  ( SUMPRODUCT( ((Adders!$D$13:$D$101)=$E210)*((Adders!$E$13:$E$101)=$F210)*(Adders!G$13:G$101)) + VLOOKUP($H210,Adders!$B$5:$G$8,L$11,FALSE)  +  OH!$D$2 ) * IF($D210="NJ",1.07,1))/$L$10, CHOOSE($M$10,$L$9,$M$9) )</f>
        <v xml:space="preserve"> 77.45 </v>
      </c>
      <c r="J210" s="173" t="str">
        <f>TEXT(   (SUMPRODUCT( ((Main!$H$9:$H$1000)=$E210)*((Main!$J$9:$J$1000)=$F210)*((Main!$O$9:$O$1000)=$C210)*(Main!S$9:S$1000) ) +  ( SUMPRODUCT( ((Adders!$D$13:$D$101)=$E210)*((Adders!$E$13:$E$101)=$F210)*(Adders!H$13:H$101)) + VLOOKUP($H210,Adders!$B$5:$G$8,M$11,FALSE)  +  OH!$D$2 ) * IF($D210="NJ",1.07,1))/$L$10, CHOOSE($M$10,$L$9,$M$9) )</f>
        <v xml:space="preserve"> 73.49 </v>
      </c>
      <c r="K210" s="174" t="str">
        <f>TEXT(   (SUMPRODUCT( ((Main!$H$9:$H$1000)=$E210)*((Main!$J$9:$J$1000)=$F210)*((Main!$O$9:$O$1000)=$C210)*(Main!T$9:T$1000) ) +  ( SUMPRODUCT( ((Adders!$D$13:$D$101)=$E210)*((Adders!$E$13:$E$101)=$F210)*(Adders!I$13:I$101)) + VLOOKUP($H210,Adders!$B$5:$G$8,$N$11,FALSE)  +  OH!$D$2 ) * IF($D210="NJ",1.07,1))/$L$10, CHOOSE($M$10,$L$9,$M$9) )</f>
        <v xml:space="preserve"> 72.50 </v>
      </c>
      <c r="L210" s="172" t="str">
        <f>TEXT(   (SUMPRODUCT( ((LMPMain!$H$9:$H$1000)=$E210)*((LMPMain!$J$9:$J$1000)=$F210)*((LMPMain!$O$9:$O$1000)=$C210)*(LMPMain!R$9:R$1000) ) +  ( SUMPRODUCT( ((Adders!$D$13:$D$101)=$E210)*((Adders!$E$13:$E$101)=$F210)*(Adders!F$13:F$101)) + VLOOKUP($H210,Adders!$B$5:$G$8,L$11,FALSE)  +  OH!$D$2 ) * IF($D210="NJ",1.07,1))/$L$10, CHOOSE($M$10,$L$9,$M$9) )</f>
        <v xml:space="preserve"> 35.02 </v>
      </c>
      <c r="M210" s="173" t="str">
        <f>TEXT(   (SUMPRODUCT( ((LMPMain!$H$9:$H$1000)=$E210)*((LMPMain!$J$9:$J$1000)=$F210)*((LMPMain!$O$9:$O$1000)=$C210)*(LMPMain!S$9:S$1000) ) +  ( SUMPRODUCT( ((Adders!$D$13:$D$101)=$E210)*((Adders!$E$13:$E$101)=$F210)*(Adders!G$13:G$101)) + VLOOKUP($H210,Adders!$B$5:$G$8,M$11,FALSE)  +  OH!$D$2 ) * IF($D210="NJ",1.07,1))/$L$10, CHOOSE($M$10,$L$9,$M$9) )</f>
        <v xml:space="preserve"> 30.78 </v>
      </c>
      <c r="N210" s="174" t="str">
        <f>TEXT(   (SUMPRODUCT( ((LMPMain!$H$9:$H$1000)=$E210)*((LMPMain!$J$9:$J$1000)=$F210)*((LMPMain!$O$9:$O$1000)=$C210)*(LMPMain!T$9:T$1000) ) +  ( SUMPRODUCT( ((Adders!$D$13:$D$101)=$E210)*((Adders!$E$13:$E$101)=$F210)*(Adders!H$13:H$101)) + VLOOKUP($H210,Adders!$B$5:$G$8,N$11,FALSE)  +  OH!$D$2 ) * IF($D210="NJ",1.07,1))/$L$10, CHOOSE($M$10,$L$9,$M$9) )</f>
        <v xml:space="preserve"> 29.50 </v>
      </c>
      <c r="O210" s="112"/>
    </row>
    <row r="211" spans="2:15" x14ac:dyDescent="0.25">
      <c r="B211" s="108"/>
      <c r="C211" s="135">
        <f t="shared" si="5"/>
        <v>42309</v>
      </c>
      <c r="D211" s="136" t="s">
        <v>20</v>
      </c>
      <c r="E211" s="137" t="s">
        <v>64</v>
      </c>
      <c r="F211" s="136" t="s">
        <v>7</v>
      </c>
      <c r="G211" s="137" t="str">
        <f t="shared" si="6"/>
        <v>General Service</v>
      </c>
      <c r="H211" s="138" t="s">
        <v>690</v>
      </c>
      <c r="I211" s="175" t="str">
        <f>TEXT(   (SUMPRODUCT( ((Main!$H$9:$H$1000)=$E211)*((Main!$J$9:$J$1000)=$F211)*((Main!$O$9:$O$1000)=$C211)*(Main!R$9:R$1000) ) +  ( SUMPRODUCT( ((Adders!$D$13:$D$101)=$E211)*((Adders!$E$13:$E$101)=$F211)*(Adders!G$13:G$101)) + VLOOKUP($H211,Adders!$B$5:$G$8,L$11,FALSE)  +  OH!$D$2 ) * IF($D211="NJ",1.07,1))/$L$10, CHOOSE($M$10,$L$9,$M$9) )</f>
        <v xml:space="preserve"> 76.40 </v>
      </c>
      <c r="J211" s="176" t="str">
        <f>TEXT(   (SUMPRODUCT( ((Main!$H$9:$H$1000)=$E211)*((Main!$J$9:$J$1000)=$F211)*((Main!$O$9:$O$1000)=$C211)*(Main!S$9:S$1000) ) +  ( SUMPRODUCT( ((Adders!$D$13:$D$101)=$E211)*((Adders!$E$13:$E$101)=$F211)*(Adders!H$13:H$101)) + VLOOKUP($H211,Adders!$B$5:$G$8,M$11,FALSE)  +  OH!$D$2 ) * IF($D211="NJ",1.07,1))/$L$10, CHOOSE($M$10,$L$9,$M$9) )</f>
        <v xml:space="preserve"> 72.44 </v>
      </c>
      <c r="K211" s="177" t="str">
        <f>TEXT(   (SUMPRODUCT( ((Main!$H$9:$H$1000)=$E211)*((Main!$J$9:$J$1000)=$F211)*((Main!$O$9:$O$1000)=$C211)*(Main!T$9:T$1000) ) +  ( SUMPRODUCT( ((Adders!$D$13:$D$101)=$E211)*((Adders!$E$13:$E$101)=$F211)*(Adders!I$13:I$101)) + VLOOKUP($H211,Adders!$B$5:$G$8,$N$11,FALSE)  +  OH!$D$2 ) * IF($D211="NJ",1.07,1))/$L$10, CHOOSE($M$10,$L$9,$M$9) )</f>
        <v xml:space="preserve"> 71.45 </v>
      </c>
      <c r="L211" s="175" t="str">
        <f>TEXT(   (SUMPRODUCT( ((LMPMain!$H$9:$H$1000)=$E211)*((LMPMain!$J$9:$J$1000)=$F211)*((LMPMain!$O$9:$O$1000)=$C211)*(LMPMain!R$9:R$1000) ) +  ( SUMPRODUCT( ((Adders!$D$13:$D$101)=$E211)*((Adders!$E$13:$E$101)=$F211)*(Adders!F$13:F$101)) + VLOOKUP($H211,Adders!$B$5:$G$8,L$11,FALSE)  +  OH!$D$2 ) * IF($D211="NJ",1.07,1))/$L$10, CHOOSE($M$10,$L$9,$M$9) )</f>
        <v xml:space="preserve"> 33.97 </v>
      </c>
      <c r="M211" s="176" t="str">
        <f>TEXT(   (SUMPRODUCT( ((LMPMain!$H$9:$H$1000)=$E211)*((LMPMain!$J$9:$J$1000)=$F211)*((LMPMain!$O$9:$O$1000)=$C211)*(LMPMain!S$9:S$1000) ) +  ( SUMPRODUCT( ((Adders!$D$13:$D$101)=$E211)*((Adders!$E$13:$E$101)=$F211)*(Adders!G$13:G$101)) + VLOOKUP($H211,Adders!$B$5:$G$8,M$11,FALSE)  +  OH!$D$2 ) * IF($D211="NJ",1.07,1))/$L$10, CHOOSE($M$10,$L$9,$M$9) )</f>
        <v xml:space="preserve"> 29.73 </v>
      </c>
      <c r="N211" s="177" t="str">
        <f>TEXT(   (SUMPRODUCT( ((LMPMain!$H$9:$H$1000)=$E211)*((LMPMain!$J$9:$J$1000)=$F211)*((LMPMain!$O$9:$O$1000)=$C211)*(LMPMain!T$9:T$1000) ) +  ( SUMPRODUCT( ((Adders!$D$13:$D$101)=$E211)*((Adders!$E$13:$E$101)=$F211)*(Adders!H$13:H$101)) + VLOOKUP($H211,Adders!$B$5:$G$8,N$11,FALSE)  +  OH!$D$2 ) * IF($D211="NJ",1.07,1))/$L$10, CHOOSE($M$10,$L$9,$M$9) )</f>
        <v xml:space="preserve"> 28.45 </v>
      </c>
      <c r="O211" s="112"/>
    </row>
    <row r="212" spans="2:15" x14ac:dyDescent="0.25">
      <c r="B212" s="108"/>
      <c r="C212" s="127">
        <f t="shared" si="5"/>
        <v>42339</v>
      </c>
      <c r="D212" s="128" t="s">
        <v>20</v>
      </c>
      <c r="E212" s="129" t="s">
        <v>64</v>
      </c>
      <c r="F212" s="128" t="s">
        <v>7</v>
      </c>
      <c r="G212" s="129" t="str">
        <f t="shared" si="6"/>
        <v>General Service</v>
      </c>
      <c r="H212" s="130" t="s">
        <v>61</v>
      </c>
      <c r="I212" s="180" t="str">
        <f>TEXT(   (SUMPRODUCT( ((Main!$H$9:$H$1000)=$E212)*((Main!$J$9:$J$1000)=$F212)*((Main!$O$9:$O$1000)=$C212)*(Main!R$9:R$1000) ) +  ( SUMPRODUCT( ((Adders!$D$13:$D$101)=$E212)*((Adders!$E$13:$E$101)=$F212)*(Adders!G$13:G$101)) + VLOOKUP($H212,Adders!$B$5:$G$8,L$11,FALSE)  +  OH!$D$2 ) * IF($D212="NJ",1.07,1))/$L$10, CHOOSE($M$10,$L$9,$M$9) )</f>
        <v xml:space="preserve"> 77.31 </v>
      </c>
      <c r="J212" s="178" t="str">
        <f>TEXT(   (SUMPRODUCT( ((Main!$H$9:$H$1000)=$E212)*((Main!$J$9:$J$1000)=$F212)*((Main!$O$9:$O$1000)=$C212)*(Main!S$9:S$1000) ) +  ( SUMPRODUCT( ((Adders!$D$13:$D$101)=$E212)*((Adders!$E$13:$E$101)=$F212)*(Adders!H$13:H$101)) + VLOOKUP($H212,Adders!$B$5:$G$8,M$11,FALSE)  +  OH!$D$2 ) * IF($D212="NJ",1.07,1))/$L$10, CHOOSE($M$10,$L$9,$M$9) )</f>
        <v xml:space="preserve"> 74.10 </v>
      </c>
      <c r="K212" s="179" t="str">
        <f>TEXT(   (SUMPRODUCT( ((Main!$H$9:$H$1000)=$E212)*((Main!$J$9:$J$1000)=$F212)*((Main!$O$9:$O$1000)=$C212)*(Main!T$9:T$1000) ) +  ( SUMPRODUCT( ((Adders!$D$13:$D$101)=$E212)*((Adders!$E$13:$E$101)=$F212)*(Adders!I$13:I$101)) + VLOOKUP($H212,Adders!$B$5:$G$8,$N$11,FALSE)  +  OH!$D$2 ) * IF($D212="NJ",1.07,1))/$L$10, CHOOSE($M$10,$L$9,$M$9) )</f>
        <v xml:space="preserve"> 73.43 </v>
      </c>
      <c r="L212" s="180" t="str">
        <f>TEXT(   (SUMPRODUCT( ((LMPMain!$H$9:$H$1000)=$E212)*((LMPMain!$J$9:$J$1000)=$F212)*((LMPMain!$O$9:$O$1000)=$C212)*(LMPMain!R$9:R$1000) ) +  ( SUMPRODUCT( ((Adders!$D$13:$D$101)=$E212)*((Adders!$E$13:$E$101)=$F212)*(Adders!F$13:F$101)) + VLOOKUP($H212,Adders!$B$5:$G$8,L$11,FALSE)  +  OH!$D$2 ) * IF($D212="NJ",1.07,1))/$L$10, CHOOSE($M$10,$L$9,$M$9) )</f>
        <v xml:space="preserve"> 34.83 </v>
      </c>
      <c r="M212" s="178" t="str">
        <f>TEXT(   (SUMPRODUCT( ((LMPMain!$H$9:$H$1000)=$E212)*((LMPMain!$J$9:$J$1000)=$F212)*((LMPMain!$O$9:$O$1000)=$C212)*(LMPMain!S$9:S$1000) ) +  ( SUMPRODUCT( ((Adders!$D$13:$D$101)=$E212)*((Adders!$E$13:$E$101)=$F212)*(Adders!G$13:G$101)) + VLOOKUP($H212,Adders!$B$5:$G$8,M$11,FALSE)  +  OH!$D$2 ) * IF($D212="NJ",1.07,1))/$L$10, CHOOSE($M$10,$L$9,$M$9) )</f>
        <v xml:space="preserve"> 31.26 </v>
      </c>
      <c r="N212" s="179" t="str">
        <f>TEXT(   (SUMPRODUCT( ((LMPMain!$H$9:$H$1000)=$E212)*((LMPMain!$J$9:$J$1000)=$F212)*((LMPMain!$O$9:$O$1000)=$C212)*(LMPMain!T$9:T$1000) ) +  ( SUMPRODUCT( ((Adders!$D$13:$D$101)=$E212)*((Adders!$E$13:$E$101)=$F212)*(Adders!H$13:H$101)) + VLOOKUP($H212,Adders!$B$5:$G$8,N$11,FALSE)  +  OH!$D$2 ) * IF($D212="NJ",1.07,1))/$L$10, CHOOSE($M$10,$L$9,$M$9) )</f>
        <v xml:space="preserve"> 30.38 </v>
      </c>
      <c r="O212" s="112"/>
    </row>
    <row r="213" spans="2:15" x14ac:dyDescent="0.25">
      <c r="B213" s="108"/>
      <c r="C213" s="131">
        <f t="shared" si="5"/>
        <v>42339</v>
      </c>
      <c r="D213" s="132" t="s">
        <v>20</v>
      </c>
      <c r="E213" s="133" t="s">
        <v>64</v>
      </c>
      <c r="F213" s="132" t="s">
        <v>7</v>
      </c>
      <c r="G213" s="133" t="str">
        <f t="shared" si="6"/>
        <v>General Service</v>
      </c>
      <c r="H213" s="134" t="s">
        <v>62</v>
      </c>
      <c r="I213" s="172" t="str">
        <f>TEXT(   (SUMPRODUCT( ((Main!$H$9:$H$1000)=$E213)*((Main!$J$9:$J$1000)=$F213)*((Main!$O$9:$O$1000)=$C213)*(Main!R$9:R$1000) ) +  ( SUMPRODUCT( ((Adders!$D$13:$D$101)=$E213)*((Adders!$E$13:$E$101)=$F213)*(Adders!G$13:G$101)) + VLOOKUP($H213,Adders!$B$5:$G$8,L$11,FALSE)  +  OH!$D$2 ) * IF($D213="NJ",1.07,1))/$L$10, CHOOSE($M$10,$L$9,$M$9) )</f>
        <v xml:space="preserve"> 75.71 </v>
      </c>
      <c r="J213" s="173" t="str">
        <f>TEXT(   (SUMPRODUCT( ((Main!$H$9:$H$1000)=$E213)*((Main!$J$9:$J$1000)=$F213)*((Main!$O$9:$O$1000)=$C213)*(Main!S$9:S$1000) ) +  ( SUMPRODUCT( ((Adders!$D$13:$D$101)=$E213)*((Adders!$E$13:$E$101)=$F213)*(Adders!H$13:H$101)) + VLOOKUP($H213,Adders!$B$5:$G$8,M$11,FALSE)  +  OH!$D$2 ) * IF($D213="NJ",1.07,1))/$L$10, CHOOSE($M$10,$L$9,$M$9) )</f>
        <v xml:space="preserve"> 72.50 </v>
      </c>
      <c r="K213" s="174" t="str">
        <f>TEXT(   (SUMPRODUCT( ((Main!$H$9:$H$1000)=$E213)*((Main!$J$9:$J$1000)=$F213)*((Main!$O$9:$O$1000)=$C213)*(Main!T$9:T$1000) ) +  ( SUMPRODUCT( ((Adders!$D$13:$D$101)=$E213)*((Adders!$E$13:$E$101)=$F213)*(Adders!I$13:I$101)) + VLOOKUP($H213,Adders!$B$5:$G$8,$N$11,FALSE)  +  OH!$D$2 ) * IF($D213="NJ",1.07,1))/$L$10, CHOOSE($M$10,$L$9,$M$9) )</f>
        <v xml:space="preserve"> 71.83 </v>
      </c>
      <c r="L213" s="172" t="str">
        <f>TEXT(   (SUMPRODUCT( ((LMPMain!$H$9:$H$1000)=$E213)*((LMPMain!$J$9:$J$1000)=$F213)*((LMPMain!$O$9:$O$1000)=$C213)*(LMPMain!R$9:R$1000) ) +  ( SUMPRODUCT( ((Adders!$D$13:$D$101)=$E213)*((Adders!$E$13:$E$101)=$F213)*(Adders!F$13:F$101)) + VLOOKUP($H213,Adders!$B$5:$G$8,L$11,FALSE)  +  OH!$D$2 ) * IF($D213="NJ",1.07,1))/$L$10, CHOOSE($M$10,$L$9,$M$9) )</f>
        <v xml:space="preserve"> 33.23 </v>
      </c>
      <c r="M213" s="173" t="str">
        <f>TEXT(   (SUMPRODUCT( ((LMPMain!$H$9:$H$1000)=$E213)*((LMPMain!$J$9:$J$1000)=$F213)*((LMPMain!$O$9:$O$1000)=$C213)*(LMPMain!S$9:S$1000) ) +  ( SUMPRODUCT( ((Adders!$D$13:$D$101)=$E213)*((Adders!$E$13:$E$101)=$F213)*(Adders!G$13:G$101)) + VLOOKUP($H213,Adders!$B$5:$G$8,M$11,FALSE)  +  OH!$D$2 ) * IF($D213="NJ",1.07,1))/$L$10, CHOOSE($M$10,$L$9,$M$9) )</f>
        <v xml:space="preserve"> 29.66 </v>
      </c>
      <c r="N213" s="174" t="str">
        <f>TEXT(   (SUMPRODUCT( ((LMPMain!$H$9:$H$1000)=$E213)*((LMPMain!$J$9:$J$1000)=$F213)*((LMPMain!$O$9:$O$1000)=$C213)*(LMPMain!T$9:T$1000) ) +  ( SUMPRODUCT( ((Adders!$D$13:$D$101)=$E213)*((Adders!$E$13:$E$101)=$F213)*(Adders!H$13:H$101)) + VLOOKUP($H213,Adders!$B$5:$G$8,N$11,FALSE)  +  OH!$D$2 ) * IF($D213="NJ",1.07,1))/$L$10, CHOOSE($M$10,$L$9,$M$9) )</f>
        <v xml:space="preserve"> 28.78 </v>
      </c>
      <c r="O213" s="112"/>
    </row>
    <row r="214" spans="2:15" x14ac:dyDescent="0.25">
      <c r="B214" s="108"/>
      <c r="C214" s="135">
        <f t="shared" si="5"/>
        <v>42339</v>
      </c>
      <c r="D214" s="136" t="s">
        <v>20</v>
      </c>
      <c r="E214" s="137" t="s">
        <v>64</v>
      </c>
      <c r="F214" s="136" t="s">
        <v>7</v>
      </c>
      <c r="G214" s="137" t="str">
        <f t="shared" si="6"/>
        <v>General Service</v>
      </c>
      <c r="H214" s="138" t="s">
        <v>690</v>
      </c>
      <c r="I214" s="175" t="str">
        <f>TEXT(   (SUMPRODUCT( ((Main!$H$9:$H$1000)=$E214)*((Main!$J$9:$J$1000)=$F214)*((Main!$O$9:$O$1000)=$C214)*(Main!R$9:R$1000) ) +  ( SUMPRODUCT( ((Adders!$D$13:$D$101)=$E214)*((Adders!$E$13:$E$101)=$F214)*(Adders!G$13:G$101)) + VLOOKUP($H214,Adders!$B$5:$G$8,L$11,FALSE)  +  OH!$D$2 ) * IF($D214="NJ",1.07,1))/$L$10, CHOOSE($M$10,$L$9,$M$9) )</f>
        <v xml:space="preserve"> 74.66 </v>
      </c>
      <c r="J214" s="176" t="str">
        <f>TEXT(   (SUMPRODUCT( ((Main!$H$9:$H$1000)=$E214)*((Main!$J$9:$J$1000)=$F214)*((Main!$O$9:$O$1000)=$C214)*(Main!S$9:S$1000) ) +  ( SUMPRODUCT( ((Adders!$D$13:$D$101)=$E214)*((Adders!$E$13:$E$101)=$F214)*(Adders!H$13:H$101)) + VLOOKUP($H214,Adders!$B$5:$G$8,M$11,FALSE)  +  OH!$D$2 ) * IF($D214="NJ",1.07,1))/$L$10, CHOOSE($M$10,$L$9,$M$9) )</f>
        <v xml:space="preserve"> 71.45 </v>
      </c>
      <c r="K214" s="177" t="str">
        <f>TEXT(   (SUMPRODUCT( ((Main!$H$9:$H$1000)=$E214)*((Main!$J$9:$J$1000)=$F214)*((Main!$O$9:$O$1000)=$C214)*(Main!T$9:T$1000) ) +  ( SUMPRODUCT( ((Adders!$D$13:$D$101)=$E214)*((Adders!$E$13:$E$101)=$F214)*(Adders!I$13:I$101)) + VLOOKUP($H214,Adders!$B$5:$G$8,$N$11,FALSE)  +  OH!$D$2 ) * IF($D214="NJ",1.07,1))/$L$10, CHOOSE($M$10,$L$9,$M$9) )</f>
        <v xml:space="preserve"> 70.78 </v>
      </c>
      <c r="L214" s="175" t="str">
        <f>TEXT(   (SUMPRODUCT( ((LMPMain!$H$9:$H$1000)=$E214)*((LMPMain!$J$9:$J$1000)=$F214)*((LMPMain!$O$9:$O$1000)=$C214)*(LMPMain!R$9:R$1000) ) +  ( SUMPRODUCT( ((Adders!$D$13:$D$101)=$E214)*((Adders!$E$13:$E$101)=$F214)*(Adders!F$13:F$101)) + VLOOKUP($H214,Adders!$B$5:$G$8,L$11,FALSE)  +  OH!$D$2 ) * IF($D214="NJ",1.07,1))/$L$10, CHOOSE($M$10,$L$9,$M$9) )</f>
        <v xml:space="preserve"> 32.18 </v>
      </c>
      <c r="M214" s="176" t="str">
        <f>TEXT(   (SUMPRODUCT( ((LMPMain!$H$9:$H$1000)=$E214)*((LMPMain!$J$9:$J$1000)=$F214)*((LMPMain!$O$9:$O$1000)=$C214)*(LMPMain!S$9:S$1000) ) +  ( SUMPRODUCT( ((Adders!$D$13:$D$101)=$E214)*((Adders!$E$13:$E$101)=$F214)*(Adders!G$13:G$101)) + VLOOKUP($H214,Adders!$B$5:$G$8,M$11,FALSE)  +  OH!$D$2 ) * IF($D214="NJ",1.07,1))/$L$10, CHOOSE($M$10,$L$9,$M$9) )</f>
        <v xml:space="preserve"> 28.61 </v>
      </c>
      <c r="N214" s="177" t="str">
        <f>TEXT(   (SUMPRODUCT( ((LMPMain!$H$9:$H$1000)=$E214)*((LMPMain!$J$9:$J$1000)=$F214)*((LMPMain!$O$9:$O$1000)=$C214)*(LMPMain!T$9:T$1000) ) +  ( SUMPRODUCT( ((Adders!$D$13:$D$101)=$E214)*((Adders!$E$13:$E$101)=$F214)*(Adders!H$13:H$101)) + VLOOKUP($H214,Adders!$B$5:$G$8,N$11,FALSE)  +  OH!$D$2 ) * IF($D214="NJ",1.07,1))/$L$10, CHOOSE($M$10,$L$9,$M$9) )</f>
        <v xml:space="preserve"> 27.73 </v>
      </c>
      <c r="O214" s="112"/>
    </row>
    <row r="215" spans="2:15" x14ac:dyDescent="0.25">
      <c r="B215" s="108"/>
      <c r="C215" s="127">
        <f t="shared" si="5"/>
        <v>42370</v>
      </c>
      <c r="D215" s="128" t="s">
        <v>20</v>
      </c>
      <c r="E215" s="129" t="s">
        <v>64</v>
      </c>
      <c r="F215" s="128" t="s">
        <v>7</v>
      </c>
      <c r="G215" s="129" t="str">
        <f t="shared" si="6"/>
        <v>General Service</v>
      </c>
      <c r="H215" s="130" t="s">
        <v>61</v>
      </c>
      <c r="I215" s="180" t="str">
        <f>TEXT(   (SUMPRODUCT( ((Main!$H$9:$H$1000)=$E215)*((Main!$J$9:$J$1000)=$F215)*((Main!$O$9:$O$1000)=$C215)*(Main!R$9:R$1000) ) +  ( SUMPRODUCT( ((Adders!$D$13:$D$101)=$E215)*((Adders!$E$13:$E$101)=$F215)*(Adders!G$13:G$101)) + VLOOKUP($H215,Adders!$B$5:$G$8,L$11,FALSE)  +  OH!$D$2 ) * IF($D215="NJ",1.07,1))/$L$10, CHOOSE($M$10,$L$9,$M$9) )</f>
        <v xml:space="preserve"> 75.41 </v>
      </c>
      <c r="J215" s="178" t="str">
        <f>TEXT(   (SUMPRODUCT( ((Main!$H$9:$H$1000)=$E215)*((Main!$J$9:$J$1000)=$F215)*((Main!$O$9:$O$1000)=$C215)*(Main!S$9:S$1000) ) +  ( SUMPRODUCT( ((Adders!$D$13:$D$101)=$E215)*((Adders!$E$13:$E$101)=$F215)*(Adders!H$13:H$101)) + VLOOKUP($H215,Adders!$B$5:$G$8,M$11,FALSE)  +  OH!$D$2 ) * IF($D215="NJ",1.07,1))/$L$10, CHOOSE($M$10,$L$9,$M$9) )</f>
        <v xml:space="preserve"> 73.32 </v>
      </c>
      <c r="K215" s="179" t="str">
        <f>TEXT(   (SUMPRODUCT( ((Main!$H$9:$H$1000)=$E215)*((Main!$J$9:$J$1000)=$F215)*((Main!$O$9:$O$1000)=$C215)*(Main!T$9:T$1000) ) +  ( SUMPRODUCT( ((Adders!$D$13:$D$101)=$E215)*((Adders!$E$13:$E$101)=$F215)*(Adders!I$13:I$101)) + VLOOKUP($H215,Adders!$B$5:$G$8,$N$11,FALSE)  +  OH!$D$2 ) * IF($D215="NJ",1.07,1))/$L$10, CHOOSE($M$10,$L$9,$M$9) )</f>
        <v xml:space="preserve"> 72.64 </v>
      </c>
      <c r="L215" s="180" t="str">
        <f>TEXT(   (SUMPRODUCT( ((LMPMain!$H$9:$H$1000)=$E215)*((LMPMain!$J$9:$J$1000)=$F215)*((LMPMain!$O$9:$O$1000)=$C215)*(LMPMain!R$9:R$1000) ) +  ( SUMPRODUCT( ((Adders!$D$13:$D$101)=$E215)*((Adders!$E$13:$E$101)=$F215)*(Adders!F$13:F$101)) + VLOOKUP($H215,Adders!$B$5:$G$8,L$11,FALSE)  +  OH!$D$2 ) * IF($D215="NJ",1.07,1))/$L$10, CHOOSE($M$10,$L$9,$M$9) )</f>
        <v xml:space="preserve"> 33.01 </v>
      </c>
      <c r="M215" s="178" t="str">
        <f>TEXT(   (SUMPRODUCT( ((LMPMain!$H$9:$H$1000)=$E215)*((LMPMain!$J$9:$J$1000)=$F215)*((LMPMain!$O$9:$O$1000)=$C215)*(LMPMain!S$9:S$1000) ) +  ( SUMPRODUCT( ((Adders!$D$13:$D$101)=$E215)*((Adders!$E$13:$E$101)=$F215)*(Adders!G$13:G$101)) + VLOOKUP($H215,Adders!$B$5:$G$8,M$11,FALSE)  +  OH!$D$2 ) * IF($D215="NJ",1.07,1))/$L$10, CHOOSE($M$10,$L$9,$M$9) )</f>
        <v xml:space="preserve"> 30.27 </v>
      </c>
      <c r="N215" s="179" t="str">
        <f>TEXT(   (SUMPRODUCT( ((LMPMain!$H$9:$H$1000)=$E215)*((LMPMain!$J$9:$J$1000)=$F215)*((LMPMain!$O$9:$O$1000)=$C215)*(LMPMain!T$9:T$1000) ) +  ( SUMPRODUCT( ((Adders!$D$13:$D$101)=$E215)*((Adders!$E$13:$E$101)=$F215)*(Adders!H$13:H$101)) + VLOOKUP($H215,Adders!$B$5:$G$8,N$11,FALSE)  +  OH!$D$2 ) * IF($D215="NJ",1.07,1))/$L$10, CHOOSE($M$10,$L$9,$M$9) )</f>
        <v xml:space="preserve"> 29.62 </v>
      </c>
      <c r="O215" s="112"/>
    </row>
    <row r="216" spans="2:15" x14ac:dyDescent="0.25">
      <c r="B216" s="108"/>
      <c r="C216" s="131">
        <f t="shared" si="5"/>
        <v>42370</v>
      </c>
      <c r="D216" s="132" t="s">
        <v>20</v>
      </c>
      <c r="E216" s="133" t="s">
        <v>64</v>
      </c>
      <c r="F216" s="132" t="s">
        <v>7</v>
      </c>
      <c r="G216" s="133" t="str">
        <f t="shared" si="6"/>
        <v>General Service</v>
      </c>
      <c r="H216" s="134" t="s">
        <v>62</v>
      </c>
      <c r="I216" s="172" t="str">
        <f>TEXT(   (SUMPRODUCT( ((Main!$H$9:$H$1000)=$E216)*((Main!$J$9:$J$1000)=$F216)*((Main!$O$9:$O$1000)=$C216)*(Main!R$9:R$1000) ) +  ( SUMPRODUCT( ((Adders!$D$13:$D$101)=$E216)*((Adders!$E$13:$E$101)=$F216)*(Adders!G$13:G$101)) + VLOOKUP($H216,Adders!$B$5:$G$8,L$11,FALSE)  +  OH!$D$2 ) * IF($D216="NJ",1.07,1))/$L$10, CHOOSE($M$10,$L$9,$M$9) )</f>
        <v xml:space="preserve"> 73.81 </v>
      </c>
      <c r="J216" s="173" t="str">
        <f>TEXT(   (SUMPRODUCT( ((Main!$H$9:$H$1000)=$E216)*((Main!$J$9:$J$1000)=$F216)*((Main!$O$9:$O$1000)=$C216)*(Main!S$9:S$1000) ) +  ( SUMPRODUCT( ((Adders!$D$13:$D$101)=$E216)*((Adders!$E$13:$E$101)=$F216)*(Adders!H$13:H$101)) + VLOOKUP($H216,Adders!$B$5:$G$8,M$11,FALSE)  +  OH!$D$2 ) * IF($D216="NJ",1.07,1))/$L$10, CHOOSE($M$10,$L$9,$M$9) )</f>
        <v xml:space="preserve"> 71.72 </v>
      </c>
      <c r="K216" s="174" t="str">
        <f>TEXT(   (SUMPRODUCT( ((Main!$H$9:$H$1000)=$E216)*((Main!$J$9:$J$1000)=$F216)*((Main!$O$9:$O$1000)=$C216)*(Main!T$9:T$1000) ) +  ( SUMPRODUCT( ((Adders!$D$13:$D$101)=$E216)*((Adders!$E$13:$E$101)=$F216)*(Adders!I$13:I$101)) + VLOOKUP($H216,Adders!$B$5:$G$8,$N$11,FALSE)  +  OH!$D$2 ) * IF($D216="NJ",1.07,1))/$L$10, CHOOSE($M$10,$L$9,$M$9) )</f>
        <v xml:space="preserve"> 71.04 </v>
      </c>
      <c r="L216" s="172" t="str">
        <f>TEXT(   (SUMPRODUCT( ((LMPMain!$H$9:$H$1000)=$E216)*((LMPMain!$J$9:$J$1000)=$F216)*((LMPMain!$O$9:$O$1000)=$C216)*(LMPMain!R$9:R$1000) ) +  ( SUMPRODUCT( ((Adders!$D$13:$D$101)=$E216)*((Adders!$E$13:$E$101)=$F216)*(Adders!F$13:F$101)) + VLOOKUP($H216,Adders!$B$5:$G$8,L$11,FALSE)  +  OH!$D$2 ) * IF($D216="NJ",1.07,1))/$L$10, CHOOSE($M$10,$L$9,$M$9) )</f>
        <v xml:space="preserve"> 31.41 </v>
      </c>
      <c r="M216" s="173" t="str">
        <f>TEXT(   (SUMPRODUCT( ((LMPMain!$H$9:$H$1000)=$E216)*((LMPMain!$J$9:$J$1000)=$F216)*((LMPMain!$O$9:$O$1000)=$C216)*(LMPMain!S$9:S$1000) ) +  ( SUMPRODUCT( ((Adders!$D$13:$D$101)=$E216)*((Adders!$E$13:$E$101)=$F216)*(Adders!G$13:G$101)) + VLOOKUP($H216,Adders!$B$5:$G$8,M$11,FALSE)  +  OH!$D$2 ) * IF($D216="NJ",1.07,1))/$L$10, CHOOSE($M$10,$L$9,$M$9) )</f>
        <v xml:space="preserve"> 28.67 </v>
      </c>
      <c r="N216" s="174" t="str">
        <f>TEXT(   (SUMPRODUCT( ((LMPMain!$H$9:$H$1000)=$E216)*((LMPMain!$J$9:$J$1000)=$F216)*((LMPMain!$O$9:$O$1000)=$C216)*(LMPMain!T$9:T$1000) ) +  ( SUMPRODUCT( ((Adders!$D$13:$D$101)=$E216)*((Adders!$E$13:$E$101)=$F216)*(Adders!H$13:H$101)) + VLOOKUP($H216,Adders!$B$5:$G$8,N$11,FALSE)  +  OH!$D$2 ) * IF($D216="NJ",1.07,1))/$L$10, CHOOSE($M$10,$L$9,$M$9) )</f>
        <v xml:space="preserve"> 28.02 </v>
      </c>
      <c r="O216" s="112"/>
    </row>
    <row r="217" spans="2:15" x14ac:dyDescent="0.25">
      <c r="B217" s="108"/>
      <c r="C217" s="135">
        <f t="shared" si="5"/>
        <v>42370</v>
      </c>
      <c r="D217" s="136" t="s">
        <v>20</v>
      </c>
      <c r="E217" s="137" t="s">
        <v>64</v>
      </c>
      <c r="F217" s="136" t="s">
        <v>7</v>
      </c>
      <c r="G217" s="137" t="str">
        <f t="shared" si="6"/>
        <v>General Service</v>
      </c>
      <c r="H217" s="138" t="s">
        <v>690</v>
      </c>
      <c r="I217" s="175" t="str">
        <f>TEXT(   (SUMPRODUCT( ((Main!$H$9:$H$1000)=$E217)*((Main!$J$9:$J$1000)=$F217)*((Main!$O$9:$O$1000)=$C217)*(Main!R$9:R$1000) ) +  ( SUMPRODUCT( ((Adders!$D$13:$D$101)=$E217)*((Adders!$E$13:$E$101)=$F217)*(Adders!G$13:G$101)) + VLOOKUP($H217,Adders!$B$5:$G$8,L$11,FALSE)  +  OH!$D$2 ) * IF($D217="NJ",1.07,1))/$L$10, CHOOSE($M$10,$L$9,$M$9) )</f>
        <v xml:space="preserve"> 72.76 </v>
      </c>
      <c r="J217" s="176" t="str">
        <f>TEXT(   (SUMPRODUCT( ((Main!$H$9:$H$1000)=$E217)*((Main!$J$9:$J$1000)=$F217)*((Main!$O$9:$O$1000)=$C217)*(Main!S$9:S$1000) ) +  ( SUMPRODUCT( ((Adders!$D$13:$D$101)=$E217)*((Adders!$E$13:$E$101)=$F217)*(Adders!H$13:H$101)) + VLOOKUP($H217,Adders!$B$5:$G$8,M$11,FALSE)  +  OH!$D$2 ) * IF($D217="NJ",1.07,1))/$L$10, CHOOSE($M$10,$L$9,$M$9) )</f>
        <v xml:space="preserve"> 70.67 </v>
      </c>
      <c r="K217" s="177" t="str">
        <f>TEXT(   (SUMPRODUCT( ((Main!$H$9:$H$1000)=$E217)*((Main!$J$9:$J$1000)=$F217)*((Main!$O$9:$O$1000)=$C217)*(Main!T$9:T$1000) ) +  ( SUMPRODUCT( ((Adders!$D$13:$D$101)=$E217)*((Adders!$E$13:$E$101)=$F217)*(Adders!I$13:I$101)) + VLOOKUP($H217,Adders!$B$5:$G$8,$N$11,FALSE)  +  OH!$D$2 ) * IF($D217="NJ",1.07,1))/$L$10, CHOOSE($M$10,$L$9,$M$9) )</f>
        <v xml:space="preserve"> 69.99 </v>
      </c>
      <c r="L217" s="175" t="str">
        <f>TEXT(   (SUMPRODUCT( ((LMPMain!$H$9:$H$1000)=$E217)*((LMPMain!$J$9:$J$1000)=$F217)*((LMPMain!$O$9:$O$1000)=$C217)*(LMPMain!R$9:R$1000) ) +  ( SUMPRODUCT( ((Adders!$D$13:$D$101)=$E217)*((Adders!$E$13:$E$101)=$F217)*(Adders!F$13:F$101)) + VLOOKUP($H217,Adders!$B$5:$G$8,L$11,FALSE)  +  OH!$D$2 ) * IF($D217="NJ",1.07,1))/$L$10, CHOOSE($M$10,$L$9,$M$9) )</f>
        <v xml:space="preserve"> 30.36 </v>
      </c>
      <c r="M217" s="176" t="str">
        <f>TEXT(   (SUMPRODUCT( ((LMPMain!$H$9:$H$1000)=$E217)*((LMPMain!$J$9:$J$1000)=$F217)*((LMPMain!$O$9:$O$1000)=$C217)*(LMPMain!S$9:S$1000) ) +  ( SUMPRODUCT( ((Adders!$D$13:$D$101)=$E217)*((Adders!$E$13:$E$101)=$F217)*(Adders!G$13:G$101)) + VLOOKUP($H217,Adders!$B$5:$G$8,M$11,FALSE)  +  OH!$D$2 ) * IF($D217="NJ",1.07,1))/$L$10, CHOOSE($M$10,$L$9,$M$9) )</f>
        <v xml:space="preserve"> 27.62 </v>
      </c>
      <c r="N217" s="177" t="str">
        <f>TEXT(   (SUMPRODUCT( ((LMPMain!$H$9:$H$1000)=$E217)*((LMPMain!$J$9:$J$1000)=$F217)*((LMPMain!$O$9:$O$1000)=$C217)*(LMPMain!T$9:T$1000) ) +  ( SUMPRODUCT( ((Adders!$D$13:$D$101)=$E217)*((Adders!$E$13:$E$101)=$F217)*(Adders!H$13:H$101)) + VLOOKUP($H217,Adders!$B$5:$G$8,N$11,FALSE)  +  OH!$D$2 ) * IF($D217="NJ",1.07,1))/$L$10, CHOOSE($M$10,$L$9,$M$9) )</f>
        <v xml:space="preserve"> 26.97 </v>
      </c>
      <c r="O217" s="112"/>
    </row>
    <row r="218" spans="2:15" x14ac:dyDescent="0.25">
      <c r="B218" s="108"/>
      <c r="C218" s="127">
        <f t="shared" si="5"/>
        <v>42401</v>
      </c>
      <c r="D218" s="128" t="s">
        <v>20</v>
      </c>
      <c r="E218" s="129" t="s">
        <v>64</v>
      </c>
      <c r="F218" s="128" t="s">
        <v>7</v>
      </c>
      <c r="G218" s="129" t="str">
        <f t="shared" si="6"/>
        <v>General Service</v>
      </c>
      <c r="H218" s="130" t="s">
        <v>61</v>
      </c>
      <c r="I218" s="180" t="str">
        <f>TEXT(   (SUMPRODUCT( ((Main!$H$9:$H$1000)=$E218)*((Main!$J$9:$J$1000)=$F218)*((Main!$O$9:$O$1000)=$C218)*(Main!R$9:R$1000) ) +  ( SUMPRODUCT( ((Adders!$D$13:$D$101)=$E218)*((Adders!$E$13:$E$101)=$F218)*(Adders!G$13:G$101)) + VLOOKUP($H218,Adders!$B$5:$G$8,L$11,FALSE)  +  OH!$D$2 ) * IF($D218="NJ",1.07,1))/$L$10, CHOOSE($M$10,$L$9,$M$9) )</f>
        <v xml:space="preserve"> 73.94 </v>
      </c>
      <c r="J218" s="178" t="str">
        <f>TEXT(   (SUMPRODUCT( ((Main!$H$9:$H$1000)=$E218)*((Main!$J$9:$J$1000)=$F218)*((Main!$O$9:$O$1000)=$C218)*(Main!S$9:S$1000) ) +  ( SUMPRODUCT( ((Adders!$D$13:$D$101)=$E218)*((Adders!$E$13:$E$101)=$F218)*(Adders!H$13:H$101)) + VLOOKUP($H218,Adders!$B$5:$G$8,M$11,FALSE)  +  OH!$D$2 ) * IF($D218="NJ",1.07,1))/$L$10, CHOOSE($M$10,$L$9,$M$9) )</f>
        <v xml:space="preserve"> 72.74 </v>
      </c>
      <c r="K218" s="179" t="str">
        <f>TEXT(   (SUMPRODUCT( ((Main!$H$9:$H$1000)=$E218)*((Main!$J$9:$J$1000)=$F218)*((Main!$O$9:$O$1000)=$C218)*(Main!T$9:T$1000) ) +  ( SUMPRODUCT( ((Adders!$D$13:$D$101)=$E218)*((Adders!$E$13:$E$101)=$F218)*(Adders!I$13:I$101)) + VLOOKUP($H218,Adders!$B$5:$G$8,$N$11,FALSE)  +  OH!$D$2 ) * IF($D218="NJ",1.07,1))/$L$10, CHOOSE($M$10,$L$9,$M$9) )</f>
        <v xml:space="preserve"> 72.14 </v>
      </c>
      <c r="L218" s="180" t="str">
        <f>TEXT(   (SUMPRODUCT( ((LMPMain!$H$9:$H$1000)=$E218)*((LMPMain!$J$9:$J$1000)=$F218)*((LMPMain!$O$9:$O$1000)=$C218)*(LMPMain!R$9:R$1000) ) +  ( SUMPRODUCT( ((Adders!$D$13:$D$101)=$E218)*((Adders!$E$13:$E$101)=$F218)*(Adders!F$13:F$101)) + VLOOKUP($H218,Adders!$B$5:$G$8,L$11,FALSE)  +  OH!$D$2 ) * IF($D218="NJ",1.07,1))/$L$10, CHOOSE($M$10,$L$9,$M$9) )</f>
        <v xml:space="preserve"> 31.22 </v>
      </c>
      <c r="M218" s="178" t="str">
        <f>TEXT(   (SUMPRODUCT( ((LMPMain!$H$9:$H$1000)=$E218)*((LMPMain!$J$9:$J$1000)=$F218)*((LMPMain!$O$9:$O$1000)=$C218)*(LMPMain!S$9:S$1000) ) +  ( SUMPRODUCT( ((Adders!$D$13:$D$101)=$E218)*((Adders!$E$13:$E$101)=$F218)*(Adders!G$13:G$101)) + VLOOKUP($H218,Adders!$B$5:$G$8,M$11,FALSE)  +  OH!$D$2 ) * IF($D218="NJ",1.07,1))/$L$10, CHOOSE($M$10,$L$9,$M$9) )</f>
        <v xml:space="preserve"> 29.35 </v>
      </c>
      <c r="N218" s="179" t="str">
        <f>TEXT(   (SUMPRODUCT( ((LMPMain!$H$9:$H$1000)=$E218)*((LMPMain!$J$9:$J$1000)=$F218)*((LMPMain!$O$9:$O$1000)=$C218)*(LMPMain!T$9:T$1000) ) +  ( SUMPRODUCT( ((Adders!$D$13:$D$101)=$E218)*((Adders!$E$13:$E$101)=$F218)*(Adders!H$13:H$101)) + VLOOKUP($H218,Adders!$B$5:$G$8,N$11,FALSE)  +  OH!$D$2 ) * IF($D218="NJ",1.07,1))/$L$10, CHOOSE($M$10,$L$9,$M$9) )</f>
        <v xml:space="preserve"> 28.87 </v>
      </c>
      <c r="O218" s="112"/>
    </row>
    <row r="219" spans="2:15" x14ac:dyDescent="0.25">
      <c r="B219" s="108"/>
      <c r="C219" s="131">
        <f t="shared" si="5"/>
        <v>42401</v>
      </c>
      <c r="D219" s="132" t="s">
        <v>20</v>
      </c>
      <c r="E219" s="133" t="s">
        <v>64</v>
      </c>
      <c r="F219" s="132" t="s">
        <v>7</v>
      </c>
      <c r="G219" s="133" t="str">
        <f t="shared" si="6"/>
        <v>General Service</v>
      </c>
      <c r="H219" s="134" t="s">
        <v>62</v>
      </c>
      <c r="I219" s="172" t="str">
        <f>TEXT(   (SUMPRODUCT( ((Main!$H$9:$H$1000)=$E219)*((Main!$J$9:$J$1000)=$F219)*((Main!$O$9:$O$1000)=$C219)*(Main!R$9:R$1000) ) +  ( SUMPRODUCT( ((Adders!$D$13:$D$101)=$E219)*((Adders!$E$13:$E$101)=$F219)*(Adders!G$13:G$101)) + VLOOKUP($H219,Adders!$B$5:$G$8,L$11,FALSE)  +  OH!$D$2 ) * IF($D219="NJ",1.07,1))/$L$10, CHOOSE($M$10,$L$9,$M$9) )</f>
        <v xml:space="preserve"> 72.34 </v>
      </c>
      <c r="J219" s="173" t="str">
        <f>TEXT(   (SUMPRODUCT( ((Main!$H$9:$H$1000)=$E219)*((Main!$J$9:$J$1000)=$F219)*((Main!$O$9:$O$1000)=$C219)*(Main!S$9:S$1000) ) +  ( SUMPRODUCT( ((Adders!$D$13:$D$101)=$E219)*((Adders!$E$13:$E$101)=$F219)*(Adders!H$13:H$101)) + VLOOKUP($H219,Adders!$B$5:$G$8,M$11,FALSE)  +  OH!$D$2 ) * IF($D219="NJ",1.07,1))/$L$10, CHOOSE($M$10,$L$9,$M$9) )</f>
        <v xml:space="preserve"> 71.14 </v>
      </c>
      <c r="K219" s="174" t="str">
        <f>TEXT(   (SUMPRODUCT( ((Main!$H$9:$H$1000)=$E219)*((Main!$J$9:$J$1000)=$F219)*((Main!$O$9:$O$1000)=$C219)*(Main!T$9:T$1000) ) +  ( SUMPRODUCT( ((Adders!$D$13:$D$101)=$E219)*((Adders!$E$13:$E$101)=$F219)*(Adders!I$13:I$101)) + VLOOKUP($H219,Adders!$B$5:$G$8,$N$11,FALSE)  +  OH!$D$2 ) * IF($D219="NJ",1.07,1))/$L$10, CHOOSE($M$10,$L$9,$M$9) )</f>
        <v xml:space="preserve"> 70.54 </v>
      </c>
      <c r="L219" s="172" t="str">
        <f>TEXT(   (SUMPRODUCT( ((LMPMain!$H$9:$H$1000)=$E219)*((LMPMain!$J$9:$J$1000)=$F219)*((LMPMain!$O$9:$O$1000)=$C219)*(LMPMain!R$9:R$1000) ) +  ( SUMPRODUCT( ((Adders!$D$13:$D$101)=$E219)*((Adders!$E$13:$E$101)=$F219)*(Adders!F$13:F$101)) + VLOOKUP($H219,Adders!$B$5:$G$8,L$11,FALSE)  +  OH!$D$2 ) * IF($D219="NJ",1.07,1))/$L$10, CHOOSE($M$10,$L$9,$M$9) )</f>
        <v xml:space="preserve"> 29.62 </v>
      </c>
      <c r="M219" s="173" t="str">
        <f>TEXT(   (SUMPRODUCT( ((LMPMain!$H$9:$H$1000)=$E219)*((LMPMain!$J$9:$J$1000)=$F219)*((LMPMain!$O$9:$O$1000)=$C219)*(LMPMain!S$9:S$1000) ) +  ( SUMPRODUCT( ((Adders!$D$13:$D$101)=$E219)*((Adders!$E$13:$E$101)=$F219)*(Adders!G$13:G$101)) + VLOOKUP($H219,Adders!$B$5:$G$8,M$11,FALSE)  +  OH!$D$2 ) * IF($D219="NJ",1.07,1))/$L$10, CHOOSE($M$10,$L$9,$M$9) )</f>
        <v xml:space="preserve"> 27.75 </v>
      </c>
      <c r="N219" s="174" t="str">
        <f>TEXT(   (SUMPRODUCT( ((LMPMain!$H$9:$H$1000)=$E219)*((LMPMain!$J$9:$J$1000)=$F219)*((LMPMain!$O$9:$O$1000)=$C219)*(LMPMain!T$9:T$1000) ) +  ( SUMPRODUCT( ((Adders!$D$13:$D$101)=$E219)*((Adders!$E$13:$E$101)=$F219)*(Adders!H$13:H$101)) + VLOOKUP($H219,Adders!$B$5:$G$8,N$11,FALSE)  +  OH!$D$2 ) * IF($D219="NJ",1.07,1))/$L$10, CHOOSE($M$10,$L$9,$M$9) )</f>
        <v xml:space="preserve"> 27.27 </v>
      </c>
      <c r="O219" s="112"/>
    </row>
    <row r="220" spans="2:15" x14ac:dyDescent="0.25">
      <c r="B220" s="108"/>
      <c r="C220" s="135">
        <f t="shared" si="5"/>
        <v>42401</v>
      </c>
      <c r="D220" s="136" t="s">
        <v>20</v>
      </c>
      <c r="E220" s="137" t="s">
        <v>64</v>
      </c>
      <c r="F220" s="136" t="s">
        <v>7</v>
      </c>
      <c r="G220" s="137" t="str">
        <f t="shared" si="6"/>
        <v>General Service</v>
      </c>
      <c r="H220" s="138" t="s">
        <v>690</v>
      </c>
      <c r="I220" s="175" t="str">
        <f>TEXT(   (SUMPRODUCT( ((Main!$H$9:$H$1000)=$E220)*((Main!$J$9:$J$1000)=$F220)*((Main!$O$9:$O$1000)=$C220)*(Main!R$9:R$1000) ) +  ( SUMPRODUCT( ((Adders!$D$13:$D$101)=$E220)*((Adders!$E$13:$E$101)=$F220)*(Adders!G$13:G$101)) + VLOOKUP($H220,Adders!$B$5:$G$8,L$11,FALSE)  +  OH!$D$2 ) * IF($D220="NJ",1.07,1))/$L$10, CHOOSE($M$10,$L$9,$M$9) )</f>
        <v xml:space="preserve"> 71.29 </v>
      </c>
      <c r="J220" s="176" t="str">
        <f>TEXT(   (SUMPRODUCT( ((Main!$H$9:$H$1000)=$E220)*((Main!$J$9:$J$1000)=$F220)*((Main!$O$9:$O$1000)=$C220)*(Main!S$9:S$1000) ) +  ( SUMPRODUCT( ((Adders!$D$13:$D$101)=$E220)*((Adders!$E$13:$E$101)=$F220)*(Adders!H$13:H$101)) + VLOOKUP($H220,Adders!$B$5:$G$8,M$11,FALSE)  +  OH!$D$2 ) * IF($D220="NJ",1.07,1))/$L$10, CHOOSE($M$10,$L$9,$M$9) )</f>
        <v xml:space="preserve"> 70.09 </v>
      </c>
      <c r="K220" s="177" t="str">
        <f>TEXT(   (SUMPRODUCT( ((Main!$H$9:$H$1000)=$E220)*((Main!$J$9:$J$1000)=$F220)*((Main!$O$9:$O$1000)=$C220)*(Main!T$9:T$1000) ) +  ( SUMPRODUCT( ((Adders!$D$13:$D$101)=$E220)*((Adders!$E$13:$E$101)=$F220)*(Adders!I$13:I$101)) + VLOOKUP($H220,Adders!$B$5:$G$8,$N$11,FALSE)  +  OH!$D$2 ) * IF($D220="NJ",1.07,1))/$L$10, CHOOSE($M$10,$L$9,$M$9) )</f>
        <v xml:space="preserve"> 69.49 </v>
      </c>
      <c r="L220" s="175" t="str">
        <f>TEXT(   (SUMPRODUCT( ((LMPMain!$H$9:$H$1000)=$E220)*((LMPMain!$J$9:$J$1000)=$F220)*((LMPMain!$O$9:$O$1000)=$C220)*(LMPMain!R$9:R$1000) ) +  ( SUMPRODUCT( ((Adders!$D$13:$D$101)=$E220)*((Adders!$E$13:$E$101)=$F220)*(Adders!F$13:F$101)) + VLOOKUP($H220,Adders!$B$5:$G$8,L$11,FALSE)  +  OH!$D$2 ) * IF($D220="NJ",1.07,1))/$L$10, CHOOSE($M$10,$L$9,$M$9) )</f>
        <v xml:space="preserve"> 28.57 </v>
      </c>
      <c r="M220" s="176" t="str">
        <f>TEXT(   (SUMPRODUCT( ((LMPMain!$H$9:$H$1000)=$E220)*((LMPMain!$J$9:$J$1000)=$F220)*((LMPMain!$O$9:$O$1000)=$C220)*(LMPMain!S$9:S$1000) ) +  ( SUMPRODUCT( ((Adders!$D$13:$D$101)=$E220)*((Adders!$E$13:$E$101)=$F220)*(Adders!G$13:G$101)) + VLOOKUP($H220,Adders!$B$5:$G$8,M$11,FALSE)  +  OH!$D$2 ) * IF($D220="NJ",1.07,1))/$L$10, CHOOSE($M$10,$L$9,$M$9) )</f>
        <v xml:space="preserve"> 26.70 </v>
      </c>
      <c r="N220" s="177" t="str">
        <f>TEXT(   (SUMPRODUCT( ((LMPMain!$H$9:$H$1000)=$E220)*((LMPMain!$J$9:$J$1000)=$F220)*((LMPMain!$O$9:$O$1000)=$C220)*(LMPMain!T$9:T$1000) ) +  ( SUMPRODUCT( ((Adders!$D$13:$D$101)=$E220)*((Adders!$E$13:$E$101)=$F220)*(Adders!H$13:H$101)) + VLOOKUP($H220,Adders!$B$5:$G$8,N$11,FALSE)  +  OH!$D$2 ) * IF($D220="NJ",1.07,1))/$L$10, CHOOSE($M$10,$L$9,$M$9) )</f>
        <v xml:space="preserve"> 26.22 </v>
      </c>
      <c r="O220" s="112"/>
    </row>
    <row r="221" spans="2:15" x14ac:dyDescent="0.25">
      <c r="B221" s="108"/>
      <c r="C221" s="127">
        <f t="shared" si="5"/>
        <v>42430</v>
      </c>
      <c r="D221" s="128" t="s">
        <v>20</v>
      </c>
      <c r="E221" s="129" t="s">
        <v>64</v>
      </c>
      <c r="F221" s="128" t="s">
        <v>7</v>
      </c>
      <c r="G221" s="129" t="str">
        <f t="shared" si="6"/>
        <v>General Service</v>
      </c>
      <c r="H221" s="130" t="s">
        <v>61</v>
      </c>
      <c r="I221" s="180" t="str">
        <f>TEXT(   (SUMPRODUCT( ((Main!$H$9:$H$1000)=$E221)*((Main!$J$9:$J$1000)=$F221)*((Main!$O$9:$O$1000)=$C221)*(Main!R$9:R$1000) ) +  ( SUMPRODUCT( ((Adders!$D$13:$D$101)=$E221)*((Adders!$E$13:$E$101)=$F221)*(Adders!G$13:G$101)) + VLOOKUP($H221,Adders!$B$5:$G$8,L$11,FALSE)  +  OH!$D$2 ) * IF($D221="NJ",1.07,1))/$L$10, CHOOSE($M$10,$L$9,$M$9) )</f>
        <v xml:space="preserve"> 72.49 </v>
      </c>
      <c r="J221" s="178" t="str">
        <f>TEXT(   (SUMPRODUCT( ((Main!$H$9:$H$1000)=$E221)*((Main!$J$9:$J$1000)=$F221)*((Main!$O$9:$O$1000)=$C221)*(Main!S$9:S$1000) ) +  ( SUMPRODUCT( ((Adders!$D$13:$D$101)=$E221)*((Adders!$E$13:$E$101)=$F221)*(Adders!H$13:H$101)) + VLOOKUP($H221,Adders!$B$5:$G$8,M$11,FALSE)  +  OH!$D$2 ) * IF($D221="NJ",1.07,1))/$L$10, CHOOSE($M$10,$L$9,$M$9) )</f>
        <v xml:space="preserve"> 72.08 </v>
      </c>
      <c r="K221" s="179" t="str">
        <f>TEXT(   (SUMPRODUCT( ((Main!$H$9:$H$1000)=$E221)*((Main!$J$9:$J$1000)=$F221)*((Main!$O$9:$O$1000)=$C221)*(Main!T$9:T$1000) ) +  ( SUMPRODUCT( ((Adders!$D$13:$D$101)=$E221)*((Adders!$E$13:$E$101)=$F221)*(Adders!I$13:I$101)) + VLOOKUP($H221,Adders!$B$5:$G$8,$N$11,FALSE)  +  OH!$D$2 ) * IF($D221="NJ",1.07,1))/$L$10, CHOOSE($M$10,$L$9,$M$9) )</f>
        <v xml:space="preserve"> 71.64 </v>
      </c>
      <c r="L221" s="180" t="str">
        <f>TEXT(   (SUMPRODUCT( ((LMPMain!$H$9:$H$1000)=$E221)*((LMPMain!$J$9:$J$1000)=$F221)*((LMPMain!$O$9:$O$1000)=$C221)*(LMPMain!R$9:R$1000) ) +  ( SUMPRODUCT( ((Adders!$D$13:$D$101)=$E221)*((Adders!$E$13:$E$101)=$F221)*(Adders!F$13:F$101)) + VLOOKUP($H221,Adders!$B$5:$G$8,L$11,FALSE)  +  OH!$D$2 ) * IF($D221="NJ",1.07,1))/$L$10, CHOOSE($M$10,$L$9,$M$9) )</f>
        <v xml:space="preserve"> 29.56 </v>
      </c>
      <c r="M221" s="178" t="str">
        <f>TEXT(   (SUMPRODUCT( ((LMPMain!$H$9:$H$1000)=$E221)*((LMPMain!$J$9:$J$1000)=$F221)*((LMPMain!$O$9:$O$1000)=$C221)*(LMPMain!S$9:S$1000) ) +  ( SUMPRODUCT( ((Adders!$D$13:$D$101)=$E221)*((Adders!$E$13:$E$101)=$F221)*(Adders!G$13:G$101)) + VLOOKUP($H221,Adders!$B$5:$G$8,M$11,FALSE)  +  OH!$D$2 ) * IF($D221="NJ",1.07,1))/$L$10, CHOOSE($M$10,$L$9,$M$9) )</f>
        <v xml:space="preserve"> 28.44 </v>
      </c>
      <c r="N221" s="179" t="str">
        <f>TEXT(   (SUMPRODUCT( ((LMPMain!$H$9:$H$1000)=$E221)*((LMPMain!$J$9:$J$1000)=$F221)*((LMPMain!$O$9:$O$1000)=$C221)*(LMPMain!T$9:T$1000) ) +  ( SUMPRODUCT( ((Adders!$D$13:$D$101)=$E221)*((Adders!$E$13:$E$101)=$F221)*(Adders!H$13:H$101)) + VLOOKUP($H221,Adders!$B$5:$G$8,N$11,FALSE)  +  OH!$D$2 ) * IF($D221="NJ",1.07,1))/$L$10, CHOOSE($M$10,$L$9,$M$9) )</f>
        <v xml:space="preserve"> 28.18 </v>
      </c>
      <c r="O221" s="112"/>
    </row>
    <row r="222" spans="2:15" x14ac:dyDescent="0.25">
      <c r="B222" s="108"/>
      <c r="C222" s="131">
        <f t="shared" si="5"/>
        <v>42430</v>
      </c>
      <c r="D222" s="132" t="s">
        <v>20</v>
      </c>
      <c r="E222" s="133" t="s">
        <v>64</v>
      </c>
      <c r="F222" s="132" t="s">
        <v>7</v>
      </c>
      <c r="G222" s="133" t="str">
        <f t="shared" si="6"/>
        <v>General Service</v>
      </c>
      <c r="H222" s="134" t="s">
        <v>62</v>
      </c>
      <c r="I222" s="172" t="str">
        <f>TEXT(   (SUMPRODUCT( ((Main!$H$9:$H$1000)=$E222)*((Main!$J$9:$J$1000)=$F222)*((Main!$O$9:$O$1000)=$C222)*(Main!R$9:R$1000) ) +  ( SUMPRODUCT( ((Adders!$D$13:$D$101)=$E222)*((Adders!$E$13:$E$101)=$F222)*(Adders!G$13:G$101)) + VLOOKUP($H222,Adders!$B$5:$G$8,L$11,FALSE)  +  OH!$D$2 ) * IF($D222="NJ",1.07,1))/$L$10, CHOOSE($M$10,$L$9,$M$9) )</f>
        <v xml:space="preserve"> 70.89 </v>
      </c>
      <c r="J222" s="173" t="str">
        <f>TEXT(   (SUMPRODUCT( ((Main!$H$9:$H$1000)=$E222)*((Main!$J$9:$J$1000)=$F222)*((Main!$O$9:$O$1000)=$C222)*(Main!S$9:S$1000) ) +  ( SUMPRODUCT( ((Adders!$D$13:$D$101)=$E222)*((Adders!$E$13:$E$101)=$F222)*(Adders!H$13:H$101)) + VLOOKUP($H222,Adders!$B$5:$G$8,M$11,FALSE)  +  OH!$D$2 ) * IF($D222="NJ",1.07,1))/$L$10, CHOOSE($M$10,$L$9,$M$9) )</f>
        <v xml:space="preserve"> 70.48 </v>
      </c>
      <c r="K222" s="174" t="str">
        <f>TEXT(   (SUMPRODUCT( ((Main!$H$9:$H$1000)=$E222)*((Main!$J$9:$J$1000)=$F222)*((Main!$O$9:$O$1000)=$C222)*(Main!T$9:T$1000) ) +  ( SUMPRODUCT( ((Adders!$D$13:$D$101)=$E222)*((Adders!$E$13:$E$101)=$F222)*(Adders!I$13:I$101)) + VLOOKUP($H222,Adders!$B$5:$G$8,$N$11,FALSE)  +  OH!$D$2 ) * IF($D222="NJ",1.07,1))/$L$10, CHOOSE($M$10,$L$9,$M$9) )</f>
        <v xml:space="preserve"> 70.04 </v>
      </c>
      <c r="L222" s="172" t="str">
        <f>TEXT(   (SUMPRODUCT( ((LMPMain!$H$9:$H$1000)=$E222)*((LMPMain!$J$9:$J$1000)=$F222)*((LMPMain!$O$9:$O$1000)=$C222)*(LMPMain!R$9:R$1000) ) +  ( SUMPRODUCT( ((Adders!$D$13:$D$101)=$E222)*((Adders!$E$13:$E$101)=$F222)*(Adders!F$13:F$101)) + VLOOKUP($H222,Adders!$B$5:$G$8,L$11,FALSE)  +  OH!$D$2 ) * IF($D222="NJ",1.07,1))/$L$10, CHOOSE($M$10,$L$9,$M$9) )</f>
        <v xml:space="preserve"> 27.96 </v>
      </c>
      <c r="M222" s="173" t="str">
        <f>TEXT(   (SUMPRODUCT( ((LMPMain!$H$9:$H$1000)=$E222)*((LMPMain!$J$9:$J$1000)=$F222)*((LMPMain!$O$9:$O$1000)=$C222)*(LMPMain!S$9:S$1000) ) +  ( SUMPRODUCT( ((Adders!$D$13:$D$101)=$E222)*((Adders!$E$13:$E$101)=$F222)*(Adders!G$13:G$101)) + VLOOKUP($H222,Adders!$B$5:$G$8,M$11,FALSE)  +  OH!$D$2 ) * IF($D222="NJ",1.07,1))/$L$10, CHOOSE($M$10,$L$9,$M$9) )</f>
        <v xml:space="preserve"> 26.84 </v>
      </c>
      <c r="N222" s="174" t="str">
        <f>TEXT(   (SUMPRODUCT( ((LMPMain!$H$9:$H$1000)=$E222)*((LMPMain!$J$9:$J$1000)=$F222)*((LMPMain!$O$9:$O$1000)=$C222)*(LMPMain!T$9:T$1000) ) +  ( SUMPRODUCT( ((Adders!$D$13:$D$101)=$E222)*((Adders!$E$13:$E$101)=$F222)*(Adders!H$13:H$101)) + VLOOKUP($H222,Adders!$B$5:$G$8,N$11,FALSE)  +  OH!$D$2 ) * IF($D222="NJ",1.07,1))/$L$10, CHOOSE($M$10,$L$9,$M$9) )</f>
        <v xml:space="preserve"> 26.58 </v>
      </c>
      <c r="O222" s="112"/>
    </row>
    <row r="223" spans="2:15" x14ac:dyDescent="0.25">
      <c r="B223" s="108"/>
      <c r="C223" s="135">
        <f t="shared" si="5"/>
        <v>42430</v>
      </c>
      <c r="D223" s="136" t="s">
        <v>20</v>
      </c>
      <c r="E223" s="137" t="s">
        <v>64</v>
      </c>
      <c r="F223" s="136" t="s">
        <v>7</v>
      </c>
      <c r="G223" s="137" t="str">
        <f t="shared" si="6"/>
        <v>General Service</v>
      </c>
      <c r="H223" s="138" t="s">
        <v>690</v>
      </c>
      <c r="I223" s="175" t="str">
        <f>TEXT(   (SUMPRODUCT( ((Main!$H$9:$H$1000)=$E223)*((Main!$J$9:$J$1000)=$F223)*((Main!$O$9:$O$1000)=$C223)*(Main!R$9:R$1000) ) +  ( SUMPRODUCT( ((Adders!$D$13:$D$101)=$E223)*((Adders!$E$13:$E$101)=$F223)*(Adders!G$13:G$101)) + VLOOKUP($H223,Adders!$B$5:$G$8,L$11,FALSE)  +  OH!$D$2 ) * IF($D223="NJ",1.07,1))/$L$10, CHOOSE($M$10,$L$9,$M$9) )</f>
        <v xml:space="preserve"> 69.84 </v>
      </c>
      <c r="J223" s="176" t="str">
        <f>TEXT(   (SUMPRODUCT( ((Main!$H$9:$H$1000)=$E223)*((Main!$J$9:$J$1000)=$F223)*((Main!$O$9:$O$1000)=$C223)*(Main!S$9:S$1000) ) +  ( SUMPRODUCT( ((Adders!$D$13:$D$101)=$E223)*((Adders!$E$13:$E$101)=$F223)*(Adders!H$13:H$101)) + VLOOKUP($H223,Adders!$B$5:$G$8,M$11,FALSE)  +  OH!$D$2 ) * IF($D223="NJ",1.07,1))/$L$10, CHOOSE($M$10,$L$9,$M$9) )</f>
        <v xml:space="preserve"> 69.43 </v>
      </c>
      <c r="K223" s="177" t="str">
        <f>TEXT(   (SUMPRODUCT( ((Main!$H$9:$H$1000)=$E223)*((Main!$J$9:$J$1000)=$F223)*((Main!$O$9:$O$1000)=$C223)*(Main!T$9:T$1000) ) +  ( SUMPRODUCT( ((Adders!$D$13:$D$101)=$E223)*((Adders!$E$13:$E$101)=$F223)*(Adders!I$13:I$101)) + VLOOKUP($H223,Adders!$B$5:$G$8,$N$11,FALSE)  +  OH!$D$2 ) * IF($D223="NJ",1.07,1))/$L$10, CHOOSE($M$10,$L$9,$M$9) )</f>
        <v xml:space="preserve"> 68.99 </v>
      </c>
      <c r="L223" s="175" t="str">
        <f>TEXT(   (SUMPRODUCT( ((LMPMain!$H$9:$H$1000)=$E223)*((LMPMain!$J$9:$J$1000)=$F223)*((LMPMain!$O$9:$O$1000)=$C223)*(LMPMain!R$9:R$1000) ) +  ( SUMPRODUCT( ((Adders!$D$13:$D$101)=$E223)*((Adders!$E$13:$E$101)=$F223)*(Adders!F$13:F$101)) + VLOOKUP($H223,Adders!$B$5:$G$8,L$11,FALSE)  +  OH!$D$2 ) * IF($D223="NJ",1.07,1))/$L$10, CHOOSE($M$10,$L$9,$M$9) )</f>
        <v xml:space="preserve"> 26.91 </v>
      </c>
      <c r="M223" s="176" t="str">
        <f>TEXT(   (SUMPRODUCT( ((LMPMain!$H$9:$H$1000)=$E223)*((LMPMain!$J$9:$J$1000)=$F223)*((LMPMain!$O$9:$O$1000)=$C223)*(LMPMain!S$9:S$1000) ) +  ( SUMPRODUCT( ((Adders!$D$13:$D$101)=$E223)*((Adders!$E$13:$E$101)=$F223)*(Adders!G$13:G$101)) + VLOOKUP($H223,Adders!$B$5:$G$8,M$11,FALSE)  +  OH!$D$2 ) * IF($D223="NJ",1.07,1))/$L$10, CHOOSE($M$10,$L$9,$M$9) )</f>
        <v xml:space="preserve"> 25.79 </v>
      </c>
      <c r="N223" s="177" t="str">
        <f>TEXT(   (SUMPRODUCT( ((LMPMain!$H$9:$H$1000)=$E223)*((LMPMain!$J$9:$J$1000)=$F223)*((LMPMain!$O$9:$O$1000)=$C223)*(LMPMain!T$9:T$1000) ) +  ( SUMPRODUCT( ((Adders!$D$13:$D$101)=$E223)*((Adders!$E$13:$E$101)=$F223)*(Adders!H$13:H$101)) + VLOOKUP($H223,Adders!$B$5:$G$8,N$11,FALSE)  +  OH!$D$2 ) * IF($D223="NJ",1.07,1))/$L$10, CHOOSE($M$10,$L$9,$M$9) )</f>
        <v xml:space="preserve"> 25.53 </v>
      </c>
      <c r="O223" s="112"/>
    </row>
    <row r="224" spans="2:15" x14ac:dyDescent="0.25">
      <c r="B224" s="108"/>
      <c r="C224" s="127">
        <f t="shared" si="5"/>
        <v>42461</v>
      </c>
      <c r="D224" s="128" t="s">
        <v>20</v>
      </c>
      <c r="E224" s="129" t="s">
        <v>64</v>
      </c>
      <c r="F224" s="128" t="s">
        <v>7</v>
      </c>
      <c r="G224" s="129" t="str">
        <f t="shared" si="6"/>
        <v>General Service</v>
      </c>
      <c r="H224" s="130" t="s">
        <v>61</v>
      </c>
      <c r="I224" s="180" t="str">
        <f>TEXT(   (SUMPRODUCT( ((Main!$H$9:$H$1000)=$E224)*((Main!$J$9:$J$1000)=$F224)*((Main!$O$9:$O$1000)=$C224)*(Main!R$9:R$1000) ) +  ( SUMPRODUCT( ((Adders!$D$13:$D$101)=$E224)*((Adders!$E$13:$E$101)=$F224)*(Adders!G$13:G$101)) + VLOOKUP($H224,Adders!$B$5:$G$8,L$11,FALSE)  +  OH!$D$2 ) * IF($D224="NJ",1.07,1))/$L$10, CHOOSE($M$10,$L$9,$M$9) )</f>
        <v xml:space="preserve"> 70.77 </v>
      </c>
      <c r="J224" s="178" t="str">
        <f>TEXT(   (SUMPRODUCT( ((Main!$H$9:$H$1000)=$E224)*((Main!$J$9:$J$1000)=$F224)*((Main!$O$9:$O$1000)=$C224)*(Main!S$9:S$1000) ) +  ( SUMPRODUCT( ((Adders!$D$13:$D$101)=$E224)*((Adders!$E$13:$E$101)=$F224)*(Adders!H$13:H$101)) + VLOOKUP($H224,Adders!$B$5:$G$8,M$11,FALSE)  +  OH!$D$2 ) * IF($D224="NJ",1.07,1))/$L$10, CHOOSE($M$10,$L$9,$M$9) )</f>
        <v xml:space="preserve"> 70.86 </v>
      </c>
      <c r="K224" s="179" t="str">
        <f>TEXT(   (SUMPRODUCT( ((Main!$H$9:$H$1000)=$E224)*((Main!$J$9:$J$1000)=$F224)*((Main!$O$9:$O$1000)=$C224)*(Main!T$9:T$1000) ) +  ( SUMPRODUCT( ((Adders!$D$13:$D$101)=$E224)*((Adders!$E$13:$E$101)=$F224)*(Adders!I$13:I$101)) + VLOOKUP($H224,Adders!$B$5:$G$8,$N$11,FALSE)  +  OH!$D$2 ) * IF($D224="NJ",1.07,1))/$L$10, CHOOSE($M$10,$L$9,$M$9) )</f>
        <v xml:space="preserve"> 70.87 </v>
      </c>
      <c r="L224" s="180" t="str">
        <f>TEXT(   (SUMPRODUCT( ((LMPMain!$H$9:$H$1000)=$E224)*((LMPMain!$J$9:$J$1000)=$F224)*((LMPMain!$O$9:$O$1000)=$C224)*(LMPMain!R$9:R$1000) ) +  ( SUMPRODUCT( ((Adders!$D$13:$D$101)=$E224)*((Adders!$E$13:$E$101)=$F224)*(Adders!F$13:F$101)) + VLOOKUP($H224,Adders!$B$5:$G$8,L$11,FALSE)  +  OH!$D$2 ) * IF($D224="NJ",1.07,1))/$L$10, CHOOSE($M$10,$L$9,$M$9) )</f>
        <v xml:space="preserve"> 27.76 </v>
      </c>
      <c r="M224" s="178" t="str">
        <f>TEXT(   (SUMPRODUCT( ((LMPMain!$H$9:$H$1000)=$E224)*((LMPMain!$J$9:$J$1000)=$F224)*((LMPMain!$O$9:$O$1000)=$C224)*(LMPMain!S$9:S$1000) ) +  ( SUMPRODUCT( ((Adders!$D$13:$D$101)=$E224)*((Adders!$E$13:$E$101)=$F224)*(Adders!G$13:G$101)) + VLOOKUP($H224,Adders!$B$5:$G$8,M$11,FALSE)  +  OH!$D$2 ) * IF($D224="NJ",1.07,1))/$L$10, CHOOSE($M$10,$L$9,$M$9) )</f>
        <v xml:space="preserve"> 27.48 </v>
      </c>
      <c r="N224" s="179" t="str">
        <f>TEXT(   (SUMPRODUCT( ((LMPMain!$H$9:$H$1000)=$E224)*((LMPMain!$J$9:$J$1000)=$F224)*((LMPMain!$O$9:$O$1000)=$C224)*(LMPMain!T$9:T$1000) ) +  ( SUMPRODUCT( ((Adders!$D$13:$D$101)=$E224)*((Adders!$E$13:$E$101)=$F224)*(Adders!H$13:H$101)) + VLOOKUP($H224,Adders!$B$5:$G$8,N$11,FALSE)  +  OH!$D$2 ) * IF($D224="NJ",1.07,1))/$L$10, CHOOSE($M$10,$L$9,$M$9) )</f>
        <v xml:space="preserve"> 27.42 </v>
      </c>
      <c r="O224" s="112"/>
    </row>
    <row r="225" spans="2:15" x14ac:dyDescent="0.25">
      <c r="B225" s="108"/>
      <c r="C225" s="131">
        <f t="shared" si="5"/>
        <v>42461</v>
      </c>
      <c r="D225" s="132" t="s">
        <v>20</v>
      </c>
      <c r="E225" s="133" t="s">
        <v>64</v>
      </c>
      <c r="F225" s="132" t="s">
        <v>7</v>
      </c>
      <c r="G225" s="133" t="str">
        <f t="shared" si="6"/>
        <v>General Service</v>
      </c>
      <c r="H225" s="134" t="s">
        <v>62</v>
      </c>
      <c r="I225" s="172" t="str">
        <f>TEXT(   (SUMPRODUCT( ((Main!$H$9:$H$1000)=$E225)*((Main!$J$9:$J$1000)=$F225)*((Main!$O$9:$O$1000)=$C225)*(Main!R$9:R$1000) ) +  ( SUMPRODUCT( ((Adders!$D$13:$D$101)=$E225)*((Adders!$E$13:$E$101)=$F225)*(Adders!G$13:G$101)) + VLOOKUP($H225,Adders!$B$5:$G$8,L$11,FALSE)  +  OH!$D$2 ) * IF($D225="NJ",1.07,1))/$L$10, CHOOSE($M$10,$L$9,$M$9) )</f>
        <v xml:space="preserve"> 69.17 </v>
      </c>
      <c r="J225" s="173" t="str">
        <f>TEXT(   (SUMPRODUCT( ((Main!$H$9:$H$1000)=$E225)*((Main!$J$9:$J$1000)=$F225)*((Main!$O$9:$O$1000)=$C225)*(Main!S$9:S$1000) ) +  ( SUMPRODUCT( ((Adders!$D$13:$D$101)=$E225)*((Adders!$E$13:$E$101)=$F225)*(Adders!H$13:H$101)) + VLOOKUP($H225,Adders!$B$5:$G$8,M$11,FALSE)  +  OH!$D$2 ) * IF($D225="NJ",1.07,1))/$L$10, CHOOSE($M$10,$L$9,$M$9) )</f>
        <v xml:space="preserve"> 69.26 </v>
      </c>
      <c r="K225" s="174" t="str">
        <f>TEXT(   (SUMPRODUCT( ((Main!$H$9:$H$1000)=$E225)*((Main!$J$9:$J$1000)=$F225)*((Main!$O$9:$O$1000)=$C225)*(Main!T$9:T$1000) ) +  ( SUMPRODUCT( ((Adders!$D$13:$D$101)=$E225)*((Adders!$E$13:$E$101)=$F225)*(Adders!I$13:I$101)) + VLOOKUP($H225,Adders!$B$5:$G$8,$N$11,FALSE)  +  OH!$D$2 ) * IF($D225="NJ",1.07,1))/$L$10, CHOOSE($M$10,$L$9,$M$9) )</f>
        <v xml:space="preserve"> 69.27 </v>
      </c>
      <c r="L225" s="172" t="str">
        <f>TEXT(   (SUMPRODUCT( ((LMPMain!$H$9:$H$1000)=$E225)*((LMPMain!$J$9:$J$1000)=$F225)*((LMPMain!$O$9:$O$1000)=$C225)*(LMPMain!R$9:R$1000) ) +  ( SUMPRODUCT( ((Adders!$D$13:$D$101)=$E225)*((Adders!$E$13:$E$101)=$F225)*(Adders!F$13:F$101)) + VLOOKUP($H225,Adders!$B$5:$G$8,L$11,FALSE)  +  OH!$D$2 ) * IF($D225="NJ",1.07,1))/$L$10, CHOOSE($M$10,$L$9,$M$9) )</f>
        <v xml:space="preserve"> 26.16 </v>
      </c>
      <c r="M225" s="173" t="str">
        <f>TEXT(   (SUMPRODUCT( ((LMPMain!$H$9:$H$1000)=$E225)*((LMPMain!$J$9:$J$1000)=$F225)*((LMPMain!$O$9:$O$1000)=$C225)*(LMPMain!S$9:S$1000) ) +  ( SUMPRODUCT( ((Adders!$D$13:$D$101)=$E225)*((Adders!$E$13:$E$101)=$F225)*(Adders!G$13:G$101)) + VLOOKUP($H225,Adders!$B$5:$G$8,M$11,FALSE)  +  OH!$D$2 ) * IF($D225="NJ",1.07,1))/$L$10, CHOOSE($M$10,$L$9,$M$9) )</f>
        <v xml:space="preserve"> 25.88 </v>
      </c>
      <c r="N225" s="174" t="str">
        <f>TEXT(   (SUMPRODUCT( ((LMPMain!$H$9:$H$1000)=$E225)*((LMPMain!$J$9:$J$1000)=$F225)*((LMPMain!$O$9:$O$1000)=$C225)*(LMPMain!T$9:T$1000) ) +  ( SUMPRODUCT( ((Adders!$D$13:$D$101)=$E225)*((Adders!$E$13:$E$101)=$F225)*(Adders!H$13:H$101)) + VLOOKUP($H225,Adders!$B$5:$G$8,N$11,FALSE)  +  OH!$D$2 ) * IF($D225="NJ",1.07,1))/$L$10, CHOOSE($M$10,$L$9,$M$9) )</f>
        <v xml:space="preserve"> 25.82 </v>
      </c>
      <c r="O225" s="112"/>
    </row>
    <row r="226" spans="2:15" x14ac:dyDescent="0.25">
      <c r="B226" s="108"/>
      <c r="C226" s="135">
        <f t="shared" si="5"/>
        <v>42461</v>
      </c>
      <c r="D226" s="136" t="s">
        <v>20</v>
      </c>
      <c r="E226" s="137" t="s">
        <v>64</v>
      </c>
      <c r="F226" s="136" t="s">
        <v>7</v>
      </c>
      <c r="G226" s="137" t="str">
        <f t="shared" si="6"/>
        <v>General Service</v>
      </c>
      <c r="H226" s="138" t="s">
        <v>690</v>
      </c>
      <c r="I226" s="175" t="str">
        <f>TEXT(   (SUMPRODUCT( ((Main!$H$9:$H$1000)=$E226)*((Main!$J$9:$J$1000)=$F226)*((Main!$O$9:$O$1000)=$C226)*(Main!R$9:R$1000) ) +  ( SUMPRODUCT( ((Adders!$D$13:$D$101)=$E226)*((Adders!$E$13:$E$101)=$F226)*(Adders!G$13:G$101)) + VLOOKUP($H226,Adders!$B$5:$G$8,L$11,FALSE)  +  OH!$D$2 ) * IF($D226="NJ",1.07,1))/$L$10, CHOOSE($M$10,$L$9,$M$9) )</f>
        <v xml:space="preserve"> 68.12 </v>
      </c>
      <c r="J226" s="176" t="str">
        <f>TEXT(   (SUMPRODUCT( ((Main!$H$9:$H$1000)=$E226)*((Main!$J$9:$J$1000)=$F226)*((Main!$O$9:$O$1000)=$C226)*(Main!S$9:S$1000) ) +  ( SUMPRODUCT( ((Adders!$D$13:$D$101)=$E226)*((Adders!$E$13:$E$101)=$F226)*(Adders!H$13:H$101)) + VLOOKUP($H226,Adders!$B$5:$G$8,M$11,FALSE)  +  OH!$D$2 ) * IF($D226="NJ",1.07,1))/$L$10, CHOOSE($M$10,$L$9,$M$9) )</f>
        <v xml:space="preserve"> 68.21 </v>
      </c>
      <c r="K226" s="177" t="str">
        <f>TEXT(   (SUMPRODUCT( ((Main!$H$9:$H$1000)=$E226)*((Main!$J$9:$J$1000)=$F226)*((Main!$O$9:$O$1000)=$C226)*(Main!T$9:T$1000) ) +  ( SUMPRODUCT( ((Adders!$D$13:$D$101)=$E226)*((Adders!$E$13:$E$101)=$F226)*(Adders!I$13:I$101)) + VLOOKUP($H226,Adders!$B$5:$G$8,$N$11,FALSE)  +  OH!$D$2 ) * IF($D226="NJ",1.07,1))/$L$10, CHOOSE($M$10,$L$9,$M$9) )</f>
        <v xml:space="preserve"> 68.22 </v>
      </c>
      <c r="L226" s="175" t="str">
        <f>TEXT(   (SUMPRODUCT( ((LMPMain!$H$9:$H$1000)=$E226)*((LMPMain!$J$9:$J$1000)=$F226)*((LMPMain!$O$9:$O$1000)=$C226)*(LMPMain!R$9:R$1000) ) +  ( SUMPRODUCT( ((Adders!$D$13:$D$101)=$E226)*((Adders!$E$13:$E$101)=$F226)*(Adders!F$13:F$101)) + VLOOKUP($H226,Adders!$B$5:$G$8,L$11,FALSE)  +  OH!$D$2 ) * IF($D226="NJ",1.07,1))/$L$10, CHOOSE($M$10,$L$9,$M$9) )</f>
        <v xml:space="preserve"> 25.11 </v>
      </c>
      <c r="M226" s="176" t="str">
        <f>TEXT(   (SUMPRODUCT( ((LMPMain!$H$9:$H$1000)=$E226)*((LMPMain!$J$9:$J$1000)=$F226)*((LMPMain!$O$9:$O$1000)=$C226)*(LMPMain!S$9:S$1000) ) +  ( SUMPRODUCT( ((Adders!$D$13:$D$101)=$E226)*((Adders!$E$13:$E$101)=$F226)*(Adders!G$13:G$101)) + VLOOKUP($H226,Adders!$B$5:$G$8,M$11,FALSE)  +  OH!$D$2 ) * IF($D226="NJ",1.07,1))/$L$10, CHOOSE($M$10,$L$9,$M$9) )</f>
        <v xml:space="preserve"> 24.83 </v>
      </c>
      <c r="N226" s="177" t="str">
        <f>TEXT(   (SUMPRODUCT( ((LMPMain!$H$9:$H$1000)=$E226)*((LMPMain!$J$9:$J$1000)=$F226)*((LMPMain!$O$9:$O$1000)=$C226)*(LMPMain!T$9:T$1000) ) +  ( SUMPRODUCT( ((Adders!$D$13:$D$101)=$E226)*((Adders!$E$13:$E$101)=$F226)*(Adders!H$13:H$101)) + VLOOKUP($H226,Adders!$B$5:$G$8,N$11,FALSE)  +  OH!$D$2 ) * IF($D226="NJ",1.07,1))/$L$10, CHOOSE($M$10,$L$9,$M$9) )</f>
        <v xml:space="preserve"> 24.77 </v>
      </c>
      <c r="O226" s="112"/>
    </row>
    <row r="227" spans="2:15" x14ac:dyDescent="0.25">
      <c r="B227" s="108"/>
      <c r="C227" s="127">
        <f t="shared" si="5"/>
        <v>42491</v>
      </c>
      <c r="D227" s="128" t="s">
        <v>20</v>
      </c>
      <c r="E227" s="129" t="s">
        <v>64</v>
      </c>
      <c r="F227" s="128" t="s">
        <v>7</v>
      </c>
      <c r="G227" s="129" t="str">
        <f t="shared" si="6"/>
        <v>General Service</v>
      </c>
      <c r="H227" s="130" t="s">
        <v>61</v>
      </c>
      <c r="I227" s="180" t="str">
        <f>TEXT(   (SUMPRODUCT( ((Main!$H$9:$H$1000)=$E227)*((Main!$J$9:$J$1000)=$F227)*((Main!$O$9:$O$1000)=$C227)*(Main!R$9:R$1000) ) +  ( SUMPRODUCT( ((Adders!$D$13:$D$101)=$E227)*((Adders!$E$13:$E$101)=$F227)*(Adders!G$13:G$101)) + VLOOKUP($H227,Adders!$B$5:$G$8,L$11,FALSE)  +  OH!$D$2 ) * IF($D227="NJ",1.07,1))/$L$10, CHOOSE($M$10,$L$9,$M$9) )</f>
        <v xml:space="preserve"> 69.04 </v>
      </c>
      <c r="J227" s="178" t="str">
        <f>TEXT(   (SUMPRODUCT( ((Main!$H$9:$H$1000)=$E227)*((Main!$J$9:$J$1000)=$F227)*((Main!$O$9:$O$1000)=$C227)*(Main!S$9:S$1000) ) +  ( SUMPRODUCT( ((Adders!$D$13:$D$101)=$E227)*((Adders!$E$13:$E$101)=$F227)*(Adders!H$13:H$101)) + VLOOKUP($H227,Adders!$B$5:$G$8,M$11,FALSE)  +  OH!$D$2 ) * IF($D227="NJ",1.07,1))/$L$10, CHOOSE($M$10,$L$9,$M$9) )</f>
        <v xml:space="preserve"> 69.67 </v>
      </c>
      <c r="K227" s="179" t="str">
        <f>TEXT(   (SUMPRODUCT( ((Main!$H$9:$H$1000)=$E227)*((Main!$J$9:$J$1000)=$F227)*((Main!$O$9:$O$1000)=$C227)*(Main!T$9:T$1000) ) +  ( SUMPRODUCT( ((Adders!$D$13:$D$101)=$E227)*((Adders!$E$13:$E$101)=$F227)*(Adders!I$13:I$101)) + VLOOKUP($H227,Adders!$B$5:$G$8,$N$11,FALSE)  +  OH!$D$2 ) * IF($D227="NJ",1.07,1))/$L$10, CHOOSE($M$10,$L$9,$M$9) )</f>
        <v xml:space="preserve"> 70.18 </v>
      </c>
      <c r="L227" s="180" t="str">
        <f>TEXT(   (SUMPRODUCT( ((LMPMain!$H$9:$H$1000)=$E227)*((LMPMain!$J$9:$J$1000)=$F227)*((LMPMain!$O$9:$O$1000)=$C227)*(LMPMain!R$9:R$1000) ) +  ( SUMPRODUCT( ((Adders!$D$13:$D$101)=$E227)*((Adders!$E$13:$E$101)=$F227)*(Adders!F$13:F$101)) + VLOOKUP($H227,Adders!$B$5:$G$8,L$11,FALSE)  +  OH!$D$2 ) * IF($D227="NJ",1.07,1))/$L$10, CHOOSE($M$10,$L$9,$M$9) )</f>
        <v xml:space="preserve"> 26.04 </v>
      </c>
      <c r="M227" s="178" t="str">
        <f>TEXT(   (SUMPRODUCT( ((LMPMain!$H$9:$H$1000)=$E227)*((LMPMain!$J$9:$J$1000)=$F227)*((LMPMain!$O$9:$O$1000)=$C227)*(LMPMain!S$9:S$1000) ) +  ( SUMPRODUCT( ((Adders!$D$13:$D$101)=$E227)*((Adders!$E$13:$E$101)=$F227)*(Adders!G$13:G$101)) + VLOOKUP($H227,Adders!$B$5:$G$8,M$11,FALSE)  +  OH!$D$2 ) * IF($D227="NJ",1.07,1))/$L$10, CHOOSE($M$10,$L$9,$M$9) )</f>
        <v xml:space="preserve"> 26.39 </v>
      </c>
      <c r="N227" s="179" t="str">
        <f>TEXT(   (SUMPRODUCT( ((LMPMain!$H$9:$H$1000)=$E227)*((LMPMain!$J$9:$J$1000)=$F227)*((LMPMain!$O$9:$O$1000)=$C227)*(LMPMain!T$9:T$1000) ) +  ( SUMPRODUCT( ((Adders!$D$13:$D$101)=$E227)*((Adders!$E$13:$E$101)=$F227)*(Adders!H$13:H$101)) + VLOOKUP($H227,Adders!$B$5:$G$8,N$11,FALSE)  +  OH!$D$2 ) * IF($D227="NJ",1.07,1))/$L$10, CHOOSE($M$10,$L$9,$M$9) )</f>
        <v xml:space="preserve"> 26.69 </v>
      </c>
      <c r="O227" s="112"/>
    </row>
    <row r="228" spans="2:15" x14ac:dyDescent="0.25">
      <c r="B228" s="108"/>
      <c r="C228" s="131">
        <f t="shared" si="5"/>
        <v>42491</v>
      </c>
      <c r="D228" s="132" t="s">
        <v>20</v>
      </c>
      <c r="E228" s="133" t="s">
        <v>64</v>
      </c>
      <c r="F228" s="132" t="s">
        <v>7</v>
      </c>
      <c r="G228" s="133" t="str">
        <f t="shared" si="6"/>
        <v>General Service</v>
      </c>
      <c r="H228" s="134" t="s">
        <v>62</v>
      </c>
      <c r="I228" s="172" t="str">
        <f>TEXT(   (SUMPRODUCT( ((Main!$H$9:$H$1000)=$E228)*((Main!$J$9:$J$1000)=$F228)*((Main!$O$9:$O$1000)=$C228)*(Main!R$9:R$1000) ) +  ( SUMPRODUCT( ((Adders!$D$13:$D$101)=$E228)*((Adders!$E$13:$E$101)=$F228)*(Adders!G$13:G$101)) + VLOOKUP($H228,Adders!$B$5:$G$8,L$11,FALSE)  +  OH!$D$2 ) * IF($D228="NJ",1.07,1))/$L$10, CHOOSE($M$10,$L$9,$M$9) )</f>
        <v xml:space="preserve"> 67.44 </v>
      </c>
      <c r="J228" s="173" t="str">
        <f>TEXT(   (SUMPRODUCT( ((Main!$H$9:$H$1000)=$E228)*((Main!$J$9:$J$1000)=$F228)*((Main!$O$9:$O$1000)=$C228)*(Main!S$9:S$1000) ) +  ( SUMPRODUCT( ((Adders!$D$13:$D$101)=$E228)*((Adders!$E$13:$E$101)=$F228)*(Adders!H$13:H$101)) + VLOOKUP($H228,Adders!$B$5:$G$8,M$11,FALSE)  +  OH!$D$2 ) * IF($D228="NJ",1.07,1))/$L$10, CHOOSE($M$10,$L$9,$M$9) )</f>
        <v xml:space="preserve"> 68.07 </v>
      </c>
      <c r="K228" s="174" t="str">
        <f>TEXT(   (SUMPRODUCT( ((Main!$H$9:$H$1000)=$E228)*((Main!$J$9:$J$1000)=$F228)*((Main!$O$9:$O$1000)=$C228)*(Main!T$9:T$1000) ) +  ( SUMPRODUCT( ((Adders!$D$13:$D$101)=$E228)*((Adders!$E$13:$E$101)=$F228)*(Adders!I$13:I$101)) + VLOOKUP($H228,Adders!$B$5:$G$8,$N$11,FALSE)  +  OH!$D$2 ) * IF($D228="NJ",1.07,1))/$L$10, CHOOSE($M$10,$L$9,$M$9) )</f>
        <v xml:space="preserve"> 68.58 </v>
      </c>
      <c r="L228" s="172" t="str">
        <f>TEXT(   (SUMPRODUCT( ((LMPMain!$H$9:$H$1000)=$E228)*((LMPMain!$J$9:$J$1000)=$F228)*((LMPMain!$O$9:$O$1000)=$C228)*(LMPMain!R$9:R$1000) ) +  ( SUMPRODUCT( ((Adders!$D$13:$D$101)=$E228)*((Adders!$E$13:$E$101)=$F228)*(Adders!F$13:F$101)) + VLOOKUP($H228,Adders!$B$5:$G$8,L$11,FALSE)  +  OH!$D$2 ) * IF($D228="NJ",1.07,1))/$L$10, CHOOSE($M$10,$L$9,$M$9) )</f>
        <v xml:space="preserve"> 24.44 </v>
      </c>
      <c r="M228" s="173" t="str">
        <f>TEXT(   (SUMPRODUCT( ((LMPMain!$H$9:$H$1000)=$E228)*((LMPMain!$J$9:$J$1000)=$F228)*((LMPMain!$O$9:$O$1000)=$C228)*(LMPMain!S$9:S$1000) ) +  ( SUMPRODUCT( ((Adders!$D$13:$D$101)=$E228)*((Adders!$E$13:$E$101)=$F228)*(Adders!G$13:G$101)) + VLOOKUP($H228,Adders!$B$5:$G$8,M$11,FALSE)  +  OH!$D$2 ) * IF($D228="NJ",1.07,1))/$L$10, CHOOSE($M$10,$L$9,$M$9) )</f>
        <v xml:space="preserve"> 24.79 </v>
      </c>
      <c r="N228" s="174" t="str">
        <f>TEXT(   (SUMPRODUCT( ((LMPMain!$H$9:$H$1000)=$E228)*((LMPMain!$J$9:$J$1000)=$F228)*((LMPMain!$O$9:$O$1000)=$C228)*(LMPMain!T$9:T$1000) ) +  ( SUMPRODUCT( ((Adders!$D$13:$D$101)=$E228)*((Adders!$E$13:$E$101)=$F228)*(Adders!H$13:H$101)) + VLOOKUP($H228,Adders!$B$5:$G$8,N$11,FALSE)  +  OH!$D$2 ) * IF($D228="NJ",1.07,1))/$L$10, CHOOSE($M$10,$L$9,$M$9) )</f>
        <v xml:space="preserve"> 25.09 </v>
      </c>
      <c r="O228" s="112"/>
    </row>
    <row r="229" spans="2:15" ht="15.75" thickBot="1" x14ac:dyDescent="0.3">
      <c r="B229" s="108"/>
      <c r="C229" s="135">
        <f t="shared" si="5"/>
        <v>42491</v>
      </c>
      <c r="D229" s="136" t="s">
        <v>20</v>
      </c>
      <c r="E229" s="137" t="s">
        <v>64</v>
      </c>
      <c r="F229" s="136" t="s">
        <v>7</v>
      </c>
      <c r="G229" s="137" t="str">
        <f t="shared" si="6"/>
        <v>General Service</v>
      </c>
      <c r="H229" s="138" t="s">
        <v>690</v>
      </c>
      <c r="I229" s="175" t="str">
        <f>TEXT(   (SUMPRODUCT( ((Main!$H$9:$H$1000)=$E229)*((Main!$J$9:$J$1000)=$F229)*((Main!$O$9:$O$1000)=$C229)*(Main!R$9:R$1000) ) +  ( SUMPRODUCT( ((Adders!$D$13:$D$101)=$E229)*((Adders!$E$13:$E$101)=$F229)*(Adders!G$13:G$101)) + VLOOKUP($H229,Adders!$B$5:$G$8,L$11,FALSE)  +  OH!$D$2 ) * IF($D229="NJ",1.07,1))/$L$10, CHOOSE($M$10,$L$9,$M$9) )</f>
        <v xml:space="preserve"> 66.39 </v>
      </c>
      <c r="J229" s="176" t="str">
        <f>TEXT(   (SUMPRODUCT( ((Main!$H$9:$H$1000)=$E229)*((Main!$J$9:$J$1000)=$F229)*((Main!$O$9:$O$1000)=$C229)*(Main!S$9:S$1000) ) +  ( SUMPRODUCT( ((Adders!$D$13:$D$101)=$E229)*((Adders!$E$13:$E$101)=$F229)*(Adders!H$13:H$101)) + VLOOKUP($H229,Adders!$B$5:$G$8,M$11,FALSE)  +  OH!$D$2 ) * IF($D229="NJ",1.07,1))/$L$10, CHOOSE($M$10,$L$9,$M$9) )</f>
        <v xml:space="preserve"> 67.02 </v>
      </c>
      <c r="K229" s="177" t="str">
        <f>TEXT(   (SUMPRODUCT( ((Main!$H$9:$H$1000)=$E229)*((Main!$J$9:$J$1000)=$F229)*((Main!$O$9:$O$1000)=$C229)*(Main!T$9:T$1000) ) +  ( SUMPRODUCT( ((Adders!$D$13:$D$101)=$E229)*((Adders!$E$13:$E$101)=$F229)*(Adders!I$13:I$101)) + VLOOKUP($H229,Adders!$B$5:$G$8,$N$11,FALSE)  +  OH!$D$2 ) * IF($D229="NJ",1.07,1))/$L$10, CHOOSE($M$10,$L$9,$M$9) )</f>
        <v xml:space="preserve"> 67.53 </v>
      </c>
      <c r="L229" s="175" t="str">
        <f>TEXT(   (SUMPRODUCT( ((LMPMain!$H$9:$H$1000)=$E229)*((LMPMain!$J$9:$J$1000)=$F229)*((LMPMain!$O$9:$O$1000)=$C229)*(LMPMain!R$9:R$1000) ) +  ( SUMPRODUCT( ((Adders!$D$13:$D$101)=$E229)*((Adders!$E$13:$E$101)=$F229)*(Adders!F$13:F$101)) + VLOOKUP($H229,Adders!$B$5:$G$8,L$11,FALSE)  +  OH!$D$2 ) * IF($D229="NJ",1.07,1))/$L$10, CHOOSE($M$10,$L$9,$M$9) )</f>
        <v xml:space="preserve"> 23.39 </v>
      </c>
      <c r="M229" s="176" t="str">
        <f>TEXT(   (SUMPRODUCT( ((LMPMain!$H$9:$H$1000)=$E229)*((LMPMain!$J$9:$J$1000)=$F229)*((LMPMain!$O$9:$O$1000)=$C229)*(LMPMain!S$9:S$1000) ) +  ( SUMPRODUCT( ((Adders!$D$13:$D$101)=$E229)*((Adders!$E$13:$E$101)=$F229)*(Adders!G$13:G$101)) + VLOOKUP($H229,Adders!$B$5:$G$8,M$11,FALSE)  +  OH!$D$2 ) * IF($D229="NJ",1.07,1))/$L$10, CHOOSE($M$10,$L$9,$M$9) )</f>
        <v xml:space="preserve"> 23.74 </v>
      </c>
      <c r="N229" s="177" t="str">
        <f>TEXT(   (SUMPRODUCT( ((LMPMain!$H$9:$H$1000)=$E229)*((LMPMain!$J$9:$J$1000)=$F229)*((LMPMain!$O$9:$O$1000)=$C229)*(LMPMain!T$9:T$1000) ) +  ( SUMPRODUCT( ((Adders!$D$13:$D$101)=$E229)*((Adders!$E$13:$E$101)=$F229)*(Adders!H$13:H$101)) + VLOOKUP($H229,Adders!$B$5:$G$8,N$11,FALSE)  +  OH!$D$2 ) * IF($D229="NJ",1.07,1))/$L$10, CHOOSE($M$10,$L$9,$M$9) )</f>
        <v xml:space="preserve"> 24.04 </v>
      </c>
      <c r="O229" s="112"/>
    </row>
    <row r="230" spans="2:15" s="2" customFormat="1" ht="7.5" customHeight="1" thickBot="1" x14ac:dyDescent="0.2">
      <c r="B230" s="5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7"/>
    </row>
    <row r="231" spans="2:15" s="2" customFormat="1" x14ac:dyDescent="0.25">
      <c r="B231" s="5"/>
      <c r="C231" s="189" t="s">
        <v>739</v>
      </c>
      <c r="D231" s="3"/>
      <c r="E231" s="3"/>
      <c r="F231" s="3"/>
      <c r="G231" s="3"/>
      <c r="H231" s="78"/>
      <c r="I231" s="78"/>
      <c r="J231" s="78"/>
      <c r="K231" s="78"/>
      <c r="L231" s="3"/>
      <c r="M231" s="3"/>
      <c r="N231" s="4"/>
      <c r="O231" s="7"/>
    </row>
    <row r="232" spans="2:15" s="2" customFormat="1" ht="12.75" x14ac:dyDescent="0.2">
      <c r="B232" s="5"/>
      <c r="C232" s="190" t="s">
        <v>740</v>
      </c>
      <c r="D232" s="6"/>
      <c r="E232" s="6"/>
      <c r="F232" s="6"/>
      <c r="G232" s="6"/>
      <c r="H232" s="79"/>
      <c r="I232" s="79"/>
      <c r="J232" s="79"/>
      <c r="K232" s="79"/>
      <c r="L232" s="6"/>
      <c r="M232" s="6"/>
      <c r="N232" s="7"/>
      <c r="O232" s="7"/>
    </row>
    <row r="233" spans="2:15" s="2" customFormat="1" ht="12.75" x14ac:dyDescent="0.2">
      <c r="B233" s="5"/>
      <c r="C233" s="190" t="s">
        <v>741</v>
      </c>
      <c r="D233" s="6"/>
      <c r="E233" s="6"/>
      <c r="F233" s="6"/>
      <c r="G233" s="6"/>
      <c r="H233" s="79"/>
      <c r="I233" s="79"/>
      <c r="J233" s="79"/>
      <c r="K233" s="79"/>
      <c r="L233" s="6"/>
      <c r="M233" s="6"/>
      <c r="N233" s="7"/>
      <c r="O233" s="7"/>
    </row>
    <row r="234" spans="2:15" s="2" customFormat="1" ht="12.75" x14ac:dyDescent="0.2">
      <c r="B234" s="5"/>
      <c r="C234" s="190" t="s">
        <v>742</v>
      </c>
      <c r="D234" s="6"/>
      <c r="E234" s="6"/>
      <c r="F234" s="6"/>
      <c r="G234" s="6"/>
      <c r="H234" s="79"/>
      <c r="I234" s="79"/>
      <c r="J234" s="79"/>
      <c r="K234" s="79"/>
      <c r="L234" s="6"/>
      <c r="M234" s="6"/>
      <c r="N234" s="7"/>
      <c r="O234" s="7"/>
    </row>
    <row r="235" spans="2:15" s="2" customFormat="1" ht="12.75" x14ac:dyDescent="0.2">
      <c r="B235" s="5"/>
      <c r="C235" s="190" t="s">
        <v>743</v>
      </c>
      <c r="D235" s="6"/>
      <c r="E235" s="6"/>
      <c r="F235" s="6"/>
      <c r="G235" s="6"/>
      <c r="H235" s="79"/>
      <c r="I235" s="79"/>
      <c r="J235" s="79"/>
      <c r="K235" s="79"/>
      <c r="L235" s="6"/>
      <c r="M235" s="6"/>
      <c r="N235" s="7"/>
      <c r="O235" s="7"/>
    </row>
    <row r="236" spans="2:15" s="2" customFormat="1" ht="12.75" x14ac:dyDescent="0.2">
      <c r="B236" s="5"/>
      <c r="C236" s="190" t="s">
        <v>744</v>
      </c>
      <c r="D236" s="6"/>
      <c r="E236" s="6"/>
      <c r="F236" s="6"/>
      <c r="G236" s="6"/>
      <c r="H236" s="79"/>
      <c r="I236" s="79"/>
      <c r="J236" s="79"/>
      <c r="K236" s="79"/>
      <c r="L236" s="6"/>
      <c r="M236" s="6"/>
      <c r="N236" s="7"/>
      <c r="O236" s="7"/>
    </row>
    <row r="237" spans="2:15" s="2" customFormat="1" ht="10.5" x14ac:dyDescent="0.15">
      <c r="B237" s="5"/>
      <c r="C237" s="5" t="s">
        <v>745</v>
      </c>
      <c r="D237" s="6"/>
      <c r="E237" s="6"/>
      <c r="F237" s="6"/>
      <c r="G237" s="6"/>
      <c r="H237" s="79"/>
      <c r="I237" s="79"/>
      <c r="J237" s="79"/>
      <c r="K237" s="79"/>
      <c r="L237" s="6"/>
      <c r="M237" s="6"/>
      <c r="N237" s="7"/>
      <c r="O237" s="7"/>
    </row>
    <row r="238" spans="2:15" s="2" customFormat="1" ht="11.25" thickBot="1" x14ac:dyDescent="0.2">
      <c r="B238" s="5"/>
      <c r="C238" s="5" t="s">
        <v>746</v>
      </c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7"/>
      <c r="O238" s="7"/>
    </row>
    <row r="239" spans="2:15" s="2" customFormat="1" ht="15.75" thickBot="1" x14ac:dyDescent="0.3">
      <c r="B239" s="5"/>
      <c r="C239" s="8" t="s">
        <v>19</v>
      </c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10"/>
      <c r="O239" s="7"/>
    </row>
    <row r="240" spans="2:15" ht="15.75" thickBot="1" x14ac:dyDescent="0.3">
      <c r="B240" s="139"/>
      <c r="C240" s="140"/>
      <c r="D240" s="140"/>
      <c r="E240" s="140"/>
      <c r="F240" s="140"/>
      <c r="G240" s="140"/>
      <c r="H240" s="140"/>
      <c r="I240" s="140"/>
      <c r="J240" s="140"/>
      <c r="K240" s="140"/>
      <c r="L240" s="140"/>
      <c r="M240" s="140"/>
      <c r="N240" s="140"/>
      <c r="O240" s="141"/>
    </row>
  </sheetData>
  <sheetProtection algorithmName="SHA-512" hashValue="CDv1/Y9PRZG+mJh8dxYDPGPnJm208I2AbVazFVbbPqzY3nVwrbsvPDJniHRrsBPAT9JTasitOV8zaKeboSqkiQ==" saltValue="sqPlJ4A9l6xlRi2fMdqrtg==" spinCount="100000" sheet="1" scenarios="1" autoFilter="0"/>
  <autoFilter ref="C13:H13"/>
  <mergeCells count="3">
    <mergeCell ref="C6:F7"/>
    <mergeCell ref="C8:C9"/>
    <mergeCell ref="L2:M2"/>
  </mergeCells>
  <dataValidations count="2">
    <dataValidation type="list" allowBlank="1" showInputMessage="1" showErrorMessage="1" sqref="L2:M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5" right="0.45" top="0.5" bottom="0.5" header="0.3" footer="0.3"/>
  <pageSetup scale="67" fitToHeight="6" orientation="portrait" r:id="rId1"/>
  <headerFooter>
    <oddFooter>Page &amp;P of &amp;N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  <pageSetUpPr fitToPage="1"/>
  </sheetPr>
  <dimension ref="B1:O96"/>
  <sheetViews>
    <sheetView showGridLines="0" zoomScale="70" zoomScaleNormal="70" workbookViewId="0">
      <pane ySplit="13" topLeftCell="A86" activePane="bottomLeft" state="frozen"/>
      <selection activeCell="A2" sqref="A2:F2"/>
      <selection pane="bottomLeft" activeCell="U37" sqref="U37"/>
    </sheetView>
  </sheetViews>
  <sheetFormatPr defaultRowHeight="15" x14ac:dyDescent="0.25"/>
  <cols>
    <col min="1" max="1" width="3.83203125" style="100" customWidth="1"/>
    <col min="2" max="2" width="2.5" style="100" customWidth="1"/>
    <col min="3" max="3" width="25.33203125" style="100" customWidth="1"/>
    <col min="4" max="5" width="14.5" style="100" customWidth="1"/>
    <col min="6" max="6" width="38" style="100" customWidth="1"/>
    <col min="7" max="7" width="26.5" style="100" customWidth="1"/>
    <col min="8" max="8" width="20.33203125" style="100" customWidth="1"/>
    <col min="9" max="9" width="11.33203125" style="100" customWidth="1"/>
    <col min="10" max="10" width="12.33203125" style="100" customWidth="1"/>
    <col min="11" max="11" width="11.83203125" style="100" customWidth="1"/>
    <col min="12" max="13" width="11.5" style="100" customWidth="1"/>
    <col min="14" max="14" width="12.6640625" style="100" customWidth="1"/>
    <col min="15" max="15" width="2.5" style="100" customWidth="1"/>
    <col min="16" max="16" width="3.83203125" style="100" customWidth="1"/>
    <col min="17" max="16384" width="9.33203125" style="100"/>
  </cols>
  <sheetData>
    <row r="1" spans="2:15" ht="5.25" customHeight="1" x14ac:dyDescent="0.25"/>
    <row r="2" spans="2:15" s="101" customFormat="1" ht="18.75" x14ac:dyDescent="0.3">
      <c r="C2" s="102" t="s">
        <v>56</v>
      </c>
      <c r="D2" s="11">
        <v>0</v>
      </c>
      <c r="E2" s="103" t="s">
        <v>98</v>
      </c>
      <c r="K2" s="216" t="s">
        <v>691</v>
      </c>
      <c r="L2" s="217"/>
      <c r="M2" s="103" t="s">
        <v>98</v>
      </c>
    </row>
    <row r="3" spans="2:15" ht="5.25" customHeight="1" thickBot="1" x14ac:dyDescent="0.3">
      <c r="B3" s="104"/>
    </row>
    <row r="4" spans="2:15" ht="5.25" customHeight="1" x14ac:dyDescent="0.25"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7"/>
    </row>
    <row r="5" spans="2:15" ht="26.25" x14ac:dyDescent="0.4">
      <c r="B5" s="108"/>
      <c r="C5" s="169"/>
      <c r="D5" s="169"/>
      <c r="E5" s="169"/>
      <c r="F5" s="169"/>
      <c r="G5" s="110"/>
      <c r="H5" s="110"/>
      <c r="I5" s="110"/>
      <c r="J5" s="110"/>
      <c r="K5" s="110"/>
      <c r="L5" s="110"/>
      <c r="M5" s="111"/>
      <c r="N5" s="111"/>
      <c r="O5" s="112"/>
    </row>
    <row r="6" spans="2:15" ht="11.25" customHeight="1" x14ac:dyDescent="0.25">
      <c r="B6" s="108"/>
      <c r="C6" s="215" t="s">
        <v>747</v>
      </c>
      <c r="D6" s="215"/>
      <c r="E6" s="215"/>
      <c r="F6" s="215"/>
      <c r="G6" s="110"/>
      <c r="H6" s="110"/>
      <c r="I6" s="110"/>
      <c r="J6" s="110"/>
      <c r="K6" s="110"/>
      <c r="L6" s="110"/>
      <c r="M6" s="111"/>
      <c r="N6" s="111"/>
      <c r="O6" s="112"/>
    </row>
    <row r="7" spans="2:15" ht="11.25" customHeight="1" x14ac:dyDescent="0.25">
      <c r="B7" s="108"/>
      <c r="C7" s="215"/>
      <c r="D7" s="215"/>
      <c r="E7" s="215"/>
      <c r="F7" s="215"/>
      <c r="G7" s="113"/>
      <c r="H7" s="113"/>
      <c r="I7" s="113"/>
      <c r="J7" s="113"/>
      <c r="K7" s="113"/>
      <c r="L7" s="113"/>
      <c r="M7" s="111"/>
      <c r="N7" s="111"/>
      <c r="O7" s="112"/>
    </row>
    <row r="8" spans="2:15" x14ac:dyDescent="0.25">
      <c r="B8" s="108"/>
      <c r="C8" s="214">
        <f>Main!$K$2</f>
        <v>42129</v>
      </c>
      <c r="D8" s="111"/>
      <c r="E8" s="110"/>
      <c r="F8" s="113"/>
      <c r="G8" s="113"/>
      <c r="H8" s="113"/>
      <c r="I8" s="113"/>
      <c r="J8" s="113"/>
      <c r="K8" s="113"/>
      <c r="L8" s="113"/>
      <c r="M8" s="111"/>
      <c r="N8" s="111"/>
      <c r="O8" s="112"/>
    </row>
    <row r="9" spans="2:15" ht="10.5" customHeight="1" x14ac:dyDescent="0.25">
      <c r="B9" s="108"/>
      <c r="C9" s="214"/>
      <c r="D9" s="116"/>
      <c r="E9" s="116"/>
      <c r="F9" s="113"/>
      <c r="G9" s="113"/>
      <c r="H9" s="113"/>
      <c r="I9" s="113"/>
      <c r="J9" s="113"/>
      <c r="K9" s="113"/>
      <c r="L9" s="117" t="s">
        <v>101</v>
      </c>
      <c r="M9" s="118" t="s">
        <v>102</v>
      </c>
      <c r="N9" s="111"/>
      <c r="O9" s="112"/>
    </row>
    <row r="10" spans="2:15" ht="18" x14ac:dyDescent="0.25">
      <c r="B10" s="108"/>
      <c r="C10" s="114" t="s">
        <v>0</v>
      </c>
      <c r="D10" s="116"/>
      <c r="E10" s="116"/>
      <c r="F10" s="113"/>
      <c r="G10" s="113"/>
      <c r="H10" s="120"/>
      <c r="I10" s="120"/>
      <c r="J10" s="120"/>
      <c r="K10" s="120"/>
      <c r="L10" s="120">
        <f>IF(IL!K2="Prices in $/kWh",1000,1)</f>
        <v>1</v>
      </c>
      <c r="M10" s="121">
        <f>IF(IL!K2="Prices in $/kWh",2,1)</f>
        <v>1</v>
      </c>
      <c r="N10" s="121"/>
      <c r="O10" s="112"/>
    </row>
    <row r="11" spans="2:15" ht="10.5" customHeight="1" thickBot="1" x14ac:dyDescent="0.3">
      <c r="B11" s="108"/>
      <c r="C11" s="111"/>
      <c r="D11" s="111"/>
      <c r="E11" s="111"/>
      <c r="F11" s="113"/>
      <c r="G11" s="113"/>
      <c r="H11" s="121"/>
      <c r="I11" s="121"/>
      <c r="J11" s="121"/>
      <c r="K11" s="121"/>
      <c r="L11" s="121">
        <v>3</v>
      </c>
      <c r="M11" s="121">
        <v>4</v>
      </c>
      <c r="N11" s="121">
        <v>5</v>
      </c>
      <c r="O11" s="112"/>
    </row>
    <row r="12" spans="2:15" ht="18.75" thickBot="1" x14ac:dyDescent="0.3">
      <c r="B12" s="108"/>
      <c r="C12" s="114" t="s">
        <v>52</v>
      </c>
      <c r="D12" s="111"/>
      <c r="E12" s="111"/>
      <c r="F12" s="111"/>
      <c r="G12" s="111"/>
      <c r="H12" s="111"/>
      <c r="I12" s="193" t="str">
        <f>IF(IL!K2="Prices in $/kWh","Contract Term (months) - $/kWh","Contract Term (months) - $/MWh")</f>
        <v>Contract Term (months) - $/MWh</v>
      </c>
      <c r="J12" s="194"/>
      <c r="K12" s="194"/>
      <c r="L12" s="195" t="str">
        <f>IF(IL!K2="Prices in $/kWh","Contract Term (months) - $/kWh","Contract Term (months) - $/MWh")</f>
        <v>Contract Term (months) - $/MWh</v>
      </c>
      <c r="M12" s="196"/>
      <c r="N12" s="197"/>
      <c r="O12" s="112"/>
    </row>
    <row r="13" spans="2:15" ht="25.5" customHeight="1" x14ac:dyDescent="0.25">
      <c r="B13" s="108"/>
      <c r="C13" s="124" t="s">
        <v>1</v>
      </c>
      <c r="D13" s="124" t="s">
        <v>2</v>
      </c>
      <c r="E13" s="124" t="s">
        <v>3</v>
      </c>
      <c r="F13" s="124" t="s">
        <v>4</v>
      </c>
      <c r="G13" s="124" t="s">
        <v>95</v>
      </c>
      <c r="H13" s="124" t="s">
        <v>57</v>
      </c>
      <c r="I13" s="125" t="s">
        <v>58</v>
      </c>
      <c r="J13" s="125" t="s">
        <v>59</v>
      </c>
      <c r="K13" s="126" t="s">
        <v>60</v>
      </c>
      <c r="L13" s="198" t="s">
        <v>58</v>
      </c>
      <c r="M13" s="125" t="s">
        <v>59</v>
      </c>
      <c r="N13" s="126" t="s">
        <v>60</v>
      </c>
      <c r="O13" s="112"/>
    </row>
    <row r="14" spans="2:15" x14ac:dyDescent="0.25">
      <c r="B14" s="108"/>
      <c r="C14" s="127">
        <f>Main!K5</f>
        <v>42156</v>
      </c>
      <c r="D14" s="128" t="s">
        <v>25</v>
      </c>
      <c r="E14" s="129" t="s">
        <v>26</v>
      </c>
      <c r="F14" s="128" t="s">
        <v>27</v>
      </c>
      <c r="G14" s="129" t="str">
        <f>VLOOKUP(SUMPRODUCT( ((LMPMain!$H$9:$H$1000)=$E14)*((LMPMain!$J$9:$J$1000)=$F14)*((LMPMain!$O$9:$O$1000)=$C14)*(LMPMain!A$9:A$1000)),LMPMain!$A$9:$K$1000,11,FALSE)</f>
        <v>0 - 100 kW</v>
      </c>
      <c r="H14" s="130" t="s">
        <v>61</v>
      </c>
      <c r="I14" s="178" t="str">
        <f>TEXT(   (SUMPRODUCT( ((Main!$H$9:$H$1000)=$E14)*((Main!$J$9:$J$1000)=$F14)*((Main!$O$9:$O$1000)=$C14)*(Main!R$9:R$1000) ) +  ( SUMPRODUCT( ((Adders!$D$13:$D$101)=$E14)*((Adders!$E$13:$E$101)=$F14)*(Adders!G$13:G$101)) + VLOOKUP($H14,Adders!$B$5:$G$8,L$11,FALSE)  +  IL!$D$2 ) * IF($D14="NJ",1.07,1))/$L$10, CHOOSE($M$10,$L$9,$M$9) )</f>
        <v xml:space="preserve"> 69.69 </v>
      </c>
      <c r="J14" s="178" t="str">
        <f>TEXT(   (SUMPRODUCT( ((Main!$H$9:$H$1000)=$E14)*((Main!$J$9:$J$1000)=$F14)*((Main!$O$9:$O$1000)=$C14)*(Main!S$9:S$1000) ) +  ( SUMPRODUCT( ((Adders!$D$13:$D$101)=$E14)*((Adders!$E$13:$E$101)=$F14)*(Adders!H$13:H$101)) + VLOOKUP($H14,Adders!$B$5:$G$8,M$11,FALSE)  +  IL!$D$2 ) * IF($D14="NJ",1.07,1))/$L$10, CHOOSE($M$10,$L$9,$M$9) )</f>
        <v xml:space="preserve"> 66.89 </v>
      </c>
      <c r="K14" s="179" t="str">
        <f>TEXT(   (SUMPRODUCT( ((Main!$H$9:$H$1000)=$E14)*((Main!$J$9:$J$1000)=$F14)*((Main!$O$9:$O$1000)=$C14)*(Main!T$9:T$1000) ) +  ( SUMPRODUCT( ((Adders!$D$13:$D$101)=$E14)*((Adders!$E$13:$E$101)=$F14)*(Adders!I$13:I$101)) + VLOOKUP($H14,Adders!$B$5:$G$8,N$11,FALSE)  +  IL!$D$2 ) * IF($D14="NJ",1.07,1))/$L$10, CHOOSE($M$10,$L$9,$M$9) )</f>
        <v xml:space="preserve"> 66.38 </v>
      </c>
      <c r="L14" s="178" t="str">
        <f>TEXT(   (SUMPRODUCT( ((LMPMain!$H$9:$H$1000)=$E14)*((LMPMain!$J$9:$J$1000)=$F14)*((LMPMain!$O$9:$O$1000)=$C14)*(LMPMain!R$9:R$1000) ) +  ( SUMPRODUCT( ((Adders!$D$13:$D$101)=$E14)*((Adders!$E$13:$E$101)=$F14)*(Adders!F$13:F$101)) + VLOOKUP($H14,Adders!$B$5:$G$8,L$11,FALSE)  +  IL!$D$2 ) * IF($D14="NJ",1.07,1))/$L$10, CHOOSE($M$10,$L$9,$M$9) )</f>
        <v xml:space="preserve"> 35.29 </v>
      </c>
      <c r="M14" s="178" t="str">
        <f>TEXT(   (SUMPRODUCT( ((LMPMain!$H$9:$H$1000)=$E14)*((LMPMain!$J$9:$J$1000)=$F14)*((LMPMain!$O$9:$O$1000)=$C14)*(LMPMain!S$9:S$1000) ) +  ( SUMPRODUCT( ((Adders!$D$13:$D$101)=$E14)*((Adders!$E$13:$E$101)=$F14)*(Adders!G$13:G$101)) + VLOOKUP($H14,Adders!$B$5:$G$8,M$11,FALSE)  +  IL!$D$2 ) * IF($D14="NJ",1.07,1))/$L$10, CHOOSE($M$10,$L$9,$M$9) )</f>
        <v xml:space="preserve"> 32.45 </v>
      </c>
      <c r="N14" s="179" t="str">
        <f>TEXT(   (SUMPRODUCT( ((LMPMain!$H$9:$H$1000)=$E14)*((LMPMain!$J$9:$J$1000)=$F14)*((LMPMain!$O$9:$O$1000)=$C14)*(LMPMain!T$9:T$1000) ) +  ( SUMPRODUCT( ((Adders!$D$13:$D$101)=$E14)*((Adders!$E$13:$E$101)=$F14)*(Adders!H$13:H$101)) + VLOOKUP($H14,Adders!$B$5:$G$8,N$11,FALSE)  +  IL!$D$2 ) * IF($D14="NJ",1.07,1))/$L$10, CHOOSE($M$10,$L$9,$M$9) )</f>
        <v xml:space="preserve"> 31.50 </v>
      </c>
      <c r="O14" s="112"/>
    </row>
    <row r="15" spans="2:15" x14ac:dyDescent="0.25">
      <c r="B15" s="108"/>
      <c r="C15" s="131">
        <f>+C14</f>
        <v>42156</v>
      </c>
      <c r="D15" s="132" t="s">
        <v>25</v>
      </c>
      <c r="E15" s="133" t="s">
        <v>26</v>
      </c>
      <c r="F15" s="132" t="s">
        <v>27</v>
      </c>
      <c r="G15" s="133" t="str">
        <f>G14</f>
        <v>0 - 100 kW</v>
      </c>
      <c r="H15" s="134" t="s">
        <v>62</v>
      </c>
      <c r="I15" s="173" t="str">
        <f>TEXT(   (SUMPRODUCT( ((Main!$H$9:$H$1000)=$E15)*((Main!$J$9:$J$1000)=$F15)*((Main!$O$9:$O$1000)=$C15)*(Main!R$9:R$1000) ) +  ( SUMPRODUCT( ((Adders!$D$13:$D$101)=$E15)*((Adders!$E$13:$E$101)=$F15)*(Adders!G$13:G$101)) + VLOOKUP($H15,Adders!$B$5:$G$8,L$11,FALSE)  +  IL!$D$2 ) * IF($D15="NJ",1.07,1))/$L$10, CHOOSE($M$10,$L$9,$M$9) )</f>
        <v xml:space="preserve"> 68.09 </v>
      </c>
      <c r="J15" s="173" t="str">
        <f>TEXT(   (SUMPRODUCT( ((Main!$H$9:$H$1000)=$E15)*((Main!$J$9:$J$1000)=$F15)*((Main!$O$9:$O$1000)=$C15)*(Main!S$9:S$1000) ) +  ( SUMPRODUCT( ((Adders!$D$13:$D$101)=$E15)*((Adders!$E$13:$E$101)=$F15)*(Adders!H$13:H$101)) + VLOOKUP($H15,Adders!$B$5:$G$8,M$11,FALSE)  +  IL!$D$2 ) * IF($D15="NJ",1.07,1))/$L$10, CHOOSE($M$10,$L$9,$M$9) )</f>
        <v xml:space="preserve"> 65.29 </v>
      </c>
      <c r="K15" s="174" t="str">
        <f>TEXT(   (SUMPRODUCT( ((Main!$H$9:$H$1000)=$E15)*((Main!$J$9:$J$1000)=$F15)*((Main!$O$9:$O$1000)=$C15)*(Main!T$9:T$1000) ) +  ( SUMPRODUCT( ((Adders!$D$13:$D$101)=$E15)*((Adders!$E$13:$E$101)=$F15)*(Adders!I$13:I$101)) + VLOOKUP($H15,Adders!$B$5:$G$8,N$11,FALSE)  +  IL!$D$2 ) * IF($D15="NJ",1.07,1))/$L$10, CHOOSE($M$10,$L$9,$M$9) )</f>
        <v xml:space="preserve"> 64.78 </v>
      </c>
      <c r="L15" s="173" t="str">
        <f>TEXT(   (SUMPRODUCT( ((LMPMain!$H$9:$H$1000)=$E15)*((LMPMain!$J$9:$J$1000)=$F15)*((LMPMain!$O$9:$O$1000)=$C15)*(LMPMain!R$9:R$1000) ) +  ( SUMPRODUCT( ((Adders!$D$13:$D$101)=$E15)*((Adders!$E$13:$E$101)=$F15)*(Adders!F$13:F$101)) + VLOOKUP($H15,Adders!$B$5:$G$8,L$11,FALSE)  +  IL!$D$2 ) * IF($D15="NJ",1.07,1))/$L$10, CHOOSE($M$10,$L$9,$M$9) )</f>
        <v xml:space="preserve"> 33.69 </v>
      </c>
      <c r="M15" s="173" t="str">
        <f>TEXT(   (SUMPRODUCT( ((LMPMain!$H$9:$H$1000)=$E15)*((LMPMain!$J$9:$J$1000)=$F15)*((LMPMain!$O$9:$O$1000)=$C15)*(LMPMain!S$9:S$1000) ) +  ( SUMPRODUCT( ((Adders!$D$13:$D$101)=$E15)*((Adders!$E$13:$E$101)=$F15)*(Adders!G$13:G$101)) + VLOOKUP($H15,Adders!$B$5:$G$8,M$11,FALSE)  +  IL!$D$2 ) * IF($D15="NJ",1.07,1))/$L$10, CHOOSE($M$10,$L$9,$M$9) )</f>
        <v xml:space="preserve"> 30.85 </v>
      </c>
      <c r="N15" s="174" t="str">
        <f>TEXT(   (SUMPRODUCT( ((LMPMain!$H$9:$H$1000)=$E15)*((LMPMain!$J$9:$J$1000)=$F15)*((LMPMain!$O$9:$O$1000)=$C15)*(LMPMain!T$9:T$1000) ) +  ( SUMPRODUCT( ((Adders!$D$13:$D$101)=$E15)*((Adders!$E$13:$E$101)=$F15)*(Adders!H$13:H$101)) + VLOOKUP($H15,Adders!$B$5:$G$8,N$11,FALSE)  +  IL!$D$2 ) * IF($D15="NJ",1.07,1))/$L$10, CHOOSE($M$10,$L$9,$M$9) )</f>
        <v xml:space="preserve"> 29.90 </v>
      </c>
      <c r="O15" s="112"/>
    </row>
    <row r="16" spans="2:15" x14ac:dyDescent="0.25">
      <c r="B16" s="108"/>
      <c r="C16" s="135">
        <f>+C15</f>
        <v>42156</v>
      </c>
      <c r="D16" s="136" t="s">
        <v>25</v>
      </c>
      <c r="E16" s="137" t="s">
        <v>26</v>
      </c>
      <c r="F16" s="136" t="s">
        <v>27</v>
      </c>
      <c r="G16" s="137" t="str">
        <f>G15</f>
        <v>0 - 100 kW</v>
      </c>
      <c r="H16" s="138" t="s">
        <v>690</v>
      </c>
      <c r="I16" s="176" t="str">
        <f>TEXT(   (SUMPRODUCT( ((Main!$H$9:$H$1000)=$E16)*((Main!$J$9:$J$1000)=$F16)*((Main!$O$9:$O$1000)=$C16)*(Main!R$9:R$1000) ) +  ( SUMPRODUCT( ((Adders!$D$13:$D$101)=$E16)*((Adders!$E$13:$E$101)=$F16)*(Adders!G$13:G$101)) + VLOOKUP($H16,Adders!$B$5:$G$8,L$11,FALSE)  +  IL!$D$2 ) * IF($D16="NJ",1.07,1))/$L$10, CHOOSE($M$10,$L$9,$M$9) )</f>
        <v xml:space="preserve"> 67.04 </v>
      </c>
      <c r="J16" s="176" t="str">
        <f>TEXT(   (SUMPRODUCT( ((Main!$H$9:$H$1000)=$E16)*((Main!$J$9:$J$1000)=$F16)*((Main!$O$9:$O$1000)=$C16)*(Main!S$9:S$1000) ) +  ( SUMPRODUCT( ((Adders!$D$13:$D$101)=$E16)*((Adders!$E$13:$E$101)=$F16)*(Adders!H$13:H$101)) + VLOOKUP($H16,Adders!$B$5:$G$8,M$11,FALSE)  +  IL!$D$2 ) * IF($D16="NJ",1.07,1))/$L$10, CHOOSE($M$10,$L$9,$M$9) )</f>
        <v xml:space="preserve"> 64.24 </v>
      </c>
      <c r="K16" s="177" t="str">
        <f>TEXT(   (SUMPRODUCT( ((Main!$H$9:$H$1000)=$E16)*((Main!$J$9:$J$1000)=$F16)*((Main!$O$9:$O$1000)=$C16)*(Main!T$9:T$1000) ) +  ( SUMPRODUCT( ((Adders!$D$13:$D$101)=$E16)*((Adders!$E$13:$E$101)=$F16)*(Adders!I$13:I$101)) + VLOOKUP($H16,Adders!$B$5:$G$8,N$11,FALSE)  +  IL!$D$2 ) * IF($D16="NJ",1.07,1))/$L$10, CHOOSE($M$10,$L$9,$M$9) )</f>
        <v xml:space="preserve"> 63.73 </v>
      </c>
      <c r="L16" s="176" t="str">
        <f>TEXT(   (SUMPRODUCT( ((LMPMain!$H$9:$H$1000)=$E16)*((LMPMain!$J$9:$J$1000)=$F16)*((LMPMain!$O$9:$O$1000)=$C16)*(LMPMain!R$9:R$1000) ) +  ( SUMPRODUCT( ((Adders!$D$13:$D$101)=$E16)*((Adders!$E$13:$E$101)=$F16)*(Adders!F$13:F$101)) + VLOOKUP($H16,Adders!$B$5:$G$8,L$11,FALSE)  +  IL!$D$2 ) * IF($D16="NJ",1.07,1))/$L$10, CHOOSE($M$10,$L$9,$M$9) )</f>
        <v xml:space="preserve"> 32.64 </v>
      </c>
      <c r="M16" s="176" t="str">
        <f>TEXT(   (SUMPRODUCT( ((LMPMain!$H$9:$H$1000)=$E16)*((LMPMain!$J$9:$J$1000)=$F16)*((LMPMain!$O$9:$O$1000)=$C16)*(LMPMain!S$9:S$1000) ) +  ( SUMPRODUCT( ((Adders!$D$13:$D$101)=$E16)*((Adders!$E$13:$E$101)=$F16)*(Adders!G$13:G$101)) + VLOOKUP($H16,Adders!$B$5:$G$8,M$11,FALSE)  +  IL!$D$2 ) * IF($D16="NJ",1.07,1))/$L$10, CHOOSE($M$10,$L$9,$M$9) )</f>
        <v xml:space="preserve"> 29.80 </v>
      </c>
      <c r="N16" s="177" t="str">
        <f>TEXT(   (SUMPRODUCT( ((LMPMain!$H$9:$H$1000)=$E16)*((LMPMain!$J$9:$J$1000)=$F16)*((LMPMain!$O$9:$O$1000)=$C16)*(LMPMain!T$9:T$1000) ) +  ( SUMPRODUCT( ((Adders!$D$13:$D$101)=$E16)*((Adders!$E$13:$E$101)=$F16)*(Adders!H$13:H$101)) + VLOOKUP($H16,Adders!$B$5:$G$8,N$11,FALSE)  +  IL!$D$2 ) * IF($D16="NJ",1.07,1))/$L$10, CHOOSE($M$10,$L$9,$M$9) )</f>
        <v xml:space="preserve"> 28.85 </v>
      </c>
      <c r="O16" s="112"/>
    </row>
    <row r="17" spans="2:15" x14ac:dyDescent="0.25">
      <c r="B17" s="108"/>
      <c r="C17" s="127">
        <f>DATE(YEAR(C16),MONTH(C16)+1,0)+1</f>
        <v>42186</v>
      </c>
      <c r="D17" s="128" t="s">
        <v>25</v>
      </c>
      <c r="E17" s="129" t="s">
        <v>26</v>
      </c>
      <c r="F17" s="128" t="s">
        <v>27</v>
      </c>
      <c r="G17" s="129" t="str">
        <f t="shared" ref="G17:G49" si="0">G16</f>
        <v>0 - 100 kW</v>
      </c>
      <c r="H17" s="130" t="s">
        <v>61</v>
      </c>
      <c r="I17" s="178" t="str">
        <f>TEXT(   (SUMPRODUCT( ((Main!$H$9:$H$1000)=$E17)*((Main!$J$9:$J$1000)=$F17)*((Main!$O$9:$O$1000)=$C17)*(Main!R$9:R$1000) ) +  ( SUMPRODUCT( ((Adders!$D$13:$D$101)=$E17)*((Adders!$E$13:$E$101)=$F17)*(Adders!G$13:G$101)) + VLOOKUP($H17,Adders!$B$5:$G$8,L$11,FALSE)  +  IL!$D$2 ) * IF($D17="NJ",1.07,1))/$L$10, CHOOSE($M$10,$L$9,$M$9) )</f>
        <v xml:space="preserve"> 69.22 </v>
      </c>
      <c r="J17" s="178" t="str">
        <f>TEXT(   (SUMPRODUCT( ((Main!$H$9:$H$1000)=$E17)*((Main!$J$9:$J$1000)=$F17)*((Main!$O$9:$O$1000)=$C17)*(Main!S$9:S$1000) ) +  ( SUMPRODUCT( ((Adders!$D$13:$D$101)=$E17)*((Adders!$E$13:$E$101)=$F17)*(Adders!H$13:H$101)) + VLOOKUP($H17,Adders!$B$5:$G$8,M$11,FALSE)  +  IL!$D$2 ) * IF($D17="NJ",1.07,1))/$L$10, CHOOSE($M$10,$L$9,$M$9) )</f>
        <v xml:space="preserve"> 66.31 </v>
      </c>
      <c r="K17" s="179" t="str">
        <f>TEXT(   (SUMPRODUCT( ((Main!$H$9:$H$1000)=$E17)*((Main!$J$9:$J$1000)=$F17)*((Main!$O$9:$O$1000)=$C17)*(Main!T$9:T$1000) ) +  ( SUMPRODUCT( ((Adders!$D$13:$D$101)=$E17)*((Adders!$E$13:$E$101)=$F17)*(Adders!I$13:I$101)) + VLOOKUP($H17,Adders!$B$5:$G$8,N$11,FALSE)  +  IL!$D$2 ) * IF($D17="NJ",1.07,1))/$L$10, CHOOSE($M$10,$L$9,$M$9) )</f>
        <v xml:space="preserve"> 66.43 </v>
      </c>
      <c r="L17" s="178" t="str">
        <f>TEXT(   (SUMPRODUCT( ((LMPMain!$H$9:$H$1000)=$E17)*((LMPMain!$J$9:$J$1000)=$F17)*((LMPMain!$O$9:$O$1000)=$C17)*(LMPMain!R$9:R$1000) ) +  ( SUMPRODUCT( ((Adders!$D$13:$D$101)=$E17)*((Adders!$E$13:$E$101)=$F17)*(Adders!F$13:F$101)) + VLOOKUP($H17,Adders!$B$5:$G$8,L$11,FALSE)  +  IL!$D$2 ) * IF($D17="NJ",1.07,1))/$L$10, CHOOSE($M$10,$L$9,$M$9) )</f>
        <v xml:space="preserve"> 34.64 </v>
      </c>
      <c r="M17" s="178" t="str">
        <f>TEXT(   (SUMPRODUCT( ((LMPMain!$H$9:$H$1000)=$E17)*((LMPMain!$J$9:$J$1000)=$F17)*((LMPMain!$O$9:$O$1000)=$C17)*(LMPMain!S$9:S$1000) ) +  ( SUMPRODUCT( ((Adders!$D$13:$D$101)=$E17)*((Adders!$E$13:$E$101)=$F17)*(Adders!G$13:G$101)) + VLOOKUP($H17,Adders!$B$5:$G$8,M$11,FALSE)  +  IL!$D$2 ) * IF($D17="NJ",1.07,1))/$L$10, CHOOSE($M$10,$L$9,$M$9) )</f>
        <v xml:space="preserve"> 32.10 </v>
      </c>
      <c r="N17" s="179" t="str">
        <f>TEXT(   (SUMPRODUCT( ((LMPMain!$H$9:$H$1000)=$E17)*((LMPMain!$J$9:$J$1000)=$F17)*((LMPMain!$O$9:$O$1000)=$C17)*(LMPMain!T$9:T$1000) ) +  ( SUMPRODUCT( ((Adders!$D$13:$D$101)=$E17)*((Adders!$E$13:$E$101)=$F17)*(Adders!H$13:H$101)) + VLOOKUP($H17,Adders!$B$5:$G$8,N$11,FALSE)  +  IL!$D$2 ) * IF($D17="NJ",1.07,1))/$L$10, CHOOSE($M$10,$L$9,$M$9) )</f>
        <v xml:space="preserve"> 31.46 </v>
      </c>
      <c r="O17" s="112"/>
    </row>
    <row r="18" spans="2:15" x14ac:dyDescent="0.25">
      <c r="B18" s="108"/>
      <c r="C18" s="131">
        <f>+C17</f>
        <v>42186</v>
      </c>
      <c r="D18" s="132" t="s">
        <v>25</v>
      </c>
      <c r="E18" s="133" t="s">
        <v>26</v>
      </c>
      <c r="F18" s="132" t="s">
        <v>27</v>
      </c>
      <c r="G18" s="133" t="str">
        <f t="shared" si="0"/>
        <v>0 - 100 kW</v>
      </c>
      <c r="H18" s="134" t="s">
        <v>62</v>
      </c>
      <c r="I18" s="173" t="str">
        <f>TEXT(   (SUMPRODUCT( ((Main!$H$9:$H$1000)=$E18)*((Main!$J$9:$J$1000)=$F18)*((Main!$O$9:$O$1000)=$C18)*(Main!R$9:R$1000) ) +  ( SUMPRODUCT( ((Adders!$D$13:$D$101)=$E18)*((Adders!$E$13:$E$101)=$F18)*(Adders!G$13:G$101)) + VLOOKUP($H18,Adders!$B$5:$G$8,L$11,FALSE)  +  IL!$D$2 ) * IF($D18="NJ",1.07,1))/$L$10, CHOOSE($M$10,$L$9,$M$9) )</f>
        <v xml:space="preserve"> 67.62 </v>
      </c>
      <c r="J18" s="173" t="str">
        <f>TEXT(   (SUMPRODUCT( ((Main!$H$9:$H$1000)=$E18)*((Main!$J$9:$J$1000)=$F18)*((Main!$O$9:$O$1000)=$C18)*(Main!S$9:S$1000) ) +  ( SUMPRODUCT( ((Adders!$D$13:$D$101)=$E18)*((Adders!$E$13:$E$101)=$F18)*(Adders!H$13:H$101)) + VLOOKUP($H18,Adders!$B$5:$G$8,M$11,FALSE)  +  IL!$D$2 ) * IF($D18="NJ",1.07,1))/$L$10, CHOOSE($M$10,$L$9,$M$9) )</f>
        <v xml:space="preserve"> 64.71 </v>
      </c>
      <c r="K18" s="174" t="str">
        <f>TEXT(   (SUMPRODUCT( ((Main!$H$9:$H$1000)=$E18)*((Main!$J$9:$J$1000)=$F18)*((Main!$O$9:$O$1000)=$C18)*(Main!T$9:T$1000) ) +  ( SUMPRODUCT( ((Adders!$D$13:$D$101)=$E18)*((Adders!$E$13:$E$101)=$F18)*(Adders!I$13:I$101)) + VLOOKUP($H18,Adders!$B$5:$G$8,N$11,FALSE)  +  IL!$D$2 ) * IF($D18="NJ",1.07,1))/$L$10, CHOOSE($M$10,$L$9,$M$9) )</f>
        <v xml:space="preserve"> 64.83 </v>
      </c>
      <c r="L18" s="173" t="str">
        <f>TEXT(   (SUMPRODUCT( ((LMPMain!$H$9:$H$1000)=$E18)*((LMPMain!$J$9:$J$1000)=$F18)*((LMPMain!$O$9:$O$1000)=$C18)*(LMPMain!R$9:R$1000) ) +  ( SUMPRODUCT( ((Adders!$D$13:$D$101)=$E18)*((Adders!$E$13:$E$101)=$F18)*(Adders!F$13:F$101)) + VLOOKUP($H18,Adders!$B$5:$G$8,L$11,FALSE)  +  IL!$D$2 ) * IF($D18="NJ",1.07,1))/$L$10, CHOOSE($M$10,$L$9,$M$9) )</f>
        <v xml:space="preserve"> 33.04 </v>
      </c>
      <c r="M18" s="173" t="str">
        <f>TEXT(   (SUMPRODUCT( ((LMPMain!$H$9:$H$1000)=$E18)*((LMPMain!$J$9:$J$1000)=$F18)*((LMPMain!$O$9:$O$1000)=$C18)*(LMPMain!S$9:S$1000) ) +  ( SUMPRODUCT( ((Adders!$D$13:$D$101)=$E18)*((Adders!$E$13:$E$101)=$F18)*(Adders!G$13:G$101)) + VLOOKUP($H18,Adders!$B$5:$G$8,M$11,FALSE)  +  IL!$D$2 ) * IF($D18="NJ",1.07,1))/$L$10, CHOOSE($M$10,$L$9,$M$9) )</f>
        <v xml:space="preserve"> 30.50 </v>
      </c>
      <c r="N18" s="174" t="str">
        <f>TEXT(   (SUMPRODUCT( ((LMPMain!$H$9:$H$1000)=$E18)*((LMPMain!$J$9:$J$1000)=$F18)*((LMPMain!$O$9:$O$1000)=$C18)*(LMPMain!T$9:T$1000) ) +  ( SUMPRODUCT( ((Adders!$D$13:$D$101)=$E18)*((Adders!$E$13:$E$101)=$F18)*(Adders!H$13:H$101)) + VLOOKUP($H18,Adders!$B$5:$G$8,N$11,FALSE)  +  IL!$D$2 ) * IF($D18="NJ",1.07,1))/$L$10, CHOOSE($M$10,$L$9,$M$9) )</f>
        <v xml:space="preserve"> 29.86 </v>
      </c>
      <c r="O18" s="112"/>
    </row>
    <row r="19" spans="2:15" x14ac:dyDescent="0.25">
      <c r="B19" s="108"/>
      <c r="C19" s="135">
        <f>+C18</f>
        <v>42186</v>
      </c>
      <c r="D19" s="136" t="s">
        <v>25</v>
      </c>
      <c r="E19" s="137" t="s">
        <v>26</v>
      </c>
      <c r="F19" s="136" t="s">
        <v>27</v>
      </c>
      <c r="G19" s="137" t="str">
        <f t="shared" si="0"/>
        <v>0 - 100 kW</v>
      </c>
      <c r="H19" s="138" t="s">
        <v>690</v>
      </c>
      <c r="I19" s="176" t="str">
        <f>TEXT(   (SUMPRODUCT( ((Main!$H$9:$H$1000)=$E19)*((Main!$J$9:$J$1000)=$F19)*((Main!$O$9:$O$1000)=$C19)*(Main!R$9:R$1000) ) +  ( SUMPRODUCT( ((Adders!$D$13:$D$101)=$E19)*((Adders!$E$13:$E$101)=$F19)*(Adders!G$13:G$101)) + VLOOKUP($H19,Adders!$B$5:$G$8,L$11,FALSE)  +  IL!$D$2 ) * IF($D19="NJ",1.07,1))/$L$10, CHOOSE($M$10,$L$9,$M$9) )</f>
        <v xml:space="preserve"> 66.57 </v>
      </c>
      <c r="J19" s="176" t="str">
        <f>TEXT(   (SUMPRODUCT( ((Main!$H$9:$H$1000)=$E19)*((Main!$J$9:$J$1000)=$F19)*((Main!$O$9:$O$1000)=$C19)*(Main!S$9:S$1000) ) +  ( SUMPRODUCT( ((Adders!$D$13:$D$101)=$E19)*((Adders!$E$13:$E$101)=$F19)*(Adders!H$13:H$101)) + VLOOKUP($H19,Adders!$B$5:$G$8,M$11,FALSE)  +  IL!$D$2 ) * IF($D19="NJ",1.07,1))/$L$10, CHOOSE($M$10,$L$9,$M$9) )</f>
        <v xml:space="preserve"> 63.66 </v>
      </c>
      <c r="K19" s="177" t="str">
        <f>TEXT(   (SUMPRODUCT( ((Main!$H$9:$H$1000)=$E19)*((Main!$J$9:$J$1000)=$F19)*((Main!$O$9:$O$1000)=$C19)*(Main!T$9:T$1000) ) +  ( SUMPRODUCT( ((Adders!$D$13:$D$101)=$E19)*((Adders!$E$13:$E$101)=$F19)*(Adders!I$13:I$101)) + VLOOKUP($H19,Adders!$B$5:$G$8,N$11,FALSE)  +  IL!$D$2 ) * IF($D19="NJ",1.07,1))/$L$10, CHOOSE($M$10,$L$9,$M$9) )</f>
        <v xml:space="preserve"> 63.78 </v>
      </c>
      <c r="L19" s="176" t="str">
        <f>TEXT(   (SUMPRODUCT( ((LMPMain!$H$9:$H$1000)=$E19)*((LMPMain!$J$9:$J$1000)=$F19)*((LMPMain!$O$9:$O$1000)=$C19)*(LMPMain!R$9:R$1000) ) +  ( SUMPRODUCT( ((Adders!$D$13:$D$101)=$E19)*((Adders!$E$13:$E$101)=$F19)*(Adders!F$13:F$101)) + VLOOKUP($H19,Adders!$B$5:$G$8,L$11,FALSE)  +  IL!$D$2 ) * IF($D19="NJ",1.07,1))/$L$10, CHOOSE($M$10,$L$9,$M$9) )</f>
        <v xml:space="preserve"> 31.99 </v>
      </c>
      <c r="M19" s="176" t="str">
        <f>TEXT(   (SUMPRODUCT( ((LMPMain!$H$9:$H$1000)=$E19)*((LMPMain!$J$9:$J$1000)=$F19)*((LMPMain!$O$9:$O$1000)=$C19)*(LMPMain!S$9:S$1000) ) +  ( SUMPRODUCT( ((Adders!$D$13:$D$101)=$E19)*((Adders!$E$13:$E$101)=$F19)*(Adders!G$13:G$101)) + VLOOKUP($H19,Adders!$B$5:$G$8,M$11,FALSE)  +  IL!$D$2 ) * IF($D19="NJ",1.07,1))/$L$10, CHOOSE($M$10,$L$9,$M$9) )</f>
        <v xml:space="preserve"> 29.45 </v>
      </c>
      <c r="N19" s="177" t="str">
        <f>TEXT(   (SUMPRODUCT( ((LMPMain!$H$9:$H$1000)=$E19)*((LMPMain!$J$9:$J$1000)=$F19)*((LMPMain!$O$9:$O$1000)=$C19)*(LMPMain!T$9:T$1000) ) +  ( SUMPRODUCT( ((Adders!$D$13:$D$101)=$E19)*((Adders!$E$13:$E$101)=$F19)*(Adders!H$13:H$101)) + VLOOKUP($H19,Adders!$B$5:$G$8,N$11,FALSE)  +  IL!$D$2 ) * IF($D19="NJ",1.07,1))/$L$10, CHOOSE($M$10,$L$9,$M$9) )</f>
        <v xml:space="preserve"> 28.81 </v>
      </c>
      <c r="O19" s="112"/>
    </row>
    <row r="20" spans="2:15" x14ac:dyDescent="0.25">
      <c r="B20" s="108"/>
      <c r="C20" s="127">
        <f>DATE(YEAR(C19),MONTH(C19)+1,0)+1</f>
        <v>42217</v>
      </c>
      <c r="D20" s="128" t="s">
        <v>25</v>
      </c>
      <c r="E20" s="129" t="s">
        <v>26</v>
      </c>
      <c r="F20" s="128" t="s">
        <v>27</v>
      </c>
      <c r="G20" s="129" t="str">
        <f t="shared" si="0"/>
        <v>0 - 100 kW</v>
      </c>
      <c r="H20" s="130" t="s">
        <v>61</v>
      </c>
      <c r="I20" s="178" t="str">
        <f>TEXT(   (SUMPRODUCT( ((Main!$H$9:$H$1000)=$E20)*((Main!$J$9:$J$1000)=$F20)*((Main!$O$9:$O$1000)=$C20)*(Main!R$9:R$1000) ) +  ( SUMPRODUCT( ((Adders!$D$13:$D$101)=$E20)*((Adders!$E$13:$E$101)=$F20)*(Adders!G$13:G$101)) + VLOOKUP($H20,Adders!$B$5:$G$8,L$11,FALSE)  +  IL!$D$2 ) * IF($D20="NJ",1.07,1))/$L$10, CHOOSE($M$10,$L$9,$M$9) )</f>
        <v xml:space="preserve"> 68.59 </v>
      </c>
      <c r="J20" s="178" t="str">
        <f>TEXT(   (SUMPRODUCT( ((Main!$H$9:$H$1000)=$E20)*((Main!$J$9:$J$1000)=$F20)*((Main!$O$9:$O$1000)=$C20)*(Main!S$9:S$1000) ) +  ( SUMPRODUCT( ((Adders!$D$13:$D$101)=$E20)*((Adders!$E$13:$E$101)=$F20)*(Adders!H$13:H$101)) + VLOOKUP($H20,Adders!$B$5:$G$8,M$11,FALSE)  +  IL!$D$2 ) * IF($D20="NJ",1.07,1))/$L$10, CHOOSE($M$10,$L$9,$M$9) )</f>
        <v xml:space="preserve"> 66.04 </v>
      </c>
      <c r="K20" s="179" t="str">
        <f>TEXT(   (SUMPRODUCT( ((Main!$H$9:$H$1000)=$E20)*((Main!$J$9:$J$1000)=$F20)*((Main!$O$9:$O$1000)=$C20)*(Main!T$9:T$1000) ) +  ( SUMPRODUCT( ((Adders!$D$13:$D$101)=$E20)*((Adders!$E$13:$E$101)=$F20)*(Adders!I$13:I$101)) + VLOOKUP($H20,Adders!$B$5:$G$8,N$11,FALSE)  +  IL!$D$2 ) * IF($D20="NJ",1.07,1))/$L$10, CHOOSE($M$10,$L$9,$M$9) )</f>
        <v xml:space="preserve"> 66.56 </v>
      </c>
      <c r="L20" s="178" t="str">
        <f>TEXT(   (SUMPRODUCT( ((LMPMain!$H$9:$H$1000)=$E20)*((LMPMain!$J$9:$J$1000)=$F20)*((LMPMain!$O$9:$O$1000)=$C20)*(LMPMain!R$9:R$1000) ) +  ( SUMPRODUCT( ((Adders!$D$13:$D$101)=$E20)*((Adders!$E$13:$E$101)=$F20)*(Adders!F$13:F$101)) + VLOOKUP($H20,Adders!$B$5:$G$8,L$11,FALSE)  +  IL!$D$2 ) * IF($D20="NJ",1.07,1))/$L$10, CHOOSE($M$10,$L$9,$M$9) )</f>
        <v xml:space="preserve"> 34.03 </v>
      </c>
      <c r="M20" s="178" t="str">
        <f>TEXT(   (SUMPRODUCT( ((LMPMain!$H$9:$H$1000)=$E20)*((LMPMain!$J$9:$J$1000)=$F20)*((LMPMain!$O$9:$O$1000)=$C20)*(LMPMain!S$9:S$1000) ) +  ( SUMPRODUCT( ((Adders!$D$13:$D$101)=$E20)*((Adders!$E$13:$E$101)=$F20)*(Adders!G$13:G$101)) + VLOOKUP($H20,Adders!$B$5:$G$8,M$11,FALSE)  +  IL!$D$2 ) * IF($D20="NJ",1.07,1))/$L$10, CHOOSE($M$10,$L$9,$M$9) )</f>
        <v xml:space="preserve"> 31.86 </v>
      </c>
      <c r="N20" s="179" t="str">
        <f>TEXT(   (SUMPRODUCT( ((LMPMain!$H$9:$H$1000)=$E20)*((LMPMain!$J$9:$J$1000)=$F20)*((LMPMain!$O$9:$O$1000)=$C20)*(LMPMain!T$9:T$1000) ) +  ( SUMPRODUCT( ((Adders!$D$13:$D$101)=$E20)*((Adders!$E$13:$E$101)=$F20)*(Adders!H$13:H$101)) + VLOOKUP($H20,Adders!$B$5:$G$8,N$11,FALSE)  +  IL!$D$2 ) * IF($D20="NJ",1.07,1))/$L$10, CHOOSE($M$10,$L$9,$M$9) )</f>
        <v xml:space="preserve"> 31.45 </v>
      </c>
      <c r="O20" s="112"/>
    </row>
    <row r="21" spans="2:15" x14ac:dyDescent="0.25">
      <c r="B21" s="108"/>
      <c r="C21" s="131">
        <f>+C20</f>
        <v>42217</v>
      </c>
      <c r="D21" s="132" t="s">
        <v>25</v>
      </c>
      <c r="E21" s="133" t="s">
        <v>26</v>
      </c>
      <c r="F21" s="132" t="s">
        <v>27</v>
      </c>
      <c r="G21" s="133" t="str">
        <f t="shared" si="0"/>
        <v>0 - 100 kW</v>
      </c>
      <c r="H21" s="134" t="s">
        <v>62</v>
      </c>
      <c r="I21" s="173" t="str">
        <f>TEXT(   (SUMPRODUCT( ((Main!$H$9:$H$1000)=$E21)*((Main!$J$9:$J$1000)=$F21)*((Main!$O$9:$O$1000)=$C21)*(Main!R$9:R$1000) ) +  ( SUMPRODUCT( ((Adders!$D$13:$D$101)=$E21)*((Adders!$E$13:$E$101)=$F21)*(Adders!G$13:G$101)) + VLOOKUP($H21,Adders!$B$5:$G$8,L$11,FALSE)  +  IL!$D$2 ) * IF($D21="NJ",1.07,1))/$L$10, CHOOSE($M$10,$L$9,$M$9) )</f>
        <v xml:space="preserve"> 66.99 </v>
      </c>
      <c r="J21" s="173" t="str">
        <f>TEXT(   (SUMPRODUCT( ((Main!$H$9:$H$1000)=$E21)*((Main!$J$9:$J$1000)=$F21)*((Main!$O$9:$O$1000)=$C21)*(Main!S$9:S$1000) ) +  ( SUMPRODUCT( ((Adders!$D$13:$D$101)=$E21)*((Adders!$E$13:$E$101)=$F21)*(Adders!H$13:H$101)) + VLOOKUP($H21,Adders!$B$5:$G$8,M$11,FALSE)  +  IL!$D$2 ) * IF($D21="NJ",1.07,1))/$L$10, CHOOSE($M$10,$L$9,$M$9) )</f>
        <v xml:space="preserve"> 64.44 </v>
      </c>
      <c r="K21" s="174" t="str">
        <f>TEXT(   (SUMPRODUCT( ((Main!$H$9:$H$1000)=$E21)*((Main!$J$9:$J$1000)=$F21)*((Main!$O$9:$O$1000)=$C21)*(Main!T$9:T$1000) ) +  ( SUMPRODUCT( ((Adders!$D$13:$D$101)=$E21)*((Adders!$E$13:$E$101)=$F21)*(Adders!I$13:I$101)) + VLOOKUP($H21,Adders!$B$5:$G$8,N$11,FALSE)  +  IL!$D$2 ) * IF($D21="NJ",1.07,1))/$L$10, CHOOSE($M$10,$L$9,$M$9) )</f>
        <v xml:space="preserve"> 64.96 </v>
      </c>
      <c r="L21" s="173" t="str">
        <f>TEXT(   (SUMPRODUCT( ((LMPMain!$H$9:$H$1000)=$E21)*((LMPMain!$J$9:$J$1000)=$F21)*((LMPMain!$O$9:$O$1000)=$C21)*(LMPMain!R$9:R$1000) ) +  ( SUMPRODUCT( ((Adders!$D$13:$D$101)=$E21)*((Adders!$E$13:$E$101)=$F21)*(Adders!F$13:F$101)) + VLOOKUP($H21,Adders!$B$5:$G$8,L$11,FALSE)  +  IL!$D$2 ) * IF($D21="NJ",1.07,1))/$L$10, CHOOSE($M$10,$L$9,$M$9) )</f>
        <v xml:space="preserve"> 32.43 </v>
      </c>
      <c r="M21" s="173" t="str">
        <f>TEXT(   (SUMPRODUCT( ((LMPMain!$H$9:$H$1000)=$E21)*((LMPMain!$J$9:$J$1000)=$F21)*((LMPMain!$O$9:$O$1000)=$C21)*(LMPMain!S$9:S$1000) ) +  ( SUMPRODUCT( ((Adders!$D$13:$D$101)=$E21)*((Adders!$E$13:$E$101)=$F21)*(Adders!G$13:G$101)) + VLOOKUP($H21,Adders!$B$5:$G$8,M$11,FALSE)  +  IL!$D$2 ) * IF($D21="NJ",1.07,1))/$L$10, CHOOSE($M$10,$L$9,$M$9) )</f>
        <v xml:space="preserve"> 30.26 </v>
      </c>
      <c r="N21" s="174" t="str">
        <f>TEXT(   (SUMPRODUCT( ((LMPMain!$H$9:$H$1000)=$E21)*((LMPMain!$J$9:$J$1000)=$F21)*((LMPMain!$O$9:$O$1000)=$C21)*(LMPMain!T$9:T$1000) ) +  ( SUMPRODUCT( ((Adders!$D$13:$D$101)=$E21)*((Adders!$E$13:$E$101)=$F21)*(Adders!H$13:H$101)) + VLOOKUP($H21,Adders!$B$5:$G$8,N$11,FALSE)  +  IL!$D$2 ) * IF($D21="NJ",1.07,1))/$L$10, CHOOSE($M$10,$L$9,$M$9) )</f>
        <v xml:space="preserve"> 29.85 </v>
      </c>
      <c r="O21" s="112"/>
    </row>
    <row r="22" spans="2:15" x14ac:dyDescent="0.25">
      <c r="B22" s="108"/>
      <c r="C22" s="135">
        <f>+C21</f>
        <v>42217</v>
      </c>
      <c r="D22" s="136" t="s">
        <v>25</v>
      </c>
      <c r="E22" s="137" t="s">
        <v>26</v>
      </c>
      <c r="F22" s="136" t="s">
        <v>27</v>
      </c>
      <c r="G22" s="137" t="str">
        <f t="shared" si="0"/>
        <v>0 - 100 kW</v>
      </c>
      <c r="H22" s="138" t="s">
        <v>690</v>
      </c>
      <c r="I22" s="176" t="str">
        <f>TEXT(   (SUMPRODUCT( ((Main!$H$9:$H$1000)=$E22)*((Main!$J$9:$J$1000)=$F22)*((Main!$O$9:$O$1000)=$C22)*(Main!R$9:R$1000) ) +  ( SUMPRODUCT( ((Adders!$D$13:$D$101)=$E22)*((Adders!$E$13:$E$101)=$F22)*(Adders!G$13:G$101)) + VLOOKUP($H22,Adders!$B$5:$G$8,L$11,FALSE)  +  IL!$D$2 ) * IF($D22="NJ",1.07,1))/$L$10, CHOOSE($M$10,$L$9,$M$9) )</f>
        <v xml:space="preserve"> 65.94 </v>
      </c>
      <c r="J22" s="176" t="str">
        <f>TEXT(   (SUMPRODUCT( ((Main!$H$9:$H$1000)=$E22)*((Main!$J$9:$J$1000)=$F22)*((Main!$O$9:$O$1000)=$C22)*(Main!S$9:S$1000) ) +  ( SUMPRODUCT( ((Adders!$D$13:$D$101)=$E22)*((Adders!$E$13:$E$101)=$F22)*(Adders!H$13:H$101)) + VLOOKUP($H22,Adders!$B$5:$G$8,M$11,FALSE)  +  IL!$D$2 ) * IF($D22="NJ",1.07,1))/$L$10, CHOOSE($M$10,$L$9,$M$9) )</f>
        <v xml:space="preserve"> 63.39 </v>
      </c>
      <c r="K22" s="177" t="str">
        <f>TEXT(   (SUMPRODUCT( ((Main!$H$9:$H$1000)=$E22)*((Main!$J$9:$J$1000)=$F22)*((Main!$O$9:$O$1000)=$C22)*(Main!T$9:T$1000) ) +  ( SUMPRODUCT( ((Adders!$D$13:$D$101)=$E22)*((Adders!$E$13:$E$101)=$F22)*(Adders!I$13:I$101)) + VLOOKUP($H22,Adders!$B$5:$G$8,N$11,FALSE)  +  IL!$D$2 ) * IF($D22="NJ",1.07,1))/$L$10, CHOOSE($M$10,$L$9,$M$9) )</f>
        <v xml:space="preserve"> 63.91 </v>
      </c>
      <c r="L22" s="176" t="str">
        <f>TEXT(   (SUMPRODUCT( ((LMPMain!$H$9:$H$1000)=$E22)*((LMPMain!$J$9:$J$1000)=$F22)*((LMPMain!$O$9:$O$1000)=$C22)*(LMPMain!R$9:R$1000) ) +  ( SUMPRODUCT( ((Adders!$D$13:$D$101)=$E22)*((Adders!$E$13:$E$101)=$F22)*(Adders!F$13:F$101)) + VLOOKUP($H22,Adders!$B$5:$G$8,L$11,FALSE)  +  IL!$D$2 ) * IF($D22="NJ",1.07,1))/$L$10, CHOOSE($M$10,$L$9,$M$9) )</f>
        <v xml:space="preserve"> 31.38 </v>
      </c>
      <c r="M22" s="176" t="str">
        <f>TEXT(   (SUMPRODUCT( ((LMPMain!$H$9:$H$1000)=$E22)*((LMPMain!$J$9:$J$1000)=$F22)*((LMPMain!$O$9:$O$1000)=$C22)*(LMPMain!S$9:S$1000) ) +  ( SUMPRODUCT( ((Adders!$D$13:$D$101)=$E22)*((Adders!$E$13:$E$101)=$F22)*(Adders!G$13:G$101)) + VLOOKUP($H22,Adders!$B$5:$G$8,M$11,FALSE)  +  IL!$D$2 ) * IF($D22="NJ",1.07,1))/$L$10, CHOOSE($M$10,$L$9,$M$9) )</f>
        <v xml:space="preserve"> 29.21 </v>
      </c>
      <c r="N22" s="177" t="str">
        <f>TEXT(   (SUMPRODUCT( ((LMPMain!$H$9:$H$1000)=$E22)*((LMPMain!$J$9:$J$1000)=$F22)*((LMPMain!$O$9:$O$1000)=$C22)*(LMPMain!T$9:T$1000) ) +  ( SUMPRODUCT( ((Adders!$D$13:$D$101)=$E22)*((Adders!$E$13:$E$101)=$F22)*(Adders!H$13:H$101)) + VLOOKUP($H22,Adders!$B$5:$G$8,N$11,FALSE)  +  IL!$D$2 ) * IF($D22="NJ",1.07,1))/$L$10, CHOOSE($M$10,$L$9,$M$9) )</f>
        <v xml:space="preserve"> 28.80 </v>
      </c>
      <c r="O22" s="112"/>
    </row>
    <row r="23" spans="2:15" x14ac:dyDescent="0.25">
      <c r="B23" s="108"/>
      <c r="C23" s="127">
        <f>DATE(YEAR(C22),MONTH(C22)+1,0)+1</f>
        <v>42248</v>
      </c>
      <c r="D23" s="128" t="s">
        <v>25</v>
      </c>
      <c r="E23" s="129" t="s">
        <v>26</v>
      </c>
      <c r="F23" s="128" t="s">
        <v>27</v>
      </c>
      <c r="G23" s="129" t="str">
        <f t="shared" si="0"/>
        <v>0 - 100 kW</v>
      </c>
      <c r="H23" s="130" t="s">
        <v>61</v>
      </c>
      <c r="I23" s="178" t="str">
        <f>TEXT(   (SUMPRODUCT( ((Main!$H$9:$H$1000)=$E23)*((Main!$J$9:$J$1000)=$F23)*((Main!$O$9:$O$1000)=$C23)*(Main!R$9:R$1000) ) +  ( SUMPRODUCT( ((Adders!$D$13:$D$101)=$E23)*((Adders!$E$13:$E$101)=$F23)*(Adders!G$13:G$101)) + VLOOKUP($H23,Adders!$B$5:$G$8,L$11,FALSE)  +  IL!$D$2 ) * IF($D23="NJ",1.07,1))/$L$10, CHOOSE($M$10,$L$9,$M$9) )</f>
        <v xml:space="preserve"> 68.12 </v>
      </c>
      <c r="J23" s="178" t="str">
        <f>TEXT(   (SUMPRODUCT( ((Main!$H$9:$H$1000)=$E23)*((Main!$J$9:$J$1000)=$F23)*((Main!$O$9:$O$1000)=$C23)*(Main!S$9:S$1000) ) +  ( SUMPRODUCT( ((Adders!$D$13:$D$101)=$E23)*((Adders!$E$13:$E$101)=$F23)*(Adders!H$13:H$101)) + VLOOKUP($H23,Adders!$B$5:$G$8,M$11,FALSE)  +  IL!$D$2 ) * IF($D23="NJ",1.07,1))/$L$10, CHOOSE($M$10,$L$9,$M$9) )</f>
        <v xml:space="preserve"> 66.06 </v>
      </c>
      <c r="K23" s="179" t="str">
        <f>TEXT(   (SUMPRODUCT( ((Main!$H$9:$H$1000)=$E23)*((Main!$J$9:$J$1000)=$F23)*((Main!$O$9:$O$1000)=$C23)*(Main!T$9:T$1000) ) +  ( SUMPRODUCT( ((Adders!$D$13:$D$101)=$E23)*((Adders!$E$13:$E$101)=$F23)*(Adders!I$13:I$101)) + VLOOKUP($H23,Adders!$B$5:$G$8,N$11,FALSE)  +  IL!$D$2 ) * IF($D23="NJ",1.07,1))/$L$10, CHOOSE($M$10,$L$9,$M$9) )</f>
        <v xml:space="preserve"> 66.75 </v>
      </c>
      <c r="L23" s="178" t="str">
        <f>TEXT(   (SUMPRODUCT( ((LMPMain!$H$9:$H$1000)=$E23)*((LMPMain!$J$9:$J$1000)=$F23)*((LMPMain!$O$9:$O$1000)=$C23)*(LMPMain!R$9:R$1000) ) +  ( SUMPRODUCT( ((Adders!$D$13:$D$101)=$E23)*((Adders!$E$13:$E$101)=$F23)*(Adders!F$13:F$101)) + VLOOKUP($H23,Adders!$B$5:$G$8,L$11,FALSE)  +  IL!$D$2 ) * IF($D23="NJ",1.07,1))/$L$10, CHOOSE($M$10,$L$9,$M$9) )</f>
        <v xml:space="preserve"> 33.36 </v>
      </c>
      <c r="M23" s="178" t="str">
        <f>TEXT(   (SUMPRODUCT( ((LMPMain!$H$9:$H$1000)=$E23)*((LMPMain!$J$9:$J$1000)=$F23)*((LMPMain!$O$9:$O$1000)=$C23)*(LMPMain!S$9:S$1000) ) +  ( SUMPRODUCT( ((Adders!$D$13:$D$101)=$E23)*((Adders!$E$13:$E$101)=$F23)*(Adders!G$13:G$101)) + VLOOKUP($H23,Adders!$B$5:$G$8,M$11,FALSE)  +  IL!$D$2 ) * IF($D23="NJ",1.07,1))/$L$10, CHOOSE($M$10,$L$9,$M$9) )</f>
        <v xml:space="preserve"> 31.56 </v>
      </c>
      <c r="N23" s="179" t="str">
        <f>TEXT(   (SUMPRODUCT( ((LMPMain!$H$9:$H$1000)=$E23)*((LMPMain!$J$9:$J$1000)=$F23)*((LMPMain!$O$9:$O$1000)=$C23)*(LMPMain!T$9:T$1000) ) +  ( SUMPRODUCT( ((Adders!$D$13:$D$101)=$E23)*((Adders!$E$13:$E$101)=$F23)*(Adders!H$13:H$101)) + VLOOKUP($H23,Adders!$B$5:$G$8,N$11,FALSE)  +  IL!$D$2 ) * IF($D23="NJ",1.07,1))/$L$10, CHOOSE($M$10,$L$9,$M$9) )</f>
        <v xml:space="preserve"> 31.41 </v>
      </c>
      <c r="O23" s="112"/>
    </row>
    <row r="24" spans="2:15" x14ac:dyDescent="0.25">
      <c r="B24" s="108"/>
      <c r="C24" s="131">
        <f>+C23</f>
        <v>42248</v>
      </c>
      <c r="D24" s="132" t="s">
        <v>25</v>
      </c>
      <c r="E24" s="133" t="s">
        <v>26</v>
      </c>
      <c r="F24" s="132" t="s">
        <v>27</v>
      </c>
      <c r="G24" s="133" t="str">
        <f t="shared" si="0"/>
        <v>0 - 100 kW</v>
      </c>
      <c r="H24" s="134" t="s">
        <v>62</v>
      </c>
      <c r="I24" s="173" t="str">
        <f>TEXT(   (SUMPRODUCT( ((Main!$H$9:$H$1000)=$E24)*((Main!$J$9:$J$1000)=$F24)*((Main!$O$9:$O$1000)=$C24)*(Main!R$9:R$1000) ) +  ( SUMPRODUCT( ((Adders!$D$13:$D$101)=$E24)*((Adders!$E$13:$E$101)=$F24)*(Adders!G$13:G$101)) + VLOOKUP($H24,Adders!$B$5:$G$8,L$11,FALSE)  +  IL!$D$2 ) * IF($D24="NJ",1.07,1))/$L$10, CHOOSE($M$10,$L$9,$M$9) )</f>
        <v xml:space="preserve"> 66.52 </v>
      </c>
      <c r="J24" s="173" t="str">
        <f>TEXT(   (SUMPRODUCT( ((Main!$H$9:$H$1000)=$E24)*((Main!$J$9:$J$1000)=$F24)*((Main!$O$9:$O$1000)=$C24)*(Main!S$9:S$1000) ) +  ( SUMPRODUCT( ((Adders!$D$13:$D$101)=$E24)*((Adders!$E$13:$E$101)=$F24)*(Adders!H$13:H$101)) + VLOOKUP($H24,Adders!$B$5:$G$8,M$11,FALSE)  +  IL!$D$2 ) * IF($D24="NJ",1.07,1))/$L$10, CHOOSE($M$10,$L$9,$M$9) )</f>
        <v xml:space="preserve"> 64.46 </v>
      </c>
      <c r="K24" s="174" t="str">
        <f>TEXT(   (SUMPRODUCT( ((Main!$H$9:$H$1000)=$E24)*((Main!$J$9:$J$1000)=$F24)*((Main!$O$9:$O$1000)=$C24)*(Main!T$9:T$1000) ) +  ( SUMPRODUCT( ((Adders!$D$13:$D$101)=$E24)*((Adders!$E$13:$E$101)=$F24)*(Adders!I$13:I$101)) + VLOOKUP($H24,Adders!$B$5:$G$8,N$11,FALSE)  +  IL!$D$2 ) * IF($D24="NJ",1.07,1))/$L$10, CHOOSE($M$10,$L$9,$M$9) )</f>
        <v xml:space="preserve"> 65.15 </v>
      </c>
      <c r="L24" s="173" t="str">
        <f>TEXT(   (SUMPRODUCT( ((LMPMain!$H$9:$H$1000)=$E24)*((LMPMain!$J$9:$J$1000)=$F24)*((LMPMain!$O$9:$O$1000)=$C24)*(LMPMain!R$9:R$1000) ) +  ( SUMPRODUCT( ((Adders!$D$13:$D$101)=$E24)*((Adders!$E$13:$E$101)=$F24)*(Adders!F$13:F$101)) + VLOOKUP($H24,Adders!$B$5:$G$8,L$11,FALSE)  +  IL!$D$2 ) * IF($D24="NJ",1.07,1))/$L$10, CHOOSE($M$10,$L$9,$M$9) )</f>
        <v xml:space="preserve"> 31.76 </v>
      </c>
      <c r="M24" s="173" t="str">
        <f>TEXT(   (SUMPRODUCT( ((LMPMain!$H$9:$H$1000)=$E24)*((LMPMain!$J$9:$J$1000)=$F24)*((LMPMain!$O$9:$O$1000)=$C24)*(LMPMain!S$9:S$1000) ) +  ( SUMPRODUCT( ((Adders!$D$13:$D$101)=$E24)*((Adders!$E$13:$E$101)=$F24)*(Adders!G$13:G$101)) + VLOOKUP($H24,Adders!$B$5:$G$8,M$11,FALSE)  +  IL!$D$2 ) * IF($D24="NJ",1.07,1))/$L$10, CHOOSE($M$10,$L$9,$M$9) )</f>
        <v xml:space="preserve"> 29.96 </v>
      </c>
      <c r="N24" s="174" t="str">
        <f>TEXT(   (SUMPRODUCT( ((LMPMain!$H$9:$H$1000)=$E24)*((LMPMain!$J$9:$J$1000)=$F24)*((LMPMain!$O$9:$O$1000)=$C24)*(LMPMain!T$9:T$1000) ) +  ( SUMPRODUCT( ((Adders!$D$13:$D$101)=$E24)*((Adders!$E$13:$E$101)=$F24)*(Adders!H$13:H$101)) + VLOOKUP($H24,Adders!$B$5:$G$8,N$11,FALSE)  +  IL!$D$2 ) * IF($D24="NJ",1.07,1))/$L$10, CHOOSE($M$10,$L$9,$M$9) )</f>
        <v xml:space="preserve"> 29.81 </v>
      </c>
      <c r="O24" s="112"/>
    </row>
    <row r="25" spans="2:15" x14ac:dyDescent="0.25">
      <c r="B25" s="108"/>
      <c r="C25" s="135">
        <f>+C24</f>
        <v>42248</v>
      </c>
      <c r="D25" s="136" t="s">
        <v>25</v>
      </c>
      <c r="E25" s="137" t="s">
        <v>26</v>
      </c>
      <c r="F25" s="136" t="s">
        <v>27</v>
      </c>
      <c r="G25" s="137" t="str">
        <f t="shared" si="0"/>
        <v>0 - 100 kW</v>
      </c>
      <c r="H25" s="138" t="s">
        <v>690</v>
      </c>
      <c r="I25" s="176" t="str">
        <f>TEXT(   (SUMPRODUCT( ((Main!$H$9:$H$1000)=$E25)*((Main!$J$9:$J$1000)=$F25)*((Main!$O$9:$O$1000)=$C25)*(Main!R$9:R$1000) ) +  ( SUMPRODUCT( ((Adders!$D$13:$D$101)=$E25)*((Adders!$E$13:$E$101)=$F25)*(Adders!G$13:G$101)) + VLOOKUP($H25,Adders!$B$5:$G$8,L$11,FALSE)  +  IL!$D$2 ) * IF($D25="NJ",1.07,1))/$L$10, CHOOSE($M$10,$L$9,$M$9) )</f>
        <v xml:space="preserve"> 65.47 </v>
      </c>
      <c r="J25" s="176" t="str">
        <f>TEXT(   (SUMPRODUCT( ((Main!$H$9:$H$1000)=$E25)*((Main!$J$9:$J$1000)=$F25)*((Main!$O$9:$O$1000)=$C25)*(Main!S$9:S$1000) ) +  ( SUMPRODUCT( ((Adders!$D$13:$D$101)=$E25)*((Adders!$E$13:$E$101)=$F25)*(Adders!H$13:H$101)) + VLOOKUP($H25,Adders!$B$5:$G$8,M$11,FALSE)  +  IL!$D$2 ) * IF($D25="NJ",1.07,1))/$L$10, CHOOSE($M$10,$L$9,$M$9) )</f>
        <v xml:space="preserve"> 63.41 </v>
      </c>
      <c r="K25" s="177" t="str">
        <f>TEXT(   (SUMPRODUCT( ((Main!$H$9:$H$1000)=$E25)*((Main!$J$9:$J$1000)=$F25)*((Main!$O$9:$O$1000)=$C25)*(Main!T$9:T$1000) ) +  ( SUMPRODUCT( ((Adders!$D$13:$D$101)=$E25)*((Adders!$E$13:$E$101)=$F25)*(Adders!I$13:I$101)) + VLOOKUP($H25,Adders!$B$5:$G$8,N$11,FALSE)  +  IL!$D$2 ) * IF($D25="NJ",1.07,1))/$L$10, CHOOSE($M$10,$L$9,$M$9) )</f>
        <v xml:space="preserve"> 64.10 </v>
      </c>
      <c r="L25" s="176" t="str">
        <f>TEXT(   (SUMPRODUCT( ((LMPMain!$H$9:$H$1000)=$E25)*((LMPMain!$J$9:$J$1000)=$F25)*((LMPMain!$O$9:$O$1000)=$C25)*(LMPMain!R$9:R$1000) ) +  ( SUMPRODUCT( ((Adders!$D$13:$D$101)=$E25)*((Adders!$E$13:$E$101)=$F25)*(Adders!F$13:F$101)) + VLOOKUP($H25,Adders!$B$5:$G$8,L$11,FALSE)  +  IL!$D$2 ) * IF($D25="NJ",1.07,1))/$L$10, CHOOSE($M$10,$L$9,$M$9) )</f>
        <v xml:space="preserve"> 30.71 </v>
      </c>
      <c r="M25" s="176" t="str">
        <f>TEXT(   (SUMPRODUCT( ((LMPMain!$H$9:$H$1000)=$E25)*((LMPMain!$J$9:$J$1000)=$F25)*((LMPMain!$O$9:$O$1000)=$C25)*(LMPMain!S$9:S$1000) ) +  ( SUMPRODUCT( ((Adders!$D$13:$D$101)=$E25)*((Adders!$E$13:$E$101)=$F25)*(Adders!G$13:G$101)) + VLOOKUP($H25,Adders!$B$5:$G$8,M$11,FALSE)  +  IL!$D$2 ) * IF($D25="NJ",1.07,1))/$L$10, CHOOSE($M$10,$L$9,$M$9) )</f>
        <v xml:space="preserve"> 28.91 </v>
      </c>
      <c r="N25" s="177" t="str">
        <f>TEXT(   (SUMPRODUCT( ((LMPMain!$H$9:$H$1000)=$E25)*((LMPMain!$J$9:$J$1000)=$F25)*((LMPMain!$O$9:$O$1000)=$C25)*(LMPMain!T$9:T$1000) ) +  ( SUMPRODUCT( ((Adders!$D$13:$D$101)=$E25)*((Adders!$E$13:$E$101)=$F25)*(Adders!H$13:H$101)) + VLOOKUP($H25,Adders!$B$5:$G$8,N$11,FALSE)  +  IL!$D$2 ) * IF($D25="NJ",1.07,1))/$L$10, CHOOSE($M$10,$L$9,$M$9) )</f>
        <v xml:space="preserve"> 28.76 </v>
      </c>
      <c r="O25" s="112"/>
    </row>
    <row r="26" spans="2:15" x14ac:dyDescent="0.25">
      <c r="B26" s="108"/>
      <c r="C26" s="127">
        <f>DATE(YEAR(C25),MONTH(C25)+1,0)+1</f>
        <v>42278</v>
      </c>
      <c r="D26" s="128" t="s">
        <v>25</v>
      </c>
      <c r="E26" s="129" t="s">
        <v>26</v>
      </c>
      <c r="F26" s="128" t="s">
        <v>27</v>
      </c>
      <c r="G26" s="129" t="str">
        <f t="shared" si="0"/>
        <v>0 - 100 kW</v>
      </c>
      <c r="H26" s="130" t="s">
        <v>61</v>
      </c>
      <c r="I26" s="178" t="str">
        <f>TEXT(   (SUMPRODUCT( ((Main!$H$9:$H$1000)=$E26)*((Main!$J$9:$J$1000)=$F26)*((Main!$O$9:$O$1000)=$C26)*(Main!R$9:R$1000) ) +  ( SUMPRODUCT( ((Adders!$D$13:$D$101)=$E26)*((Adders!$E$13:$E$101)=$F26)*(Adders!G$13:G$101)) + VLOOKUP($H26,Adders!$B$5:$G$8,L$11,FALSE)  +  IL!$D$2 ) * IF($D26="NJ",1.07,1))/$L$10, CHOOSE($M$10,$L$9,$M$9) )</f>
        <v xml:space="preserve"> 67.51 </v>
      </c>
      <c r="J26" s="178" t="str">
        <f>TEXT(   (SUMPRODUCT( ((Main!$H$9:$H$1000)=$E26)*((Main!$J$9:$J$1000)=$F26)*((Main!$O$9:$O$1000)=$C26)*(Main!S$9:S$1000) ) +  ( SUMPRODUCT( ((Adders!$D$13:$D$101)=$E26)*((Adders!$E$13:$E$101)=$F26)*(Adders!H$13:H$101)) + VLOOKUP($H26,Adders!$B$5:$G$8,M$11,FALSE)  +  IL!$D$2 ) * IF($D26="NJ",1.07,1))/$L$10, CHOOSE($M$10,$L$9,$M$9) )</f>
        <v xml:space="preserve"> 66.12 </v>
      </c>
      <c r="K26" s="179" t="str">
        <f>TEXT(   (SUMPRODUCT( ((Main!$H$9:$H$1000)=$E26)*((Main!$J$9:$J$1000)=$F26)*((Main!$O$9:$O$1000)=$C26)*(Main!T$9:T$1000) ) +  ( SUMPRODUCT( ((Adders!$D$13:$D$101)=$E26)*((Adders!$E$13:$E$101)=$F26)*(Adders!I$13:I$101)) + VLOOKUP($H26,Adders!$B$5:$G$8,N$11,FALSE)  +  IL!$D$2 ) * IF($D26="NJ",1.07,1))/$L$10, CHOOSE($M$10,$L$9,$M$9) )</f>
        <v xml:space="preserve"> 66.75 </v>
      </c>
      <c r="L26" s="178" t="str">
        <f>TEXT(   (SUMPRODUCT( ((LMPMain!$H$9:$H$1000)=$E26)*((LMPMain!$J$9:$J$1000)=$F26)*((LMPMain!$O$9:$O$1000)=$C26)*(LMPMain!R$9:R$1000) ) +  ( SUMPRODUCT( ((Adders!$D$13:$D$101)=$E26)*((Adders!$E$13:$E$101)=$F26)*(Adders!F$13:F$101)) + VLOOKUP($H26,Adders!$B$5:$G$8,L$11,FALSE)  +  IL!$D$2 ) * IF($D26="NJ",1.07,1))/$L$10, CHOOSE($M$10,$L$9,$M$9) )</f>
        <v xml:space="preserve"> 32.74 </v>
      </c>
      <c r="M26" s="178" t="str">
        <f>TEXT(   (SUMPRODUCT( ((LMPMain!$H$9:$H$1000)=$E26)*((LMPMain!$J$9:$J$1000)=$F26)*((LMPMain!$O$9:$O$1000)=$C26)*(LMPMain!S$9:S$1000) ) +  ( SUMPRODUCT( ((Adders!$D$13:$D$101)=$E26)*((Adders!$E$13:$E$101)=$F26)*(Adders!G$13:G$101)) + VLOOKUP($H26,Adders!$B$5:$G$8,M$11,FALSE)  +  IL!$D$2 ) * IF($D26="NJ",1.07,1))/$L$10, CHOOSE($M$10,$L$9,$M$9) )</f>
        <v xml:space="preserve"> 31.24 </v>
      </c>
      <c r="N26" s="179" t="str">
        <f>TEXT(   (SUMPRODUCT( ((LMPMain!$H$9:$H$1000)=$E26)*((LMPMain!$J$9:$J$1000)=$F26)*((LMPMain!$O$9:$O$1000)=$C26)*(LMPMain!T$9:T$1000) ) +  ( SUMPRODUCT( ((Adders!$D$13:$D$101)=$E26)*((Adders!$E$13:$E$101)=$F26)*(Adders!H$13:H$101)) + VLOOKUP($H26,Adders!$B$5:$G$8,N$11,FALSE)  +  IL!$D$2 ) * IF($D26="NJ",1.07,1))/$L$10, CHOOSE($M$10,$L$9,$M$9) )</f>
        <v xml:space="preserve"> 31.39 </v>
      </c>
      <c r="O26" s="112"/>
    </row>
    <row r="27" spans="2:15" x14ac:dyDescent="0.25">
      <c r="B27" s="108"/>
      <c r="C27" s="131">
        <f>+C26</f>
        <v>42278</v>
      </c>
      <c r="D27" s="132" t="s">
        <v>25</v>
      </c>
      <c r="E27" s="133" t="s">
        <v>26</v>
      </c>
      <c r="F27" s="132" t="s">
        <v>27</v>
      </c>
      <c r="G27" s="133" t="str">
        <f t="shared" si="0"/>
        <v>0 - 100 kW</v>
      </c>
      <c r="H27" s="134" t="s">
        <v>62</v>
      </c>
      <c r="I27" s="173" t="str">
        <f>TEXT(   (SUMPRODUCT( ((Main!$H$9:$H$1000)=$E27)*((Main!$J$9:$J$1000)=$F27)*((Main!$O$9:$O$1000)=$C27)*(Main!R$9:R$1000) ) +  ( SUMPRODUCT( ((Adders!$D$13:$D$101)=$E27)*((Adders!$E$13:$E$101)=$F27)*(Adders!G$13:G$101)) + VLOOKUP($H27,Adders!$B$5:$G$8,L$11,FALSE)  +  IL!$D$2 ) * IF($D27="NJ",1.07,1))/$L$10, CHOOSE($M$10,$L$9,$M$9) )</f>
        <v xml:space="preserve"> 65.91 </v>
      </c>
      <c r="J27" s="173" t="str">
        <f>TEXT(   (SUMPRODUCT( ((Main!$H$9:$H$1000)=$E27)*((Main!$J$9:$J$1000)=$F27)*((Main!$O$9:$O$1000)=$C27)*(Main!S$9:S$1000) ) +  ( SUMPRODUCT( ((Adders!$D$13:$D$101)=$E27)*((Adders!$E$13:$E$101)=$F27)*(Adders!H$13:H$101)) + VLOOKUP($H27,Adders!$B$5:$G$8,M$11,FALSE)  +  IL!$D$2 ) * IF($D27="NJ",1.07,1))/$L$10, CHOOSE($M$10,$L$9,$M$9) )</f>
        <v xml:space="preserve"> 64.52 </v>
      </c>
      <c r="K27" s="174" t="str">
        <f>TEXT(   (SUMPRODUCT( ((Main!$H$9:$H$1000)=$E27)*((Main!$J$9:$J$1000)=$F27)*((Main!$O$9:$O$1000)=$C27)*(Main!T$9:T$1000) ) +  ( SUMPRODUCT( ((Adders!$D$13:$D$101)=$E27)*((Adders!$E$13:$E$101)=$F27)*(Adders!I$13:I$101)) + VLOOKUP($H27,Adders!$B$5:$G$8,N$11,FALSE)  +  IL!$D$2 ) * IF($D27="NJ",1.07,1))/$L$10, CHOOSE($M$10,$L$9,$M$9) )</f>
        <v xml:space="preserve"> 65.15 </v>
      </c>
      <c r="L27" s="173" t="str">
        <f>TEXT(   (SUMPRODUCT( ((LMPMain!$H$9:$H$1000)=$E27)*((LMPMain!$J$9:$J$1000)=$F27)*((LMPMain!$O$9:$O$1000)=$C27)*(LMPMain!R$9:R$1000) ) +  ( SUMPRODUCT( ((Adders!$D$13:$D$101)=$E27)*((Adders!$E$13:$E$101)=$F27)*(Adders!F$13:F$101)) + VLOOKUP($H27,Adders!$B$5:$G$8,L$11,FALSE)  +  IL!$D$2 ) * IF($D27="NJ",1.07,1))/$L$10, CHOOSE($M$10,$L$9,$M$9) )</f>
        <v xml:space="preserve"> 31.14 </v>
      </c>
      <c r="M27" s="173" t="str">
        <f>TEXT(   (SUMPRODUCT( ((LMPMain!$H$9:$H$1000)=$E27)*((LMPMain!$J$9:$J$1000)=$F27)*((LMPMain!$O$9:$O$1000)=$C27)*(LMPMain!S$9:S$1000) ) +  ( SUMPRODUCT( ((Adders!$D$13:$D$101)=$E27)*((Adders!$E$13:$E$101)=$F27)*(Adders!G$13:G$101)) + VLOOKUP($H27,Adders!$B$5:$G$8,M$11,FALSE)  +  IL!$D$2 ) * IF($D27="NJ",1.07,1))/$L$10, CHOOSE($M$10,$L$9,$M$9) )</f>
        <v xml:space="preserve"> 29.64 </v>
      </c>
      <c r="N27" s="174" t="str">
        <f>TEXT(   (SUMPRODUCT( ((LMPMain!$H$9:$H$1000)=$E27)*((LMPMain!$J$9:$J$1000)=$F27)*((LMPMain!$O$9:$O$1000)=$C27)*(LMPMain!T$9:T$1000) ) +  ( SUMPRODUCT( ((Adders!$D$13:$D$101)=$E27)*((Adders!$E$13:$E$101)=$F27)*(Adders!H$13:H$101)) + VLOOKUP($H27,Adders!$B$5:$G$8,N$11,FALSE)  +  IL!$D$2 ) * IF($D27="NJ",1.07,1))/$L$10, CHOOSE($M$10,$L$9,$M$9) )</f>
        <v xml:space="preserve"> 29.79 </v>
      </c>
      <c r="O27" s="112"/>
    </row>
    <row r="28" spans="2:15" x14ac:dyDescent="0.25">
      <c r="B28" s="108"/>
      <c r="C28" s="135">
        <f>+C27</f>
        <v>42278</v>
      </c>
      <c r="D28" s="136" t="s">
        <v>25</v>
      </c>
      <c r="E28" s="137" t="s">
        <v>26</v>
      </c>
      <c r="F28" s="136" t="s">
        <v>27</v>
      </c>
      <c r="G28" s="137" t="str">
        <f t="shared" si="0"/>
        <v>0 - 100 kW</v>
      </c>
      <c r="H28" s="138" t="s">
        <v>690</v>
      </c>
      <c r="I28" s="176" t="str">
        <f>TEXT(   (SUMPRODUCT( ((Main!$H$9:$H$1000)=$E28)*((Main!$J$9:$J$1000)=$F28)*((Main!$O$9:$O$1000)=$C28)*(Main!R$9:R$1000) ) +  ( SUMPRODUCT( ((Adders!$D$13:$D$101)=$E28)*((Adders!$E$13:$E$101)=$F28)*(Adders!G$13:G$101)) + VLOOKUP($H28,Adders!$B$5:$G$8,L$11,FALSE)  +  IL!$D$2 ) * IF($D28="NJ",1.07,1))/$L$10, CHOOSE($M$10,$L$9,$M$9) )</f>
        <v xml:space="preserve"> 64.86 </v>
      </c>
      <c r="J28" s="176" t="str">
        <f>TEXT(   (SUMPRODUCT( ((Main!$H$9:$H$1000)=$E28)*((Main!$J$9:$J$1000)=$F28)*((Main!$O$9:$O$1000)=$C28)*(Main!S$9:S$1000) ) +  ( SUMPRODUCT( ((Adders!$D$13:$D$101)=$E28)*((Adders!$E$13:$E$101)=$F28)*(Adders!H$13:H$101)) + VLOOKUP($H28,Adders!$B$5:$G$8,M$11,FALSE)  +  IL!$D$2 ) * IF($D28="NJ",1.07,1))/$L$10, CHOOSE($M$10,$L$9,$M$9) )</f>
        <v xml:space="preserve"> 63.47 </v>
      </c>
      <c r="K28" s="177" t="str">
        <f>TEXT(   (SUMPRODUCT( ((Main!$H$9:$H$1000)=$E28)*((Main!$J$9:$J$1000)=$F28)*((Main!$O$9:$O$1000)=$C28)*(Main!T$9:T$1000) ) +  ( SUMPRODUCT( ((Adders!$D$13:$D$101)=$E28)*((Adders!$E$13:$E$101)=$F28)*(Adders!I$13:I$101)) + VLOOKUP($H28,Adders!$B$5:$G$8,N$11,FALSE)  +  IL!$D$2 ) * IF($D28="NJ",1.07,1))/$L$10, CHOOSE($M$10,$L$9,$M$9) )</f>
        <v xml:space="preserve"> 64.10 </v>
      </c>
      <c r="L28" s="176" t="str">
        <f>TEXT(   (SUMPRODUCT( ((LMPMain!$H$9:$H$1000)=$E28)*((LMPMain!$J$9:$J$1000)=$F28)*((LMPMain!$O$9:$O$1000)=$C28)*(LMPMain!R$9:R$1000) ) +  ( SUMPRODUCT( ((Adders!$D$13:$D$101)=$E28)*((Adders!$E$13:$E$101)=$F28)*(Adders!F$13:F$101)) + VLOOKUP($H28,Adders!$B$5:$G$8,L$11,FALSE)  +  IL!$D$2 ) * IF($D28="NJ",1.07,1))/$L$10, CHOOSE($M$10,$L$9,$M$9) )</f>
        <v xml:space="preserve"> 30.09 </v>
      </c>
      <c r="M28" s="176" t="str">
        <f>TEXT(   (SUMPRODUCT( ((LMPMain!$H$9:$H$1000)=$E28)*((LMPMain!$J$9:$J$1000)=$F28)*((LMPMain!$O$9:$O$1000)=$C28)*(LMPMain!S$9:S$1000) ) +  ( SUMPRODUCT( ((Adders!$D$13:$D$101)=$E28)*((Adders!$E$13:$E$101)=$F28)*(Adders!G$13:G$101)) + VLOOKUP($H28,Adders!$B$5:$G$8,M$11,FALSE)  +  IL!$D$2 ) * IF($D28="NJ",1.07,1))/$L$10, CHOOSE($M$10,$L$9,$M$9) )</f>
        <v xml:space="preserve"> 28.59 </v>
      </c>
      <c r="N28" s="177" t="str">
        <f>TEXT(   (SUMPRODUCT( ((LMPMain!$H$9:$H$1000)=$E28)*((LMPMain!$J$9:$J$1000)=$F28)*((LMPMain!$O$9:$O$1000)=$C28)*(LMPMain!T$9:T$1000) ) +  ( SUMPRODUCT( ((Adders!$D$13:$D$101)=$E28)*((Adders!$E$13:$E$101)=$F28)*(Adders!H$13:H$101)) + VLOOKUP($H28,Adders!$B$5:$G$8,N$11,FALSE)  +  IL!$D$2 ) * IF($D28="NJ",1.07,1))/$L$10, CHOOSE($M$10,$L$9,$M$9) )</f>
        <v xml:space="preserve"> 28.74 </v>
      </c>
      <c r="O28" s="112"/>
    </row>
    <row r="29" spans="2:15" x14ac:dyDescent="0.25">
      <c r="B29" s="108"/>
      <c r="C29" s="127">
        <f>DATE(YEAR(C28),MONTH(C28)+1,0)+1</f>
        <v>42309</v>
      </c>
      <c r="D29" s="128" t="s">
        <v>25</v>
      </c>
      <c r="E29" s="129" t="s">
        <v>26</v>
      </c>
      <c r="F29" s="128" t="s">
        <v>27</v>
      </c>
      <c r="G29" s="129" t="str">
        <f t="shared" si="0"/>
        <v>0 - 100 kW</v>
      </c>
      <c r="H29" s="130" t="s">
        <v>61</v>
      </c>
      <c r="I29" s="178" t="str">
        <f>TEXT(   (SUMPRODUCT( ((Main!$H$9:$H$1000)=$E29)*((Main!$J$9:$J$1000)=$F29)*((Main!$O$9:$O$1000)=$C29)*(Main!R$9:R$1000) ) +  ( SUMPRODUCT( ((Adders!$D$13:$D$101)=$E29)*((Adders!$E$13:$E$101)=$F29)*(Adders!G$13:G$101)) + VLOOKUP($H29,Adders!$B$5:$G$8,L$11,FALSE)  +  IL!$D$2 ) * IF($D29="NJ",1.07,1))/$L$10, CHOOSE($M$10,$L$9,$M$9) )</f>
        <v xml:space="preserve"> 66.88 </v>
      </c>
      <c r="J29" s="178" t="str">
        <f>TEXT(   (SUMPRODUCT( ((Main!$H$9:$H$1000)=$E29)*((Main!$J$9:$J$1000)=$F29)*((Main!$O$9:$O$1000)=$C29)*(Main!S$9:S$1000) ) +  ( SUMPRODUCT( ((Adders!$D$13:$D$101)=$E29)*((Adders!$E$13:$E$101)=$F29)*(Adders!H$13:H$101)) + VLOOKUP($H29,Adders!$B$5:$G$8,M$11,FALSE)  +  IL!$D$2 ) * IF($D29="NJ",1.07,1))/$L$10, CHOOSE($M$10,$L$9,$M$9) )</f>
        <v xml:space="preserve"> 66.01 </v>
      </c>
      <c r="K29" s="179" t="str">
        <f>TEXT(   (SUMPRODUCT( ((Main!$H$9:$H$1000)=$E29)*((Main!$J$9:$J$1000)=$F29)*((Main!$O$9:$O$1000)=$C29)*(Main!T$9:T$1000) ) +  ( SUMPRODUCT( ((Adders!$D$13:$D$101)=$E29)*((Adders!$E$13:$E$101)=$F29)*(Adders!I$13:I$101)) + VLOOKUP($H29,Adders!$B$5:$G$8,N$11,FALSE)  +  IL!$D$2 ) * IF($D29="NJ",1.07,1))/$L$10, CHOOSE($M$10,$L$9,$M$9) )</f>
        <v xml:space="preserve"> 66.77 </v>
      </c>
      <c r="L29" s="178" t="str">
        <f>TEXT(   (SUMPRODUCT( ((LMPMain!$H$9:$H$1000)=$E29)*((LMPMain!$J$9:$J$1000)=$F29)*((LMPMain!$O$9:$O$1000)=$C29)*(LMPMain!R$9:R$1000) ) +  ( SUMPRODUCT( ((Adders!$D$13:$D$101)=$E29)*((Adders!$E$13:$E$101)=$F29)*(Adders!F$13:F$101)) + VLOOKUP($H29,Adders!$B$5:$G$8,L$11,FALSE)  +  IL!$D$2 ) * IF($D29="NJ",1.07,1))/$L$10, CHOOSE($M$10,$L$9,$M$9) )</f>
        <v xml:space="preserve"> 32.10 </v>
      </c>
      <c r="M29" s="178" t="str">
        <f>TEXT(   (SUMPRODUCT( ((LMPMain!$H$9:$H$1000)=$E29)*((LMPMain!$J$9:$J$1000)=$F29)*((LMPMain!$O$9:$O$1000)=$C29)*(LMPMain!S$9:S$1000) ) +  ( SUMPRODUCT( ((Adders!$D$13:$D$101)=$E29)*((Adders!$E$13:$E$101)=$F29)*(Adders!G$13:G$101)) + VLOOKUP($H29,Adders!$B$5:$G$8,M$11,FALSE)  +  IL!$D$2 ) * IF($D29="NJ",1.07,1))/$L$10, CHOOSE($M$10,$L$9,$M$9) )</f>
        <v xml:space="preserve"> 30.90 </v>
      </c>
      <c r="N29" s="179" t="str">
        <f>TEXT(   (SUMPRODUCT( ((LMPMain!$H$9:$H$1000)=$E29)*((LMPMain!$J$9:$J$1000)=$F29)*((LMPMain!$O$9:$O$1000)=$C29)*(LMPMain!T$9:T$1000) ) +  ( SUMPRODUCT( ((Adders!$D$13:$D$101)=$E29)*((Adders!$E$13:$E$101)=$F29)*(Adders!H$13:H$101)) + VLOOKUP($H29,Adders!$B$5:$G$8,N$11,FALSE)  +  IL!$D$2 ) * IF($D29="NJ",1.07,1))/$L$10, CHOOSE($M$10,$L$9,$M$9) )</f>
        <v xml:space="preserve"> 31.38 </v>
      </c>
      <c r="O29" s="112"/>
    </row>
    <row r="30" spans="2:15" x14ac:dyDescent="0.25">
      <c r="B30" s="108"/>
      <c r="C30" s="131">
        <f>+C29</f>
        <v>42309</v>
      </c>
      <c r="D30" s="132" t="s">
        <v>25</v>
      </c>
      <c r="E30" s="133" t="s">
        <v>26</v>
      </c>
      <c r="F30" s="132" t="s">
        <v>27</v>
      </c>
      <c r="G30" s="133" t="str">
        <f t="shared" si="0"/>
        <v>0 - 100 kW</v>
      </c>
      <c r="H30" s="134" t="s">
        <v>62</v>
      </c>
      <c r="I30" s="173" t="str">
        <f>TEXT(   (SUMPRODUCT( ((Main!$H$9:$H$1000)=$E30)*((Main!$J$9:$J$1000)=$F30)*((Main!$O$9:$O$1000)=$C30)*(Main!R$9:R$1000) ) +  ( SUMPRODUCT( ((Adders!$D$13:$D$101)=$E30)*((Adders!$E$13:$E$101)=$F30)*(Adders!G$13:G$101)) + VLOOKUP($H30,Adders!$B$5:$G$8,L$11,FALSE)  +  IL!$D$2 ) * IF($D30="NJ",1.07,1))/$L$10, CHOOSE($M$10,$L$9,$M$9) )</f>
        <v xml:space="preserve"> 65.28 </v>
      </c>
      <c r="J30" s="173" t="str">
        <f>TEXT(   (SUMPRODUCT( ((Main!$H$9:$H$1000)=$E30)*((Main!$J$9:$J$1000)=$F30)*((Main!$O$9:$O$1000)=$C30)*(Main!S$9:S$1000) ) +  ( SUMPRODUCT( ((Adders!$D$13:$D$101)=$E30)*((Adders!$E$13:$E$101)=$F30)*(Adders!H$13:H$101)) + VLOOKUP($H30,Adders!$B$5:$G$8,M$11,FALSE)  +  IL!$D$2 ) * IF($D30="NJ",1.07,1))/$L$10, CHOOSE($M$10,$L$9,$M$9) )</f>
        <v xml:space="preserve"> 64.41 </v>
      </c>
      <c r="K30" s="174" t="str">
        <f>TEXT(   (SUMPRODUCT( ((Main!$H$9:$H$1000)=$E30)*((Main!$J$9:$J$1000)=$F30)*((Main!$O$9:$O$1000)=$C30)*(Main!T$9:T$1000) ) +  ( SUMPRODUCT( ((Adders!$D$13:$D$101)=$E30)*((Adders!$E$13:$E$101)=$F30)*(Adders!I$13:I$101)) + VLOOKUP($H30,Adders!$B$5:$G$8,N$11,FALSE)  +  IL!$D$2 ) * IF($D30="NJ",1.07,1))/$L$10, CHOOSE($M$10,$L$9,$M$9) )</f>
        <v xml:space="preserve"> 65.17 </v>
      </c>
      <c r="L30" s="173" t="str">
        <f>TEXT(   (SUMPRODUCT( ((LMPMain!$H$9:$H$1000)=$E30)*((LMPMain!$J$9:$J$1000)=$F30)*((LMPMain!$O$9:$O$1000)=$C30)*(LMPMain!R$9:R$1000) ) +  ( SUMPRODUCT( ((Adders!$D$13:$D$101)=$E30)*((Adders!$E$13:$E$101)=$F30)*(Adders!F$13:F$101)) + VLOOKUP($H30,Adders!$B$5:$G$8,L$11,FALSE)  +  IL!$D$2 ) * IF($D30="NJ",1.07,1))/$L$10, CHOOSE($M$10,$L$9,$M$9) )</f>
        <v xml:space="preserve"> 30.50 </v>
      </c>
      <c r="M30" s="173" t="str">
        <f>TEXT(   (SUMPRODUCT( ((LMPMain!$H$9:$H$1000)=$E30)*((LMPMain!$J$9:$J$1000)=$F30)*((LMPMain!$O$9:$O$1000)=$C30)*(LMPMain!S$9:S$1000) ) +  ( SUMPRODUCT( ((Adders!$D$13:$D$101)=$E30)*((Adders!$E$13:$E$101)=$F30)*(Adders!G$13:G$101)) + VLOOKUP($H30,Adders!$B$5:$G$8,M$11,FALSE)  +  IL!$D$2 ) * IF($D30="NJ",1.07,1))/$L$10, CHOOSE($M$10,$L$9,$M$9) )</f>
        <v xml:space="preserve"> 29.30 </v>
      </c>
      <c r="N30" s="174" t="str">
        <f>TEXT(   (SUMPRODUCT( ((LMPMain!$H$9:$H$1000)=$E30)*((LMPMain!$J$9:$J$1000)=$F30)*((LMPMain!$O$9:$O$1000)=$C30)*(LMPMain!T$9:T$1000) ) +  ( SUMPRODUCT( ((Adders!$D$13:$D$101)=$E30)*((Adders!$E$13:$E$101)=$F30)*(Adders!H$13:H$101)) + VLOOKUP($H30,Adders!$B$5:$G$8,N$11,FALSE)  +  IL!$D$2 ) * IF($D30="NJ",1.07,1))/$L$10, CHOOSE($M$10,$L$9,$M$9) )</f>
        <v xml:space="preserve"> 29.78 </v>
      </c>
      <c r="O30" s="112"/>
    </row>
    <row r="31" spans="2:15" x14ac:dyDescent="0.25">
      <c r="B31" s="108"/>
      <c r="C31" s="135">
        <f>+C30</f>
        <v>42309</v>
      </c>
      <c r="D31" s="136" t="s">
        <v>25</v>
      </c>
      <c r="E31" s="137" t="s">
        <v>26</v>
      </c>
      <c r="F31" s="136" t="s">
        <v>27</v>
      </c>
      <c r="G31" s="137" t="str">
        <f t="shared" si="0"/>
        <v>0 - 100 kW</v>
      </c>
      <c r="H31" s="138" t="s">
        <v>690</v>
      </c>
      <c r="I31" s="176" t="str">
        <f>TEXT(   (SUMPRODUCT( ((Main!$H$9:$H$1000)=$E31)*((Main!$J$9:$J$1000)=$F31)*((Main!$O$9:$O$1000)=$C31)*(Main!R$9:R$1000) ) +  ( SUMPRODUCT( ((Adders!$D$13:$D$101)=$E31)*((Adders!$E$13:$E$101)=$F31)*(Adders!G$13:G$101)) + VLOOKUP($H31,Adders!$B$5:$G$8,L$11,FALSE)  +  IL!$D$2 ) * IF($D31="NJ",1.07,1))/$L$10, CHOOSE($M$10,$L$9,$M$9) )</f>
        <v xml:space="preserve"> 64.23 </v>
      </c>
      <c r="J31" s="176" t="str">
        <f>TEXT(   (SUMPRODUCT( ((Main!$H$9:$H$1000)=$E31)*((Main!$J$9:$J$1000)=$F31)*((Main!$O$9:$O$1000)=$C31)*(Main!S$9:S$1000) ) +  ( SUMPRODUCT( ((Adders!$D$13:$D$101)=$E31)*((Adders!$E$13:$E$101)=$F31)*(Adders!H$13:H$101)) + VLOOKUP($H31,Adders!$B$5:$G$8,M$11,FALSE)  +  IL!$D$2 ) * IF($D31="NJ",1.07,1))/$L$10, CHOOSE($M$10,$L$9,$M$9) )</f>
        <v xml:space="preserve"> 63.36 </v>
      </c>
      <c r="K31" s="177" t="str">
        <f>TEXT(   (SUMPRODUCT( ((Main!$H$9:$H$1000)=$E31)*((Main!$J$9:$J$1000)=$F31)*((Main!$O$9:$O$1000)=$C31)*(Main!T$9:T$1000) ) +  ( SUMPRODUCT( ((Adders!$D$13:$D$101)=$E31)*((Adders!$E$13:$E$101)=$F31)*(Adders!I$13:I$101)) + VLOOKUP($H31,Adders!$B$5:$G$8,N$11,FALSE)  +  IL!$D$2 ) * IF($D31="NJ",1.07,1))/$L$10, CHOOSE($M$10,$L$9,$M$9) )</f>
        <v xml:space="preserve"> 64.12 </v>
      </c>
      <c r="L31" s="176" t="str">
        <f>TEXT(   (SUMPRODUCT( ((LMPMain!$H$9:$H$1000)=$E31)*((LMPMain!$J$9:$J$1000)=$F31)*((LMPMain!$O$9:$O$1000)=$C31)*(LMPMain!R$9:R$1000) ) +  ( SUMPRODUCT( ((Adders!$D$13:$D$101)=$E31)*((Adders!$E$13:$E$101)=$F31)*(Adders!F$13:F$101)) + VLOOKUP($H31,Adders!$B$5:$G$8,L$11,FALSE)  +  IL!$D$2 ) * IF($D31="NJ",1.07,1))/$L$10, CHOOSE($M$10,$L$9,$M$9) )</f>
        <v xml:space="preserve"> 29.45 </v>
      </c>
      <c r="M31" s="176" t="str">
        <f>TEXT(   (SUMPRODUCT( ((LMPMain!$H$9:$H$1000)=$E31)*((LMPMain!$J$9:$J$1000)=$F31)*((LMPMain!$O$9:$O$1000)=$C31)*(LMPMain!S$9:S$1000) ) +  ( SUMPRODUCT( ((Adders!$D$13:$D$101)=$E31)*((Adders!$E$13:$E$101)=$F31)*(Adders!G$13:G$101)) + VLOOKUP($H31,Adders!$B$5:$G$8,M$11,FALSE)  +  IL!$D$2 ) * IF($D31="NJ",1.07,1))/$L$10, CHOOSE($M$10,$L$9,$M$9) )</f>
        <v xml:space="preserve"> 28.25 </v>
      </c>
      <c r="N31" s="177" t="str">
        <f>TEXT(   (SUMPRODUCT( ((LMPMain!$H$9:$H$1000)=$E31)*((LMPMain!$J$9:$J$1000)=$F31)*((LMPMain!$O$9:$O$1000)=$C31)*(LMPMain!T$9:T$1000) ) +  ( SUMPRODUCT( ((Adders!$D$13:$D$101)=$E31)*((Adders!$E$13:$E$101)=$F31)*(Adders!H$13:H$101)) + VLOOKUP($H31,Adders!$B$5:$G$8,N$11,FALSE)  +  IL!$D$2 ) * IF($D31="NJ",1.07,1))/$L$10, CHOOSE($M$10,$L$9,$M$9) )</f>
        <v xml:space="preserve"> 28.73 </v>
      </c>
      <c r="O31" s="112"/>
    </row>
    <row r="32" spans="2:15" x14ac:dyDescent="0.25">
      <c r="B32" s="108"/>
      <c r="C32" s="127">
        <f>DATE(YEAR(C31),MONTH(C31)+1,0)+1</f>
        <v>42339</v>
      </c>
      <c r="D32" s="128" t="s">
        <v>25</v>
      </c>
      <c r="E32" s="129" t="s">
        <v>26</v>
      </c>
      <c r="F32" s="128" t="s">
        <v>27</v>
      </c>
      <c r="G32" s="129" t="str">
        <f t="shared" si="0"/>
        <v>0 - 100 kW</v>
      </c>
      <c r="H32" s="130" t="s">
        <v>61</v>
      </c>
      <c r="I32" s="178" t="str">
        <f>TEXT(   (SUMPRODUCT( ((Main!$H$9:$H$1000)=$E32)*((Main!$J$9:$J$1000)=$F32)*((Main!$O$9:$O$1000)=$C32)*(Main!R$9:R$1000) ) +  ( SUMPRODUCT( ((Adders!$D$13:$D$101)=$E32)*((Adders!$E$13:$E$101)=$F32)*(Adders!G$13:G$101)) + VLOOKUP($H32,Adders!$B$5:$G$8,L$11,FALSE)  +  IL!$D$2 ) * IF($D32="NJ",1.07,1))/$L$10, CHOOSE($M$10,$L$9,$M$9) )</f>
        <v xml:space="preserve"> 66.31 </v>
      </c>
      <c r="J32" s="178" t="str">
        <f>TEXT(   (SUMPRODUCT( ((Main!$H$9:$H$1000)=$E32)*((Main!$J$9:$J$1000)=$F32)*((Main!$O$9:$O$1000)=$C32)*(Main!S$9:S$1000) ) +  ( SUMPRODUCT( ((Adders!$D$13:$D$101)=$E32)*((Adders!$E$13:$E$101)=$F32)*(Adders!H$13:H$101)) + VLOOKUP($H32,Adders!$B$5:$G$8,M$11,FALSE)  +  IL!$D$2 ) * IF($D32="NJ",1.07,1))/$L$10, CHOOSE($M$10,$L$9,$M$9) )</f>
        <v xml:space="preserve"> 65.80 </v>
      </c>
      <c r="K32" s="179" t="str">
        <f>TEXT(   (SUMPRODUCT( ((Main!$H$9:$H$1000)=$E32)*((Main!$J$9:$J$1000)=$F32)*((Main!$O$9:$O$1000)=$C32)*(Main!T$9:T$1000) ) +  ( SUMPRODUCT( ((Adders!$D$13:$D$101)=$E32)*((Adders!$E$13:$E$101)=$F32)*(Adders!I$13:I$101)) + VLOOKUP($H32,Adders!$B$5:$G$8,N$11,FALSE)  +  IL!$D$2 ) * IF($D32="NJ",1.07,1))/$L$10, CHOOSE($M$10,$L$9,$M$9) )</f>
        <v xml:space="preserve"> 66.79 </v>
      </c>
      <c r="L32" s="178" t="str">
        <f>TEXT(   (SUMPRODUCT( ((LMPMain!$H$9:$H$1000)=$E32)*((LMPMain!$J$9:$J$1000)=$F32)*((LMPMain!$O$9:$O$1000)=$C32)*(LMPMain!R$9:R$1000) ) +  ( SUMPRODUCT( ((Adders!$D$13:$D$101)=$E32)*((Adders!$E$13:$E$101)=$F32)*(Adders!F$13:F$101)) + VLOOKUP($H32,Adders!$B$5:$G$8,L$11,FALSE)  +  IL!$D$2 ) * IF($D32="NJ",1.07,1))/$L$10, CHOOSE($M$10,$L$9,$M$9) )</f>
        <v xml:space="preserve"> 31.47 </v>
      </c>
      <c r="M32" s="178" t="str">
        <f>TEXT(   (SUMPRODUCT( ((LMPMain!$H$9:$H$1000)=$E32)*((LMPMain!$J$9:$J$1000)=$F32)*((LMPMain!$O$9:$O$1000)=$C32)*(LMPMain!S$9:S$1000) ) +  ( SUMPRODUCT( ((Adders!$D$13:$D$101)=$E32)*((Adders!$E$13:$E$101)=$F32)*(Adders!G$13:G$101)) + VLOOKUP($H32,Adders!$B$5:$G$8,M$11,FALSE)  +  IL!$D$2 ) * IF($D32="NJ",1.07,1))/$L$10, CHOOSE($M$10,$L$9,$M$9) )</f>
        <v xml:space="preserve"> 30.50 </v>
      </c>
      <c r="N32" s="179" t="str">
        <f>TEXT(   (SUMPRODUCT( ((LMPMain!$H$9:$H$1000)=$E32)*((LMPMain!$J$9:$J$1000)=$F32)*((LMPMain!$O$9:$O$1000)=$C32)*(LMPMain!T$9:T$1000) ) +  ( SUMPRODUCT( ((Adders!$D$13:$D$101)=$E32)*((Adders!$E$13:$E$101)=$F32)*(Adders!H$13:H$101)) + VLOOKUP($H32,Adders!$B$5:$G$8,N$11,FALSE)  +  IL!$D$2 ) * IF($D32="NJ",1.07,1))/$L$10, CHOOSE($M$10,$L$9,$M$9) )</f>
        <v xml:space="preserve"> 31.35 </v>
      </c>
      <c r="O32" s="112"/>
    </row>
    <row r="33" spans="2:15" x14ac:dyDescent="0.25">
      <c r="B33" s="108"/>
      <c r="C33" s="131">
        <f>+C32</f>
        <v>42339</v>
      </c>
      <c r="D33" s="132" t="s">
        <v>25</v>
      </c>
      <c r="E33" s="133" t="s">
        <v>26</v>
      </c>
      <c r="F33" s="132" t="s">
        <v>27</v>
      </c>
      <c r="G33" s="133" t="str">
        <f t="shared" si="0"/>
        <v>0 - 100 kW</v>
      </c>
      <c r="H33" s="134" t="s">
        <v>62</v>
      </c>
      <c r="I33" s="173" t="str">
        <f>TEXT(   (SUMPRODUCT( ((Main!$H$9:$H$1000)=$E33)*((Main!$J$9:$J$1000)=$F33)*((Main!$O$9:$O$1000)=$C33)*(Main!R$9:R$1000) ) +  ( SUMPRODUCT( ((Adders!$D$13:$D$101)=$E33)*((Adders!$E$13:$E$101)=$F33)*(Adders!G$13:G$101)) + VLOOKUP($H33,Adders!$B$5:$G$8,L$11,FALSE)  +  IL!$D$2 ) * IF($D33="NJ",1.07,1))/$L$10, CHOOSE($M$10,$L$9,$M$9) )</f>
        <v xml:space="preserve"> 64.71 </v>
      </c>
      <c r="J33" s="173" t="str">
        <f>TEXT(   (SUMPRODUCT( ((Main!$H$9:$H$1000)=$E33)*((Main!$J$9:$J$1000)=$F33)*((Main!$O$9:$O$1000)=$C33)*(Main!S$9:S$1000) ) +  ( SUMPRODUCT( ((Adders!$D$13:$D$101)=$E33)*((Adders!$E$13:$E$101)=$F33)*(Adders!H$13:H$101)) + VLOOKUP($H33,Adders!$B$5:$G$8,M$11,FALSE)  +  IL!$D$2 ) * IF($D33="NJ",1.07,1))/$L$10, CHOOSE($M$10,$L$9,$M$9) )</f>
        <v xml:space="preserve"> 64.20 </v>
      </c>
      <c r="K33" s="174" t="str">
        <f>TEXT(   (SUMPRODUCT( ((Main!$H$9:$H$1000)=$E33)*((Main!$J$9:$J$1000)=$F33)*((Main!$O$9:$O$1000)=$C33)*(Main!T$9:T$1000) ) +  ( SUMPRODUCT( ((Adders!$D$13:$D$101)=$E33)*((Adders!$E$13:$E$101)=$F33)*(Adders!I$13:I$101)) + VLOOKUP($H33,Adders!$B$5:$G$8,N$11,FALSE)  +  IL!$D$2 ) * IF($D33="NJ",1.07,1))/$L$10, CHOOSE($M$10,$L$9,$M$9) )</f>
        <v xml:space="preserve"> 65.19 </v>
      </c>
      <c r="L33" s="173" t="str">
        <f>TEXT(   (SUMPRODUCT( ((LMPMain!$H$9:$H$1000)=$E33)*((LMPMain!$J$9:$J$1000)=$F33)*((LMPMain!$O$9:$O$1000)=$C33)*(LMPMain!R$9:R$1000) ) +  ( SUMPRODUCT( ((Adders!$D$13:$D$101)=$E33)*((Adders!$E$13:$E$101)=$F33)*(Adders!F$13:F$101)) + VLOOKUP($H33,Adders!$B$5:$G$8,L$11,FALSE)  +  IL!$D$2 ) * IF($D33="NJ",1.07,1))/$L$10, CHOOSE($M$10,$L$9,$M$9) )</f>
        <v xml:space="preserve"> 29.87 </v>
      </c>
      <c r="M33" s="173" t="str">
        <f>TEXT(   (SUMPRODUCT( ((LMPMain!$H$9:$H$1000)=$E33)*((LMPMain!$J$9:$J$1000)=$F33)*((LMPMain!$O$9:$O$1000)=$C33)*(LMPMain!S$9:S$1000) ) +  ( SUMPRODUCT( ((Adders!$D$13:$D$101)=$E33)*((Adders!$E$13:$E$101)=$F33)*(Adders!G$13:G$101)) + VLOOKUP($H33,Adders!$B$5:$G$8,M$11,FALSE)  +  IL!$D$2 ) * IF($D33="NJ",1.07,1))/$L$10, CHOOSE($M$10,$L$9,$M$9) )</f>
        <v xml:space="preserve"> 28.90 </v>
      </c>
      <c r="N33" s="174" t="str">
        <f>TEXT(   (SUMPRODUCT( ((LMPMain!$H$9:$H$1000)=$E33)*((LMPMain!$J$9:$J$1000)=$F33)*((LMPMain!$O$9:$O$1000)=$C33)*(LMPMain!T$9:T$1000) ) +  ( SUMPRODUCT( ((Adders!$D$13:$D$101)=$E33)*((Adders!$E$13:$E$101)=$F33)*(Adders!H$13:H$101)) + VLOOKUP($H33,Adders!$B$5:$G$8,N$11,FALSE)  +  IL!$D$2 ) * IF($D33="NJ",1.07,1))/$L$10, CHOOSE($M$10,$L$9,$M$9) )</f>
        <v xml:space="preserve"> 29.75 </v>
      </c>
      <c r="O33" s="112"/>
    </row>
    <row r="34" spans="2:15" x14ac:dyDescent="0.25">
      <c r="B34" s="108"/>
      <c r="C34" s="135">
        <f>+C33</f>
        <v>42339</v>
      </c>
      <c r="D34" s="136" t="s">
        <v>25</v>
      </c>
      <c r="E34" s="137" t="s">
        <v>26</v>
      </c>
      <c r="F34" s="136" t="s">
        <v>27</v>
      </c>
      <c r="G34" s="137" t="str">
        <f t="shared" si="0"/>
        <v>0 - 100 kW</v>
      </c>
      <c r="H34" s="138" t="s">
        <v>690</v>
      </c>
      <c r="I34" s="176" t="str">
        <f>TEXT(   (SUMPRODUCT( ((Main!$H$9:$H$1000)=$E34)*((Main!$J$9:$J$1000)=$F34)*((Main!$O$9:$O$1000)=$C34)*(Main!R$9:R$1000) ) +  ( SUMPRODUCT( ((Adders!$D$13:$D$101)=$E34)*((Adders!$E$13:$E$101)=$F34)*(Adders!G$13:G$101)) + VLOOKUP($H34,Adders!$B$5:$G$8,L$11,FALSE)  +  IL!$D$2 ) * IF($D34="NJ",1.07,1))/$L$10, CHOOSE($M$10,$L$9,$M$9) )</f>
        <v xml:space="preserve"> 63.66 </v>
      </c>
      <c r="J34" s="176" t="str">
        <f>TEXT(   (SUMPRODUCT( ((Main!$H$9:$H$1000)=$E34)*((Main!$J$9:$J$1000)=$F34)*((Main!$O$9:$O$1000)=$C34)*(Main!S$9:S$1000) ) +  ( SUMPRODUCT( ((Adders!$D$13:$D$101)=$E34)*((Adders!$E$13:$E$101)=$F34)*(Adders!H$13:H$101)) + VLOOKUP($H34,Adders!$B$5:$G$8,M$11,FALSE)  +  IL!$D$2 ) * IF($D34="NJ",1.07,1))/$L$10, CHOOSE($M$10,$L$9,$M$9) )</f>
        <v xml:space="preserve"> 63.15 </v>
      </c>
      <c r="K34" s="177" t="str">
        <f>TEXT(   (SUMPRODUCT( ((Main!$H$9:$H$1000)=$E34)*((Main!$J$9:$J$1000)=$F34)*((Main!$O$9:$O$1000)=$C34)*(Main!T$9:T$1000) ) +  ( SUMPRODUCT( ((Adders!$D$13:$D$101)=$E34)*((Adders!$E$13:$E$101)=$F34)*(Adders!I$13:I$101)) + VLOOKUP($H34,Adders!$B$5:$G$8,N$11,FALSE)  +  IL!$D$2 ) * IF($D34="NJ",1.07,1))/$L$10, CHOOSE($M$10,$L$9,$M$9) )</f>
        <v xml:space="preserve"> 64.14 </v>
      </c>
      <c r="L34" s="176" t="str">
        <f>TEXT(   (SUMPRODUCT( ((LMPMain!$H$9:$H$1000)=$E34)*((LMPMain!$J$9:$J$1000)=$F34)*((LMPMain!$O$9:$O$1000)=$C34)*(LMPMain!R$9:R$1000) ) +  ( SUMPRODUCT( ((Adders!$D$13:$D$101)=$E34)*((Adders!$E$13:$E$101)=$F34)*(Adders!F$13:F$101)) + VLOOKUP($H34,Adders!$B$5:$G$8,L$11,FALSE)  +  IL!$D$2 ) * IF($D34="NJ",1.07,1))/$L$10, CHOOSE($M$10,$L$9,$M$9) )</f>
        <v xml:space="preserve"> 28.82 </v>
      </c>
      <c r="M34" s="176" t="str">
        <f>TEXT(   (SUMPRODUCT( ((LMPMain!$H$9:$H$1000)=$E34)*((LMPMain!$J$9:$J$1000)=$F34)*((LMPMain!$O$9:$O$1000)=$C34)*(LMPMain!S$9:S$1000) ) +  ( SUMPRODUCT( ((Adders!$D$13:$D$101)=$E34)*((Adders!$E$13:$E$101)=$F34)*(Adders!G$13:G$101)) + VLOOKUP($H34,Adders!$B$5:$G$8,M$11,FALSE)  +  IL!$D$2 ) * IF($D34="NJ",1.07,1))/$L$10, CHOOSE($M$10,$L$9,$M$9) )</f>
        <v xml:space="preserve"> 27.85 </v>
      </c>
      <c r="N34" s="177" t="str">
        <f>TEXT(   (SUMPRODUCT( ((LMPMain!$H$9:$H$1000)=$E34)*((LMPMain!$J$9:$J$1000)=$F34)*((LMPMain!$O$9:$O$1000)=$C34)*(LMPMain!T$9:T$1000) ) +  ( SUMPRODUCT( ((Adders!$D$13:$D$101)=$E34)*((Adders!$E$13:$E$101)=$F34)*(Adders!H$13:H$101)) + VLOOKUP($H34,Adders!$B$5:$G$8,N$11,FALSE)  +  IL!$D$2 ) * IF($D34="NJ",1.07,1))/$L$10, CHOOSE($M$10,$L$9,$M$9) )</f>
        <v xml:space="preserve"> 28.70 </v>
      </c>
      <c r="O34" s="112"/>
    </row>
    <row r="35" spans="2:15" x14ac:dyDescent="0.25">
      <c r="B35" s="108"/>
      <c r="C35" s="127">
        <f>DATE(YEAR(C34),MONTH(C34)+1,0)+1</f>
        <v>42370</v>
      </c>
      <c r="D35" s="128" t="s">
        <v>25</v>
      </c>
      <c r="E35" s="129" t="s">
        <v>26</v>
      </c>
      <c r="F35" s="128" t="s">
        <v>27</v>
      </c>
      <c r="G35" s="129" t="str">
        <f t="shared" si="0"/>
        <v>0 - 100 kW</v>
      </c>
      <c r="H35" s="130" t="s">
        <v>61</v>
      </c>
      <c r="I35" s="178" t="str">
        <f>TEXT(   (SUMPRODUCT( ((Main!$H$9:$H$1000)=$E35)*((Main!$J$9:$J$1000)=$F35)*((Main!$O$9:$O$1000)=$C35)*(Main!R$9:R$1000) ) +  ( SUMPRODUCT( ((Adders!$D$13:$D$101)=$E35)*((Adders!$E$13:$E$101)=$F35)*(Adders!G$13:G$101)) + VLOOKUP($H35,Adders!$B$5:$G$8,L$11,FALSE)  +  IL!$D$2 ) * IF($D35="NJ",1.07,1))/$L$10, CHOOSE($M$10,$L$9,$M$9) )</f>
        <v xml:space="preserve"> 65.58 </v>
      </c>
      <c r="J35" s="178" t="str">
        <f>TEXT(   (SUMPRODUCT( ((Main!$H$9:$H$1000)=$E35)*((Main!$J$9:$J$1000)=$F35)*((Main!$O$9:$O$1000)=$C35)*(Main!S$9:S$1000) ) +  ( SUMPRODUCT( ((Adders!$D$13:$D$101)=$E35)*((Adders!$E$13:$E$101)=$F35)*(Adders!H$13:H$101)) + VLOOKUP($H35,Adders!$B$5:$G$8,M$11,FALSE)  +  IL!$D$2 ) * IF($D35="NJ",1.07,1))/$L$10, CHOOSE($M$10,$L$9,$M$9) )</f>
        <v xml:space="preserve"> 65.98 </v>
      </c>
      <c r="K35" s="179" t="str">
        <f>TEXT(   (SUMPRODUCT( ((Main!$H$9:$H$1000)=$E35)*((Main!$J$9:$J$1000)=$F35)*((Main!$O$9:$O$1000)=$C35)*(Main!T$9:T$1000) ) +  ( SUMPRODUCT( ((Adders!$D$13:$D$101)=$E35)*((Adders!$E$13:$E$101)=$F35)*(Adders!I$13:I$101)) + VLOOKUP($H35,Adders!$B$5:$G$8,N$11,FALSE)  +  IL!$D$2 ) * IF($D35="NJ",1.07,1))/$L$10, CHOOSE($M$10,$L$9,$M$9) )</f>
        <v xml:space="preserve"> 66.75 </v>
      </c>
      <c r="L35" s="178" t="str">
        <f>TEXT(   (SUMPRODUCT( ((LMPMain!$H$9:$H$1000)=$E35)*((LMPMain!$J$9:$J$1000)=$F35)*((LMPMain!$O$9:$O$1000)=$C35)*(LMPMain!R$9:R$1000) ) +  ( SUMPRODUCT( ((Adders!$D$13:$D$101)=$E35)*((Adders!$E$13:$E$101)=$F35)*(Adders!F$13:F$101)) + VLOOKUP($H35,Adders!$B$5:$G$8,L$11,FALSE)  +  IL!$D$2 ) * IF($D35="NJ",1.07,1))/$L$10, CHOOSE($M$10,$L$9,$M$9) )</f>
        <v xml:space="preserve"> 30.83 </v>
      </c>
      <c r="M35" s="178" t="str">
        <f>TEXT(   (SUMPRODUCT( ((LMPMain!$H$9:$H$1000)=$E35)*((LMPMain!$J$9:$J$1000)=$F35)*((LMPMain!$O$9:$O$1000)=$C35)*(LMPMain!S$9:S$1000) ) +  ( SUMPRODUCT( ((Adders!$D$13:$D$101)=$E35)*((Adders!$E$13:$E$101)=$F35)*(Adders!G$13:G$101)) + VLOOKUP($H35,Adders!$B$5:$G$8,M$11,FALSE)  +  IL!$D$2 ) * IF($D35="NJ",1.07,1))/$L$10, CHOOSE($M$10,$L$9,$M$9) )</f>
        <v xml:space="preserve"> 30.38 </v>
      </c>
      <c r="N35" s="179" t="str">
        <f>TEXT(   (SUMPRODUCT( ((LMPMain!$H$9:$H$1000)=$E35)*((LMPMain!$J$9:$J$1000)=$F35)*((LMPMain!$O$9:$O$1000)=$C35)*(LMPMain!T$9:T$1000) ) +  ( SUMPRODUCT( ((Adders!$D$13:$D$101)=$E35)*((Adders!$E$13:$E$101)=$F35)*(Adders!H$13:H$101)) + VLOOKUP($H35,Adders!$B$5:$G$8,N$11,FALSE)  +  IL!$D$2 ) * IF($D35="NJ",1.07,1))/$L$10, CHOOSE($M$10,$L$9,$M$9) )</f>
        <v xml:space="preserve"> 31.32 </v>
      </c>
      <c r="O35" s="112"/>
    </row>
    <row r="36" spans="2:15" x14ac:dyDescent="0.25">
      <c r="B36" s="108"/>
      <c r="C36" s="131">
        <f>+C35</f>
        <v>42370</v>
      </c>
      <c r="D36" s="132" t="s">
        <v>25</v>
      </c>
      <c r="E36" s="133" t="s">
        <v>26</v>
      </c>
      <c r="F36" s="132" t="s">
        <v>27</v>
      </c>
      <c r="G36" s="133" t="str">
        <f t="shared" si="0"/>
        <v>0 - 100 kW</v>
      </c>
      <c r="H36" s="134" t="s">
        <v>62</v>
      </c>
      <c r="I36" s="173" t="str">
        <f>TEXT(   (SUMPRODUCT( ((Main!$H$9:$H$1000)=$E36)*((Main!$J$9:$J$1000)=$F36)*((Main!$O$9:$O$1000)=$C36)*(Main!R$9:R$1000) ) +  ( SUMPRODUCT( ((Adders!$D$13:$D$101)=$E36)*((Adders!$E$13:$E$101)=$F36)*(Adders!G$13:G$101)) + VLOOKUP($H36,Adders!$B$5:$G$8,L$11,FALSE)  +  IL!$D$2 ) * IF($D36="NJ",1.07,1))/$L$10, CHOOSE($M$10,$L$9,$M$9) )</f>
        <v xml:space="preserve"> 63.98 </v>
      </c>
      <c r="J36" s="173" t="str">
        <f>TEXT(   (SUMPRODUCT( ((Main!$H$9:$H$1000)=$E36)*((Main!$J$9:$J$1000)=$F36)*((Main!$O$9:$O$1000)=$C36)*(Main!S$9:S$1000) ) +  ( SUMPRODUCT( ((Adders!$D$13:$D$101)=$E36)*((Adders!$E$13:$E$101)=$F36)*(Adders!H$13:H$101)) + VLOOKUP($H36,Adders!$B$5:$G$8,M$11,FALSE)  +  IL!$D$2 ) * IF($D36="NJ",1.07,1))/$L$10, CHOOSE($M$10,$L$9,$M$9) )</f>
        <v xml:space="preserve"> 64.38 </v>
      </c>
      <c r="K36" s="174" t="str">
        <f>TEXT(   (SUMPRODUCT( ((Main!$H$9:$H$1000)=$E36)*((Main!$J$9:$J$1000)=$F36)*((Main!$O$9:$O$1000)=$C36)*(Main!T$9:T$1000) ) +  ( SUMPRODUCT( ((Adders!$D$13:$D$101)=$E36)*((Adders!$E$13:$E$101)=$F36)*(Adders!I$13:I$101)) + VLOOKUP($H36,Adders!$B$5:$G$8,N$11,FALSE)  +  IL!$D$2 ) * IF($D36="NJ",1.07,1))/$L$10, CHOOSE($M$10,$L$9,$M$9) )</f>
        <v xml:space="preserve"> 65.15 </v>
      </c>
      <c r="L36" s="173" t="str">
        <f>TEXT(   (SUMPRODUCT( ((LMPMain!$H$9:$H$1000)=$E36)*((LMPMain!$J$9:$J$1000)=$F36)*((LMPMain!$O$9:$O$1000)=$C36)*(LMPMain!R$9:R$1000) ) +  ( SUMPRODUCT( ((Adders!$D$13:$D$101)=$E36)*((Adders!$E$13:$E$101)=$F36)*(Adders!F$13:F$101)) + VLOOKUP($H36,Adders!$B$5:$G$8,L$11,FALSE)  +  IL!$D$2 ) * IF($D36="NJ",1.07,1))/$L$10, CHOOSE($M$10,$L$9,$M$9) )</f>
        <v xml:space="preserve"> 29.23 </v>
      </c>
      <c r="M36" s="173" t="str">
        <f>TEXT(   (SUMPRODUCT( ((LMPMain!$H$9:$H$1000)=$E36)*((LMPMain!$J$9:$J$1000)=$F36)*((LMPMain!$O$9:$O$1000)=$C36)*(LMPMain!S$9:S$1000) ) +  ( SUMPRODUCT( ((Adders!$D$13:$D$101)=$E36)*((Adders!$E$13:$E$101)=$F36)*(Adders!G$13:G$101)) + VLOOKUP($H36,Adders!$B$5:$G$8,M$11,FALSE)  +  IL!$D$2 ) * IF($D36="NJ",1.07,1))/$L$10, CHOOSE($M$10,$L$9,$M$9) )</f>
        <v xml:space="preserve"> 28.78 </v>
      </c>
      <c r="N36" s="174" t="str">
        <f>TEXT(   (SUMPRODUCT( ((LMPMain!$H$9:$H$1000)=$E36)*((LMPMain!$J$9:$J$1000)=$F36)*((LMPMain!$O$9:$O$1000)=$C36)*(LMPMain!T$9:T$1000) ) +  ( SUMPRODUCT( ((Adders!$D$13:$D$101)=$E36)*((Adders!$E$13:$E$101)=$F36)*(Adders!H$13:H$101)) + VLOOKUP($H36,Adders!$B$5:$G$8,N$11,FALSE)  +  IL!$D$2 ) * IF($D36="NJ",1.07,1))/$L$10, CHOOSE($M$10,$L$9,$M$9) )</f>
        <v xml:space="preserve"> 29.72 </v>
      </c>
      <c r="O36" s="112"/>
    </row>
    <row r="37" spans="2:15" x14ac:dyDescent="0.25">
      <c r="B37" s="108"/>
      <c r="C37" s="135">
        <f>+C36</f>
        <v>42370</v>
      </c>
      <c r="D37" s="136" t="s">
        <v>25</v>
      </c>
      <c r="E37" s="137" t="s">
        <v>26</v>
      </c>
      <c r="F37" s="136" t="s">
        <v>27</v>
      </c>
      <c r="G37" s="137" t="str">
        <f t="shared" si="0"/>
        <v>0 - 100 kW</v>
      </c>
      <c r="H37" s="138" t="s">
        <v>690</v>
      </c>
      <c r="I37" s="176" t="str">
        <f>TEXT(   (SUMPRODUCT( ((Main!$H$9:$H$1000)=$E37)*((Main!$J$9:$J$1000)=$F37)*((Main!$O$9:$O$1000)=$C37)*(Main!R$9:R$1000) ) +  ( SUMPRODUCT( ((Adders!$D$13:$D$101)=$E37)*((Adders!$E$13:$E$101)=$F37)*(Adders!G$13:G$101)) + VLOOKUP($H37,Adders!$B$5:$G$8,L$11,FALSE)  +  IL!$D$2 ) * IF($D37="NJ",1.07,1))/$L$10, CHOOSE($M$10,$L$9,$M$9) )</f>
        <v xml:space="preserve"> 62.93 </v>
      </c>
      <c r="J37" s="176" t="str">
        <f>TEXT(   (SUMPRODUCT( ((Main!$H$9:$H$1000)=$E37)*((Main!$J$9:$J$1000)=$F37)*((Main!$O$9:$O$1000)=$C37)*(Main!S$9:S$1000) ) +  ( SUMPRODUCT( ((Adders!$D$13:$D$101)=$E37)*((Adders!$E$13:$E$101)=$F37)*(Adders!H$13:H$101)) + VLOOKUP($H37,Adders!$B$5:$G$8,M$11,FALSE)  +  IL!$D$2 ) * IF($D37="NJ",1.07,1))/$L$10, CHOOSE($M$10,$L$9,$M$9) )</f>
        <v xml:space="preserve"> 63.33 </v>
      </c>
      <c r="K37" s="177" t="str">
        <f>TEXT(   (SUMPRODUCT( ((Main!$H$9:$H$1000)=$E37)*((Main!$J$9:$J$1000)=$F37)*((Main!$O$9:$O$1000)=$C37)*(Main!T$9:T$1000) ) +  ( SUMPRODUCT( ((Adders!$D$13:$D$101)=$E37)*((Adders!$E$13:$E$101)=$F37)*(Adders!I$13:I$101)) + VLOOKUP($H37,Adders!$B$5:$G$8,N$11,FALSE)  +  IL!$D$2 ) * IF($D37="NJ",1.07,1))/$L$10, CHOOSE($M$10,$L$9,$M$9) )</f>
        <v xml:space="preserve"> 64.10 </v>
      </c>
      <c r="L37" s="176" t="str">
        <f>TEXT(   (SUMPRODUCT( ((LMPMain!$H$9:$H$1000)=$E37)*((LMPMain!$J$9:$J$1000)=$F37)*((LMPMain!$O$9:$O$1000)=$C37)*(LMPMain!R$9:R$1000) ) +  ( SUMPRODUCT( ((Adders!$D$13:$D$101)=$E37)*((Adders!$E$13:$E$101)=$F37)*(Adders!F$13:F$101)) + VLOOKUP($H37,Adders!$B$5:$G$8,L$11,FALSE)  +  IL!$D$2 ) * IF($D37="NJ",1.07,1))/$L$10, CHOOSE($M$10,$L$9,$M$9) )</f>
        <v xml:space="preserve"> 28.18 </v>
      </c>
      <c r="M37" s="176" t="str">
        <f>TEXT(   (SUMPRODUCT( ((LMPMain!$H$9:$H$1000)=$E37)*((LMPMain!$J$9:$J$1000)=$F37)*((LMPMain!$O$9:$O$1000)=$C37)*(LMPMain!S$9:S$1000) ) +  ( SUMPRODUCT( ((Adders!$D$13:$D$101)=$E37)*((Adders!$E$13:$E$101)=$F37)*(Adders!G$13:G$101)) + VLOOKUP($H37,Adders!$B$5:$G$8,M$11,FALSE)  +  IL!$D$2 ) * IF($D37="NJ",1.07,1))/$L$10, CHOOSE($M$10,$L$9,$M$9) )</f>
        <v xml:space="preserve"> 27.73 </v>
      </c>
      <c r="N37" s="177" t="str">
        <f>TEXT(   (SUMPRODUCT( ((LMPMain!$H$9:$H$1000)=$E37)*((LMPMain!$J$9:$J$1000)=$F37)*((LMPMain!$O$9:$O$1000)=$C37)*(LMPMain!T$9:T$1000) ) +  ( SUMPRODUCT( ((Adders!$D$13:$D$101)=$E37)*((Adders!$E$13:$E$101)=$F37)*(Adders!H$13:H$101)) + VLOOKUP($H37,Adders!$B$5:$G$8,N$11,FALSE)  +  IL!$D$2 ) * IF($D37="NJ",1.07,1))/$L$10, CHOOSE($M$10,$L$9,$M$9) )</f>
        <v xml:space="preserve"> 28.67 </v>
      </c>
      <c r="O37" s="112"/>
    </row>
    <row r="38" spans="2:15" x14ac:dyDescent="0.25">
      <c r="B38" s="108"/>
      <c r="C38" s="127">
        <f>DATE(YEAR(C37),MONTH(C37)+1,0)+1</f>
        <v>42401</v>
      </c>
      <c r="D38" s="128" t="s">
        <v>25</v>
      </c>
      <c r="E38" s="129" t="s">
        <v>26</v>
      </c>
      <c r="F38" s="128" t="s">
        <v>27</v>
      </c>
      <c r="G38" s="129" t="str">
        <f t="shared" si="0"/>
        <v>0 - 100 kW</v>
      </c>
      <c r="H38" s="130" t="s">
        <v>61</v>
      </c>
      <c r="I38" s="178" t="str">
        <f>TEXT(   (SUMPRODUCT( ((Main!$H$9:$H$1000)=$E38)*((Main!$J$9:$J$1000)=$F38)*((Main!$O$9:$O$1000)=$C38)*(Main!R$9:R$1000) ) +  ( SUMPRODUCT( ((Adders!$D$13:$D$101)=$E38)*((Adders!$E$13:$E$101)=$F38)*(Adders!G$13:G$101)) + VLOOKUP($H38,Adders!$B$5:$G$8,L$11,FALSE)  +  IL!$D$2 ) * IF($D38="NJ",1.07,1))/$L$10, CHOOSE($M$10,$L$9,$M$9) )</f>
        <v xml:space="preserve"> 65.24 </v>
      </c>
      <c r="J38" s="178" t="str">
        <f>TEXT(   (SUMPRODUCT( ((Main!$H$9:$H$1000)=$E38)*((Main!$J$9:$J$1000)=$F38)*((Main!$O$9:$O$1000)=$C38)*(Main!S$9:S$1000) ) +  ( SUMPRODUCT( ((Adders!$D$13:$D$101)=$E38)*((Adders!$E$13:$E$101)=$F38)*(Adders!H$13:H$101)) + VLOOKUP($H38,Adders!$B$5:$G$8,M$11,FALSE)  +  IL!$D$2 ) * IF($D38="NJ",1.07,1))/$L$10, CHOOSE($M$10,$L$9,$M$9) )</f>
        <v xml:space="preserve"> 66.19 </v>
      </c>
      <c r="K38" s="179" t="str">
        <f>TEXT(   (SUMPRODUCT( ((Main!$H$9:$H$1000)=$E38)*((Main!$J$9:$J$1000)=$F38)*((Main!$O$9:$O$1000)=$C38)*(Main!T$9:T$1000) ) +  ( SUMPRODUCT( ((Adders!$D$13:$D$101)=$E38)*((Adders!$E$13:$E$101)=$F38)*(Adders!I$13:I$101)) + VLOOKUP($H38,Adders!$B$5:$G$8,N$11,FALSE)  +  IL!$D$2 ) * IF($D38="NJ",1.07,1))/$L$10, CHOOSE($M$10,$L$9,$M$9) )</f>
        <v xml:space="preserve"> 66.94 </v>
      </c>
      <c r="L38" s="178" t="str">
        <f>TEXT(   (SUMPRODUCT( ((LMPMain!$H$9:$H$1000)=$E38)*((LMPMain!$J$9:$J$1000)=$F38)*((LMPMain!$O$9:$O$1000)=$C38)*(LMPMain!R$9:R$1000) ) +  ( SUMPRODUCT( ((Adders!$D$13:$D$101)=$E38)*((Adders!$E$13:$E$101)=$F38)*(Adders!F$13:F$101)) + VLOOKUP($H38,Adders!$B$5:$G$8,L$11,FALSE)  +  IL!$D$2 ) * IF($D38="NJ",1.07,1))/$L$10, CHOOSE($M$10,$L$9,$M$9) )</f>
        <v xml:space="preserve"> 30.19 </v>
      </c>
      <c r="M38" s="178" t="str">
        <f>TEXT(   (SUMPRODUCT( ((LMPMain!$H$9:$H$1000)=$E38)*((LMPMain!$J$9:$J$1000)=$F38)*((LMPMain!$O$9:$O$1000)=$C38)*(LMPMain!S$9:S$1000) ) +  ( SUMPRODUCT( ((Adders!$D$13:$D$101)=$E38)*((Adders!$E$13:$E$101)=$F38)*(Adders!G$13:G$101)) + VLOOKUP($H38,Adders!$B$5:$G$8,M$11,FALSE)  +  IL!$D$2 ) * IF($D38="NJ",1.07,1))/$L$10, CHOOSE($M$10,$L$9,$M$9) )</f>
        <v xml:space="preserve"> 30.18 </v>
      </c>
      <c r="N38" s="179" t="str">
        <f>TEXT(   (SUMPRODUCT( ((LMPMain!$H$9:$H$1000)=$E38)*((LMPMain!$J$9:$J$1000)=$F38)*((LMPMain!$O$9:$O$1000)=$C38)*(LMPMain!T$9:T$1000) ) +  ( SUMPRODUCT( ((Adders!$D$13:$D$101)=$E38)*((Adders!$E$13:$E$101)=$F38)*(Adders!H$13:H$101)) + VLOOKUP($H38,Adders!$B$5:$G$8,N$11,FALSE)  +  IL!$D$2 ) * IF($D38="NJ",1.07,1))/$L$10, CHOOSE($M$10,$L$9,$M$9) )</f>
        <v xml:space="preserve"> 31.30 </v>
      </c>
      <c r="O38" s="112"/>
    </row>
    <row r="39" spans="2:15" x14ac:dyDescent="0.25">
      <c r="B39" s="108"/>
      <c r="C39" s="131">
        <f>+C38</f>
        <v>42401</v>
      </c>
      <c r="D39" s="132" t="s">
        <v>25</v>
      </c>
      <c r="E39" s="133" t="s">
        <v>26</v>
      </c>
      <c r="F39" s="132" t="s">
        <v>27</v>
      </c>
      <c r="G39" s="133" t="str">
        <f t="shared" si="0"/>
        <v>0 - 100 kW</v>
      </c>
      <c r="H39" s="134" t="s">
        <v>62</v>
      </c>
      <c r="I39" s="173" t="str">
        <f>TEXT(   (SUMPRODUCT( ((Main!$H$9:$H$1000)=$E39)*((Main!$J$9:$J$1000)=$F39)*((Main!$O$9:$O$1000)=$C39)*(Main!R$9:R$1000) ) +  ( SUMPRODUCT( ((Adders!$D$13:$D$101)=$E39)*((Adders!$E$13:$E$101)=$F39)*(Adders!G$13:G$101)) + VLOOKUP($H39,Adders!$B$5:$G$8,L$11,FALSE)  +  IL!$D$2 ) * IF($D39="NJ",1.07,1))/$L$10, CHOOSE($M$10,$L$9,$M$9) )</f>
        <v xml:space="preserve"> 63.64 </v>
      </c>
      <c r="J39" s="173" t="str">
        <f>TEXT(   (SUMPRODUCT( ((Main!$H$9:$H$1000)=$E39)*((Main!$J$9:$J$1000)=$F39)*((Main!$O$9:$O$1000)=$C39)*(Main!S$9:S$1000) ) +  ( SUMPRODUCT( ((Adders!$D$13:$D$101)=$E39)*((Adders!$E$13:$E$101)=$F39)*(Adders!H$13:H$101)) + VLOOKUP($H39,Adders!$B$5:$G$8,M$11,FALSE)  +  IL!$D$2 ) * IF($D39="NJ",1.07,1))/$L$10, CHOOSE($M$10,$L$9,$M$9) )</f>
        <v xml:space="preserve"> 64.59 </v>
      </c>
      <c r="K39" s="174" t="str">
        <f>TEXT(   (SUMPRODUCT( ((Main!$H$9:$H$1000)=$E39)*((Main!$J$9:$J$1000)=$F39)*((Main!$O$9:$O$1000)=$C39)*(Main!T$9:T$1000) ) +  ( SUMPRODUCT( ((Adders!$D$13:$D$101)=$E39)*((Adders!$E$13:$E$101)=$F39)*(Adders!I$13:I$101)) + VLOOKUP($H39,Adders!$B$5:$G$8,N$11,FALSE)  +  IL!$D$2 ) * IF($D39="NJ",1.07,1))/$L$10, CHOOSE($M$10,$L$9,$M$9) )</f>
        <v xml:space="preserve"> 65.34 </v>
      </c>
      <c r="L39" s="173" t="str">
        <f>TEXT(   (SUMPRODUCT( ((LMPMain!$H$9:$H$1000)=$E39)*((LMPMain!$J$9:$J$1000)=$F39)*((LMPMain!$O$9:$O$1000)=$C39)*(LMPMain!R$9:R$1000) ) +  ( SUMPRODUCT( ((Adders!$D$13:$D$101)=$E39)*((Adders!$E$13:$E$101)=$F39)*(Adders!F$13:F$101)) + VLOOKUP($H39,Adders!$B$5:$G$8,L$11,FALSE)  +  IL!$D$2 ) * IF($D39="NJ",1.07,1))/$L$10, CHOOSE($M$10,$L$9,$M$9) )</f>
        <v xml:space="preserve"> 28.59 </v>
      </c>
      <c r="M39" s="173" t="str">
        <f>TEXT(   (SUMPRODUCT( ((LMPMain!$H$9:$H$1000)=$E39)*((LMPMain!$J$9:$J$1000)=$F39)*((LMPMain!$O$9:$O$1000)=$C39)*(LMPMain!S$9:S$1000) ) +  ( SUMPRODUCT( ((Adders!$D$13:$D$101)=$E39)*((Adders!$E$13:$E$101)=$F39)*(Adders!G$13:G$101)) + VLOOKUP($H39,Adders!$B$5:$G$8,M$11,FALSE)  +  IL!$D$2 ) * IF($D39="NJ",1.07,1))/$L$10, CHOOSE($M$10,$L$9,$M$9) )</f>
        <v xml:space="preserve"> 28.58 </v>
      </c>
      <c r="N39" s="174" t="str">
        <f>TEXT(   (SUMPRODUCT( ((LMPMain!$H$9:$H$1000)=$E39)*((LMPMain!$J$9:$J$1000)=$F39)*((LMPMain!$O$9:$O$1000)=$C39)*(LMPMain!T$9:T$1000) ) +  ( SUMPRODUCT( ((Adders!$D$13:$D$101)=$E39)*((Adders!$E$13:$E$101)=$F39)*(Adders!H$13:H$101)) + VLOOKUP($H39,Adders!$B$5:$G$8,N$11,FALSE)  +  IL!$D$2 ) * IF($D39="NJ",1.07,1))/$L$10, CHOOSE($M$10,$L$9,$M$9) )</f>
        <v xml:space="preserve"> 29.70 </v>
      </c>
      <c r="O39" s="112"/>
    </row>
    <row r="40" spans="2:15" x14ac:dyDescent="0.25">
      <c r="B40" s="108"/>
      <c r="C40" s="135">
        <f>+C39</f>
        <v>42401</v>
      </c>
      <c r="D40" s="136" t="s">
        <v>25</v>
      </c>
      <c r="E40" s="137" t="s">
        <v>26</v>
      </c>
      <c r="F40" s="136" t="s">
        <v>27</v>
      </c>
      <c r="G40" s="137" t="str">
        <f t="shared" si="0"/>
        <v>0 - 100 kW</v>
      </c>
      <c r="H40" s="138" t="s">
        <v>690</v>
      </c>
      <c r="I40" s="176" t="str">
        <f>TEXT(   (SUMPRODUCT( ((Main!$H$9:$H$1000)=$E40)*((Main!$J$9:$J$1000)=$F40)*((Main!$O$9:$O$1000)=$C40)*(Main!R$9:R$1000) ) +  ( SUMPRODUCT( ((Adders!$D$13:$D$101)=$E40)*((Adders!$E$13:$E$101)=$F40)*(Adders!G$13:G$101)) + VLOOKUP($H40,Adders!$B$5:$G$8,L$11,FALSE)  +  IL!$D$2 ) * IF($D40="NJ",1.07,1))/$L$10, CHOOSE($M$10,$L$9,$M$9) )</f>
        <v xml:space="preserve"> 62.59 </v>
      </c>
      <c r="J40" s="176" t="str">
        <f>TEXT(   (SUMPRODUCT( ((Main!$H$9:$H$1000)=$E40)*((Main!$J$9:$J$1000)=$F40)*((Main!$O$9:$O$1000)=$C40)*(Main!S$9:S$1000) ) +  ( SUMPRODUCT( ((Adders!$D$13:$D$101)=$E40)*((Adders!$E$13:$E$101)=$F40)*(Adders!H$13:H$101)) + VLOOKUP($H40,Adders!$B$5:$G$8,M$11,FALSE)  +  IL!$D$2 ) * IF($D40="NJ",1.07,1))/$L$10, CHOOSE($M$10,$L$9,$M$9) )</f>
        <v xml:space="preserve"> 63.54 </v>
      </c>
      <c r="K40" s="177" t="str">
        <f>TEXT(   (SUMPRODUCT( ((Main!$H$9:$H$1000)=$E40)*((Main!$J$9:$J$1000)=$F40)*((Main!$O$9:$O$1000)=$C40)*(Main!T$9:T$1000) ) +  ( SUMPRODUCT( ((Adders!$D$13:$D$101)=$E40)*((Adders!$E$13:$E$101)=$F40)*(Adders!I$13:I$101)) + VLOOKUP($H40,Adders!$B$5:$G$8,N$11,FALSE)  +  IL!$D$2 ) * IF($D40="NJ",1.07,1))/$L$10, CHOOSE($M$10,$L$9,$M$9) )</f>
        <v xml:space="preserve"> 64.29 </v>
      </c>
      <c r="L40" s="176" t="str">
        <f>TEXT(   (SUMPRODUCT( ((LMPMain!$H$9:$H$1000)=$E40)*((LMPMain!$J$9:$J$1000)=$F40)*((LMPMain!$O$9:$O$1000)=$C40)*(LMPMain!R$9:R$1000) ) +  ( SUMPRODUCT( ((Adders!$D$13:$D$101)=$E40)*((Adders!$E$13:$E$101)=$F40)*(Adders!F$13:F$101)) + VLOOKUP($H40,Adders!$B$5:$G$8,L$11,FALSE)  +  IL!$D$2 ) * IF($D40="NJ",1.07,1))/$L$10, CHOOSE($M$10,$L$9,$M$9) )</f>
        <v xml:space="preserve"> 27.54 </v>
      </c>
      <c r="M40" s="176" t="str">
        <f>TEXT(   (SUMPRODUCT( ((LMPMain!$H$9:$H$1000)=$E40)*((LMPMain!$J$9:$J$1000)=$F40)*((LMPMain!$O$9:$O$1000)=$C40)*(LMPMain!S$9:S$1000) ) +  ( SUMPRODUCT( ((Adders!$D$13:$D$101)=$E40)*((Adders!$E$13:$E$101)=$F40)*(Adders!G$13:G$101)) + VLOOKUP($H40,Adders!$B$5:$G$8,M$11,FALSE)  +  IL!$D$2 ) * IF($D40="NJ",1.07,1))/$L$10, CHOOSE($M$10,$L$9,$M$9) )</f>
        <v xml:space="preserve"> 27.53 </v>
      </c>
      <c r="N40" s="177" t="str">
        <f>TEXT(   (SUMPRODUCT( ((LMPMain!$H$9:$H$1000)=$E40)*((LMPMain!$J$9:$J$1000)=$F40)*((LMPMain!$O$9:$O$1000)=$C40)*(LMPMain!T$9:T$1000) ) +  ( SUMPRODUCT( ((Adders!$D$13:$D$101)=$E40)*((Adders!$E$13:$E$101)=$F40)*(Adders!H$13:H$101)) + VLOOKUP($H40,Adders!$B$5:$G$8,N$11,FALSE)  +  IL!$D$2 ) * IF($D40="NJ",1.07,1))/$L$10, CHOOSE($M$10,$L$9,$M$9) )</f>
        <v xml:space="preserve"> 28.65 </v>
      </c>
      <c r="O40" s="112"/>
    </row>
    <row r="41" spans="2:15" x14ac:dyDescent="0.25">
      <c r="B41" s="108"/>
      <c r="C41" s="127">
        <f>DATE(YEAR(C40),MONTH(C40)+1,0)+1</f>
        <v>42430</v>
      </c>
      <c r="D41" s="128" t="s">
        <v>25</v>
      </c>
      <c r="E41" s="129" t="s">
        <v>26</v>
      </c>
      <c r="F41" s="128" t="s">
        <v>27</v>
      </c>
      <c r="G41" s="129" t="str">
        <f t="shared" si="0"/>
        <v>0 - 100 kW</v>
      </c>
      <c r="H41" s="130" t="s">
        <v>61</v>
      </c>
      <c r="I41" s="178" t="str">
        <f>TEXT(   (SUMPRODUCT( ((Main!$H$9:$H$1000)=$E41)*((Main!$J$9:$J$1000)=$F41)*((Main!$O$9:$O$1000)=$C41)*(Main!R$9:R$1000) ) +  ( SUMPRODUCT( ((Adders!$D$13:$D$101)=$E41)*((Adders!$E$13:$E$101)=$F41)*(Adders!G$13:G$101)) + VLOOKUP($H41,Adders!$B$5:$G$8,L$11,FALSE)  +  IL!$D$2 ) * IF($D41="NJ",1.07,1))/$L$10, CHOOSE($M$10,$L$9,$M$9) )</f>
        <v xml:space="preserve"> 64.84 </v>
      </c>
      <c r="J41" s="178" t="str">
        <f>TEXT(   (SUMPRODUCT( ((Main!$H$9:$H$1000)=$E41)*((Main!$J$9:$J$1000)=$F41)*((Main!$O$9:$O$1000)=$C41)*(Main!S$9:S$1000) ) +  ( SUMPRODUCT( ((Adders!$D$13:$D$101)=$E41)*((Adders!$E$13:$E$101)=$F41)*(Adders!H$13:H$101)) + VLOOKUP($H41,Adders!$B$5:$G$8,M$11,FALSE)  +  IL!$D$2 ) * IF($D41="NJ",1.07,1))/$L$10, CHOOSE($M$10,$L$9,$M$9) )</f>
        <v xml:space="preserve"> 66.17 </v>
      </c>
      <c r="K41" s="179" t="str">
        <f>TEXT(   (SUMPRODUCT( ((Main!$H$9:$H$1000)=$E41)*((Main!$J$9:$J$1000)=$F41)*((Main!$O$9:$O$1000)=$C41)*(Main!T$9:T$1000) ) +  ( SUMPRODUCT( ((Adders!$D$13:$D$101)=$E41)*((Adders!$E$13:$E$101)=$F41)*(Adders!I$13:I$101)) + VLOOKUP($H41,Adders!$B$5:$G$8,N$11,FALSE)  +  IL!$D$2 ) * IF($D41="NJ",1.07,1))/$L$10, CHOOSE($M$10,$L$9,$M$9) )</f>
        <v xml:space="preserve"> 67.08 </v>
      </c>
      <c r="L41" s="178" t="str">
        <f>TEXT(   (SUMPRODUCT( ((LMPMain!$H$9:$H$1000)=$E41)*((LMPMain!$J$9:$J$1000)=$F41)*((LMPMain!$O$9:$O$1000)=$C41)*(LMPMain!R$9:R$1000) ) +  ( SUMPRODUCT( ((Adders!$D$13:$D$101)=$E41)*((Adders!$E$13:$E$101)=$F41)*(Adders!F$13:F$101)) + VLOOKUP($H41,Adders!$B$5:$G$8,L$11,FALSE)  +  IL!$D$2 ) * IF($D41="NJ",1.07,1))/$L$10, CHOOSE($M$10,$L$9,$M$9) )</f>
        <v xml:space="preserve"> 29.60 </v>
      </c>
      <c r="M41" s="178" t="str">
        <f>TEXT(   (SUMPRODUCT( ((LMPMain!$H$9:$H$1000)=$E41)*((LMPMain!$J$9:$J$1000)=$F41)*((LMPMain!$O$9:$O$1000)=$C41)*(LMPMain!S$9:S$1000) ) +  ( SUMPRODUCT( ((Adders!$D$13:$D$101)=$E41)*((Adders!$E$13:$E$101)=$F41)*(Adders!G$13:G$101)) + VLOOKUP($H41,Adders!$B$5:$G$8,M$11,FALSE)  +  IL!$D$2 ) * IF($D41="NJ",1.07,1))/$L$10, CHOOSE($M$10,$L$9,$M$9) )</f>
        <v xml:space="preserve"> 30.07 </v>
      </c>
      <c r="N41" s="179" t="str">
        <f>TEXT(   (SUMPRODUCT( ((LMPMain!$H$9:$H$1000)=$E41)*((LMPMain!$J$9:$J$1000)=$F41)*((LMPMain!$O$9:$O$1000)=$C41)*(LMPMain!T$9:T$1000) ) +  ( SUMPRODUCT( ((Adders!$D$13:$D$101)=$E41)*((Adders!$E$13:$E$101)=$F41)*(Adders!H$13:H$101)) + VLOOKUP($H41,Adders!$B$5:$G$8,N$11,FALSE)  +  IL!$D$2 ) * IF($D41="NJ",1.07,1))/$L$10, CHOOSE($M$10,$L$9,$M$9) )</f>
        <v xml:space="preserve"> 31.28 </v>
      </c>
      <c r="O41" s="112"/>
    </row>
    <row r="42" spans="2:15" x14ac:dyDescent="0.25">
      <c r="B42" s="108"/>
      <c r="C42" s="131">
        <f>+C41</f>
        <v>42430</v>
      </c>
      <c r="D42" s="132" t="s">
        <v>25</v>
      </c>
      <c r="E42" s="133" t="s">
        <v>26</v>
      </c>
      <c r="F42" s="132" t="s">
        <v>27</v>
      </c>
      <c r="G42" s="133" t="str">
        <f t="shared" si="0"/>
        <v>0 - 100 kW</v>
      </c>
      <c r="H42" s="134" t="s">
        <v>62</v>
      </c>
      <c r="I42" s="173" t="str">
        <f>TEXT(   (SUMPRODUCT( ((Main!$H$9:$H$1000)=$E42)*((Main!$J$9:$J$1000)=$F42)*((Main!$O$9:$O$1000)=$C42)*(Main!R$9:R$1000) ) +  ( SUMPRODUCT( ((Adders!$D$13:$D$101)=$E42)*((Adders!$E$13:$E$101)=$F42)*(Adders!G$13:G$101)) + VLOOKUP($H42,Adders!$B$5:$G$8,L$11,FALSE)  +  IL!$D$2 ) * IF($D42="NJ",1.07,1))/$L$10, CHOOSE($M$10,$L$9,$M$9) )</f>
        <v xml:space="preserve"> 63.24 </v>
      </c>
      <c r="J42" s="173" t="str">
        <f>TEXT(   (SUMPRODUCT( ((Main!$H$9:$H$1000)=$E42)*((Main!$J$9:$J$1000)=$F42)*((Main!$O$9:$O$1000)=$C42)*(Main!S$9:S$1000) ) +  ( SUMPRODUCT( ((Adders!$D$13:$D$101)=$E42)*((Adders!$E$13:$E$101)=$F42)*(Adders!H$13:H$101)) + VLOOKUP($H42,Adders!$B$5:$G$8,M$11,FALSE)  +  IL!$D$2 ) * IF($D42="NJ",1.07,1))/$L$10, CHOOSE($M$10,$L$9,$M$9) )</f>
        <v xml:space="preserve"> 64.57 </v>
      </c>
      <c r="K42" s="174" t="str">
        <f>TEXT(   (SUMPRODUCT( ((Main!$H$9:$H$1000)=$E42)*((Main!$J$9:$J$1000)=$F42)*((Main!$O$9:$O$1000)=$C42)*(Main!T$9:T$1000) ) +  ( SUMPRODUCT( ((Adders!$D$13:$D$101)=$E42)*((Adders!$E$13:$E$101)=$F42)*(Adders!I$13:I$101)) + VLOOKUP($H42,Adders!$B$5:$G$8,N$11,FALSE)  +  IL!$D$2 ) * IF($D42="NJ",1.07,1))/$L$10, CHOOSE($M$10,$L$9,$M$9) )</f>
        <v xml:space="preserve"> 65.48 </v>
      </c>
      <c r="L42" s="173" t="str">
        <f>TEXT(   (SUMPRODUCT( ((LMPMain!$H$9:$H$1000)=$E42)*((LMPMain!$J$9:$J$1000)=$F42)*((LMPMain!$O$9:$O$1000)=$C42)*(LMPMain!R$9:R$1000) ) +  ( SUMPRODUCT( ((Adders!$D$13:$D$101)=$E42)*((Adders!$E$13:$E$101)=$F42)*(Adders!F$13:F$101)) + VLOOKUP($H42,Adders!$B$5:$G$8,L$11,FALSE)  +  IL!$D$2 ) * IF($D42="NJ",1.07,1))/$L$10, CHOOSE($M$10,$L$9,$M$9) )</f>
        <v xml:space="preserve"> 28.00 </v>
      </c>
      <c r="M42" s="173" t="str">
        <f>TEXT(   (SUMPRODUCT( ((LMPMain!$H$9:$H$1000)=$E42)*((LMPMain!$J$9:$J$1000)=$F42)*((LMPMain!$O$9:$O$1000)=$C42)*(LMPMain!S$9:S$1000) ) +  ( SUMPRODUCT( ((Adders!$D$13:$D$101)=$E42)*((Adders!$E$13:$E$101)=$F42)*(Adders!G$13:G$101)) + VLOOKUP($H42,Adders!$B$5:$G$8,M$11,FALSE)  +  IL!$D$2 ) * IF($D42="NJ",1.07,1))/$L$10, CHOOSE($M$10,$L$9,$M$9) )</f>
        <v xml:space="preserve"> 28.47 </v>
      </c>
      <c r="N42" s="174" t="str">
        <f>TEXT(   (SUMPRODUCT( ((LMPMain!$H$9:$H$1000)=$E42)*((LMPMain!$J$9:$J$1000)=$F42)*((LMPMain!$O$9:$O$1000)=$C42)*(LMPMain!T$9:T$1000) ) +  ( SUMPRODUCT( ((Adders!$D$13:$D$101)=$E42)*((Adders!$E$13:$E$101)=$F42)*(Adders!H$13:H$101)) + VLOOKUP($H42,Adders!$B$5:$G$8,N$11,FALSE)  +  IL!$D$2 ) * IF($D42="NJ",1.07,1))/$L$10, CHOOSE($M$10,$L$9,$M$9) )</f>
        <v xml:space="preserve"> 29.68 </v>
      </c>
      <c r="O42" s="112"/>
    </row>
    <row r="43" spans="2:15" x14ac:dyDescent="0.25">
      <c r="B43" s="108"/>
      <c r="C43" s="135">
        <f>+C42</f>
        <v>42430</v>
      </c>
      <c r="D43" s="136" t="s">
        <v>25</v>
      </c>
      <c r="E43" s="137" t="s">
        <v>26</v>
      </c>
      <c r="F43" s="136" t="s">
        <v>27</v>
      </c>
      <c r="G43" s="137" t="str">
        <f t="shared" si="0"/>
        <v>0 - 100 kW</v>
      </c>
      <c r="H43" s="138" t="s">
        <v>690</v>
      </c>
      <c r="I43" s="176" t="str">
        <f>TEXT(   (SUMPRODUCT( ((Main!$H$9:$H$1000)=$E43)*((Main!$J$9:$J$1000)=$F43)*((Main!$O$9:$O$1000)=$C43)*(Main!R$9:R$1000) ) +  ( SUMPRODUCT( ((Adders!$D$13:$D$101)=$E43)*((Adders!$E$13:$E$101)=$F43)*(Adders!G$13:G$101)) + VLOOKUP($H43,Adders!$B$5:$G$8,L$11,FALSE)  +  IL!$D$2 ) * IF($D43="NJ",1.07,1))/$L$10, CHOOSE($M$10,$L$9,$M$9) )</f>
        <v xml:space="preserve"> 62.19 </v>
      </c>
      <c r="J43" s="176" t="str">
        <f>TEXT(   (SUMPRODUCT( ((Main!$H$9:$H$1000)=$E43)*((Main!$J$9:$J$1000)=$F43)*((Main!$O$9:$O$1000)=$C43)*(Main!S$9:S$1000) ) +  ( SUMPRODUCT( ((Adders!$D$13:$D$101)=$E43)*((Adders!$E$13:$E$101)=$F43)*(Adders!H$13:H$101)) + VLOOKUP($H43,Adders!$B$5:$G$8,M$11,FALSE)  +  IL!$D$2 ) * IF($D43="NJ",1.07,1))/$L$10, CHOOSE($M$10,$L$9,$M$9) )</f>
        <v xml:space="preserve"> 63.52 </v>
      </c>
      <c r="K43" s="177" t="str">
        <f>TEXT(   (SUMPRODUCT( ((Main!$H$9:$H$1000)=$E43)*((Main!$J$9:$J$1000)=$F43)*((Main!$O$9:$O$1000)=$C43)*(Main!T$9:T$1000) ) +  ( SUMPRODUCT( ((Adders!$D$13:$D$101)=$E43)*((Adders!$E$13:$E$101)=$F43)*(Adders!I$13:I$101)) + VLOOKUP($H43,Adders!$B$5:$G$8,N$11,FALSE)  +  IL!$D$2 ) * IF($D43="NJ",1.07,1))/$L$10, CHOOSE($M$10,$L$9,$M$9) )</f>
        <v xml:space="preserve"> 64.43 </v>
      </c>
      <c r="L43" s="176" t="str">
        <f>TEXT(   (SUMPRODUCT( ((LMPMain!$H$9:$H$1000)=$E43)*((LMPMain!$J$9:$J$1000)=$F43)*((LMPMain!$O$9:$O$1000)=$C43)*(LMPMain!R$9:R$1000) ) +  ( SUMPRODUCT( ((Adders!$D$13:$D$101)=$E43)*((Adders!$E$13:$E$101)=$F43)*(Adders!F$13:F$101)) + VLOOKUP($H43,Adders!$B$5:$G$8,L$11,FALSE)  +  IL!$D$2 ) * IF($D43="NJ",1.07,1))/$L$10, CHOOSE($M$10,$L$9,$M$9) )</f>
        <v xml:space="preserve"> 26.95 </v>
      </c>
      <c r="M43" s="176" t="str">
        <f>TEXT(   (SUMPRODUCT( ((LMPMain!$H$9:$H$1000)=$E43)*((LMPMain!$J$9:$J$1000)=$F43)*((LMPMain!$O$9:$O$1000)=$C43)*(LMPMain!S$9:S$1000) ) +  ( SUMPRODUCT( ((Adders!$D$13:$D$101)=$E43)*((Adders!$E$13:$E$101)=$F43)*(Adders!G$13:G$101)) + VLOOKUP($H43,Adders!$B$5:$G$8,M$11,FALSE)  +  IL!$D$2 ) * IF($D43="NJ",1.07,1))/$L$10, CHOOSE($M$10,$L$9,$M$9) )</f>
        <v xml:space="preserve"> 27.42 </v>
      </c>
      <c r="N43" s="177" t="str">
        <f>TEXT(   (SUMPRODUCT( ((LMPMain!$H$9:$H$1000)=$E43)*((LMPMain!$J$9:$J$1000)=$F43)*((LMPMain!$O$9:$O$1000)=$C43)*(LMPMain!T$9:T$1000) ) +  ( SUMPRODUCT( ((Adders!$D$13:$D$101)=$E43)*((Adders!$E$13:$E$101)=$F43)*(Adders!H$13:H$101)) + VLOOKUP($H43,Adders!$B$5:$G$8,N$11,FALSE)  +  IL!$D$2 ) * IF($D43="NJ",1.07,1))/$L$10, CHOOSE($M$10,$L$9,$M$9) )</f>
        <v xml:space="preserve"> 28.63 </v>
      </c>
      <c r="O43" s="112"/>
    </row>
    <row r="44" spans="2:15" x14ac:dyDescent="0.25">
      <c r="B44" s="108"/>
      <c r="C44" s="127">
        <f>DATE(YEAR(C43),MONTH(C43)+1,0)+1</f>
        <v>42461</v>
      </c>
      <c r="D44" s="128" t="s">
        <v>25</v>
      </c>
      <c r="E44" s="129" t="s">
        <v>26</v>
      </c>
      <c r="F44" s="128" t="s">
        <v>27</v>
      </c>
      <c r="G44" s="129" t="str">
        <f t="shared" si="0"/>
        <v>0 - 100 kW</v>
      </c>
      <c r="H44" s="130" t="s">
        <v>61</v>
      </c>
      <c r="I44" s="178" t="str">
        <f>TEXT(   (SUMPRODUCT( ((Main!$H$9:$H$1000)=$E44)*((Main!$J$9:$J$1000)=$F44)*((Main!$O$9:$O$1000)=$C44)*(Main!R$9:R$1000) ) +  ( SUMPRODUCT( ((Adders!$D$13:$D$101)=$E44)*((Adders!$E$13:$E$101)=$F44)*(Adders!G$13:G$101)) + VLOOKUP($H44,Adders!$B$5:$G$8,L$11,FALSE)  +  IL!$D$2 ) * IF($D44="NJ",1.07,1))/$L$10, CHOOSE($M$10,$L$9,$M$9) )</f>
        <v xml:space="preserve"> 64.30 </v>
      </c>
      <c r="J44" s="178" t="str">
        <f>TEXT(   (SUMPRODUCT( ((Main!$H$9:$H$1000)=$E44)*((Main!$J$9:$J$1000)=$F44)*((Main!$O$9:$O$1000)=$C44)*(Main!S$9:S$1000) ) +  ( SUMPRODUCT( ((Adders!$D$13:$D$101)=$E44)*((Adders!$E$13:$E$101)=$F44)*(Adders!H$13:H$101)) + VLOOKUP($H44,Adders!$B$5:$G$8,M$11,FALSE)  +  IL!$D$2 ) * IF($D44="NJ",1.07,1))/$L$10, CHOOSE($M$10,$L$9,$M$9) )</f>
        <v xml:space="preserve"> 65.75 </v>
      </c>
      <c r="K44" s="179" t="str">
        <f>TEXT(   (SUMPRODUCT( ((Main!$H$9:$H$1000)=$E44)*((Main!$J$9:$J$1000)=$F44)*((Main!$O$9:$O$1000)=$C44)*(Main!T$9:T$1000) ) +  ( SUMPRODUCT( ((Adders!$D$13:$D$101)=$E44)*((Adders!$E$13:$E$101)=$F44)*(Adders!I$13:I$101)) + VLOOKUP($H44,Adders!$B$5:$G$8,N$11,FALSE)  +  IL!$D$2 ) * IF($D44="NJ",1.07,1))/$L$10, CHOOSE($M$10,$L$9,$M$9) )</f>
        <v xml:space="preserve"> 67.04 </v>
      </c>
      <c r="L44" s="178" t="str">
        <f>TEXT(   (SUMPRODUCT( ((LMPMain!$H$9:$H$1000)=$E44)*((LMPMain!$J$9:$J$1000)=$F44)*((LMPMain!$O$9:$O$1000)=$C44)*(LMPMain!R$9:R$1000) ) +  ( SUMPRODUCT( ((Adders!$D$13:$D$101)=$E44)*((Adders!$E$13:$E$101)=$F44)*(Adders!F$13:F$101)) + VLOOKUP($H44,Adders!$B$5:$G$8,L$11,FALSE)  +  IL!$D$2 ) * IF($D44="NJ",1.07,1))/$L$10, CHOOSE($M$10,$L$9,$M$9) )</f>
        <v xml:space="preserve"> 28.97 </v>
      </c>
      <c r="M44" s="178" t="str">
        <f>TEXT(   (SUMPRODUCT( ((LMPMain!$H$9:$H$1000)=$E44)*((LMPMain!$J$9:$J$1000)=$F44)*((LMPMain!$O$9:$O$1000)=$C44)*(LMPMain!S$9:S$1000) ) +  ( SUMPRODUCT( ((Adders!$D$13:$D$101)=$E44)*((Adders!$E$13:$E$101)=$F44)*(Adders!G$13:G$101)) + VLOOKUP($H44,Adders!$B$5:$G$8,M$11,FALSE)  +  IL!$D$2 ) * IF($D44="NJ",1.07,1))/$L$10, CHOOSE($M$10,$L$9,$M$9) )</f>
        <v xml:space="preserve"> 29.94 </v>
      </c>
      <c r="N44" s="179" t="str">
        <f>TEXT(   (SUMPRODUCT( ((LMPMain!$H$9:$H$1000)=$E44)*((LMPMain!$J$9:$J$1000)=$F44)*((LMPMain!$O$9:$O$1000)=$C44)*(LMPMain!T$9:T$1000) ) +  ( SUMPRODUCT( ((Adders!$D$13:$D$101)=$E44)*((Adders!$E$13:$E$101)=$F44)*(Adders!H$13:H$101)) + VLOOKUP($H44,Adders!$B$5:$G$8,N$11,FALSE)  +  IL!$D$2 ) * IF($D44="NJ",1.07,1))/$L$10, CHOOSE($M$10,$L$9,$M$9) )</f>
        <v xml:space="preserve"> 31.26 </v>
      </c>
      <c r="O44" s="112"/>
    </row>
    <row r="45" spans="2:15" x14ac:dyDescent="0.25">
      <c r="B45" s="108"/>
      <c r="C45" s="131">
        <f>+C44</f>
        <v>42461</v>
      </c>
      <c r="D45" s="132" t="s">
        <v>25</v>
      </c>
      <c r="E45" s="133" t="s">
        <v>26</v>
      </c>
      <c r="F45" s="132" t="s">
        <v>27</v>
      </c>
      <c r="G45" s="133" t="str">
        <f t="shared" si="0"/>
        <v>0 - 100 kW</v>
      </c>
      <c r="H45" s="134" t="s">
        <v>62</v>
      </c>
      <c r="I45" s="173" t="str">
        <f>TEXT(   (SUMPRODUCT( ((Main!$H$9:$H$1000)=$E45)*((Main!$J$9:$J$1000)=$F45)*((Main!$O$9:$O$1000)=$C45)*(Main!R$9:R$1000) ) +  ( SUMPRODUCT( ((Adders!$D$13:$D$101)=$E45)*((Adders!$E$13:$E$101)=$F45)*(Adders!G$13:G$101)) + VLOOKUP($H45,Adders!$B$5:$G$8,L$11,FALSE)  +  IL!$D$2 ) * IF($D45="NJ",1.07,1))/$L$10, CHOOSE($M$10,$L$9,$M$9) )</f>
        <v xml:space="preserve"> 62.70 </v>
      </c>
      <c r="J45" s="173" t="str">
        <f>TEXT(   (SUMPRODUCT( ((Main!$H$9:$H$1000)=$E45)*((Main!$J$9:$J$1000)=$F45)*((Main!$O$9:$O$1000)=$C45)*(Main!S$9:S$1000) ) +  ( SUMPRODUCT( ((Adders!$D$13:$D$101)=$E45)*((Adders!$E$13:$E$101)=$F45)*(Adders!H$13:H$101)) + VLOOKUP($H45,Adders!$B$5:$G$8,M$11,FALSE)  +  IL!$D$2 ) * IF($D45="NJ",1.07,1))/$L$10, CHOOSE($M$10,$L$9,$M$9) )</f>
        <v xml:space="preserve"> 64.15 </v>
      </c>
      <c r="K45" s="174" t="str">
        <f>TEXT(   (SUMPRODUCT( ((Main!$H$9:$H$1000)=$E45)*((Main!$J$9:$J$1000)=$F45)*((Main!$O$9:$O$1000)=$C45)*(Main!T$9:T$1000) ) +  ( SUMPRODUCT( ((Adders!$D$13:$D$101)=$E45)*((Adders!$E$13:$E$101)=$F45)*(Adders!I$13:I$101)) + VLOOKUP($H45,Adders!$B$5:$G$8,N$11,FALSE)  +  IL!$D$2 ) * IF($D45="NJ",1.07,1))/$L$10, CHOOSE($M$10,$L$9,$M$9) )</f>
        <v xml:space="preserve"> 65.44 </v>
      </c>
      <c r="L45" s="173" t="str">
        <f>TEXT(   (SUMPRODUCT( ((LMPMain!$H$9:$H$1000)=$E45)*((LMPMain!$J$9:$J$1000)=$F45)*((LMPMain!$O$9:$O$1000)=$C45)*(LMPMain!R$9:R$1000) ) +  ( SUMPRODUCT( ((Adders!$D$13:$D$101)=$E45)*((Adders!$E$13:$E$101)=$F45)*(Adders!F$13:F$101)) + VLOOKUP($H45,Adders!$B$5:$G$8,L$11,FALSE)  +  IL!$D$2 ) * IF($D45="NJ",1.07,1))/$L$10, CHOOSE($M$10,$L$9,$M$9) )</f>
        <v xml:space="preserve"> 27.37 </v>
      </c>
      <c r="M45" s="173" t="str">
        <f>TEXT(   (SUMPRODUCT( ((LMPMain!$H$9:$H$1000)=$E45)*((LMPMain!$J$9:$J$1000)=$F45)*((LMPMain!$O$9:$O$1000)=$C45)*(LMPMain!S$9:S$1000) ) +  ( SUMPRODUCT( ((Adders!$D$13:$D$101)=$E45)*((Adders!$E$13:$E$101)=$F45)*(Adders!G$13:G$101)) + VLOOKUP($H45,Adders!$B$5:$G$8,M$11,FALSE)  +  IL!$D$2 ) * IF($D45="NJ",1.07,1))/$L$10, CHOOSE($M$10,$L$9,$M$9) )</f>
        <v xml:space="preserve"> 28.34 </v>
      </c>
      <c r="N45" s="174" t="str">
        <f>TEXT(   (SUMPRODUCT( ((LMPMain!$H$9:$H$1000)=$E45)*((LMPMain!$J$9:$J$1000)=$F45)*((LMPMain!$O$9:$O$1000)=$C45)*(LMPMain!T$9:T$1000) ) +  ( SUMPRODUCT( ((Adders!$D$13:$D$101)=$E45)*((Adders!$E$13:$E$101)=$F45)*(Adders!H$13:H$101)) + VLOOKUP($H45,Adders!$B$5:$G$8,N$11,FALSE)  +  IL!$D$2 ) * IF($D45="NJ",1.07,1))/$L$10, CHOOSE($M$10,$L$9,$M$9) )</f>
        <v xml:space="preserve"> 29.66 </v>
      </c>
      <c r="O45" s="112"/>
    </row>
    <row r="46" spans="2:15" x14ac:dyDescent="0.25">
      <c r="B46" s="108"/>
      <c r="C46" s="135">
        <f>+C45</f>
        <v>42461</v>
      </c>
      <c r="D46" s="136" t="s">
        <v>25</v>
      </c>
      <c r="E46" s="137" t="s">
        <v>26</v>
      </c>
      <c r="F46" s="136" t="s">
        <v>27</v>
      </c>
      <c r="G46" s="137" t="str">
        <f t="shared" si="0"/>
        <v>0 - 100 kW</v>
      </c>
      <c r="H46" s="138" t="s">
        <v>690</v>
      </c>
      <c r="I46" s="176" t="str">
        <f>TEXT(   (SUMPRODUCT( ((Main!$H$9:$H$1000)=$E46)*((Main!$J$9:$J$1000)=$F46)*((Main!$O$9:$O$1000)=$C46)*(Main!R$9:R$1000) ) +  ( SUMPRODUCT( ((Adders!$D$13:$D$101)=$E46)*((Adders!$E$13:$E$101)=$F46)*(Adders!G$13:G$101)) + VLOOKUP($H46,Adders!$B$5:$G$8,L$11,FALSE)  +  IL!$D$2 ) * IF($D46="NJ",1.07,1))/$L$10, CHOOSE($M$10,$L$9,$M$9) )</f>
        <v xml:space="preserve"> 61.65 </v>
      </c>
      <c r="J46" s="176" t="str">
        <f>TEXT(   (SUMPRODUCT( ((Main!$H$9:$H$1000)=$E46)*((Main!$J$9:$J$1000)=$F46)*((Main!$O$9:$O$1000)=$C46)*(Main!S$9:S$1000) ) +  ( SUMPRODUCT( ((Adders!$D$13:$D$101)=$E46)*((Adders!$E$13:$E$101)=$F46)*(Adders!H$13:H$101)) + VLOOKUP($H46,Adders!$B$5:$G$8,M$11,FALSE)  +  IL!$D$2 ) * IF($D46="NJ",1.07,1))/$L$10, CHOOSE($M$10,$L$9,$M$9) )</f>
        <v xml:space="preserve"> 63.10 </v>
      </c>
      <c r="K46" s="177" t="str">
        <f>TEXT(   (SUMPRODUCT( ((Main!$H$9:$H$1000)=$E46)*((Main!$J$9:$J$1000)=$F46)*((Main!$O$9:$O$1000)=$C46)*(Main!T$9:T$1000) ) +  ( SUMPRODUCT( ((Adders!$D$13:$D$101)=$E46)*((Adders!$E$13:$E$101)=$F46)*(Adders!I$13:I$101)) + VLOOKUP($H46,Adders!$B$5:$G$8,N$11,FALSE)  +  IL!$D$2 ) * IF($D46="NJ",1.07,1))/$L$10, CHOOSE($M$10,$L$9,$M$9) )</f>
        <v xml:space="preserve"> 64.39 </v>
      </c>
      <c r="L46" s="176" t="str">
        <f>TEXT(   (SUMPRODUCT( ((LMPMain!$H$9:$H$1000)=$E46)*((LMPMain!$J$9:$J$1000)=$F46)*((LMPMain!$O$9:$O$1000)=$C46)*(LMPMain!R$9:R$1000) ) +  ( SUMPRODUCT( ((Adders!$D$13:$D$101)=$E46)*((Adders!$E$13:$E$101)=$F46)*(Adders!F$13:F$101)) + VLOOKUP($H46,Adders!$B$5:$G$8,L$11,FALSE)  +  IL!$D$2 ) * IF($D46="NJ",1.07,1))/$L$10, CHOOSE($M$10,$L$9,$M$9) )</f>
        <v xml:space="preserve"> 26.32 </v>
      </c>
      <c r="M46" s="176" t="str">
        <f>TEXT(   (SUMPRODUCT( ((LMPMain!$H$9:$H$1000)=$E46)*((LMPMain!$J$9:$J$1000)=$F46)*((LMPMain!$O$9:$O$1000)=$C46)*(LMPMain!S$9:S$1000) ) +  ( SUMPRODUCT( ((Adders!$D$13:$D$101)=$E46)*((Adders!$E$13:$E$101)=$F46)*(Adders!G$13:G$101)) + VLOOKUP($H46,Adders!$B$5:$G$8,M$11,FALSE)  +  IL!$D$2 ) * IF($D46="NJ",1.07,1))/$L$10, CHOOSE($M$10,$L$9,$M$9) )</f>
        <v xml:space="preserve"> 27.29 </v>
      </c>
      <c r="N46" s="177" t="str">
        <f>TEXT(   (SUMPRODUCT( ((LMPMain!$H$9:$H$1000)=$E46)*((LMPMain!$J$9:$J$1000)=$F46)*((LMPMain!$O$9:$O$1000)=$C46)*(LMPMain!T$9:T$1000) ) +  ( SUMPRODUCT( ((Adders!$D$13:$D$101)=$E46)*((Adders!$E$13:$E$101)=$F46)*(Adders!H$13:H$101)) + VLOOKUP($H46,Adders!$B$5:$G$8,N$11,FALSE)  +  IL!$D$2 ) * IF($D46="NJ",1.07,1))/$L$10, CHOOSE($M$10,$L$9,$M$9) )</f>
        <v xml:space="preserve"> 28.61 </v>
      </c>
      <c r="O46" s="112"/>
    </row>
    <row r="47" spans="2:15" x14ac:dyDescent="0.25">
      <c r="B47" s="108"/>
      <c r="C47" s="127">
        <f>DATE(YEAR(C46),MONTH(C46)+1,0)+1</f>
        <v>42491</v>
      </c>
      <c r="D47" s="128" t="s">
        <v>25</v>
      </c>
      <c r="E47" s="129" t="s">
        <v>26</v>
      </c>
      <c r="F47" s="128" t="s">
        <v>27</v>
      </c>
      <c r="G47" s="129" t="str">
        <f t="shared" si="0"/>
        <v>0 - 100 kW</v>
      </c>
      <c r="H47" s="130" t="s">
        <v>61</v>
      </c>
      <c r="I47" s="178" t="str">
        <f>TEXT(   (SUMPRODUCT( ((Main!$H$9:$H$1000)=$E47)*((Main!$J$9:$J$1000)=$F47)*((Main!$O$9:$O$1000)=$C47)*(Main!R$9:R$1000) ) +  ( SUMPRODUCT( ((Adders!$D$13:$D$101)=$E47)*((Adders!$E$13:$E$101)=$F47)*(Adders!G$13:G$101)) + VLOOKUP($H47,Adders!$B$5:$G$8,L$11,FALSE)  +  IL!$D$2 ) * IF($D47="NJ",1.07,1))/$L$10, CHOOSE($M$10,$L$9,$M$9) )</f>
        <v xml:space="preserve"> 63.69 </v>
      </c>
      <c r="J47" s="178" t="str">
        <f>TEXT(   (SUMPRODUCT( ((Main!$H$9:$H$1000)=$E47)*((Main!$J$9:$J$1000)=$F47)*((Main!$O$9:$O$1000)=$C47)*(Main!S$9:S$1000) ) +  ( SUMPRODUCT( ((Adders!$D$13:$D$101)=$E47)*((Adders!$E$13:$E$101)=$F47)*(Adders!H$13:H$101)) + VLOOKUP($H47,Adders!$B$5:$G$8,M$11,FALSE)  +  IL!$D$2 ) * IF($D47="NJ",1.07,1))/$L$10, CHOOSE($M$10,$L$9,$M$9) )</f>
        <v xml:space="preserve"> 65.49 </v>
      </c>
      <c r="K47" s="179" t="str">
        <f>TEXT(   (SUMPRODUCT( ((Main!$H$9:$H$1000)=$E47)*((Main!$J$9:$J$1000)=$F47)*((Main!$O$9:$O$1000)=$C47)*(Main!T$9:T$1000) ) +  ( SUMPRODUCT( ((Adders!$D$13:$D$101)=$E47)*((Adders!$E$13:$E$101)=$F47)*(Adders!I$13:I$101)) + VLOOKUP($H47,Adders!$B$5:$G$8,N$11,FALSE)  +  IL!$D$2 ) * IF($D47="NJ",1.07,1))/$L$10, CHOOSE($M$10,$L$9,$M$9) )</f>
        <v xml:space="preserve"> 67.06 </v>
      </c>
      <c r="L47" s="178" t="str">
        <f>TEXT(   (SUMPRODUCT( ((LMPMain!$H$9:$H$1000)=$E47)*((LMPMain!$J$9:$J$1000)=$F47)*((LMPMain!$O$9:$O$1000)=$C47)*(LMPMain!R$9:R$1000) ) +  ( SUMPRODUCT( ((Adders!$D$13:$D$101)=$E47)*((Adders!$E$13:$E$101)=$F47)*(Adders!F$13:F$101)) + VLOOKUP($H47,Adders!$B$5:$G$8,L$11,FALSE)  +  IL!$D$2 ) * IF($D47="NJ",1.07,1))/$L$10, CHOOSE($M$10,$L$9,$M$9) )</f>
        <v xml:space="preserve"> 28.36 </v>
      </c>
      <c r="M47" s="178" t="str">
        <f>TEXT(   (SUMPRODUCT( ((LMPMain!$H$9:$H$1000)=$E47)*((LMPMain!$J$9:$J$1000)=$F47)*((LMPMain!$O$9:$O$1000)=$C47)*(LMPMain!S$9:S$1000) ) +  ( SUMPRODUCT( ((Adders!$D$13:$D$101)=$E47)*((Adders!$E$13:$E$101)=$F47)*(Adders!G$13:G$101)) + VLOOKUP($H47,Adders!$B$5:$G$8,M$11,FALSE)  +  IL!$D$2 ) * IF($D47="NJ",1.07,1))/$L$10, CHOOSE($M$10,$L$9,$M$9) )</f>
        <v xml:space="preserve"> 29.86 </v>
      </c>
      <c r="N47" s="179" t="str">
        <f>TEXT(   (SUMPRODUCT( ((LMPMain!$H$9:$H$1000)=$E47)*((LMPMain!$J$9:$J$1000)=$F47)*((LMPMain!$O$9:$O$1000)=$C47)*(LMPMain!T$9:T$1000) ) +  ( SUMPRODUCT( ((Adders!$D$13:$D$101)=$E47)*((Adders!$E$13:$E$101)=$F47)*(Adders!H$13:H$101)) + VLOOKUP($H47,Adders!$B$5:$G$8,N$11,FALSE)  +  IL!$D$2 ) * IF($D47="NJ",1.07,1))/$L$10, CHOOSE($M$10,$L$9,$M$9) )</f>
        <v xml:space="preserve"> 31.24 </v>
      </c>
      <c r="O47" s="112"/>
    </row>
    <row r="48" spans="2:15" x14ac:dyDescent="0.25">
      <c r="B48" s="108"/>
      <c r="C48" s="131">
        <f>+C47</f>
        <v>42491</v>
      </c>
      <c r="D48" s="132" t="s">
        <v>25</v>
      </c>
      <c r="E48" s="133" t="s">
        <v>26</v>
      </c>
      <c r="F48" s="132" t="s">
        <v>27</v>
      </c>
      <c r="G48" s="133" t="str">
        <f t="shared" si="0"/>
        <v>0 - 100 kW</v>
      </c>
      <c r="H48" s="134" t="s">
        <v>62</v>
      </c>
      <c r="I48" s="173" t="str">
        <f>TEXT(   (SUMPRODUCT( ((Main!$H$9:$H$1000)=$E48)*((Main!$J$9:$J$1000)=$F48)*((Main!$O$9:$O$1000)=$C48)*(Main!R$9:R$1000) ) +  ( SUMPRODUCT( ((Adders!$D$13:$D$101)=$E48)*((Adders!$E$13:$E$101)=$F48)*(Adders!G$13:G$101)) + VLOOKUP($H48,Adders!$B$5:$G$8,L$11,FALSE)  +  IL!$D$2 ) * IF($D48="NJ",1.07,1))/$L$10, CHOOSE($M$10,$L$9,$M$9) )</f>
        <v xml:space="preserve"> 62.09 </v>
      </c>
      <c r="J48" s="173" t="str">
        <f>TEXT(   (SUMPRODUCT( ((Main!$H$9:$H$1000)=$E48)*((Main!$J$9:$J$1000)=$F48)*((Main!$O$9:$O$1000)=$C48)*(Main!S$9:S$1000) ) +  ( SUMPRODUCT( ((Adders!$D$13:$D$101)=$E48)*((Adders!$E$13:$E$101)=$F48)*(Adders!H$13:H$101)) + VLOOKUP($H48,Adders!$B$5:$G$8,M$11,FALSE)  +  IL!$D$2 ) * IF($D48="NJ",1.07,1))/$L$10, CHOOSE($M$10,$L$9,$M$9) )</f>
        <v xml:space="preserve"> 63.89 </v>
      </c>
      <c r="K48" s="174" t="str">
        <f>TEXT(   (SUMPRODUCT( ((Main!$H$9:$H$1000)=$E48)*((Main!$J$9:$J$1000)=$F48)*((Main!$O$9:$O$1000)=$C48)*(Main!T$9:T$1000) ) +  ( SUMPRODUCT( ((Adders!$D$13:$D$101)=$E48)*((Adders!$E$13:$E$101)=$F48)*(Adders!I$13:I$101)) + VLOOKUP($H48,Adders!$B$5:$G$8,N$11,FALSE)  +  IL!$D$2 ) * IF($D48="NJ",1.07,1))/$L$10, CHOOSE($M$10,$L$9,$M$9) )</f>
        <v xml:space="preserve"> 65.46 </v>
      </c>
      <c r="L48" s="173" t="str">
        <f>TEXT(   (SUMPRODUCT( ((LMPMain!$H$9:$H$1000)=$E48)*((LMPMain!$J$9:$J$1000)=$F48)*((LMPMain!$O$9:$O$1000)=$C48)*(LMPMain!R$9:R$1000) ) +  ( SUMPRODUCT( ((Adders!$D$13:$D$101)=$E48)*((Adders!$E$13:$E$101)=$F48)*(Adders!F$13:F$101)) + VLOOKUP($H48,Adders!$B$5:$G$8,L$11,FALSE)  +  IL!$D$2 ) * IF($D48="NJ",1.07,1))/$L$10, CHOOSE($M$10,$L$9,$M$9) )</f>
        <v xml:space="preserve"> 26.76 </v>
      </c>
      <c r="M48" s="173" t="str">
        <f>TEXT(   (SUMPRODUCT( ((LMPMain!$H$9:$H$1000)=$E48)*((LMPMain!$J$9:$J$1000)=$F48)*((LMPMain!$O$9:$O$1000)=$C48)*(LMPMain!S$9:S$1000) ) +  ( SUMPRODUCT( ((Adders!$D$13:$D$101)=$E48)*((Adders!$E$13:$E$101)=$F48)*(Adders!G$13:G$101)) + VLOOKUP($H48,Adders!$B$5:$G$8,M$11,FALSE)  +  IL!$D$2 ) * IF($D48="NJ",1.07,1))/$L$10, CHOOSE($M$10,$L$9,$M$9) )</f>
        <v xml:space="preserve"> 28.26 </v>
      </c>
      <c r="N48" s="174" t="str">
        <f>TEXT(   (SUMPRODUCT( ((LMPMain!$H$9:$H$1000)=$E48)*((LMPMain!$J$9:$J$1000)=$F48)*((LMPMain!$O$9:$O$1000)=$C48)*(LMPMain!T$9:T$1000) ) +  ( SUMPRODUCT( ((Adders!$D$13:$D$101)=$E48)*((Adders!$E$13:$E$101)=$F48)*(Adders!H$13:H$101)) + VLOOKUP($H48,Adders!$B$5:$G$8,N$11,FALSE)  +  IL!$D$2 ) * IF($D48="NJ",1.07,1))/$L$10, CHOOSE($M$10,$L$9,$M$9) )</f>
        <v xml:space="preserve"> 29.64 </v>
      </c>
      <c r="O48" s="112"/>
    </row>
    <row r="49" spans="2:15" x14ac:dyDescent="0.25">
      <c r="B49" s="108"/>
      <c r="C49" s="135">
        <f>+C48</f>
        <v>42491</v>
      </c>
      <c r="D49" s="136" t="s">
        <v>25</v>
      </c>
      <c r="E49" s="137" t="s">
        <v>26</v>
      </c>
      <c r="F49" s="136" t="s">
        <v>27</v>
      </c>
      <c r="G49" s="137" t="str">
        <f t="shared" si="0"/>
        <v>0 - 100 kW</v>
      </c>
      <c r="H49" s="138" t="s">
        <v>690</v>
      </c>
      <c r="I49" s="176" t="str">
        <f>TEXT(   (SUMPRODUCT( ((Main!$H$9:$H$1000)=$E49)*((Main!$J$9:$J$1000)=$F49)*((Main!$O$9:$O$1000)=$C49)*(Main!R$9:R$1000) ) +  ( SUMPRODUCT( ((Adders!$D$13:$D$101)=$E49)*((Adders!$E$13:$E$101)=$F49)*(Adders!G$13:G$101)) + VLOOKUP($H49,Adders!$B$5:$G$8,L$11,FALSE)  +  IL!$D$2 ) * IF($D49="NJ",1.07,1))/$L$10, CHOOSE($M$10,$L$9,$M$9) )</f>
        <v xml:space="preserve"> 61.04 </v>
      </c>
      <c r="J49" s="176" t="str">
        <f>TEXT(   (SUMPRODUCT( ((Main!$H$9:$H$1000)=$E49)*((Main!$J$9:$J$1000)=$F49)*((Main!$O$9:$O$1000)=$C49)*(Main!S$9:S$1000) ) +  ( SUMPRODUCT( ((Adders!$D$13:$D$101)=$E49)*((Adders!$E$13:$E$101)=$F49)*(Adders!H$13:H$101)) + VLOOKUP($H49,Adders!$B$5:$G$8,M$11,FALSE)  +  IL!$D$2 ) * IF($D49="NJ",1.07,1))/$L$10, CHOOSE($M$10,$L$9,$M$9) )</f>
        <v xml:space="preserve"> 62.84 </v>
      </c>
      <c r="K49" s="177" t="str">
        <f>TEXT(   (SUMPRODUCT( ((Main!$H$9:$H$1000)=$E49)*((Main!$J$9:$J$1000)=$F49)*((Main!$O$9:$O$1000)=$C49)*(Main!T$9:T$1000) ) +  ( SUMPRODUCT( ((Adders!$D$13:$D$101)=$E49)*((Adders!$E$13:$E$101)=$F49)*(Adders!I$13:I$101)) + VLOOKUP($H49,Adders!$B$5:$G$8,N$11,FALSE)  +  IL!$D$2 ) * IF($D49="NJ",1.07,1))/$L$10, CHOOSE($M$10,$L$9,$M$9) )</f>
        <v xml:space="preserve"> 64.41 </v>
      </c>
      <c r="L49" s="176" t="str">
        <f>TEXT(   (SUMPRODUCT( ((LMPMain!$H$9:$H$1000)=$E49)*((LMPMain!$J$9:$J$1000)=$F49)*((LMPMain!$O$9:$O$1000)=$C49)*(LMPMain!R$9:R$1000) ) +  ( SUMPRODUCT( ((Adders!$D$13:$D$101)=$E49)*((Adders!$E$13:$E$101)=$F49)*(Adders!F$13:F$101)) + VLOOKUP($H49,Adders!$B$5:$G$8,L$11,FALSE)  +  IL!$D$2 ) * IF($D49="NJ",1.07,1))/$L$10, CHOOSE($M$10,$L$9,$M$9) )</f>
        <v xml:space="preserve"> 25.71 </v>
      </c>
      <c r="M49" s="176" t="str">
        <f>TEXT(   (SUMPRODUCT( ((LMPMain!$H$9:$H$1000)=$E49)*((LMPMain!$J$9:$J$1000)=$F49)*((LMPMain!$O$9:$O$1000)=$C49)*(LMPMain!S$9:S$1000) ) +  ( SUMPRODUCT( ((Adders!$D$13:$D$101)=$E49)*((Adders!$E$13:$E$101)=$F49)*(Adders!G$13:G$101)) + VLOOKUP($H49,Adders!$B$5:$G$8,M$11,FALSE)  +  IL!$D$2 ) * IF($D49="NJ",1.07,1))/$L$10, CHOOSE($M$10,$L$9,$M$9) )</f>
        <v xml:space="preserve"> 27.21 </v>
      </c>
      <c r="N49" s="177" t="str">
        <f>TEXT(   (SUMPRODUCT( ((LMPMain!$H$9:$H$1000)=$E49)*((LMPMain!$J$9:$J$1000)=$F49)*((LMPMain!$O$9:$O$1000)=$C49)*(LMPMain!T$9:T$1000) ) +  ( SUMPRODUCT( ((Adders!$D$13:$D$101)=$E49)*((Adders!$E$13:$E$101)=$F49)*(Adders!H$13:H$101)) + VLOOKUP($H49,Adders!$B$5:$G$8,N$11,FALSE)  +  IL!$D$2 ) * IF($D49="NJ",1.07,1))/$L$10, CHOOSE($M$10,$L$9,$M$9) )</f>
        <v xml:space="preserve"> 28.59 </v>
      </c>
      <c r="O49" s="112"/>
    </row>
    <row r="50" spans="2:15" x14ac:dyDescent="0.25">
      <c r="B50" s="108"/>
      <c r="C50" s="127">
        <f>C14</f>
        <v>42156</v>
      </c>
      <c r="D50" s="128" t="s">
        <v>25</v>
      </c>
      <c r="E50" s="129" t="s">
        <v>26</v>
      </c>
      <c r="F50" s="128" t="s">
        <v>28</v>
      </c>
      <c r="G50" s="129" t="str">
        <f>VLOOKUP(SUMPRODUCT( ((LMPMain!$H$9:$H$1000)=$E50)*((LMPMain!$J$9:$J$1000)=$F50)*((LMPMain!$O$9:$O$1000)=$C50)*(LMPMain!A$9:A$1000)),LMPMain!$A$9:$K$1000,11,FALSE)</f>
        <v>100 - 400 kW</v>
      </c>
      <c r="H50" s="130" t="s">
        <v>61</v>
      </c>
      <c r="I50" s="178" t="str">
        <f>TEXT(   (SUMPRODUCT( ((Main!$H$9:$H$1000)=$E50)*((Main!$J$9:$J$1000)=$F50)*((Main!$O$9:$O$1000)=$C50)*(Main!R$9:R$1000) ) +  ( SUMPRODUCT( ((Adders!$D$13:$D$101)=$E50)*((Adders!$E$13:$E$101)=$F50)*(Adders!G$13:G$101)) + VLOOKUP($H50,Adders!$B$5:$G$8,L$11,FALSE)  +  IL!$D$2 ) * IF($D50="NJ",1.07,1))/$L$10, CHOOSE($M$10,$L$9,$M$9) )</f>
        <v xml:space="preserve"> 68.85 </v>
      </c>
      <c r="J50" s="178" t="str">
        <f>TEXT(   (SUMPRODUCT( ((Main!$H$9:$H$1000)=$E50)*((Main!$J$9:$J$1000)=$F50)*((Main!$O$9:$O$1000)=$C50)*(Main!S$9:S$1000) ) +  ( SUMPRODUCT( ((Adders!$D$13:$D$101)=$E50)*((Adders!$E$13:$E$101)=$F50)*(Adders!H$13:H$101)) + VLOOKUP($H50,Adders!$B$5:$G$8,M$11,FALSE)  +  IL!$D$2 ) * IF($D50="NJ",1.07,1))/$L$10, CHOOSE($M$10,$L$9,$M$9) )</f>
        <v xml:space="preserve"> 65.99 </v>
      </c>
      <c r="K50" s="179" t="str">
        <f>TEXT(   (SUMPRODUCT( ((Main!$H$9:$H$1000)=$E50)*((Main!$J$9:$J$1000)=$F50)*((Main!$O$9:$O$1000)=$C50)*(Main!T$9:T$1000) ) +  ( SUMPRODUCT( ((Adders!$D$13:$D$101)=$E50)*((Adders!$E$13:$E$101)=$F50)*(Adders!I$13:I$101)) + VLOOKUP($H50,Adders!$B$5:$G$8,N$11,FALSE)  +  IL!$D$2 ) * IF($D50="NJ",1.07,1))/$L$10, CHOOSE($M$10,$L$9,$M$9) )</f>
        <v xml:space="preserve"> 65.53 </v>
      </c>
      <c r="L50" s="178" t="str">
        <f>TEXT(   (SUMPRODUCT( ((LMPMain!$H$9:$H$1000)=$E50)*((LMPMain!$J$9:$J$1000)=$F50)*((LMPMain!$O$9:$O$1000)=$C50)*(LMPMain!R$9:R$1000) ) +  ( SUMPRODUCT( ((Adders!$D$13:$D$101)=$E50)*((Adders!$E$13:$E$101)=$F50)*(Adders!F$13:F$101)) + VLOOKUP($H50,Adders!$B$5:$G$8,L$11,FALSE)  +  IL!$D$2 ) * IF($D50="NJ",1.07,1))/$L$10, CHOOSE($M$10,$L$9,$M$9) )</f>
        <v xml:space="preserve"> 34.37 </v>
      </c>
      <c r="M50" s="178" t="str">
        <f>TEXT(   (SUMPRODUCT( ((LMPMain!$H$9:$H$1000)=$E50)*((LMPMain!$J$9:$J$1000)=$F50)*((LMPMain!$O$9:$O$1000)=$C50)*(LMPMain!S$9:S$1000) ) +  ( SUMPRODUCT( ((Adders!$D$13:$D$101)=$E50)*((Adders!$E$13:$E$101)=$F50)*(Adders!G$13:G$101)) + VLOOKUP($H50,Adders!$B$5:$G$8,M$11,FALSE)  +  IL!$D$2 ) * IF($D50="NJ",1.07,1))/$L$10, CHOOSE($M$10,$L$9,$M$9) )</f>
        <v xml:space="preserve"> 31.52 </v>
      </c>
      <c r="N50" s="179" t="str">
        <f>TEXT(   (SUMPRODUCT( ((LMPMain!$H$9:$H$1000)=$E50)*((LMPMain!$J$9:$J$1000)=$F50)*((LMPMain!$O$9:$O$1000)=$C50)*(LMPMain!T$9:T$1000) ) +  ( SUMPRODUCT( ((Adders!$D$13:$D$101)=$E50)*((Adders!$E$13:$E$101)=$F50)*(Adders!H$13:H$101)) + VLOOKUP($H50,Adders!$B$5:$G$8,N$11,FALSE)  +  IL!$D$2 ) * IF($D50="NJ",1.07,1))/$L$10, CHOOSE($M$10,$L$9,$M$9) )</f>
        <v xml:space="preserve"> 30.59 </v>
      </c>
      <c r="O50" s="112"/>
    </row>
    <row r="51" spans="2:15" x14ac:dyDescent="0.25">
      <c r="B51" s="108"/>
      <c r="C51" s="131">
        <f t="shared" ref="C51:C85" si="1">C15</f>
        <v>42156</v>
      </c>
      <c r="D51" s="132" t="s">
        <v>25</v>
      </c>
      <c r="E51" s="133" t="s">
        <v>26</v>
      </c>
      <c r="F51" s="132" t="s">
        <v>28</v>
      </c>
      <c r="G51" s="133" t="str">
        <f t="shared" ref="G51:G85" si="2">G50</f>
        <v>100 - 400 kW</v>
      </c>
      <c r="H51" s="134" t="s">
        <v>62</v>
      </c>
      <c r="I51" s="173" t="str">
        <f>TEXT(   (SUMPRODUCT( ((Main!$H$9:$H$1000)=$E51)*((Main!$J$9:$J$1000)=$F51)*((Main!$O$9:$O$1000)=$C51)*(Main!R$9:R$1000) ) +  ( SUMPRODUCT( ((Adders!$D$13:$D$101)=$E51)*((Adders!$E$13:$E$101)=$F51)*(Adders!G$13:G$101)) + VLOOKUP($H51,Adders!$B$5:$G$8,L$11,FALSE)  +  IL!$D$2 ) * IF($D51="NJ",1.07,1))/$L$10, CHOOSE($M$10,$L$9,$M$9) )</f>
        <v xml:space="preserve"> 67.25 </v>
      </c>
      <c r="J51" s="173" t="str">
        <f>TEXT(   (SUMPRODUCT( ((Main!$H$9:$H$1000)=$E51)*((Main!$J$9:$J$1000)=$F51)*((Main!$O$9:$O$1000)=$C51)*(Main!S$9:S$1000) ) +  ( SUMPRODUCT( ((Adders!$D$13:$D$101)=$E51)*((Adders!$E$13:$E$101)=$F51)*(Adders!H$13:H$101)) + VLOOKUP($H51,Adders!$B$5:$G$8,M$11,FALSE)  +  IL!$D$2 ) * IF($D51="NJ",1.07,1))/$L$10, CHOOSE($M$10,$L$9,$M$9) )</f>
        <v xml:space="preserve"> 64.39 </v>
      </c>
      <c r="K51" s="174" t="str">
        <f>TEXT(   (SUMPRODUCT( ((Main!$H$9:$H$1000)=$E51)*((Main!$J$9:$J$1000)=$F51)*((Main!$O$9:$O$1000)=$C51)*(Main!T$9:T$1000) ) +  ( SUMPRODUCT( ((Adders!$D$13:$D$101)=$E51)*((Adders!$E$13:$E$101)=$F51)*(Adders!I$13:I$101)) + VLOOKUP($H51,Adders!$B$5:$G$8,N$11,FALSE)  +  IL!$D$2 ) * IF($D51="NJ",1.07,1))/$L$10, CHOOSE($M$10,$L$9,$M$9) )</f>
        <v xml:space="preserve"> 63.93 </v>
      </c>
      <c r="L51" s="173" t="str">
        <f>TEXT(   (SUMPRODUCT( ((LMPMain!$H$9:$H$1000)=$E51)*((LMPMain!$J$9:$J$1000)=$F51)*((LMPMain!$O$9:$O$1000)=$C51)*(LMPMain!R$9:R$1000) ) +  ( SUMPRODUCT( ((Adders!$D$13:$D$101)=$E51)*((Adders!$E$13:$E$101)=$F51)*(Adders!F$13:F$101)) + VLOOKUP($H51,Adders!$B$5:$G$8,L$11,FALSE)  +  IL!$D$2 ) * IF($D51="NJ",1.07,1))/$L$10, CHOOSE($M$10,$L$9,$M$9) )</f>
        <v xml:space="preserve"> 32.77 </v>
      </c>
      <c r="M51" s="173" t="str">
        <f>TEXT(   (SUMPRODUCT( ((LMPMain!$H$9:$H$1000)=$E51)*((LMPMain!$J$9:$J$1000)=$F51)*((LMPMain!$O$9:$O$1000)=$C51)*(LMPMain!S$9:S$1000) ) +  ( SUMPRODUCT( ((Adders!$D$13:$D$101)=$E51)*((Adders!$E$13:$E$101)=$F51)*(Adders!G$13:G$101)) + VLOOKUP($H51,Adders!$B$5:$G$8,M$11,FALSE)  +  IL!$D$2 ) * IF($D51="NJ",1.07,1))/$L$10, CHOOSE($M$10,$L$9,$M$9) )</f>
        <v xml:space="preserve"> 29.92 </v>
      </c>
      <c r="N51" s="174" t="str">
        <f>TEXT(   (SUMPRODUCT( ((LMPMain!$H$9:$H$1000)=$E51)*((LMPMain!$J$9:$J$1000)=$F51)*((LMPMain!$O$9:$O$1000)=$C51)*(LMPMain!T$9:T$1000) ) +  ( SUMPRODUCT( ((Adders!$D$13:$D$101)=$E51)*((Adders!$E$13:$E$101)=$F51)*(Adders!H$13:H$101)) + VLOOKUP($H51,Adders!$B$5:$G$8,N$11,FALSE)  +  IL!$D$2 ) * IF($D51="NJ",1.07,1))/$L$10, CHOOSE($M$10,$L$9,$M$9) )</f>
        <v xml:space="preserve"> 28.99 </v>
      </c>
      <c r="O51" s="112"/>
    </row>
    <row r="52" spans="2:15" x14ac:dyDescent="0.25">
      <c r="B52" s="108"/>
      <c r="C52" s="135">
        <f t="shared" si="1"/>
        <v>42156</v>
      </c>
      <c r="D52" s="136" t="s">
        <v>25</v>
      </c>
      <c r="E52" s="137" t="s">
        <v>26</v>
      </c>
      <c r="F52" s="136" t="s">
        <v>28</v>
      </c>
      <c r="G52" s="137" t="str">
        <f t="shared" si="2"/>
        <v>100 - 400 kW</v>
      </c>
      <c r="H52" s="138" t="s">
        <v>690</v>
      </c>
      <c r="I52" s="176" t="str">
        <f>TEXT(   (SUMPRODUCT( ((Main!$H$9:$H$1000)=$E52)*((Main!$J$9:$J$1000)=$F52)*((Main!$O$9:$O$1000)=$C52)*(Main!R$9:R$1000) ) +  ( SUMPRODUCT( ((Adders!$D$13:$D$101)=$E52)*((Adders!$E$13:$E$101)=$F52)*(Adders!G$13:G$101)) + VLOOKUP($H52,Adders!$B$5:$G$8,L$11,FALSE)  +  IL!$D$2 ) * IF($D52="NJ",1.07,1))/$L$10, CHOOSE($M$10,$L$9,$M$9) )</f>
        <v xml:space="preserve"> 66.20 </v>
      </c>
      <c r="J52" s="176" t="str">
        <f>TEXT(   (SUMPRODUCT( ((Main!$H$9:$H$1000)=$E52)*((Main!$J$9:$J$1000)=$F52)*((Main!$O$9:$O$1000)=$C52)*(Main!S$9:S$1000) ) +  ( SUMPRODUCT( ((Adders!$D$13:$D$101)=$E52)*((Adders!$E$13:$E$101)=$F52)*(Adders!H$13:H$101)) + VLOOKUP($H52,Adders!$B$5:$G$8,M$11,FALSE)  +  IL!$D$2 ) * IF($D52="NJ",1.07,1))/$L$10, CHOOSE($M$10,$L$9,$M$9) )</f>
        <v xml:space="preserve"> 63.34 </v>
      </c>
      <c r="K52" s="177" t="str">
        <f>TEXT(   (SUMPRODUCT( ((Main!$H$9:$H$1000)=$E52)*((Main!$J$9:$J$1000)=$F52)*((Main!$O$9:$O$1000)=$C52)*(Main!T$9:T$1000) ) +  ( SUMPRODUCT( ((Adders!$D$13:$D$101)=$E52)*((Adders!$E$13:$E$101)=$F52)*(Adders!I$13:I$101)) + VLOOKUP($H52,Adders!$B$5:$G$8,N$11,FALSE)  +  IL!$D$2 ) * IF($D52="NJ",1.07,1))/$L$10, CHOOSE($M$10,$L$9,$M$9) )</f>
        <v xml:space="preserve"> 62.88 </v>
      </c>
      <c r="L52" s="176" t="str">
        <f>TEXT(   (SUMPRODUCT( ((LMPMain!$H$9:$H$1000)=$E52)*((LMPMain!$J$9:$J$1000)=$F52)*((LMPMain!$O$9:$O$1000)=$C52)*(LMPMain!R$9:R$1000) ) +  ( SUMPRODUCT( ((Adders!$D$13:$D$101)=$E52)*((Adders!$E$13:$E$101)=$F52)*(Adders!F$13:F$101)) + VLOOKUP($H52,Adders!$B$5:$G$8,L$11,FALSE)  +  IL!$D$2 ) * IF($D52="NJ",1.07,1))/$L$10, CHOOSE($M$10,$L$9,$M$9) )</f>
        <v xml:space="preserve"> 31.72 </v>
      </c>
      <c r="M52" s="176" t="str">
        <f>TEXT(   (SUMPRODUCT( ((LMPMain!$H$9:$H$1000)=$E52)*((LMPMain!$J$9:$J$1000)=$F52)*((LMPMain!$O$9:$O$1000)=$C52)*(LMPMain!S$9:S$1000) ) +  ( SUMPRODUCT( ((Adders!$D$13:$D$101)=$E52)*((Adders!$E$13:$E$101)=$F52)*(Adders!G$13:G$101)) + VLOOKUP($H52,Adders!$B$5:$G$8,M$11,FALSE)  +  IL!$D$2 ) * IF($D52="NJ",1.07,1))/$L$10, CHOOSE($M$10,$L$9,$M$9) )</f>
        <v xml:space="preserve"> 28.87 </v>
      </c>
      <c r="N52" s="177" t="str">
        <f>TEXT(   (SUMPRODUCT( ((LMPMain!$H$9:$H$1000)=$E52)*((LMPMain!$J$9:$J$1000)=$F52)*((LMPMain!$O$9:$O$1000)=$C52)*(LMPMain!T$9:T$1000) ) +  ( SUMPRODUCT( ((Adders!$D$13:$D$101)=$E52)*((Adders!$E$13:$E$101)=$F52)*(Adders!H$13:H$101)) + VLOOKUP($H52,Adders!$B$5:$G$8,N$11,FALSE)  +  IL!$D$2 ) * IF($D52="NJ",1.07,1))/$L$10, CHOOSE($M$10,$L$9,$M$9) )</f>
        <v xml:space="preserve"> 27.94 </v>
      </c>
      <c r="O52" s="112"/>
    </row>
    <row r="53" spans="2:15" x14ac:dyDescent="0.25">
      <c r="B53" s="108"/>
      <c r="C53" s="127">
        <f t="shared" si="1"/>
        <v>42186</v>
      </c>
      <c r="D53" s="128" t="s">
        <v>25</v>
      </c>
      <c r="E53" s="129" t="s">
        <v>26</v>
      </c>
      <c r="F53" s="128" t="s">
        <v>28</v>
      </c>
      <c r="G53" s="129" t="str">
        <f t="shared" si="2"/>
        <v>100 - 400 kW</v>
      </c>
      <c r="H53" s="130" t="s">
        <v>61</v>
      </c>
      <c r="I53" s="178" t="str">
        <f>TEXT(   (SUMPRODUCT( ((Main!$H$9:$H$1000)=$E53)*((Main!$J$9:$J$1000)=$F53)*((Main!$O$9:$O$1000)=$C53)*(Main!R$9:R$1000) ) +  ( SUMPRODUCT( ((Adders!$D$13:$D$101)=$E53)*((Adders!$E$13:$E$101)=$F53)*(Adders!G$13:G$101)) + VLOOKUP($H53,Adders!$B$5:$G$8,L$11,FALSE)  +  IL!$D$2 ) * IF($D53="NJ",1.07,1))/$L$10, CHOOSE($M$10,$L$9,$M$9) )</f>
        <v xml:space="preserve"> 68.37 </v>
      </c>
      <c r="J53" s="178" t="str">
        <f>TEXT(   (SUMPRODUCT( ((Main!$H$9:$H$1000)=$E53)*((Main!$J$9:$J$1000)=$F53)*((Main!$O$9:$O$1000)=$C53)*(Main!S$9:S$1000) ) +  ( SUMPRODUCT( ((Adders!$D$13:$D$101)=$E53)*((Adders!$E$13:$E$101)=$F53)*(Adders!H$13:H$101)) + VLOOKUP($H53,Adders!$B$5:$G$8,M$11,FALSE)  +  IL!$D$2 ) * IF($D53="NJ",1.07,1))/$L$10, CHOOSE($M$10,$L$9,$M$9) )</f>
        <v xml:space="preserve"> 65.43 </v>
      </c>
      <c r="K53" s="179" t="str">
        <f>TEXT(   (SUMPRODUCT( ((Main!$H$9:$H$1000)=$E53)*((Main!$J$9:$J$1000)=$F53)*((Main!$O$9:$O$1000)=$C53)*(Main!T$9:T$1000) ) +  ( SUMPRODUCT( ((Adders!$D$13:$D$101)=$E53)*((Adders!$E$13:$E$101)=$F53)*(Adders!I$13:I$101)) + VLOOKUP($H53,Adders!$B$5:$G$8,N$11,FALSE)  +  IL!$D$2 ) * IF($D53="NJ",1.07,1))/$L$10, CHOOSE($M$10,$L$9,$M$9) )</f>
        <v xml:space="preserve"> 65.58 </v>
      </c>
      <c r="L53" s="178" t="str">
        <f>TEXT(   (SUMPRODUCT( ((LMPMain!$H$9:$H$1000)=$E53)*((LMPMain!$J$9:$J$1000)=$F53)*((LMPMain!$O$9:$O$1000)=$C53)*(LMPMain!R$9:R$1000) ) +  ( SUMPRODUCT( ((Adders!$D$13:$D$101)=$E53)*((Adders!$E$13:$E$101)=$F53)*(Adders!F$13:F$101)) + VLOOKUP($H53,Adders!$B$5:$G$8,L$11,FALSE)  +  IL!$D$2 ) * IF($D53="NJ",1.07,1))/$L$10, CHOOSE($M$10,$L$9,$M$9) )</f>
        <v xml:space="preserve"> 33.73 </v>
      </c>
      <c r="M53" s="178" t="str">
        <f>TEXT(   (SUMPRODUCT( ((LMPMain!$H$9:$H$1000)=$E53)*((LMPMain!$J$9:$J$1000)=$F53)*((LMPMain!$O$9:$O$1000)=$C53)*(LMPMain!S$9:S$1000) ) +  ( SUMPRODUCT( ((Adders!$D$13:$D$101)=$E53)*((Adders!$E$13:$E$101)=$F53)*(Adders!G$13:G$101)) + VLOOKUP($H53,Adders!$B$5:$G$8,M$11,FALSE)  +  IL!$D$2 ) * IF($D53="NJ",1.07,1))/$L$10, CHOOSE($M$10,$L$9,$M$9) )</f>
        <v xml:space="preserve"> 31.18 </v>
      </c>
      <c r="N53" s="179" t="str">
        <f>TEXT(   (SUMPRODUCT( ((LMPMain!$H$9:$H$1000)=$E53)*((LMPMain!$J$9:$J$1000)=$F53)*((LMPMain!$O$9:$O$1000)=$C53)*(LMPMain!T$9:T$1000) ) +  ( SUMPRODUCT( ((Adders!$D$13:$D$101)=$E53)*((Adders!$E$13:$E$101)=$F53)*(Adders!H$13:H$101)) + VLOOKUP($H53,Adders!$B$5:$G$8,N$11,FALSE)  +  IL!$D$2 ) * IF($D53="NJ",1.07,1))/$L$10, CHOOSE($M$10,$L$9,$M$9) )</f>
        <v xml:space="preserve"> 30.55 </v>
      </c>
      <c r="O53" s="112"/>
    </row>
    <row r="54" spans="2:15" x14ac:dyDescent="0.25">
      <c r="B54" s="108"/>
      <c r="C54" s="131">
        <f t="shared" si="1"/>
        <v>42186</v>
      </c>
      <c r="D54" s="132" t="s">
        <v>25</v>
      </c>
      <c r="E54" s="133" t="s">
        <v>26</v>
      </c>
      <c r="F54" s="132" t="s">
        <v>28</v>
      </c>
      <c r="G54" s="133" t="str">
        <f t="shared" si="2"/>
        <v>100 - 400 kW</v>
      </c>
      <c r="H54" s="134" t="s">
        <v>62</v>
      </c>
      <c r="I54" s="173" t="str">
        <f>TEXT(   (SUMPRODUCT( ((Main!$H$9:$H$1000)=$E54)*((Main!$J$9:$J$1000)=$F54)*((Main!$O$9:$O$1000)=$C54)*(Main!R$9:R$1000) ) +  ( SUMPRODUCT( ((Adders!$D$13:$D$101)=$E54)*((Adders!$E$13:$E$101)=$F54)*(Adders!G$13:G$101)) + VLOOKUP($H54,Adders!$B$5:$G$8,L$11,FALSE)  +  IL!$D$2 ) * IF($D54="NJ",1.07,1))/$L$10, CHOOSE($M$10,$L$9,$M$9) )</f>
        <v xml:space="preserve"> 66.77 </v>
      </c>
      <c r="J54" s="173" t="str">
        <f>TEXT(   (SUMPRODUCT( ((Main!$H$9:$H$1000)=$E54)*((Main!$J$9:$J$1000)=$F54)*((Main!$O$9:$O$1000)=$C54)*(Main!S$9:S$1000) ) +  ( SUMPRODUCT( ((Adders!$D$13:$D$101)=$E54)*((Adders!$E$13:$E$101)=$F54)*(Adders!H$13:H$101)) + VLOOKUP($H54,Adders!$B$5:$G$8,M$11,FALSE)  +  IL!$D$2 ) * IF($D54="NJ",1.07,1))/$L$10, CHOOSE($M$10,$L$9,$M$9) )</f>
        <v xml:space="preserve"> 63.83 </v>
      </c>
      <c r="K54" s="174" t="str">
        <f>TEXT(   (SUMPRODUCT( ((Main!$H$9:$H$1000)=$E54)*((Main!$J$9:$J$1000)=$F54)*((Main!$O$9:$O$1000)=$C54)*(Main!T$9:T$1000) ) +  ( SUMPRODUCT( ((Adders!$D$13:$D$101)=$E54)*((Adders!$E$13:$E$101)=$F54)*(Adders!I$13:I$101)) + VLOOKUP($H54,Adders!$B$5:$G$8,N$11,FALSE)  +  IL!$D$2 ) * IF($D54="NJ",1.07,1))/$L$10, CHOOSE($M$10,$L$9,$M$9) )</f>
        <v xml:space="preserve"> 63.98 </v>
      </c>
      <c r="L54" s="173" t="str">
        <f>TEXT(   (SUMPRODUCT( ((LMPMain!$H$9:$H$1000)=$E54)*((LMPMain!$J$9:$J$1000)=$F54)*((LMPMain!$O$9:$O$1000)=$C54)*(LMPMain!R$9:R$1000) ) +  ( SUMPRODUCT( ((Adders!$D$13:$D$101)=$E54)*((Adders!$E$13:$E$101)=$F54)*(Adders!F$13:F$101)) + VLOOKUP($H54,Adders!$B$5:$G$8,L$11,FALSE)  +  IL!$D$2 ) * IF($D54="NJ",1.07,1))/$L$10, CHOOSE($M$10,$L$9,$M$9) )</f>
        <v xml:space="preserve"> 32.13 </v>
      </c>
      <c r="M54" s="173" t="str">
        <f>TEXT(   (SUMPRODUCT( ((LMPMain!$H$9:$H$1000)=$E54)*((LMPMain!$J$9:$J$1000)=$F54)*((LMPMain!$O$9:$O$1000)=$C54)*(LMPMain!S$9:S$1000) ) +  ( SUMPRODUCT( ((Adders!$D$13:$D$101)=$E54)*((Adders!$E$13:$E$101)=$F54)*(Adders!G$13:G$101)) + VLOOKUP($H54,Adders!$B$5:$G$8,M$11,FALSE)  +  IL!$D$2 ) * IF($D54="NJ",1.07,1))/$L$10, CHOOSE($M$10,$L$9,$M$9) )</f>
        <v xml:space="preserve"> 29.58 </v>
      </c>
      <c r="N54" s="174" t="str">
        <f>TEXT(   (SUMPRODUCT( ((LMPMain!$H$9:$H$1000)=$E54)*((LMPMain!$J$9:$J$1000)=$F54)*((LMPMain!$O$9:$O$1000)=$C54)*(LMPMain!T$9:T$1000) ) +  ( SUMPRODUCT( ((Adders!$D$13:$D$101)=$E54)*((Adders!$E$13:$E$101)=$F54)*(Adders!H$13:H$101)) + VLOOKUP($H54,Adders!$B$5:$G$8,N$11,FALSE)  +  IL!$D$2 ) * IF($D54="NJ",1.07,1))/$L$10, CHOOSE($M$10,$L$9,$M$9) )</f>
        <v xml:space="preserve"> 28.95 </v>
      </c>
      <c r="O54" s="112"/>
    </row>
    <row r="55" spans="2:15" x14ac:dyDescent="0.25">
      <c r="B55" s="108"/>
      <c r="C55" s="135">
        <f t="shared" si="1"/>
        <v>42186</v>
      </c>
      <c r="D55" s="136" t="s">
        <v>25</v>
      </c>
      <c r="E55" s="137" t="s">
        <v>26</v>
      </c>
      <c r="F55" s="136" t="s">
        <v>28</v>
      </c>
      <c r="G55" s="137" t="str">
        <f t="shared" si="2"/>
        <v>100 - 400 kW</v>
      </c>
      <c r="H55" s="138" t="s">
        <v>690</v>
      </c>
      <c r="I55" s="176" t="str">
        <f>TEXT(   (SUMPRODUCT( ((Main!$H$9:$H$1000)=$E55)*((Main!$J$9:$J$1000)=$F55)*((Main!$O$9:$O$1000)=$C55)*(Main!R$9:R$1000) ) +  ( SUMPRODUCT( ((Adders!$D$13:$D$101)=$E55)*((Adders!$E$13:$E$101)=$F55)*(Adders!G$13:G$101)) + VLOOKUP($H55,Adders!$B$5:$G$8,L$11,FALSE)  +  IL!$D$2 ) * IF($D55="NJ",1.07,1))/$L$10, CHOOSE($M$10,$L$9,$M$9) )</f>
        <v xml:space="preserve"> 65.72 </v>
      </c>
      <c r="J55" s="176" t="str">
        <f>TEXT(   (SUMPRODUCT( ((Main!$H$9:$H$1000)=$E55)*((Main!$J$9:$J$1000)=$F55)*((Main!$O$9:$O$1000)=$C55)*(Main!S$9:S$1000) ) +  ( SUMPRODUCT( ((Adders!$D$13:$D$101)=$E55)*((Adders!$E$13:$E$101)=$F55)*(Adders!H$13:H$101)) + VLOOKUP($H55,Adders!$B$5:$G$8,M$11,FALSE)  +  IL!$D$2 ) * IF($D55="NJ",1.07,1))/$L$10, CHOOSE($M$10,$L$9,$M$9) )</f>
        <v xml:space="preserve"> 62.78 </v>
      </c>
      <c r="K55" s="177" t="str">
        <f>TEXT(   (SUMPRODUCT( ((Main!$H$9:$H$1000)=$E55)*((Main!$J$9:$J$1000)=$F55)*((Main!$O$9:$O$1000)=$C55)*(Main!T$9:T$1000) ) +  ( SUMPRODUCT( ((Adders!$D$13:$D$101)=$E55)*((Adders!$E$13:$E$101)=$F55)*(Adders!I$13:I$101)) + VLOOKUP($H55,Adders!$B$5:$G$8,N$11,FALSE)  +  IL!$D$2 ) * IF($D55="NJ",1.07,1))/$L$10, CHOOSE($M$10,$L$9,$M$9) )</f>
        <v xml:space="preserve"> 62.93 </v>
      </c>
      <c r="L55" s="176" t="str">
        <f>TEXT(   (SUMPRODUCT( ((LMPMain!$H$9:$H$1000)=$E55)*((LMPMain!$J$9:$J$1000)=$F55)*((LMPMain!$O$9:$O$1000)=$C55)*(LMPMain!R$9:R$1000) ) +  ( SUMPRODUCT( ((Adders!$D$13:$D$101)=$E55)*((Adders!$E$13:$E$101)=$F55)*(Adders!F$13:F$101)) + VLOOKUP($H55,Adders!$B$5:$G$8,L$11,FALSE)  +  IL!$D$2 ) * IF($D55="NJ",1.07,1))/$L$10, CHOOSE($M$10,$L$9,$M$9) )</f>
        <v xml:space="preserve"> 31.08 </v>
      </c>
      <c r="M55" s="176" t="str">
        <f>TEXT(   (SUMPRODUCT( ((LMPMain!$H$9:$H$1000)=$E55)*((LMPMain!$J$9:$J$1000)=$F55)*((LMPMain!$O$9:$O$1000)=$C55)*(LMPMain!S$9:S$1000) ) +  ( SUMPRODUCT( ((Adders!$D$13:$D$101)=$E55)*((Adders!$E$13:$E$101)=$F55)*(Adders!G$13:G$101)) + VLOOKUP($H55,Adders!$B$5:$G$8,M$11,FALSE)  +  IL!$D$2 ) * IF($D55="NJ",1.07,1))/$L$10, CHOOSE($M$10,$L$9,$M$9) )</f>
        <v xml:space="preserve"> 28.53 </v>
      </c>
      <c r="N55" s="177" t="str">
        <f>TEXT(   (SUMPRODUCT( ((LMPMain!$H$9:$H$1000)=$E55)*((LMPMain!$J$9:$J$1000)=$F55)*((LMPMain!$O$9:$O$1000)=$C55)*(LMPMain!T$9:T$1000) ) +  ( SUMPRODUCT( ((Adders!$D$13:$D$101)=$E55)*((Adders!$E$13:$E$101)=$F55)*(Adders!H$13:H$101)) + VLOOKUP($H55,Adders!$B$5:$G$8,N$11,FALSE)  +  IL!$D$2 ) * IF($D55="NJ",1.07,1))/$L$10, CHOOSE($M$10,$L$9,$M$9) )</f>
        <v xml:space="preserve"> 27.90 </v>
      </c>
      <c r="O55" s="112"/>
    </row>
    <row r="56" spans="2:15" x14ac:dyDescent="0.25">
      <c r="B56" s="108"/>
      <c r="C56" s="127">
        <f t="shared" si="1"/>
        <v>42217</v>
      </c>
      <c r="D56" s="128" t="s">
        <v>25</v>
      </c>
      <c r="E56" s="129" t="s">
        <v>26</v>
      </c>
      <c r="F56" s="128" t="s">
        <v>28</v>
      </c>
      <c r="G56" s="129" t="str">
        <f t="shared" si="2"/>
        <v>100 - 400 kW</v>
      </c>
      <c r="H56" s="130" t="s">
        <v>61</v>
      </c>
      <c r="I56" s="178" t="str">
        <f>TEXT(   (SUMPRODUCT( ((Main!$H$9:$H$1000)=$E56)*((Main!$J$9:$J$1000)=$F56)*((Main!$O$9:$O$1000)=$C56)*(Main!R$9:R$1000) ) +  ( SUMPRODUCT( ((Adders!$D$13:$D$101)=$E56)*((Adders!$E$13:$E$101)=$F56)*(Adders!G$13:G$101)) + VLOOKUP($H56,Adders!$B$5:$G$8,L$11,FALSE)  +  IL!$D$2 ) * IF($D56="NJ",1.07,1))/$L$10, CHOOSE($M$10,$L$9,$M$9) )</f>
        <v xml:space="preserve"> 67.76 </v>
      </c>
      <c r="J56" s="178" t="str">
        <f>TEXT(   (SUMPRODUCT( ((Main!$H$9:$H$1000)=$E56)*((Main!$J$9:$J$1000)=$F56)*((Main!$O$9:$O$1000)=$C56)*(Main!S$9:S$1000) ) +  ( SUMPRODUCT( ((Adders!$D$13:$D$101)=$E56)*((Adders!$E$13:$E$101)=$F56)*(Adders!H$13:H$101)) + VLOOKUP($H56,Adders!$B$5:$G$8,M$11,FALSE)  +  IL!$D$2 ) * IF($D56="NJ",1.07,1))/$L$10, CHOOSE($M$10,$L$9,$M$9) )</f>
        <v xml:space="preserve"> 65.19 </v>
      </c>
      <c r="K56" s="179" t="str">
        <f>TEXT(   (SUMPRODUCT( ((Main!$H$9:$H$1000)=$E56)*((Main!$J$9:$J$1000)=$F56)*((Main!$O$9:$O$1000)=$C56)*(Main!T$9:T$1000) ) +  ( SUMPRODUCT( ((Adders!$D$13:$D$101)=$E56)*((Adders!$E$13:$E$101)=$F56)*(Adders!I$13:I$101)) + VLOOKUP($H56,Adders!$B$5:$G$8,N$11,FALSE)  +  IL!$D$2 ) * IF($D56="NJ",1.07,1))/$L$10, CHOOSE($M$10,$L$9,$M$9) )</f>
        <v xml:space="preserve"> 65.72 </v>
      </c>
      <c r="L56" s="178" t="str">
        <f>TEXT(   (SUMPRODUCT( ((LMPMain!$H$9:$H$1000)=$E56)*((LMPMain!$J$9:$J$1000)=$F56)*((LMPMain!$O$9:$O$1000)=$C56)*(LMPMain!R$9:R$1000) ) +  ( SUMPRODUCT( ((Adders!$D$13:$D$101)=$E56)*((Adders!$E$13:$E$101)=$F56)*(Adders!F$13:F$101)) + VLOOKUP($H56,Adders!$B$5:$G$8,L$11,FALSE)  +  IL!$D$2 ) * IF($D56="NJ",1.07,1))/$L$10, CHOOSE($M$10,$L$9,$M$9) )</f>
        <v xml:space="preserve"> 33.13 </v>
      </c>
      <c r="M56" s="178" t="str">
        <f>TEXT(   (SUMPRODUCT( ((LMPMain!$H$9:$H$1000)=$E56)*((LMPMain!$J$9:$J$1000)=$F56)*((LMPMain!$O$9:$O$1000)=$C56)*(LMPMain!S$9:S$1000) ) +  ( SUMPRODUCT( ((Adders!$D$13:$D$101)=$E56)*((Adders!$E$13:$E$101)=$F56)*(Adders!G$13:G$101)) + VLOOKUP($H56,Adders!$B$5:$G$8,M$11,FALSE)  +  IL!$D$2 ) * IF($D56="NJ",1.07,1))/$L$10, CHOOSE($M$10,$L$9,$M$9) )</f>
        <v xml:space="preserve"> 30.94 </v>
      </c>
      <c r="N56" s="179" t="str">
        <f>TEXT(   (SUMPRODUCT( ((LMPMain!$H$9:$H$1000)=$E56)*((LMPMain!$J$9:$J$1000)=$F56)*((LMPMain!$O$9:$O$1000)=$C56)*(LMPMain!T$9:T$1000) ) +  ( SUMPRODUCT( ((Adders!$D$13:$D$101)=$E56)*((Adders!$E$13:$E$101)=$F56)*(Adders!H$13:H$101)) + VLOOKUP($H56,Adders!$B$5:$G$8,N$11,FALSE)  +  IL!$D$2 ) * IF($D56="NJ",1.07,1))/$L$10, CHOOSE($M$10,$L$9,$M$9) )</f>
        <v xml:space="preserve"> 30.55 </v>
      </c>
      <c r="O56" s="112"/>
    </row>
    <row r="57" spans="2:15" x14ac:dyDescent="0.25">
      <c r="B57" s="108"/>
      <c r="C57" s="131">
        <f t="shared" si="1"/>
        <v>42217</v>
      </c>
      <c r="D57" s="132" t="s">
        <v>25</v>
      </c>
      <c r="E57" s="133" t="s">
        <v>26</v>
      </c>
      <c r="F57" s="132" t="s">
        <v>28</v>
      </c>
      <c r="G57" s="133" t="str">
        <f t="shared" si="2"/>
        <v>100 - 400 kW</v>
      </c>
      <c r="H57" s="134" t="s">
        <v>62</v>
      </c>
      <c r="I57" s="173" t="str">
        <f>TEXT(   (SUMPRODUCT( ((Main!$H$9:$H$1000)=$E57)*((Main!$J$9:$J$1000)=$F57)*((Main!$O$9:$O$1000)=$C57)*(Main!R$9:R$1000) ) +  ( SUMPRODUCT( ((Adders!$D$13:$D$101)=$E57)*((Adders!$E$13:$E$101)=$F57)*(Adders!G$13:G$101)) + VLOOKUP($H57,Adders!$B$5:$G$8,L$11,FALSE)  +  IL!$D$2 ) * IF($D57="NJ",1.07,1))/$L$10, CHOOSE($M$10,$L$9,$M$9) )</f>
        <v xml:space="preserve"> 66.16 </v>
      </c>
      <c r="J57" s="173" t="str">
        <f>TEXT(   (SUMPRODUCT( ((Main!$H$9:$H$1000)=$E57)*((Main!$J$9:$J$1000)=$F57)*((Main!$O$9:$O$1000)=$C57)*(Main!S$9:S$1000) ) +  ( SUMPRODUCT( ((Adders!$D$13:$D$101)=$E57)*((Adders!$E$13:$E$101)=$F57)*(Adders!H$13:H$101)) + VLOOKUP($H57,Adders!$B$5:$G$8,M$11,FALSE)  +  IL!$D$2 ) * IF($D57="NJ",1.07,1))/$L$10, CHOOSE($M$10,$L$9,$M$9) )</f>
        <v xml:space="preserve"> 63.59 </v>
      </c>
      <c r="K57" s="174" t="str">
        <f>TEXT(   (SUMPRODUCT( ((Main!$H$9:$H$1000)=$E57)*((Main!$J$9:$J$1000)=$F57)*((Main!$O$9:$O$1000)=$C57)*(Main!T$9:T$1000) ) +  ( SUMPRODUCT( ((Adders!$D$13:$D$101)=$E57)*((Adders!$E$13:$E$101)=$F57)*(Adders!I$13:I$101)) + VLOOKUP($H57,Adders!$B$5:$G$8,N$11,FALSE)  +  IL!$D$2 ) * IF($D57="NJ",1.07,1))/$L$10, CHOOSE($M$10,$L$9,$M$9) )</f>
        <v xml:space="preserve"> 64.12 </v>
      </c>
      <c r="L57" s="173" t="str">
        <f>TEXT(   (SUMPRODUCT( ((LMPMain!$H$9:$H$1000)=$E57)*((LMPMain!$J$9:$J$1000)=$F57)*((LMPMain!$O$9:$O$1000)=$C57)*(LMPMain!R$9:R$1000) ) +  ( SUMPRODUCT( ((Adders!$D$13:$D$101)=$E57)*((Adders!$E$13:$E$101)=$F57)*(Adders!F$13:F$101)) + VLOOKUP($H57,Adders!$B$5:$G$8,L$11,FALSE)  +  IL!$D$2 ) * IF($D57="NJ",1.07,1))/$L$10, CHOOSE($M$10,$L$9,$M$9) )</f>
        <v xml:space="preserve"> 31.53 </v>
      </c>
      <c r="M57" s="173" t="str">
        <f>TEXT(   (SUMPRODUCT( ((LMPMain!$H$9:$H$1000)=$E57)*((LMPMain!$J$9:$J$1000)=$F57)*((LMPMain!$O$9:$O$1000)=$C57)*(LMPMain!S$9:S$1000) ) +  ( SUMPRODUCT( ((Adders!$D$13:$D$101)=$E57)*((Adders!$E$13:$E$101)=$F57)*(Adders!G$13:G$101)) + VLOOKUP($H57,Adders!$B$5:$G$8,M$11,FALSE)  +  IL!$D$2 ) * IF($D57="NJ",1.07,1))/$L$10, CHOOSE($M$10,$L$9,$M$9) )</f>
        <v xml:space="preserve"> 29.34 </v>
      </c>
      <c r="N57" s="174" t="str">
        <f>TEXT(   (SUMPRODUCT( ((LMPMain!$H$9:$H$1000)=$E57)*((LMPMain!$J$9:$J$1000)=$F57)*((LMPMain!$O$9:$O$1000)=$C57)*(LMPMain!T$9:T$1000) ) +  ( SUMPRODUCT( ((Adders!$D$13:$D$101)=$E57)*((Adders!$E$13:$E$101)=$F57)*(Adders!H$13:H$101)) + VLOOKUP($H57,Adders!$B$5:$G$8,N$11,FALSE)  +  IL!$D$2 ) * IF($D57="NJ",1.07,1))/$L$10, CHOOSE($M$10,$L$9,$M$9) )</f>
        <v xml:space="preserve"> 28.95 </v>
      </c>
      <c r="O57" s="112"/>
    </row>
    <row r="58" spans="2:15" x14ac:dyDescent="0.25">
      <c r="B58" s="108"/>
      <c r="C58" s="135">
        <f t="shared" si="1"/>
        <v>42217</v>
      </c>
      <c r="D58" s="136" t="s">
        <v>25</v>
      </c>
      <c r="E58" s="137" t="s">
        <v>26</v>
      </c>
      <c r="F58" s="136" t="s">
        <v>28</v>
      </c>
      <c r="G58" s="137" t="str">
        <f t="shared" si="2"/>
        <v>100 - 400 kW</v>
      </c>
      <c r="H58" s="138" t="s">
        <v>690</v>
      </c>
      <c r="I58" s="176" t="str">
        <f>TEXT(   (SUMPRODUCT( ((Main!$H$9:$H$1000)=$E58)*((Main!$J$9:$J$1000)=$F58)*((Main!$O$9:$O$1000)=$C58)*(Main!R$9:R$1000) ) +  ( SUMPRODUCT( ((Adders!$D$13:$D$101)=$E58)*((Adders!$E$13:$E$101)=$F58)*(Adders!G$13:G$101)) + VLOOKUP($H58,Adders!$B$5:$G$8,L$11,FALSE)  +  IL!$D$2 ) * IF($D58="NJ",1.07,1))/$L$10, CHOOSE($M$10,$L$9,$M$9) )</f>
        <v xml:space="preserve"> 65.11 </v>
      </c>
      <c r="J58" s="176" t="str">
        <f>TEXT(   (SUMPRODUCT( ((Main!$H$9:$H$1000)=$E58)*((Main!$J$9:$J$1000)=$F58)*((Main!$O$9:$O$1000)=$C58)*(Main!S$9:S$1000) ) +  ( SUMPRODUCT( ((Adders!$D$13:$D$101)=$E58)*((Adders!$E$13:$E$101)=$F58)*(Adders!H$13:H$101)) + VLOOKUP($H58,Adders!$B$5:$G$8,M$11,FALSE)  +  IL!$D$2 ) * IF($D58="NJ",1.07,1))/$L$10, CHOOSE($M$10,$L$9,$M$9) )</f>
        <v xml:space="preserve"> 62.54 </v>
      </c>
      <c r="K58" s="177" t="str">
        <f>TEXT(   (SUMPRODUCT( ((Main!$H$9:$H$1000)=$E58)*((Main!$J$9:$J$1000)=$F58)*((Main!$O$9:$O$1000)=$C58)*(Main!T$9:T$1000) ) +  ( SUMPRODUCT( ((Adders!$D$13:$D$101)=$E58)*((Adders!$E$13:$E$101)=$F58)*(Adders!I$13:I$101)) + VLOOKUP($H58,Adders!$B$5:$G$8,N$11,FALSE)  +  IL!$D$2 ) * IF($D58="NJ",1.07,1))/$L$10, CHOOSE($M$10,$L$9,$M$9) )</f>
        <v xml:space="preserve"> 63.07 </v>
      </c>
      <c r="L58" s="176" t="str">
        <f>TEXT(   (SUMPRODUCT( ((LMPMain!$H$9:$H$1000)=$E58)*((LMPMain!$J$9:$J$1000)=$F58)*((LMPMain!$O$9:$O$1000)=$C58)*(LMPMain!R$9:R$1000) ) +  ( SUMPRODUCT( ((Adders!$D$13:$D$101)=$E58)*((Adders!$E$13:$E$101)=$F58)*(Adders!F$13:F$101)) + VLOOKUP($H58,Adders!$B$5:$G$8,L$11,FALSE)  +  IL!$D$2 ) * IF($D58="NJ",1.07,1))/$L$10, CHOOSE($M$10,$L$9,$M$9) )</f>
        <v xml:space="preserve"> 30.48 </v>
      </c>
      <c r="M58" s="176" t="str">
        <f>TEXT(   (SUMPRODUCT( ((LMPMain!$H$9:$H$1000)=$E58)*((LMPMain!$J$9:$J$1000)=$F58)*((LMPMain!$O$9:$O$1000)=$C58)*(LMPMain!S$9:S$1000) ) +  ( SUMPRODUCT( ((Adders!$D$13:$D$101)=$E58)*((Adders!$E$13:$E$101)=$F58)*(Adders!G$13:G$101)) + VLOOKUP($H58,Adders!$B$5:$G$8,M$11,FALSE)  +  IL!$D$2 ) * IF($D58="NJ",1.07,1))/$L$10, CHOOSE($M$10,$L$9,$M$9) )</f>
        <v xml:space="preserve"> 28.29 </v>
      </c>
      <c r="N58" s="177" t="str">
        <f>TEXT(   (SUMPRODUCT( ((LMPMain!$H$9:$H$1000)=$E58)*((LMPMain!$J$9:$J$1000)=$F58)*((LMPMain!$O$9:$O$1000)=$C58)*(LMPMain!T$9:T$1000) ) +  ( SUMPRODUCT( ((Adders!$D$13:$D$101)=$E58)*((Adders!$E$13:$E$101)=$F58)*(Adders!H$13:H$101)) + VLOOKUP($H58,Adders!$B$5:$G$8,N$11,FALSE)  +  IL!$D$2 ) * IF($D58="NJ",1.07,1))/$L$10, CHOOSE($M$10,$L$9,$M$9) )</f>
        <v xml:space="preserve"> 27.90 </v>
      </c>
      <c r="O58" s="112"/>
    </row>
    <row r="59" spans="2:15" x14ac:dyDescent="0.25">
      <c r="B59" s="108"/>
      <c r="C59" s="127">
        <f t="shared" si="1"/>
        <v>42248</v>
      </c>
      <c r="D59" s="128" t="s">
        <v>25</v>
      </c>
      <c r="E59" s="129" t="s">
        <v>26</v>
      </c>
      <c r="F59" s="128" t="s">
        <v>28</v>
      </c>
      <c r="G59" s="129" t="str">
        <f t="shared" si="2"/>
        <v>100 - 400 kW</v>
      </c>
      <c r="H59" s="130" t="s">
        <v>61</v>
      </c>
      <c r="I59" s="178" t="str">
        <f>TEXT(   (SUMPRODUCT( ((Main!$H$9:$H$1000)=$E59)*((Main!$J$9:$J$1000)=$F59)*((Main!$O$9:$O$1000)=$C59)*(Main!R$9:R$1000) ) +  ( SUMPRODUCT( ((Adders!$D$13:$D$101)=$E59)*((Adders!$E$13:$E$101)=$F59)*(Adders!G$13:G$101)) + VLOOKUP($H59,Adders!$B$5:$G$8,L$11,FALSE)  +  IL!$D$2 ) * IF($D59="NJ",1.07,1))/$L$10, CHOOSE($M$10,$L$9,$M$9) )</f>
        <v xml:space="preserve"> 67.28 </v>
      </c>
      <c r="J59" s="178" t="str">
        <f>TEXT(   (SUMPRODUCT( ((Main!$H$9:$H$1000)=$E59)*((Main!$J$9:$J$1000)=$F59)*((Main!$O$9:$O$1000)=$C59)*(Main!S$9:S$1000) ) +  ( SUMPRODUCT( ((Adders!$D$13:$D$101)=$E59)*((Adders!$E$13:$E$101)=$F59)*(Adders!H$13:H$101)) + VLOOKUP($H59,Adders!$B$5:$G$8,M$11,FALSE)  +  IL!$D$2 ) * IF($D59="NJ",1.07,1))/$L$10, CHOOSE($M$10,$L$9,$M$9) )</f>
        <v xml:space="preserve"> 65.22 </v>
      </c>
      <c r="K59" s="179" t="str">
        <f>TEXT(   (SUMPRODUCT( ((Main!$H$9:$H$1000)=$E59)*((Main!$J$9:$J$1000)=$F59)*((Main!$O$9:$O$1000)=$C59)*(Main!T$9:T$1000) ) +  ( SUMPRODUCT( ((Adders!$D$13:$D$101)=$E59)*((Adders!$E$13:$E$101)=$F59)*(Adders!I$13:I$101)) + VLOOKUP($H59,Adders!$B$5:$G$8,N$11,FALSE)  +  IL!$D$2 ) * IF($D59="NJ",1.07,1))/$L$10, CHOOSE($M$10,$L$9,$M$9) )</f>
        <v xml:space="preserve"> 65.91 </v>
      </c>
      <c r="L59" s="178" t="str">
        <f>TEXT(   (SUMPRODUCT( ((LMPMain!$H$9:$H$1000)=$E59)*((LMPMain!$J$9:$J$1000)=$F59)*((LMPMain!$O$9:$O$1000)=$C59)*(LMPMain!R$9:R$1000) ) +  ( SUMPRODUCT( ((Adders!$D$13:$D$101)=$E59)*((Adders!$E$13:$E$101)=$F59)*(Adders!F$13:F$101)) + VLOOKUP($H59,Adders!$B$5:$G$8,L$11,FALSE)  +  IL!$D$2 ) * IF($D59="NJ",1.07,1))/$L$10, CHOOSE($M$10,$L$9,$M$9) )</f>
        <v xml:space="preserve"> 32.45 </v>
      </c>
      <c r="M59" s="178" t="str">
        <f>TEXT(   (SUMPRODUCT( ((LMPMain!$H$9:$H$1000)=$E59)*((LMPMain!$J$9:$J$1000)=$F59)*((LMPMain!$O$9:$O$1000)=$C59)*(LMPMain!S$9:S$1000) ) +  ( SUMPRODUCT( ((Adders!$D$13:$D$101)=$E59)*((Adders!$E$13:$E$101)=$F59)*(Adders!G$13:G$101)) + VLOOKUP($H59,Adders!$B$5:$G$8,M$11,FALSE)  +  IL!$D$2 ) * IF($D59="NJ",1.07,1))/$L$10, CHOOSE($M$10,$L$9,$M$9) )</f>
        <v xml:space="preserve"> 30.64 </v>
      </c>
      <c r="N59" s="179" t="str">
        <f>TEXT(   (SUMPRODUCT( ((LMPMain!$H$9:$H$1000)=$E59)*((LMPMain!$J$9:$J$1000)=$F59)*((LMPMain!$O$9:$O$1000)=$C59)*(LMPMain!T$9:T$1000) ) +  ( SUMPRODUCT( ((Adders!$D$13:$D$101)=$E59)*((Adders!$E$13:$E$101)=$F59)*(Adders!H$13:H$101)) + VLOOKUP($H59,Adders!$B$5:$G$8,N$11,FALSE)  +  IL!$D$2 ) * IF($D59="NJ",1.07,1))/$L$10, CHOOSE($M$10,$L$9,$M$9) )</f>
        <v xml:space="preserve"> 30.50 </v>
      </c>
      <c r="O59" s="112"/>
    </row>
    <row r="60" spans="2:15" x14ac:dyDescent="0.25">
      <c r="B60" s="108"/>
      <c r="C60" s="131">
        <f t="shared" si="1"/>
        <v>42248</v>
      </c>
      <c r="D60" s="132" t="s">
        <v>25</v>
      </c>
      <c r="E60" s="133" t="s">
        <v>26</v>
      </c>
      <c r="F60" s="132" t="s">
        <v>28</v>
      </c>
      <c r="G60" s="133" t="str">
        <f t="shared" si="2"/>
        <v>100 - 400 kW</v>
      </c>
      <c r="H60" s="134" t="s">
        <v>62</v>
      </c>
      <c r="I60" s="173" t="str">
        <f>TEXT(   (SUMPRODUCT( ((Main!$H$9:$H$1000)=$E60)*((Main!$J$9:$J$1000)=$F60)*((Main!$O$9:$O$1000)=$C60)*(Main!R$9:R$1000) ) +  ( SUMPRODUCT( ((Adders!$D$13:$D$101)=$E60)*((Adders!$E$13:$E$101)=$F60)*(Adders!G$13:G$101)) + VLOOKUP($H60,Adders!$B$5:$G$8,L$11,FALSE)  +  IL!$D$2 ) * IF($D60="NJ",1.07,1))/$L$10, CHOOSE($M$10,$L$9,$M$9) )</f>
        <v xml:space="preserve"> 65.68 </v>
      </c>
      <c r="J60" s="173" t="str">
        <f>TEXT(   (SUMPRODUCT( ((Main!$H$9:$H$1000)=$E60)*((Main!$J$9:$J$1000)=$F60)*((Main!$O$9:$O$1000)=$C60)*(Main!S$9:S$1000) ) +  ( SUMPRODUCT( ((Adders!$D$13:$D$101)=$E60)*((Adders!$E$13:$E$101)=$F60)*(Adders!H$13:H$101)) + VLOOKUP($H60,Adders!$B$5:$G$8,M$11,FALSE)  +  IL!$D$2 ) * IF($D60="NJ",1.07,1))/$L$10, CHOOSE($M$10,$L$9,$M$9) )</f>
        <v xml:space="preserve"> 63.62 </v>
      </c>
      <c r="K60" s="174" t="str">
        <f>TEXT(   (SUMPRODUCT( ((Main!$H$9:$H$1000)=$E60)*((Main!$J$9:$J$1000)=$F60)*((Main!$O$9:$O$1000)=$C60)*(Main!T$9:T$1000) ) +  ( SUMPRODUCT( ((Adders!$D$13:$D$101)=$E60)*((Adders!$E$13:$E$101)=$F60)*(Adders!I$13:I$101)) + VLOOKUP($H60,Adders!$B$5:$G$8,N$11,FALSE)  +  IL!$D$2 ) * IF($D60="NJ",1.07,1))/$L$10, CHOOSE($M$10,$L$9,$M$9) )</f>
        <v xml:space="preserve"> 64.31 </v>
      </c>
      <c r="L60" s="173" t="str">
        <f>TEXT(   (SUMPRODUCT( ((LMPMain!$H$9:$H$1000)=$E60)*((LMPMain!$J$9:$J$1000)=$F60)*((LMPMain!$O$9:$O$1000)=$C60)*(LMPMain!R$9:R$1000) ) +  ( SUMPRODUCT( ((Adders!$D$13:$D$101)=$E60)*((Adders!$E$13:$E$101)=$F60)*(Adders!F$13:F$101)) + VLOOKUP($H60,Adders!$B$5:$G$8,L$11,FALSE)  +  IL!$D$2 ) * IF($D60="NJ",1.07,1))/$L$10, CHOOSE($M$10,$L$9,$M$9) )</f>
        <v xml:space="preserve"> 30.85 </v>
      </c>
      <c r="M60" s="173" t="str">
        <f>TEXT(   (SUMPRODUCT( ((LMPMain!$H$9:$H$1000)=$E60)*((LMPMain!$J$9:$J$1000)=$F60)*((LMPMain!$O$9:$O$1000)=$C60)*(LMPMain!S$9:S$1000) ) +  ( SUMPRODUCT( ((Adders!$D$13:$D$101)=$E60)*((Adders!$E$13:$E$101)=$F60)*(Adders!G$13:G$101)) + VLOOKUP($H60,Adders!$B$5:$G$8,M$11,FALSE)  +  IL!$D$2 ) * IF($D60="NJ",1.07,1))/$L$10, CHOOSE($M$10,$L$9,$M$9) )</f>
        <v xml:space="preserve"> 29.04 </v>
      </c>
      <c r="N60" s="174" t="str">
        <f>TEXT(   (SUMPRODUCT( ((LMPMain!$H$9:$H$1000)=$E60)*((LMPMain!$J$9:$J$1000)=$F60)*((LMPMain!$O$9:$O$1000)=$C60)*(LMPMain!T$9:T$1000) ) +  ( SUMPRODUCT( ((Adders!$D$13:$D$101)=$E60)*((Adders!$E$13:$E$101)=$F60)*(Adders!H$13:H$101)) + VLOOKUP($H60,Adders!$B$5:$G$8,N$11,FALSE)  +  IL!$D$2 ) * IF($D60="NJ",1.07,1))/$L$10, CHOOSE($M$10,$L$9,$M$9) )</f>
        <v xml:space="preserve"> 28.90 </v>
      </c>
      <c r="O60" s="112"/>
    </row>
    <row r="61" spans="2:15" x14ac:dyDescent="0.25">
      <c r="B61" s="108"/>
      <c r="C61" s="135">
        <f t="shared" si="1"/>
        <v>42248</v>
      </c>
      <c r="D61" s="136" t="s">
        <v>25</v>
      </c>
      <c r="E61" s="137" t="s">
        <v>26</v>
      </c>
      <c r="F61" s="136" t="s">
        <v>28</v>
      </c>
      <c r="G61" s="137" t="str">
        <f t="shared" si="2"/>
        <v>100 - 400 kW</v>
      </c>
      <c r="H61" s="138" t="s">
        <v>690</v>
      </c>
      <c r="I61" s="176" t="str">
        <f>TEXT(   (SUMPRODUCT( ((Main!$H$9:$H$1000)=$E61)*((Main!$J$9:$J$1000)=$F61)*((Main!$O$9:$O$1000)=$C61)*(Main!R$9:R$1000) ) +  ( SUMPRODUCT( ((Adders!$D$13:$D$101)=$E61)*((Adders!$E$13:$E$101)=$F61)*(Adders!G$13:G$101)) + VLOOKUP($H61,Adders!$B$5:$G$8,L$11,FALSE)  +  IL!$D$2 ) * IF($D61="NJ",1.07,1))/$L$10, CHOOSE($M$10,$L$9,$M$9) )</f>
        <v xml:space="preserve"> 64.63 </v>
      </c>
      <c r="J61" s="176" t="str">
        <f>TEXT(   (SUMPRODUCT( ((Main!$H$9:$H$1000)=$E61)*((Main!$J$9:$J$1000)=$F61)*((Main!$O$9:$O$1000)=$C61)*(Main!S$9:S$1000) ) +  ( SUMPRODUCT( ((Adders!$D$13:$D$101)=$E61)*((Adders!$E$13:$E$101)=$F61)*(Adders!H$13:H$101)) + VLOOKUP($H61,Adders!$B$5:$G$8,M$11,FALSE)  +  IL!$D$2 ) * IF($D61="NJ",1.07,1))/$L$10, CHOOSE($M$10,$L$9,$M$9) )</f>
        <v xml:space="preserve"> 62.57 </v>
      </c>
      <c r="K61" s="177" t="str">
        <f>TEXT(   (SUMPRODUCT( ((Main!$H$9:$H$1000)=$E61)*((Main!$J$9:$J$1000)=$F61)*((Main!$O$9:$O$1000)=$C61)*(Main!T$9:T$1000) ) +  ( SUMPRODUCT( ((Adders!$D$13:$D$101)=$E61)*((Adders!$E$13:$E$101)=$F61)*(Adders!I$13:I$101)) + VLOOKUP($H61,Adders!$B$5:$G$8,N$11,FALSE)  +  IL!$D$2 ) * IF($D61="NJ",1.07,1))/$L$10, CHOOSE($M$10,$L$9,$M$9) )</f>
        <v xml:space="preserve"> 63.26 </v>
      </c>
      <c r="L61" s="176" t="str">
        <f>TEXT(   (SUMPRODUCT( ((LMPMain!$H$9:$H$1000)=$E61)*((LMPMain!$J$9:$J$1000)=$F61)*((LMPMain!$O$9:$O$1000)=$C61)*(LMPMain!R$9:R$1000) ) +  ( SUMPRODUCT( ((Adders!$D$13:$D$101)=$E61)*((Adders!$E$13:$E$101)=$F61)*(Adders!F$13:F$101)) + VLOOKUP($H61,Adders!$B$5:$G$8,L$11,FALSE)  +  IL!$D$2 ) * IF($D61="NJ",1.07,1))/$L$10, CHOOSE($M$10,$L$9,$M$9) )</f>
        <v xml:space="preserve"> 29.80 </v>
      </c>
      <c r="M61" s="176" t="str">
        <f>TEXT(   (SUMPRODUCT( ((LMPMain!$H$9:$H$1000)=$E61)*((LMPMain!$J$9:$J$1000)=$F61)*((LMPMain!$O$9:$O$1000)=$C61)*(LMPMain!S$9:S$1000) ) +  ( SUMPRODUCT( ((Adders!$D$13:$D$101)=$E61)*((Adders!$E$13:$E$101)=$F61)*(Adders!G$13:G$101)) + VLOOKUP($H61,Adders!$B$5:$G$8,M$11,FALSE)  +  IL!$D$2 ) * IF($D61="NJ",1.07,1))/$L$10, CHOOSE($M$10,$L$9,$M$9) )</f>
        <v xml:space="preserve"> 27.99 </v>
      </c>
      <c r="N61" s="177" t="str">
        <f>TEXT(   (SUMPRODUCT( ((LMPMain!$H$9:$H$1000)=$E61)*((LMPMain!$J$9:$J$1000)=$F61)*((LMPMain!$O$9:$O$1000)=$C61)*(LMPMain!T$9:T$1000) ) +  ( SUMPRODUCT( ((Adders!$D$13:$D$101)=$E61)*((Adders!$E$13:$E$101)=$F61)*(Adders!H$13:H$101)) + VLOOKUP($H61,Adders!$B$5:$G$8,N$11,FALSE)  +  IL!$D$2 ) * IF($D61="NJ",1.07,1))/$L$10, CHOOSE($M$10,$L$9,$M$9) )</f>
        <v xml:space="preserve"> 27.85 </v>
      </c>
      <c r="O61" s="112"/>
    </row>
    <row r="62" spans="2:15" x14ac:dyDescent="0.25">
      <c r="B62" s="108"/>
      <c r="C62" s="127">
        <f t="shared" si="1"/>
        <v>42278</v>
      </c>
      <c r="D62" s="128" t="s">
        <v>25</v>
      </c>
      <c r="E62" s="129" t="s">
        <v>26</v>
      </c>
      <c r="F62" s="128" t="s">
        <v>28</v>
      </c>
      <c r="G62" s="129" t="str">
        <f t="shared" si="2"/>
        <v>100 - 400 kW</v>
      </c>
      <c r="H62" s="130" t="s">
        <v>61</v>
      </c>
      <c r="I62" s="178" t="str">
        <f>TEXT(   (SUMPRODUCT( ((Main!$H$9:$H$1000)=$E62)*((Main!$J$9:$J$1000)=$F62)*((Main!$O$9:$O$1000)=$C62)*(Main!R$9:R$1000) ) +  ( SUMPRODUCT( ((Adders!$D$13:$D$101)=$E62)*((Adders!$E$13:$E$101)=$F62)*(Adders!G$13:G$101)) + VLOOKUP($H62,Adders!$B$5:$G$8,L$11,FALSE)  +  IL!$D$2 ) * IF($D62="NJ",1.07,1))/$L$10, CHOOSE($M$10,$L$9,$M$9) )</f>
        <v xml:space="preserve"> 66.66 </v>
      </c>
      <c r="J62" s="178" t="str">
        <f>TEXT(   (SUMPRODUCT( ((Main!$H$9:$H$1000)=$E62)*((Main!$J$9:$J$1000)=$F62)*((Main!$O$9:$O$1000)=$C62)*(Main!S$9:S$1000) ) +  ( SUMPRODUCT( ((Adders!$D$13:$D$101)=$E62)*((Adders!$E$13:$E$101)=$F62)*(Adders!H$13:H$101)) + VLOOKUP($H62,Adders!$B$5:$G$8,M$11,FALSE)  +  IL!$D$2 ) * IF($D62="NJ",1.07,1))/$L$10, CHOOSE($M$10,$L$9,$M$9) )</f>
        <v xml:space="preserve"> 65.28 </v>
      </c>
      <c r="K62" s="179" t="str">
        <f>TEXT(   (SUMPRODUCT( ((Main!$H$9:$H$1000)=$E62)*((Main!$J$9:$J$1000)=$F62)*((Main!$O$9:$O$1000)=$C62)*(Main!T$9:T$1000) ) +  ( SUMPRODUCT( ((Adders!$D$13:$D$101)=$E62)*((Adders!$E$13:$E$101)=$F62)*(Adders!I$13:I$101)) + VLOOKUP($H62,Adders!$B$5:$G$8,N$11,FALSE)  +  IL!$D$2 ) * IF($D62="NJ",1.07,1))/$L$10, CHOOSE($M$10,$L$9,$M$9) )</f>
        <v xml:space="preserve"> 65.91 </v>
      </c>
      <c r="L62" s="178" t="str">
        <f>TEXT(   (SUMPRODUCT( ((LMPMain!$H$9:$H$1000)=$E62)*((LMPMain!$J$9:$J$1000)=$F62)*((LMPMain!$O$9:$O$1000)=$C62)*(LMPMain!R$9:R$1000) ) +  ( SUMPRODUCT( ((Adders!$D$13:$D$101)=$E62)*((Adders!$E$13:$E$101)=$F62)*(Adders!F$13:F$101)) + VLOOKUP($H62,Adders!$B$5:$G$8,L$11,FALSE)  +  IL!$D$2 ) * IF($D62="NJ",1.07,1))/$L$10, CHOOSE($M$10,$L$9,$M$9) )</f>
        <v xml:space="preserve"> 31.83 </v>
      </c>
      <c r="M62" s="178" t="str">
        <f>TEXT(   (SUMPRODUCT( ((LMPMain!$H$9:$H$1000)=$E62)*((LMPMain!$J$9:$J$1000)=$F62)*((LMPMain!$O$9:$O$1000)=$C62)*(LMPMain!S$9:S$1000) ) +  ( SUMPRODUCT( ((Adders!$D$13:$D$101)=$E62)*((Adders!$E$13:$E$101)=$F62)*(Adders!G$13:G$101)) + VLOOKUP($H62,Adders!$B$5:$G$8,M$11,FALSE)  +  IL!$D$2 ) * IF($D62="NJ",1.07,1))/$L$10, CHOOSE($M$10,$L$9,$M$9) )</f>
        <v xml:space="preserve"> 30.32 </v>
      </c>
      <c r="N62" s="179" t="str">
        <f>TEXT(   (SUMPRODUCT( ((LMPMain!$H$9:$H$1000)=$E62)*((LMPMain!$J$9:$J$1000)=$F62)*((LMPMain!$O$9:$O$1000)=$C62)*(LMPMain!T$9:T$1000) ) +  ( SUMPRODUCT( ((Adders!$D$13:$D$101)=$E62)*((Adders!$E$13:$E$101)=$F62)*(Adders!H$13:H$101)) + VLOOKUP($H62,Adders!$B$5:$G$8,N$11,FALSE)  +  IL!$D$2 ) * IF($D62="NJ",1.07,1))/$L$10, CHOOSE($M$10,$L$9,$M$9) )</f>
        <v xml:space="preserve"> 30.49 </v>
      </c>
      <c r="O62" s="112"/>
    </row>
    <row r="63" spans="2:15" x14ac:dyDescent="0.25">
      <c r="B63" s="108"/>
      <c r="C63" s="131">
        <f t="shared" si="1"/>
        <v>42278</v>
      </c>
      <c r="D63" s="132" t="s">
        <v>25</v>
      </c>
      <c r="E63" s="133" t="s">
        <v>26</v>
      </c>
      <c r="F63" s="132" t="s">
        <v>28</v>
      </c>
      <c r="G63" s="133" t="str">
        <f t="shared" si="2"/>
        <v>100 - 400 kW</v>
      </c>
      <c r="H63" s="134" t="s">
        <v>62</v>
      </c>
      <c r="I63" s="173" t="str">
        <f>TEXT(   (SUMPRODUCT( ((Main!$H$9:$H$1000)=$E63)*((Main!$J$9:$J$1000)=$F63)*((Main!$O$9:$O$1000)=$C63)*(Main!R$9:R$1000) ) +  ( SUMPRODUCT( ((Adders!$D$13:$D$101)=$E63)*((Adders!$E$13:$E$101)=$F63)*(Adders!G$13:G$101)) + VLOOKUP($H63,Adders!$B$5:$G$8,L$11,FALSE)  +  IL!$D$2 ) * IF($D63="NJ",1.07,1))/$L$10, CHOOSE($M$10,$L$9,$M$9) )</f>
        <v xml:space="preserve"> 65.06 </v>
      </c>
      <c r="J63" s="173" t="str">
        <f>TEXT(   (SUMPRODUCT( ((Main!$H$9:$H$1000)=$E63)*((Main!$J$9:$J$1000)=$F63)*((Main!$O$9:$O$1000)=$C63)*(Main!S$9:S$1000) ) +  ( SUMPRODUCT( ((Adders!$D$13:$D$101)=$E63)*((Adders!$E$13:$E$101)=$F63)*(Adders!H$13:H$101)) + VLOOKUP($H63,Adders!$B$5:$G$8,M$11,FALSE)  +  IL!$D$2 ) * IF($D63="NJ",1.07,1))/$L$10, CHOOSE($M$10,$L$9,$M$9) )</f>
        <v xml:space="preserve"> 63.68 </v>
      </c>
      <c r="K63" s="174" t="str">
        <f>TEXT(   (SUMPRODUCT( ((Main!$H$9:$H$1000)=$E63)*((Main!$J$9:$J$1000)=$F63)*((Main!$O$9:$O$1000)=$C63)*(Main!T$9:T$1000) ) +  ( SUMPRODUCT( ((Adders!$D$13:$D$101)=$E63)*((Adders!$E$13:$E$101)=$F63)*(Adders!I$13:I$101)) + VLOOKUP($H63,Adders!$B$5:$G$8,N$11,FALSE)  +  IL!$D$2 ) * IF($D63="NJ",1.07,1))/$L$10, CHOOSE($M$10,$L$9,$M$9) )</f>
        <v xml:space="preserve"> 64.31 </v>
      </c>
      <c r="L63" s="173" t="str">
        <f>TEXT(   (SUMPRODUCT( ((LMPMain!$H$9:$H$1000)=$E63)*((LMPMain!$J$9:$J$1000)=$F63)*((LMPMain!$O$9:$O$1000)=$C63)*(LMPMain!R$9:R$1000) ) +  ( SUMPRODUCT( ((Adders!$D$13:$D$101)=$E63)*((Adders!$E$13:$E$101)=$F63)*(Adders!F$13:F$101)) + VLOOKUP($H63,Adders!$B$5:$G$8,L$11,FALSE)  +  IL!$D$2 ) * IF($D63="NJ",1.07,1))/$L$10, CHOOSE($M$10,$L$9,$M$9) )</f>
        <v xml:space="preserve"> 30.23 </v>
      </c>
      <c r="M63" s="173" t="str">
        <f>TEXT(   (SUMPRODUCT( ((LMPMain!$H$9:$H$1000)=$E63)*((LMPMain!$J$9:$J$1000)=$F63)*((LMPMain!$O$9:$O$1000)=$C63)*(LMPMain!S$9:S$1000) ) +  ( SUMPRODUCT( ((Adders!$D$13:$D$101)=$E63)*((Adders!$E$13:$E$101)=$F63)*(Adders!G$13:G$101)) + VLOOKUP($H63,Adders!$B$5:$G$8,M$11,FALSE)  +  IL!$D$2 ) * IF($D63="NJ",1.07,1))/$L$10, CHOOSE($M$10,$L$9,$M$9) )</f>
        <v xml:space="preserve"> 28.72 </v>
      </c>
      <c r="N63" s="174" t="str">
        <f>TEXT(   (SUMPRODUCT( ((LMPMain!$H$9:$H$1000)=$E63)*((LMPMain!$J$9:$J$1000)=$F63)*((LMPMain!$O$9:$O$1000)=$C63)*(LMPMain!T$9:T$1000) ) +  ( SUMPRODUCT( ((Adders!$D$13:$D$101)=$E63)*((Adders!$E$13:$E$101)=$F63)*(Adders!H$13:H$101)) + VLOOKUP($H63,Adders!$B$5:$G$8,N$11,FALSE)  +  IL!$D$2 ) * IF($D63="NJ",1.07,1))/$L$10, CHOOSE($M$10,$L$9,$M$9) )</f>
        <v xml:space="preserve"> 28.89 </v>
      </c>
      <c r="O63" s="112"/>
    </row>
    <row r="64" spans="2:15" x14ac:dyDescent="0.25">
      <c r="B64" s="108"/>
      <c r="C64" s="135">
        <f t="shared" si="1"/>
        <v>42278</v>
      </c>
      <c r="D64" s="136" t="s">
        <v>25</v>
      </c>
      <c r="E64" s="137" t="s">
        <v>26</v>
      </c>
      <c r="F64" s="136" t="s">
        <v>28</v>
      </c>
      <c r="G64" s="137" t="str">
        <f t="shared" si="2"/>
        <v>100 - 400 kW</v>
      </c>
      <c r="H64" s="138" t="s">
        <v>690</v>
      </c>
      <c r="I64" s="176" t="str">
        <f>TEXT(   (SUMPRODUCT( ((Main!$H$9:$H$1000)=$E64)*((Main!$J$9:$J$1000)=$F64)*((Main!$O$9:$O$1000)=$C64)*(Main!R$9:R$1000) ) +  ( SUMPRODUCT( ((Adders!$D$13:$D$101)=$E64)*((Adders!$E$13:$E$101)=$F64)*(Adders!G$13:G$101)) + VLOOKUP($H64,Adders!$B$5:$G$8,L$11,FALSE)  +  IL!$D$2 ) * IF($D64="NJ",1.07,1))/$L$10, CHOOSE($M$10,$L$9,$M$9) )</f>
        <v xml:space="preserve"> 64.01 </v>
      </c>
      <c r="J64" s="176" t="str">
        <f>TEXT(   (SUMPRODUCT( ((Main!$H$9:$H$1000)=$E64)*((Main!$J$9:$J$1000)=$F64)*((Main!$O$9:$O$1000)=$C64)*(Main!S$9:S$1000) ) +  ( SUMPRODUCT( ((Adders!$D$13:$D$101)=$E64)*((Adders!$E$13:$E$101)=$F64)*(Adders!H$13:H$101)) + VLOOKUP($H64,Adders!$B$5:$G$8,M$11,FALSE)  +  IL!$D$2 ) * IF($D64="NJ",1.07,1))/$L$10, CHOOSE($M$10,$L$9,$M$9) )</f>
        <v xml:space="preserve"> 62.63 </v>
      </c>
      <c r="K64" s="177" t="str">
        <f>TEXT(   (SUMPRODUCT( ((Main!$H$9:$H$1000)=$E64)*((Main!$J$9:$J$1000)=$F64)*((Main!$O$9:$O$1000)=$C64)*(Main!T$9:T$1000) ) +  ( SUMPRODUCT( ((Adders!$D$13:$D$101)=$E64)*((Adders!$E$13:$E$101)=$F64)*(Adders!I$13:I$101)) + VLOOKUP($H64,Adders!$B$5:$G$8,N$11,FALSE)  +  IL!$D$2 ) * IF($D64="NJ",1.07,1))/$L$10, CHOOSE($M$10,$L$9,$M$9) )</f>
        <v xml:space="preserve"> 63.26 </v>
      </c>
      <c r="L64" s="176" t="str">
        <f>TEXT(   (SUMPRODUCT( ((LMPMain!$H$9:$H$1000)=$E64)*((LMPMain!$J$9:$J$1000)=$F64)*((LMPMain!$O$9:$O$1000)=$C64)*(LMPMain!R$9:R$1000) ) +  ( SUMPRODUCT( ((Adders!$D$13:$D$101)=$E64)*((Adders!$E$13:$E$101)=$F64)*(Adders!F$13:F$101)) + VLOOKUP($H64,Adders!$B$5:$G$8,L$11,FALSE)  +  IL!$D$2 ) * IF($D64="NJ",1.07,1))/$L$10, CHOOSE($M$10,$L$9,$M$9) )</f>
        <v xml:space="preserve"> 29.18 </v>
      </c>
      <c r="M64" s="176" t="str">
        <f>TEXT(   (SUMPRODUCT( ((LMPMain!$H$9:$H$1000)=$E64)*((LMPMain!$J$9:$J$1000)=$F64)*((LMPMain!$O$9:$O$1000)=$C64)*(LMPMain!S$9:S$1000) ) +  ( SUMPRODUCT( ((Adders!$D$13:$D$101)=$E64)*((Adders!$E$13:$E$101)=$F64)*(Adders!G$13:G$101)) + VLOOKUP($H64,Adders!$B$5:$G$8,M$11,FALSE)  +  IL!$D$2 ) * IF($D64="NJ",1.07,1))/$L$10, CHOOSE($M$10,$L$9,$M$9) )</f>
        <v xml:space="preserve"> 27.67 </v>
      </c>
      <c r="N64" s="177" t="str">
        <f>TEXT(   (SUMPRODUCT( ((LMPMain!$H$9:$H$1000)=$E64)*((LMPMain!$J$9:$J$1000)=$F64)*((LMPMain!$O$9:$O$1000)=$C64)*(LMPMain!T$9:T$1000) ) +  ( SUMPRODUCT( ((Adders!$D$13:$D$101)=$E64)*((Adders!$E$13:$E$101)=$F64)*(Adders!H$13:H$101)) + VLOOKUP($H64,Adders!$B$5:$G$8,N$11,FALSE)  +  IL!$D$2 ) * IF($D64="NJ",1.07,1))/$L$10, CHOOSE($M$10,$L$9,$M$9) )</f>
        <v xml:space="preserve"> 27.84 </v>
      </c>
      <c r="O64" s="112"/>
    </row>
    <row r="65" spans="2:15" x14ac:dyDescent="0.25">
      <c r="B65" s="108"/>
      <c r="C65" s="127">
        <f t="shared" si="1"/>
        <v>42309</v>
      </c>
      <c r="D65" s="128" t="s">
        <v>25</v>
      </c>
      <c r="E65" s="129" t="s">
        <v>26</v>
      </c>
      <c r="F65" s="128" t="s">
        <v>28</v>
      </c>
      <c r="G65" s="129" t="str">
        <f t="shared" si="2"/>
        <v>100 - 400 kW</v>
      </c>
      <c r="H65" s="130" t="s">
        <v>61</v>
      </c>
      <c r="I65" s="178" t="str">
        <f>TEXT(   (SUMPRODUCT( ((Main!$H$9:$H$1000)=$E65)*((Main!$J$9:$J$1000)=$F65)*((Main!$O$9:$O$1000)=$C65)*(Main!R$9:R$1000) ) +  ( SUMPRODUCT( ((Adders!$D$13:$D$101)=$E65)*((Adders!$E$13:$E$101)=$F65)*(Adders!G$13:G$101)) + VLOOKUP($H65,Adders!$B$5:$G$8,L$11,FALSE)  +  IL!$D$2 ) * IF($D65="NJ",1.07,1))/$L$10, CHOOSE($M$10,$L$9,$M$9) )</f>
        <v xml:space="preserve"> 66.04 </v>
      </c>
      <c r="J65" s="178" t="str">
        <f>TEXT(   (SUMPRODUCT( ((Main!$H$9:$H$1000)=$E65)*((Main!$J$9:$J$1000)=$F65)*((Main!$O$9:$O$1000)=$C65)*(Main!S$9:S$1000) ) +  ( SUMPRODUCT( ((Adders!$D$13:$D$101)=$E65)*((Adders!$E$13:$E$101)=$F65)*(Adders!H$13:H$101)) + VLOOKUP($H65,Adders!$B$5:$G$8,M$11,FALSE)  +  IL!$D$2 ) * IF($D65="NJ",1.07,1))/$L$10, CHOOSE($M$10,$L$9,$M$9) )</f>
        <v xml:space="preserve"> 65.20 </v>
      </c>
      <c r="K65" s="179" t="str">
        <f>TEXT(   (SUMPRODUCT( ((Main!$H$9:$H$1000)=$E65)*((Main!$J$9:$J$1000)=$F65)*((Main!$O$9:$O$1000)=$C65)*(Main!T$9:T$1000) ) +  ( SUMPRODUCT( ((Adders!$D$13:$D$101)=$E65)*((Adders!$E$13:$E$101)=$F65)*(Adders!I$13:I$101)) + VLOOKUP($H65,Adders!$B$5:$G$8,N$11,FALSE)  +  IL!$D$2 ) * IF($D65="NJ",1.07,1))/$L$10, CHOOSE($M$10,$L$9,$M$9) )</f>
        <v xml:space="preserve"> 65.93 </v>
      </c>
      <c r="L65" s="178" t="str">
        <f>TEXT(   (SUMPRODUCT( ((LMPMain!$H$9:$H$1000)=$E65)*((LMPMain!$J$9:$J$1000)=$F65)*((LMPMain!$O$9:$O$1000)=$C65)*(LMPMain!R$9:R$1000) ) +  ( SUMPRODUCT( ((Adders!$D$13:$D$101)=$E65)*((Adders!$E$13:$E$101)=$F65)*(Adders!F$13:F$101)) + VLOOKUP($H65,Adders!$B$5:$G$8,L$11,FALSE)  +  IL!$D$2 ) * IF($D65="NJ",1.07,1))/$L$10, CHOOSE($M$10,$L$9,$M$9) )</f>
        <v xml:space="preserve"> 31.20 </v>
      </c>
      <c r="M65" s="178" t="str">
        <f>TEXT(   (SUMPRODUCT( ((LMPMain!$H$9:$H$1000)=$E65)*((LMPMain!$J$9:$J$1000)=$F65)*((LMPMain!$O$9:$O$1000)=$C65)*(LMPMain!S$9:S$1000) ) +  ( SUMPRODUCT( ((Adders!$D$13:$D$101)=$E65)*((Adders!$E$13:$E$101)=$F65)*(Adders!G$13:G$101)) + VLOOKUP($H65,Adders!$B$5:$G$8,M$11,FALSE)  +  IL!$D$2 ) * IF($D65="NJ",1.07,1))/$L$10, CHOOSE($M$10,$L$9,$M$9) )</f>
        <v xml:space="preserve"> 30.01 </v>
      </c>
      <c r="N65" s="179" t="str">
        <f>TEXT(   (SUMPRODUCT( ((LMPMain!$H$9:$H$1000)=$E65)*((LMPMain!$J$9:$J$1000)=$F65)*((LMPMain!$O$9:$O$1000)=$C65)*(LMPMain!T$9:T$1000) ) +  ( SUMPRODUCT( ((Adders!$D$13:$D$101)=$E65)*((Adders!$E$13:$E$101)=$F65)*(Adders!H$13:H$101)) + VLOOKUP($H65,Adders!$B$5:$G$8,N$11,FALSE)  +  IL!$D$2 ) * IF($D65="NJ",1.07,1))/$L$10, CHOOSE($M$10,$L$9,$M$9) )</f>
        <v xml:space="preserve"> 30.48 </v>
      </c>
      <c r="O65" s="112"/>
    </row>
    <row r="66" spans="2:15" x14ac:dyDescent="0.25">
      <c r="B66" s="108"/>
      <c r="C66" s="131">
        <f t="shared" si="1"/>
        <v>42309</v>
      </c>
      <c r="D66" s="132" t="s">
        <v>25</v>
      </c>
      <c r="E66" s="133" t="s">
        <v>26</v>
      </c>
      <c r="F66" s="132" t="s">
        <v>28</v>
      </c>
      <c r="G66" s="133" t="str">
        <f t="shared" si="2"/>
        <v>100 - 400 kW</v>
      </c>
      <c r="H66" s="134" t="s">
        <v>62</v>
      </c>
      <c r="I66" s="173" t="str">
        <f>TEXT(   (SUMPRODUCT( ((Main!$H$9:$H$1000)=$E66)*((Main!$J$9:$J$1000)=$F66)*((Main!$O$9:$O$1000)=$C66)*(Main!R$9:R$1000) ) +  ( SUMPRODUCT( ((Adders!$D$13:$D$101)=$E66)*((Adders!$E$13:$E$101)=$F66)*(Adders!G$13:G$101)) + VLOOKUP($H66,Adders!$B$5:$G$8,L$11,FALSE)  +  IL!$D$2 ) * IF($D66="NJ",1.07,1))/$L$10, CHOOSE($M$10,$L$9,$M$9) )</f>
        <v xml:space="preserve"> 64.44 </v>
      </c>
      <c r="J66" s="173" t="str">
        <f>TEXT(   (SUMPRODUCT( ((Main!$H$9:$H$1000)=$E66)*((Main!$J$9:$J$1000)=$F66)*((Main!$O$9:$O$1000)=$C66)*(Main!S$9:S$1000) ) +  ( SUMPRODUCT( ((Adders!$D$13:$D$101)=$E66)*((Adders!$E$13:$E$101)=$F66)*(Adders!H$13:H$101)) + VLOOKUP($H66,Adders!$B$5:$G$8,M$11,FALSE)  +  IL!$D$2 ) * IF($D66="NJ",1.07,1))/$L$10, CHOOSE($M$10,$L$9,$M$9) )</f>
        <v xml:space="preserve"> 63.60 </v>
      </c>
      <c r="K66" s="174" t="str">
        <f>TEXT(   (SUMPRODUCT( ((Main!$H$9:$H$1000)=$E66)*((Main!$J$9:$J$1000)=$F66)*((Main!$O$9:$O$1000)=$C66)*(Main!T$9:T$1000) ) +  ( SUMPRODUCT( ((Adders!$D$13:$D$101)=$E66)*((Adders!$E$13:$E$101)=$F66)*(Adders!I$13:I$101)) + VLOOKUP($H66,Adders!$B$5:$G$8,N$11,FALSE)  +  IL!$D$2 ) * IF($D66="NJ",1.07,1))/$L$10, CHOOSE($M$10,$L$9,$M$9) )</f>
        <v xml:space="preserve"> 64.33 </v>
      </c>
      <c r="L66" s="173" t="str">
        <f>TEXT(   (SUMPRODUCT( ((LMPMain!$H$9:$H$1000)=$E66)*((LMPMain!$J$9:$J$1000)=$F66)*((LMPMain!$O$9:$O$1000)=$C66)*(LMPMain!R$9:R$1000) ) +  ( SUMPRODUCT( ((Adders!$D$13:$D$101)=$E66)*((Adders!$E$13:$E$101)=$F66)*(Adders!F$13:F$101)) + VLOOKUP($H66,Adders!$B$5:$G$8,L$11,FALSE)  +  IL!$D$2 ) * IF($D66="NJ",1.07,1))/$L$10, CHOOSE($M$10,$L$9,$M$9) )</f>
        <v xml:space="preserve"> 29.60 </v>
      </c>
      <c r="M66" s="173" t="str">
        <f>TEXT(   (SUMPRODUCT( ((LMPMain!$H$9:$H$1000)=$E66)*((LMPMain!$J$9:$J$1000)=$F66)*((LMPMain!$O$9:$O$1000)=$C66)*(LMPMain!S$9:S$1000) ) +  ( SUMPRODUCT( ((Adders!$D$13:$D$101)=$E66)*((Adders!$E$13:$E$101)=$F66)*(Adders!G$13:G$101)) + VLOOKUP($H66,Adders!$B$5:$G$8,M$11,FALSE)  +  IL!$D$2 ) * IF($D66="NJ",1.07,1))/$L$10, CHOOSE($M$10,$L$9,$M$9) )</f>
        <v xml:space="preserve"> 28.41 </v>
      </c>
      <c r="N66" s="174" t="str">
        <f>TEXT(   (SUMPRODUCT( ((LMPMain!$H$9:$H$1000)=$E66)*((LMPMain!$J$9:$J$1000)=$F66)*((LMPMain!$O$9:$O$1000)=$C66)*(LMPMain!T$9:T$1000) ) +  ( SUMPRODUCT( ((Adders!$D$13:$D$101)=$E66)*((Adders!$E$13:$E$101)=$F66)*(Adders!H$13:H$101)) + VLOOKUP($H66,Adders!$B$5:$G$8,N$11,FALSE)  +  IL!$D$2 ) * IF($D66="NJ",1.07,1))/$L$10, CHOOSE($M$10,$L$9,$M$9) )</f>
        <v xml:space="preserve"> 28.88 </v>
      </c>
      <c r="O66" s="112"/>
    </row>
    <row r="67" spans="2:15" x14ac:dyDescent="0.25">
      <c r="B67" s="108"/>
      <c r="C67" s="135">
        <f t="shared" si="1"/>
        <v>42309</v>
      </c>
      <c r="D67" s="136" t="s">
        <v>25</v>
      </c>
      <c r="E67" s="137" t="s">
        <v>26</v>
      </c>
      <c r="F67" s="136" t="s">
        <v>28</v>
      </c>
      <c r="G67" s="137" t="str">
        <f t="shared" si="2"/>
        <v>100 - 400 kW</v>
      </c>
      <c r="H67" s="138" t="s">
        <v>690</v>
      </c>
      <c r="I67" s="176" t="str">
        <f>TEXT(   (SUMPRODUCT( ((Main!$H$9:$H$1000)=$E67)*((Main!$J$9:$J$1000)=$F67)*((Main!$O$9:$O$1000)=$C67)*(Main!R$9:R$1000) ) +  ( SUMPRODUCT( ((Adders!$D$13:$D$101)=$E67)*((Adders!$E$13:$E$101)=$F67)*(Adders!G$13:G$101)) + VLOOKUP($H67,Adders!$B$5:$G$8,L$11,FALSE)  +  IL!$D$2 ) * IF($D67="NJ",1.07,1))/$L$10, CHOOSE($M$10,$L$9,$M$9) )</f>
        <v xml:space="preserve"> 63.39 </v>
      </c>
      <c r="J67" s="176" t="str">
        <f>TEXT(   (SUMPRODUCT( ((Main!$H$9:$H$1000)=$E67)*((Main!$J$9:$J$1000)=$F67)*((Main!$O$9:$O$1000)=$C67)*(Main!S$9:S$1000) ) +  ( SUMPRODUCT( ((Adders!$D$13:$D$101)=$E67)*((Adders!$E$13:$E$101)=$F67)*(Adders!H$13:H$101)) + VLOOKUP($H67,Adders!$B$5:$G$8,M$11,FALSE)  +  IL!$D$2 ) * IF($D67="NJ",1.07,1))/$L$10, CHOOSE($M$10,$L$9,$M$9) )</f>
        <v xml:space="preserve"> 62.55 </v>
      </c>
      <c r="K67" s="177" t="str">
        <f>TEXT(   (SUMPRODUCT( ((Main!$H$9:$H$1000)=$E67)*((Main!$J$9:$J$1000)=$F67)*((Main!$O$9:$O$1000)=$C67)*(Main!T$9:T$1000) ) +  ( SUMPRODUCT( ((Adders!$D$13:$D$101)=$E67)*((Adders!$E$13:$E$101)=$F67)*(Adders!I$13:I$101)) + VLOOKUP($H67,Adders!$B$5:$G$8,N$11,FALSE)  +  IL!$D$2 ) * IF($D67="NJ",1.07,1))/$L$10, CHOOSE($M$10,$L$9,$M$9) )</f>
        <v xml:space="preserve"> 63.28 </v>
      </c>
      <c r="L67" s="176" t="str">
        <f>TEXT(   (SUMPRODUCT( ((LMPMain!$H$9:$H$1000)=$E67)*((LMPMain!$J$9:$J$1000)=$F67)*((LMPMain!$O$9:$O$1000)=$C67)*(LMPMain!R$9:R$1000) ) +  ( SUMPRODUCT( ((Adders!$D$13:$D$101)=$E67)*((Adders!$E$13:$E$101)=$F67)*(Adders!F$13:F$101)) + VLOOKUP($H67,Adders!$B$5:$G$8,L$11,FALSE)  +  IL!$D$2 ) * IF($D67="NJ",1.07,1))/$L$10, CHOOSE($M$10,$L$9,$M$9) )</f>
        <v xml:space="preserve"> 28.55 </v>
      </c>
      <c r="M67" s="176" t="str">
        <f>TEXT(   (SUMPRODUCT( ((LMPMain!$H$9:$H$1000)=$E67)*((LMPMain!$J$9:$J$1000)=$F67)*((LMPMain!$O$9:$O$1000)=$C67)*(LMPMain!S$9:S$1000) ) +  ( SUMPRODUCT( ((Adders!$D$13:$D$101)=$E67)*((Adders!$E$13:$E$101)=$F67)*(Adders!G$13:G$101)) + VLOOKUP($H67,Adders!$B$5:$G$8,M$11,FALSE)  +  IL!$D$2 ) * IF($D67="NJ",1.07,1))/$L$10, CHOOSE($M$10,$L$9,$M$9) )</f>
        <v xml:space="preserve"> 27.36 </v>
      </c>
      <c r="N67" s="177" t="str">
        <f>TEXT(   (SUMPRODUCT( ((LMPMain!$H$9:$H$1000)=$E67)*((LMPMain!$J$9:$J$1000)=$F67)*((LMPMain!$O$9:$O$1000)=$C67)*(LMPMain!T$9:T$1000) ) +  ( SUMPRODUCT( ((Adders!$D$13:$D$101)=$E67)*((Adders!$E$13:$E$101)=$F67)*(Adders!H$13:H$101)) + VLOOKUP($H67,Adders!$B$5:$G$8,N$11,FALSE)  +  IL!$D$2 ) * IF($D67="NJ",1.07,1))/$L$10, CHOOSE($M$10,$L$9,$M$9) )</f>
        <v xml:space="preserve"> 27.83 </v>
      </c>
      <c r="O67" s="112"/>
    </row>
    <row r="68" spans="2:15" x14ac:dyDescent="0.25">
      <c r="B68" s="108"/>
      <c r="C68" s="127">
        <f t="shared" si="1"/>
        <v>42339</v>
      </c>
      <c r="D68" s="128" t="s">
        <v>25</v>
      </c>
      <c r="E68" s="129" t="s">
        <v>26</v>
      </c>
      <c r="F68" s="128" t="s">
        <v>28</v>
      </c>
      <c r="G68" s="129" t="str">
        <f t="shared" si="2"/>
        <v>100 - 400 kW</v>
      </c>
      <c r="H68" s="130" t="s">
        <v>61</v>
      </c>
      <c r="I68" s="178" t="str">
        <f>TEXT(   (SUMPRODUCT( ((Main!$H$9:$H$1000)=$E68)*((Main!$J$9:$J$1000)=$F68)*((Main!$O$9:$O$1000)=$C68)*(Main!R$9:R$1000) ) +  ( SUMPRODUCT( ((Adders!$D$13:$D$101)=$E68)*((Adders!$E$13:$E$101)=$F68)*(Adders!G$13:G$101)) + VLOOKUP($H68,Adders!$B$5:$G$8,L$11,FALSE)  +  IL!$D$2 ) * IF($D68="NJ",1.07,1))/$L$10, CHOOSE($M$10,$L$9,$M$9) )</f>
        <v xml:space="preserve"> 65.46 </v>
      </c>
      <c r="J68" s="178" t="str">
        <f>TEXT(   (SUMPRODUCT( ((Main!$H$9:$H$1000)=$E68)*((Main!$J$9:$J$1000)=$F68)*((Main!$O$9:$O$1000)=$C68)*(Main!S$9:S$1000) ) +  ( SUMPRODUCT( ((Adders!$D$13:$D$101)=$E68)*((Adders!$E$13:$E$101)=$F68)*(Adders!H$13:H$101)) + VLOOKUP($H68,Adders!$B$5:$G$8,M$11,FALSE)  +  IL!$D$2 ) * IF($D68="NJ",1.07,1))/$L$10, CHOOSE($M$10,$L$9,$M$9) )</f>
        <v xml:space="preserve"> 65.01 </v>
      </c>
      <c r="K68" s="179" t="str">
        <f>TEXT(   (SUMPRODUCT( ((Main!$H$9:$H$1000)=$E68)*((Main!$J$9:$J$1000)=$F68)*((Main!$O$9:$O$1000)=$C68)*(Main!T$9:T$1000) ) +  ( SUMPRODUCT( ((Adders!$D$13:$D$101)=$E68)*((Adders!$E$13:$E$101)=$F68)*(Adders!I$13:I$101)) + VLOOKUP($H68,Adders!$B$5:$G$8,N$11,FALSE)  +  IL!$D$2 ) * IF($D68="NJ",1.07,1))/$L$10, CHOOSE($M$10,$L$9,$M$9) )</f>
        <v xml:space="preserve"> 65.95 </v>
      </c>
      <c r="L68" s="178" t="str">
        <f>TEXT(   (SUMPRODUCT( ((LMPMain!$H$9:$H$1000)=$E68)*((LMPMain!$J$9:$J$1000)=$F68)*((LMPMain!$O$9:$O$1000)=$C68)*(LMPMain!R$9:R$1000) ) +  ( SUMPRODUCT( ((Adders!$D$13:$D$101)=$E68)*((Adders!$E$13:$E$101)=$F68)*(Adders!F$13:F$101)) + VLOOKUP($H68,Adders!$B$5:$G$8,L$11,FALSE)  +  IL!$D$2 ) * IF($D68="NJ",1.07,1))/$L$10, CHOOSE($M$10,$L$9,$M$9) )</f>
        <v xml:space="preserve"> 30.57 </v>
      </c>
      <c r="M68" s="178" t="str">
        <f>TEXT(   (SUMPRODUCT( ((LMPMain!$H$9:$H$1000)=$E68)*((LMPMain!$J$9:$J$1000)=$F68)*((LMPMain!$O$9:$O$1000)=$C68)*(LMPMain!S$9:S$1000) ) +  ( SUMPRODUCT( ((Adders!$D$13:$D$101)=$E68)*((Adders!$E$13:$E$101)=$F68)*(Adders!G$13:G$101)) + VLOOKUP($H68,Adders!$B$5:$G$8,M$11,FALSE)  +  IL!$D$2 ) * IF($D68="NJ",1.07,1))/$L$10, CHOOSE($M$10,$L$9,$M$9) )</f>
        <v xml:space="preserve"> 29.62 </v>
      </c>
      <c r="N68" s="179" t="str">
        <f>TEXT(   (SUMPRODUCT( ((LMPMain!$H$9:$H$1000)=$E68)*((LMPMain!$J$9:$J$1000)=$F68)*((LMPMain!$O$9:$O$1000)=$C68)*(LMPMain!T$9:T$1000) ) +  ( SUMPRODUCT( ((Adders!$D$13:$D$101)=$E68)*((Adders!$E$13:$E$101)=$F68)*(Adders!H$13:H$101)) + VLOOKUP($H68,Adders!$B$5:$G$8,N$11,FALSE)  +  IL!$D$2 ) * IF($D68="NJ",1.07,1))/$L$10, CHOOSE($M$10,$L$9,$M$9) )</f>
        <v xml:space="preserve"> 30.44 </v>
      </c>
      <c r="O68" s="112"/>
    </row>
    <row r="69" spans="2:15" x14ac:dyDescent="0.25">
      <c r="B69" s="108"/>
      <c r="C69" s="131">
        <f t="shared" si="1"/>
        <v>42339</v>
      </c>
      <c r="D69" s="132" t="s">
        <v>25</v>
      </c>
      <c r="E69" s="133" t="s">
        <v>26</v>
      </c>
      <c r="F69" s="132" t="s">
        <v>28</v>
      </c>
      <c r="G69" s="133" t="str">
        <f t="shared" si="2"/>
        <v>100 - 400 kW</v>
      </c>
      <c r="H69" s="134" t="s">
        <v>62</v>
      </c>
      <c r="I69" s="173" t="str">
        <f>TEXT(   (SUMPRODUCT( ((Main!$H$9:$H$1000)=$E69)*((Main!$J$9:$J$1000)=$F69)*((Main!$O$9:$O$1000)=$C69)*(Main!R$9:R$1000) ) +  ( SUMPRODUCT( ((Adders!$D$13:$D$101)=$E69)*((Adders!$E$13:$E$101)=$F69)*(Adders!G$13:G$101)) + VLOOKUP($H69,Adders!$B$5:$G$8,L$11,FALSE)  +  IL!$D$2 ) * IF($D69="NJ",1.07,1))/$L$10, CHOOSE($M$10,$L$9,$M$9) )</f>
        <v xml:space="preserve"> 63.86 </v>
      </c>
      <c r="J69" s="173" t="str">
        <f>TEXT(   (SUMPRODUCT( ((Main!$H$9:$H$1000)=$E69)*((Main!$J$9:$J$1000)=$F69)*((Main!$O$9:$O$1000)=$C69)*(Main!S$9:S$1000) ) +  ( SUMPRODUCT( ((Adders!$D$13:$D$101)=$E69)*((Adders!$E$13:$E$101)=$F69)*(Adders!H$13:H$101)) + VLOOKUP($H69,Adders!$B$5:$G$8,M$11,FALSE)  +  IL!$D$2 ) * IF($D69="NJ",1.07,1))/$L$10, CHOOSE($M$10,$L$9,$M$9) )</f>
        <v xml:space="preserve"> 63.41 </v>
      </c>
      <c r="K69" s="174" t="str">
        <f>TEXT(   (SUMPRODUCT( ((Main!$H$9:$H$1000)=$E69)*((Main!$J$9:$J$1000)=$F69)*((Main!$O$9:$O$1000)=$C69)*(Main!T$9:T$1000) ) +  ( SUMPRODUCT( ((Adders!$D$13:$D$101)=$E69)*((Adders!$E$13:$E$101)=$F69)*(Adders!I$13:I$101)) + VLOOKUP($H69,Adders!$B$5:$G$8,N$11,FALSE)  +  IL!$D$2 ) * IF($D69="NJ",1.07,1))/$L$10, CHOOSE($M$10,$L$9,$M$9) )</f>
        <v xml:space="preserve"> 64.35 </v>
      </c>
      <c r="L69" s="173" t="str">
        <f>TEXT(   (SUMPRODUCT( ((LMPMain!$H$9:$H$1000)=$E69)*((LMPMain!$J$9:$J$1000)=$F69)*((LMPMain!$O$9:$O$1000)=$C69)*(LMPMain!R$9:R$1000) ) +  ( SUMPRODUCT( ((Adders!$D$13:$D$101)=$E69)*((Adders!$E$13:$E$101)=$F69)*(Adders!F$13:F$101)) + VLOOKUP($H69,Adders!$B$5:$G$8,L$11,FALSE)  +  IL!$D$2 ) * IF($D69="NJ",1.07,1))/$L$10, CHOOSE($M$10,$L$9,$M$9) )</f>
        <v xml:space="preserve"> 28.97 </v>
      </c>
      <c r="M69" s="173" t="str">
        <f>TEXT(   (SUMPRODUCT( ((LMPMain!$H$9:$H$1000)=$E69)*((LMPMain!$J$9:$J$1000)=$F69)*((LMPMain!$O$9:$O$1000)=$C69)*(LMPMain!S$9:S$1000) ) +  ( SUMPRODUCT( ((Adders!$D$13:$D$101)=$E69)*((Adders!$E$13:$E$101)=$F69)*(Adders!G$13:G$101)) + VLOOKUP($H69,Adders!$B$5:$G$8,M$11,FALSE)  +  IL!$D$2 ) * IF($D69="NJ",1.07,1))/$L$10, CHOOSE($M$10,$L$9,$M$9) )</f>
        <v xml:space="preserve"> 28.02 </v>
      </c>
      <c r="N69" s="174" t="str">
        <f>TEXT(   (SUMPRODUCT( ((LMPMain!$H$9:$H$1000)=$E69)*((LMPMain!$J$9:$J$1000)=$F69)*((LMPMain!$O$9:$O$1000)=$C69)*(LMPMain!T$9:T$1000) ) +  ( SUMPRODUCT( ((Adders!$D$13:$D$101)=$E69)*((Adders!$E$13:$E$101)=$F69)*(Adders!H$13:H$101)) + VLOOKUP($H69,Adders!$B$5:$G$8,N$11,FALSE)  +  IL!$D$2 ) * IF($D69="NJ",1.07,1))/$L$10, CHOOSE($M$10,$L$9,$M$9) )</f>
        <v xml:space="preserve"> 28.84 </v>
      </c>
      <c r="O69" s="112"/>
    </row>
    <row r="70" spans="2:15" x14ac:dyDescent="0.25">
      <c r="B70" s="108"/>
      <c r="C70" s="135">
        <f t="shared" si="1"/>
        <v>42339</v>
      </c>
      <c r="D70" s="136" t="s">
        <v>25</v>
      </c>
      <c r="E70" s="137" t="s">
        <v>26</v>
      </c>
      <c r="F70" s="136" t="s">
        <v>28</v>
      </c>
      <c r="G70" s="137" t="str">
        <f t="shared" si="2"/>
        <v>100 - 400 kW</v>
      </c>
      <c r="H70" s="138" t="s">
        <v>690</v>
      </c>
      <c r="I70" s="176" t="str">
        <f>TEXT(   (SUMPRODUCT( ((Main!$H$9:$H$1000)=$E70)*((Main!$J$9:$J$1000)=$F70)*((Main!$O$9:$O$1000)=$C70)*(Main!R$9:R$1000) ) +  ( SUMPRODUCT( ((Adders!$D$13:$D$101)=$E70)*((Adders!$E$13:$E$101)=$F70)*(Adders!G$13:G$101)) + VLOOKUP($H70,Adders!$B$5:$G$8,L$11,FALSE)  +  IL!$D$2 ) * IF($D70="NJ",1.07,1))/$L$10, CHOOSE($M$10,$L$9,$M$9) )</f>
        <v xml:space="preserve"> 62.81 </v>
      </c>
      <c r="J70" s="176" t="str">
        <f>TEXT(   (SUMPRODUCT( ((Main!$H$9:$H$1000)=$E70)*((Main!$J$9:$J$1000)=$F70)*((Main!$O$9:$O$1000)=$C70)*(Main!S$9:S$1000) ) +  ( SUMPRODUCT( ((Adders!$D$13:$D$101)=$E70)*((Adders!$E$13:$E$101)=$F70)*(Adders!H$13:H$101)) + VLOOKUP($H70,Adders!$B$5:$G$8,M$11,FALSE)  +  IL!$D$2 ) * IF($D70="NJ",1.07,1))/$L$10, CHOOSE($M$10,$L$9,$M$9) )</f>
        <v xml:space="preserve"> 62.36 </v>
      </c>
      <c r="K70" s="177" t="str">
        <f>TEXT(   (SUMPRODUCT( ((Main!$H$9:$H$1000)=$E70)*((Main!$J$9:$J$1000)=$F70)*((Main!$O$9:$O$1000)=$C70)*(Main!T$9:T$1000) ) +  ( SUMPRODUCT( ((Adders!$D$13:$D$101)=$E70)*((Adders!$E$13:$E$101)=$F70)*(Adders!I$13:I$101)) + VLOOKUP($H70,Adders!$B$5:$G$8,N$11,FALSE)  +  IL!$D$2 ) * IF($D70="NJ",1.07,1))/$L$10, CHOOSE($M$10,$L$9,$M$9) )</f>
        <v xml:space="preserve"> 63.30 </v>
      </c>
      <c r="L70" s="176" t="str">
        <f>TEXT(   (SUMPRODUCT( ((LMPMain!$H$9:$H$1000)=$E70)*((LMPMain!$J$9:$J$1000)=$F70)*((LMPMain!$O$9:$O$1000)=$C70)*(LMPMain!R$9:R$1000) ) +  ( SUMPRODUCT( ((Adders!$D$13:$D$101)=$E70)*((Adders!$E$13:$E$101)=$F70)*(Adders!F$13:F$101)) + VLOOKUP($H70,Adders!$B$5:$G$8,L$11,FALSE)  +  IL!$D$2 ) * IF($D70="NJ",1.07,1))/$L$10, CHOOSE($M$10,$L$9,$M$9) )</f>
        <v xml:space="preserve"> 27.92 </v>
      </c>
      <c r="M70" s="176" t="str">
        <f>TEXT(   (SUMPRODUCT( ((LMPMain!$H$9:$H$1000)=$E70)*((LMPMain!$J$9:$J$1000)=$F70)*((LMPMain!$O$9:$O$1000)=$C70)*(LMPMain!S$9:S$1000) ) +  ( SUMPRODUCT( ((Adders!$D$13:$D$101)=$E70)*((Adders!$E$13:$E$101)=$F70)*(Adders!G$13:G$101)) + VLOOKUP($H70,Adders!$B$5:$G$8,M$11,FALSE)  +  IL!$D$2 ) * IF($D70="NJ",1.07,1))/$L$10, CHOOSE($M$10,$L$9,$M$9) )</f>
        <v xml:space="preserve"> 26.97 </v>
      </c>
      <c r="N70" s="177" t="str">
        <f>TEXT(   (SUMPRODUCT( ((LMPMain!$H$9:$H$1000)=$E70)*((LMPMain!$J$9:$J$1000)=$F70)*((LMPMain!$O$9:$O$1000)=$C70)*(LMPMain!T$9:T$1000) ) +  ( SUMPRODUCT( ((Adders!$D$13:$D$101)=$E70)*((Adders!$E$13:$E$101)=$F70)*(Adders!H$13:H$101)) + VLOOKUP($H70,Adders!$B$5:$G$8,N$11,FALSE)  +  IL!$D$2 ) * IF($D70="NJ",1.07,1))/$L$10, CHOOSE($M$10,$L$9,$M$9) )</f>
        <v xml:space="preserve"> 27.79 </v>
      </c>
      <c r="O70" s="112"/>
    </row>
    <row r="71" spans="2:15" x14ac:dyDescent="0.25">
      <c r="B71" s="108"/>
      <c r="C71" s="127">
        <f t="shared" si="1"/>
        <v>42370</v>
      </c>
      <c r="D71" s="128" t="s">
        <v>25</v>
      </c>
      <c r="E71" s="129" t="s">
        <v>26</v>
      </c>
      <c r="F71" s="128" t="s">
        <v>28</v>
      </c>
      <c r="G71" s="129" t="str">
        <f t="shared" si="2"/>
        <v>100 - 400 kW</v>
      </c>
      <c r="H71" s="130" t="s">
        <v>61</v>
      </c>
      <c r="I71" s="178" t="str">
        <f>TEXT(   (SUMPRODUCT( ((Main!$H$9:$H$1000)=$E71)*((Main!$J$9:$J$1000)=$F71)*((Main!$O$9:$O$1000)=$C71)*(Main!R$9:R$1000) ) +  ( SUMPRODUCT( ((Adders!$D$13:$D$101)=$E71)*((Adders!$E$13:$E$101)=$F71)*(Adders!G$13:G$101)) + VLOOKUP($H71,Adders!$B$5:$G$8,L$11,FALSE)  +  IL!$D$2 ) * IF($D71="NJ",1.07,1))/$L$10, CHOOSE($M$10,$L$9,$M$9) )</f>
        <v xml:space="preserve"> 64.74 </v>
      </c>
      <c r="J71" s="178" t="str">
        <f>TEXT(   (SUMPRODUCT( ((Main!$H$9:$H$1000)=$E71)*((Main!$J$9:$J$1000)=$F71)*((Main!$O$9:$O$1000)=$C71)*(Main!S$9:S$1000) ) +  ( SUMPRODUCT( ((Adders!$D$13:$D$101)=$E71)*((Adders!$E$13:$E$101)=$F71)*(Adders!H$13:H$101)) + VLOOKUP($H71,Adders!$B$5:$G$8,M$11,FALSE)  +  IL!$D$2 ) * IF($D71="NJ",1.07,1))/$L$10, CHOOSE($M$10,$L$9,$M$9) )</f>
        <v xml:space="preserve"> 65.17 </v>
      </c>
      <c r="K71" s="179" t="str">
        <f>TEXT(   (SUMPRODUCT( ((Main!$H$9:$H$1000)=$E71)*((Main!$J$9:$J$1000)=$F71)*((Main!$O$9:$O$1000)=$C71)*(Main!T$9:T$1000) ) +  ( SUMPRODUCT( ((Adders!$D$13:$D$101)=$E71)*((Adders!$E$13:$E$101)=$F71)*(Adders!I$13:I$101)) + VLOOKUP($H71,Adders!$B$5:$G$8,N$11,FALSE)  +  IL!$D$2 ) * IF($D71="NJ",1.07,1))/$L$10, CHOOSE($M$10,$L$9,$M$9) )</f>
        <v xml:space="preserve"> 65.92 </v>
      </c>
      <c r="L71" s="178" t="str">
        <f>TEXT(   (SUMPRODUCT( ((LMPMain!$H$9:$H$1000)=$E71)*((LMPMain!$J$9:$J$1000)=$F71)*((LMPMain!$O$9:$O$1000)=$C71)*(LMPMain!R$9:R$1000) ) +  ( SUMPRODUCT( ((Adders!$D$13:$D$101)=$E71)*((Adders!$E$13:$E$101)=$F71)*(Adders!F$13:F$101)) + VLOOKUP($H71,Adders!$B$5:$G$8,L$11,FALSE)  +  IL!$D$2 ) * IF($D71="NJ",1.07,1))/$L$10, CHOOSE($M$10,$L$9,$M$9) )</f>
        <v xml:space="preserve"> 29.93 </v>
      </c>
      <c r="M71" s="178" t="str">
        <f>TEXT(   (SUMPRODUCT( ((LMPMain!$H$9:$H$1000)=$E71)*((LMPMain!$J$9:$J$1000)=$F71)*((LMPMain!$O$9:$O$1000)=$C71)*(LMPMain!S$9:S$1000) ) +  ( SUMPRODUCT( ((Adders!$D$13:$D$101)=$E71)*((Adders!$E$13:$E$101)=$F71)*(Adders!G$13:G$101)) + VLOOKUP($H71,Adders!$B$5:$G$8,M$11,FALSE)  +  IL!$D$2 ) * IF($D71="NJ",1.07,1))/$L$10, CHOOSE($M$10,$L$9,$M$9) )</f>
        <v xml:space="preserve"> 29.48 </v>
      </c>
      <c r="N71" s="179" t="str">
        <f>TEXT(   (SUMPRODUCT( ((LMPMain!$H$9:$H$1000)=$E71)*((LMPMain!$J$9:$J$1000)=$F71)*((LMPMain!$O$9:$O$1000)=$C71)*(LMPMain!T$9:T$1000) ) +  ( SUMPRODUCT( ((Adders!$D$13:$D$101)=$E71)*((Adders!$E$13:$E$101)=$F71)*(Adders!H$13:H$101)) + VLOOKUP($H71,Adders!$B$5:$G$8,N$11,FALSE)  +  IL!$D$2 ) * IF($D71="NJ",1.07,1))/$L$10, CHOOSE($M$10,$L$9,$M$9) )</f>
        <v xml:space="preserve"> 30.42 </v>
      </c>
      <c r="O71" s="112"/>
    </row>
    <row r="72" spans="2:15" x14ac:dyDescent="0.25">
      <c r="B72" s="108"/>
      <c r="C72" s="131">
        <f t="shared" si="1"/>
        <v>42370</v>
      </c>
      <c r="D72" s="132" t="s">
        <v>25</v>
      </c>
      <c r="E72" s="133" t="s">
        <v>26</v>
      </c>
      <c r="F72" s="132" t="s">
        <v>28</v>
      </c>
      <c r="G72" s="133" t="str">
        <f t="shared" si="2"/>
        <v>100 - 400 kW</v>
      </c>
      <c r="H72" s="134" t="s">
        <v>62</v>
      </c>
      <c r="I72" s="173" t="str">
        <f>TEXT(   (SUMPRODUCT( ((Main!$H$9:$H$1000)=$E72)*((Main!$J$9:$J$1000)=$F72)*((Main!$O$9:$O$1000)=$C72)*(Main!R$9:R$1000) ) +  ( SUMPRODUCT( ((Adders!$D$13:$D$101)=$E72)*((Adders!$E$13:$E$101)=$F72)*(Adders!G$13:G$101)) + VLOOKUP($H72,Adders!$B$5:$G$8,L$11,FALSE)  +  IL!$D$2 ) * IF($D72="NJ",1.07,1))/$L$10, CHOOSE($M$10,$L$9,$M$9) )</f>
        <v xml:space="preserve"> 63.14 </v>
      </c>
      <c r="J72" s="173" t="str">
        <f>TEXT(   (SUMPRODUCT( ((Main!$H$9:$H$1000)=$E72)*((Main!$J$9:$J$1000)=$F72)*((Main!$O$9:$O$1000)=$C72)*(Main!S$9:S$1000) ) +  ( SUMPRODUCT( ((Adders!$D$13:$D$101)=$E72)*((Adders!$E$13:$E$101)=$F72)*(Adders!H$13:H$101)) + VLOOKUP($H72,Adders!$B$5:$G$8,M$11,FALSE)  +  IL!$D$2 ) * IF($D72="NJ",1.07,1))/$L$10, CHOOSE($M$10,$L$9,$M$9) )</f>
        <v xml:space="preserve"> 63.57 </v>
      </c>
      <c r="K72" s="174" t="str">
        <f>TEXT(   (SUMPRODUCT( ((Main!$H$9:$H$1000)=$E72)*((Main!$J$9:$J$1000)=$F72)*((Main!$O$9:$O$1000)=$C72)*(Main!T$9:T$1000) ) +  ( SUMPRODUCT( ((Adders!$D$13:$D$101)=$E72)*((Adders!$E$13:$E$101)=$F72)*(Adders!I$13:I$101)) + VLOOKUP($H72,Adders!$B$5:$G$8,N$11,FALSE)  +  IL!$D$2 ) * IF($D72="NJ",1.07,1))/$L$10, CHOOSE($M$10,$L$9,$M$9) )</f>
        <v xml:space="preserve"> 64.32 </v>
      </c>
      <c r="L72" s="173" t="str">
        <f>TEXT(   (SUMPRODUCT( ((LMPMain!$H$9:$H$1000)=$E72)*((LMPMain!$J$9:$J$1000)=$F72)*((LMPMain!$O$9:$O$1000)=$C72)*(LMPMain!R$9:R$1000) ) +  ( SUMPRODUCT( ((Adders!$D$13:$D$101)=$E72)*((Adders!$E$13:$E$101)=$F72)*(Adders!F$13:F$101)) + VLOOKUP($H72,Adders!$B$5:$G$8,L$11,FALSE)  +  IL!$D$2 ) * IF($D72="NJ",1.07,1))/$L$10, CHOOSE($M$10,$L$9,$M$9) )</f>
        <v xml:space="preserve"> 28.33 </v>
      </c>
      <c r="M72" s="173" t="str">
        <f>TEXT(   (SUMPRODUCT( ((LMPMain!$H$9:$H$1000)=$E72)*((LMPMain!$J$9:$J$1000)=$F72)*((LMPMain!$O$9:$O$1000)=$C72)*(LMPMain!S$9:S$1000) ) +  ( SUMPRODUCT( ((Adders!$D$13:$D$101)=$E72)*((Adders!$E$13:$E$101)=$F72)*(Adders!G$13:G$101)) + VLOOKUP($H72,Adders!$B$5:$G$8,M$11,FALSE)  +  IL!$D$2 ) * IF($D72="NJ",1.07,1))/$L$10, CHOOSE($M$10,$L$9,$M$9) )</f>
        <v xml:space="preserve"> 27.88 </v>
      </c>
      <c r="N72" s="174" t="str">
        <f>TEXT(   (SUMPRODUCT( ((LMPMain!$H$9:$H$1000)=$E72)*((LMPMain!$J$9:$J$1000)=$F72)*((LMPMain!$O$9:$O$1000)=$C72)*(LMPMain!T$9:T$1000) ) +  ( SUMPRODUCT( ((Adders!$D$13:$D$101)=$E72)*((Adders!$E$13:$E$101)=$F72)*(Adders!H$13:H$101)) + VLOOKUP($H72,Adders!$B$5:$G$8,N$11,FALSE)  +  IL!$D$2 ) * IF($D72="NJ",1.07,1))/$L$10, CHOOSE($M$10,$L$9,$M$9) )</f>
        <v xml:space="preserve"> 28.82 </v>
      </c>
      <c r="O72" s="112"/>
    </row>
    <row r="73" spans="2:15" x14ac:dyDescent="0.25">
      <c r="B73" s="108"/>
      <c r="C73" s="135">
        <f t="shared" si="1"/>
        <v>42370</v>
      </c>
      <c r="D73" s="136" t="s">
        <v>25</v>
      </c>
      <c r="E73" s="137" t="s">
        <v>26</v>
      </c>
      <c r="F73" s="136" t="s">
        <v>28</v>
      </c>
      <c r="G73" s="137" t="str">
        <f t="shared" si="2"/>
        <v>100 - 400 kW</v>
      </c>
      <c r="H73" s="138" t="s">
        <v>690</v>
      </c>
      <c r="I73" s="176" t="str">
        <f>TEXT(   (SUMPRODUCT( ((Main!$H$9:$H$1000)=$E73)*((Main!$J$9:$J$1000)=$F73)*((Main!$O$9:$O$1000)=$C73)*(Main!R$9:R$1000) ) +  ( SUMPRODUCT( ((Adders!$D$13:$D$101)=$E73)*((Adders!$E$13:$E$101)=$F73)*(Adders!G$13:G$101)) + VLOOKUP($H73,Adders!$B$5:$G$8,L$11,FALSE)  +  IL!$D$2 ) * IF($D73="NJ",1.07,1))/$L$10, CHOOSE($M$10,$L$9,$M$9) )</f>
        <v xml:space="preserve"> 62.09 </v>
      </c>
      <c r="J73" s="176" t="str">
        <f>TEXT(   (SUMPRODUCT( ((Main!$H$9:$H$1000)=$E73)*((Main!$J$9:$J$1000)=$F73)*((Main!$O$9:$O$1000)=$C73)*(Main!S$9:S$1000) ) +  ( SUMPRODUCT( ((Adders!$D$13:$D$101)=$E73)*((Adders!$E$13:$E$101)=$F73)*(Adders!H$13:H$101)) + VLOOKUP($H73,Adders!$B$5:$G$8,M$11,FALSE)  +  IL!$D$2 ) * IF($D73="NJ",1.07,1))/$L$10, CHOOSE($M$10,$L$9,$M$9) )</f>
        <v xml:space="preserve"> 62.52 </v>
      </c>
      <c r="K73" s="177" t="str">
        <f>TEXT(   (SUMPRODUCT( ((Main!$H$9:$H$1000)=$E73)*((Main!$J$9:$J$1000)=$F73)*((Main!$O$9:$O$1000)=$C73)*(Main!T$9:T$1000) ) +  ( SUMPRODUCT( ((Adders!$D$13:$D$101)=$E73)*((Adders!$E$13:$E$101)=$F73)*(Adders!I$13:I$101)) + VLOOKUP($H73,Adders!$B$5:$G$8,N$11,FALSE)  +  IL!$D$2 ) * IF($D73="NJ",1.07,1))/$L$10, CHOOSE($M$10,$L$9,$M$9) )</f>
        <v xml:space="preserve"> 63.27 </v>
      </c>
      <c r="L73" s="176" t="str">
        <f>TEXT(   (SUMPRODUCT( ((LMPMain!$H$9:$H$1000)=$E73)*((LMPMain!$J$9:$J$1000)=$F73)*((LMPMain!$O$9:$O$1000)=$C73)*(LMPMain!R$9:R$1000) ) +  ( SUMPRODUCT( ((Adders!$D$13:$D$101)=$E73)*((Adders!$E$13:$E$101)=$F73)*(Adders!F$13:F$101)) + VLOOKUP($H73,Adders!$B$5:$G$8,L$11,FALSE)  +  IL!$D$2 ) * IF($D73="NJ",1.07,1))/$L$10, CHOOSE($M$10,$L$9,$M$9) )</f>
        <v xml:space="preserve"> 27.28 </v>
      </c>
      <c r="M73" s="176" t="str">
        <f>TEXT(   (SUMPRODUCT( ((LMPMain!$H$9:$H$1000)=$E73)*((LMPMain!$J$9:$J$1000)=$F73)*((LMPMain!$O$9:$O$1000)=$C73)*(LMPMain!S$9:S$1000) ) +  ( SUMPRODUCT( ((Adders!$D$13:$D$101)=$E73)*((Adders!$E$13:$E$101)=$F73)*(Adders!G$13:G$101)) + VLOOKUP($H73,Adders!$B$5:$G$8,M$11,FALSE)  +  IL!$D$2 ) * IF($D73="NJ",1.07,1))/$L$10, CHOOSE($M$10,$L$9,$M$9) )</f>
        <v xml:space="preserve"> 26.83 </v>
      </c>
      <c r="N73" s="177" t="str">
        <f>TEXT(   (SUMPRODUCT( ((LMPMain!$H$9:$H$1000)=$E73)*((LMPMain!$J$9:$J$1000)=$F73)*((LMPMain!$O$9:$O$1000)=$C73)*(LMPMain!T$9:T$1000) ) +  ( SUMPRODUCT( ((Adders!$D$13:$D$101)=$E73)*((Adders!$E$13:$E$101)=$F73)*(Adders!H$13:H$101)) + VLOOKUP($H73,Adders!$B$5:$G$8,N$11,FALSE)  +  IL!$D$2 ) * IF($D73="NJ",1.07,1))/$L$10, CHOOSE($M$10,$L$9,$M$9) )</f>
        <v xml:space="preserve"> 27.77 </v>
      </c>
      <c r="O73" s="112"/>
    </row>
    <row r="74" spans="2:15" x14ac:dyDescent="0.25">
      <c r="B74" s="108"/>
      <c r="C74" s="127">
        <f t="shared" si="1"/>
        <v>42401</v>
      </c>
      <c r="D74" s="128" t="s">
        <v>25</v>
      </c>
      <c r="E74" s="129" t="s">
        <v>26</v>
      </c>
      <c r="F74" s="128" t="s">
        <v>28</v>
      </c>
      <c r="G74" s="129" t="str">
        <f t="shared" si="2"/>
        <v>100 - 400 kW</v>
      </c>
      <c r="H74" s="130" t="s">
        <v>61</v>
      </c>
      <c r="I74" s="178" t="str">
        <f>TEXT(   (SUMPRODUCT( ((Main!$H$9:$H$1000)=$E74)*((Main!$J$9:$J$1000)=$F74)*((Main!$O$9:$O$1000)=$C74)*(Main!R$9:R$1000) ) +  ( SUMPRODUCT( ((Adders!$D$13:$D$101)=$E74)*((Adders!$E$13:$E$101)=$F74)*(Adders!G$13:G$101)) + VLOOKUP($H74,Adders!$B$5:$G$8,L$11,FALSE)  +  IL!$D$2 ) * IF($D74="NJ",1.07,1))/$L$10, CHOOSE($M$10,$L$9,$M$9) )</f>
        <v xml:space="preserve"> 64.40 </v>
      </c>
      <c r="J74" s="178" t="str">
        <f>TEXT(   (SUMPRODUCT( ((Main!$H$9:$H$1000)=$E74)*((Main!$J$9:$J$1000)=$F74)*((Main!$O$9:$O$1000)=$C74)*(Main!S$9:S$1000) ) +  ( SUMPRODUCT( ((Adders!$D$13:$D$101)=$E74)*((Adders!$E$13:$E$101)=$F74)*(Adders!H$13:H$101)) + VLOOKUP($H74,Adders!$B$5:$G$8,M$11,FALSE)  +  IL!$D$2 ) * IF($D74="NJ",1.07,1))/$L$10, CHOOSE($M$10,$L$9,$M$9) )</f>
        <v xml:space="preserve"> 65.37 </v>
      </c>
      <c r="K74" s="179" t="str">
        <f>TEXT(   (SUMPRODUCT( ((Main!$H$9:$H$1000)=$E74)*((Main!$J$9:$J$1000)=$F74)*((Main!$O$9:$O$1000)=$C74)*(Main!T$9:T$1000) ) +  ( SUMPRODUCT( ((Adders!$D$13:$D$101)=$E74)*((Adders!$E$13:$E$101)=$F74)*(Adders!I$13:I$101)) + VLOOKUP($H74,Adders!$B$5:$G$8,N$11,FALSE)  +  IL!$D$2 ) * IF($D74="NJ",1.07,1))/$L$10, CHOOSE($M$10,$L$9,$M$9) )</f>
        <v xml:space="preserve"> 66.11 </v>
      </c>
      <c r="L74" s="178" t="str">
        <f>TEXT(   (SUMPRODUCT( ((LMPMain!$H$9:$H$1000)=$E74)*((LMPMain!$J$9:$J$1000)=$F74)*((LMPMain!$O$9:$O$1000)=$C74)*(LMPMain!R$9:R$1000) ) +  ( SUMPRODUCT( ((Adders!$D$13:$D$101)=$E74)*((Adders!$E$13:$E$101)=$F74)*(Adders!F$13:F$101)) + VLOOKUP($H74,Adders!$B$5:$G$8,L$11,FALSE)  +  IL!$D$2 ) * IF($D74="NJ",1.07,1))/$L$10, CHOOSE($M$10,$L$9,$M$9) )</f>
        <v xml:space="preserve"> 29.29 </v>
      </c>
      <c r="M74" s="178" t="str">
        <f>TEXT(   (SUMPRODUCT( ((LMPMain!$H$9:$H$1000)=$E74)*((LMPMain!$J$9:$J$1000)=$F74)*((LMPMain!$O$9:$O$1000)=$C74)*(LMPMain!S$9:S$1000) ) +  ( SUMPRODUCT( ((Adders!$D$13:$D$101)=$E74)*((Adders!$E$13:$E$101)=$F74)*(Adders!G$13:G$101)) + VLOOKUP($H74,Adders!$B$5:$G$8,M$11,FALSE)  +  IL!$D$2 ) * IF($D74="NJ",1.07,1))/$L$10, CHOOSE($M$10,$L$9,$M$9) )</f>
        <v xml:space="preserve"> 29.30 </v>
      </c>
      <c r="N74" s="179" t="str">
        <f>TEXT(   (SUMPRODUCT( ((LMPMain!$H$9:$H$1000)=$E74)*((LMPMain!$J$9:$J$1000)=$F74)*((LMPMain!$O$9:$O$1000)=$C74)*(LMPMain!T$9:T$1000) ) +  ( SUMPRODUCT( ((Adders!$D$13:$D$101)=$E74)*((Adders!$E$13:$E$101)=$F74)*(Adders!H$13:H$101)) + VLOOKUP($H74,Adders!$B$5:$G$8,N$11,FALSE)  +  IL!$D$2 ) * IF($D74="NJ",1.07,1))/$L$10, CHOOSE($M$10,$L$9,$M$9) )</f>
        <v xml:space="preserve"> 30.40 </v>
      </c>
      <c r="O74" s="112"/>
    </row>
    <row r="75" spans="2:15" x14ac:dyDescent="0.25">
      <c r="B75" s="108"/>
      <c r="C75" s="131">
        <f t="shared" si="1"/>
        <v>42401</v>
      </c>
      <c r="D75" s="132" t="s">
        <v>25</v>
      </c>
      <c r="E75" s="133" t="s">
        <v>26</v>
      </c>
      <c r="F75" s="132" t="s">
        <v>28</v>
      </c>
      <c r="G75" s="133" t="str">
        <f t="shared" si="2"/>
        <v>100 - 400 kW</v>
      </c>
      <c r="H75" s="134" t="s">
        <v>62</v>
      </c>
      <c r="I75" s="173" t="str">
        <f>TEXT(   (SUMPRODUCT( ((Main!$H$9:$H$1000)=$E75)*((Main!$J$9:$J$1000)=$F75)*((Main!$O$9:$O$1000)=$C75)*(Main!R$9:R$1000) ) +  ( SUMPRODUCT( ((Adders!$D$13:$D$101)=$E75)*((Adders!$E$13:$E$101)=$F75)*(Adders!G$13:G$101)) + VLOOKUP($H75,Adders!$B$5:$G$8,L$11,FALSE)  +  IL!$D$2 ) * IF($D75="NJ",1.07,1))/$L$10, CHOOSE($M$10,$L$9,$M$9) )</f>
        <v xml:space="preserve"> 62.80 </v>
      </c>
      <c r="J75" s="173" t="str">
        <f>TEXT(   (SUMPRODUCT( ((Main!$H$9:$H$1000)=$E75)*((Main!$J$9:$J$1000)=$F75)*((Main!$O$9:$O$1000)=$C75)*(Main!S$9:S$1000) ) +  ( SUMPRODUCT( ((Adders!$D$13:$D$101)=$E75)*((Adders!$E$13:$E$101)=$F75)*(Adders!H$13:H$101)) + VLOOKUP($H75,Adders!$B$5:$G$8,M$11,FALSE)  +  IL!$D$2 ) * IF($D75="NJ",1.07,1))/$L$10, CHOOSE($M$10,$L$9,$M$9) )</f>
        <v xml:space="preserve"> 63.77 </v>
      </c>
      <c r="K75" s="174" t="str">
        <f>TEXT(   (SUMPRODUCT( ((Main!$H$9:$H$1000)=$E75)*((Main!$J$9:$J$1000)=$F75)*((Main!$O$9:$O$1000)=$C75)*(Main!T$9:T$1000) ) +  ( SUMPRODUCT( ((Adders!$D$13:$D$101)=$E75)*((Adders!$E$13:$E$101)=$F75)*(Adders!I$13:I$101)) + VLOOKUP($H75,Adders!$B$5:$G$8,N$11,FALSE)  +  IL!$D$2 ) * IF($D75="NJ",1.07,1))/$L$10, CHOOSE($M$10,$L$9,$M$9) )</f>
        <v xml:space="preserve"> 64.51 </v>
      </c>
      <c r="L75" s="173" t="str">
        <f>TEXT(   (SUMPRODUCT( ((LMPMain!$H$9:$H$1000)=$E75)*((LMPMain!$J$9:$J$1000)=$F75)*((LMPMain!$O$9:$O$1000)=$C75)*(LMPMain!R$9:R$1000) ) +  ( SUMPRODUCT( ((Adders!$D$13:$D$101)=$E75)*((Adders!$E$13:$E$101)=$F75)*(Adders!F$13:F$101)) + VLOOKUP($H75,Adders!$B$5:$G$8,L$11,FALSE)  +  IL!$D$2 ) * IF($D75="NJ",1.07,1))/$L$10, CHOOSE($M$10,$L$9,$M$9) )</f>
        <v xml:space="preserve"> 27.69 </v>
      </c>
      <c r="M75" s="173" t="str">
        <f>TEXT(   (SUMPRODUCT( ((LMPMain!$H$9:$H$1000)=$E75)*((LMPMain!$J$9:$J$1000)=$F75)*((LMPMain!$O$9:$O$1000)=$C75)*(LMPMain!S$9:S$1000) ) +  ( SUMPRODUCT( ((Adders!$D$13:$D$101)=$E75)*((Adders!$E$13:$E$101)=$F75)*(Adders!G$13:G$101)) + VLOOKUP($H75,Adders!$B$5:$G$8,M$11,FALSE)  +  IL!$D$2 ) * IF($D75="NJ",1.07,1))/$L$10, CHOOSE($M$10,$L$9,$M$9) )</f>
        <v xml:space="preserve"> 27.70 </v>
      </c>
      <c r="N75" s="174" t="str">
        <f>TEXT(   (SUMPRODUCT( ((LMPMain!$H$9:$H$1000)=$E75)*((LMPMain!$J$9:$J$1000)=$F75)*((LMPMain!$O$9:$O$1000)=$C75)*(LMPMain!T$9:T$1000) ) +  ( SUMPRODUCT( ((Adders!$D$13:$D$101)=$E75)*((Adders!$E$13:$E$101)=$F75)*(Adders!H$13:H$101)) + VLOOKUP($H75,Adders!$B$5:$G$8,N$11,FALSE)  +  IL!$D$2 ) * IF($D75="NJ",1.07,1))/$L$10, CHOOSE($M$10,$L$9,$M$9) )</f>
        <v xml:space="preserve"> 28.80 </v>
      </c>
      <c r="O75" s="112"/>
    </row>
    <row r="76" spans="2:15" x14ac:dyDescent="0.25">
      <c r="B76" s="108"/>
      <c r="C76" s="135">
        <f t="shared" si="1"/>
        <v>42401</v>
      </c>
      <c r="D76" s="136" t="s">
        <v>25</v>
      </c>
      <c r="E76" s="137" t="s">
        <v>26</v>
      </c>
      <c r="F76" s="136" t="s">
        <v>28</v>
      </c>
      <c r="G76" s="137" t="str">
        <f t="shared" si="2"/>
        <v>100 - 400 kW</v>
      </c>
      <c r="H76" s="138" t="s">
        <v>690</v>
      </c>
      <c r="I76" s="176" t="str">
        <f>TEXT(   (SUMPRODUCT( ((Main!$H$9:$H$1000)=$E76)*((Main!$J$9:$J$1000)=$F76)*((Main!$O$9:$O$1000)=$C76)*(Main!R$9:R$1000) ) +  ( SUMPRODUCT( ((Adders!$D$13:$D$101)=$E76)*((Adders!$E$13:$E$101)=$F76)*(Adders!G$13:G$101)) + VLOOKUP($H76,Adders!$B$5:$G$8,L$11,FALSE)  +  IL!$D$2 ) * IF($D76="NJ",1.07,1))/$L$10, CHOOSE($M$10,$L$9,$M$9) )</f>
        <v xml:space="preserve"> 61.75 </v>
      </c>
      <c r="J76" s="176" t="str">
        <f>TEXT(   (SUMPRODUCT( ((Main!$H$9:$H$1000)=$E76)*((Main!$J$9:$J$1000)=$F76)*((Main!$O$9:$O$1000)=$C76)*(Main!S$9:S$1000) ) +  ( SUMPRODUCT( ((Adders!$D$13:$D$101)=$E76)*((Adders!$E$13:$E$101)=$F76)*(Adders!H$13:H$101)) + VLOOKUP($H76,Adders!$B$5:$G$8,M$11,FALSE)  +  IL!$D$2 ) * IF($D76="NJ",1.07,1))/$L$10, CHOOSE($M$10,$L$9,$M$9) )</f>
        <v xml:space="preserve"> 62.72 </v>
      </c>
      <c r="K76" s="177" t="str">
        <f>TEXT(   (SUMPRODUCT( ((Main!$H$9:$H$1000)=$E76)*((Main!$J$9:$J$1000)=$F76)*((Main!$O$9:$O$1000)=$C76)*(Main!T$9:T$1000) ) +  ( SUMPRODUCT( ((Adders!$D$13:$D$101)=$E76)*((Adders!$E$13:$E$101)=$F76)*(Adders!I$13:I$101)) + VLOOKUP($H76,Adders!$B$5:$G$8,N$11,FALSE)  +  IL!$D$2 ) * IF($D76="NJ",1.07,1))/$L$10, CHOOSE($M$10,$L$9,$M$9) )</f>
        <v xml:space="preserve"> 63.46 </v>
      </c>
      <c r="L76" s="176" t="str">
        <f>TEXT(   (SUMPRODUCT( ((LMPMain!$H$9:$H$1000)=$E76)*((LMPMain!$J$9:$J$1000)=$F76)*((LMPMain!$O$9:$O$1000)=$C76)*(LMPMain!R$9:R$1000) ) +  ( SUMPRODUCT( ((Adders!$D$13:$D$101)=$E76)*((Adders!$E$13:$E$101)=$F76)*(Adders!F$13:F$101)) + VLOOKUP($H76,Adders!$B$5:$G$8,L$11,FALSE)  +  IL!$D$2 ) * IF($D76="NJ",1.07,1))/$L$10, CHOOSE($M$10,$L$9,$M$9) )</f>
        <v xml:space="preserve"> 26.64 </v>
      </c>
      <c r="M76" s="176" t="str">
        <f>TEXT(   (SUMPRODUCT( ((LMPMain!$H$9:$H$1000)=$E76)*((LMPMain!$J$9:$J$1000)=$F76)*((LMPMain!$O$9:$O$1000)=$C76)*(LMPMain!S$9:S$1000) ) +  ( SUMPRODUCT( ((Adders!$D$13:$D$101)=$E76)*((Adders!$E$13:$E$101)=$F76)*(Adders!G$13:G$101)) + VLOOKUP($H76,Adders!$B$5:$G$8,M$11,FALSE)  +  IL!$D$2 ) * IF($D76="NJ",1.07,1))/$L$10, CHOOSE($M$10,$L$9,$M$9) )</f>
        <v xml:space="preserve"> 26.65 </v>
      </c>
      <c r="N76" s="177" t="str">
        <f>TEXT(   (SUMPRODUCT( ((LMPMain!$H$9:$H$1000)=$E76)*((LMPMain!$J$9:$J$1000)=$F76)*((LMPMain!$O$9:$O$1000)=$C76)*(LMPMain!T$9:T$1000) ) +  ( SUMPRODUCT( ((Adders!$D$13:$D$101)=$E76)*((Adders!$E$13:$E$101)=$F76)*(Adders!H$13:H$101)) + VLOOKUP($H76,Adders!$B$5:$G$8,N$11,FALSE)  +  IL!$D$2 ) * IF($D76="NJ",1.07,1))/$L$10, CHOOSE($M$10,$L$9,$M$9) )</f>
        <v xml:space="preserve"> 27.75 </v>
      </c>
      <c r="O76" s="112"/>
    </row>
    <row r="77" spans="2:15" x14ac:dyDescent="0.25">
      <c r="B77" s="108"/>
      <c r="C77" s="127">
        <f t="shared" si="1"/>
        <v>42430</v>
      </c>
      <c r="D77" s="128" t="s">
        <v>25</v>
      </c>
      <c r="E77" s="129" t="s">
        <v>26</v>
      </c>
      <c r="F77" s="128" t="s">
        <v>28</v>
      </c>
      <c r="G77" s="129" t="str">
        <f t="shared" si="2"/>
        <v>100 - 400 kW</v>
      </c>
      <c r="H77" s="130" t="s">
        <v>61</v>
      </c>
      <c r="I77" s="178" t="str">
        <f>TEXT(   (SUMPRODUCT( ((Main!$H$9:$H$1000)=$E77)*((Main!$J$9:$J$1000)=$F77)*((Main!$O$9:$O$1000)=$C77)*(Main!R$9:R$1000) ) +  ( SUMPRODUCT( ((Adders!$D$13:$D$101)=$E77)*((Adders!$E$13:$E$101)=$F77)*(Adders!G$13:G$101)) + VLOOKUP($H77,Adders!$B$5:$G$8,L$11,FALSE)  +  IL!$D$2 ) * IF($D77="NJ",1.07,1))/$L$10, CHOOSE($M$10,$L$9,$M$9) )</f>
        <v xml:space="preserve"> 64.01 </v>
      </c>
      <c r="J77" s="178" t="str">
        <f>TEXT(   (SUMPRODUCT( ((Main!$H$9:$H$1000)=$E77)*((Main!$J$9:$J$1000)=$F77)*((Main!$O$9:$O$1000)=$C77)*(Main!S$9:S$1000) ) +  ( SUMPRODUCT( ((Adders!$D$13:$D$101)=$E77)*((Adders!$E$13:$E$101)=$F77)*(Adders!H$13:H$101)) + VLOOKUP($H77,Adders!$B$5:$G$8,M$11,FALSE)  +  IL!$D$2 ) * IF($D77="NJ",1.07,1))/$L$10, CHOOSE($M$10,$L$9,$M$9) )</f>
        <v xml:space="preserve"> 65.33 </v>
      </c>
      <c r="K77" s="179" t="str">
        <f>TEXT(   (SUMPRODUCT( ((Main!$H$9:$H$1000)=$E77)*((Main!$J$9:$J$1000)=$F77)*((Main!$O$9:$O$1000)=$C77)*(Main!T$9:T$1000) ) +  ( SUMPRODUCT( ((Adders!$D$13:$D$101)=$E77)*((Adders!$E$13:$E$101)=$F77)*(Adders!I$13:I$101)) + VLOOKUP($H77,Adders!$B$5:$G$8,N$11,FALSE)  +  IL!$D$2 ) * IF($D77="NJ",1.07,1))/$L$10, CHOOSE($M$10,$L$9,$M$9) )</f>
        <v xml:space="preserve"> 66.25 </v>
      </c>
      <c r="L77" s="178" t="str">
        <f>TEXT(   (SUMPRODUCT( ((LMPMain!$H$9:$H$1000)=$E77)*((LMPMain!$J$9:$J$1000)=$F77)*((LMPMain!$O$9:$O$1000)=$C77)*(LMPMain!R$9:R$1000) ) +  ( SUMPRODUCT( ((Adders!$D$13:$D$101)=$E77)*((Adders!$E$13:$E$101)=$F77)*(Adders!F$13:F$101)) + VLOOKUP($H77,Adders!$B$5:$G$8,L$11,FALSE)  +  IL!$D$2 ) * IF($D77="NJ",1.07,1))/$L$10, CHOOSE($M$10,$L$9,$M$9) )</f>
        <v xml:space="preserve"> 28.69 </v>
      </c>
      <c r="M77" s="178" t="str">
        <f>TEXT(   (SUMPRODUCT( ((LMPMain!$H$9:$H$1000)=$E77)*((LMPMain!$J$9:$J$1000)=$F77)*((LMPMain!$O$9:$O$1000)=$C77)*(LMPMain!S$9:S$1000) ) +  ( SUMPRODUCT( ((Adders!$D$13:$D$101)=$E77)*((Adders!$E$13:$E$101)=$F77)*(Adders!G$13:G$101)) + VLOOKUP($H77,Adders!$B$5:$G$8,M$11,FALSE)  +  IL!$D$2 ) * IF($D77="NJ",1.07,1))/$L$10, CHOOSE($M$10,$L$9,$M$9) )</f>
        <v xml:space="preserve"> 29.17 </v>
      </c>
      <c r="N77" s="179" t="str">
        <f>TEXT(   (SUMPRODUCT( ((LMPMain!$H$9:$H$1000)=$E77)*((LMPMain!$J$9:$J$1000)=$F77)*((LMPMain!$O$9:$O$1000)=$C77)*(LMPMain!T$9:T$1000) ) +  ( SUMPRODUCT( ((Adders!$D$13:$D$101)=$E77)*((Adders!$E$13:$E$101)=$F77)*(Adders!H$13:H$101)) + VLOOKUP($H77,Adders!$B$5:$G$8,N$11,FALSE)  +  IL!$D$2 ) * IF($D77="NJ",1.07,1))/$L$10, CHOOSE($M$10,$L$9,$M$9) )</f>
        <v xml:space="preserve"> 30.38 </v>
      </c>
      <c r="O77" s="112"/>
    </row>
    <row r="78" spans="2:15" x14ac:dyDescent="0.25">
      <c r="B78" s="108"/>
      <c r="C78" s="131">
        <f t="shared" si="1"/>
        <v>42430</v>
      </c>
      <c r="D78" s="132" t="s">
        <v>25</v>
      </c>
      <c r="E78" s="133" t="s">
        <v>26</v>
      </c>
      <c r="F78" s="132" t="s">
        <v>28</v>
      </c>
      <c r="G78" s="133" t="str">
        <f t="shared" si="2"/>
        <v>100 - 400 kW</v>
      </c>
      <c r="H78" s="134" t="s">
        <v>62</v>
      </c>
      <c r="I78" s="173" t="str">
        <f>TEXT(   (SUMPRODUCT( ((Main!$H$9:$H$1000)=$E78)*((Main!$J$9:$J$1000)=$F78)*((Main!$O$9:$O$1000)=$C78)*(Main!R$9:R$1000) ) +  ( SUMPRODUCT( ((Adders!$D$13:$D$101)=$E78)*((Adders!$E$13:$E$101)=$F78)*(Adders!G$13:G$101)) + VLOOKUP($H78,Adders!$B$5:$G$8,L$11,FALSE)  +  IL!$D$2 ) * IF($D78="NJ",1.07,1))/$L$10, CHOOSE($M$10,$L$9,$M$9) )</f>
        <v xml:space="preserve"> 62.41 </v>
      </c>
      <c r="J78" s="173" t="str">
        <f>TEXT(   (SUMPRODUCT( ((Main!$H$9:$H$1000)=$E78)*((Main!$J$9:$J$1000)=$F78)*((Main!$O$9:$O$1000)=$C78)*(Main!S$9:S$1000) ) +  ( SUMPRODUCT( ((Adders!$D$13:$D$101)=$E78)*((Adders!$E$13:$E$101)=$F78)*(Adders!H$13:H$101)) + VLOOKUP($H78,Adders!$B$5:$G$8,M$11,FALSE)  +  IL!$D$2 ) * IF($D78="NJ",1.07,1))/$L$10, CHOOSE($M$10,$L$9,$M$9) )</f>
        <v xml:space="preserve"> 63.73 </v>
      </c>
      <c r="K78" s="174" t="str">
        <f>TEXT(   (SUMPRODUCT( ((Main!$H$9:$H$1000)=$E78)*((Main!$J$9:$J$1000)=$F78)*((Main!$O$9:$O$1000)=$C78)*(Main!T$9:T$1000) ) +  ( SUMPRODUCT( ((Adders!$D$13:$D$101)=$E78)*((Adders!$E$13:$E$101)=$F78)*(Adders!I$13:I$101)) + VLOOKUP($H78,Adders!$B$5:$G$8,N$11,FALSE)  +  IL!$D$2 ) * IF($D78="NJ",1.07,1))/$L$10, CHOOSE($M$10,$L$9,$M$9) )</f>
        <v xml:space="preserve"> 64.65 </v>
      </c>
      <c r="L78" s="173" t="str">
        <f>TEXT(   (SUMPRODUCT( ((LMPMain!$H$9:$H$1000)=$E78)*((LMPMain!$J$9:$J$1000)=$F78)*((LMPMain!$O$9:$O$1000)=$C78)*(LMPMain!R$9:R$1000) ) +  ( SUMPRODUCT( ((Adders!$D$13:$D$101)=$E78)*((Adders!$E$13:$E$101)=$F78)*(Adders!F$13:F$101)) + VLOOKUP($H78,Adders!$B$5:$G$8,L$11,FALSE)  +  IL!$D$2 ) * IF($D78="NJ",1.07,1))/$L$10, CHOOSE($M$10,$L$9,$M$9) )</f>
        <v xml:space="preserve"> 27.09 </v>
      </c>
      <c r="M78" s="173" t="str">
        <f>TEXT(   (SUMPRODUCT( ((LMPMain!$H$9:$H$1000)=$E78)*((LMPMain!$J$9:$J$1000)=$F78)*((LMPMain!$O$9:$O$1000)=$C78)*(LMPMain!S$9:S$1000) ) +  ( SUMPRODUCT( ((Adders!$D$13:$D$101)=$E78)*((Adders!$E$13:$E$101)=$F78)*(Adders!G$13:G$101)) + VLOOKUP($H78,Adders!$B$5:$G$8,M$11,FALSE)  +  IL!$D$2 ) * IF($D78="NJ",1.07,1))/$L$10, CHOOSE($M$10,$L$9,$M$9) )</f>
        <v xml:space="preserve"> 27.57 </v>
      </c>
      <c r="N78" s="174" t="str">
        <f>TEXT(   (SUMPRODUCT( ((LMPMain!$H$9:$H$1000)=$E78)*((LMPMain!$J$9:$J$1000)=$F78)*((LMPMain!$O$9:$O$1000)=$C78)*(LMPMain!T$9:T$1000) ) +  ( SUMPRODUCT( ((Adders!$D$13:$D$101)=$E78)*((Adders!$E$13:$E$101)=$F78)*(Adders!H$13:H$101)) + VLOOKUP($H78,Adders!$B$5:$G$8,N$11,FALSE)  +  IL!$D$2 ) * IF($D78="NJ",1.07,1))/$L$10, CHOOSE($M$10,$L$9,$M$9) )</f>
        <v xml:space="preserve"> 28.78 </v>
      </c>
      <c r="O78" s="112"/>
    </row>
    <row r="79" spans="2:15" x14ac:dyDescent="0.25">
      <c r="B79" s="108"/>
      <c r="C79" s="135">
        <f t="shared" si="1"/>
        <v>42430</v>
      </c>
      <c r="D79" s="136" t="s">
        <v>25</v>
      </c>
      <c r="E79" s="137" t="s">
        <v>26</v>
      </c>
      <c r="F79" s="136" t="s">
        <v>28</v>
      </c>
      <c r="G79" s="137" t="str">
        <f t="shared" si="2"/>
        <v>100 - 400 kW</v>
      </c>
      <c r="H79" s="138" t="s">
        <v>690</v>
      </c>
      <c r="I79" s="176" t="str">
        <f>TEXT(   (SUMPRODUCT( ((Main!$H$9:$H$1000)=$E79)*((Main!$J$9:$J$1000)=$F79)*((Main!$O$9:$O$1000)=$C79)*(Main!R$9:R$1000) ) +  ( SUMPRODUCT( ((Adders!$D$13:$D$101)=$E79)*((Adders!$E$13:$E$101)=$F79)*(Adders!G$13:G$101)) + VLOOKUP($H79,Adders!$B$5:$G$8,L$11,FALSE)  +  IL!$D$2 ) * IF($D79="NJ",1.07,1))/$L$10, CHOOSE($M$10,$L$9,$M$9) )</f>
        <v xml:space="preserve"> 61.36 </v>
      </c>
      <c r="J79" s="176" t="str">
        <f>TEXT(   (SUMPRODUCT( ((Main!$H$9:$H$1000)=$E79)*((Main!$J$9:$J$1000)=$F79)*((Main!$O$9:$O$1000)=$C79)*(Main!S$9:S$1000) ) +  ( SUMPRODUCT( ((Adders!$D$13:$D$101)=$E79)*((Adders!$E$13:$E$101)=$F79)*(Adders!H$13:H$101)) + VLOOKUP($H79,Adders!$B$5:$G$8,M$11,FALSE)  +  IL!$D$2 ) * IF($D79="NJ",1.07,1))/$L$10, CHOOSE($M$10,$L$9,$M$9) )</f>
        <v xml:space="preserve"> 62.68 </v>
      </c>
      <c r="K79" s="177" t="str">
        <f>TEXT(   (SUMPRODUCT( ((Main!$H$9:$H$1000)=$E79)*((Main!$J$9:$J$1000)=$F79)*((Main!$O$9:$O$1000)=$C79)*(Main!T$9:T$1000) ) +  ( SUMPRODUCT( ((Adders!$D$13:$D$101)=$E79)*((Adders!$E$13:$E$101)=$F79)*(Adders!I$13:I$101)) + VLOOKUP($H79,Adders!$B$5:$G$8,N$11,FALSE)  +  IL!$D$2 ) * IF($D79="NJ",1.07,1))/$L$10, CHOOSE($M$10,$L$9,$M$9) )</f>
        <v xml:space="preserve"> 63.60 </v>
      </c>
      <c r="L79" s="176" t="str">
        <f>TEXT(   (SUMPRODUCT( ((LMPMain!$H$9:$H$1000)=$E79)*((LMPMain!$J$9:$J$1000)=$F79)*((LMPMain!$O$9:$O$1000)=$C79)*(LMPMain!R$9:R$1000) ) +  ( SUMPRODUCT( ((Adders!$D$13:$D$101)=$E79)*((Adders!$E$13:$E$101)=$F79)*(Adders!F$13:F$101)) + VLOOKUP($H79,Adders!$B$5:$G$8,L$11,FALSE)  +  IL!$D$2 ) * IF($D79="NJ",1.07,1))/$L$10, CHOOSE($M$10,$L$9,$M$9) )</f>
        <v xml:space="preserve"> 26.04 </v>
      </c>
      <c r="M79" s="176" t="str">
        <f>TEXT(   (SUMPRODUCT( ((LMPMain!$H$9:$H$1000)=$E79)*((LMPMain!$J$9:$J$1000)=$F79)*((LMPMain!$O$9:$O$1000)=$C79)*(LMPMain!S$9:S$1000) ) +  ( SUMPRODUCT( ((Adders!$D$13:$D$101)=$E79)*((Adders!$E$13:$E$101)=$F79)*(Adders!G$13:G$101)) + VLOOKUP($H79,Adders!$B$5:$G$8,M$11,FALSE)  +  IL!$D$2 ) * IF($D79="NJ",1.07,1))/$L$10, CHOOSE($M$10,$L$9,$M$9) )</f>
        <v xml:space="preserve"> 26.52 </v>
      </c>
      <c r="N79" s="177" t="str">
        <f>TEXT(   (SUMPRODUCT( ((LMPMain!$H$9:$H$1000)=$E79)*((LMPMain!$J$9:$J$1000)=$F79)*((LMPMain!$O$9:$O$1000)=$C79)*(LMPMain!T$9:T$1000) ) +  ( SUMPRODUCT( ((Adders!$D$13:$D$101)=$E79)*((Adders!$E$13:$E$101)=$F79)*(Adders!H$13:H$101)) + VLOOKUP($H79,Adders!$B$5:$G$8,N$11,FALSE)  +  IL!$D$2 ) * IF($D79="NJ",1.07,1))/$L$10, CHOOSE($M$10,$L$9,$M$9) )</f>
        <v xml:space="preserve"> 27.73 </v>
      </c>
      <c r="O79" s="112"/>
    </row>
    <row r="80" spans="2:15" x14ac:dyDescent="0.25">
      <c r="B80" s="108"/>
      <c r="C80" s="127">
        <f t="shared" si="1"/>
        <v>42461</v>
      </c>
      <c r="D80" s="128" t="s">
        <v>25</v>
      </c>
      <c r="E80" s="129" t="s">
        <v>26</v>
      </c>
      <c r="F80" s="128" t="s">
        <v>28</v>
      </c>
      <c r="G80" s="129" t="str">
        <f t="shared" si="2"/>
        <v>100 - 400 kW</v>
      </c>
      <c r="H80" s="130" t="s">
        <v>61</v>
      </c>
      <c r="I80" s="178" t="str">
        <f>TEXT(   (SUMPRODUCT( ((Main!$H$9:$H$1000)=$E80)*((Main!$J$9:$J$1000)=$F80)*((Main!$O$9:$O$1000)=$C80)*(Main!R$9:R$1000) ) +  ( SUMPRODUCT( ((Adders!$D$13:$D$101)=$E80)*((Adders!$E$13:$E$101)=$F80)*(Adders!G$13:G$101)) + VLOOKUP($H80,Adders!$B$5:$G$8,L$11,FALSE)  +  IL!$D$2 ) * IF($D80="NJ",1.07,1))/$L$10, CHOOSE($M$10,$L$9,$M$9) )</f>
        <v xml:space="preserve"> 63.47 </v>
      </c>
      <c r="J80" s="178" t="str">
        <f>TEXT(   (SUMPRODUCT( ((Main!$H$9:$H$1000)=$E80)*((Main!$J$9:$J$1000)=$F80)*((Main!$O$9:$O$1000)=$C80)*(Main!S$9:S$1000) ) +  ( SUMPRODUCT( ((Adders!$D$13:$D$101)=$E80)*((Adders!$E$13:$E$101)=$F80)*(Adders!H$13:H$101)) + VLOOKUP($H80,Adders!$B$5:$G$8,M$11,FALSE)  +  IL!$D$2 ) * IF($D80="NJ",1.07,1))/$L$10, CHOOSE($M$10,$L$9,$M$9) )</f>
        <v xml:space="preserve"> 64.91 </v>
      </c>
      <c r="K80" s="179" t="str">
        <f>TEXT(   (SUMPRODUCT( ((Main!$H$9:$H$1000)=$E80)*((Main!$J$9:$J$1000)=$F80)*((Main!$O$9:$O$1000)=$C80)*(Main!T$9:T$1000) ) +  ( SUMPRODUCT( ((Adders!$D$13:$D$101)=$E80)*((Adders!$E$13:$E$101)=$F80)*(Adders!I$13:I$101)) + VLOOKUP($H80,Adders!$B$5:$G$8,N$11,FALSE)  +  IL!$D$2 ) * IF($D80="NJ",1.07,1))/$L$10, CHOOSE($M$10,$L$9,$M$9) )</f>
        <v xml:space="preserve"> 66.21 </v>
      </c>
      <c r="L80" s="178" t="str">
        <f>TEXT(   (SUMPRODUCT( ((LMPMain!$H$9:$H$1000)=$E80)*((LMPMain!$J$9:$J$1000)=$F80)*((LMPMain!$O$9:$O$1000)=$C80)*(LMPMain!R$9:R$1000) ) +  ( SUMPRODUCT( ((Adders!$D$13:$D$101)=$E80)*((Adders!$E$13:$E$101)=$F80)*(Adders!F$13:F$101)) + VLOOKUP($H80,Adders!$B$5:$G$8,L$11,FALSE)  +  IL!$D$2 ) * IF($D80="NJ",1.07,1))/$L$10, CHOOSE($M$10,$L$9,$M$9) )</f>
        <v xml:space="preserve"> 28.06 </v>
      </c>
      <c r="M80" s="178" t="str">
        <f>TEXT(   (SUMPRODUCT( ((LMPMain!$H$9:$H$1000)=$E80)*((LMPMain!$J$9:$J$1000)=$F80)*((LMPMain!$O$9:$O$1000)=$C80)*(LMPMain!S$9:S$1000) ) +  ( SUMPRODUCT( ((Adders!$D$13:$D$101)=$E80)*((Adders!$E$13:$E$101)=$F80)*(Adders!G$13:G$101)) + VLOOKUP($H80,Adders!$B$5:$G$8,M$11,FALSE)  +  IL!$D$2 ) * IF($D80="NJ",1.07,1))/$L$10, CHOOSE($M$10,$L$9,$M$9) )</f>
        <v xml:space="preserve"> 29.05 </v>
      </c>
      <c r="N80" s="179" t="str">
        <f>TEXT(   (SUMPRODUCT( ((LMPMain!$H$9:$H$1000)=$E80)*((LMPMain!$J$9:$J$1000)=$F80)*((LMPMain!$O$9:$O$1000)=$C80)*(LMPMain!T$9:T$1000) ) +  ( SUMPRODUCT( ((Adders!$D$13:$D$101)=$E80)*((Adders!$E$13:$E$101)=$F80)*(Adders!H$13:H$101)) + VLOOKUP($H80,Adders!$B$5:$G$8,N$11,FALSE)  +  IL!$D$2 ) * IF($D80="NJ",1.07,1))/$L$10, CHOOSE($M$10,$L$9,$M$9) )</f>
        <v xml:space="preserve"> 30.36 </v>
      </c>
      <c r="O80" s="112"/>
    </row>
    <row r="81" spans="2:15" x14ac:dyDescent="0.25">
      <c r="B81" s="108"/>
      <c r="C81" s="131">
        <f t="shared" si="1"/>
        <v>42461</v>
      </c>
      <c r="D81" s="132" t="s">
        <v>25</v>
      </c>
      <c r="E81" s="133" t="s">
        <v>26</v>
      </c>
      <c r="F81" s="132" t="s">
        <v>28</v>
      </c>
      <c r="G81" s="133" t="str">
        <f t="shared" si="2"/>
        <v>100 - 400 kW</v>
      </c>
      <c r="H81" s="134" t="s">
        <v>62</v>
      </c>
      <c r="I81" s="173" t="str">
        <f>TEXT(   (SUMPRODUCT( ((Main!$H$9:$H$1000)=$E81)*((Main!$J$9:$J$1000)=$F81)*((Main!$O$9:$O$1000)=$C81)*(Main!R$9:R$1000) ) +  ( SUMPRODUCT( ((Adders!$D$13:$D$101)=$E81)*((Adders!$E$13:$E$101)=$F81)*(Adders!G$13:G$101)) + VLOOKUP($H81,Adders!$B$5:$G$8,L$11,FALSE)  +  IL!$D$2 ) * IF($D81="NJ",1.07,1))/$L$10, CHOOSE($M$10,$L$9,$M$9) )</f>
        <v xml:space="preserve"> 61.87 </v>
      </c>
      <c r="J81" s="173" t="str">
        <f>TEXT(   (SUMPRODUCT( ((Main!$H$9:$H$1000)=$E81)*((Main!$J$9:$J$1000)=$F81)*((Main!$O$9:$O$1000)=$C81)*(Main!S$9:S$1000) ) +  ( SUMPRODUCT( ((Adders!$D$13:$D$101)=$E81)*((Adders!$E$13:$E$101)=$F81)*(Adders!H$13:H$101)) + VLOOKUP($H81,Adders!$B$5:$G$8,M$11,FALSE)  +  IL!$D$2 ) * IF($D81="NJ",1.07,1))/$L$10, CHOOSE($M$10,$L$9,$M$9) )</f>
        <v xml:space="preserve"> 63.31 </v>
      </c>
      <c r="K81" s="174" t="str">
        <f>TEXT(   (SUMPRODUCT( ((Main!$H$9:$H$1000)=$E81)*((Main!$J$9:$J$1000)=$F81)*((Main!$O$9:$O$1000)=$C81)*(Main!T$9:T$1000) ) +  ( SUMPRODUCT( ((Adders!$D$13:$D$101)=$E81)*((Adders!$E$13:$E$101)=$F81)*(Adders!I$13:I$101)) + VLOOKUP($H81,Adders!$B$5:$G$8,N$11,FALSE)  +  IL!$D$2 ) * IF($D81="NJ",1.07,1))/$L$10, CHOOSE($M$10,$L$9,$M$9) )</f>
        <v xml:space="preserve"> 64.61 </v>
      </c>
      <c r="L81" s="173" t="str">
        <f>TEXT(   (SUMPRODUCT( ((LMPMain!$H$9:$H$1000)=$E81)*((LMPMain!$J$9:$J$1000)=$F81)*((LMPMain!$O$9:$O$1000)=$C81)*(LMPMain!R$9:R$1000) ) +  ( SUMPRODUCT( ((Adders!$D$13:$D$101)=$E81)*((Adders!$E$13:$E$101)=$F81)*(Adders!F$13:F$101)) + VLOOKUP($H81,Adders!$B$5:$G$8,L$11,FALSE)  +  IL!$D$2 ) * IF($D81="NJ",1.07,1))/$L$10, CHOOSE($M$10,$L$9,$M$9) )</f>
        <v xml:space="preserve"> 26.46 </v>
      </c>
      <c r="M81" s="173" t="str">
        <f>TEXT(   (SUMPRODUCT( ((LMPMain!$H$9:$H$1000)=$E81)*((LMPMain!$J$9:$J$1000)=$F81)*((LMPMain!$O$9:$O$1000)=$C81)*(LMPMain!S$9:S$1000) ) +  ( SUMPRODUCT( ((Adders!$D$13:$D$101)=$E81)*((Adders!$E$13:$E$101)=$F81)*(Adders!G$13:G$101)) + VLOOKUP($H81,Adders!$B$5:$G$8,M$11,FALSE)  +  IL!$D$2 ) * IF($D81="NJ",1.07,1))/$L$10, CHOOSE($M$10,$L$9,$M$9) )</f>
        <v xml:space="preserve"> 27.45 </v>
      </c>
      <c r="N81" s="174" t="str">
        <f>TEXT(   (SUMPRODUCT( ((LMPMain!$H$9:$H$1000)=$E81)*((LMPMain!$J$9:$J$1000)=$F81)*((LMPMain!$O$9:$O$1000)=$C81)*(LMPMain!T$9:T$1000) ) +  ( SUMPRODUCT( ((Adders!$D$13:$D$101)=$E81)*((Adders!$E$13:$E$101)=$F81)*(Adders!H$13:H$101)) + VLOOKUP($H81,Adders!$B$5:$G$8,N$11,FALSE)  +  IL!$D$2 ) * IF($D81="NJ",1.07,1))/$L$10, CHOOSE($M$10,$L$9,$M$9) )</f>
        <v xml:space="preserve"> 28.76 </v>
      </c>
      <c r="O81" s="112"/>
    </row>
    <row r="82" spans="2:15" x14ac:dyDescent="0.25">
      <c r="B82" s="108"/>
      <c r="C82" s="135">
        <f t="shared" si="1"/>
        <v>42461</v>
      </c>
      <c r="D82" s="136" t="s">
        <v>25</v>
      </c>
      <c r="E82" s="137" t="s">
        <v>26</v>
      </c>
      <c r="F82" s="136" t="s">
        <v>28</v>
      </c>
      <c r="G82" s="137" t="str">
        <f t="shared" si="2"/>
        <v>100 - 400 kW</v>
      </c>
      <c r="H82" s="138" t="s">
        <v>690</v>
      </c>
      <c r="I82" s="176" t="str">
        <f>TEXT(   (SUMPRODUCT( ((Main!$H$9:$H$1000)=$E82)*((Main!$J$9:$J$1000)=$F82)*((Main!$O$9:$O$1000)=$C82)*(Main!R$9:R$1000) ) +  ( SUMPRODUCT( ((Adders!$D$13:$D$101)=$E82)*((Adders!$E$13:$E$101)=$F82)*(Adders!G$13:G$101)) + VLOOKUP($H82,Adders!$B$5:$G$8,L$11,FALSE)  +  IL!$D$2 ) * IF($D82="NJ",1.07,1))/$L$10, CHOOSE($M$10,$L$9,$M$9) )</f>
        <v xml:space="preserve"> 60.82 </v>
      </c>
      <c r="J82" s="176" t="str">
        <f>TEXT(   (SUMPRODUCT( ((Main!$H$9:$H$1000)=$E82)*((Main!$J$9:$J$1000)=$F82)*((Main!$O$9:$O$1000)=$C82)*(Main!S$9:S$1000) ) +  ( SUMPRODUCT( ((Adders!$D$13:$D$101)=$E82)*((Adders!$E$13:$E$101)=$F82)*(Adders!H$13:H$101)) + VLOOKUP($H82,Adders!$B$5:$G$8,M$11,FALSE)  +  IL!$D$2 ) * IF($D82="NJ",1.07,1))/$L$10, CHOOSE($M$10,$L$9,$M$9) )</f>
        <v xml:space="preserve"> 62.26 </v>
      </c>
      <c r="K82" s="177" t="str">
        <f>TEXT(   (SUMPRODUCT( ((Main!$H$9:$H$1000)=$E82)*((Main!$J$9:$J$1000)=$F82)*((Main!$O$9:$O$1000)=$C82)*(Main!T$9:T$1000) ) +  ( SUMPRODUCT( ((Adders!$D$13:$D$101)=$E82)*((Adders!$E$13:$E$101)=$F82)*(Adders!I$13:I$101)) + VLOOKUP($H82,Adders!$B$5:$G$8,N$11,FALSE)  +  IL!$D$2 ) * IF($D82="NJ",1.07,1))/$L$10, CHOOSE($M$10,$L$9,$M$9) )</f>
        <v xml:space="preserve"> 63.56 </v>
      </c>
      <c r="L82" s="176" t="str">
        <f>TEXT(   (SUMPRODUCT( ((LMPMain!$H$9:$H$1000)=$E82)*((LMPMain!$J$9:$J$1000)=$F82)*((LMPMain!$O$9:$O$1000)=$C82)*(LMPMain!R$9:R$1000) ) +  ( SUMPRODUCT( ((Adders!$D$13:$D$101)=$E82)*((Adders!$E$13:$E$101)=$F82)*(Adders!F$13:F$101)) + VLOOKUP($H82,Adders!$B$5:$G$8,L$11,FALSE)  +  IL!$D$2 ) * IF($D82="NJ",1.07,1))/$L$10, CHOOSE($M$10,$L$9,$M$9) )</f>
        <v xml:space="preserve"> 25.41 </v>
      </c>
      <c r="M82" s="176" t="str">
        <f>TEXT(   (SUMPRODUCT( ((LMPMain!$H$9:$H$1000)=$E82)*((LMPMain!$J$9:$J$1000)=$F82)*((LMPMain!$O$9:$O$1000)=$C82)*(LMPMain!S$9:S$1000) ) +  ( SUMPRODUCT( ((Adders!$D$13:$D$101)=$E82)*((Adders!$E$13:$E$101)=$F82)*(Adders!G$13:G$101)) + VLOOKUP($H82,Adders!$B$5:$G$8,M$11,FALSE)  +  IL!$D$2 ) * IF($D82="NJ",1.07,1))/$L$10, CHOOSE($M$10,$L$9,$M$9) )</f>
        <v xml:space="preserve"> 26.40 </v>
      </c>
      <c r="N82" s="177" t="str">
        <f>TEXT(   (SUMPRODUCT( ((LMPMain!$H$9:$H$1000)=$E82)*((LMPMain!$J$9:$J$1000)=$F82)*((LMPMain!$O$9:$O$1000)=$C82)*(LMPMain!T$9:T$1000) ) +  ( SUMPRODUCT( ((Adders!$D$13:$D$101)=$E82)*((Adders!$E$13:$E$101)=$F82)*(Adders!H$13:H$101)) + VLOOKUP($H82,Adders!$B$5:$G$8,N$11,FALSE)  +  IL!$D$2 ) * IF($D82="NJ",1.07,1))/$L$10, CHOOSE($M$10,$L$9,$M$9) )</f>
        <v xml:space="preserve"> 27.71 </v>
      </c>
      <c r="O82" s="112"/>
    </row>
    <row r="83" spans="2:15" x14ac:dyDescent="0.25">
      <c r="B83" s="108"/>
      <c r="C83" s="127">
        <f t="shared" si="1"/>
        <v>42491</v>
      </c>
      <c r="D83" s="128" t="s">
        <v>25</v>
      </c>
      <c r="E83" s="129" t="s">
        <v>26</v>
      </c>
      <c r="F83" s="128" t="s">
        <v>28</v>
      </c>
      <c r="G83" s="129" t="str">
        <f t="shared" si="2"/>
        <v>100 - 400 kW</v>
      </c>
      <c r="H83" s="130" t="s">
        <v>61</v>
      </c>
      <c r="I83" s="178" t="str">
        <f>TEXT(   (SUMPRODUCT( ((Main!$H$9:$H$1000)=$E83)*((Main!$J$9:$J$1000)=$F83)*((Main!$O$9:$O$1000)=$C83)*(Main!R$9:R$1000) ) +  ( SUMPRODUCT( ((Adders!$D$13:$D$101)=$E83)*((Adders!$E$13:$E$101)=$F83)*(Adders!G$13:G$101)) + VLOOKUP($H83,Adders!$B$5:$G$8,L$11,FALSE)  +  IL!$D$2 ) * IF($D83="NJ",1.07,1))/$L$10, CHOOSE($M$10,$L$9,$M$9) )</f>
        <v xml:space="preserve"> 62.86 </v>
      </c>
      <c r="J83" s="178" t="str">
        <f>TEXT(   (SUMPRODUCT( ((Main!$H$9:$H$1000)=$E83)*((Main!$J$9:$J$1000)=$F83)*((Main!$O$9:$O$1000)=$C83)*(Main!S$9:S$1000) ) +  ( SUMPRODUCT( ((Adders!$D$13:$D$101)=$E83)*((Adders!$E$13:$E$101)=$F83)*(Adders!H$13:H$101)) + VLOOKUP($H83,Adders!$B$5:$G$8,M$11,FALSE)  +  IL!$D$2 ) * IF($D83="NJ",1.07,1))/$L$10, CHOOSE($M$10,$L$9,$M$9) )</f>
        <v xml:space="preserve"> 64.63 </v>
      </c>
      <c r="K83" s="179" t="str">
        <f>TEXT(   (SUMPRODUCT( ((Main!$H$9:$H$1000)=$E83)*((Main!$J$9:$J$1000)=$F83)*((Main!$O$9:$O$1000)=$C83)*(Main!T$9:T$1000) ) +  ( SUMPRODUCT( ((Adders!$D$13:$D$101)=$E83)*((Adders!$E$13:$E$101)=$F83)*(Adders!I$13:I$101)) + VLOOKUP($H83,Adders!$B$5:$G$8,N$11,FALSE)  +  IL!$D$2 ) * IF($D83="NJ",1.07,1))/$L$10, CHOOSE($M$10,$L$9,$M$9) )</f>
        <v xml:space="preserve"> 66.22 </v>
      </c>
      <c r="L83" s="178" t="str">
        <f>TEXT(   (SUMPRODUCT( ((LMPMain!$H$9:$H$1000)=$E83)*((LMPMain!$J$9:$J$1000)=$F83)*((LMPMain!$O$9:$O$1000)=$C83)*(LMPMain!R$9:R$1000) ) +  ( SUMPRODUCT( ((Adders!$D$13:$D$101)=$E83)*((Adders!$E$13:$E$101)=$F83)*(Adders!F$13:F$101)) + VLOOKUP($H83,Adders!$B$5:$G$8,L$11,FALSE)  +  IL!$D$2 ) * IF($D83="NJ",1.07,1))/$L$10, CHOOSE($M$10,$L$9,$M$9) )</f>
        <v xml:space="preserve"> 27.46 </v>
      </c>
      <c r="M83" s="178" t="str">
        <f>TEXT(   (SUMPRODUCT( ((LMPMain!$H$9:$H$1000)=$E83)*((LMPMain!$J$9:$J$1000)=$F83)*((LMPMain!$O$9:$O$1000)=$C83)*(LMPMain!S$9:S$1000) ) +  ( SUMPRODUCT( ((Adders!$D$13:$D$101)=$E83)*((Adders!$E$13:$E$101)=$F83)*(Adders!G$13:G$101)) + VLOOKUP($H83,Adders!$B$5:$G$8,M$11,FALSE)  +  IL!$D$2 ) * IF($D83="NJ",1.07,1))/$L$10, CHOOSE($M$10,$L$9,$M$9) )</f>
        <v xml:space="preserve"> 28.95 </v>
      </c>
      <c r="N83" s="179" t="str">
        <f>TEXT(   (SUMPRODUCT( ((LMPMain!$H$9:$H$1000)=$E83)*((LMPMain!$J$9:$J$1000)=$F83)*((LMPMain!$O$9:$O$1000)=$C83)*(LMPMain!T$9:T$1000) ) +  ( SUMPRODUCT( ((Adders!$D$13:$D$101)=$E83)*((Adders!$E$13:$E$101)=$F83)*(Adders!H$13:H$101)) + VLOOKUP($H83,Adders!$B$5:$G$8,N$11,FALSE)  +  IL!$D$2 ) * IF($D83="NJ",1.07,1))/$L$10, CHOOSE($M$10,$L$9,$M$9) )</f>
        <v xml:space="preserve"> 30.33 </v>
      </c>
      <c r="O83" s="112"/>
    </row>
    <row r="84" spans="2:15" x14ac:dyDescent="0.25">
      <c r="B84" s="108"/>
      <c r="C84" s="131">
        <f t="shared" si="1"/>
        <v>42491</v>
      </c>
      <c r="D84" s="132" t="s">
        <v>25</v>
      </c>
      <c r="E84" s="133" t="s">
        <v>26</v>
      </c>
      <c r="F84" s="132" t="s">
        <v>28</v>
      </c>
      <c r="G84" s="133" t="str">
        <f t="shared" si="2"/>
        <v>100 - 400 kW</v>
      </c>
      <c r="H84" s="134" t="s">
        <v>62</v>
      </c>
      <c r="I84" s="173" t="str">
        <f>TEXT(   (SUMPRODUCT( ((Main!$H$9:$H$1000)=$E84)*((Main!$J$9:$J$1000)=$F84)*((Main!$O$9:$O$1000)=$C84)*(Main!R$9:R$1000) ) +  ( SUMPRODUCT( ((Adders!$D$13:$D$101)=$E84)*((Adders!$E$13:$E$101)=$F84)*(Adders!G$13:G$101)) + VLOOKUP($H84,Adders!$B$5:$G$8,L$11,FALSE)  +  IL!$D$2 ) * IF($D84="NJ",1.07,1))/$L$10, CHOOSE($M$10,$L$9,$M$9) )</f>
        <v xml:space="preserve"> 61.26 </v>
      </c>
      <c r="J84" s="173" t="str">
        <f>TEXT(   (SUMPRODUCT( ((Main!$H$9:$H$1000)=$E84)*((Main!$J$9:$J$1000)=$F84)*((Main!$O$9:$O$1000)=$C84)*(Main!S$9:S$1000) ) +  ( SUMPRODUCT( ((Adders!$D$13:$D$101)=$E84)*((Adders!$E$13:$E$101)=$F84)*(Adders!H$13:H$101)) + VLOOKUP($H84,Adders!$B$5:$G$8,M$11,FALSE)  +  IL!$D$2 ) * IF($D84="NJ",1.07,1))/$L$10, CHOOSE($M$10,$L$9,$M$9) )</f>
        <v xml:space="preserve"> 63.03 </v>
      </c>
      <c r="K84" s="174" t="str">
        <f>TEXT(   (SUMPRODUCT( ((Main!$H$9:$H$1000)=$E84)*((Main!$J$9:$J$1000)=$F84)*((Main!$O$9:$O$1000)=$C84)*(Main!T$9:T$1000) ) +  ( SUMPRODUCT( ((Adders!$D$13:$D$101)=$E84)*((Adders!$E$13:$E$101)=$F84)*(Adders!I$13:I$101)) + VLOOKUP($H84,Adders!$B$5:$G$8,N$11,FALSE)  +  IL!$D$2 ) * IF($D84="NJ",1.07,1))/$L$10, CHOOSE($M$10,$L$9,$M$9) )</f>
        <v xml:space="preserve"> 64.62 </v>
      </c>
      <c r="L84" s="173" t="str">
        <f>TEXT(   (SUMPRODUCT( ((LMPMain!$H$9:$H$1000)=$E84)*((LMPMain!$J$9:$J$1000)=$F84)*((LMPMain!$O$9:$O$1000)=$C84)*(LMPMain!R$9:R$1000) ) +  ( SUMPRODUCT( ((Adders!$D$13:$D$101)=$E84)*((Adders!$E$13:$E$101)=$F84)*(Adders!F$13:F$101)) + VLOOKUP($H84,Adders!$B$5:$G$8,L$11,FALSE)  +  IL!$D$2 ) * IF($D84="NJ",1.07,1))/$L$10, CHOOSE($M$10,$L$9,$M$9) )</f>
        <v xml:space="preserve"> 25.86 </v>
      </c>
      <c r="M84" s="173" t="str">
        <f>TEXT(   (SUMPRODUCT( ((LMPMain!$H$9:$H$1000)=$E84)*((LMPMain!$J$9:$J$1000)=$F84)*((LMPMain!$O$9:$O$1000)=$C84)*(LMPMain!S$9:S$1000) ) +  ( SUMPRODUCT( ((Adders!$D$13:$D$101)=$E84)*((Adders!$E$13:$E$101)=$F84)*(Adders!G$13:G$101)) + VLOOKUP($H84,Adders!$B$5:$G$8,M$11,FALSE)  +  IL!$D$2 ) * IF($D84="NJ",1.07,1))/$L$10, CHOOSE($M$10,$L$9,$M$9) )</f>
        <v xml:space="preserve"> 27.35 </v>
      </c>
      <c r="N84" s="174" t="str">
        <f>TEXT(   (SUMPRODUCT( ((LMPMain!$H$9:$H$1000)=$E84)*((LMPMain!$J$9:$J$1000)=$F84)*((LMPMain!$O$9:$O$1000)=$C84)*(LMPMain!T$9:T$1000) ) +  ( SUMPRODUCT( ((Adders!$D$13:$D$101)=$E84)*((Adders!$E$13:$E$101)=$F84)*(Adders!H$13:H$101)) + VLOOKUP($H84,Adders!$B$5:$G$8,N$11,FALSE)  +  IL!$D$2 ) * IF($D84="NJ",1.07,1))/$L$10, CHOOSE($M$10,$L$9,$M$9) )</f>
        <v xml:space="preserve"> 28.73 </v>
      </c>
      <c r="O84" s="112"/>
    </row>
    <row r="85" spans="2:15" ht="15.75" thickBot="1" x14ac:dyDescent="0.3">
      <c r="B85" s="108"/>
      <c r="C85" s="135">
        <f t="shared" si="1"/>
        <v>42491</v>
      </c>
      <c r="D85" s="136" t="s">
        <v>25</v>
      </c>
      <c r="E85" s="137" t="s">
        <v>26</v>
      </c>
      <c r="F85" s="136" t="s">
        <v>28</v>
      </c>
      <c r="G85" s="137" t="str">
        <f t="shared" si="2"/>
        <v>100 - 400 kW</v>
      </c>
      <c r="H85" s="138" t="s">
        <v>690</v>
      </c>
      <c r="I85" s="176" t="str">
        <f>TEXT(   (SUMPRODUCT( ((Main!$H$9:$H$1000)=$E85)*((Main!$J$9:$J$1000)=$F85)*((Main!$O$9:$O$1000)=$C85)*(Main!R$9:R$1000) ) +  ( SUMPRODUCT( ((Adders!$D$13:$D$101)=$E85)*((Adders!$E$13:$E$101)=$F85)*(Adders!G$13:G$101)) + VLOOKUP($H85,Adders!$B$5:$G$8,L$11,FALSE)  +  IL!$D$2 ) * IF($D85="NJ",1.07,1))/$L$10, CHOOSE($M$10,$L$9,$M$9) )</f>
        <v xml:space="preserve"> 60.21 </v>
      </c>
      <c r="J85" s="176" t="str">
        <f>TEXT(   (SUMPRODUCT( ((Main!$H$9:$H$1000)=$E85)*((Main!$J$9:$J$1000)=$F85)*((Main!$O$9:$O$1000)=$C85)*(Main!S$9:S$1000) ) +  ( SUMPRODUCT( ((Adders!$D$13:$D$101)=$E85)*((Adders!$E$13:$E$101)=$F85)*(Adders!H$13:H$101)) + VLOOKUP($H85,Adders!$B$5:$G$8,M$11,FALSE)  +  IL!$D$2 ) * IF($D85="NJ",1.07,1))/$L$10, CHOOSE($M$10,$L$9,$M$9) )</f>
        <v xml:space="preserve"> 61.98 </v>
      </c>
      <c r="K85" s="177" t="str">
        <f>TEXT(   (SUMPRODUCT( ((Main!$H$9:$H$1000)=$E85)*((Main!$J$9:$J$1000)=$F85)*((Main!$O$9:$O$1000)=$C85)*(Main!T$9:T$1000) ) +  ( SUMPRODUCT( ((Adders!$D$13:$D$101)=$E85)*((Adders!$E$13:$E$101)=$F85)*(Adders!I$13:I$101)) + VLOOKUP($H85,Adders!$B$5:$G$8,N$11,FALSE)  +  IL!$D$2 ) * IF($D85="NJ",1.07,1))/$L$10, CHOOSE($M$10,$L$9,$M$9) )</f>
        <v xml:space="preserve"> 63.57 </v>
      </c>
      <c r="L85" s="176" t="str">
        <f>TEXT(   (SUMPRODUCT( ((LMPMain!$H$9:$H$1000)=$E85)*((LMPMain!$J$9:$J$1000)=$F85)*((LMPMain!$O$9:$O$1000)=$C85)*(LMPMain!R$9:R$1000) ) +  ( SUMPRODUCT( ((Adders!$D$13:$D$101)=$E85)*((Adders!$E$13:$E$101)=$F85)*(Adders!F$13:F$101)) + VLOOKUP($H85,Adders!$B$5:$G$8,L$11,FALSE)  +  IL!$D$2 ) * IF($D85="NJ",1.07,1))/$L$10, CHOOSE($M$10,$L$9,$M$9) )</f>
        <v xml:space="preserve"> 24.81 </v>
      </c>
      <c r="M85" s="176" t="str">
        <f>TEXT(   (SUMPRODUCT( ((LMPMain!$H$9:$H$1000)=$E85)*((LMPMain!$J$9:$J$1000)=$F85)*((LMPMain!$O$9:$O$1000)=$C85)*(LMPMain!S$9:S$1000) ) +  ( SUMPRODUCT( ((Adders!$D$13:$D$101)=$E85)*((Adders!$E$13:$E$101)=$F85)*(Adders!G$13:G$101)) + VLOOKUP($H85,Adders!$B$5:$G$8,M$11,FALSE)  +  IL!$D$2 ) * IF($D85="NJ",1.07,1))/$L$10, CHOOSE($M$10,$L$9,$M$9) )</f>
        <v xml:space="preserve"> 26.30 </v>
      </c>
      <c r="N85" s="177" t="str">
        <f>TEXT(   (SUMPRODUCT( ((LMPMain!$H$9:$H$1000)=$E85)*((LMPMain!$J$9:$J$1000)=$F85)*((LMPMain!$O$9:$O$1000)=$C85)*(LMPMain!T$9:T$1000) ) +  ( SUMPRODUCT( ((Adders!$D$13:$D$101)=$E85)*((Adders!$E$13:$E$101)=$F85)*(Adders!H$13:H$101)) + VLOOKUP($H85,Adders!$B$5:$G$8,N$11,FALSE)  +  IL!$D$2 ) * IF($D85="NJ",1.07,1))/$L$10, CHOOSE($M$10,$L$9,$M$9) )</f>
        <v xml:space="preserve"> 27.68 </v>
      </c>
      <c r="O85" s="112"/>
    </row>
    <row r="86" spans="2:15" s="2" customFormat="1" ht="7.5" customHeight="1" thickBot="1" x14ac:dyDescent="0.2">
      <c r="B86" s="5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7"/>
    </row>
    <row r="87" spans="2:15" s="2" customFormat="1" ht="15.75" x14ac:dyDescent="0.25">
      <c r="B87" s="5"/>
      <c r="C87" s="165" t="s">
        <v>739</v>
      </c>
      <c r="D87" s="3"/>
      <c r="E87" s="3"/>
      <c r="F87" s="3"/>
      <c r="G87" s="3"/>
      <c r="H87" s="3"/>
      <c r="I87" s="3"/>
      <c r="J87" s="3"/>
      <c r="K87" s="3"/>
      <c r="L87" s="3"/>
      <c r="M87" s="3"/>
      <c r="N87" s="4"/>
      <c r="O87" s="7"/>
    </row>
    <row r="88" spans="2:15" s="2" customFormat="1" ht="10.5" x14ac:dyDescent="0.15">
      <c r="B88" s="5"/>
      <c r="C88" s="5" t="s">
        <v>740</v>
      </c>
      <c r="D88" s="6"/>
      <c r="E88" s="6"/>
      <c r="F88" s="6"/>
      <c r="G88" s="6"/>
      <c r="H88" s="6"/>
      <c r="I88" s="6"/>
      <c r="J88" s="6"/>
      <c r="K88" s="6"/>
      <c r="L88" s="6"/>
      <c r="M88" s="6"/>
      <c r="N88" s="7"/>
      <c r="O88" s="7"/>
    </row>
    <row r="89" spans="2:15" s="2" customFormat="1" ht="10.5" x14ac:dyDescent="0.15">
      <c r="B89" s="5"/>
      <c r="C89" s="5" t="s">
        <v>741</v>
      </c>
      <c r="D89" s="6"/>
      <c r="E89" s="6"/>
      <c r="F89" s="6"/>
      <c r="G89" s="6"/>
      <c r="H89" s="6"/>
      <c r="I89" s="6"/>
      <c r="J89" s="6"/>
      <c r="K89" s="6"/>
      <c r="L89" s="6"/>
      <c r="M89" s="6"/>
      <c r="N89" s="7"/>
      <c r="O89" s="7"/>
    </row>
    <row r="90" spans="2:15" s="2" customFormat="1" ht="10.5" x14ac:dyDescent="0.15">
      <c r="B90" s="5"/>
      <c r="C90" s="5" t="s">
        <v>742</v>
      </c>
      <c r="D90" s="6"/>
      <c r="E90" s="6"/>
      <c r="F90" s="6"/>
      <c r="G90" s="6"/>
      <c r="H90" s="6"/>
      <c r="I90" s="6"/>
      <c r="J90" s="6"/>
      <c r="K90" s="6"/>
      <c r="L90" s="6"/>
      <c r="M90" s="6"/>
      <c r="N90" s="7"/>
      <c r="O90" s="7"/>
    </row>
    <row r="91" spans="2:15" s="2" customFormat="1" ht="10.5" x14ac:dyDescent="0.15">
      <c r="B91" s="5"/>
      <c r="C91" s="5" t="s">
        <v>743</v>
      </c>
      <c r="D91" s="6"/>
      <c r="E91" s="6"/>
      <c r="F91" s="6"/>
      <c r="G91" s="6"/>
      <c r="H91" s="6"/>
      <c r="I91" s="6"/>
      <c r="J91" s="6"/>
      <c r="K91" s="6"/>
      <c r="L91" s="6"/>
      <c r="M91" s="6"/>
      <c r="N91" s="7"/>
      <c r="O91" s="7"/>
    </row>
    <row r="92" spans="2:15" s="2" customFormat="1" ht="10.5" x14ac:dyDescent="0.15">
      <c r="B92" s="5"/>
      <c r="C92" s="5" t="s">
        <v>744</v>
      </c>
      <c r="D92" s="6"/>
      <c r="E92" s="6"/>
      <c r="F92" s="6"/>
      <c r="G92" s="6"/>
      <c r="H92" s="6"/>
      <c r="I92" s="6"/>
      <c r="J92" s="6"/>
      <c r="K92" s="6"/>
      <c r="L92" s="6"/>
      <c r="M92" s="6"/>
      <c r="N92" s="7"/>
      <c r="O92" s="7"/>
    </row>
    <row r="93" spans="2:15" s="2" customFormat="1" ht="10.5" x14ac:dyDescent="0.15">
      <c r="B93" s="5"/>
      <c r="C93" s="5" t="s">
        <v>745</v>
      </c>
      <c r="D93" s="6"/>
      <c r="E93" s="6"/>
      <c r="F93" s="6"/>
      <c r="G93" s="6"/>
      <c r="H93" s="6"/>
      <c r="I93" s="6"/>
      <c r="J93" s="6"/>
      <c r="K93" s="6"/>
      <c r="L93" s="6"/>
      <c r="M93" s="6"/>
      <c r="N93" s="7"/>
      <c r="O93" s="7"/>
    </row>
    <row r="94" spans="2:15" s="2" customFormat="1" ht="11.25" thickBot="1" x14ac:dyDescent="0.2">
      <c r="B94" s="5"/>
      <c r="C94" s="5" t="s">
        <v>746</v>
      </c>
      <c r="D94" s="6"/>
      <c r="E94" s="6"/>
      <c r="F94" s="6"/>
      <c r="G94" s="6"/>
      <c r="H94" s="6"/>
      <c r="I94" s="6"/>
      <c r="J94" s="6"/>
      <c r="K94" s="6"/>
      <c r="L94" s="6"/>
      <c r="M94" s="6"/>
      <c r="N94" s="199"/>
      <c r="O94" s="7"/>
    </row>
    <row r="95" spans="2:15" s="2" customFormat="1" ht="15.75" thickBot="1" x14ac:dyDescent="0.3">
      <c r="B95" s="5"/>
      <c r="C95" s="8" t="s">
        <v>19</v>
      </c>
      <c r="D95" s="9"/>
      <c r="E95" s="9"/>
      <c r="F95" s="9"/>
      <c r="G95" s="9"/>
      <c r="H95" s="9"/>
      <c r="I95" s="9"/>
      <c r="J95" s="9"/>
      <c r="K95" s="9"/>
      <c r="L95" s="9"/>
      <c r="M95" s="9"/>
      <c r="N95" s="10"/>
      <c r="O95" s="7"/>
    </row>
    <row r="96" spans="2:15" ht="15.75" thickBot="1" x14ac:dyDescent="0.3">
      <c r="B96" s="139"/>
      <c r="C96" s="140"/>
      <c r="D96" s="140"/>
      <c r="E96" s="140"/>
      <c r="F96" s="140"/>
      <c r="G96" s="140"/>
      <c r="H96" s="140"/>
      <c r="I96" s="140"/>
      <c r="J96" s="140"/>
      <c r="K96" s="140"/>
      <c r="L96" s="140"/>
      <c r="M96" s="140"/>
      <c r="N96" s="140"/>
      <c r="O96" s="141"/>
    </row>
  </sheetData>
  <sheetProtection algorithmName="SHA-512" hashValue="TOkCrKkXsx3bt4i3q6DE6rNpULq4yYHZ4/Vu092g5byydGH1d4u61OFC9R4DCIGYp+mQURfFCnllgP4/xzDwKg==" saltValue="HNZAr7jWlu9JSwAFwnNXFw==" spinCount="100000" sheet="1" scenarios="1" autoFilter="0"/>
  <autoFilter ref="C13:H13"/>
  <mergeCells count="3">
    <mergeCell ref="C6:F7"/>
    <mergeCell ref="C8:C9"/>
    <mergeCell ref="K2:L2"/>
  </mergeCells>
  <dataValidations disablePrompts="1" count="2">
    <dataValidation type="list" allowBlank="1" showInputMessage="1" showErrorMessage="1" sqref="K2:L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45" right="0.45" top="0.5" bottom="0.5" header="0.3" footer="0.3"/>
  <pageSetup scale="67" fitToHeight="3" orientation="portrait" r:id="rId1"/>
  <headerFooter>
    <oddFooter>Page &amp;P of &amp;N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249977111117893"/>
    <pageSetUpPr fitToPage="1"/>
  </sheetPr>
  <dimension ref="B1:O276"/>
  <sheetViews>
    <sheetView showGridLines="0" zoomScale="70" zoomScaleNormal="70" workbookViewId="0">
      <pane ySplit="13" topLeftCell="A149" activePane="bottomLeft" state="frozen"/>
      <selection activeCell="A2" sqref="A2:F2"/>
      <selection pane="bottomLeft" activeCell="G10" sqref="G10"/>
    </sheetView>
  </sheetViews>
  <sheetFormatPr defaultRowHeight="15" x14ac:dyDescent="0.25"/>
  <cols>
    <col min="1" max="1" width="3.83203125" style="100" customWidth="1"/>
    <col min="2" max="2" width="2.5" style="100" customWidth="1"/>
    <col min="3" max="3" width="25.33203125" style="100" customWidth="1"/>
    <col min="4" max="5" width="14.5" style="100" customWidth="1"/>
    <col min="6" max="6" width="43.5" style="100" customWidth="1"/>
    <col min="7" max="7" width="26.5" style="100" customWidth="1"/>
    <col min="8" max="8" width="20.33203125" style="100" customWidth="1"/>
    <col min="9" max="9" width="13.33203125" style="100" customWidth="1"/>
    <col min="10" max="10" width="13.1640625" style="100" customWidth="1"/>
    <col min="11" max="11" width="12.33203125" style="100" customWidth="1"/>
    <col min="12" max="13" width="11.5" style="100" customWidth="1"/>
    <col min="14" max="14" width="13" style="100" customWidth="1"/>
    <col min="15" max="15" width="2.5" style="100" customWidth="1"/>
    <col min="16" max="16" width="3.83203125" style="100" customWidth="1"/>
    <col min="17" max="16384" width="9.33203125" style="100"/>
  </cols>
  <sheetData>
    <row r="1" spans="2:15" ht="5.25" customHeight="1" x14ac:dyDescent="0.25"/>
    <row r="2" spans="2:15" s="101" customFormat="1" ht="18.75" x14ac:dyDescent="0.3">
      <c r="C2" s="102" t="s">
        <v>56</v>
      </c>
      <c r="D2" s="11">
        <v>0</v>
      </c>
      <c r="E2" s="103" t="s">
        <v>98</v>
      </c>
      <c r="M2" s="216" t="s">
        <v>691</v>
      </c>
      <c r="N2" s="217"/>
      <c r="O2" s="103" t="s">
        <v>98</v>
      </c>
    </row>
    <row r="3" spans="2:15" ht="5.25" customHeight="1" thickBot="1" x14ac:dyDescent="0.3">
      <c r="B3" s="104"/>
    </row>
    <row r="4" spans="2:15" ht="5.25" customHeight="1" x14ac:dyDescent="0.25"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7"/>
    </row>
    <row r="5" spans="2:15" ht="26.25" x14ac:dyDescent="0.4">
      <c r="B5" s="108"/>
      <c r="C5" s="169"/>
      <c r="D5" s="169"/>
      <c r="E5" s="169"/>
      <c r="F5" s="169"/>
      <c r="G5" s="110"/>
      <c r="H5" s="110"/>
      <c r="I5" s="110"/>
      <c r="J5" s="110"/>
      <c r="K5" s="110"/>
      <c r="L5" s="110"/>
      <c r="M5" s="111"/>
      <c r="N5" s="111"/>
      <c r="O5" s="112"/>
    </row>
    <row r="6" spans="2:15" ht="11.25" customHeight="1" x14ac:dyDescent="0.25">
      <c r="B6" s="108"/>
      <c r="C6" s="215" t="s">
        <v>747</v>
      </c>
      <c r="D6" s="215"/>
      <c r="E6" s="215"/>
      <c r="F6" s="215"/>
      <c r="G6" s="110"/>
      <c r="H6" s="110"/>
      <c r="I6" s="110"/>
      <c r="J6" s="110"/>
      <c r="K6" s="110"/>
      <c r="L6" s="110"/>
      <c r="M6" s="111"/>
      <c r="N6" s="111"/>
      <c r="O6" s="112"/>
    </row>
    <row r="7" spans="2:15" ht="11.25" customHeight="1" x14ac:dyDescent="0.25">
      <c r="B7" s="108"/>
      <c r="C7" s="215"/>
      <c r="D7" s="215"/>
      <c r="E7" s="215"/>
      <c r="F7" s="215"/>
      <c r="G7" s="113"/>
      <c r="H7" s="113"/>
      <c r="I7" s="113"/>
      <c r="J7" s="113"/>
      <c r="K7" s="113"/>
      <c r="L7" s="113"/>
      <c r="M7" s="111"/>
      <c r="N7" s="111"/>
      <c r="O7" s="112"/>
    </row>
    <row r="8" spans="2:15" x14ac:dyDescent="0.25">
      <c r="B8" s="108"/>
      <c r="C8" s="214">
        <f>Main!$K$2</f>
        <v>42129</v>
      </c>
      <c r="D8" s="111"/>
      <c r="E8" s="110"/>
      <c r="F8" s="113"/>
      <c r="G8" s="143"/>
      <c r="H8" s="113"/>
      <c r="I8" s="113"/>
      <c r="J8" s="113"/>
      <c r="K8" s="113"/>
      <c r="L8" s="143"/>
      <c r="M8" s="111"/>
      <c r="N8" s="111"/>
      <c r="O8" s="112"/>
    </row>
    <row r="9" spans="2:15" ht="10.5" customHeight="1" x14ac:dyDescent="0.25">
      <c r="B9" s="108"/>
      <c r="C9" s="214"/>
      <c r="D9" s="116"/>
      <c r="E9" s="116"/>
      <c r="F9" s="113"/>
      <c r="G9" s="113"/>
      <c r="H9" s="113"/>
      <c r="I9" s="113"/>
      <c r="J9" s="113"/>
      <c r="K9" s="113"/>
      <c r="L9" s="117" t="s">
        <v>101</v>
      </c>
      <c r="M9" s="118" t="s">
        <v>102</v>
      </c>
      <c r="N9" s="111"/>
      <c r="O9" s="112"/>
    </row>
    <row r="10" spans="2:15" ht="18" x14ac:dyDescent="0.25">
      <c r="B10" s="108"/>
      <c r="C10" s="114" t="s">
        <v>0</v>
      </c>
      <c r="D10" s="116"/>
      <c r="E10" s="116"/>
      <c r="F10" s="113"/>
      <c r="G10" s="113"/>
      <c r="H10" s="120"/>
      <c r="I10" s="120"/>
      <c r="J10" s="120"/>
      <c r="K10" s="120"/>
      <c r="L10" s="120">
        <f>IF(NJ!M2="Prices in $/kWh",1000,1)</f>
        <v>1</v>
      </c>
      <c r="M10" s="121">
        <f>IF(NJ!M2="Prices in $/kWh",2,1)</f>
        <v>1</v>
      </c>
      <c r="N10" s="121"/>
      <c r="O10" s="112"/>
    </row>
    <row r="11" spans="2:15" ht="10.5" customHeight="1" thickBot="1" x14ac:dyDescent="0.3">
      <c r="B11" s="108"/>
      <c r="C11" s="111"/>
      <c r="D11" s="111"/>
      <c r="E11" s="111"/>
      <c r="F11" s="113"/>
      <c r="G11" s="113"/>
      <c r="H11" s="121"/>
      <c r="I11" s="121"/>
      <c r="J11" s="121"/>
      <c r="K11" s="121"/>
      <c r="L11" s="121">
        <v>3</v>
      </c>
      <c r="M11" s="121">
        <v>4</v>
      </c>
      <c r="N11" s="121">
        <v>5</v>
      </c>
      <c r="O11" s="112"/>
    </row>
    <row r="12" spans="2:15" ht="18.75" thickBot="1" x14ac:dyDescent="0.3">
      <c r="B12" s="108"/>
      <c r="C12" s="114" t="s">
        <v>53</v>
      </c>
      <c r="D12" s="111"/>
      <c r="E12" s="111"/>
      <c r="F12" s="111"/>
      <c r="G12" s="111"/>
      <c r="H12" s="111"/>
      <c r="I12" s="193" t="str">
        <f>IF(NJ!M2="Prices in $/kWh","Contract Term (months) - $/kWh","Contract Term (months) - $/MWh")</f>
        <v>Contract Term (months) - $/MWh</v>
      </c>
      <c r="J12" s="194"/>
      <c r="K12" s="194"/>
      <c r="L12" s="195" t="str">
        <f>IF(NJ!M2="Prices in $/kWh","Contract Term (months) - $/kWh","Contract Term (months) - $/MWh")</f>
        <v>Contract Term (months) - $/MWh</v>
      </c>
      <c r="M12" s="196"/>
      <c r="N12" s="197"/>
      <c r="O12" s="112"/>
    </row>
    <row r="13" spans="2:15" ht="25.5" customHeight="1" x14ac:dyDescent="0.25">
      <c r="B13" s="108"/>
      <c r="C13" s="124" t="s">
        <v>1</v>
      </c>
      <c r="D13" s="124" t="s">
        <v>2</v>
      </c>
      <c r="E13" s="124" t="s">
        <v>3</v>
      </c>
      <c r="F13" s="124" t="s">
        <v>4</v>
      </c>
      <c r="G13" s="124" t="s">
        <v>95</v>
      </c>
      <c r="H13" s="124" t="s">
        <v>57</v>
      </c>
      <c r="I13" s="125" t="s">
        <v>58</v>
      </c>
      <c r="J13" s="125" t="s">
        <v>59</v>
      </c>
      <c r="K13" s="126" t="s">
        <v>60</v>
      </c>
      <c r="L13" s="125" t="s">
        <v>58</v>
      </c>
      <c r="M13" s="125" t="s">
        <v>59</v>
      </c>
      <c r="N13" s="126" t="s">
        <v>60</v>
      </c>
      <c r="O13" s="112"/>
    </row>
    <row r="14" spans="2:15" x14ac:dyDescent="0.25">
      <c r="B14" s="108"/>
      <c r="C14" s="127">
        <f>Main!K5</f>
        <v>42156</v>
      </c>
      <c r="D14" s="128" t="s">
        <v>31</v>
      </c>
      <c r="E14" s="129" t="s">
        <v>32</v>
      </c>
      <c r="F14" s="128" t="s">
        <v>33</v>
      </c>
      <c r="G14" s="129" t="str">
        <f>VLOOKUP(SUMPRODUCT( ((LMPMain!$H$9:$H$1000)=$E14)*((LMPMain!$J$9:$J$1000)=$F14)*((LMPMain!$O$9:$O$1000)=$C14)*(LMPMain!A$9:A$1000)),LMPMain!$A$9:$K$1000,11,FALSE)</f>
        <v>Mthly Gen. Service</v>
      </c>
      <c r="H14" s="130" t="s">
        <v>61</v>
      </c>
      <c r="I14" s="178" t="str">
        <f>TEXT(   (SUMPRODUCT( ((Main!$H$9:$H$1000)=$E14)*((Main!$J$9:$J$1000)=$F14)*((Main!$O$9:$O$1000)=$C14)*(Main!R$9:R$1000) ) +  ( SUMPRODUCT( ((Adders!$D$13:$D$101)=$E14)*((Adders!$E$13:$E$101)=$F14)*(Adders!G$13:G$101)) + VLOOKUP($H14,Adders!$B$5:$G$8,L$11,FALSE)  +  NJ!$D$2 ) * IF($D14="NJ",1.07,1))/$L$10, CHOOSE($M$10,$L$9,$M$9) )</f>
        <v xml:space="preserve"> 99.81 </v>
      </c>
      <c r="J14" s="178" t="str">
        <f>TEXT(   (SUMPRODUCT( ((Main!$H$9:$H$1000)=$E14)*((Main!$J$9:$J$1000)=$F14)*((Main!$O$9:$O$1000)=$C14)*(Main!S$9:S$1000) ) +  ( SUMPRODUCT( ((Adders!$D$13:$D$101)=$E14)*((Adders!$E$13:$E$101)=$F14)*(Adders!H$13:H$101)) + VLOOKUP($H14,Adders!$B$5:$G$8,M$11,FALSE)  +  NJ!$D$2 ) * IF($D14="NJ",1.07,1))/$L$10, CHOOSE($M$10,$L$9,$M$9) )</f>
        <v xml:space="preserve"> 96.63 </v>
      </c>
      <c r="K14" s="179" t="str">
        <f>TEXT(   (SUMPRODUCT( ((Main!$H$9:$H$1000)=$E14)*((Main!$J$9:$J$1000)=$F14)*((Main!$O$9:$O$1000)=$C14)*(Main!T$9:T$1000) ) +  ( SUMPRODUCT( ((Adders!$D$13:$D$101)=$E14)*((Adders!$E$13:$E$101)=$F14)*(Adders!I$13:I$101)) + VLOOKUP($H14,Adders!$B$5:$G$8,N$11,FALSE)  +  NJ!$D$2 ) * IF($D14="NJ",1.07,1))/$L$10, CHOOSE($M$10,$L$9,$M$9) )</f>
        <v xml:space="preserve"> 97.85 </v>
      </c>
      <c r="L14" s="178" t="str">
        <f>TEXT(   (SUMPRODUCT( ((LMPMain!$H$9:$H$1000)=$E14)*((LMPMain!$J$9:$J$1000)=$F14)*((LMPMain!$O$9:$O$1000)=$C14)*(LMPMain!R$9:R$1000) ) +  ( SUMPRODUCT( ((Adders!$D$13:$D$101)=$E14)*((Adders!$E$13:$E$101)=$F14)*(Adders!G$13:G$101)) + VLOOKUP($H14,Adders!$B$5:$G$8,L$11,FALSE)  +  NJ!$D$2 ) * IF($D14="NJ",1.07,1))/$L$10, CHOOSE($M$10,$L$9,$M$9) )</f>
        <v xml:space="preserve"> 55.39 </v>
      </c>
      <c r="M14" s="178" t="str">
        <f>TEXT(   (SUMPRODUCT( ((LMPMain!$H$9:$H$1000)=$E14)*((LMPMain!$J$9:$J$1000)=$F14)*((LMPMain!$O$9:$O$1000)=$C14)*(LMPMain!S$9:S$1000) ) +  ( SUMPRODUCT( ((Adders!$D$13:$D$101)=$E14)*((Adders!$E$13:$E$101)=$F14)*(Adders!H$13:H$101)) + VLOOKUP($H14,Adders!$B$5:$G$8,M$11,FALSE)  +  NJ!$D$2 ) * IF($D14="NJ",1.07,1))/$L$10, CHOOSE($M$10,$L$9,$M$9) )</f>
        <v xml:space="preserve"> 52.94 </v>
      </c>
      <c r="N14" s="179" t="str">
        <f>TEXT(   (SUMPRODUCT( ((LMPMain!$H$9:$H$1000)=$E14)*((LMPMain!$J$9:$J$1000)=$F14)*((LMPMain!$O$9:$O$1000)=$C14)*(LMPMain!T$9:T$1000) ) +  ( SUMPRODUCT( ((Adders!$D$13:$D$101)=$E14)*((Adders!$E$13:$E$101)=$F14)*(Adders!I$13:I$101)) + VLOOKUP($H14,Adders!$B$5:$G$8,N$11,FALSE)  +  NJ!$D$2 ) * IF($D14="NJ",1.07,1))/$L$10, CHOOSE($M$10,$L$9,$M$9) )</f>
        <v xml:space="preserve"> 53.54 </v>
      </c>
      <c r="O14" s="112"/>
    </row>
    <row r="15" spans="2:15" x14ac:dyDescent="0.25">
      <c r="B15" s="108"/>
      <c r="C15" s="131">
        <f>+C14</f>
        <v>42156</v>
      </c>
      <c r="D15" s="132" t="s">
        <v>31</v>
      </c>
      <c r="E15" s="133" t="s">
        <v>32</v>
      </c>
      <c r="F15" s="132" t="s">
        <v>33</v>
      </c>
      <c r="G15" s="133" t="str">
        <f>G14</f>
        <v>Mthly Gen. Service</v>
      </c>
      <c r="H15" s="134" t="s">
        <v>62</v>
      </c>
      <c r="I15" s="173" t="str">
        <f>TEXT(   (SUMPRODUCT( ((Main!$H$9:$H$1000)=$E15)*((Main!$J$9:$J$1000)=$F15)*((Main!$O$9:$O$1000)=$C15)*(Main!R$9:R$1000) ) +  ( SUMPRODUCT( ((Adders!$D$13:$D$101)=$E15)*((Adders!$E$13:$E$101)=$F15)*(Adders!G$13:G$101)) + VLOOKUP($H15,Adders!$B$5:$G$8,L$11,FALSE)  +  NJ!$D$2 ) * IF($D15="NJ",1.07,1))/$L$10, CHOOSE($M$10,$L$9,$M$9) )</f>
        <v xml:space="preserve"> 98.10 </v>
      </c>
      <c r="J15" s="173" t="str">
        <f>TEXT(   (SUMPRODUCT( ((Main!$H$9:$H$1000)=$E15)*((Main!$J$9:$J$1000)=$F15)*((Main!$O$9:$O$1000)=$C15)*(Main!S$9:S$1000) ) +  ( SUMPRODUCT( ((Adders!$D$13:$D$101)=$E15)*((Adders!$E$13:$E$101)=$F15)*(Adders!H$13:H$101)) + VLOOKUP($H15,Adders!$B$5:$G$8,M$11,FALSE)  +  NJ!$D$2 ) * IF($D15="NJ",1.07,1))/$L$10, CHOOSE($M$10,$L$9,$M$9) )</f>
        <v xml:space="preserve"> 94.92 </v>
      </c>
      <c r="K15" s="174" t="str">
        <f>TEXT(   (SUMPRODUCT( ((Main!$H$9:$H$1000)=$E15)*((Main!$J$9:$J$1000)=$F15)*((Main!$O$9:$O$1000)=$C15)*(Main!T$9:T$1000) ) +  ( SUMPRODUCT( ((Adders!$D$13:$D$101)=$E15)*((Adders!$E$13:$E$101)=$F15)*(Adders!I$13:I$101)) + VLOOKUP($H15,Adders!$B$5:$G$8,N$11,FALSE)  +  NJ!$D$2 ) * IF($D15="NJ",1.07,1))/$L$10, CHOOSE($M$10,$L$9,$M$9) )</f>
        <v xml:space="preserve"> 96.14 </v>
      </c>
      <c r="L15" s="173" t="str">
        <f>TEXT(   (SUMPRODUCT( ((LMPMain!$H$9:$H$1000)=$E15)*((LMPMain!$J$9:$J$1000)=$F15)*((LMPMain!$O$9:$O$1000)=$C15)*(LMPMain!R$9:R$1000) ) +  ( SUMPRODUCT( ((Adders!$D$13:$D$101)=$E15)*((Adders!$E$13:$E$101)=$F15)*(Adders!G$13:G$101)) + VLOOKUP($H15,Adders!$B$5:$G$8,L$11,FALSE)  +  NJ!$D$2 ) * IF($D15="NJ",1.07,1))/$L$10, CHOOSE($M$10,$L$9,$M$9) )</f>
        <v xml:space="preserve"> 53.68 </v>
      </c>
      <c r="M15" s="173" t="str">
        <f>TEXT(   (SUMPRODUCT( ((LMPMain!$H$9:$H$1000)=$E15)*((LMPMain!$J$9:$J$1000)=$F15)*((LMPMain!$O$9:$O$1000)=$C15)*(LMPMain!S$9:S$1000) ) +  ( SUMPRODUCT( ((Adders!$D$13:$D$101)=$E15)*((Adders!$E$13:$E$101)=$F15)*(Adders!H$13:H$101)) + VLOOKUP($H15,Adders!$B$5:$G$8,M$11,FALSE)  +  NJ!$D$2 ) * IF($D15="NJ",1.07,1))/$L$10, CHOOSE($M$10,$L$9,$M$9) )</f>
        <v xml:space="preserve"> 51.23 </v>
      </c>
      <c r="N15" s="174" t="str">
        <f>TEXT(   (SUMPRODUCT( ((LMPMain!$H$9:$H$1000)=$E15)*((LMPMain!$J$9:$J$1000)=$F15)*((LMPMain!$O$9:$O$1000)=$C15)*(LMPMain!T$9:T$1000) ) +  ( SUMPRODUCT( ((Adders!$D$13:$D$101)=$E15)*((Adders!$E$13:$E$101)=$F15)*(Adders!I$13:I$101)) + VLOOKUP($H15,Adders!$B$5:$G$8,N$11,FALSE)  +  NJ!$D$2 ) * IF($D15="NJ",1.07,1))/$L$10, CHOOSE($M$10,$L$9,$M$9) )</f>
        <v xml:space="preserve"> 51.83 </v>
      </c>
      <c r="O15" s="112"/>
    </row>
    <row r="16" spans="2:15" x14ac:dyDescent="0.25">
      <c r="B16" s="108"/>
      <c r="C16" s="135">
        <f>+C15</f>
        <v>42156</v>
      </c>
      <c r="D16" s="136" t="s">
        <v>31</v>
      </c>
      <c r="E16" s="137" t="s">
        <v>32</v>
      </c>
      <c r="F16" s="136" t="s">
        <v>33</v>
      </c>
      <c r="G16" s="137" t="str">
        <f>G15</f>
        <v>Mthly Gen. Service</v>
      </c>
      <c r="H16" s="138" t="s">
        <v>690</v>
      </c>
      <c r="I16" s="176" t="str">
        <f>TEXT(   (SUMPRODUCT( ((Main!$H$9:$H$1000)=$E16)*((Main!$J$9:$J$1000)=$F16)*((Main!$O$9:$O$1000)=$C16)*(Main!R$9:R$1000) ) +  ( SUMPRODUCT( ((Adders!$D$13:$D$101)=$E16)*((Adders!$E$13:$E$101)=$F16)*(Adders!G$13:G$101)) + VLOOKUP($H16,Adders!$B$5:$G$8,L$11,FALSE)  +  NJ!$D$2 ) * IF($D16="NJ",1.07,1))/$L$10, CHOOSE($M$10,$L$9,$M$9) )</f>
        <v xml:space="preserve"> 96.98 </v>
      </c>
      <c r="J16" s="176" t="str">
        <f>TEXT(   (SUMPRODUCT( ((Main!$H$9:$H$1000)=$E16)*((Main!$J$9:$J$1000)=$F16)*((Main!$O$9:$O$1000)=$C16)*(Main!S$9:S$1000) ) +  ( SUMPRODUCT( ((Adders!$D$13:$D$101)=$E16)*((Adders!$E$13:$E$101)=$F16)*(Adders!H$13:H$101)) + VLOOKUP($H16,Adders!$B$5:$G$8,M$11,FALSE)  +  NJ!$D$2 ) * IF($D16="NJ",1.07,1))/$L$10, CHOOSE($M$10,$L$9,$M$9) )</f>
        <v xml:space="preserve"> 93.80 </v>
      </c>
      <c r="K16" s="177" t="str">
        <f>TEXT(   (SUMPRODUCT( ((Main!$H$9:$H$1000)=$E16)*((Main!$J$9:$J$1000)=$F16)*((Main!$O$9:$O$1000)=$C16)*(Main!T$9:T$1000) ) +  ( SUMPRODUCT( ((Adders!$D$13:$D$101)=$E16)*((Adders!$E$13:$E$101)=$F16)*(Adders!I$13:I$101)) + VLOOKUP($H16,Adders!$B$5:$G$8,N$11,FALSE)  +  NJ!$D$2 ) * IF($D16="NJ",1.07,1))/$L$10, CHOOSE($M$10,$L$9,$M$9) )</f>
        <v xml:space="preserve"> 95.02 </v>
      </c>
      <c r="L16" s="176" t="str">
        <f>TEXT(   (SUMPRODUCT( ((LMPMain!$H$9:$H$1000)=$E16)*((LMPMain!$J$9:$J$1000)=$F16)*((LMPMain!$O$9:$O$1000)=$C16)*(LMPMain!R$9:R$1000) ) +  ( SUMPRODUCT( ((Adders!$D$13:$D$101)=$E16)*((Adders!$E$13:$E$101)=$F16)*(Adders!G$13:G$101)) + VLOOKUP($H16,Adders!$B$5:$G$8,L$11,FALSE)  +  NJ!$D$2 ) * IF($D16="NJ",1.07,1))/$L$10, CHOOSE($M$10,$L$9,$M$9) )</f>
        <v xml:space="preserve"> 52.56 </v>
      </c>
      <c r="M16" s="176" t="str">
        <f>TEXT(   (SUMPRODUCT( ((LMPMain!$H$9:$H$1000)=$E16)*((LMPMain!$J$9:$J$1000)=$F16)*((LMPMain!$O$9:$O$1000)=$C16)*(LMPMain!S$9:S$1000) ) +  ( SUMPRODUCT( ((Adders!$D$13:$D$101)=$E16)*((Adders!$E$13:$E$101)=$F16)*(Adders!H$13:H$101)) + VLOOKUP($H16,Adders!$B$5:$G$8,M$11,FALSE)  +  NJ!$D$2 ) * IF($D16="NJ",1.07,1))/$L$10, CHOOSE($M$10,$L$9,$M$9) )</f>
        <v xml:space="preserve"> 50.11 </v>
      </c>
      <c r="N16" s="177" t="str">
        <f>TEXT(   (SUMPRODUCT( ((LMPMain!$H$9:$H$1000)=$E16)*((LMPMain!$J$9:$J$1000)=$F16)*((LMPMain!$O$9:$O$1000)=$C16)*(LMPMain!T$9:T$1000) ) +  ( SUMPRODUCT( ((Adders!$D$13:$D$101)=$E16)*((Adders!$E$13:$E$101)=$F16)*(Adders!I$13:I$101)) + VLOOKUP($H16,Adders!$B$5:$G$8,N$11,FALSE)  +  NJ!$D$2 ) * IF($D16="NJ",1.07,1))/$L$10, CHOOSE($M$10,$L$9,$M$9) )</f>
        <v xml:space="preserve"> 50.70 </v>
      </c>
      <c r="O16" s="112"/>
    </row>
    <row r="17" spans="2:15" x14ac:dyDescent="0.25">
      <c r="B17" s="108"/>
      <c r="C17" s="127">
        <f>DATE(YEAR(C16),MONTH(C16)+1,0)+1</f>
        <v>42186</v>
      </c>
      <c r="D17" s="128" t="s">
        <v>31</v>
      </c>
      <c r="E17" s="129" t="s">
        <v>32</v>
      </c>
      <c r="F17" s="128" t="s">
        <v>33</v>
      </c>
      <c r="G17" s="129" t="str">
        <f t="shared" ref="G17:G49" si="0">G16</f>
        <v>Mthly Gen. Service</v>
      </c>
      <c r="H17" s="130" t="s">
        <v>61</v>
      </c>
      <c r="I17" s="178" t="str">
        <f>TEXT(   (SUMPRODUCT( ((Main!$H$9:$H$1000)=$E17)*((Main!$J$9:$J$1000)=$F17)*((Main!$O$9:$O$1000)=$C17)*(Main!R$9:R$1000) ) +  ( SUMPRODUCT( ((Adders!$D$13:$D$101)=$E17)*((Adders!$E$13:$E$101)=$F17)*(Adders!G$13:G$101)) + VLOOKUP($H17,Adders!$B$5:$G$8,L$11,FALSE)  +  NJ!$D$2 ) * IF($D17="NJ",1.07,1))/$L$10, CHOOSE($M$10,$L$9,$M$9) )</f>
        <v xml:space="preserve"> 99.62 </v>
      </c>
      <c r="J17" s="178" t="str">
        <f>TEXT(   (SUMPRODUCT( ((Main!$H$9:$H$1000)=$E17)*((Main!$J$9:$J$1000)=$F17)*((Main!$O$9:$O$1000)=$C17)*(Main!S$9:S$1000) ) +  ( SUMPRODUCT( ((Adders!$D$13:$D$101)=$E17)*((Adders!$E$13:$E$101)=$F17)*(Adders!H$13:H$101)) + VLOOKUP($H17,Adders!$B$5:$G$8,M$11,FALSE)  +  NJ!$D$2 ) * IF($D17="NJ",1.07,1))/$L$10, CHOOSE($M$10,$L$9,$M$9) )</f>
        <v xml:space="preserve"> 96.80 </v>
      </c>
      <c r="K17" s="179" t="str">
        <f>TEXT(   (SUMPRODUCT( ((Main!$H$9:$H$1000)=$E17)*((Main!$J$9:$J$1000)=$F17)*((Main!$O$9:$O$1000)=$C17)*(Main!T$9:T$1000) ) +  ( SUMPRODUCT( ((Adders!$D$13:$D$101)=$E17)*((Adders!$E$13:$E$101)=$F17)*(Adders!I$13:I$101)) + VLOOKUP($H17,Adders!$B$5:$G$8,N$11,FALSE)  +  NJ!$D$2 ) * IF($D17="NJ",1.07,1))/$L$10, CHOOSE($M$10,$L$9,$M$9) )</f>
        <v xml:space="preserve"> 97.82 </v>
      </c>
      <c r="L17" s="178" t="str">
        <f>TEXT(   (SUMPRODUCT( ((LMPMain!$H$9:$H$1000)=$E17)*((LMPMain!$J$9:$J$1000)=$F17)*((LMPMain!$O$9:$O$1000)=$C17)*(LMPMain!R$9:R$1000) ) +  ( SUMPRODUCT( ((Adders!$D$13:$D$101)=$E17)*((Adders!$E$13:$E$101)=$F17)*(Adders!G$13:G$101)) + VLOOKUP($H17,Adders!$B$5:$G$8,L$11,FALSE)  +  NJ!$D$2 ) * IF($D17="NJ",1.07,1))/$L$10, CHOOSE($M$10,$L$9,$M$9) )</f>
        <v xml:space="preserve"> 55.09 </v>
      </c>
      <c r="M17" s="178" t="str">
        <f>TEXT(   (SUMPRODUCT( ((LMPMain!$H$9:$H$1000)=$E17)*((LMPMain!$J$9:$J$1000)=$F17)*((LMPMain!$O$9:$O$1000)=$C17)*(LMPMain!S$9:S$1000) ) +  ( SUMPRODUCT( ((Adders!$D$13:$D$101)=$E17)*((Adders!$E$13:$E$101)=$F17)*(Adders!H$13:H$101)) + VLOOKUP($H17,Adders!$B$5:$G$8,M$11,FALSE)  +  NJ!$D$2 ) * IF($D17="NJ",1.07,1))/$L$10, CHOOSE($M$10,$L$9,$M$9) )</f>
        <v xml:space="preserve"> 53.14 </v>
      </c>
      <c r="N17" s="179" t="str">
        <f>TEXT(   (SUMPRODUCT( ((LMPMain!$H$9:$H$1000)=$E17)*((LMPMain!$J$9:$J$1000)=$F17)*((LMPMain!$O$9:$O$1000)=$C17)*(LMPMain!T$9:T$1000) ) +  ( SUMPRODUCT( ((Adders!$D$13:$D$101)=$E17)*((Adders!$E$13:$E$101)=$F17)*(Adders!I$13:I$101)) + VLOOKUP($H17,Adders!$B$5:$G$8,N$11,FALSE)  +  NJ!$D$2 ) * IF($D17="NJ",1.07,1))/$L$10, CHOOSE($M$10,$L$9,$M$9) )</f>
        <v xml:space="preserve"> 53.41 </v>
      </c>
      <c r="O17" s="112"/>
    </row>
    <row r="18" spans="2:15" x14ac:dyDescent="0.25">
      <c r="B18" s="108"/>
      <c r="C18" s="131">
        <f>+C17</f>
        <v>42186</v>
      </c>
      <c r="D18" s="132" t="s">
        <v>31</v>
      </c>
      <c r="E18" s="133" t="s">
        <v>32</v>
      </c>
      <c r="F18" s="132" t="s">
        <v>33</v>
      </c>
      <c r="G18" s="133" t="str">
        <f t="shared" si="0"/>
        <v>Mthly Gen. Service</v>
      </c>
      <c r="H18" s="134" t="s">
        <v>62</v>
      </c>
      <c r="I18" s="173" t="str">
        <f>TEXT(   (SUMPRODUCT( ((Main!$H$9:$H$1000)=$E18)*((Main!$J$9:$J$1000)=$F18)*((Main!$O$9:$O$1000)=$C18)*(Main!R$9:R$1000) ) +  ( SUMPRODUCT( ((Adders!$D$13:$D$101)=$E18)*((Adders!$E$13:$E$101)=$F18)*(Adders!G$13:G$101)) + VLOOKUP($H18,Adders!$B$5:$G$8,L$11,FALSE)  +  NJ!$D$2 ) * IF($D18="NJ",1.07,1))/$L$10, CHOOSE($M$10,$L$9,$M$9) )</f>
        <v xml:space="preserve"> 97.91 </v>
      </c>
      <c r="J18" s="173" t="str">
        <f>TEXT(   (SUMPRODUCT( ((Main!$H$9:$H$1000)=$E18)*((Main!$J$9:$J$1000)=$F18)*((Main!$O$9:$O$1000)=$C18)*(Main!S$9:S$1000) ) +  ( SUMPRODUCT( ((Adders!$D$13:$D$101)=$E18)*((Adders!$E$13:$E$101)=$F18)*(Adders!H$13:H$101)) + VLOOKUP($H18,Adders!$B$5:$G$8,M$11,FALSE)  +  NJ!$D$2 ) * IF($D18="NJ",1.07,1))/$L$10, CHOOSE($M$10,$L$9,$M$9) )</f>
        <v xml:space="preserve"> 95.09 </v>
      </c>
      <c r="K18" s="174" t="str">
        <f>TEXT(   (SUMPRODUCT( ((Main!$H$9:$H$1000)=$E18)*((Main!$J$9:$J$1000)=$F18)*((Main!$O$9:$O$1000)=$C18)*(Main!T$9:T$1000) ) +  ( SUMPRODUCT( ((Adders!$D$13:$D$101)=$E18)*((Adders!$E$13:$E$101)=$F18)*(Adders!I$13:I$101)) + VLOOKUP($H18,Adders!$B$5:$G$8,N$11,FALSE)  +  NJ!$D$2 ) * IF($D18="NJ",1.07,1))/$L$10, CHOOSE($M$10,$L$9,$M$9) )</f>
        <v xml:space="preserve"> 96.11 </v>
      </c>
      <c r="L18" s="173" t="str">
        <f>TEXT(   (SUMPRODUCT( ((LMPMain!$H$9:$H$1000)=$E18)*((LMPMain!$J$9:$J$1000)=$F18)*((LMPMain!$O$9:$O$1000)=$C18)*(LMPMain!R$9:R$1000) ) +  ( SUMPRODUCT( ((Adders!$D$13:$D$101)=$E18)*((Adders!$E$13:$E$101)=$F18)*(Adders!G$13:G$101)) + VLOOKUP($H18,Adders!$B$5:$G$8,L$11,FALSE)  +  NJ!$D$2 ) * IF($D18="NJ",1.07,1))/$L$10, CHOOSE($M$10,$L$9,$M$9) )</f>
        <v xml:space="preserve"> 53.38 </v>
      </c>
      <c r="M18" s="173" t="str">
        <f>TEXT(   (SUMPRODUCT( ((LMPMain!$H$9:$H$1000)=$E18)*((LMPMain!$J$9:$J$1000)=$F18)*((LMPMain!$O$9:$O$1000)=$C18)*(LMPMain!S$9:S$1000) ) +  ( SUMPRODUCT( ((Adders!$D$13:$D$101)=$E18)*((Adders!$E$13:$E$101)=$F18)*(Adders!H$13:H$101)) + VLOOKUP($H18,Adders!$B$5:$G$8,M$11,FALSE)  +  NJ!$D$2 ) * IF($D18="NJ",1.07,1))/$L$10, CHOOSE($M$10,$L$9,$M$9) )</f>
        <v xml:space="preserve"> 51.43 </v>
      </c>
      <c r="N18" s="174" t="str">
        <f>TEXT(   (SUMPRODUCT( ((LMPMain!$H$9:$H$1000)=$E18)*((LMPMain!$J$9:$J$1000)=$F18)*((LMPMain!$O$9:$O$1000)=$C18)*(LMPMain!T$9:T$1000) ) +  ( SUMPRODUCT( ((Adders!$D$13:$D$101)=$E18)*((Adders!$E$13:$E$101)=$F18)*(Adders!I$13:I$101)) + VLOOKUP($H18,Adders!$B$5:$G$8,N$11,FALSE)  +  NJ!$D$2 ) * IF($D18="NJ",1.07,1))/$L$10, CHOOSE($M$10,$L$9,$M$9) )</f>
        <v xml:space="preserve"> 51.70 </v>
      </c>
      <c r="O18" s="112"/>
    </row>
    <row r="19" spans="2:15" x14ac:dyDescent="0.25">
      <c r="B19" s="108"/>
      <c r="C19" s="135">
        <f>+C18</f>
        <v>42186</v>
      </c>
      <c r="D19" s="136" t="s">
        <v>31</v>
      </c>
      <c r="E19" s="137" t="s">
        <v>32</v>
      </c>
      <c r="F19" s="136" t="s">
        <v>33</v>
      </c>
      <c r="G19" s="137" t="str">
        <f t="shared" si="0"/>
        <v>Mthly Gen. Service</v>
      </c>
      <c r="H19" s="138" t="s">
        <v>690</v>
      </c>
      <c r="I19" s="176" t="str">
        <f>TEXT(   (SUMPRODUCT( ((Main!$H$9:$H$1000)=$E19)*((Main!$J$9:$J$1000)=$F19)*((Main!$O$9:$O$1000)=$C19)*(Main!R$9:R$1000) ) +  ( SUMPRODUCT( ((Adders!$D$13:$D$101)=$E19)*((Adders!$E$13:$E$101)=$F19)*(Adders!G$13:G$101)) + VLOOKUP($H19,Adders!$B$5:$G$8,L$11,FALSE)  +  NJ!$D$2 ) * IF($D19="NJ",1.07,1))/$L$10, CHOOSE($M$10,$L$9,$M$9) )</f>
        <v xml:space="preserve"> 96.79 </v>
      </c>
      <c r="J19" s="176" t="str">
        <f>TEXT(   (SUMPRODUCT( ((Main!$H$9:$H$1000)=$E19)*((Main!$J$9:$J$1000)=$F19)*((Main!$O$9:$O$1000)=$C19)*(Main!S$9:S$1000) ) +  ( SUMPRODUCT( ((Adders!$D$13:$D$101)=$E19)*((Adders!$E$13:$E$101)=$F19)*(Adders!H$13:H$101)) + VLOOKUP($H19,Adders!$B$5:$G$8,M$11,FALSE)  +  NJ!$D$2 ) * IF($D19="NJ",1.07,1))/$L$10, CHOOSE($M$10,$L$9,$M$9) )</f>
        <v xml:space="preserve"> 93.97 </v>
      </c>
      <c r="K19" s="177" t="str">
        <f>TEXT(   (SUMPRODUCT( ((Main!$H$9:$H$1000)=$E19)*((Main!$J$9:$J$1000)=$F19)*((Main!$O$9:$O$1000)=$C19)*(Main!T$9:T$1000) ) +  ( SUMPRODUCT( ((Adders!$D$13:$D$101)=$E19)*((Adders!$E$13:$E$101)=$F19)*(Adders!I$13:I$101)) + VLOOKUP($H19,Adders!$B$5:$G$8,N$11,FALSE)  +  NJ!$D$2 ) * IF($D19="NJ",1.07,1))/$L$10, CHOOSE($M$10,$L$9,$M$9) )</f>
        <v xml:space="preserve"> 94.99 </v>
      </c>
      <c r="L19" s="176" t="str">
        <f>TEXT(   (SUMPRODUCT( ((LMPMain!$H$9:$H$1000)=$E19)*((LMPMain!$J$9:$J$1000)=$F19)*((LMPMain!$O$9:$O$1000)=$C19)*(LMPMain!R$9:R$1000) ) +  ( SUMPRODUCT( ((Adders!$D$13:$D$101)=$E19)*((Adders!$E$13:$E$101)=$F19)*(Adders!G$13:G$101)) + VLOOKUP($H19,Adders!$B$5:$G$8,L$11,FALSE)  +  NJ!$D$2 ) * IF($D19="NJ",1.07,1))/$L$10, CHOOSE($M$10,$L$9,$M$9) )</f>
        <v xml:space="preserve"> 52.25 </v>
      </c>
      <c r="M19" s="176" t="str">
        <f>TEXT(   (SUMPRODUCT( ((LMPMain!$H$9:$H$1000)=$E19)*((LMPMain!$J$9:$J$1000)=$F19)*((LMPMain!$O$9:$O$1000)=$C19)*(LMPMain!S$9:S$1000) ) +  ( SUMPRODUCT( ((Adders!$D$13:$D$101)=$E19)*((Adders!$E$13:$E$101)=$F19)*(Adders!H$13:H$101)) + VLOOKUP($H19,Adders!$B$5:$G$8,M$11,FALSE)  +  NJ!$D$2 ) * IF($D19="NJ",1.07,1))/$L$10, CHOOSE($M$10,$L$9,$M$9) )</f>
        <v xml:space="preserve"> 50.30 </v>
      </c>
      <c r="N19" s="177" t="str">
        <f>TEXT(   (SUMPRODUCT( ((LMPMain!$H$9:$H$1000)=$E19)*((LMPMain!$J$9:$J$1000)=$F19)*((LMPMain!$O$9:$O$1000)=$C19)*(LMPMain!T$9:T$1000) ) +  ( SUMPRODUCT( ((Adders!$D$13:$D$101)=$E19)*((Adders!$E$13:$E$101)=$F19)*(Adders!I$13:I$101)) + VLOOKUP($H19,Adders!$B$5:$G$8,N$11,FALSE)  +  NJ!$D$2 ) * IF($D19="NJ",1.07,1))/$L$10, CHOOSE($M$10,$L$9,$M$9) )</f>
        <v xml:space="preserve"> 50.58 </v>
      </c>
      <c r="O19" s="112"/>
    </row>
    <row r="20" spans="2:15" x14ac:dyDescent="0.25">
      <c r="B20" s="108"/>
      <c r="C20" s="127">
        <f>DATE(YEAR(C19),MONTH(C19)+1,0)+1</f>
        <v>42217</v>
      </c>
      <c r="D20" s="128" t="s">
        <v>31</v>
      </c>
      <c r="E20" s="129" t="s">
        <v>32</v>
      </c>
      <c r="F20" s="128" t="s">
        <v>33</v>
      </c>
      <c r="G20" s="129" t="str">
        <f t="shared" si="0"/>
        <v>Mthly Gen. Service</v>
      </c>
      <c r="H20" s="130" t="s">
        <v>61</v>
      </c>
      <c r="I20" s="178" t="str">
        <f>TEXT(   (SUMPRODUCT( ((Main!$H$9:$H$1000)=$E20)*((Main!$J$9:$J$1000)=$F20)*((Main!$O$9:$O$1000)=$C20)*(Main!R$9:R$1000) ) +  ( SUMPRODUCT( ((Adders!$D$13:$D$101)=$E20)*((Adders!$E$13:$E$101)=$F20)*(Adders!G$13:G$101)) + VLOOKUP($H20,Adders!$B$5:$G$8,L$11,FALSE)  +  NJ!$D$2 ) * IF($D20="NJ",1.07,1))/$L$10, CHOOSE($M$10,$L$9,$M$9) )</f>
        <v xml:space="preserve"> 98.86 </v>
      </c>
      <c r="J20" s="178" t="str">
        <f>TEXT(   (SUMPRODUCT( ((Main!$H$9:$H$1000)=$E20)*((Main!$J$9:$J$1000)=$F20)*((Main!$O$9:$O$1000)=$C20)*(Main!S$9:S$1000) ) +  ( SUMPRODUCT( ((Adders!$D$13:$D$101)=$E20)*((Adders!$E$13:$E$101)=$F20)*(Adders!H$13:H$101)) + VLOOKUP($H20,Adders!$B$5:$G$8,M$11,FALSE)  +  NJ!$D$2 ) * IF($D20="NJ",1.07,1))/$L$10, CHOOSE($M$10,$L$9,$M$9) )</f>
        <v xml:space="preserve"> 97.51 </v>
      </c>
      <c r="K20" s="179" t="str">
        <f>TEXT(   (SUMPRODUCT( ((Main!$H$9:$H$1000)=$E20)*((Main!$J$9:$J$1000)=$F20)*((Main!$O$9:$O$1000)=$C20)*(Main!T$9:T$1000) ) +  ( SUMPRODUCT( ((Adders!$D$13:$D$101)=$E20)*((Adders!$E$13:$E$101)=$F20)*(Adders!I$13:I$101)) + VLOOKUP($H20,Adders!$B$5:$G$8,N$11,FALSE)  +  NJ!$D$2 ) * IF($D20="NJ",1.07,1))/$L$10, CHOOSE($M$10,$L$9,$M$9) )</f>
        <v xml:space="preserve"> 97.62 </v>
      </c>
      <c r="L20" s="178" t="str">
        <f>TEXT(   (SUMPRODUCT( ((LMPMain!$H$9:$H$1000)=$E20)*((LMPMain!$J$9:$J$1000)=$F20)*((LMPMain!$O$9:$O$1000)=$C20)*(LMPMain!R$9:R$1000) ) +  ( SUMPRODUCT( ((Adders!$D$13:$D$101)=$E20)*((Adders!$E$13:$E$101)=$F20)*(Adders!G$13:G$101)) + VLOOKUP($H20,Adders!$B$5:$G$8,L$11,FALSE)  +  NJ!$D$2 ) * IF($D20="NJ",1.07,1))/$L$10, CHOOSE($M$10,$L$9,$M$9) )</f>
        <v xml:space="preserve"> 54.75 </v>
      </c>
      <c r="M20" s="178" t="str">
        <f>TEXT(   (SUMPRODUCT( ((LMPMain!$H$9:$H$1000)=$E20)*((LMPMain!$J$9:$J$1000)=$F20)*((LMPMain!$O$9:$O$1000)=$C20)*(LMPMain!S$9:S$1000) ) +  ( SUMPRODUCT( ((Adders!$D$13:$D$101)=$E20)*((Adders!$E$13:$E$101)=$F20)*(Adders!H$13:H$101)) + VLOOKUP($H20,Adders!$B$5:$G$8,M$11,FALSE)  +  NJ!$D$2 ) * IF($D20="NJ",1.07,1))/$L$10, CHOOSE($M$10,$L$9,$M$9) )</f>
        <v xml:space="preserve"> 53.78 </v>
      </c>
      <c r="N20" s="179" t="str">
        <f>TEXT(   (SUMPRODUCT( ((LMPMain!$H$9:$H$1000)=$E20)*((LMPMain!$J$9:$J$1000)=$F20)*((LMPMain!$O$9:$O$1000)=$C20)*(LMPMain!T$9:T$1000) ) +  ( SUMPRODUCT( ((Adders!$D$13:$D$101)=$E20)*((Adders!$E$13:$E$101)=$F20)*(Adders!I$13:I$101)) + VLOOKUP($H20,Adders!$B$5:$G$8,N$11,FALSE)  +  NJ!$D$2 ) * IF($D20="NJ",1.07,1))/$L$10, CHOOSE($M$10,$L$9,$M$9) )</f>
        <v xml:space="preserve"> 53.29 </v>
      </c>
      <c r="O20" s="112"/>
    </row>
    <row r="21" spans="2:15" x14ac:dyDescent="0.25">
      <c r="B21" s="108"/>
      <c r="C21" s="131">
        <f>+C20</f>
        <v>42217</v>
      </c>
      <c r="D21" s="132" t="s">
        <v>31</v>
      </c>
      <c r="E21" s="133" t="s">
        <v>32</v>
      </c>
      <c r="F21" s="132" t="s">
        <v>33</v>
      </c>
      <c r="G21" s="133" t="str">
        <f t="shared" si="0"/>
        <v>Mthly Gen. Service</v>
      </c>
      <c r="H21" s="134" t="s">
        <v>62</v>
      </c>
      <c r="I21" s="173" t="str">
        <f>TEXT(   (SUMPRODUCT( ((Main!$H$9:$H$1000)=$E21)*((Main!$J$9:$J$1000)=$F21)*((Main!$O$9:$O$1000)=$C21)*(Main!R$9:R$1000) ) +  ( SUMPRODUCT( ((Adders!$D$13:$D$101)=$E21)*((Adders!$E$13:$E$101)=$F21)*(Adders!G$13:G$101)) + VLOOKUP($H21,Adders!$B$5:$G$8,L$11,FALSE)  +  NJ!$D$2 ) * IF($D21="NJ",1.07,1))/$L$10, CHOOSE($M$10,$L$9,$M$9) )</f>
        <v xml:space="preserve"> 97.15 </v>
      </c>
      <c r="J21" s="173" t="str">
        <f>TEXT(   (SUMPRODUCT( ((Main!$H$9:$H$1000)=$E21)*((Main!$J$9:$J$1000)=$F21)*((Main!$O$9:$O$1000)=$C21)*(Main!S$9:S$1000) ) +  ( SUMPRODUCT( ((Adders!$D$13:$D$101)=$E21)*((Adders!$E$13:$E$101)=$F21)*(Adders!H$13:H$101)) + VLOOKUP($H21,Adders!$B$5:$G$8,M$11,FALSE)  +  NJ!$D$2 ) * IF($D21="NJ",1.07,1))/$L$10, CHOOSE($M$10,$L$9,$M$9) )</f>
        <v xml:space="preserve"> 95.80 </v>
      </c>
      <c r="K21" s="174" t="str">
        <f>TEXT(   (SUMPRODUCT( ((Main!$H$9:$H$1000)=$E21)*((Main!$J$9:$J$1000)=$F21)*((Main!$O$9:$O$1000)=$C21)*(Main!T$9:T$1000) ) +  ( SUMPRODUCT( ((Adders!$D$13:$D$101)=$E21)*((Adders!$E$13:$E$101)=$F21)*(Adders!I$13:I$101)) + VLOOKUP($H21,Adders!$B$5:$G$8,N$11,FALSE)  +  NJ!$D$2 ) * IF($D21="NJ",1.07,1))/$L$10, CHOOSE($M$10,$L$9,$M$9) )</f>
        <v xml:space="preserve"> 95.91 </v>
      </c>
      <c r="L21" s="173" t="str">
        <f>TEXT(   (SUMPRODUCT( ((LMPMain!$H$9:$H$1000)=$E21)*((LMPMain!$J$9:$J$1000)=$F21)*((LMPMain!$O$9:$O$1000)=$C21)*(LMPMain!R$9:R$1000) ) +  ( SUMPRODUCT( ((Adders!$D$13:$D$101)=$E21)*((Adders!$E$13:$E$101)=$F21)*(Adders!G$13:G$101)) + VLOOKUP($H21,Adders!$B$5:$G$8,L$11,FALSE)  +  NJ!$D$2 ) * IF($D21="NJ",1.07,1))/$L$10, CHOOSE($M$10,$L$9,$M$9) )</f>
        <v xml:space="preserve"> 53.04 </v>
      </c>
      <c r="M21" s="173" t="str">
        <f>TEXT(   (SUMPRODUCT( ((LMPMain!$H$9:$H$1000)=$E21)*((LMPMain!$J$9:$J$1000)=$F21)*((LMPMain!$O$9:$O$1000)=$C21)*(LMPMain!S$9:S$1000) ) +  ( SUMPRODUCT( ((Adders!$D$13:$D$101)=$E21)*((Adders!$E$13:$E$101)=$F21)*(Adders!H$13:H$101)) + VLOOKUP($H21,Adders!$B$5:$G$8,M$11,FALSE)  +  NJ!$D$2 ) * IF($D21="NJ",1.07,1))/$L$10, CHOOSE($M$10,$L$9,$M$9) )</f>
        <v xml:space="preserve"> 52.07 </v>
      </c>
      <c r="N21" s="174" t="str">
        <f>TEXT(   (SUMPRODUCT( ((LMPMain!$H$9:$H$1000)=$E21)*((LMPMain!$J$9:$J$1000)=$F21)*((LMPMain!$O$9:$O$1000)=$C21)*(LMPMain!T$9:T$1000) ) +  ( SUMPRODUCT( ((Adders!$D$13:$D$101)=$E21)*((Adders!$E$13:$E$101)=$F21)*(Adders!I$13:I$101)) + VLOOKUP($H21,Adders!$B$5:$G$8,N$11,FALSE)  +  NJ!$D$2 ) * IF($D21="NJ",1.07,1))/$L$10, CHOOSE($M$10,$L$9,$M$9) )</f>
        <v xml:space="preserve"> 51.58 </v>
      </c>
      <c r="O21" s="112"/>
    </row>
    <row r="22" spans="2:15" x14ac:dyDescent="0.25">
      <c r="B22" s="108"/>
      <c r="C22" s="135">
        <f>+C21</f>
        <v>42217</v>
      </c>
      <c r="D22" s="136" t="s">
        <v>31</v>
      </c>
      <c r="E22" s="137" t="s">
        <v>32</v>
      </c>
      <c r="F22" s="136" t="s">
        <v>33</v>
      </c>
      <c r="G22" s="137" t="str">
        <f t="shared" si="0"/>
        <v>Mthly Gen. Service</v>
      </c>
      <c r="H22" s="138" t="s">
        <v>690</v>
      </c>
      <c r="I22" s="176" t="str">
        <f>TEXT(   (SUMPRODUCT( ((Main!$H$9:$H$1000)=$E22)*((Main!$J$9:$J$1000)=$F22)*((Main!$O$9:$O$1000)=$C22)*(Main!R$9:R$1000) ) +  ( SUMPRODUCT( ((Adders!$D$13:$D$101)=$E22)*((Adders!$E$13:$E$101)=$F22)*(Adders!G$13:G$101)) + VLOOKUP($H22,Adders!$B$5:$G$8,L$11,FALSE)  +  NJ!$D$2 ) * IF($D22="NJ",1.07,1))/$L$10, CHOOSE($M$10,$L$9,$M$9) )</f>
        <v xml:space="preserve"> 96.03 </v>
      </c>
      <c r="J22" s="176" t="str">
        <f>TEXT(   (SUMPRODUCT( ((Main!$H$9:$H$1000)=$E22)*((Main!$J$9:$J$1000)=$F22)*((Main!$O$9:$O$1000)=$C22)*(Main!S$9:S$1000) ) +  ( SUMPRODUCT( ((Adders!$D$13:$D$101)=$E22)*((Adders!$E$13:$E$101)=$F22)*(Adders!H$13:H$101)) + VLOOKUP($H22,Adders!$B$5:$G$8,M$11,FALSE)  +  NJ!$D$2 ) * IF($D22="NJ",1.07,1))/$L$10, CHOOSE($M$10,$L$9,$M$9) )</f>
        <v xml:space="preserve"> 94.68 </v>
      </c>
      <c r="K22" s="177" t="str">
        <f>TEXT(   (SUMPRODUCT( ((Main!$H$9:$H$1000)=$E22)*((Main!$J$9:$J$1000)=$F22)*((Main!$O$9:$O$1000)=$C22)*(Main!T$9:T$1000) ) +  ( SUMPRODUCT( ((Adders!$D$13:$D$101)=$E22)*((Adders!$E$13:$E$101)=$F22)*(Adders!I$13:I$101)) + VLOOKUP($H22,Adders!$B$5:$G$8,N$11,FALSE)  +  NJ!$D$2 ) * IF($D22="NJ",1.07,1))/$L$10, CHOOSE($M$10,$L$9,$M$9) )</f>
        <v xml:space="preserve"> 94.79 </v>
      </c>
      <c r="L22" s="176" t="str">
        <f>TEXT(   (SUMPRODUCT( ((LMPMain!$H$9:$H$1000)=$E22)*((LMPMain!$J$9:$J$1000)=$F22)*((LMPMain!$O$9:$O$1000)=$C22)*(LMPMain!R$9:R$1000) ) +  ( SUMPRODUCT( ((Adders!$D$13:$D$101)=$E22)*((Adders!$E$13:$E$101)=$F22)*(Adders!G$13:G$101)) + VLOOKUP($H22,Adders!$B$5:$G$8,L$11,FALSE)  +  NJ!$D$2 ) * IF($D22="NJ",1.07,1))/$L$10, CHOOSE($M$10,$L$9,$M$9) )</f>
        <v xml:space="preserve"> 51.92 </v>
      </c>
      <c r="M22" s="176" t="str">
        <f>TEXT(   (SUMPRODUCT( ((LMPMain!$H$9:$H$1000)=$E22)*((LMPMain!$J$9:$J$1000)=$F22)*((LMPMain!$O$9:$O$1000)=$C22)*(LMPMain!S$9:S$1000) ) +  ( SUMPRODUCT( ((Adders!$D$13:$D$101)=$E22)*((Adders!$E$13:$E$101)=$F22)*(Adders!H$13:H$101)) + VLOOKUP($H22,Adders!$B$5:$G$8,M$11,FALSE)  +  NJ!$D$2 ) * IF($D22="NJ",1.07,1))/$L$10, CHOOSE($M$10,$L$9,$M$9) )</f>
        <v xml:space="preserve"> 50.94 </v>
      </c>
      <c r="N22" s="177" t="str">
        <f>TEXT(   (SUMPRODUCT( ((LMPMain!$H$9:$H$1000)=$E22)*((LMPMain!$J$9:$J$1000)=$F22)*((LMPMain!$O$9:$O$1000)=$C22)*(LMPMain!T$9:T$1000) ) +  ( SUMPRODUCT( ((Adders!$D$13:$D$101)=$E22)*((Adders!$E$13:$E$101)=$F22)*(Adders!I$13:I$101)) + VLOOKUP($H22,Adders!$B$5:$G$8,N$11,FALSE)  +  NJ!$D$2 ) * IF($D22="NJ",1.07,1))/$L$10, CHOOSE($M$10,$L$9,$M$9) )</f>
        <v xml:space="preserve"> 50.46 </v>
      </c>
      <c r="O22" s="112"/>
    </row>
    <row r="23" spans="2:15" x14ac:dyDescent="0.25">
      <c r="B23" s="108"/>
      <c r="C23" s="127">
        <f>DATE(YEAR(C22),MONTH(C22)+1,0)+1</f>
        <v>42248</v>
      </c>
      <c r="D23" s="128" t="s">
        <v>31</v>
      </c>
      <c r="E23" s="129" t="s">
        <v>32</v>
      </c>
      <c r="F23" s="128" t="s">
        <v>33</v>
      </c>
      <c r="G23" s="129" t="str">
        <f t="shared" si="0"/>
        <v>Mthly Gen. Service</v>
      </c>
      <c r="H23" s="130" t="s">
        <v>61</v>
      </c>
      <c r="I23" s="178" t="str">
        <f>TEXT(   (SUMPRODUCT( ((Main!$H$9:$H$1000)=$E23)*((Main!$J$9:$J$1000)=$F23)*((Main!$O$9:$O$1000)=$C23)*(Main!R$9:R$1000) ) +  ( SUMPRODUCT( ((Adders!$D$13:$D$101)=$E23)*((Adders!$E$13:$E$101)=$F23)*(Adders!G$13:G$101)) + VLOOKUP($H23,Adders!$B$5:$G$8,L$11,FALSE)  +  NJ!$D$2 ) * IF($D23="NJ",1.07,1))/$L$10, CHOOSE($M$10,$L$9,$M$9) )</f>
        <v xml:space="preserve"> 98.65 </v>
      </c>
      <c r="J23" s="178" t="str">
        <f>TEXT(   (SUMPRODUCT( ((Main!$H$9:$H$1000)=$E23)*((Main!$J$9:$J$1000)=$F23)*((Main!$O$9:$O$1000)=$C23)*(Main!S$9:S$1000) ) +  ( SUMPRODUCT( ((Adders!$D$13:$D$101)=$E23)*((Adders!$E$13:$E$101)=$F23)*(Adders!H$13:H$101)) + VLOOKUP($H23,Adders!$B$5:$G$8,M$11,FALSE)  +  NJ!$D$2 ) * IF($D23="NJ",1.07,1))/$L$10, CHOOSE($M$10,$L$9,$M$9) )</f>
        <v xml:space="preserve"> 98.53 </v>
      </c>
      <c r="K23" s="179" t="str">
        <f>TEXT(   (SUMPRODUCT( ((Main!$H$9:$H$1000)=$E23)*((Main!$J$9:$J$1000)=$F23)*((Main!$O$9:$O$1000)=$C23)*(Main!T$9:T$1000) ) +  ( SUMPRODUCT( ((Adders!$D$13:$D$101)=$E23)*((Adders!$E$13:$E$101)=$F23)*(Adders!I$13:I$101)) + VLOOKUP($H23,Adders!$B$5:$G$8,N$11,FALSE)  +  NJ!$D$2 ) * IF($D23="NJ",1.07,1))/$L$10, CHOOSE($M$10,$L$9,$M$9) )</f>
        <v xml:space="preserve"> 97.69 </v>
      </c>
      <c r="L23" s="178" t="str">
        <f>TEXT(   (SUMPRODUCT( ((LMPMain!$H$9:$H$1000)=$E23)*((LMPMain!$J$9:$J$1000)=$F23)*((LMPMain!$O$9:$O$1000)=$C23)*(LMPMain!R$9:R$1000) ) +  ( SUMPRODUCT( ((Adders!$D$13:$D$101)=$E23)*((Adders!$E$13:$E$101)=$F23)*(Adders!G$13:G$101)) + VLOOKUP($H23,Adders!$B$5:$G$8,L$11,FALSE)  +  NJ!$D$2 ) * IF($D23="NJ",1.07,1))/$L$10, CHOOSE($M$10,$L$9,$M$9) )</f>
        <v xml:space="preserve"> 54.48 </v>
      </c>
      <c r="M23" s="178" t="str">
        <f>TEXT(   (SUMPRODUCT( ((LMPMain!$H$9:$H$1000)=$E23)*((LMPMain!$J$9:$J$1000)=$F23)*((LMPMain!$O$9:$O$1000)=$C23)*(LMPMain!S$9:S$1000) ) +  ( SUMPRODUCT( ((Adders!$D$13:$D$101)=$E23)*((Adders!$E$13:$E$101)=$F23)*(Adders!H$13:H$101)) + VLOOKUP($H23,Adders!$B$5:$G$8,M$11,FALSE)  +  NJ!$D$2 ) * IF($D23="NJ",1.07,1))/$L$10, CHOOSE($M$10,$L$9,$M$9) )</f>
        <v xml:space="preserve"> 54.41 </v>
      </c>
      <c r="N23" s="179" t="str">
        <f>TEXT(   (SUMPRODUCT( ((LMPMain!$H$9:$H$1000)=$E23)*((LMPMain!$J$9:$J$1000)=$F23)*((LMPMain!$O$9:$O$1000)=$C23)*(LMPMain!T$9:T$1000) ) +  ( SUMPRODUCT( ((Adders!$D$13:$D$101)=$E23)*((Adders!$E$13:$E$101)=$F23)*(Adders!I$13:I$101)) + VLOOKUP($H23,Adders!$B$5:$G$8,N$11,FALSE)  +  NJ!$D$2 ) * IF($D23="NJ",1.07,1))/$L$10, CHOOSE($M$10,$L$9,$M$9) )</f>
        <v xml:space="preserve"> 53.20 </v>
      </c>
      <c r="O23" s="112"/>
    </row>
    <row r="24" spans="2:15" x14ac:dyDescent="0.25">
      <c r="B24" s="108"/>
      <c r="C24" s="131">
        <f>+C23</f>
        <v>42248</v>
      </c>
      <c r="D24" s="132" t="s">
        <v>31</v>
      </c>
      <c r="E24" s="133" t="s">
        <v>32</v>
      </c>
      <c r="F24" s="132" t="s">
        <v>33</v>
      </c>
      <c r="G24" s="133" t="str">
        <f t="shared" si="0"/>
        <v>Mthly Gen. Service</v>
      </c>
      <c r="H24" s="134" t="s">
        <v>62</v>
      </c>
      <c r="I24" s="173" t="str">
        <f>TEXT(   (SUMPRODUCT( ((Main!$H$9:$H$1000)=$E24)*((Main!$J$9:$J$1000)=$F24)*((Main!$O$9:$O$1000)=$C24)*(Main!R$9:R$1000) ) +  ( SUMPRODUCT( ((Adders!$D$13:$D$101)=$E24)*((Adders!$E$13:$E$101)=$F24)*(Adders!G$13:G$101)) + VLOOKUP($H24,Adders!$B$5:$G$8,L$11,FALSE)  +  NJ!$D$2 ) * IF($D24="NJ",1.07,1))/$L$10, CHOOSE($M$10,$L$9,$M$9) )</f>
        <v xml:space="preserve"> 96.94 </v>
      </c>
      <c r="J24" s="173" t="str">
        <f>TEXT(   (SUMPRODUCT( ((Main!$H$9:$H$1000)=$E24)*((Main!$J$9:$J$1000)=$F24)*((Main!$O$9:$O$1000)=$C24)*(Main!S$9:S$1000) ) +  ( SUMPRODUCT( ((Adders!$D$13:$D$101)=$E24)*((Adders!$E$13:$E$101)=$F24)*(Adders!H$13:H$101)) + VLOOKUP($H24,Adders!$B$5:$G$8,M$11,FALSE)  +  NJ!$D$2 ) * IF($D24="NJ",1.07,1))/$L$10, CHOOSE($M$10,$L$9,$M$9) )</f>
        <v xml:space="preserve"> 96.82 </v>
      </c>
      <c r="K24" s="174" t="str">
        <f>TEXT(   (SUMPRODUCT( ((Main!$H$9:$H$1000)=$E24)*((Main!$J$9:$J$1000)=$F24)*((Main!$O$9:$O$1000)=$C24)*(Main!T$9:T$1000) ) +  ( SUMPRODUCT( ((Adders!$D$13:$D$101)=$E24)*((Adders!$E$13:$E$101)=$F24)*(Adders!I$13:I$101)) + VLOOKUP($H24,Adders!$B$5:$G$8,N$11,FALSE)  +  NJ!$D$2 ) * IF($D24="NJ",1.07,1))/$L$10, CHOOSE($M$10,$L$9,$M$9) )</f>
        <v xml:space="preserve"> 95.98 </v>
      </c>
      <c r="L24" s="173" t="str">
        <f>TEXT(   (SUMPRODUCT( ((LMPMain!$H$9:$H$1000)=$E24)*((LMPMain!$J$9:$J$1000)=$F24)*((LMPMain!$O$9:$O$1000)=$C24)*(LMPMain!R$9:R$1000) ) +  ( SUMPRODUCT( ((Adders!$D$13:$D$101)=$E24)*((Adders!$E$13:$E$101)=$F24)*(Adders!G$13:G$101)) + VLOOKUP($H24,Adders!$B$5:$G$8,L$11,FALSE)  +  NJ!$D$2 ) * IF($D24="NJ",1.07,1))/$L$10, CHOOSE($M$10,$L$9,$M$9) )</f>
        <v xml:space="preserve"> 52.77 </v>
      </c>
      <c r="M24" s="173" t="str">
        <f>TEXT(   (SUMPRODUCT( ((LMPMain!$H$9:$H$1000)=$E24)*((LMPMain!$J$9:$J$1000)=$F24)*((LMPMain!$O$9:$O$1000)=$C24)*(LMPMain!S$9:S$1000) ) +  ( SUMPRODUCT( ((Adders!$D$13:$D$101)=$E24)*((Adders!$E$13:$E$101)=$F24)*(Adders!H$13:H$101)) + VLOOKUP($H24,Adders!$B$5:$G$8,M$11,FALSE)  +  NJ!$D$2 ) * IF($D24="NJ",1.07,1))/$L$10, CHOOSE($M$10,$L$9,$M$9) )</f>
        <v xml:space="preserve"> 52.70 </v>
      </c>
      <c r="N24" s="174" t="str">
        <f>TEXT(   (SUMPRODUCT( ((LMPMain!$H$9:$H$1000)=$E24)*((LMPMain!$J$9:$J$1000)=$F24)*((LMPMain!$O$9:$O$1000)=$C24)*(LMPMain!T$9:T$1000) ) +  ( SUMPRODUCT( ((Adders!$D$13:$D$101)=$E24)*((Adders!$E$13:$E$101)=$F24)*(Adders!I$13:I$101)) + VLOOKUP($H24,Adders!$B$5:$G$8,N$11,FALSE)  +  NJ!$D$2 ) * IF($D24="NJ",1.07,1))/$L$10, CHOOSE($M$10,$L$9,$M$9) )</f>
        <v xml:space="preserve"> 51.49 </v>
      </c>
      <c r="O24" s="112"/>
    </row>
    <row r="25" spans="2:15" x14ac:dyDescent="0.25">
      <c r="B25" s="108"/>
      <c r="C25" s="135">
        <f>+C24</f>
        <v>42248</v>
      </c>
      <c r="D25" s="136" t="s">
        <v>31</v>
      </c>
      <c r="E25" s="137" t="s">
        <v>32</v>
      </c>
      <c r="F25" s="136" t="s">
        <v>33</v>
      </c>
      <c r="G25" s="137" t="str">
        <f t="shared" si="0"/>
        <v>Mthly Gen. Service</v>
      </c>
      <c r="H25" s="138" t="s">
        <v>690</v>
      </c>
      <c r="I25" s="176" t="str">
        <f>TEXT(   (SUMPRODUCT( ((Main!$H$9:$H$1000)=$E25)*((Main!$J$9:$J$1000)=$F25)*((Main!$O$9:$O$1000)=$C25)*(Main!R$9:R$1000) ) +  ( SUMPRODUCT( ((Adders!$D$13:$D$101)=$E25)*((Adders!$E$13:$E$101)=$F25)*(Adders!G$13:G$101)) + VLOOKUP($H25,Adders!$B$5:$G$8,L$11,FALSE)  +  NJ!$D$2 ) * IF($D25="NJ",1.07,1))/$L$10, CHOOSE($M$10,$L$9,$M$9) )</f>
        <v xml:space="preserve"> 95.82 </v>
      </c>
      <c r="J25" s="176" t="str">
        <f>TEXT(   (SUMPRODUCT( ((Main!$H$9:$H$1000)=$E25)*((Main!$J$9:$J$1000)=$F25)*((Main!$O$9:$O$1000)=$C25)*(Main!S$9:S$1000) ) +  ( SUMPRODUCT( ((Adders!$D$13:$D$101)=$E25)*((Adders!$E$13:$E$101)=$F25)*(Adders!H$13:H$101)) + VLOOKUP($H25,Adders!$B$5:$G$8,M$11,FALSE)  +  NJ!$D$2 ) * IF($D25="NJ",1.07,1))/$L$10, CHOOSE($M$10,$L$9,$M$9) )</f>
        <v xml:space="preserve"> 95.70 </v>
      </c>
      <c r="K25" s="177" t="str">
        <f>TEXT(   (SUMPRODUCT( ((Main!$H$9:$H$1000)=$E25)*((Main!$J$9:$J$1000)=$F25)*((Main!$O$9:$O$1000)=$C25)*(Main!T$9:T$1000) ) +  ( SUMPRODUCT( ((Adders!$D$13:$D$101)=$E25)*((Adders!$E$13:$E$101)=$F25)*(Adders!I$13:I$101)) + VLOOKUP($H25,Adders!$B$5:$G$8,N$11,FALSE)  +  NJ!$D$2 ) * IF($D25="NJ",1.07,1))/$L$10, CHOOSE($M$10,$L$9,$M$9) )</f>
        <v xml:space="preserve"> 94.86 </v>
      </c>
      <c r="L25" s="176" t="str">
        <f>TEXT(   (SUMPRODUCT( ((LMPMain!$H$9:$H$1000)=$E25)*((LMPMain!$J$9:$J$1000)=$F25)*((LMPMain!$O$9:$O$1000)=$C25)*(LMPMain!R$9:R$1000) ) +  ( SUMPRODUCT( ((Adders!$D$13:$D$101)=$E25)*((Adders!$E$13:$E$101)=$F25)*(Adders!G$13:G$101)) + VLOOKUP($H25,Adders!$B$5:$G$8,L$11,FALSE)  +  NJ!$D$2 ) * IF($D25="NJ",1.07,1))/$L$10, CHOOSE($M$10,$L$9,$M$9) )</f>
        <v xml:space="preserve"> 51.64 </v>
      </c>
      <c r="M25" s="176" t="str">
        <f>TEXT(   (SUMPRODUCT( ((LMPMain!$H$9:$H$1000)=$E25)*((LMPMain!$J$9:$J$1000)=$F25)*((LMPMain!$O$9:$O$1000)=$C25)*(LMPMain!S$9:S$1000) ) +  ( SUMPRODUCT( ((Adders!$D$13:$D$101)=$E25)*((Adders!$E$13:$E$101)=$F25)*(Adders!H$13:H$101)) + VLOOKUP($H25,Adders!$B$5:$G$8,M$11,FALSE)  +  NJ!$D$2 ) * IF($D25="NJ",1.07,1))/$L$10, CHOOSE($M$10,$L$9,$M$9) )</f>
        <v xml:space="preserve"> 51.58 </v>
      </c>
      <c r="N25" s="177" t="str">
        <f>TEXT(   (SUMPRODUCT( ((LMPMain!$H$9:$H$1000)=$E25)*((LMPMain!$J$9:$J$1000)=$F25)*((LMPMain!$O$9:$O$1000)=$C25)*(LMPMain!T$9:T$1000) ) +  ( SUMPRODUCT( ((Adders!$D$13:$D$101)=$E25)*((Adders!$E$13:$E$101)=$F25)*(Adders!I$13:I$101)) + VLOOKUP($H25,Adders!$B$5:$G$8,N$11,FALSE)  +  NJ!$D$2 ) * IF($D25="NJ",1.07,1))/$L$10, CHOOSE($M$10,$L$9,$M$9) )</f>
        <v xml:space="preserve"> 50.37 </v>
      </c>
      <c r="O25" s="112"/>
    </row>
    <row r="26" spans="2:15" x14ac:dyDescent="0.25">
      <c r="B26" s="108"/>
      <c r="C26" s="127">
        <f>DATE(YEAR(C25),MONTH(C25)+1,0)+1</f>
        <v>42278</v>
      </c>
      <c r="D26" s="128" t="s">
        <v>31</v>
      </c>
      <c r="E26" s="129" t="s">
        <v>32</v>
      </c>
      <c r="F26" s="128" t="s">
        <v>33</v>
      </c>
      <c r="G26" s="129" t="str">
        <f t="shared" si="0"/>
        <v>Mthly Gen. Service</v>
      </c>
      <c r="H26" s="130" t="s">
        <v>61</v>
      </c>
      <c r="I26" s="178" t="str">
        <f>TEXT(   (SUMPRODUCT( ((Main!$H$9:$H$1000)=$E26)*((Main!$J$9:$J$1000)=$F26)*((Main!$O$9:$O$1000)=$C26)*(Main!R$9:R$1000) ) +  ( SUMPRODUCT( ((Adders!$D$13:$D$101)=$E26)*((Adders!$E$13:$E$101)=$F26)*(Adders!G$13:G$101)) + VLOOKUP($H26,Adders!$B$5:$G$8,L$11,FALSE)  +  NJ!$D$2 ) * IF($D26="NJ",1.07,1))/$L$10, CHOOSE($M$10,$L$9,$M$9) )</f>
        <v xml:space="preserve"> 98.39 </v>
      </c>
      <c r="J26" s="178" t="str">
        <f>TEXT(   (SUMPRODUCT( ((Main!$H$9:$H$1000)=$E26)*((Main!$J$9:$J$1000)=$F26)*((Main!$O$9:$O$1000)=$C26)*(Main!S$9:S$1000) ) +  ( SUMPRODUCT( ((Adders!$D$13:$D$101)=$E26)*((Adders!$E$13:$E$101)=$F26)*(Adders!H$13:H$101)) + VLOOKUP($H26,Adders!$B$5:$G$8,M$11,FALSE)  +  NJ!$D$2 ) * IF($D26="NJ",1.07,1))/$L$10, CHOOSE($M$10,$L$9,$M$9) )</f>
        <v xml:space="preserve"> 99.46 </v>
      </c>
      <c r="K26" s="179" t="str">
        <f>TEXT(   (SUMPRODUCT( ((Main!$H$9:$H$1000)=$E26)*((Main!$J$9:$J$1000)=$F26)*((Main!$O$9:$O$1000)=$C26)*(Main!T$9:T$1000) ) +  ( SUMPRODUCT( ((Adders!$D$13:$D$101)=$E26)*((Adders!$E$13:$E$101)=$F26)*(Adders!I$13:I$101)) + VLOOKUP($H26,Adders!$B$5:$G$8,N$11,FALSE)  +  NJ!$D$2 ) * IF($D26="NJ",1.07,1))/$L$10, CHOOSE($M$10,$L$9,$M$9) )</f>
        <v xml:space="preserve"> 97.66 </v>
      </c>
      <c r="L26" s="178" t="str">
        <f>TEXT(   (SUMPRODUCT( ((LMPMain!$H$9:$H$1000)=$E26)*((LMPMain!$J$9:$J$1000)=$F26)*((LMPMain!$O$9:$O$1000)=$C26)*(LMPMain!R$9:R$1000) ) +  ( SUMPRODUCT( ((Adders!$D$13:$D$101)=$E26)*((Adders!$E$13:$E$101)=$F26)*(Adders!G$13:G$101)) + VLOOKUP($H26,Adders!$B$5:$G$8,L$11,FALSE)  +  NJ!$D$2 ) * IF($D26="NJ",1.07,1))/$L$10, CHOOSE($M$10,$L$9,$M$9) )</f>
        <v xml:space="preserve"> 54.22 </v>
      </c>
      <c r="M26" s="178" t="str">
        <f>TEXT(   (SUMPRODUCT( ((LMPMain!$H$9:$H$1000)=$E26)*((LMPMain!$J$9:$J$1000)=$F26)*((LMPMain!$O$9:$O$1000)=$C26)*(LMPMain!S$9:S$1000) ) +  ( SUMPRODUCT( ((Adders!$D$13:$D$101)=$E26)*((Adders!$E$13:$E$101)=$F26)*(Adders!H$13:H$101)) + VLOOKUP($H26,Adders!$B$5:$G$8,M$11,FALSE)  +  NJ!$D$2 ) * IF($D26="NJ",1.07,1))/$L$10, CHOOSE($M$10,$L$9,$M$9) )</f>
        <v xml:space="preserve"> 54.71 </v>
      </c>
      <c r="N26" s="179" t="str">
        <f>TEXT(   (SUMPRODUCT( ((LMPMain!$H$9:$H$1000)=$E26)*((LMPMain!$J$9:$J$1000)=$F26)*((LMPMain!$O$9:$O$1000)=$C26)*(LMPMain!T$9:T$1000) ) +  ( SUMPRODUCT( ((Adders!$D$13:$D$101)=$E26)*((Adders!$E$13:$E$101)=$F26)*(Adders!I$13:I$101)) + VLOOKUP($H26,Adders!$B$5:$G$8,N$11,FALSE)  +  NJ!$D$2 ) * IF($D26="NJ",1.07,1))/$L$10, CHOOSE($M$10,$L$9,$M$9) )</f>
        <v xml:space="preserve"> 53.12 </v>
      </c>
      <c r="O26" s="112"/>
    </row>
    <row r="27" spans="2:15" x14ac:dyDescent="0.25">
      <c r="B27" s="108"/>
      <c r="C27" s="131">
        <f>+C26</f>
        <v>42278</v>
      </c>
      <c r="D27" s="132" t="s">
        <v>31</v>
      </c>
      <c r="E27" s="133" t="s">
        <v>32</v>
      </c>
      <c r="F27" s="132" t="s">
        <v>33</v>
      </c>
      <c r="G27" s="133" t="str">
        <f t="shared" si="0"/>
        <v>Mthly Gen. Service</v>
      </c>
      <c r="H27" s="134" t="s">
        <v>62</v>
      </c>
      <c r="I27" s="173" t="str">
        <f>TEXT(   (SUMPRODUCT( ((Main!$H$9:$H$1000)=$E27)*((Main!$J$9:$J$1000)=$F27)*((Main!$O$9:$O$1000)=$C27)*(Main!R$9:R$1000) ) +  ( SUMPRODUCT( ((Adders!$D$13:$D$101)=$E27)*((Adders!$E$13:$E$101)=$F27)*(Adders!G$13:G$101)) + VLOOKUP($H27,Adders!$B$5:$G$8,L$11,FALSE)  +  NJ!$D$2 ) * IF($D27="NJ",1.07,1))/$L$10, CHOOSE($M$10,$L$9,$M$9) )</f>
        <v xml:space="preserve"> 96.68 </v>
      </c>
      <c r="J27" s="173" t="str">
        <f>TEXT(   (SUMPRODUCT( ((Main!$H$9:$H$1000)=$E27)*((Main!$J$9:$J$1000)=$F27)*((Main!$O$9:$O$1000)=$C27)*(Main!S$9:S$1000) ) +  ( SUMPRODUCT( ((Adders!$D$13:$D$101)=$E27)*((Adders!$E$13:$E$101)=$F27)*(Adders!H$13:H$101)) + VLOOKUP($H27,Adders!$B$5:$G$8,M$11,FALSE)  +  NJ!$D$2 ) * IF($D27="NJ",1.07,1))/$L$10, CHOOSE($M$10,$L$9,$M$9) )</f>
        <v xml:space="preserve"> 97.75 </v>
      </c>
      <c r="K27" s="174" t="str">
        <f>TEXT(   (SUMPRODUCT( ((Main!$H$9:$H$1000)=$E27)*((Main!$J$9:$J$1000)=$F27)*((Main!$O$9:$O$1000)=$C27)*(Main!T$9:T$1000) ) +  ( SUMPRODUCT( ((Adders!$D$13:$D$101)=$E27)*((Adders!$E$13:$E$101)=$F27)*(Adders!I$13:I$101)) + VLOOKUP($H27,Adders!$B$5:$G$8,N$11,FALSE)  +  NJ!$D$2 ) * IF($D27="NJ",1.07,1))/$L$10, CHOOSE($M$10,$L$9,$M$9) )</f>
        <v xml:space="preserve"> 95.95 </v>
      </c>
      <c r="L27" s="173" t="str">
        <f>TEXT(   (SUMPRODUCT( ((LMPMain!$H$9:$H$1000)=$E27)*((LMPMain!$J$9:$J$1000)=$F27)*((LMPMain!$O$9:$O$1000)=$C27)*(LMPMain!R$9:R$1000) ) +  ( SUMPRODUCT( ((Adders!$D$13:$D$101)=$E27)*((Adders!$E$13:$E$101)=$F27)*(Adders!G$13:G$101)) + VLOOKUP($H27,Adders!$B$5:$G$8,L$11,FALSE)  +  NJ!$D$2 ) * IF($D27="NJ",1.07,1))/$L$10, CHOOSE($M$10,$L$9,$M$9) )</f>
        <v xml:space="preserve"> 52.51 </v>
      </c>
      <c r="M27" s="173" t="str">
        <f>TEXT(   (SUMPRODUCT( ((LMPMain!$H$9:$H$1000)=$E27)*((LMPMain!$J$9:$J$1000)=$F27)*((LMPMain!$O$9:$O$1000)=$C27)*(LMPMain!S$9:S$1000) ) +  ( SUMPRODUCT( ((Adders!$D$13:$D$101)=$E27)*((Adders!$E$13:$E$101)=$F27)*(Adders!H$13:H$101)) + VLOOKUP($H27,Adders!$B$5:$G$8,M$11,FALSE)  +  NJ!$D$2 ) * IF($D27="NJ",1.07,1))/$L$10, CHOOSE($M$10,$L$9,$M$9) )</f>
        <v xml:space="preserve"> 53.00 </v>
      </c>
      <c r="N27" s="174" t="str">
        <f>TEXT(   (SUMPRODUCT( ((LMPMain!$H$9:$H$1000)=$E27)*((LMPMain!$J$9:$J$1000)=$F27)*((LMPMain!$O$9:$O$1000)=$C27)*(LMPMain!T$9:T$1000) ) +  ( SUMPRODUCT( ((Adders!$D$13:$D$101)=$E27)*((Adders!$E$13:$E$101)=$F27)*(Adders!I$13:I$101)) + VLOOKUP($H27,Adders!$B$5:$G$8,N$11,FALSE)  +  NJ!$D$2 ) * IF($D27="NJ",1.07,1))/$L$10, CHOOSE($M$10,$L$9,$M$9) )</f>
        <v xml:space="preserve"> 51.40 </v>
      </c>
      <c r="O27" s="112"/>
    </row>
    <row r="28" spans="2:15" x14ac:dyDescent="0.25">
      <c r="B28" s="108"/>
      <c r="C28" s="135">
        <f>+C27</f>
        <v>42278</v>
      </c>
      <c r="D28" s="136" t="s">
        <v>31</v>
      </c>
      <c r="E28" s="137" t="s">
        <v>32</v>
      </c>
      <c r="F28" s="136" t="s">
        <v>33</v>
      </c>
      <c r="G28" s="137" t="str">
        <f t="shared" si="0"/>
        <v>Mthly Gen. Service</v>
      </c>
      <c r="H28" s="138" t="s">
        <v>690</v>
      </c>
      <c r="I28" s="176" t="str">
        <f>TEXT(   (SUMPRODUCT( ((Main!$H$9:$H$1000)=$E28)*((Main!$J$9:$J$1000)=$F28)*((Main!$O$9:$O$1000)=$C28)*(Main!R$9:R$1000) ) +  ( SUMPRODUCT( ((Adders!$D$13:$D$101)=$E28)*((Adders!$E$13:$E$101)=$F28)*(Adders!G$13:G$101)) + VLOOKUP($H28,Adders!$B$5:$G$8,L$11,FALSE)  +  NJ!$D$2 ) * IF($D28="NJ",1.07,1))/$L$10, CHOOSE($M$10,$L$9,$M$9) )</f>
        <v xml:space="preserve"> 95.56 </v>
      </c>
      <c r="J28" s="176" t="str">
        <f>TEXT(   (SUMPRODUCT( ((Main!$H$9:$H$1000)=$E28)*((Main!$J$9:$J$1000)=$F28)*((Main!$O$9:$O$1000)=$C28)*(Main!S$9:S$1000) ) +  ( SUMPRODUCT( ((Adders!$D$13:$D$101)=$E28)*((Adders!$E$13:$E$101)=$F28)*(Adders!H$13:H$101)) + VLOOKUP($H28,Adders!$B$5:$G$8,M$11,FALSE)  +  NJ!$D$2 ) * IF($D28="NJ",1.07,1))/$L$10, CHOOSE($M$10,$L$9,$M$9) )</f>
        <v xml:space="preserve"> 96.63 </v>
      </c>
      <c r="K28" s="177" t="str">
        <f>TEXT(   (SUMPRODUCT( ((Main!$H$9:$H$1000)=$E28)*((Main!$J$9:$J$1000)=$F28)*((Main!$O$9:$O$1000)=$C28)*(Main!T$9:T$1000) ) +  ( SUMPRODUCT( ((Adders!$D$13:$D$101)=$E28)*((Adders!$E$13:$E$101)=$F28)*(Adders!I$13:I$101)) + VLOOKUP($H28,Adders!$B$5:$G$8,N$11,FALSE)  +  NJ!$D$2 ) * IF($D28="NJ",1.07,1))/$L$10, CHOOSE($M$10,$L$9,$M$9) )</f>
        <v xml:space="preserve"> 94.83 </v>
      </c>
      <c r="L28" s="176" t="str">
        <f>TEXT(   (SUMPRODUCT( ((LMPMain!$H$9:$H$1000)=$E28)*((LMPMain!$J$9:$J$1000)=$F28)*((LMPMain!$O$9:$O$1000)=$C28)*(LMPMain!R$9:R$1000) ) +  ( SUMPRODUCT( ((Adders!$D$13:$D$101)=$E28)*((Adders!$E$13:$E$101)=$F28)*(Adders!G$13:G$101)) + VLOOKUP($H28,Adders!$B$5:$G$8,L$11,FALSE)  +  NJ!$D$2 ) * IF($D28="NJ",1.07,1))/$L$10, CHOOSE($M$10,$L$9,$M$9) )</f>
        <v xml:space="preserve"> 51.38 </v>
      </c>
      <c r="M28" s="176" t="str">
        <f>TEXT(   (SUMPRODUCT( ((LMPMain!$H$9:$H$1000)=$E28)*((LMPMain!$J$9:$J$1000)=$F28)*((LMPMain!$O$9:$O$1000)=$C28)*(LMPMain!S$9:S$1000) ) +  ( SUMPRODUCT( ((Adders!$D$13:$D$101)=$E28)*((Adders!$E$13:$E$101)=$F28)*(Adders!H$13:H$101)) + VLOOKUP($H28,Adders!$B$5:$G$8,M$11,FALSE)  +  NJ!$D$2 ) * IF($D28="NJ",1.07,1))/$L$10, CHOOSE($M$10,$L$9,$M$9) )</f>
        <v xml:space="preserve"> 51.88 </v>
      </c>
      <c r="N28" s="177" t="str">
        <f>TEXT(   (SUMPRODUCT( ((LMPMain!$H$9:$H$1000)=$E28)*((LMPMain!$J$9:$J$1000)=$F28)*((LMPMain!$O$9:$O$1000)=$C28)*(LMPMain!T$9:T$1000) ) +  ( SUMPRODUCT( ((Adders!$D$13:$D$101)=$E28)*((Adders!$E$13:$E$101)=$F28)*(Adders!I$13:I$101)) + VLOOKUP($H28,Adders!$B$5:$G$8,N$11,FALSE)  +  NJ!$D$2 ) * IF($D28="NJ",1.07,1))/$L$10, CHOOSE($M$10,$L$9,$M$9) )</f>
        <v xml:space="preserve"> 50.28 </v>
      </c>
      <c r="O28" s="112"/>
    </row>
    <row r="29" spans="2:15" x14ac:dyDescent="0.25">
      <c r="B29" s="108"/>
      <c r="C29" s="127">
        <f>DATE(YEAR(C28),MONTH(C28)+1,0)+1</f>
        <v>42309</v>
      </c>
      <c r="D29" s="128" t="s">
        <v>31</v>
      </c>
      <c r="E29" s="129" t="s">
        <v>32</v>
      </c>
      <c r="F29" s="128" t="s">
        <v>33</v>
      </c>
      <c r="G29" s="129" t="str">
        <f t="shared" si="0"/>
        <v>Mthly Gen. Service</v>
      </c>
      <c r="H29" s="130" t="s">
        <v>61</v>
      </c>
      <c r="I29" s="178" t="str">
        <f>TEXT(   (SUMPRODUCT( ((Main!$H$9:$H$1000)=$E29)*((Main!$J$9:$J$1000)=$F29)*((Main!$O$9:$O$1000)=$C29)*(Main!R$9:R$1000) ) +  ( SUMPRODUCT( ((Adders!$D$13:$D$101)=$E29)*((Adders!$E$13:$E$101)=$F29)*(Adders!G$13:G$101)) + VLOOKUP($H29,Adders!$B$5:$G$8,L$11,FALSE)  +  NJ!$D$2 ) * IF($D29="NJ",1.07,1))/$L$10, CHOOSE($M$10,$L$9,$M$9) )</f>
        <v xml:space="preserve"> 98.07 </v>
      </c>
      <c r="J29" s="178" t="str">
        <f>TEXT(   (SUMPRODUCT( ((Main!$H$9:$H$1000)=$E29)*((Main!$J$9:$J$1000)=$F29)*((Main!$O$9:$O$1000)=$C29)*(Main!S$9:S$1000) ) +  ( SUMPRODUCT( ((Adders!$D$13:$D$101)=$E29)*((Adders!$E$13:$E$101)=$F29)*(Adders!H$13:H$101)) + VLOOKUP($H29,Adders!$B$5:$G$8,M$11,FALSE)  +  NJ!$D$2 ) * IF($D29="NJ",1.07,1))/$L$10, CHOOSE($M$10,$L$9,$M$9) )</f>
        <v xml:space="preserve"> 99.55 </v>
      </c>
      <c r="K29" s="179" t="str">
        <f>TEXT(   (SUMPRODUCT( ((Main!$H$9:$H$1000)=$E29)*((Main!$J$9:$J$1000)=$F29)*((Main!$O$9:$O$1000)=$C29)*(Main!T$9:T$1000) ) +  ( SUMPRODUCT( ((Adders!$D$13:$D$101)=$E29)*((Adders!$E$13:$E$101)=$F29)*(Adders!I$13:I$101)) + VLOOKUP($H29,Adders!$B$5:$G$8,N$11,FALSE)  +  NJ!$D$2 ) * IF($D29="NJ",1.07,1))/$L$10, CHOOSE($M$10,$L$9,$M$9) )</f>
        <v xml:space="preserve"> 97.59 </v>
      </c>
      <c r="L29" s="178" t="str">
        <f>TEXT(   (SUMPRODUCT( ((LMPMain!$H$9:$H$1000)=$E29)*((LMPMain!$J$9:$J$1000)=$F29)*((LMPMain!$O$9:$O$1000)=$C29)*(LMPMain!R$9:R$1000) ) +  ( SUMPRODUCT( ((Adders!$D$13:$D$101)=$E29)*((Adders!$E$13:$E$101)=$F29)*(Adders!G$13:G$101)) + VLOOKUP($H29,Adders!$B$5:$G$8,L$11,FALSE)  +  NJ!$D$2 ) * IF($D29="NJ",1.07,1))/$L$10, CHOOSE($M$10,$L$9,$M$9) )</f>
        <v xml:space="preserve"> 53.93 </v>
      </c>
      <c r="M29" s="178" t="str">
        <f>TEXT(   (SUMPRODUCT( ((LMPMain!$H$9:$H$1000)=$E29)*((LMPMain!$J$9:$J$1000)=$F29)*((LMPMain!$O$9:$O$1000)=$C29)*(LMPMain!S$9:S$1000) ) +  ( SUMPRODUCT( ((Adders!$D$13:$D$101)=$E29)*((Adders!$E$13:$E$101)=$F29)*(Adders!H$13:H$101)) + VLOOKUP($H29,Adders!$B$5:$G$8,M$11,FALSE)  +  NJ!$D$2 ) * IF($D29="NJ",1.07,1))/$L$10, CHOOSE($M$10,$L$9,$M$9) )</f>
        <v xml:space="preserve"> 54.64 </v>
      </c>
      <c r="N29" s="179" t="str">
        <f>TEXT(   (SUMPRODUCT( ((LMPMain!$H$9:$H$1000)=$E29)*((LMPMain!$J$9:$J$1000)=$F29)*((LMPMain!$O$9:$O$1000)=$C29)*(LMPMain!T$9:T$1000) ) +  ( SUMPRODUCT( ((Adders!$D$13:$D$101)=$E29)*((Adders!$E$13:$E$101)=$F29)*(Adders!I$13:I$101)) + VLOOKUP($H29,Adders!$B$5:$G$8,N$11,FALSE)  +  NJ!$D$2 ) * IF($D29="NJ",1.07,1))/$L$10, CHOOSE($M$10,$L$9,$M$9) )</f>
        <v xml:space="preserve"> 53.00 </v>
      </c>
      <c r="O29" s="112"/>
    </row>
    <row r="30" spans="2:15" x14ac:dyDescent="0.25">
      <c r="B30" s="108"/>
      <c r="C30" s="131">
        <f>+C29</f>
        <v>42309</v>
      </c>
      <c r="D30" s="132" t="s">
        <v>31</v>
      </c>
      <c r="E30" s="133" t="s">
        <v>32</v>
      </c>
      <c r="F30" s="132" t="s">
        <v>33</v>
      </c>
      <c r="G30" s="133" t="str">
        <f t="shared" si="0"/>
        <v>Mthly Gen. Service</v>
      </c>
      <c r="H30" s="134" t="s">
        <v>62</v>
      </c>
      <c r="I30" s="173" t="str">
        <f>TEXT(   (SUMPRODUCT( ((Main!$H$9:$H$1000)=$E30)*((Main!$J$9:$J$1000)=$F30)*((Main!$O$9:$O$1000)=$C30)*(Main!R$9:R$1000) ) +  ( SUMPRODUCT( ((Adders!$D$13:$D$101)=$E30)*((Adders!$E$13:$E$101)=$F30)*(Adders!G$13:G$101)) + VLOOKUP($H30,Adders!$B$5:$G$8,L$11,FALSE)  +  NJ!$D$2 ) * IF($D30="NJ",1.07,1))/$L$10, CHOOSE($M$10,$L$9,$M$9) )</f>
        <v xml:space="preserve"> 96.36 </v>
      </c>
      <c r="J30" s="173" t="str">
        <f>TEXT(   (SUMPRODUCT( ((Main!$H$9:$H$1000)=$E30)*((Main!$J$9:$J$1000)=$F30)*((Main!$O$9:$O$1000)=$C30)*(Main!S$9:S$1000) ) +  ( SUMPRODUCT( ((Adders!$D$13:$D$101)=$E30)*((Adders!$E$13:$E$101)=$F30)*(Adders!H$13:H$101)) + VLOOKUP($H30,Adders!$B$5:$G$8,M$11,FALSE)  +  NJ!$D$2 ) * IF($D30="NJ",1.07,1))/$L$10, CHOOSE($M$10,$L$9,$M$9) )</f>
        <v xml:space="preserve"> 97.84 </v>
      </c>
      <c r="K30" s="174" t="str">
        <f>TEXT(   (SUMPRODUCT( ((Main!$H$9:$H$1000)=$E30)*((Main!$J$9:$J$1000)=$F30)*((Main!$O$9:$O$1000)=$C30)*(Main!T$9:T$1000) ) +  ( SUMPRODUCT( ((Adders!$D$13:$D$101)=$E30)*((Adders!$E$13:$E$101)=$F30)*(Adders!I$13:I$101)) + VLOOKUP($H30,Adders!$B$5:$G$8,N$11,FALSE)  +  NJ!$D$2 ) * IF($D30="NJ",1.07,1))/$L$10, CHOOSE($M$10,$L$9,$M$9) )</f>
        <v xml:space="preserve"> 95.88 </v>
      </c>
      <c r="L30" s="173" t="str">
        <f>TEXT(   (SUMPRODUCT( ((LMPMain!$H$9:$H$1000)=$E30)*((LMPMain!$J$9:$J$1000)=$F30)*((LMPMain!$O$9:$O$1000)=$C30)*(LMPMain!R$9:R$1000) ) +  ( SUMPRODUCT( ((Adders!$D$13:$D$101)=$E30)*((Adders!$E$13:$E$101)=$F30)*(Adders!G$13:G$101)) + VLOOKUP($H30,Adders!$B$5:$G$8,L$11,FALSE)  +  NJ!$D$2 ) * IF($D30="NJ",1.07,1))/$L$10, CHOOSE($M$10,$L$9,$M$9) )</f>
        <v xml:space="preserve"> 52.22 </v>
      </c>
      <c r="M30" s="173" t="str">
        <f>TEXT(   (SUMPRODUCT( ((LMPMain!$H$9:$H$1000)=$E30)*((LMPMain!$J$9:$J$1000)=$F30)*((LMPMain!$O$9:$O$1000)=$C30)*(LMPMain!S$9:S$1000) ) +  ( SUMPRODUCT( ((Adders!$D$13:$D$101)=$E30)*((Adders!$E$13:$E$101)=$F30)*(Adders!H$13:H$101)) + VLOOKUP($H30,Adders!$B$5:$G$8,M$11,FALSE)  +  NJ!$D$2 ) * IF($D30="NJ",1.07,1))/$L$10, CHOOSE($M$10,$L$9,$M$9) )</f>
        <v xml:space="preserve"> 52.93 </v>
      </c>
      <c r="N30" s="174" t="str">
        <f>TEXT(   (SUMPRODUCT( ((LMPMain!$H$9:$H$1000)=$E30)*((LMPMain!$J$9:$J$1000)=$F30)*((LMPMain!$O$9:$O$1000)=$C30)*(LMPMain!T$9:T$1000) ) +  ( SUMPRODUCT( ((Adders!$D$13:$D$101)=$E30)*((Adders!$E$13:$E$101)=$F30)*(Adders!I$13:I$101)) + VLOOKUP($H30,Adders!$B$5:$G$8,N$11,FALSE)  +  NJ!$D$2 ) * IF($D30="NJ",1.07,1))/$L$10, CHOOSE($M$10,$L$9,$M$9) )</f>
        <v xml:space="preserve"> 51.29 </v>
      </c>
      <c r="O30" s="112"/>
    </row>
    <row r="31" spans="2:15" x14ac:dyDescent="0.25">
      <c r="B31" s="108"/>
      <c r="C31" s="135">
        <f>+C30</f>
        <v>42309</v>
      </c>
      <c r="D31" s="136" t="s">
        <v>31</v>
      </c>
      <c r="E31" s="137" t="s">
        <v>32</v>
      </c>
      <c r="F31" s="136" t="s">
        <v>33</v>
      </c>
      <c r="G31" s="137" t="str">
        <f t="shared" si="0"/>
        <v>Mthly Gen. Service</v>
      </c>
      <c r="H31" s="138" t="s">
        <v>690</v>
      </c>
      <c r="I31" s="176" t="str">
        <f>TEXT(   (SUMPRODUCT( ((Main!$H$9:$H$1000)=$E31)*((Main!$J$9:$J$1000)=$F31)*((Main!$O$9:$O$1000)=$C31)*(Main!R$9:R$1000) ) +  ( SUMPRODUCT( ((Adders!$D$13:$D$101)=$E31)*((Adders!$E$13:$E$101)=$F31)*(Adders!G$13:G$101)) + VLOOKUP($H31,Adders!$B$5:$G$8,L$11,FALSE)  +  NJ!$D$2 ) * IF($D31="NJ",1.07,1))/$L$10, CHOOSE($M$10,$L$9,$M$9) )</f>
        <v xml:space="preserve"> 95.24 </v>
      </c>
      <c r="J31" s="176" t="str">
        <f>TEXT(   (SUMPRODUCT( ((Main!$H$9:$H$1000)=$E31)*((Main!$J$9:$J$1000)=$F31)*((Main!$O$9:$O$1000)=$C31)*(Main!S$9:S$1000) ) +  ( SUMPRODUCT( ((Adders!$D$13:$D$101)=$E31)*((Adders!$E$13:$E$101)=$F31)*(Adders!H$13:H$101)) + VLOOKUP($H31,Adders!$B$5:$G$8,M$11,FALSE)  +  NJ!$D$2 ) * IF($D31="NJ",1.07,1))/$L$10, CHOOSE($M$10,$L$9,$M$9) )</f>
        <v xml:space="preserve"> 96.72 </v>
      </c>
      <c r="K31" s="177" t="str">
        <f>TEXT(   (SUMPRODUCT( ((Main!$H$9:$H$1000)=$E31)*((Main!$J$9:$J$1000)=$F31)*((Main!$O$9:$O$1000)=$C31)*(Main!T$9:T$1000) ) +  ( SUMPRODUCT( ((Adders!$D$13:$D$101)=$E31)*((Adders!$E$13:$E$101)=$F31)*(Adders!I$13:I$101)) + VLOOKUP($H31,Adders!$B$5:$G$8,N$11,FALSE)  +  NJ!$D$2 ) * IF($D31="NJ",1.07,1))/$L$10, CHOOSE($M$10,$L$9,$M$9) )</f>
        <v xml:space="preserve"> 94.76 </v>
      </c>
      <c r="L31" s="176" t="str">
        <f>TEXT(   (SUMPRODUCT( ((LMPMain!$H$9:$H$1000)=$E31)*((LMPMain!$J$9:$J$1000)=$F31)*((LMPMain!$O$9:$O$1000)=$C31)*(LMPMain!R$9:R$1000) ) +  ( SUMPRODUCT( ((Adders!$D$13:$D$101)=$E31)*((Adders!$E$13:$E$101)=$F31)*(Adders!G$13:G$101)) + VLOOKUP($H31,Adders!$B$5:$G$8,L$11,FALSE)  +  NJ!$D$2 ) * IF($D31="NJ",1.07,1))/$L$10, CHOOSE($M$10,$L$9,$M$9) )</f>
        <v xml:space="preserve"> 51.09 </v>
      </c>
      <c r="M31" s="176" t="str">
        <f>TEXT(   (SUMPRODUCT( ((LMPMain!$H$9:$H$1000)=$E31)*((LMPMain!$J$9:$J$1000)=$F31)*((LMPMain!$O$9:$O$1000)=$C31)*(LMPMain!S$9:S$1000) ) +  ( SUMPRODUCT( ((Adders!$D$13:$D$101)=$E31)*((Adders!$E$13:$E$101)=$F31)*(Adders!H$13:H$101)) + VLOOKUP($H31,Adders!$B$5:$G$8,M$11,FALSE)  +  NJ!$D$2 ) * IF($D31="NJ",1.07,1))/$L$10, CHOOSE($M$10,$L$9,$M$9) )</f>
        <v xml:space="preserve"> 51.81 </v>
      </c>
      <c r="N31" s="177" t="str">
        <f>TEXT(   (SUMPRODUCT( ((LMPMain!$H$9:$H$1000)=$E31)*((LMPMain!$J$9:$J$1000)=$F31)*((LMPMain!$O$9:$O$1000)=$C31)*(LMPMain!T$9:T$1000) ) +  ( SUMPRODUCT( ((Adders!$D$13:$D$101)=$E31)*((Adders!$E$13:$E$101)=$F31)*(Adders!I$13:I$101)) + VLOOKUP($H31,Adders!$B$5:$G$8,N$11,FALSE)  +  NJ!$D$2 ) * IF($D31="NJ",1.07,1))/$L$10, CHOOSE($M$10,$L$9,$M$9) )</f>
        <v xml:space="preserve"> 50.16 </v>
      </c>
      <c r="O31" s="112"/>
    </row>
    <row r="32" spans="2:15" x14ac:dyDescent="0.25">
      <c r="B32" s="108"/>
      <c r="C32" s="127">
        <f>DATE(YEAR(C31),MONTH(C31)+1,0)+1</f>
        <v>42339</v>
      </c>
      <c r="D32" s="128" t="s">
        <v>31</v>
      </c>
      <c r="E32" s="129" t="s">
        <v>32</v>
      </c>
      <c r="F32" s="128" t="s">
        <v>33</v>
      </c>
      <c r="G32" s="129" t="str">
        <f t="shared" si="0"/>
        <v>Mthly Gen. Service</v>
      </c>
      <c r="H32" s="130" t="s">
        <v>61</v>
      </c>
      <c r="I32" s="178" t="str">
        <f>TEXT(   (SUMPRODUCT( ((Main!$H$9:$H$1000)=$E32)*((Main!$J$9:$J$1000)=$F32)*((Main!$O$9:$O$1000)=$C32)*(Main!R$9:R$1000) ) +  ( SUMPRODUCT( ((Adders!$D$13:$D$101)=$E32)*((Adders!$E$13:$E$101)=$F32)*(Adders!G$13:G$101)) + VLOOKUP($H32,Adders!$B$5:$G$8,L$11,FALSE)  +  NJ!$D$2 ) * IF($D32="NJ",1.07,1))/$L$10, CHOOSE($M$10,$L$9,$M$9) )</f>
        <v xml:space="preserve"> 97.80 </v>
      </c>
      <c r="J32" s="178" t="str">
        <f>TEXT(   (SUMPRODUCT( ((Main!$H$9:$H$1000)=$E32)*((Main!$J$9:$J$1000)=$F32)*((Main!$O$9:$O$1000)=$C32)*(Main!S$9:S$1000) ) +  ( SUMPRODUCT( ((Adders!$D$13:$D$101)=$E32)*((Adders!$E$13:$E$101)=$F32)*(Adders!H$13:H$101)) + VLOOKUP($H32,Adders!$B$5:$G$8,M$11,FALSE)  +  NJ!$D$2 ) * IF($D32="NJ",1.07,1))/$L$10, CHOOSE($M$10,$L$9,$M$9) )</f>
        <v xml:space="preserve"> 99.14 </v>
      </c>
      <c r="K32" s="179" t="str">
        <f>TEXT(   (SUMPRODUCT( ((Main!$H$9:$H$1000)=$E32)*((Main!$J$9:$J$1000)=$F32)*((Main!$O$9:$O$1000)=$C32)*(Main!T$9:T$1000) ) +  ( SUMPRODUCT( ((Adders!$D$13:$D$101)=$E32)*((Adders!$E$13:$E$101)=$F32)*(Adders!I$13:I$101)) + VLOOKUP($H32,Adders!$B$5:$G$8,N$11,FALSE)  +  NJ!$D$2 ) * IF($D32="NJ",1.07,1))/$L$10, CHOOSE($M$10,$L$9,$M$9) )</f>
        <v xml:space="preserve"> 97.48 </v>
      </c>
      <c r="L32" s="178" t="str">
        <f>TEXT(   (SUMPRODUCT( ((LMPMain!$H$9:$H$1000)=$E32)*((LMPMain!$J$9:$J$1000)=$F32)*((LMPMain!$O$9:$O$1000)=$C32)*(LMPMain!R$9:R$1000) ) +  ( SUMPRODUCT( ((Adders!$D$13:$D$101)=$E32)*((Adders!$E$13:$E$101)=$F32)*(Adders!G$13:G$101)) + VLOOKUP($H32,Adders!$B$5:$G$8,L$11,FALSE)  +  NJ!$D$2 ) * IF($D32="NJ",1.07,1))/$L$10, CHOOSE($M$10,$L$9,$M$9) )</f>
        <v xml:space="preserve"> 53.60 </v>
      </c>
      <c r="M32" s="178" t="str">
        <f>TEXT(   (SUMPRODUCT( ((LMPMain!$H$9:$H$1000)=$E32)*((LMPMain!$J$9:$J$1000)=$F32)*((LMPMain!$O$9:$O$1000)=$C32)*(LMPMain!S$9:S$1000) ) +  ( SUMPRODUCT( ((Adders!$D$13:$D$101)=$E32)*((Adders!$E$13:$E$101)=$F32)*(Adders!H$13:H$101)) + VLOOKUP($H32,Adders!$B$5:$G$8,M$11,FALSE)  +  NJ!$D$2 ) * IF($D32="NJ",1.07,1))/$L$10, CHOOSE($M$10,$L$9,$M$9) )</f>
        <v xml:space="preserve"> 54.23 </v>
      </c>
      <c r="N32" s="179" t="str">
        <f>TEXT(   (SUMPRODUCT( ((LMPMain!$H$9:$H$1000)=$E32)*((LMPMain!$J$9:$J$1000)=$F32)*((LMPMain!$O$9:$O$1000)=$C32)*(LMPMain!T$9:T$1000) ) +  ( SUMPRODUCT( ((Adders!$D$13:$D$101)=$E32)*((Adders!$E$13:$E$101)=$F32)*(Adders!I$13:I$101)) + VLOOKUP($H32,Adders!$B$5:$G$8,N$11,FALSE)  +  NJ!$D$2 ) * IF($D32="NJ",1.07,1))/$L$10, CHOOSE($M$10,$L$9,$M$9) )</f>
        <v xml:space="preserve"> 52.83 </v>
      </c>
      <c r="O32" s="112"/>
    </row>
    <row r="33" spans="2:15" x14ac:dyDescent="0.25">
      <c r="B33" s="108"/>
      <c r="C33" s="131">
        <f>+C32</f>
        <v>42339</v>
      </c>
      <c r="D33" s="132" t="s">
        <v>31</v>
      </c>
      <c r="E33" s="133" t="s">
        <v>32</v>
      </c>
      <c r="F33" s="132" t="s">
        <v>33</v>
      </c>
      <c r="G33" s="133" t="str">
        <f t="shared" si="0"/>
        <v>Mthly Gen. Service</v>
      </c>
      <c r="H33" s="134" t="s">
        <v>62</v>
      </c>
      <c r="I33" s="173" t="str">
        <f>TEXT(   (SUMPRODUCT( ((Main!$H$9:$H$1000)=$E33)*((Main!$J$9:$J$1000)=$F33)*((Main!$O$9:$O$1000)=$C33)*(Main!R$9:R$1000) ) +  ( SUMPRODUCT( ((Adders!$D$13:$D$101)=$E33)*((Adders!$E$13:$E$101)=$F33)*(Adders!G$13:G$101)) + VLOOKUP($H33,Adders!$B$5:$G$8,L$11,FALSE)  +  NJ!$D$2 ) * IF($D33="NJ",1.07,1))/$L$10, CHOOSE($M$10,$L$9,$M$9) )</f>
        <v xml:space="preserve"> 96.09 </v>
      </c>
      <c r="J33" s="173" t="str">
        <f>TEXT(   (SUMPRODUCT( ((Main!$H$9:$H$1000)=$E33)*((Main!$J$9:$J$1000)=$F33)*((Main!$O$9:$O$1000)=$C33)*(Main!S$9:S$1000) ) +  ( SUMPRODUCT( ((Adders!$D$13:$D$101)=$E33)*((Adders!$E$13:$E$101)=$F33)*(Adders!H$13:H$101)) + VLOOKUP($H33,Adders!$B$5:$G$8,M$11,FALSE)  +  NJ!$D$2 ) * IF($D33="NJ",1.07,1))/$L$10, CHOOSE($M$10,$L$9,$M$9) )</f>
        <v xml:space="preserve"> 97.43 </v>
      </c>
      <c r="K33" s="174" t="str">
        <f>TEXT(   (SUMPRODUCT( ((Main!$H$9:$H$1000)=$E33)*((Main!$J$9:$J$1000)=$F33)*((Main!$O$9:$O$1000)=$C33)*(Main!T$9:T$1000) ) +  ( SUMPRODUCT( ((Adders!$D$13:$D$101)=$E33)*((Adders!$E$13:$E$101)=$F33)*(Adders!I$13:I$101)) + VLOOKUP($H33,Adders!$B$5:$G$8,N$11,FALSE)  +  NJ!$D$2 ) * IF($D33="NJ",1.07,1))/$L$10, CHOOSE($M$10,$L$9,$M$9) )</f>
        <v xml:space="preserve"> 95.77 </v>
      </c>
      <c r="L33" s="173" t="str">
        <f>TEXT(   (SUMPRODUCT( ((LMPMain!$H$9:$H$1000)=$E33)*((LMPMain!$J$9:$J$1000)=$F33)*((LMPMain!$O$9:$O$1000)=$C33)*(LMPMain!R$9:R$1000) ) +  ( SUMPRODUCT( ((Adders!$D$13:$D$101)=$E33)*((Adders!$E$13:$E$101)=$F33)*(Adders!G$13:G$101)) + VLOOKUP($H33,Adders!$B$5:$G$8,L$11,FALSE)  +  NJ!$D$2 ) * IF($D33="NJ",1.07,1))/$L$10, CHOOSE($M$10,$L$9,$M$9) )</f>
        <v xml:space="preserve"> 51.89 </v>
      </c>
      <c r="M33" s="173" t="str">
        <f>TEXT(   (SUMPRODUCT( ((LMPMain!$H$9:$H$1000)=$E33)*((LMPMain!$J$9:$J$1000)=$F33)*((LMPMain!$O$9:$O$1000)=$C33)*(LMPMain!S$9:S$1000) ) +  ( SUMPRODUCT( ((Adders!$D$13:$D$101)=$E33)*((Adders!$E$13:$E$101)=$F33)*(Adders!H$13:H$101)) + VLOOKUP($H33,Adders!$B$5:$G$8,M$11,FALSE)  +  NJ!$D$2 ) * IF($D33="NJ",1.07,1))/$L$10, CHOOSE($M$10,$L$9,$M$9) )</f>
        <v xml:space="preserve"> 52.51 </v>
      </c>
      <c r="N33" s="174" t="str">
        <f>TEXT(   (SUMPRODUCT( ((LMPMain!$H$9:$H$1000)=$E33)*((LMPMain!$J$9:$J$1000)=$F33)*((LMPMain!$O$9:$O$1000)=$C33)*(LMPMain!T$9:T$1000) ) +  ( SUMPRODUCT( ((Adders!$D$13:$D$101)=$E33)*((Adders!$E$13:$E$101)=$F33)*(Adders!I$13:I$101)) + VLOOKUP($H33,Adders!$B$5:$G$8,N$11,FALSE)  +  NJ!$D$2 ) * IF($D33="NJ",1.07,1))/$L$10, CHOOSE($M$10,$L$9,$M$9) )</f>
        <v xml:space="preserve"> 51.11 </v>
      </c>
      <c r="O33" s="112"/>
    </row>
    <row r="34" spans="2:15" x14ac:dyDescent="0.25">
      <c r="B34" s="108"/>
      <c r="C34" s="135">
        <f>+C33</f>
        <v>42339</v>
      </c>
      <c r="D34" s="136" t="s">
        <v>31</v>
      </c>
      <c r="E34" s="137" t="s">
        <v>32</v>
      </c>
      <c r="F34" s="136" t="s">
        <v>33</v>
      </c>
      <c r="G34" s="137" t="str">
        <f t="shared" si="0"/>
        <v>Mthly Gen. Service</v>
      </c>
      <c r="H34" s="138" t="s">
        <v>690</v>
      </c>
      <c r="I34" s="176" t="str">
        <f>TEXT(   (SUMPRODUCT( ((Main!$H$9:$H$1000)=$E34)*((Main!$J$9:$J$1000)=$F34)*((Main!$O$9:$O$1000)=$C34)*(Main!R$9:R$1000) ) +  ( SUMPRODUCT( ((Adders!$D$13:$D$101)=$E34)*((Adders!$E$13:$E$101)=$F34)*(Adders!G$13:G$101)) + VLOOKUP($H34,Adders!$B$5:$G$8,L$11,FALSE)  +  NJ!$D$2 ) * IF($D34="NJ",1.07,1))/$L$10, CHOOSE($M$10,$L$9,$M$9) )</f>
        <v xml:space="preserve"> 94.97 </v>
      </c>
      <c r="J34" s="176" t="str">
        <f>TEXT(   (SUMPRODUCT( ((Main!$H$9:$H$1000)=$E34)*((Main!$J$9:$J$1000)=$F34)*((Main!$O$9:$O$1000)=$C34)*(Main!S$9:S$1000) ) +  ( SUMPRODUCT( ((Adders!$D$13:$D$101)=$E34)*((Adders!$E$13:$E$101)=$F34)*(Adders!H$13:H$101)) + VLOOKUP($H34,Adders!$B$5:$G$8,M$11,FALSE)  +  NJ!$D$2 ) * IF($D34="NJ",1.07,1))/$L$10, CHOOSE($M$10,$L$9,$M$9) )</f>
        <v xml:space="preserve"> 96.31 </v>
      </c>
      <c r="K34" s="177" t="str">
        <f>TEXT(   (SUMPRODUCT( ((Main!$H$9:$H$1000)=$E34)*((Main!$J$9:$J$1000)=$F34)*((Main!$O$9:$O$1000)=$C34)*(Main!T$9:T$1000) ) +  ( SUMPRODUCT( ((Adders!$D$13:$D$101)=$E34)*((Adders!$E$13:$E$101)=$F34)*(Adders!I$13:I$101)) + VLOOKUP($H34,Adders!$B$5:$G$8,N$11,FALSE)  +  NJ!$D$2 ) * IF($D34="NJ",1.07,1))/$L$10, CHOOSE($M$10,$L$9,$M$9) )</f>
        <v xml:space="preserve"> 94.65 </v>
      </c>
      <c r="L34" s="176" t="str">
        <f>TEXT(   (SUMPRODUCT( ((LMPMain!$H$9:$H$1000)=$E34)*((LMPMain!$J$9:$J$1000)=$F34)*((LMPMain!$O$9:$O$1000)=$C34)*(LMPMain!R$9:R$1000) ) +  ( SUMPRODUCT( ((Adders!$D$13:$D$101)=$E34)*((Adders!$E$13:$E$101)=$F34)*(Adders!G$13:G$101)) + VLOOKUP($H34,Adders!$B$5:$G$8,L$11,FALSE)  +  NJ!$D$2 ) * IF($D34="NJ",1.07,1))/$L$10, CHOOSE($M$10,$L$9,$M$9) )</f>
        <v xml:space="preserve"> 50.76 </v>
      </c>
      <c r="M34" s="176" t="str">
        <f>TEXT(   (SUMPRODUCT( ((LMPMain!$H$9:$H$1000)=$E34)*((LMPMain!$J$9:$J$1000)=$F34)*((LMPMain!$O$9:$O$1000)=$C34)*(LMPMain!S$9:S$1000) ) +  ( SUMPRODUCT( ((Adders!$D$13:$D$101)=$E34)*((Adders!$E$13:$E$101)=$F34)*(Adders!H$13:H$101)) + VLOOKUP($H34,Adders!$B$5:$G$8,M$11,FALSE)  +  NJ!$D$2 ) * IF($D34="NJ",1.07,1))/$L$10, CHOOSE($M$10,$L$9,$M$9) )</f>
        <v xml:space="preserve"> 51.39 </v>
      </c>
      <c r="N34" s="177" t="str">
        <f>TEXT(   (SUMPRODUCT( ((LMPMain!$H$9:$H$1000)=$E34)*((LMPMain!$J$9:$J$1000)=$F34)*((LMPMain!$O$9:$O$1000)=$C34)*(LMPMain!T$9:T$1000) ) +  ( SUMPRODUCT( ((Adders!$D$13:$D$101)=$E34)*((Adders!$E$13:$E$101)=$F34)*(Adders!I$13:I$101)) + VLOOKUP($H34,Adders!$B$5:$G$8,N$11,FALSE)  +  NJ!$D$2 ) * IF($D34="NJ",1.07,1))/$L$10, CHOOSE($M$10,$L$9,$M$9) )</f>
        <v xml:space="preserve"> 49.99 </v>
      </c>
      <c r="O34" s="112"/>
    </row>
    <row r="35" spans="2:15" x14ac:dyDescent="0.25">
      <c r="B35" s="108"/>
      <c r="C35" s="127">
        <f>DATE(YEAR(C34),MONTH(C34)+1,0)+1</f>
        <v>42370</v>
      </c>
      <c r="D35" s="128" t="s">
        <v>31</v>
      </c>
      <c r="E35" s="129" t="s">
        <v>32</v>
      </c>
      <c r="F35" s="128" t="s">
        <v>33</v>
      </c>
      <c r="G35" s="129" t="str">
        <f t="shared" si="0"/>
        <v>Mthly Gen. Service</v>
      </c>
      <c r="H35" s="130" t="s">
        <v>61</v>
      </c>
      <c r="I35" s="178" t="str">
        <f>TEXT(   (SUMPRODUCT( ((Main!$H$9:$H$1000)=$E35)*((Main!$J$9:$J$1000)=$F35)*((Main!$O$9:$O$1000)=$C35)*(Main!R$9:R$1000) ) +  ( SUMPRODUCT( ((Adders!$D$13:$D$101)=$E35)*((Adders!$E$13:$E$101)=$F35)*(Adders!G$13:G$101)) + VLOOKUP($H35,Adders!$B$5:$G$8,L$11,FALSE)  +  NJ!$D$2 ) * IF($D35="NJ",1.07,1))/$L$10, CHOOSE($M$10,$L$9,$M$9) )</f>
        <v xml:space="preserve"> 97.38 </v>
      </c>
      <c r="J35" s="178" t="str">
        <f>TEXT(   (SUMPRODUCT( ((Main!$H$9:$H$1000)=$E35)*((Main!$J$9:$J$1000)=$F35)*((Main!$O$9:$O$1000)=$C35)*(Main!S$9:S$1000) ) +  ( SUMPRODUCT( ((Adders!$D$13:$D$101)=$E35)*((Adders!$E$13:$E$101)=$F35)*(Adders!H$13:H$101)) + VLOOKUP($H35,Adders!$B$5:$G$8,M$11,FALSE)  +  NJ!$D$2 ) * IF($D35="NJ",1.07,1))/$L$10, CHOOSE($M$10,$L$9,$M$9) )</f>
        <v xml:space="preserve"> 98.60 </v>
      </c>
      <c r="K35" s="179" t="str">
        <f>TEXT(   (SUMPRODUCT( ((Main!$H$9:$H$1000)=$E35)*((Main!$J$9:$J$1000)=$F35)*((Main!$O$9:$O$1000)=$C35)*(Main!T$9:T$1000) ) +  ( SUMPRODUCT( ((Adders!$D$13:$D$101)=$E35)*((Adders!$E$13:$E$101)=$F35)*(Adders!I$13:I$101)) + VLOOKUP($H35,Adders!$B$5:$G$8,N$11,FALSE)  +  NJ!$D$2 ) * IF($D35="NJ",1.07,1))/$L$10, CHOOSE($M$10,$L$9,$M$9) )</f>
        <v xml:space="preserve"> 97.36 </v>
      </c>
      <c r="L35" s="178" t="str">
        <f>TEXT(   (SUMPRODUCT( ((LMPMain!$H$9:$H$1000)=$E35)*((LMPMain!$J$9:$J$1000)=$F35)*((LMPMain!$O$9:$O$1000)=$C35)*(LMPMain!R$9:R$1000) ) +  ( SUMPRODUCT( ((Adders!$D$13:$D$101)=$E35)*((Adders!$E$13:$E$101)=$F35)*(Adders!G$13:G$101)) + VLOOKUP($H35,Adders!$B$5:$G$8,L$11,FALSE)  +  NJ!$D$2 ) * IF($D35="NJ",1.07,1))/$L$10, CHOOSE($M$10,$L$9,$M$9) )</f>
        <v xml:space="preserve"> 53.30 </v>
      </c>
      <c r="M35" s="178" t="str">
        <f>TEXT(   (SUMPRODUCT( ((LMPMain!$H$9:$H$1000)=$E35)*((LMPMain!$J$9:$J$1000)=$F35)*((LMPMain!$O$9:$O$1000)=$C35)*(LMPMain!S$9:S$1000) ) +  ( SUMPRODUCT( ((Adders!$D$13:$D$101)=$E35)*((Adders!$E$13:$E$101)=$F35)*(Adders!H$13:H$101)) + VLOOKUP($H35,Adders!$B$5:$G$8,M$11,FALSE)  +  NJ!$D$2 ) * IF($D35="NJ",1.07,1))/$L$10, CHOOSE($M$10,$L$9,$M$9) )</f>
        <v xml:space="preserve"> 53.62 </v>
      </c>
      <c r="N35" s="179" t="str">
        <f>TEXT(   (SUMPRODUCT( ((LMPMain!$H$9:$H$1000)=$E35)*((LMPMain!$J$9:$J$1000)=$F35)*((LMPMain!$O$9:$O$1000)=$C35)*(LMPMain!T$9:T$1000) ) +  ( SUMPRODUCT( ((Adders!$D$13:$D$101)=$E35)*((Adders!$E$13:$E$101)=$F35)*(Adders!I$13:I$101)) + VLOOKUP($H35,Adders!$B$5:$G$8,N$11,FALSE)  +  NJ!$D$2 ) * IF($D35="NJ",1.07,1))/$L$10, CHOOSE($M$10,$L$9,$M$9) )</f>
        <v xml:space="preserve"> 52.70 </v>
      </c>
      <c r="O35" s="112"/>
    </row>
    <row r="36" spans="2:15" x14ac:dyDescent="0.25">
      <c r="B36" s="108"/>
      <c r="C36" s="131">
        <f>+C35</f>
        <v>42370</v>
      </c>
      <c r="D36" s="132" t="s">
        <v>31</v>
      </c>
      <c r="E36" s="133" t="s">
        <v>32</v>
      </c>
      <c r="F36" s="132" t="s">
        <v>33</v>
      </c>
      <c r="G36" s="133" t="str">
        <f t="shared" si="0"/>
        <v>Mthly Gen. Service</v>
      </c>
      <c r="H36" s="134" t="s">
        <v>62</v>
      </c>
      <c r="I36" s="173" t="str">
        <f>TEXT(   (SUMPRODUCT( ((Main!$H$9:$H$1000)=$E36)*((Main!$J$9:$J$1000)=$F36)*((Main!$O$9:$O$1000)=$C36)*(Main!R$9:R$1000) ) +  ( SUMPRODUCT( ((Adders!$D$13:$D$101)=$E36)*((Adders!$E$13:$E$101)=$F36)*(Adders!G$13:G$101)) + VLOOKUP($H36,Adders!$B$5:$G$8,L$11,FALSE)  +  NJ!$D$2 ) * IF($D36="NJ",1.07,1))/$L$10, CHOOSE($M$10,$L$9,$M$9) )</f>
        <v xml:space="preserve"> 95.67 </v>
      </c>
      <c r="J36" s="173" t="str">
        <f>TEXT(   (SUMPRODUCT( ((Main!$H$9:$H$1000)=$E36)*((Main!$J$9:$J$1000)=$F36)*((Main!$O$9:$O$1000)=$C36)*(Main!S$9:S$1000) ) +  ( SUMPRODUCT( ((Adders!$D$13:$D$101)=$E36)*((Adders!$E$13:$E$101)=$F36)*(Adders!H$13:H$101)) + VLOOKUP($H36,Adders!$B$5:$G$8,M$11,FALSE)  +  NJ!$D$2 ) * IF($D36="NJ",1.07,1))/$L$10, CHOOSE($M$10,$L$9,$M$9) )</f>
        <v xml:space="preserve"> 96.89 </v>
      </c>
      <c r="K36" s="174" t="str">
        <f>TEXT(   (SUMPRODUCT( ((Main!$H$9:$H$1000)=$E36)*((Main!$J$9:$J$1000)=$F36)*((Main!$O$9:$O$1000)=$C36)*(Main!T$9:T$1000) ) +  ( SUMPRODUCT( ((Adders!$D$13:$D$101)=$E36)*((Adders!$E$13:$E$101)=$F36)*(Adders!I$13:I$101)) + VLOOKUP($H36,Adders!$B$5:$G$8,N$11,FALSE)  +  NJ!$D$2 ) * IF($D36="NJ",1.07,1))/$L$10, CHOOSE($M$10,$L$9,$M$9) )</f>
        <v xml:space="preserve"> 95.65 </v>
      </c>
      <c r="L36" s="173" t="str">
        <f>TEXT(   (SUMPRODUCT( ((LMPMain!$H$9:$H$1000)=$E36)*((LMPMain!$J$9:$J$1000)=$F36)*((LMPMain!$O$9:$O$1000)=$C36)*(LMPMain!R$9:R$1000) ) +  ( SUMPRODUCT( ((Adders!$D$13:$D$101)=$E36)*((Adders!$E$13:$E$101)=$F36)*(Adders!G$13:G$101)) + VLOOKUP($H36,Adders!$B$5:$G$8,L$11,FALSE)  +  NJ!$D$2 ) * IF($D36="NJ",1.07,1))/$L$10, CHOOSE($M$10,$L$9,$M$9) )</f>
        <v xml:space="preserve"> 51.59 </v>
      </c>
      <c r="M36" s="173" t="str">
        <f>TEXT(   (SUMPRODUCT( ((LMPMain!$H$9:$H$1000)=$E36)*((LMPMain!$J$9:$J$1000)=$F36)*((LMPMain!$O$9:$O$1000)=$C36)*(LMPMain!S$9:S$1000) ) +  ( SUMPRODUCT( ((Adders!$D$13:$D$101)=$E36)*((Adders!$E$13:$E$101)=$F36)*(Adders!H$13:H$101)) + VLOOKUP($H36,Adders!$B$5:$G$8,M$11,FALSE)  +  NJ!$D$2 ) * IF($D36="NJ",1.07,1))/$L$10, CHOOSE($M$10,$L$9,$M$9) )</f>
        <v xml:space="preserve"> 51.91 </v>
      </c>
      <c r="N36" s="174" t="str">
        <f>TEXT(   (SUMPRODUCT( ((LMPMain!$H$9:$H$1000)=$E36)*((LMPMain!$J$9:$J$1000)=$F36)*((LMPMain!$O$9:$O$1000)=$C36)*(LMPMain!T$9:T$1000) ) +  ( SUMPRODUCT( ((Adders!$D$13:$D$101)=$E36)*((Adders!$E$13:$E$101)=$F36)*(Adders!I$13:I$101)) + VLOOKUP($H36,Adders!$B$5:$G$8,N$11,FALSE)  +  NJ!$D$2 ) * IF($D36="NJ",1.07,1))/$L$10, CHOOSE($M$10,$L$9,$M$9) )</f>
        <v xml:space="preserve"> 50.99 </v>
      </c>
      <c r="O36" s="112"/>
    </row>
    <row r="37" spans="2:15" x14ac:dyDescent="0.25">
      <c r="B37" s="108"/>
      <c r="C37" s="135">
        <f>+C36</f>
        <v>42370</v>
      </c>
      <c r="D37" s="136" t="s">
        <v>31</v>
      </c>
      <c r="E37" s="137" t="s">
        <v>32</v>
      </c>
      <c r="F37" s="136" t="s">
        <v>33</v>
      </c>
      <c r="G37" s="137" t="str">
        <f t="shared" si="0"/>
        <v>Mthly Gen. Service</v>
      </c>
      <c r="H37" s="138" t="s">
        <v>690</v>
      </c>
      <c r="I37" s="176" t="str">
        <f>TEXT(   (SUMPRODUCT( ((Main!$H$9:$H$1000)=$E37)*((Main!$J$9:$J$1000)=$F37)*((Main!$O$9:$O$1000)=$C37)*(Main!R$9:R$1000) ) +  ( SUMPRODUCT( ((Adders!$D$13:$D$101)=$E37)*((Adders!$E$13:$E$101)=$F37)*(Adders!G$13:G$101)) + VLOOKUP($H37,Adders!$B$5:$G$8,L$11,FALSE)  +  NJ!$D$2 ) * IF($D37="NJ",1.07,1))/$L$10, CHOOSE($M$10,$L$9,$M$9) )</f>
        <v xml:space="preserve"> 94.55 </v>
      </c>
      <c r="J37" s="176" t="str">
        <f>TEXT(   (SUMPRODUCT( ((Main!$H$9:$H$1000)=$E37)*((Main!$J$9:$J$1000)=$F37)*((Main!$O$9:$O$1000)=$C37)*(Main!S$9:S$1000) ) +  ( SUMPRODUCT( ((Adders!$D$13:$D$101)=$E37)*((Adders!$E$13:$E$101)=$F37)*(Adders!H$13:H$101)) + VLOOKUP($H37,Adders!$B$5:$G$8,M$11,FALSE)  +  NJ!$D$2 ) * IF($D37="NJ",1.07,1))/$L$10, CHOOSE($M$10,$L$9,$M$9) )</f>
        <v xml:space="preserve"> 95.77 </v>
      </c>
      <c r="K37" s="177" t="str">
        <f>TEXT(   (SUMPRODUCT( ((Main!$H$9:$H$1000)=$E37)*((Main!$J$9:$J$1000)=$F37)*((Main!$O$9:$O$1000)=$C37)*(Main!T$9:T$1000) ) +  ( SUMPRODUCT( ((Adders!$D$13:$D$101)=$E37)*((Adders!$E$13:$E$101)=$F37)*(Adders!I$13:I$101)) + VLOOKUP($H37,Adders!$B$5:$G$8,N$11,FALSE)  +  NJ!$D$2 ) * IF($D37="NJ",1.07,1))/$L$10, CHOOSE($M$10,$L$9,$M$9) )</f>
        <v xml:space="preserve"> 94.53 </v>
      </c>
      <c r="L37" s="176" t="str">
        <f>TEXT(   (SUMPRODUCT( ((LMPMain!$H$9:$H$1000)=$E37)*((LMPMain!$J$9:$J$1000)=$F37)*((LMPMain!$O$9:$O$1000)=$C37)*(LMPMain!R$9:R$1000) ) +  ( SUMPRODUCT( ((Adders!$D$13:$D$101)=$E37)*((Adders!$E$13:$E$101)=$F37)*(Adders!G$13:G$101)) + VLOOKUP($H37,Adders!$B$5:$G$8,L$11,FALSE)  +  NJ!$D$2 ) * IF($D37="NJ",1.07,1))/$L$10, CHOOSE($M$10,$L$9,$M$9) )</f>
        <v xml:space="preserve"> 50.46 </v>
      </c>
      <c r="M37" s="176" t="str">
        <f>TEXT(   (SUMPRODUCT( ((LMPMain!$H$9:$H$1000)=$E37)*((LMPMain!$J$9:$J$1000)=$F37)*((LMPMain!$O$9:$O$1000)=$C37)*(LMPMain!S$9:S$1000) ) +  ( SUMPRODUCT( ((Adders!$D$13:$D$101)=$E37)*((Adders!$E$13:$E$101)=$F37)*(Adders!H$13:H$101)) + VLOOKUP($H37,Adders!$B$5:$G$8,M$11,FALSE)  +  NJ!$D$2 ) * IF($D37="NJ",1.07,1))/$L$10, CHOOSE($M$10,$L$9,$M$9) )</f>
        <v xml:space="preserve"> 50.79 </v>
      </c>
      <c r="N37" s="177" t="str">
        <f>TEXT(   (SUMPRODUCT( ((LMPMain!$H$9:$H$1000)=$E37)*((LMPMain!$J$9:$J$1000)=$F37)*((LMPMain!$O$9:$O$1000)=$C37)*(LMPMain!T$9:T$1000) ) +  ( SUMPRODUCT( ((Adders!$D$13:$D$101)=$E37)*((Adders!$E$13:$E$101)=$F37)*(Adders!I$13:I$101)) + VLOOKUP($H37,Adders!$B$5:$G$8,N$11,FALSE)  +  NJ!$D$2 ) * IF($D37="NJ",1.07,1))/$L$10, CHOOSE($M$10,$L$9,$M$9) )</f>
        <v xml:space="preserve"> 49.86 </v>
      </c>
      <c r="O37" s="112"/>
    </row>
    <row r="38" spans="2:15" x14ac:dyDescent="0.25">
      <c r="B38" s="108"/>
      <c r="C38" s="127">
        <f>DATE(YEAR(C37),MONTH(C37)+1,0)+1</f>
        <v>42401</v>
      </c>
      <c r="D38" s="128" t="s">
        <v>31</v>
      </c>
      <c r="E38" s="129" t="s">
        <v>32</v>
      </c>
      <c r="F38" s="128" t="s">
        <v>33</v>
      </c>
      <c r="G38" s="129" t="str">
        <f t="shared" si="0"/>
        <v>Mthly Gen. Service</v>
      </c>
      <c r="H38" s="130" t="s">
        <v>61</v>
      </c>
      <c r="I38" s="178" t="str">
        <f>TEXT(   (SUMPRODUCT( ((Main!$H$9:$H$1000)=$E38)*((Main!$J$9:$J$1000)=$F38)*((Main!$O$9:$O$1000)=$C38)*(Main!R$9:R$1000) ) +  ( SUMPRODUCT( ((Adders!$D$13:$D$101)=$E38)*((Adders!$E$13:$E$101)=$F38)*(Adders!G$13:G$101)) + VLOOKUP($H38,Adders!$B$5:$G$8,L$11,FALSE)  +  NJ!$D$2 ) * IF($D38="NJ",1.07,1))/$L$10, CHOOSE($M$10,$L$9,$M$9) )</f>
        <v xml:space="preserve"> 97.20 </v>
      </c>
      <c r="J38" s="178" t="str">
        <f>TEXT(   (SUMPRODUCT( ((Main!$H$9:$H$1000)=$E38)*((Main!$J$9:$J$1000)=$F38)*((Main!$O$9:$O$1000)=$C38)*(Main!S$9:S$1000) ) +  ( SUMPRODUCT( ((Adders!$D$13:$D$101)=$E38)*((Adders!$E$13:$E$101)=$F38)*(Adders!H$13:H$101)) + VLOOKUP($H38,Adders!$B$5:$G$8,M$11,FALSE)  +  NJ!$D$2 ) * IF($D38="NJ",1.07,1))/$L$10, CHOOSE($M$10,$L$9,$M$9) )</f>
        <v xml:space="preserve"> 97.44 </v>
      </c>
      <c r="K38" s="179" t="str">
        <f>TEXT(   (SUMPRODUCT( ((Main!$H$9:$H$1000)=$E38)*((Main!$J$9:$J$1000)=$F38)*((Main!$O$9:$O$1000)=$C38)*(Main!T$9:T$1000) ) +  ( SUMPRODUCT( ((Adders!$D$13:$D$101)=$E38)*((Adders!$E$13:$E$101)=$F38)*(Adders!I$13:I$101)) + VLOOKUP($H38,Adders!$B$5:$G$8,N$11,FALSE)  +  NJ!$D$2 ) * IF($D38="NJ",1.07,1))/$L$10, CHOOSE($M$10,$L$9,$M$9) )</f>
        <v xml:space="preserve"> 97.44 </v>
      </c>
      <c r="L38" s="178" t="str">
        <f>TEXT(   (SUMPRODUCT( ((LMPMain!$H$9:$H$1000)=$E38)*((LMPMain!$J$9:$J$1000)=$F38)*((LMPMain!$O$9:$O$1000)=$C38)*(LMPMain!R$9:R$1000) ) +  ( SUMPRODUCT( ((Adders!$D$13:$D$101)=$E38)*((Adders!$E$13:$E$101)=$F38)*(Adders!G$13:G$101)) + VLOOKUP($H38,Adders!$B$5:$G$8,L$11,FALSE)  +  NJ!$D$2 ) * IF($D38="NJ",1.07,1))/$L$10, CHOOSE($M$10,$L$9,$M$9) )</f>
        <v xml:space="preserve"> 52.95 </v>
      </c>
      <c r="M38" s="178" t="str">
        <f>TEXT(   (SUMPRODUCT( ((LMPMain!$H$9:$H$1000)=$E38)*((LMPMain!$J$9:$J$1000)=$F38)*((LMPMain!$O$9:$O$1000)=$C38)*(LMPMain!S$9:S$1000) ) +  ( SUMPRODUCT( ((Adders!$D$13:$D$101)=$E38)*((Adders!$E$13:$E$101)=$F38)*(Adders!H$13:H$101)) + VLOOKUP($H38,Adders!$B$5:$G$8,M$11,FALSE)  +  NJ!$D$2 ) * IF($D38="NJ",1.07,1))/$L$10, CHOOSE($M$10,$L$9,$M$9) )</f>
        <v xml:space="preserve"> 52.58 </v>
      </c>
      <c r="N38" s="179" t="str">
        <f>TEXT(   (SUMPRODUCT( ((LMPMain!$H$9:$H$1000)=$E38)*((LMPMain!$J$9:$J$1000)=$F38)*((LMPMain!$O$9:$O$1000)=$C38)*(LMPMain!T$9:T$1000) ) +  ( SUMPRODUCT( ((Adders!$D$13:$D$101)=$E38)*((Adders!$E$13:$E$101)=$F38)*(Adders!I$13:I$101)) + VLOOKUP($H38,Adders!$B$5:$G$8,N$11,FALSE)  +  NJ!$D$2 ) * IF($D38="NJ",1.07,1))/$L$10, CHOOSE($M$10,$L$9,$M$9) )</f>
        <v xml:space="preserve"> 52.52 </v>
      </c>
      <c r="O38" s="112"/>
    </row>
    <row r="39" spans="2:15" x14ac:dyDescent="0.25">
      <c r="B39" s="108"/>
      <c r="C39" s="131">
        <f>+C38</f>
        <v>42401</v>
      </c>
      <c r="D39" s="132" t="s">
        <v>31</v>
      </c>
      <c r="E39" s="133" t="s">
        <v>32</v>
      </c>
      <c r="F39" s="132" t="s">
        <v>33</v>
      </c>
      <c r="G39" s="133" t="str">
        <f t="shared" si="0"/>
        <v>Mthly Gen. Service</v>
      </c>
      <c r="H39" s="134" t="s">
        <v>62</v>
      </c>
      <c r="I39" s="173" t="str">
        <f>TEXT(   (SUMPRODUCT( ((Main!$H$9:$H$1000)=$E39)*((Main!$J$9:$J$1000)=$F39)*((Main!$O$9:$O$1000)=$C39)*(Main!R$9:R$1000) ) +  ( SUMPRODUCT( ((Adders!$D$13:$D$101)=$E39)*((Adders!$E$13:$E$101)=$F39)*(Adders!G$13:G$101)) + VLOOKUP($H39,Adders!$B$5:$G$8,L$11,FALSE)  +  NJ!$D$2 ) * IF($D39="NJ",1.07,1))/$L$10, CHOOSE($M$10,$L$9,$M$9) )</f>
        <v xml:space="preserve"> 95.49 </v>
      </c>
      <c r="J39" s="173" t="str">
        <f>TEXT(   (SUMPRODUCT( ((Main!$H$9:$H$1000)=$E39)*((Main!$J$9:$J$1000)=$F39)*((Main!$O$9:$O$1000)=$C39)*(Main!S$9:S$1000) ) +  ( SUMPRODUCT( ((Adders!$D$13:$D$101)=$E39)*((Adders!$E$13:$E$101)=$F39)*(Adders!H$13:H$101)) + VLOOKUP($H39,Adders!$B$5:$G$8,M$11,FALSE)  +  NJ!$D$2 ) * IF($D39="NJ",1.07,1))/$L$10, CHOOSE($M$10,$L$9,$M$9) )</f>
        <v xml:space="preserve"> 95.73 </v>
      </c>
      <c r="K39" s="174" t="str">
        <f>TEXT(   (SUMPRODUCT( ((Main!$H$9:$H$1000)=$E39)*((Main!$J$9:$J$1000)=$F39)*((Main!$O$9:$O$1000)=$C39)*(Main!T$9:T$1000) ) +  ( SUMPRODUCT( ((Adders!$D$13:$D$101)=$E39)*((Adders!$E$13:$E$101)=$F39)*(Adders!I$13:I$101)) + VLOOKUP($H39,Adders!$B$5:$G$8,N$11,FALSE)  +  NJ!$D$2 ) * IF($D39="NJ",1.07,1))/$L$10, CHOOSE($M$10,$L$9,$M$9) )</f>
        <v xml:space="preserve"> 95.73 </v>
      </c>
      <c r="L39" s="173" t="str">
        <f>TEXT(   (SUMPRODUCT( ((LMPMain!$H$9:$H$1000)=$E39)*((LMPMain!$J$9:$J$1000)=$F39)*((LMPMain!$O$9:$O$1000)=$C39)*(LMPMain!R$9:R$1000) ) +  ( SUMPRODUCT( ((Adders!$D$13:$D$101)=$E39)*((Adders!$E$13:$E$101)=$F39)*(Adders!G$13:G$101)) + VLOOKUP($H39,Adders!$B$5:$G$8,L$11,FALSE)  +  NJ!$D$2 ) * IF($D39="NJ",1.07,1))/$L$10, CHOOSE($M$10,$L$9,$M$9) )</f>
        <v xml:space="preserve"> 51.24 </v>
      </c>
      <c r="M39" s="173" t="str">
        <f>TEXT(   (SUMPRODUCT( ((LMPMain!$H$9:$H$1000)=$E39)*((LMPMain!$J$9:$J$1000)=$F39)*((LMPMain!$O$9:$O$1000)=$C39)*(LMPMain!S$9:S$1000) ) +  ( SUMPRODUCT( ((Adders!$D$13:$D$101)=$E39)*((Adders!$E$13:$E$101)=$F39)*(Adders!H$13:H$101)) + VLOOKUP($H39,Adders!$B$5:$G$8,M$11,FALSE)  +  NJ!$D$2 ) * IF($D39="NJ",1.07,1))/$L$10, CHOOSE($M$10,$L$9,$M$9) )</f>
        <v xml:space="preserve"> 50.87 </v>
      </c>
      <c r="N39" s="174" t="str">
        <f>TEXT(   (SUMPRODUCT( ((LMPMain!$H$9:$H$1000)=$E39)*((LMPMain!$J$9:$J$1000)=$F39)*((LMPMain!$O$9:$O$1000)=$C39)*(LMPMain!T$9:T$1000) ) +  ( SUMPRODUCT( ((Adders!$D$13:$D$101)=$E39)*((Adders!$E$13:$E$101)=$F39)*(Adders!I$13:I$101)) + VLOOKUP($H39,Adders!$B$5:$G$8,N$11,FALSE)  +  NJ!$D$2 ) * IF($D39="NJ",1.07,1))/$L$10, CHOOSE($M$10,$L$9,$M$9) )</f>
        <v xml:space="preserve"> 50.81 </v>
      </c>
      <c r="O39" s="112"/>
    </row>
    <row r="40" spans="2:15" x14ac:dyDescent="0.25">
      <c r="B40" s="108"/>
      <c r="C40" s="135">
        <f>+C39</f>
        <v>42401</v>
      </c>
      <c r="D40" s="136" t="s">
        <v>31</v>
      </c>
      <c r="E40" s="137" t="s">
        <v>32</v>
      </c>
      <c r="F40" s="136" t="s">
        <v>33</v>
      </c>
      <c r="G40" s="137" t="str">
        <f t="shared" si="0"/>
        <v>Mthly Gen. Service</v>
      </c>
      <c r="H40" s="138" t="s">
        <v>690</v>
      </c>
      <c r="I40" s="176" t="str">
        <f>TEXT(   (SUMPRODUCT( ((Main!$H$9:$H$1000)=$E40)*((Main!$J$9:$J$1000)=$F40)*((Main!$O$9:$O$1000)=$C40)*(Main!R$9:R$1000) ) +  ( SUMPRODUCT( ((Adders!$D$13:$D$101)=$E40)*((Adders!$E$13:$E$101)=$F40)*(Adders!G$13:G$101)) + VLOOKUP($H40,Adders!$B$5:$G$8,L$11,FALSE)  +  NJ!$D$2 ) * IF($D40="NJ",1.07,1))/$L$10, CHOOSE($M$10,$L$9,$M$9) )</f>
        <v xml:space="preserve"> 94.37 </v>
      </c>
      <c r="J40" s="176" t="str">
        <f>TEXT(   (SUMPRODUCT( ((Main!$H$9:$H$1000)=$E40)*((Main!$J$9:$J$1000)=$F40)*((Main!$O$9:$O$1000)=$C40)*(Main!S$9:S$1000) ) +  ( SUMPRODUCT( ((Adders!$D$13:$D$101)=$E40)*((Adders!$E$13:$E$101)=$F40)*(Adders!H$13:H$101)) + VLOOKUP($H40,Adders!$B$5:$G$8,M$11,FALSE)  +  NJ!$D$2 ) * IF($D40="NJ",1.07,1))/$L$10, CHOOSE($M$10,$L$9,$M$9) )</f>
        <v xml:space="preserve"> 94.61 </v>
      </c>
      <c r="K40" s="177" t="str">
        <f>TEXT(   (SUMPRODUCT( ((Main!$H$9:$H$1000)=$E40)*((Main!$J$9:$J$1000)=$F40)*((Main!$O$9:$O$1000)=$C40)*(Main!T$9:T$1000) ) +  ( SUMPRODUCT( ((Adders!$D$13:$D$101)=$E40)*((Adders!$E$13:$E$101)=$F40)*(Adders!I$13:I$101)) + VLOOKUP($H40,Adders!$B$5:$G$8,N$11,FALSE)  +  NJ!$D$2 ) * IF($D40="NJ",1.07,1))/$L$10, CHOOSE($M$10,$L$9,$M$9) )</f>
        <v xml:space="preserve"> 94.61 </v>
      </c>
      <c r="L40" s="176" t="str">
        <f>TEXT(   (SUMPRODUCT( ((LMPMain!$H$9:$H$1000)=$E40)*((LMPMain!$J$9:$J$1000)=$F40)*((LMPMain!$O$9:$O$1000)=$C40)*(LMPMain!R$9:R$1000) ) +  ( SUMPRODUCT( ((Adders!$D$13:$D$101)=$E40)*((Adders!$E$13:$E$101)=$F40)*(Adders!G$13:G$101)) + VLOOKUP($H40,Adders!$B$5:$G$8,L$11,FALSE)  +  NJ!$D$2 ) * IF($D40="NJ",1.07,1))/$L$10, CHOOSE($M$10,$L$9,$M$9) )</f>
        <v xml:space="preserve"> 50.12 </v>
      </c>
      <c r="M40" s="176" t="str">
        <f>TEXT(   (SUMPRODUCT( ((LMPMain!$H$9:$H$1000)=$E40)*((LMPMain!$J$9:$J$1000)=$F40)*((LMPMain!$O$9:$O$1000)=$C40)*(LMPMain!S$9:S$1000) ) +  ( SUMPRODUCT( ((Adders!$D$13:$D$101)=$E40)*((Adders!$E$13:$E$101)=$F40)*(Adders!H$13:H$101)) + VLOOKUP($H40,Adders!$B$5:$G$8,M$11,FALSE)  +  NJ!$D$2 ) * IF($D40="NJ",1.07,1))/$L$10, CHOOSE($M$10,$L$9,$M$9) )</f>
        <v xml:space="preserve"> 49.74 </v>
      </c>
      <c r="N40" s="177" t="str">
        <f>TEXT(   (SUMPRODUCT( ((LMPMain!$H$9:$H$1000)=$E40)*((LMPMain!$J$9:$J$1000)=$F40)*((LMPMain!$O$9:$O$1000)=$C40)*(LMPMain!T$9:T$1000) ) +  ( SUMPRODUCT( ((Adders!$D$13:$D$101)=$E40)*((Adders!$E$13:$E$101)=$F40)*(Adders!I$13:I$101)) + VLOOKUP($H40,Adders!$B$5:$G$8,N$11,FALSE)  +  NJ!$D$2 ) * IF($D40="NJ",1.07,1))/$L$10, CHOOSE($M$10,$L$9,$M$9) )</f>
        <v xml:space="preserve"> 49.69 </v>
      </c>
      <c r="O40" s="112"/>
    </row>
    <row r="41" spans="2:15" x14ac:dyDescent="0.25">
      <c r="B41" s="108"/>
      <c r="C41" s="127">
        <f>DATE(YEAR(C40),MONTH(C40)+1,0)+1</f>
        <v>42430</v>
      </c>
      <c r="D41" s="128" t="s">
        <v>31</v>
      </c>
      <c r="E41" s="129" t="s">
        <v>32</v>
      </c>
      <c r="F41" s="128" t="s">
        <v>33</v>
      </c>
      <c r="G41" s="129" t="str">
        <f t="shared" si="0"/>
        <v>Mthly Gen. Service</v>
      </c>
      <c r="H41" s="130" t="s">
        <v>61</v>
      </c>
      <c r="I41" s="178" t="str">
        <f>TEXT(   (SUMPRODUCT( ((Main!$H$9:$H$1000)=$E41)*((Main!$J$9:$J$1000)=$F41)*((Main!$O$9:$O$1000)=$C41)*(Main!R$9:R$1000) ) +  ( SUMPRODUCT( ((Adders!$D$13:$D$101)=$E41)*((Adders!$E$13:$E$101)=$F41)*(Adders!G$13:G$101)) + VLOOKUP($H41,Adders!$B$5:$G$8,L$11,FALSE)  +  NJ!$D$2 ) * IF($D41="NJ",1.07,1))/$L$10, CHOOSE($M$10,$L$9,$M$9) )</f>
        <v xml:space="preserve"> 96.94 </v>
      </c>
      <c r="J41" s="178" t="str">
        <f>TEXT(   (SUMPRODUCT( ((Main!$H$9:$H$1000)=$E41)*((Main!$J$9:$J$1000)=$F41)*((Main!$O$9:$O$1000)=$C41)*(Main!S$9:S$1000) ) +  ( SUMPRODUCT( ((Adders!$D$13:$D$101)=$E41)*((Adders!$E$13:$E$101)=$F41)*(Adders!H$13:H$101)) + VLOOKUP($H41,Adders!$B$5:$G$8,M$11,FALSE)  +  NJ!$D$2 ) * IF($D41="NJ",1.07,1))/$L$10, CHOOSE($M$10,$L$9,$M$9) )</f>
        <v xml:space="preserve"> 96.41 </v>
      </c>
      <c r="K41" s="179" t="str">
        <f>TEXT(   (SUMPRODUCT( ((Main!$H$9:$H$1000)=$E41)*((Main!$J$9:$J$1000)=$F41)*((Main!$O$9:$O$1000)=$C41)*(Main!T$9:T$1000) ) +  ( SUMPRODUCT( ((Adders!$D$13:$D$101)=$E41)*((Adders!$E$13:$E$101)=$F41)*(Adders!I$13:I$101)) + VLOOKUP($H41,Adders!$B$5:$G$8,N$11,FALSE)  +  NJ!$D$2 ) * IF($D41="NJ",1.07,1))/$L$10, CHOOSE($M$10,$L$9,$M$9) )</f>
        <v xml:space="preserve"> 97.49 </v>
      </c>
      <c r="L41" s="178" t="str">
        <f>TEXT(   (SUMPRODUCT( ((LMPMain!$H$9:$H$1000)=$E41)*((LMPMain!$J$9:$J$1000)=$F41)*((LMPMain!$O$9:$O$1000)=$C41)*(LMPMain!R$9:R$1000) ) +  ( SUMPRODUCT( ((Adders!$D$13:$D$101)=$E41)*((Adders!$E$13:$E$101)=$F41)*(Adders!G$13:G$101)) + VLOOKUP($H41,Adders!$B$5:$G$8,L$11,FALSE)  +  NJ!$D$2 ) * IF($D41="NJ",1.07,1))/$L$10, CHOOSE($M$10,$L$9,$M$9) )</f>
        <v xml:space="preserve"> 52.63 </v>
      </c>
      <c r="M41" s="178" t="str">
        <f>TEXT(   (SUMPRODUCT( ((LMPMain!$H$9:$H$1000)=$E41)*((LMPMain!$J$9:$J$1000)=$F41)*((LMPMain!$O$9:$O$1000)=$C41)*(LMPMain!S$9:S$1000) ) +  ( SUMPRODUCT( ((Adders!$D$13:$D$101)=$E41)*((Adders!$E$13:$E$101)=$F41)*(Adders!H$13:H$101)) + VLOOKUP($H41,Adders!$B$5:$G$8,M$11,FALSE)  +  NJ!$D$2 ) * IF($D41="NJ",1.07,1))/$L$10, CHOOSE($M$10,$L$9,$M$9) )</f>
        <v xml:space="preserve"> 51.69 </v>
      </c>
      <c r="N41" s="179" t="str">
        <f>TEXT(   (SUMPRODUCT( ((LMPMain!$H$9:$H$1000)=$E41)*((LMPMain!$J$9:$J$1000)=$F41)*((LMPMain!$O$9:$O$1000)=$C41)*(LMPMain!T$9:T$1000) ) +  ( SUMPRODUCT( ((Adders!$D$13:$D$101)=$E41)*((Adders!$E$13:$E$101)=$F41)*(Adders!I$13:I$101)) + VLOOKUP($H41,Adders!$B$5:$G$8,N$11,FALSE)  +  NJ!$D$2 ) * IF($D41="NJ",1.07,1))/$L$10, CHOOSE($M$10,$L$9,$M$9) )</f>
        <v xml:space="preserve"> 52.33 </v>
      </c>
      <c r="O41" s="112"/>
    </row>
    <row r="42" spans="2:15" x14ac:dyDescent="0.25">
      <c r="B42" s="108"/>
      <c r="C42" s="131">
        <f>+C41</f>
        <v>42430</v>
      </c>
      <c r="D42" s="132" t="s">
        <v>31</v>
      </c>
      <c r="E42" s="133" t="s">
        <v>32</v>
      </c>
      <c r="F42" s="132" t="s">
        <v>33</v>
      </c>
      <c r="G42" s="133" t="str">
        <f t="shared" si="0"/>
        <v>Mthly Gen. Service</v>
      </c>
      <c r="H42" s="134" t="s">
        <v>62</v>
      </c>
      <c r="I42" s="173" t="str">
        <f>TEXT(   (SUMPRODUCT( ((Main!$H$9:$H$1000)=$E42)*((Main!$J$9:$J$1000)=$F42)*((Main!$O$9:$O$1000)=$C42)*(Main!R$9:R$1000) ) +  ( SUMPRODUCT( ((Adders!$D$13:$D$101)=$E42)*((Adders!$E$13:$E$101)=$F42)*(Adders!G$13:G$101)) + VLOOKUP($H42,Adders!$B$5:$G$8,L$11,FALSE)  +  NJ!$D$2 ) * IF($D42="NJ",1.07,1))/$L$10, CHOOSE($M$10,$L$9,$M$9) )</f>
        <v xml:space="preserve"> 95.23 </v>
      </c>
      <c r="J42" s="173" t="str">
        <f>TEXT(   (SUMPRODUCT( ((Main!$H$9:$H$1000)=$E42)*((Main!$J$9:$J$1000)=$F42)*((Main!$O$9:$O$1000)=$C42)*(Main!S$9:S$1000) ) +  ( SUMPRODUCT( ((Adders!$D$13:$D$101)=$E42)*((Adders!$E$13:$E$101)=$F42)*(Adders!H$13:H$101)) + VLOOKUP($H42,Adders!$B$5:$G$8,M$11,FALSE)  +  NJ!$D$2 ) * IF($D42="NJ",1.07,1))/$L$10, CHOOSE($M$10,$L$9,$M$9) )</f>
        <v xml:space="preserve"> 94.70 </v>
      </c>
      <c r="K42" s="174" t="str">
        <f>TEXT(   (SUMPRODUCT( ((Main!$H$9:$H$1000)=$E42)*((Main!$J$9:$J$1000)=$F42)*((Main!$O$9:$O$1000)=$C42)*(Main!T$9:T$1000) ) +  ( SUMPRODUCT( ((Adders!$D$13:$D$101)=$E42)*((Adders!$E$13:$E$101)=$F42)*(Adders!I$13:I$101)) + VLOOKUP($H42,Adders!$B$5:$G$8,N$11,FALSE)  +  NJ!$D$2 ) * IF($D42="NJ",1.07,1))/$L$10, CHOOSE($M$10,$L$9,$M$9) )</f>
        <v xml:space="preserve"> 95.78 </v>
      </c>
      <c r="L42" s="173" t="str">
        <f>TEXT(   (SUMPRODUCT( ((LMPMain!$H$9:$H$1000)=$E42)*((LMPMain!$J$9:$J$1000)=$F42)*((LMPMain!$O$9:$O$1000)=$C42)*(LMPMain!R$9:R$1000) ) +  ( SUMPRODUCT( ((Adders!$D$13:$D$101)=$E42)*((Adders!$E$13:$E$101)=$F42)*(Adders!G$13:G$101)) + VLOOKUP($H42,Adders!$B$5:$G$8,L$11,FALSE)  +  NJ!$D$2 ) * IF($D42="NJ",1.07,1))/$L$10, CHOOSE($M$10,$L$9,$M$9) )</f>
        <v xml:space="preserve"> 50.92 </v>
      </c>
      <c r="M42" s="173" t="str">
        <f>TEXT(   (SUMPRODUCT( ((LMPMain!$H$9:$H$1000)=$E42)*((LMPMain!$J$9:$J$1000)=$F42)*((LMPMain!$O$9:$O$1000)=$C42)*(LMPMain!S$9:S$1000) ) +  ( SUMPRODUCT( ((Adders!$D$13:$D$101)=$E42)*((Adders!$E$13:$E$101)=$F42)*(Adders!H$13:H$101)) + VLOOKUP($H42,Adders!$B$5:$G$8,M$11,FALSE)  +  NJ!$D$2 ) * IF($D42="NJ",1.07,1))/$L$10, CHOOSE($M$10,$L$9,$M$9) )</f>
        <v xml:space="preserve"> 49.98 </v>
      </c>
      <c r="N42" s="174" t="str">
        <f>TEXT(   (SUMPRODUCT( ((LMPMain!$H$9:$H$1000)=$E42)*((LMPMain!$J$9:$J$1000)=$F42)*((LMPMain!$O$9:$O$1000)=$C42)*(LMPMain!T$9:T$1000) ) +  ( SUMPRODUCT( ((Adders!$D$13:$D$101)=$E42)*((Adders!$E$13:$E$101)=$F42)*(Adders!I$13:I$101)) + VLOOKUP($H42,Adders!$B$5:$G$8,N$11,FALSE)  +  NJ!$D$2 ) * IF($D42="NJ",1.07,1))/$L$10, CHOOSE($M$10,$L$9,$M$9) )</f>
        <v xml:space="preserve"> 50.62 </v>
      </c>
      <c r="O42" s="112"/>
    </row>
    <row r="43" spans="2:15" x14ac:dyDescent="0.25">
      <c r="B43" s="108"/>
      <c r="C43" s="135">
        <f>+C42</f>
        <v>42430</v>
      </c>
      <c r="D43" s="136" t="s">
        <v>31</v>
      </c>
      <c r="E43" s="137" t="s">
        <v>32</v>
      </c>
      <c r="F43" s="136" t="s">
        <v>33</v>
      </c>
      <c r="G43" s="137" t="str">
        <f t="shared" si="0"/>
        <v>Mthly Gen. Service</v>
      </c>
      <c r="H43" s="138" t="s">
        <v>690</v>
      </c>
      <c r="I43" s="176" t="str">
        <f>TEXT(   (SUMPRODUCT( ((Main!$H$9:$H$1000)=$E43)*((Main!$J$9:$J$1000)=$F43)*((Main!$O$9:$O$1000)=$C43)*(Main!R$9:R$1000) ) +  ( SUMPRODUCT( ((Adders!$D$13:$D$101)=$E43)*((Adders!$E$13:$E$101)=$F43)*(Adders!G$13:G$101)) + VLOOKUP($H43,Adders!$B$5:$G$8,L$11,FALSE)  +  NJ!$D$2 ) * IF($D43="NJ",1.07,1))/$L$10, CHOOSE($M$10,$L$9,$M$9) )</f>
        <v xml:space="preserve"> 94.11 </v>
      </c>
      <c r="J43" s="176" t="str">
        <f>TEXT(   (SUMPRODUCT( ((Main!$H$9:$H$1000)=$E43)*((Main!$J$9:$J$1000)=$F43)*((Main!$O$9:$O$1000)=$C43)*(Main!S$9:S$1000) ) +  ( SUMPRODUCT( ((Adders!$D$13:$D$101)=$E43)*((Adders!$E$13:$E$101)=$F43)*(Adders!H$13:H$101)) + VLOOKUP($H43,Adders!$B$5:$G$8,M$11,FALSE)  +  NJ!$D$2 ) * IF($D43="NJ",1.07,1))/$L$10, CHOOSE($M$10,$L$9,$M$9) )</f>
        <v xml:space="preserve"> 93.58 </v>
      </c>
      <c r="K43" s="177" t="str">
        <f>TEXT(   (SUMPRODUCT( ((Main!$H$9:$H$1000)=$E43)*((Main!$J$9:$J$1000)=$F43)*((Main!$O$9:$O$1000)=$C43)*(Main!T$9:T$1000) ) +  ( SUMPRODUCT( ((Adders!$D$13:$D$101)=$E43)*((Adders!$E$13:$E$101)=$F43)*(Adders!I$13:I$101)) + VLOOKUP($H43,Adders!$B$5:$G$8,N$11,FALSE)  +  NJ!$D$2 ) * IF($D43="NJ",1.07,1))/$L$10, CHOOSE($M$10,$L$9,$M$9) )</f>
        <v xml:space="preserve"> 94.66 </v>
      </c>
      <c r="L43" s="176" t="str">
        <f>TEXT(   (SUMPRODUCT( ((LMPMain!$H$9:$H$1000)=$E43)*((LMPMain!$J$9:$J$1000)=$F43)*((LMPMain!$O$9:$O$1000)=$C43)*(LMPMain!R$9:R$1000) ) +  ( SUMPRODUCT( ((Adders!$D$13:$D$101)=$E43)*((Adders!$E$13:$E$101)=$F43)*(Adders!G$13:G$101)) + VLOOKUP($H43,Adders!$B$5:$G$8,L$11,FALSE)  +  NJ!$D$2 ) * IF($D43="NJ",1.07,1))/$L$10, CHOOSE($M$10,$L$9,$M$9) )</f>
        <v xml:space="preserve"> 49.79 </v>
      </c>
      <c r="M43" s="176" t="str">
        <f>TEXT(   (SUMPRODUCT( ((LMPMain!$H$9:$H$1000)=$E43)*((LMPMain!$J$9:$J$1000)=$F43)*((LMPMain!$O$9:$O$1000)=$C43)*(LMPMain!S$9:S$1000) ) +  ( SUMPRODUCT( ((Adders!$D$13:$D$101)=$E43)*((Adders!$E$13:$E$101)=$F43)*(Adders!H$13:H$101)) + VLOOKUP($H43,Adders!$B$5:$G$8,M$11,FALSE)  +  NJ!$D$2 ) * IF($D43="NJ",1.07,1))/$L$10, CHOOSE($M$10,$L$9,$M$9) )</f>
        <v xml:space="preserve"> 48.86 </v>
      </c>
      <c r="N43" s="177" t="str">
        <f>TEXT(   (SUMPRODUCT( ((LMPMain!$H$9:$H$1000)=$E43)*((LMPMain!$J$9:$J$1000)=$F43)*((LMPMain!$O$9:$O$1000)=$C43)*(LMPMain!T$9:T$1000) ) +  ( SUMPRODUCT( ((Adders!$D$13:$D$101)=$E43)*((Adders!$E$13:$E$101)=$F43)*(Adders!I$13:I$101)) + VLOOKUP($H43,Adders!$B$5:$G$8,N$11,FALSE)  +  NJ!$D$2 ) * IF($D43="NJ",1.07,1))/$L$10, CHOOSE($M$10,$L$9,$M$9) )</f>
        <v xml:space="preserve"> 49.50 </v>
      </c>
      <c r="O43" s="112"/>
    </row>
    <row r="44" spans="2:15" x14ac:dyDescent="0.25">
      <c r="B44" s="108"/>
      <c r="C44" s="127">
        <f>DATE(YEAR(C43),MONTH(C43)+1,0)+1</f>
        <v>42461</v>
      </c>
      <c r="D44" s="128" t="s">
        <v>31</v>
      </c>
      <c r="E44" s="129" t="s">
        <v>32</v>
      </c>
      <c r="F44" s="128" t="s">
        <v>33</v>
      </c>
      <c r="G44" s="129" t="str">
        <f t="shared" si="0"/>
        <v>Mthly Gen. Service</v>
      </c>
      <c r="H44" s="130" t="s">
        <v>61</v>
      </c>
      <c r="I44" s="178" t="str">
        <f>TEXT(   (SUMPRODUCT( ((Main!$H$9:$H$1000)=$E44)*((Main!$J$9:$J$1000)=$F44)*((Main!$O$9:$O$1000)=$C44)*(Main!R$9:R$1000) ) +  ( SUMPRODUCT( ((Adders!$D$13:$D$101)=$E44)*((Adders!$E$13:$E$101)=$F44)*(Adders!G$13:G$101)) + VLOOKUP($H44,Adders!$B$5:$G$8,L$11,FALSE)  +  NJ!$D$2 ) * IF($D44="NJ",1.07,1))/$L$10, CHOOSE($M$10,$L$9,$M$9) )</f>
        <v xml:space="preserve"> 96.64 </v>
      </c>
      <c r="J44" s="178" t="str">
        <f>TEXT(   (SUMPRODUCT( ((Main!$H$9:$H$1000)=$E44)*((Main!$J$9:$J$1000)=$F44)*((Main!$O$9:$O$1000)=$C44)*(Main!S$9:S$1000) ) +  ( SUMPRODUCT( ((Adders!$D$13:$D$101)=$E44)*((Adders!$E$13:$E$101)=$F44)*(Adders!H$13:H$101)) + VLOOKUP($H44,Adders!$B$5:$G$8,M$11,FALSE)  +  NJ!$D$2 ) * IF($D44="NJ",1.07,1))/$L$10, CHOOSE($M$10,$L$9,$M$9) )</f>
        <v xml:space="preserve"> 95.35 </v>
      </c>
      <c r="K44" s="179" t="str">
        <f>TEXT(   (SUMPRODUCT( ((Main!$H$9:$H$1000)=$E44)*((Main!$J$9:$J$1000)=$F44)*((Main!$O$9:$O$1000)=$C44)*(Main!T$9:T$1000) ) +  ( SUMPRODUCT( ((Adders!$D$13:$D$101)=$E44)*((Adders!$E$13:$E$101)=$F44)*(Adders!I$13:I$101)) + VLOOKUP($H44,Adders!$B$5:$G$8,N$11,FALSE)  +  NJ!$D$2 ) * IF($D44="NJ",1.07,1))/$L$10, CHOOSE($M$10,$L$9,$M$9) )</f>
        <v xml:space="preserve"> 97.28 </v>
      </c>
      <c r="L44" s="178" t="str">
        <f>TEXT(   (SUMPRODUCT( ((LMPMain!$H$9:$H$1000)=$E44)*((LMPMain!$J$9:$J$1000)=$F44)*((LMPMain!$O$9:$O$1000)=$C44)*(LMPMain!R$9:R$1000) ) +  ( SUMPRODUCT( ((Adders!$D$13:$D$101)=$E44)*((Adders!$E$13:$E$101)=$F44)*(Adders!G$13:G$101)) + VLOOKUP($H44,Adders!$B$5:$G$8,L$11,FALSE)  +  NJ!$D$2 ) * IF($D44="NJ",1.07,1))/$L$10, CHOOSE($M$10,$L$9,$M$9) )</f>
        <v xml:space="preserve"> 52.32 </v>
      </c>
      <c r="M44" s="178" t="str">
        <f>TEXT(   (SUMPRODUCT( ((LMPMain!$H$9:$H$1000)=$E44)*((LMPMain!$J$9:$J$1000)=$F44)*((LMPMain!$O$9:$O$1000)=$C44)*(LMPMain!S$9:S$1000) ) +  ( SUMPRODUCT( ((Adders!$D$13:$D$101)=$E44)*((Adders!$E$13:$E$101)=$F44)*(Adders!H$13:H$101)) + VLOOKUP($H44,Adders!$B$5:$G$8,M$11,FALSE)  +  NJ!$D$2 ) * IF($D44="NJ",1.07,1))/$L$10, CHOOSE($M$10,$L$9,$M$9) )</f>
        <v xml:space="preserve"> 51.14 </v>
      </c>
      <c r="N44" s="179" t="str">
        <f>TEXT(   (SUMPRODUCT( ((LMPMain!$H$9:$H$1000)=$E44)*((LMPMain!$J$9:$J$1000)=$F44)*((LMPMain!$O$9:$O$1000)=$C44)*(LMPMain!T$9:T$1000) ) +  ( SUMPRODUCT( ((Adders!$D$13:$D$101)=$E44)*((Adders!$E$13:$E$101)=$F44)*(Adders!I$13:I$101)) + VLOOKUP($H44,Adders!$B$5:$G$8,N$11,FALSE)  +  NJ!$D$2 ) * IF($D44="NJ",1.07,1))/$L$10, CHOOSE($M$10,$L$9,$M$9) )</f>
        <v xml:space="preserve"> 52.16 </v>
      </c>
      <c r="O44" s="112"/>
    </row>
    <row r="45" spans="2:15" x14ac:dyDescent="0.25">
      <c r="B45" s="108"/>
      <c r="C45" s="131">
        <f>+C44</f>
        <v>42461</v>
      </c>
      <c r="D45" s="132" t="s">
        <v>31</v>
      </c>
      <c r="E45" s="133" t="s">
        <v>32</v>
      </c>
      <c r="F45" s="132" t="s">
        <v>33</v>
      </c>
      <c r="G45" s="133" t="str">
        <f t="shared" si="0"/>
        <v>Mthly Gen. Service</v>
      </c>
      <c r="H45" s="134" t="s">
        <v>62</v>
      </c>
      <c r="I45" s="173" t="str">
        <f>TEXT(   (SUMPRODUCT( ((Main!$H$9:$H$1000)=$E45)*((Main!$J$9:$J$1000)=$F45)*((Main!$O$9:$O$1000)=$C45)*(Main!R$9:R$1000) ) +  ( SUMPRODUCT( ((Adders!$D$13:$D$101)=$E45)*((Adders!$E$13:$E$101)=$F45)*(Adders!G$13:G$101)) + VLOOKUP($H45,Adders!$B$5:$G$8,L$11,FALSE)  +  NJ!$D$2 ) * IF($D45="NJ",1.07,1))/$L$10, CHOOSE($M$10,$L$9,$M$9) )</f>
        <v xml:space="preserve"> 94.93 </v>
      </c>
      <c r="J45" s="173" t="str">
        <f>TEXT(   (SUMPRODUCT( ((Main!$H$9:$H$1000)=$E45)*((Main!$J$9:$J$1000)=$F45)*((Main!$O$9:$O$1000)=$C45)*(Main!S$9:S$1000) ) +  ( SUMPRODUCT( ((Adders!$D$13:$D$101)=$E45)*((Adders!$E$13:$E$101)=$F45)*(Adders!H$13:H$101)) + VLOOKUP($H45,Adders!$B$5:$G$8,M$11,FALSE)  +  NJ!$D$2 ) * IF($D45="NJ",1.07,1))/$L$10, CHOOSE($M$10,$L$9,$M$9) )</f>
        <v xml:space="preserve"> 93.64 </v>
      </c>
      <c r="K45" s="174" t="str">
        <f>TEXT(   (SUMPRODUCT( ((Main!$H$9:$H$1000)=$E45)*((Main!$J$9:$J$1000)=$F45)*((Main!$O$9:$O$1000)=$C45)*(Main!T$9:T$1000) ) +  ( SUMPRODUCT( ((Adders!$D$13:$D$101)=$E45)*((Adders!$E$13:$E$101)=$F45)*(Adders!I$13:I$101)) + VLOOKUP($H45,Adders!$B$5:$G$8,N$11,FALSE)  +  NJ!$D$2 ) * IF($D45="NJ",1.07,1))/$L$10, CHOOSE($M$10,$L$9,$M$9) )</f>
        <v xml:space="preserve"> 95.57 </v>
      </c>
      <c r="L45" s="173" t="str">
        <f>TEXT(   (SUMPRODUCT( ((LMPMain!$H$9:$H$1000)=$E45)*((LMPMain!$J$9:$J$1000)=$F45)*((LMPMain!$O$9:$O$1000)=$C45)*(LMPMain!R$9:R$1000) ) +  ( SUMPRODUCT( ((Adders!$D$13:$D$101)=$E45)*((Adders!$E$13:$E$101)=$F45)*(Adders!G$13:G$101)) + VLOOKUP($H45,Adders!$B$5:$G$8,L$11,FALSE)  +  NJ!$D$2 ) * IF($D45="NJ",1.07,1))/$L$10, CHOOSE($M$10,$L$9,$M$9) )</f>
        <v xml:space="preserve"> 50.61 </v>
      </c>
      <c r="M45" s="173" t="str">
        <f>TEXT(   (SUMPRODUCT( ((LMPMain!$H$9:$H$1000)=$E45)*((LMPMain!$J$9:$J$1000)=$F45)*((LMPMain!$O$9:$O$1000)=$C45)*(LMPMain!S$9:S$1000) ) +  ( SUMPRODUCT( ((Adders!$D$13:$D$101)=$E45)*((Adders!$E$13:$E$101)=$F45)*(Adders!H$13:H$101)) + VLOOKUP($H45,Adders!$B$5:$G$8,M$11,FALSE)  +  NJ!$D$2 ) * IF($D45="NJ",1.07,1))/$L$10, CHOOSE($M$10,$L$9,$M$9) )</f>
        <v xml:space="preserve"> 49.43 </v>
      </c>
      <c r="N45" s="174" t="str">
        <f>TEXT(   (SUMPRODUCT( ((LMPMain!$H$9:$H$1000)=$E45)*((LMPMain!$J$9:$J$1000)=$F45)*((LMPMain!$O$9:$O$1000)=$C45)*(LMPMain!T$9:T$1000) ) +  ( SUMPRODUCT( ((Adders!$D$13:$D$101)=$E45)*((Adders!$E$13:$E$101)=$F45)*(Adders!I$13:I$101)) + VLOOKUP($H45,Adders!$B$5:$G$8,N$11,FALSE)  +  NJ!$D$2 ) * IF($D45="NJ",1.07,1))/$L$10, CHOOSE($M$10,$L$9,$M$9) )</f>
        <v xml:space="preserve"> 50.45 </v>
      </c>
      <c r="O45" s="112"/>
    </row>
    <row r="46" spans="2:15" x14ac:dyDescent="0.25">
      <c r="B46" s="108"/>
      <c r="C46" s="135">
        <f>+C45</f>
        <v>42461</v>
      </c>
      <c r="D46" s="136" t="s">
        <v>31</v>
      </c>
      <c r="E46" s="137" t="s">
        <v>32</v>
      </c>
      <c r="F46" s="136" t="s">
        <v>33</v>
      </c>
      <c r="G46" s="137" t="str">
        <f t="shared" si="0"/>
        <v>Mthly Gen. Service</v>
      </c>
      <c r="H46" s="138" t="s">
        <v>690</v>
      </c>
      <c r="I46" s="176" t="str">
        <f>TEXT(   (SUMPRODUCT( ((Main!$H$9:$H$1000)=$E46)*((Main!$J$9:$J$1000)=$F46)*((Main!$O$9:$O$1000)=$C46)*(Main!R$9:R$1000) ) +  ( SUMPRODUCT( ((Adders!$D$13:$D$101)=$E46)*((Adders!$E$13:$E$101)=$F46)*(Adders!G$13:G$101)) + VLOOKUP($H46,Adders!$B$5:$G$8,L$11,FALSE)  +  NJ!$D$2 ) * IF($D46="NJ",1.07,1))/$L$10, CHOOSE($M$10,$L$9,$M$9) )</f>
        <v xml:space="preserve"> 93.81 </v>
      </c>
      <c r="J46" s="176" t="str">
        <f>TEXT(   (SUMPRODUCT( ((Main!$H$9:$H$1000)=$E46)*((Main!$J$9:$J$1000)=$F46)*((Main!$O$9:$O$1000)=$C46)*(Main!S$9:S$1000) ) +  ( SUMPRODUCT( ((Adders!$D$13:$D$101)=$E46)*((Adders!$E$13:$E$101)=$F46)*(Adders!H$13:H$101)) + VLOOKUP($H46,Adders!$B$5:$G$8,M$11,FALSE)  +  NJ!$D$2 ) * IF($D46="NJ",1.07,1))/$L$10, CHOOSE($M$10,$L$9,$M$9) )</f>
        <v xml:space="preserve"> 92.52 </v>
      </c>
      <c r="K46" s="177" t="str">
        <f>TEXT(   (SUMPRODUCT( ((Main!$H$9:$H$1000)=$E46)*((Main!$J$9:$J$1000)=$F46)*((Main!$O$9:$O$1000)=$C46)*(Main!T$9:T$1000) ) +  ( SUMPRODUCT( ((Adders!$D$13:$D$101)=$E46)*((Adders!$E$13:$E$101)=$F46)*(Adders!I$13:I$101)) + VLOOKUP($H46,Adders!$B$5:$G$8,N$11,FALSE)  +  NJ!$D$2 ) * IF($D46="NJ",1.07,1))/$L$10, CHOOSE($M$10,$L$9,$M$9) )</f>
        <v xml:space="preserve"> 94.45 </v>
      </c>
      <c r="L46" s="176" t="str">
        <f>TEXT(   (SUMPRODUCT( ((LMPMain!$H$9:$H$1000)=$E46)*((LMPMain!$J$9:$J$1000)=$F46)*((LMPMain!$O$9:$O$1000)=$C46)*(LMPMain!R$9:R$1000) ) +  ( SUMPRODUCT( ((Adders!$D$13:$D$101)=$E46)*((Adders!$E$13:$E$101)=$F46)*(Adders!G$13:G$101)) + VLOOKUP($H46,Adders!$B$5:$G$8,L$11,FALSE)  +  NJ!$D$2 ) * IF($D46="NJ",1.07,1))/$L$10, CHOOSE($M$10,$L$9,$M$9) )</f>
        <v xml:space="preserve"> 49.49 </v>
      </c>
      <c r="M46" s="176" t="str">
        <f>TEXT(   (SUMPRODUCT( ((LMPMain!$H$9:$H$1000)=$E46)*((LMPMain!$J$9:$J$1000)=$F46)*((LMPMain!$O$9:$O$1000)=$C46)*(LMPMain!S$9:S$1000) ) +  ( SUMPRODUCT( ((Adders!$D$13:$D$101)=$E46)*((Adders!$E$13:$E$101)=$F46)*(Adders!H$13:H$101)) + VLOOKUP($H46,Adders!$B$5:$G$8,M$11,FALSE)  +  NJ!$D$2 ) * IF($D46="NJ",1.07,1))/$L$10, CHOOSE($M$10,$L$9,$M$9) )</f>
        <v xml:space="preserve"> 48.31 </v>
      </c>
      <c r="N46" s="177" t="str">
        <f>TEXT(   (SUMPRODUCT( ((LMPMain!$H$9:$H$1000)=$E46)*((LMPMain!$J$9:$J$1000)=$F46)*((LMPMain!$O$9:$O$1000)=$C46)*(LMPMain!T$9:T$1000) ) +  ( SUMPRODUCT( ((Adders!$D$13:$D$101)=$E46)*((Adders!$E$13:$E$101)=$F46)*(Adders!I$13:I$101)) + VLOOKUP($H46,Adders!$B$5:$G$8,N$11,FALSE)  +  NJ!$D$2 ) * IF($D46="NJ",1.07,1))/$L$10, CHOOSE($M$10,$L$9,$M$9) )</f>
        <v xml:space="preserve"> 49.32 </v>
      </c>
      <c r="O46" s="112"/>
    </row>
    <row r="47" spans="2:15" x14ac:dyDescent="0.25">
      <c r="B47" s="108"/>
      <c r="C47" s="127">
        <f>DATE(YEAR(C46),MONTH(C46)+1,0)+1</f>
        <v>42491</v>
      </c>
      <c r="D47" s="128" t="s">
        <v>31</v>
      </c>
      <c r="E47" s="129" t="s">
        <v>32</v>
      </c>
      <c r="F47" s="128" t="s">
        <v>33</v>
      </c>
      <c r="G47" s="129" t="str">
        <f t="shared" si="0"/>
        <v>Mthly Gen. Service</v>
      </c>
      <c r="H47" s="130" t="s">
        <v>61</v>
      </c>
      <c r="I47" s="178" t="str">
        <f>TEXT(   (SUMPRODUCT( ((Main!$H$9:$H$1000)=$E47)*((Main!$J$9:$J$1000)=$F47)*((Main!$O$9:$O$1000)=$C47)*(Main!R$9:R$1000) ) +  ( SUMPRODUCT( ((Adders!$D$13:$D$101)=$E47)*((Adders!$E$13:$E$101)=$F47)*(Adders!G$13:G$101)) + VLOOKUP($H47,Adders!$B$5:$G$8,L$11,FALSE)  +  NJ!$D$2 ) * IF($D47="NJ",1.07,1))/$L$10, CHOOSE($M$10,$L$9,$M$9) )</f>
        <v xml:space="preserve"> 96.28 </v>
      </c>
      <c r="J47" s="178" t="str">
        <f>TEXT(   (SUMPRODUCT( ((Main!$H$9:$H$1000)=$E47)*((Main!$J$9:$J$1000)=$F47)*((Main!$O$9:$O$1000)=$C47)*(Main!S$9:S$1000) ) +  ( SUMPRODUCT( ((Adders!$D$13:$D$101)=$E47)*((Adders!$E$13:$E$101)=$F47)*(Adders!H$13:H$101)) + VLOOKUP($H47,Adders!$B$5:$G$8,M$11,FALSE)  +  NJ!$D$2 ) * IF($D47="NJ",1.07,1))/$L$10, CHOOSE($M$10,$L$9,$M$9) )</f>
        <v xml:space="preserve"> 94.97 </v>
      </c>
      <c r="K47" s="179" t="str">
        <f>TEXT(   (SUMPRODUCT( ((Main!$H$9:$H$1000)=$E47)*((Main!$J$9:$J$1000)=$F47)*((Main!$O$9:$O$1000)=$C47)*(Main!T$9:T$1000) ) +  ( SUMPRODUCT( ((Adders!$D$13:$D$101)=$E47)*((Adders!$E$13:$E$101)=$F47)*(Adders!I$13:I$101)) + VLOOKUP($H47,Adders!$B$5:$G$8,N$11,FALSE)  +  NJ!$D$2 ) * IF($D47="NJ",1.07,1))/$L$10, CHOOSE($M$10,$L$9,$M$9) )</f>
        <v xml:space="preserve"> 97.13 </v>
      </c>
      <c r="L47" s="178" t="str">
        <f>TEXT(   (SUMPRODUCT( ((LMPMain!$H$9:$H$1000)=$E47)*((LMPMain!$J$9:$J$1000)=$F47)*((LMPMain!$O$9:$O$1000)=$C47)*(LMPMain!R$9:R$1000) ) +  ( SUMPRODUCT( ((Adders!$D$13:$D$101)=$E47)*((Adders!$E$13:$E$101)=$F47)*(Adders!G$13:G$101)) + VLOOKUP($H47,Adders!$B$5:$G$8,L$11,FALSE)  +  NJ!$D$2 ) * IF($D47="NJ",1.07,1))/$L$10, CHOOSE($M$10,$L$9,$M$9) )</f>
        <v xml:space="preserve"> 52.02 </v>
      </c>
      <c r="M47" s="178" t="str">
        <f>TEXT(   (SUMPRODUCT( ((LMPMain!$H$9:$H$1000)=$E47)*((LMPMain!$J$9:$J$1000)=$F47)*((LMPMain!$O$9:$O$1000)=$C47)*(LMPMain!S$9:S$1000) ) +  ( SUMPRODUCT( ((Adders!$D$13:$D$101)=$E47)*((Adders!$E$13:$E$101)=$F47)*(Adders!H$13:H$101)) + VLOOKUP($H47,Adders!$B$5:$G$8,M$11,FALSE)  +  NJ!$D$2 ) * IF($D47="NJ",1.07,1))/$L$10, CHOOSE($M$10,$L$9,$M$9) )</f>
        <v xml:space="preserve"> 50.89 </v>
      </c>
      <c r="N47" s="179" t="str">
        <f>TEXT(   (SUMPRODUCT( ((LMPMain!$H$9:$H$1000)=$E47)*((LMPMain!$J$9:$J$1000)=$F47)*((LMPMain!$O$9:$O$1000)=$C47)*(LMPMain!T$9:T$1000) ) +  ( SUMPRODUCT( ((Adders!$D$13:$D$101)=$E47)*((Adders!$E$13:$E$101)=$F47)*(Adders!I$13:I$101)) + VLOOKUP($H47,Adders!$B$5:$G$8,N$11,FALSE)  +  NJ!$D$2 ) * IF($D47="NJ",1.07,1))/$L$10, CHOOSE($M$10,$L$9,$M$9) )</f>
        <v xml:space="preserve"> 51.99 </v>
      </c>
      <c r="O47" s="112"/>
    </row>
    <row r="48" spans="2:15" x14ac:dyDescent="0.25">
      <c r="B48" s="108"/>
      <c r="C48" s="131">
        <f>+C47</f>
        <v>42491</v>
      </c>
      <c r="D48" s="132" t="s">
        <v>31</v>
      </c>
      <c r="E48" s="133" t="s">
        <v>32</v>
      </c>
      <c r="F48" s="132" t="s">
        <v>33</v>
      </c>
      <c r="G48" s="133" t="str">
        <f t="shared" si="0"/>
        <v>Mthly Gen. Service</v>
      </c>
      <c r="H48" s="134" t="s">
        <v>62</v>
      </c>
      <c r="I48" s="173" t="str">
        <f>TEXT(   (SUMPRODUCT( ((Main!$H$9:$H$1000)=$E48)*((Main!$J$9:$J$1000)=$F48)*((Main!$O$9:$O$1000)=$C48)*(Main!R$9:R$1000) ) +  ( SUMPRODUCT( ((Adders!$D$13:$D$101)=$E48)*((Adders!$E$13:$E$101)=$F48)*(Adders!G$13:G$101)) + VLOOKUP($H48,Adders!$B$5:$G$8,L$11,FALSE)  +  NJ!$D$2 ) * IF($D48="NJ",1.07,1))/$L$10, CHOOSE($M$10,$L$9,$M$9) )</f>
        <v xml:space="preserve"> 94.57 </v>
      </c>
      <c r="J48" s="173" t="str">
        <f>TEXT(   (SUMPRODUCT( ((Main!$H$9:$H$1000)=$E48)*((Main!$J$9:$J$1000)=$F48)*((Main!$O$9:$O$1000)=$C48)*(Main!S$9:S$1000) ) +  ( SUMPRODUCT( ((Adders!$D$13:$D$101)=$E48)*((Adders!$E$13:$E$101)=$F48)*(Adders!H$13:H$101)) + VLOOKUP($H48,Adders!$B$5:$G$8,M$11,FALSE)  +  NJ!$D$2 ) * IF($D48="NJ",1.07,1))/$L$10, CHOOSE($M$10,$L$9,$M$9) )</f>
        <v xml:space="preserve"> 93.26 </v>
      </c>
      <c r="K48" s="174" t="str">
        <f>TEXT(   (SUMPRODUCT( ((Main!$H$9:$H$1000)=$E48)*((Main!$J$9:$J$1000)=$F48)*((Main!$O$9:$O$1000)=$C48)*(Main!T$9:T$1000) ) +  ( SUMPRODUCT( ((Adders!$D$13:$D$101)=$E48)*((Adders!$E$13:$E$101)=$F48)*(Adders!I$13:I$101)) + VLOOKUP($H48,Adders!$B$5:$G$8,N$11,FALSE)  +  NJ!$D$2 ) * IF($D48="NJ",1.07,1))/$L$10, CHOOSE($M$10,$L$9,$M$9) )</f>
        <v xml:space="preserve"> 95.42 </v>
      </c>
      <c r="L48" s="173" t="str">
        <f>TEXT(   (SUMPRODUCT( ((LMPMain!$H$9:$H$1000)=$E48)*((LMPMain!$J$9:$J$1000)=$F48)*((LMPMain!$O$9:$O$1000)=$C48)*(LMPMain!R$9:R$1000) ) +  ( SUMPRODUCT( ((Adders!$D$13:$D$101)=$E48)*((Adders!$E$13:$E$101)=$F48)*(Adders!G$13:G$101)) + VLOOKUP($H48,Adders!$B$5:$G$8,L$11,FALSE)  +  NJ!$D$2 ) * IF($D48="NJ",1.07,1))/$L$10, CHOOSE($M$10,$L$9,$M$9) )</f>
        <v xml:space="preserve"> 50.31 </v>
      </c>
      <c r="M48" s="173" t="str">
        <f>TEXT(   (SUMPRODUCT( ((LMPMain!$H$9:$H$1000)=$E48)*((LMPMain!$J$9:$J$1000)=$F48)*((LMPMain!$O$9:$O$1000)=$C48)*(LMPMain!S$9:S$1000) ) +  ( SUMPRODUCT( ((Adders!$D$13:$D$101)=$E48)*((Adders!$E$13:$E$101)=$F48)*(Adders!H$13:H$101)) + VLOOKUP($H48,Adders!$B$5:$G$8,M$11,FALSE)  +  NJ!$D$2 ) * IF($D48="NJ",1.07,1))/$L$10, CHOOSE($M$10,$L$9,$M$9) )</f>
        <v xml:space="preserve"> 49.17 </v>
      </c>
      <c r="N48" s="174" t="str">
        <f>TEXT(   (SUMPRODUCT( ((LMPMain!$H$9:$H$1000)=$E48)*((LMPMain!$J$9:$J$1000)=$F48)*((LMPMain!$O$9:$O$1000)=$C48)*(LMPMain!T$9:T$1000) ) +  ( SUMPRODUCT( ((Adders!$D$13:$D$101)=$E48)*((Adders!$E$13:$E$101)=$F48)*(Adders!I$13:I$101)) + VLOOKUP($H48,Adders!$B$5:$G$8,N$11,FALSE)  +  NJ!$D$2 ) * IF($D48="NJ",1.07,1))/$L$10, CHOOSE($M$10,$L$9,$M$9) )</f>
        <v xml:space="preserve"> 50.28 </v>
      </c>
      <c r="O48" s="112"/>
    </row>
    <row r="49" spans="2:15" x14ac:dyDescent="0.25">
      <c r="B49" s="108"/>
      <c r="C49" s="135">
        <f>+C48</f>
        <v>42491</v>
      </c>
      <c r="D49" s="136" t="s">
        <v>31</v>
      </c>
      <c r="E49" s="137" t="s">
        <v>32</v>
      </c>
      <c r="F49" s="136" t="s">
        <v>33</v>
      </c>
      <c r="G49" s="137" t="str">
        <f t="shared" si="0"/>
        <v>Mthly Gen. Service</v>
      </c>
      <c r="H49" s="138" t="s">
        <v>690</v>
      </c>
      <c r="I49" s="176" t="str">
        <f>TEXT(   (SUMPRODUCT( ((Main!$H$9:$H$1000)=$E49)*((Main!$J$9:$J$1000)=$F49)*((Main!$O$9:$O$1000)=$C49)*(Main!R$9:R$1000) ) +  ( SUMPRODUCT( ((Adders!$D$13:$D$101)=$E49)*((Adders!$E$13:$E$101)=$F49)*(Adders!G$13:G$101)) + VLOOKUP($H49,Adders!$B$5:$G$8,L$11,FALSE)  +  NJ!$D$2 ) * IF($D49="NJ",1.07,1))/$L$10, CHOOSE($M$10,$L$9,$M$9) )</f>
        <v xml:space="preserve"> 93.45 </v>
      </c>
      <c r="J49" s="176" t="str">
        <f>TEXT(   (SUMPRODUCT( ((Main!$H$9:$H$1000)=$E49)*((Main!$J$9:$J$1000)=$F49)*((Main!$O$9:$O$1000)=$C49)*(Main!S$9:S$1000) ) +  ( SUMPRODUCT( ((Adders!$D$13:$D$101)=$E49)*((Adders!$E$13:$E$101)=$F49)*(Adders!H$13:H$101)) + VLOOKUP($H49,Adders!$B$5:$G$8,M$11,FALSE)  +  NJ!$D$2 ) * IF($D49="NJ",1.07,1))/$L$10, CHOOSE($M$10,$L$9,$M$9) )</f>
        <v xml:space="preserve"> 92.14 </v>
      </c>
      <c r="K49" s="177" t="str">
        <f>TEXT(   (SUMPRODUCT( ((Main!$H$9:$H$1000)=$E49)*((Main!$J$9:$J$1000)=$F49)*((Main!$O$9:$O$1000)=$C49)*(Main!T$9:T$1000) ) +  ( SUMPRODUCT( ((Adders!$D$13:$D$101)=$E49)*((Adders!$E$13:$E$101)=$F49)*(Adders!I$13:I$101)) + VLOOKUP($H49,Adders!$B$5:$G$8,N$11,FALSE)  +  NJ!$D$2 ) * IF($D49="NJ",1.07,1))/$L$10, CHOOSE($M$10,$L$9,$M$9) )</f>
        <v xml:space="preserve"> 94.30 </v>
      </c>
      <c r="L49" s="176" t="str">
        <f>TEXT(   (SUMPRODUCT( ((LMPMain!$H$9:$H$1000)=$E49)*((LMPMain!$J$9:$J$1000)=$F49)*((LMPMain!$O$9:$O$1000)=$C49)*(LMPMain!R$9:R$1000) ) +  ( SUMPRODUCT( ((Adders!$D$13:$D$101)=$E49)*((Adders!$E$13:$E$101)=$F49)*(Adders!G$13:G$101)) + VLOOKUP($H49,Adders!$B$5:$G$8,L$11,FALSE)  +  NJ!$D$2 ) * IF($D49="NJ",1.07,1))/$L$10, CHOOSE($M$10,$L$9,$M$9) )</f>
        <v xml:space="preserve"> 49.18 </v>
      </c>
      <c r="M49" s="176" t="str">
        <f>TEXT(   (SUMPRODUCT( ((LMPMain!$H$9:$H$1000)=$E49)*((LMPMain!$J$9:$J$1000)=$F49)*((LMPMain!$O$9:$O$1000)=$C49)*(LMPMain!S$9:S$1000) ) +  ( SUMPRODUCT( ((Adders!$D$13:$D$101)=$E49)*((Adders!$E$13:$E$101)=$F49)*(Adders!H$13:H$101)) + VLOOKUP($H49,Adders!$B$5:$G$8,M$11,FALSE)  +  NJ!$D$2 ) * IF($D49="NJ",1.07,1))/$L$10, CHOOSE($M$10,$L$9,$M$9) )</f>
        <v xml:space="preserve"> 48.05 </v>
      </c>
      <c r="N49" s="177" t="str">
        <f>TEXT(   (SUMPRODUCT( ((LMPMain!$H$9:$H$1000)=$E49)*((LMPMain!$J$9:$J$1000)=$F49)*((LMPMain!$O$9:$O$1000)=$C49)*(LMPMain!T$9:T$1000) ) +  ( SUMPRODUCT( ((Adders!$D$13:$D$101)=$E49)*((Adders!$E$13:$E$101)=$F49)*(Adders!I$13:I$101)) + VLOOKUP($H49,Adders!$B$5:$G$8,N$11,FALSE)  +  NJ!$D$2 ) * IF($D49="NJ",1.07,1))/$L$10, CHOOSE($M$10,$L$9,$M$9) )</f>
        <v xml:space="preserve"> 49.16 </v>
      </c>
      <c r="O49" s="112"/>
    </row>
    <row r="50" spans="2:15" x14ac:dyDescent="0.25">
      <c r="B50" s="108"/>
      <c r="C50" s="127">
        <f>C14</f>
        <v>42156</v>
      </c>
      <c r="D50" s="128" t="s">
        <v>31</v>
      </c>
      <c r="E50" s="129" t="s">
        <v>32</v>
      </c>
      <c r="F50" s="128" t="s">
        <v>34</v>
      </c>
      <c r="G50" s="129" t="str">
        <f>VLOOKUP(SUMPRODUCT( ((LMPMain!$H$9:$H$1000)=$E50)*((LMPMain!$J$9:$J$1000)=$F50)*((LMPMain!$O$9:$O$1000)=$C50)*(LMPMain!A$9:A$1000)),LMPMain!$A$9:$K$1000,11,FALSE)</f>
        <v>Annual Gen Service</v>
      </c>
      <c r="H50" s="130" t="s">
        <v>61</v>
      </c>
      <c r="I50" s="178" t="str">
        <f>TEXT(   (SUMPRODUCT( ((Main!$H$9:$H$1000)=$E50)*((Main!$J$9:$J$1000)=$F50)*((Main!$O$9:$O$1000)=$C50)*(Main!R$9:R$1000) ) +  ( SUMPRODUCT( ((Adders!$D$13:$D$101)=$E50)*((Adders!$E$13:$E$101)=$F50)*(Adders!G$13:G$101)) + VLOOKUP($H50,Adders!$B$5:$G$8,L$11,FALSE)  +  NJ!$D$2 ) * IF($D50="NJ",1.07,1))/$L$10, CHOOSE($M$10,$L$9,$M$9) )</f>
        <v xml:space="preserve"> 99.09 </v>
      </c>
      <c r="J50" s="178" t="str">
        <f>TEXT(   (SUMPRODUCT( ((Main!$H$9:$H$1000)=$E50)*((Main!$J$9:$J$1000)=$F50)*((Main!$O$9:$O$1000)=$C50)*(Main!S$9:S$1000) ) +  ( SUMPRODUCT( ((Adders!$D$13:$D$101)=$E50)*((Adders!$E$13:$E$101)=$F50)*(Adders!H$13:H$101)) + VLOOKUP($H50,Adders!$B$5:$G$8,M$11,FALSE)  +  NJ!$D$2 ) * IF($D50="NJ",1.07,1))/$L$10, CHOOSE($M$10,$L$9,$M$9) )</f>
        <v xml:space="preserve"> 96.21 </v>
      </c>
      <c r="K50" s="179" t="str">
        <f>TEXT(   (SUMPRODUCT( ((Main!$H$9:$H$1000)=$E50)*((Main!$J$9:$J$1000)=$F50)*((Main!$O$9:$O$1000)=$C50)*(Main!T$9:T$1000) ) +  ( SUMPRODUCT( ((Adders!$D$13:$D$101)=$E50)*((Adders!$E$13:$E$101)=$F50)*(Adders!I$13:I$101)) + VLOOKUP($H50,Adders!$B$5:$G$8,N$11,FALSE)  +  NJ!$D$2 ) * IF($D50="NJ",1.07,1))/$L$10, CHOOSE($M$10,$L$9,$M$9) )</f>
        <v xml:space="preserve"> 97.15 </v>
      </c>
      <c r="L50" s="178" t="str">
        <f>TEXT(   (SUMPRODUCT( ((LMPMain!$H$9:$H$1000)=$E50)*((LMPMain!$J$9:$J$1000)=$F50)*((LMPMain!$O$9:$O$1000)=$C50)*(LMPMain!R$9:R$1000) ) +  ( SUMPRODUCT( ((Adders!$D$13:$D$101)=$E50)*((Adders!$E$13:$E$101)=$F50)*(Adders!G$13:G$101)) + VLOOKUP($H50,Adders!$B$5:$G$8,L$11,FALSE)  +  NJ!$D$2 ) * IF($D50="NJ",1.07,1))/$L$10, CHOOSE($M$10,$L$9,$M$9) )</f>
        <v xml:space="preserve"> 55.31 </v>
      </c>
      <c r="M50" s="178" t="str">
        <f>TEXT(   (SUMPRODUCT( ((LMPMain!$H$9:$H$1000)=$E50)*((LMPMain!$J$9:$J$1000)=$F50)*((LMPMain!$O$9:$O$1000)=$C50)*(LMPMain!S$9:S$1000) ) +  ( SUMPRODUCT( ((Adders!$D$13:$D$101)=$E50)*((Adders!$E$13:$E$101)=$F50)*(Adders!H$13:H$101)) + VLOOKUP($H50,Adders!$B$5:$G$8,M$11,FALSE)  +  NJ!$D$2 ) * IF($D50="NJ",1.07,1))/$L$10, CHOOSE($M$10,$L$9,$M$9) )</f>
        <v xml:space="preserve"> 53.34 </v>
      </c>
      <c r="N50" s="179" t="str">
        <f>TEXT(   (SUMPRODUCT( ((LMPMain!$H$9:$H$1000)=$E50)*((LMPMain!$J$9:$J$1000)=$F50)*((LMPMain!$O$9:$O$1000)=$C50)*(LMPMain!T$9:T$1000) ) +  ( SUMPRODUCT( ((Adders!$D$13:$D$101)=$E50)*((Adders!$E$13:$E$101)=$F50)*(Adders!I$13:I$101)) + VLOOKUP($H50,Adders!$B$5:$G$8,N$11,FALSE)  +  NJ!$D$2 ) * IF($D50="NJ",1.07,1))/$L$10, CHOOSE($M$10,$L$9,$M$9) )</f>
        <v xml:space="preserve"> 53.45 </v>
      </c>
      <c r="O50" s="112"/>
    </row>
    <row r="51" spans="2:15" x14ac:dyDescent="0.25">
      <c r="B51" s="108"/>
      <c r="C51" s="131">
        <f t="shared" ref="C51:C114" si="1">C15</f>
        <v>42156</v>
      </c>
      <c r="D51" s="132" t="s">
        <v>31</v>
      </c>
      <c r="E51" s="133" t="s">
        <v>32</v>
      </c>
      <c r="F51" s="132" t="s">
        <v>34</v>
      </c>
      <c r="G51" s="133" t="str">
        <f t="shared" ref="G51:G114" si="2">G50</f>
        <v>Annual Gen Service</v>
      </c>
      <c r="H51" s="134" t="s">
        <v>62</v>
      </c>
      <c r="I51" s="173" t="str">
        <f>TEXT(   (SUMPRODUCT( ((Main!$H$9:$H$1000)=$E51)*((Main!$J$9:$J$1000)=$F51)*((Main!$O$9:$O$1000)=$C51)*(Main!R$9:R$1000) ) +  ( SUMPRODUCT( ((Adders!$D$13:$D$101)=$E51)*((Adders!$E$13:$E$101)=$F51)*(Adders!G$13:G$101)) + VLOOKUP($H51,Adders!$B$5:$G$8,L$11,FALSE)  +  NJ!$D$2 ) * IF($D51="NJ",1.07,1))/$L$10, CHOOSE($M$10,$L$9,$M$9) )</f>
        <v xml:space="preserve"> 97.38 </v>
      </c>
      <c r="J51" s="173" t="str">
        <f>TEXT(   (SUMPRODUCT( ((Main!$H$9:$H$1000)=$E51)*((Main!$J$9:$J$1000)=$F51)*((Main!$O$9:$O$1000)=$C51)*(Main!S$9:S$1000) ) +  ( SUMPRODUCT( ((Adders!$D$13:$D$101)=$E51)*((Adders!$E$13:$E$101)=$F51)*(Adders!H$13:H$101)) + VLOOKUP($H51,Adders!$B$5:$G$8,M$11,FALSE)  +  NJ!$D$2 ) * IF($D51="NJ",1.07,1))/$L$10, CHOOSE($M$10,$L$9,$M$9) )</f>
        <v xml:space="preserve"> 94.50 </v>
      </c>
      <c r="K51" s="174" t="str">
        <f>TEXT(   (SUMPRODUCT( ((Main!$H$9:$H$1000)=$E51)*((Main!$J$9:$J$1000)=$F51)*((Main!$O$9:$O$1000)=$C51)*(Main!T$9:T$1000) ) +  ( SUMPRODUCT( ((Adders!$D$13:$D$101)=$E51)*((Adders!$E$13:$E$101)=$F51)*(Adders!I$13:I$101)) + VLOOKUP($H51,Adders!$B$5:$G$8,N$11,FALSE)  +  NJ!$D$2 ) * IF($D51="NJ",1.07,1))/$L$10, CHOOSE($M$10,$L$9,$M$9) )</f>
        <v xml:space="preserve"> 95.44 </v>
      </c>
      <c r="L51" s="173" t="str">
        <f>TEXT(   (SUMPRODUCT( ((LMPMain!$H$9:$H$1000)=$E51)*((LMPMain!$J$9:$J$1000)=$F51)*((LMPMain!$O$9:$O$1000)=$C51)*(LMPMain!R$9:R$1000) ) +  ( SUMPRODUCT( ((Adders!$D$13:$D$101)=$E51)*((Adders!$E$13:$E$101)=$F51)*(Adders!G$13:G$101)) + VLOOKUP($H51,Adders!$B$5:$G$8,L$11,FALSE)  +  NJ!$D$2 ) * IF($D51="NJ",1.07,1))/$L$10, CHOOSE($M$10,$L$9,$M$9) )</f>
        <v xml:space="preserve"> 53.59 </v>
      </c>
      <c r="M51" s="173" t="str">
        <f>TEXT(   (SUMPRODUCT( ((LMPMain!$H$9:$H$1000)=$E51)*((LMPMain!$J$9:$J$1000)=$F51)*((LMPMain!$O$9:$O$1000)=$C51)*(LMPMain!S$9:S$1000) ) +  ( SUMPRODUCT( ((Adders!$D$13:$D$101)=$E51)*((Adders!$E$13:$E$101)=$F51)*(Adders!H$13:H$101)) + VLOOKUP($H51,Adders!$B$5:$G$8,M$11,FALSE)  +  NJ!$D$2 ) * IF($D51="NJ",1.07,1))/$L$10, CHOOSE($M$10,$L$9,$M$9) )</f>
        <v xml:space="preserve"> 51.63 </v>
      </c>
      <c r="N51" s="174" t="str">
        <f>TEXT(   (SUMPRODUCT( ((LMPMain!$H$9:$H$1000)=$E51)*((LMPMain!$J$9:$J$1000)=$F51)*((LMPMain!$O$9:$O$1000)=$C51)*(LMPMain!T$9:T$1000) ) +  ( SUMPRODUCT( ((Adders!$D$13:$D$101)=$E51)*((Adders!$E$13:$E$101)=$F51)*(Adders!I$13:I$101)) + VLOOKUP($H51,Adders!$B$5:$G$8,N$11,FALSE)  +  NJ!$D$2 ) * IF($D51="NJ",1.07,1))/$L$10, CHOOSE($M$10,$L$9,$M$9) )</f>
        <v xml:space="preserve"> 51.74 </v>
      </c>
      <c r="O51" s="112"/>
    </row>
    <row r="52" spans="2:15" x14ac:dyDescent="0.25">
      <c r="B52" s="108"/>
      <c r="C52" s="135">
        <f t="shared" si="1"/>
        <v>42156</v>
      </c>
      <c r="D52" s="136" t="s">
        <v>31</v>
      </c>
      <c r="E52" s="137" t="s">
        <v>32</v>
      </c>
      <c r="F52" s="136" t="s">
        <v>34</v>
      </c>
      <c r="G52" s="137" t="str">
        <f t="shared" si="2"/>
        <v>Annual Gen Service</v>
      </c>
      <c r="H52" s="138" t="s">
        <v>690</v>
      </c>
      <c r="I52" s="176" t="str">
        <f>TEXT(   (SUMPRODUCT( ((Main!$H$9:$H$1000)=$E52)*((Main!$J$9:$J$1000)=$F52)*((Main!$O$9:$O$1000)=$C52)*(Main!R$9:R$1000) ) +  ( SUMPRODUCT( ((Adders!$D$13:$D$101)=$E52)*((Adders!$E$13:$E$101)=$F52)*(Adders!G$13:G$101)) + VLOOKUP($H52,Adders!$B$5:$G$8,L$11,FALSE)  +  NJ!$D$2 ) * IF($D52="NJ",1.07,1))/$L$10, CHOOSE($M$10,$L$9,$M$9) )</f>
        <v xml:space="preserve"> 96.26 </v>
      </c>
      <c r="J52" s="176" t="str">
        <f>TEXT(   (SUMPRODUCT( ((Main!$H$9:$H$1000)=$E52)*((Main!$J$9:$J$1000)=$F52)*((Main!$O$9:$O$1000)=$C52)*(Main!S$9:S$1000) ) +  ( SUMPRODUCT( ((Adders!$D$13:$D$101)=$E52)*((Adders!$E$13:$E$101)=$F52)*(Adders!H$13:H$101)) + VLOOKUP($H52,Adders!$B$5:$G$8,M$11,FALSE)  +  NJ!$D$2 ) * IF($D52="NJ",1.07,1))/$L$10, CHOOSE($M$10,$L$9,$M$9) )</f>
        <v xml:space="preserve"> 93.38 </v>
      </c>
      <c r="K52" s="177" t="str">
        <f>TEXT(   (SUMPRODUCT( ((Main!$H$9:$H$1000)=$E52)*((Main!$J$9:$J$1000)=$F52)*((Main!$O$9:$O$1000)=$C52)*(Main!T$9:T$1000) ) +  ( SUMPRODUCT( ((Adders!$D$13:$D$101)=$E52)*((Adders!$E$13:$E$101)=$F52)*(Adders!I$13:I$101)) + VLOOKUP($H52,Adders!$B$5:$G$8,N$11,FALSE)  +  NJ!$D$2 ) * IF($D52="NJ",1.07,1))/$L$10, CHOOSE($M$10,$L$9,$M$9) )</f>
        <v xml:space="preserve"> 94.32 </v>
      </c>
      <c r="L52" s="176" t="str">
        <f>TEXT(   (SUMPRODUCT( ((LMPMain!$H$9:$H$1000)=$E52)*((LMPMain!$J$9:$J$1000)=$F52)*((LMPMain!$O$9:$O$1000)=$C52)*(LMPMain!R$9:R$1000) ) +  ( SUMPRODUCT( ((Adders!$D$13:$D$101)=$E52)*((Adders!$E$13:$E$101)=$F52)*(Adders!G$13:G$101)) + VLOOKUP($H52,Adders!$B$5:$G$8,L$11,FALSE)  +  NJ!$D$2 ) * IF($D52="NJ",1.07,1))/$L$10, CHOOSE($M$10,$L$9,$M$9) )</f>
        <v xml:space="preserve"> 52.47 </v>
      </c>
      <c r="M52" s="176" t="str">
        <f>TEXT(   (SUMPRODUCT( ((LMPMain!$H$9:$H$1000)=$E52)*((LMPMain!$J$9:$J$1000)=$F52)*((LMPMain!$O$9:$O$1000)=$C52)*(LMPMain!S$9:S$1000) ) +  ( SUMPRODUCT( ((Adders!$D$13:$D$101)=$E52)*((Adders!$E$13:$E$101)=$F52)*(Adders!H$13:H$101)) + VLOOKUP($H52,Adders!$B$5:$G$8,M$11,FALSE)  +  NJ!$D$2 ) * IF($D52="NJ",1.07,1))/$L$10, CHOOSE($M$10,$L$9,$M$9) )</f>
        <v xml:space="preserve"> 50.50 </v>
      </c>
      <c r="N52" s="177" t="str">
        <f>TEXT(   (SUMPRODUCT( ((LMPMain!$H$9:$H$1000)=$E52)*((LMPMain!$J$9:$J$1000)=$F52)*((LMPMain!$O$9:$O$1000)=$C52)*(LMPMain!T$9:T$1000) ) +  ( SUMPRODUCT( ((Adders!$D$13:$D$101)=$E52)*((Adders!$E$13:$E$101)=$F52)*(Adders!I$13:I$101)) + VLOOKUP($H52,Adders!$B$5:$G$8,N$11,FALSE)  +  NJ!$D$2 ) * IF($D52="NJ",1.07,1))/$L$10, CHOOSE($M$10,$L$9,$M$9) )</f>
        <v xml:space="preserve"> 50.62 </v>
      </c>
      <c r="O52" s="112"/>
    </row>
    <row r="53" spans="2:15" x14ac:dyDescent="0.25">
      <c r="B53" s="108"/>
      <c r="C53" s="127">
        <f t="shared" si="1"/>
        <v>42186</v>
      </c>
      <c r="D53" s="128" t="s">
        <v>31</v>
      </c>
      <c r="E53" s="129" t="s">
        <v>32</v>
      </c>
      <c r="F53" s="128" t="s">
        <v>34</v>
      </c>
      <c r="G53" s="129" t="str">
        <f t="shared" si="2"/>
        <v>Annual Gen Service</v>
      </c>
      <c r="H53" s="130" t="s">
        <v>61</v>
      </c>
      <c r="I53" s="178" t="str">
        <f>TEXT(   (SUMPRODUCT( ((Main!$H$9:$H$1000)=$E53)*((Main!$J$9:$J$1000)=$F53)*((Main!$O$9:$O$1000)=$C53)*(Main!R$9:R$1000) ) +  ( SUMPRODUCT( ((Adders!$D$13:$D$101)=$E53)*((Adders!$E$13:$E$101)=$F53)*(Adders!G$13:G$101)) + VLOOKUP($H53,Adders!$B$5:$G$8,L$11,FALSE)  +  NJ!$D$2 ) * IF($D53="NJ",1.07,1))/$L$10, CHOOSE($M$10,$L$9,$M$9) )</f>
        <v xml:space="preserve"> 98.91 </v>
      </c>
      <c r="J53" s="178" t="str">
        <f>TEXT(   (SUMPRODUCT( ((Main!$H$9:$H$1000)=$E53)*((Main!$J$9:$J$1000)=$F53)*((Main!$O$9:$O$1000)=$C53)*(Main!S$9:S$1000) ) +  ( SUMPRODUCT( ((Adders!$D$13:$D$101)=$E53)*((Adders!$E$13:$E$101)=$F53)*(Adders!H$13:H$101)) + VLOOKUP($H53,Adders!$B$5:$G$8,M$11,FALSE)  +  NJ!$D$2 ) * IF($D53="NJ",1.07,1))/$L$10, CHOOSE($M$10,$L$9,$M$9) )</f>
        <v xml:space="preserve"> 96.23 </v>
      </c>
      <c r="K53" s="179" t="str">
        <f>TEXT(   (SUMPRODUCT( ((Main!$H$9:$H$1000)=$E53)*((Main!$J$9:$J$1000)=$F53)*((Main!$O$9:$O$1000)=$C53)*(Main!T$9:T$1000) ) +  ( SUMPRODUCT( ((Adders!$D$13:$D$101)=$E53)*((Adders!$E$13:$E$101)=$F53)*(Adders!I$13:I$101)) + VLOOKUP($H53,Adders!$B$5:$G$8,N$11,FALSE)  +  NJ!$D$2 ) * IF($D53="NJ",1.07,1))/$L$10, CHOOSE($M$10,$L$9,$M$9) )</f>
        <v xml:space="preserve"> 97.12 </v>
      </c>
      <c r="L53" s="178" t="str">
        <f>TEXT(   (SUMPRODUCT( ((LMPMain!$H$9:$H$1000)=$E53)*((LMPMain!$J$9:$J$1000)=$F53)*((LMPMain!$O$9:$O$1000)=$C53)*(LMPMain!R$9:R$1000) ) +  ( SUMPRODUCT( ((Adders!$D$13:$D$101)=$E53)*((Adders!$E$13:$E$101)=$F53)*(Adders!G$13:G$101)) + VLOOKUP($H53,Adders!$B$5:$G$8,L$11,FALSE)  +  NJ!$D$2 ) * IF($D53="NJ",1.07,1))/$L$10, CHOOSE($M$10,$L$9,$M$9) )</f>
        <v xml:space="preserve"> 55.02 </v>
      </c>
      <c r="M53" s="178" t="str">
        <f>TEXT(   (SUMPRODUCT( ((LMPMain!$H$9:$H$1000)=$E53)*((LMPMain!$J$9:$J$1000)=$F53)*((LMPMain!$O$9:$O$1000)=$C53)*(LMPMain!S$9:S$1000) ) +  ( SUMPRODUCT( ((Adders!$D$13:$D$101)=$E53)*((Adders!$E$13:$E$101)=$F53)*(Adders!H$13:H$101)) + VLOOKUP($H53,Adders!$B$5:$G$8,M$11,FALSE)  +  NJ!$D$2 ) * IF($D53="NJ",1.07,1))/$L$10, CHOOSE($M$10,$L$9,$M$9) )</f>
        <v xml:space="preserve"> 53.39 </v>
      </c>
      <c r="N53" s="179" t="str">
        <f>TEXT(   (SUMPRODUCT( ((LMPMain!$H$9:$H$1000)=$E53)*((LMPMain!$J$9:$J$1000)=$F53)*((LMPMain!$O$9:$O$1000)=$C53)*(LMPMain!T$9:T$1000) ) +  ( SUMPRODUCT( ((Adders!$D$13:$D$101)=$E53)*((Adders!$E$13:$E$101)=$F53)*(Adders!I$13:I$101)) + VLOOKUP($H53,Adders!$B$5:$G$8,N$11,FALSE)  +  NJ!$D$2 ) * IF($D53="NJ",1.07,1))/$L$10, CHOOSE($M$10,$L$9,$M$9) )</f>
        <v xml:space="preserve"> 53.34 </v>
      </c>
      <c r="O53" s="112"/>
    </row>
    <row r="54" spans="2:15" x14ac:dyDescent="0.25">
      <c r="B54" s="108"/>
      <c r="C54" s="131">
        <f t="shared" si="1"/>
        <v>42186</v>
      </c>
      <c r="D54" s="132" t="s">
        <v>31</v>
      </c>
      <c r="E54" s="133" t="s">
        <v>32</v>
      </c>
      <c r="F54" s="132" t="s">
        <v>34</v>
      </c>
      <c r="G54" s="133" t="str">
        <f t="shared" si="2"/>
        <v>Annual Gen Service</v>
      </c>
      <c r="H54" s="134" t="s">
        <v>62</v>
      </c>
      <c r="I54" s="173" t="str">
        <f>TEXT(   (SUMPRODUCT( ((Main!$H$9:$H$1000)=$E54)*((Main!$J$9:$J$1000)=$F54)*((Main!$O$9:$O$1000)=$C54)*(Main!R$9:R$1000) ) +  ( SUMPRODUCT( ((Adders!$D$13:$D$101)=$E54)*((Adders!$E$13:$E$101)=$F54)*(Adders!G$13:G$101)) + VLOOKUP($H54,Adders!$B$5:$G$8,L$11,FALSE)  +  NJ!$D$2 ) * IF($D54="NJ",1.07,1))/$L$10, CHOOSE($M$10,$L$9,$M$9) )</f>
        <v xml:space="preserve"> 97.20 </v>
      </c>
      <c r="J54" s="173" t="str">
        <f>TEXT(   (SUMPRODUCT( ((Main!$H$9:$H$1000)=$E54)*((Main!$J$9:$J$1000)=$F54)*((Main!$O$9:$O$1000)=$C54)*(Main!S$9:S$1000) ) +  ( SUMPRODUCT( ((Adders!$D$13:$D$101)=$E54)*((Adders!$E$13:$E$101)=$F54)*(Adders!H$13:H$101)) + VLOOKUP($H54,Adders!$B$5:$G$8,M$11,FALSE)  +  NJ!$D$2 ) * IF($D54="NJ",1.07,1))/$L$10, CHOOSE($M$10,$L$9,$M$9) )</f>
        <v xml:space="preserve"> 94.52 </v>
      </c>
      <c r="K54" s="174" t="str">
        <f>TEXT(   (SUMPRODUCT( ((Main!$H$9:$H$1000)=$E54)*((Main!$J$9:$J$1000)=$F54)*((Main!$O$9:$O$1000)=$C54)*(Main!T$9:T$1000) ) +  ( SUMPRODUCT( ((Adders!$D$13:$D$101)=$E54)*((Adders!$E$13:$E$101)=$F54)*(Adders!I$13:I$101)) + VLOOKUP($H54,Adders!$B$5:$G$8,N$11,FALSE)  +  NJ!$D$2 ) * IF($D54="NJ",1.07,1))/$L$10, CHOOSE($M$10,$L$9,$M$9) )</f>
        <v xml:space="preserve"> 95.41 </v>
      </c>
      <c r="L54" s="173" t="str">
        <f>TEXT(   (SUMPRODUCT( ((LMPMain!$H$9:$H$1000)=$E54)*((LMPMain!$J$9:$J$1000)=$F54)*((LMPMain!$O$9:$O$1000)=$C54)*(LMPMain!R$9:R$1000) ) +  ( SUMPRODUCT( ((Adders!$D$13:$D$101)=$E54)*((Adders!$E$13:$E$101)=$F54)*(Adders!G$13:G$101)) + VLOOKUP($H54,Adders!$B$5:$G$8,L$11,FALSE)  +  NJ!$D$2 ) * IF($D54="NJ",1.07,1))/$L$10, CHOOSE($M$10,$L$9,$M$9) )</f>
        <v xml:space="preserve"> 53.31 </v>
      </c>
      <c r="M54" s="173" t="str">
        <f>TEXT(   (SUMPRODUCT( ((LMPMain!$H$9:$H$1000)=$E54)*((LMPMain!$J$9:$J$1000)=$F54)*((LMPMain!$O$9:$O$1000)=$C54)*(LMPMain!S$9:S$1000) ) +  ( SUMPRODUCT( ((Adders!$D$13:$D$101)=$E54)*((Adders!$E$13:$E$101)=$F54)*(Adders!H$13:H$101)) + VLOOKUP($H54,Adders!$B$5:$G$8,M$11,FALSE)  +  NJ!$D$2 ) * IF($D54="NJ",1.07,1))/$L$10, CHOOSE($M$10,$L$9,$M$9) )</f>
        <v xml:space="preserve"> 51.68 </v>
      </c>
      <c r="N54" s="174" t="str">
        <f>TEXT(   (SUMPRODUCT( ((LMPMain!$H$9:$H$1000)=$E54)*((LMPMain!$J$9:$J$1000)=$F54)*((LMPMain!$O$9:$O$1000)=$C54)*(LMPMain!T$9:T$1000) ) +  ( SUMPRODUCT( ((Adders!$D$13:$D$101)=$E54)*((Adders!$E$13:$E$101)=$F54)*(Adders!I$13:I$101)) + VLOOKUP($H54,Adders!$B$5:$G$8,N$11,FALSE)  +  NJ!$D$2 ) * IF($D54="NJ",1.07,1))/$L$10, CHOOSE($M$10,$L$9,$M$9) )</f>
        <v xml:space="preserve"> 51.63 </v>
      </c>
      <c r="O54" s="112"/>
    </row>
    <row r="55" spans="2:15" x14ac:dyDescent="0.25">
      <c r="B55" s="108"/>
      <c r="C55" s="135">
        <f t="shared" si="1"/>
        <v>42186</v>
      </c>
      <c r="D55" s="136" t="s">
        <v>31</v>
      </c>
      <c r="E55" s="137" t="s">
        <v>32</v>
      </c>
      <c r="F55" s="136" t="s">
        <v>34</v>
      </c>
      <c r="G55" s="137" t="str">
        <f t="shared" si="2"/>
        <v>Annual Gen Service</v>
      </c>
      <c r="H55" s="138" t="s">
        <v>690</v>
      </c>
      <c r="I55" s="176" t="str">
        <f>TEXT(   (SUMPRODUCT( ((Main!$H$9:$H$1000)=$E55)*((Main!$J$9:$J$1000)=$F55)*((Main!$O$9:$O$1000)=$C55)*(Main!R$9:R$1000) ) +  ( SUMPRODUCT( ((Adders!$D$13:$D$101)=$E55)*((Adders!$E$13:$E$101)=$F55)*(Adders!G$13:G$101)) + VLOOKUP($H55,Adders!$B$5:$G$8,L$11,FALSE)  +  NJ!$D$2 ) * IF($D55="NJ",1.07,1))/$L$10, CHOOSE($M$10,$L$9,$M$9) )</f>
        <v xml:space="preserve"> 96.08 </v>
      </c>
      <c r="J55" s="176" t="str">
        <f>TEXT(   (SUMPRODUCT( ((Main!$H$9:$H$1000)=$E55)*((Main!$J$9:$J$1000)=$F55)*((Main!$O$9:$O$1000)=$C55)*(Main!S$9:S$1000) ) +  ( SUMPRODUCT( ((Adders!$D$13:$D$101)=$E55)*((Adders!$E$13:$E$101)=$F55)*(Adders!H$13:H$101)) + VLOOKUP($H55,Adders!$B$5:$G$8,M$11,FALSE)  +  NJ!$D$2 ) * IF($D55="NJ",1.07,1))/$L$10, CHOOSE($M$10,$L$9,$M$9) )</f>
        <v xml:space="preserve"> 93.40 </v>
      </c>
      <c r="K55" s="177" t="str">
        <f>TEXT(   (SUMPRODUCT( ((Main!$H$9:$H$1000)=$E55)*((Main!$J$9:$J$1000)=$F55)*((Main!$O$9:$O$1000)=$C55)*(Main!T$9:T$1000) ) +  ( SUMPRODUCT( ((Adders!$D$13:$D$101)=$E55)*((Adders!$E$13:$E$101)=$F55)*(Adders!I$13:I$101)) + VLOOKUP($H55,Adders!$B$5:$G$8,N$11,FALSE)  +  NJ!$D$2 ) * IF($D55="NJ",1.07,1))/$L$10, CHOOSE($M$10,$L$9,$M$9) )</f>
        <v xml:space="preserve"> 94.29 </v>
      </c>
      <c r="L55" s="176" t="str">
        <f>TEXT(   (SUMPRODUCT( ((LMPMain!$H$9:$H$1000)=$E55)*((LMPMain!$J$9:$J$1000)=$F55)*((LMPMain!$O$9:$O$1000)=$C55)*(LMPMain!R$9:R$1000) ) +  ( SUMPRODUCT( ((Adders!$D$13:$D$101)=$E55)*((Adders!$E$13:$E$101)=$F55)*(Adders!G$13:G$101)) + VLOOKUP($H55,Adders!$B$5:$G$8,L$11,FALSE)  +  NJ!$D$2 ) * IF($D55="NJ",1.07,1))/$L$10, CHOOSE($M$10,$L$9,$M$9) )</f>
        <v xml:space="preserve"> 52.19 </v>
      </c>
      <c r="M55" s="176" t="str">
        <f>TEXT(   (SUMPRODUCT( ((LMPMain!$H$9:$H$1000)=$E55)*((LMPMain!$J$9:$J$1000)=$F55)*((LMPMain!$O$9:$O$1000)=$C55)*(LMPMain!S$9:S$1000) ) +  ( SUMPRODUCT( ((Adders!$D$13:$D$101)=$E55)*((Adders!$E$13:$E$101)=$F55)*(Adders!H$13:H$101)) + VLOOKUP($H55,Adders!$B$5:$G$8,M$11,FALSE)  +  NJ!$D$2 ) * IF($D55="NJ",1.07,1))/$L$10, CHOOSE($M$10,$L$9,$M$9) )</f>
        <v xml:space="preserve"> 50.56 </v>
      </c>
      <c r="N55" s="177" t="str">
        <f>TEXT(   (SUMPRODUCT( ((LMPMain!$H$9:$H$1000)=$E55)*((LMPMain!$J$9:$J$1000)=$F55)*((LMPMain!$O$9:$O$1000)=$C55)*(LMPMain!T$9:T$1000) ) +  ( SUMPRODUCT( ((Adders!$D$13:$D$101)=$E55)*((Adders!$E$13:$E$101)=$F55)*(Adders!I$13:I$101)) + VLOOKUP($H55,Adders!$B$5:$G$8,N$11,FALSE)  +  NJ!$D$2 ) * IF($D55="NJ",1.07,1))/$L$10, CHOOSE($M$10,$L$9,$M$9) )</f>
        <v xml:space="preserve"> 50.51 </v>
      </c>
      <c r="O55" s="112"/>
    </row>
    <row r="56" spans="2:15" x14ac:dyDescent="0.25">
      <c r="B56" s="108"/>
      <c r="C56" s="127">
        <f t="shared" si="1"/>
        <v>42217</v>
      </c>
      <c r="D56" s="128" t="s">
        <v>31</v>
      </c>
      <c r="E56" s="129" t="s">
        <v>32</v>
      </c>
      <c r="F56" s="128" t="s">
        <v>34</v>
      </c>
      <c r="G56" s="129" t="str">
        <f t="shared" si="2"/>
        <v>Annual Gen Service</v>
      </c>
      <c r="H56" s="130" t="s">
        <v>61</v>
      </c>
      <c r="I56" s="178" t="str">
        <f>TEXT(   (SUMPRODUCT( ((Main!$H$9:$H$1000)=$E56)*((Main!$J$9:$J$1000)=$F56)*((Main!$O$9:$O$1000)=$C56)*(Main!R$9:R$1000) ) +  ( SUMPRODUCT( ((Adders!$D$13:$D$101)=$E56)*((Adders!$E$13:$E$101)=$F56)*(Adders!G$13:G$101)) + VLOOKUP($H56,Adders!$B$5:$G$8,L$11,FALSE)  +  NJ!$D$2 ) * IF($D56="NJ",1.07,1))/$L$10, CHOOSE($M$10,$L$9,$M$9) )</f>
        <v xml:space="preserve"> 98.26 </v>
      </c>
      <c r="J56" s="178" t="str">
        <f>TEXT(   (SUMPRODUCT( ((Main!$H$9:$H$1000)=$E56)*((Main!$J$9:$J$1000)=$F56)*((Main!$O$9:$O$1000)=$C56)*(Main!S$9:S$1000) ) +  ( SUMPRODUCT( ((Adders!$D$13:$D$101)=$E56)*((Adders!$E$13:$E$101)=$F56)*(Adders!H$13:H$101)) + VLOOKUP($H56,Adders!$B$5:$G$8,M$11,FALSE)  +  NJ!$D$2 ) * IF($D56="NJ",1.07,1))/$L$10, CHOOSE($M$10,$L$9,$M$9) )</f>
        <v xml:space="preserve"> 96.84 </v>
      </c>
      <c r="K56" s="179" t="str">
        <f>TEXT(   (SUMPRODUCT( ((Main!$H$9:$H$1000)=$E56)*((Main!$J$9:$J$1000)=$F56)*((Main!$O$9:$O$1000)=$C56)*(Main!T$9:T$1000) ) +  ( SUMPRODUCT( ((Adders!$D$13:$D$101)=$E56)*((Adders!$E$13:$E$101)=$F56)*(Adders!I$13:I$101)) + VLOOKUP($H56,Adders!$B$5:$G$8,N$11,FALSE)  +  NJ!$D$2 ) * IF($D56="NJ",1.07,1))/$L$10, CHOOSE($M$10,$L$9,$M$9) )</f>
        <v xml:space="preserve"> 96.94 </v>
      </c>
      <c r="L56" s="178" t="str">
        <f>TEXT(   (SUMPRODUCT( ((LMPMain!$H$9:$H$1000)=$E56)*((LMPMain!$J$9:$J$1000)=$F56)*((LMPMain!$O$9:$O$1000)=$C56)*(LMPMain!R$9:R$1000) ) +  ( SUMPRODUCT( ((Adders!$D$13:$D$101)=$E56)*((Adders!$E$13:$E$101)=$F56)*(Adders!G$13:G$101)) + VLOOKUP($H56,Adders!$B$5:$G$8,L$11,FALSE)  +  NJ!$D$2 ) * IF($D56="NJ",1.07,1))/$L$10, CHOOSE($M$10,$L$9,$M$9) )</f>
        <v xml:space="preserve"> 54.72 </v>
      </c>
      <c r="M56" s="178" t="str">
        <f>TEXT(   (SUMPRODUCT( ((LMPMain!$H$9:$H$1000)=$E56)*((LMPMain!$J$9:$J$1000)=$F56)*((LMPMain!$O$9:$O$1000)=$C56)*(LMPMain!S$9:S$1000) ) +  ( SUMPRODUCT( ((Adders!$D$13:$D$101)=$E56)*((Adders!$E$13:$E$101)=$F56)*(Adders!H$13:H$101)) + VLOOKUP($H56,Adders!$B$5:$G$8,M$11,FALSE)  +  NJ!$D$2 ) * IF($D56="NJ",1.07,1))/$L$10, CHOOSE($M$10,$L$9,$M$9) )</f>
        <v xml:space="preserve"> 53.66 </v>
      </c>
      <c r="N56" s="179" t="str">
        <f>TEXT(   (SUMPRODUCT( ((LMPMain!$H$9:$H$1000)=$E56)*((LMPMain!$J$9:$J$1000)=$F56)*((LMPMain!$O$9:$O$1000)=$C56)*(LMPMain!T$9:T$1000) ) +  ( SUMPRODUCT( ((Adders!$D$13:$D$101)=$E56)*((Adders!$E$13:$E$101)=$F56)*(Adders!I$13:I$101)) + VLOOKUP($H56,Adders!$B$5:$G$8,N$11,FALSE)  +  NJ!$D$2 ) * IF($D56="NJ",1.07,1))/$L$10, CHOOSE($M$10,$L$9,$M$9) )</f>
        <v xml:space="preserve"> 53.23 </v>
      </c>
      <c r="O56" s="112"/>
    </row>
    <row r="57" spans="2:15" x14ac:dyDescent="0.25">
      <c r="B57" s="108"/>
      <c r="C57" s="131">
        <f t="shared" si="1"/>
        <v>42217</v>
      </c>
      <c r="D57" s="132" t="s">
        <v>31</v>
      </c>
      <c r="E57" s="133" t="s">
        <v>32</v>
      </c>
      <c r="F57" s="132" t="s">
        <v>34</v>
      </c>
      <c r="G57" s="133" t="str">
        <f t="shared" si="2"/>
        <v>Annual Gen Service</v>
      </c>
      <c r="H57" s="134" t="s">
        <v>62</v>
      </c>
      <c r="I57" s="173" t="str">
        <f>TEXT(   (SUMPRODUCT( ((Main!$H$9:$H$1000)=$E57)*((Main!$J$9:$J$1000)=$F57)*((Main!$O$9:$O$1000)=$C57)*(Main!R$9:R$1000) ) +  ( SUMPRODUCT( ((Adders!$D$13:$D$101)=$E57)*((Adders!$E$13:$E$101)=$F57)*(Adders!G$13:G$101)) + VLOOKUP($H57,Adders!$B$5:$G$8,L$11,FALSE)  +  NJ!$D$2 ) * IF($D57="NJ",1.07,1))/$L$10, CHOOSE($M$10,$L$9,$M$9) )</f>
        <v xml:space="preserve"> 96.55 </v>
      </c>
      <c r="J57" s="173" t="str">
        <f>TEXT(   (SUMPRODUCT( ((Main!$H$9:$H$1000)=$E57)*((Main!$J$9:$J$1000)=$F57)*((Main!$O$9:$O$1000)=$C57)*(Main!S$9:S$1000) ) +  ( SUMPRODUCT( ((Adders!$D$13:$D$101)=$E57)*((Adders!$E$13:$E$101)=$F57)*(Adders!H$13:H$101)) + VLOOKUP($H57,Adders!$B$5:$G$8,M$11,FALSE)  +  NJ!$D$2 ) * IF($D57="NJ",1.07,1))/$L$10, CHOOSE($M$10,$L$9,$M$9) )</f>
        <v xml:space="preserve"> 95.13 </v>
      </c>
      <c r="K57" s="174" t="str">
        <f>TEXT(   (SUMPRODUCT( ((Main!$H$9:$H$1000)=$E57)*((Main!$J$9:$J$1000)=$F57)*((Main!$O$9:$O$1000)=$C57)*(Main!T$9:T$1000) ) +  ( SUMPRODUCT( ((Adders!$D$13:$D$101)=$E57)*((Adders!$E$13:$E$101)=$F57)*(Adders!I$13:I$101)) + VLOOKUP($H57,Adders!$B$5:$G$8,N$11,FALSE)  +  NJ!$D$2 ) * IF($D57="NJ",1.07,1))/$L$10, CHOOSE($M$10,$L$9,$M$9) )</f>
        <v xml:space="preserve"> 95.23 </v>
      </c>
      <c r="L57" s="173" t="str">
        <f>TEXT(   (SUMPRODUCT( ((LMPMain!$H$9:$H$1000)=$E57)*((LMPMain!$J$9:$J$1000)=$F57)*((LMPMain!$O$9:$O$1000)=$C57)*(LMPMain!R$9:R$1000) ) +  ( SUMPRODUCT( ((Adders!$D$13:$D$101)=$E57)*((Adders!$E$13:$E$101)=$F57)*(Adders!G$13:G$101)) + VLOOKUP($H57,Adders!$B$5:$G$8,L$11,FALSE)  +  NJ!$D$2 ) * IF($D57="NJ",1.07,1))/$L$10, CHOOSE($M$10,$L$9,$M$9) )</f>
        <v xml:space="preserve"> 53.00 </v>
      </c>
      <c r="M57" s="173" t="str">
        <f>TEXT(   (SUMPRODUCT( ((LMPMain!$H$9:$H$1000)=$E57)*((LMPMain!$J$9:$J$1000)=$F57)*((LMPMain!$O$9:$O$1000)=$C57)*(LMPMain!S$9:S$1000) ) +  ( SUMPRODUCT( ((Adders!$D$13:$D$101)=$E57)*((Adders!$E$13:$E$101)=$F57)*(Adders!H$13:H$101)) + VLOOKUP($H57,Adders!$B$5:$G$8,M$11,FALSE)  +  NJ!$D$2 ) * IF($D57="NJ",1.07,1))/$L$10, CHOOSE($M$10,$L$9,$M$9) )</f>
        <v xml:space="preserve"> 51.95 </v>
      </c>
      <c r="N57" s="174" t="str">
        <f>TEXT(   (SUMPRODUCT( ((LMPMain!$H$9:$H$1000)=$E57)*((LMPMain!$J$9:$J$1000)=$F57)*((LMPMain!$O$9:$O$1000)=$C57)*(LMPMain!T$9:T$1000) ) +  ( SUMPRODUCT( ((Adders!$D$13:$D$101)=$E57)*((Adders!$E$13:$E$101)=$F57)*(Adders!I$13:I$101)) + VLOOKUP($H57,Adders!$B$5:$G$8,N$11,FALSE)  +  NJ!$D$2 ) * IF($D57="NJ",1.07,1))/$L$10, CHOOSE($M$10,$L$9,$M$9) )</f>
        <v xml:space="preserve"> 51.52 </v>
      </c>
      <c r="O57" s="112"/>
    </row>
    <row r="58" spans="2:15" x14ac:dyDescent="0.25">
      <c r="B58" s="108"/>
      <c r="C58" s="135">
        <f t="shared" si="1"/>
        <v>42217</v>
      </c>
      <c r="D58" s="136" t="s">
        <v>31</v>
      </c>
      <c r="E58" s="137" t="s">
        <v>32</v>
      </c>
      <c r="F58" s="136" t="s">
        <v>34</v>
      </c>
      <c r="G58" s="137" t="str">
        <f t="shared" si="2"/>
        <v>Annual Gen Service</v>
      </c>
      <c r="H58" s="138" t="s">
        <v>690</v>
      </c>
      <c r="I58" s="176" t="str">
        <f>TEXT(   (SUMPRODUCT( ((Main!$H$9:$H$1000)=$E58)*((Main!$J$9:$J$1000)=$F58)*((Main!$O$9:$O$1000)=$C58)*(Main!R$9:R$1000) ) +  ( SUMPRODUCT( ((Adders!$D$13:$D$101)=$E58)*((Adders!$E$13:$E$101)=$F58)*(Adders!G$13:G$101)) + VLOOKUP($H58,Adders!$B$5:$G$8,L$11,FALSE)  +  NJ!$D$2 ) * IF($D58="NJ",1.07,1))/$L$10, CHOOSE($M$10,$L$9,$M$9) )</f>
        <v xml:space="preserve"> 95.43 </v>
      </c>
      <c r="J58" s="176" t="str">
        <f>TEXT(   (SUMPRODUCT( ((Main!$H$9:$H$1000)=$E58)*((Main!$J$9:$J$1000)=$F58)*((Main!$O$9:$O$1000)=$C58)*(Main!S$9:S$1000) ) +  ( SUMPRODUCT( ((Adders!$D$13:$D$101)=$E58)*((Adders!$E$13:$E$101)=$F58)*(Adders!H$13:H$101)) + VLOOKUP($H58,Adders!$B$5:$G$8,M$11,FALSE)  +  NJ!$D$2 ) * IF($D58="NJ",1.07,1))/$L$10, CHOOSE($M$10,$L$9,$M$9) )</f>
        <v xml:space="preserve"> 94.01 </v>
      </c>
      <c r="K58" s="177" t="str">
        <f>TEXT(   (SUMPRODUCT( ((Main!$H$9:$H$1000)=$E58)*((Main!$J$9:$J$1000)=$F58)*((Main!$O$9:$O$1000)=$C58)*(Main!T$9:T$1000) ) +  ( SUMPRODUCT( ((Adders!$D$13:$D$101)=$E58)*((Adders!$E$13:$E$101)=$F58)*(Adders!I$13:I$101)) + VLOOKUP($H58,Adders!$B$5:$G$8,N$11,FALSE)  +  NJ!$D$2 ) * IF($D58="NJ",1.07,1))/$L$10, CHOOSE($M$10,$L$9,$M$9) )</f>
        <v xml:space="preserve"> 94.11 </v>
      </c>
      <c r="L58" s="176" t="str">
        <f>TEXT(   (SUMPRODUCT( ((LMPMain!$H$9:$H$1000)=$E58)*((LMPMain!$J$9:$J$1000)=$F58)*((LMPMain!$O$9:$O$1000)=$C58)*(LMPMain!R$9:R$1000) ) +  ( SUMPRODUCT( ((Adders!$D$13:$D$101)=$E58)*((Adders!$E$13:$E$101)=$F58)*(Adders!G$13:G$101)) + VLOOKUP($H58,Adders!$B$5:$G$8,L$11,FALSE)  +  NJ!$D$2 ) * IF($D58="NJ",1.07,1))/$L$10, CHOOSE($M$10,$L$9,$M$9) )</f>
        <v xml:space="preserve"> 51.88 </v>
      </c>
      <c r="M58" s="176" t="str">
        <f>TEXT(   (SUMPRODUCT( ((LMPMain!$H$9:$H$1000)=$E58)*((LMPMain!$J$9:$J$1000)=$F58)*((LMPMain!$O$9:$O$1000)=$C58)*(LMPMain!S$9:S$1000) ) +  ( SUMPRODUCT( ((Adders!$D$13:$D$101)=$E58)*((Adders!$E$13:$E$101)=$F58)*(Adders!H$13:H$101)) + VLOOKUP($H58,Adders!$B$5:$G$8,M$11,FALSE)  +  NJ!$D$2 ) * IF($D58="NJ",1.07,1))/$L$10, CHOOSE($M$10,$L$9,$M$9) )</f>
        <v xml:space="preserve"> 50.83 </v>
      </c>
      <c r="N58" s="177" t="str">
        <f>TEXT(   (SUMPRODUCT( ((LMPMain!$H$9:$H$1000)=$E58)*((LMPMain!$J$9:$J$1000)=$F58)*((LMPMain!$O$9:$O$1000)=$C58)*(LMPMain!T$9:T$1000) ) +  ( SUMPRODUCT( ((Adders!$D$13:$D$101)=$E58)*((Adders!$E$13:$E$101)=$F58)*(Adders!I$13:I$101)) + VLOOKUP($H58,Adders!$B$5:$G$8,N$11,FALSE)  +  NJ!$D$2 ) * IF($D58="NJ",1.07,1))/$L$10, CHOOSE($M$10,$L$9,$M$9) )</f>
        <v xml:space="preserve"> 50.40 </v>
      </c>
      <c r="O58" s="112"/>
    </row>
    <row r="59" spans="2:15" x14ac:dyDescent="0.25">
      <c r="B59" s="108"/>
      <c r="C59" s="127">
        <f t="shared" si="1"/>
        <v>42248</v>
      </c>
      <c r="D59" s="128" t="s">
        <v>31</v>
      </c>
      <c r="E59" s="129" t="s">
        <v>32</v>
      </c>
      <c r="F59" s="128" t="s">
        <v>34</v>
      </c>
      <c r="G59" s="129" t="str">
        <f t="shared" si="2"/>
        <v>Annual Gen Service</v>
      </c>
      <c r="H59" s="130" t="s">
        <v>61</v>
      </c>
      <c r="I59" s="178" t="str">
        <f>TEXT(   (SUMPRODUCT( ((Main!$H$9:$H$1000)=$E59)*((Main!$J$9:$J$1000)=$F59)*((Main!$O$9:$O$1000)=$C59)*(Main!R$9:R$1000) ) +  ( SUMPRODUCT( ((Adders!$D$13:$D$101)=$E59)*((Adders!$E$13:$E$101)=$F59)*(Adders!G$13:G$101)) + VLOOKUP($H59,Adders!$B$5:$G$8,L$11,FALSE)  +  NJ!$D$2 ) * IF($D59="NJ",1.07,1))/$L$10, CHOOSE($M$10,$L$9,$M$9) )</f>
        <v xml:space="preserve"> 97.97 </v>
      </c>
      <c r="J59" s="178" t="str">
        <f>TEXT(   (SUMPRODUCT( ((Main!$H$9:$H$1000)=$E59)*((Main!$J$9:$J$1000)=$F59)*((Main!$O$9:$O$1000)=$C59)*(Main!S$9:S$1000) ) +  ( SUMPRODUCT( ((Adders!$D$13:$D$101)=$E59)*((Adders!$E$13:$E$101)=$F59)*(Adders!H$13:H$101)) + VLOOKUP($H59,Adders!$B$5:$G$8,M$11,FALSE)  +  NJ!$D$2 ) * IF($D59="NJ",1.07,1))/$L$10, CHOOSE($M$10,$L$9,$M$9) )</f>
        <v xml:space="preserve"> 97.67 </v>
      </c>
      <c r="K59" s="179" t="str">
        <f>TEXT(   (SUMPRODUCT( ((Main!$H$9:$H$1000)=$E59)*((Main!$J$9:$J$1000)=$F59)*((Main!$O$9:$O$1000)=$C59)*(Main!T$9:T$1000) ) +  ( SUMPRODUCT( ((Adders!$D$13:$D$101)=$E59)*((Adders!$E$13:$E$101)=$F59)*(Adders!I$13:I$101)) + VLOOKUP($H59,Adders!$B$5:$G$8,N$11,FALSE)  +  NJ!$D$2 ) * IF($D59="NJ",1.07,1))/$L$10, CHOOSE($M$10,$L$9,$M$9) )</f>
        <v xml:space="preserve"> 96.95 </v>
      </c>
      <c r="L59" s="178" t="str">
        <f>TEXT(   (SUMPRODUCT( ((LMPMain!$H$9:$H$1000)=$E59)*((LMPMain!$J$9:$J$1000)=$F59)*((LMPMain!$O$9:$O$1000)=$C59)*(LMPMain!R$9:R$1000) ) +  ( SUMPRODUCT( ((Adders!$D$13:$D$101)=$E59)*((Adders!$E$13:$E$101)=$F59)*(Adders!G$13:G$101)) + VLOOKUP($H59,Adders!$B$5:$G$8,L$11,FALSE)  +  NJ!$D$2 ) * IF($D59="NJ",1.07,1))/$L$10, CHOOSE($M$10,$L$9,$M$9) )</f>
        <v xml:space="preserve"> 54.40 </v>
      </c>
      <c r="M59" s="178" t="str">
        <f>TEXT(   (SUMPRODUCT( ((LMPMain!$H$9:$H$1000)=$E59)*((LMPMain!$J$9:$J$1000)=$F59)*((LMPMain!$O$9:$O$1000)=$C59)*(LMPMain!S$9:S$1000) ) +  ( SUMPRODUCT( ((Adders!$D$13:$D$101)=$E59)*((Adders!$E$13:$E$101)=$F59)*(Adders!H$13:H$101)) + VLOOKUP($H59,Adders!$B$5:$G$8,M$11,FALSE)  +  NJ!$D$2 ) * IF($D59="NJ",1.07,1))/$L$10, CHOOSE($M$10,$L$9,$M$9) )</f>
        <v xml:space="preserve"> 53.96 </v>
      </c>
      <c r="N59" s="179" t="str">
        <f>TEXT(   (SUMPRODUCT( ((LMPMain!$H$9:$H$1000)=$E59)*((LMPMain!$J$9:$J$1000)=$F59)*((LMPMain!$O$9:$O$1000)=$C59)*(LMPMain!T$9:T$1000) ) +  ( SUMPRODUCT( ((Adders!$D$13:$D$101)=$E59)*((Adders!$E$13:$E$101)=$F59)*(Adders!I$13:I$101)) + VLOOKUP($H59,Adders!$B$5:$G$8,N$11,FALSE)  +  NJ!$D$2 ) * IF($D59="NJ",1.07,1))/$L$10, CHOOSE($M$10,$L$9,$M$9) )</f>
        <v xml:space="preserve"> 53.11 </v>
      </c>
      <c r="O59" s="112"/>
    </row>
    <row r="60" spans="2:15" x14ac:dyDescent="0.25">
      <c r="B60" s="108"/>
      <c r="C60" s="131">
        <f t="shared" si="1"/>
        <v>42248</v>
      </c>
      <c r="D60" s="132" t="s">
        <v>31</v>
      </c>
      <c r="E60" s="133" t="s">
        <v>32</v>
      </c>
      <c r="F60" s="132" t="s">
        <v>34</v>
      </c>
      <c r="G60" s="133" t="str">
        <f t="shared" si="2"/>
        <v>Annual Gen Service</v>
      </c>
      <c r="H60" s="134" t="s">
        <v>62</v>
      </c>
      <c r="I60" s="173" t="str">
        <f>TEXT(   (SUMPRODUCT( ((Main!$H$9:$H$1000)=$E60)*((Main!$J$9:$J$1000)=$F60)*((Main!$O$9:$O$1000)=$C60)*(Main!R$9:R$1000) ) +  ( SUMPRODUCT( ((Adders!$D$13:$D$101)=$E60)*((Adders!$E$13:$E$101)=$F60)*(Adders!G$13:G$101)) + VLOOKUP($H60,Adders!$B$5:$G$8,L$11,FALSE)  +  NJ!$D$2 ) * IF($D60="NJ",1.07,1))/$L$10, CHOOSE($M$10,$L$9,$M$9) )</f>
        <v xml:space="preserve"> 96.26 </v>
      </c>
      <c r="J60" s="173" t="str">
        <f>TEXT(   (SUMPRODUCT( ((Main!$H$9:$H$1000)=$E60)*((Main!$J$9:$J$1000)=$F60)*((Main!$O$9:$O$1000)=$C60)*(Main!S$9:S$1000) ) +  ( SUMPRODUCT( ((Adders!$D$13:$D$101)=$E60)*((Adders!$E$13:$E$101)=$F60)*(Adders!H$13:H$101)) + VLOOKUP($H60,Adders!$B$5:$G$8,M$11,FALSE)  +  NJ!$D$2 ) * IF($D60="NJ",1.07,1))/$L$10, CHOOSE($M$10,$L$9,$M$9) )</f>
        <v xml:space="preserve"> 95.96 </v>
      </c>
      <c r="K60" s="174" t="str">
        <f>TEXT(   (SUMPRODUCT( ((Main!$H$9:$H$1000)=$E60)*((Main!$J$9:$J$1000)=$F60)*((Main!$O$9:$O$1000)=$C60)*(Main!T$9:T$1000) ) +  ( SUMPRODUCT( ((Adders!$D$13:$D$101)=$E60)*((Adders!$E$13:$E$101)=$F60)*(Adders!I$13:I$101)) + VLOOKUP($H60,Adders!$B$5:$G$8,N$11,FALSE)  +  NJ!$D$2 ) * IF($D60="NJ",1.07,1))/$L$10, CHOOSE($M$10,$L$9,$M$9) )</f>
        <v xml:space="preserve"> 95.24 </v>
      </c>
      <c r="L60" s="173" t="str">
        <f>TEXT(   (SUMPRODUCT( ((LMPMain!$H$9:$H$1000)=$E60)*((LMPMain!$J$9:$J$1000)=$F60)*((LMPMain!$O$9:$O$1000)=$C60)*(LMPMain!R$9:R$1000) ) +  ( SUMPRODUCT( ((Adders!$D$13:$D$101)=$E60)*((Adders!$E$13:$E$101)=$F60)*(Adders!G$13:G$101)) + VLOOKUP($H60,Adders!$B$5:$G$8,L$11,FALSE)  +  NJ!$D$2 ) * IF($D60="NJ",1.07,1))/$L$10, CHOOSE($M$10,$L$9,$M$9) )</f>
        <v xml:space="preserve"> 52.69 </v>
      </c>
      <c r="M60" s="173" t="str">
        <f>TEXT(   (SUMPRODUCT( ((LMPMain!$H$9:$H$1000)=$E60)*((LMPMain!$J$9:$J$1000)=$F60)*((LMPMain!$O$9:$O$1000)=$C60)*(LMPMain!S$9:S$1000) ) +  ( SUMPRODUCT( ((Adders!$D$13:$D$101)=$E60)*((Adders!$E$13:$E$101)=$F60)*(Adders!H$13:H$101)) + VLOOKUP($H60,Adders!$B$5:$G$8,M$11,FALSE)  +  NJ!$D$2 ) * IF($D60="NJ",1.07,1))/$L$10, CHOOSE($M$10,$L$9,$M$9) )</f>
        <v xml:space="preserve"> 52.24 </v>
      </c>
      <c r="N60" s="174" t="str">
        <f>TEXT(   (SUMPRODUCT( ((LMPMain!$H$9:$H$1000)=$E60)*((LMPMain!$J$9:$J$1000)=$F60)*((LMPMain!$O$9:$O$1000)=$C60)*(LMPMain!T$9:T$1000) ) +  ( SUMPRODUCT( ((Adders!$D$13:$D$101)=$E60)*((Adders!$E$13:$E$101)=$F60)*(Adders!I$13:I$101)) + VLOOKUP($H60,Adders!$B$5:$G$8,N$11,FALSE)  +  NJ!$D$2 ) * IF($D60="NJ",1.07,1))/$L$10, CHOOSE($M$10,$L$9,$M$9) )</f>
        <v xml:space="preserve"> 51.40 </v>
      </c>
      <c r="O60" s="112"/>
    </row>
    <row r="61" spans="2:15" x14ac:dyDescent="0.25">
      <c r="B61" s="108"/>
      <c r="C61" s="135">
        <f t="shared" si="1"/>
        <v>42248</v>
      </c>
      <c r="D61" s="136" t="s">
        <v>31</v>
      </c>
      <c r="E61" s="137" t="s">
        <v>32</v>
      </c>
      <c r="F61" s="136" t="s">
        <v>34</v>
      </c>
      <c r="G61" s="137" t="str">
        <f t="shared" si="2"/>
        <v>Annual Gen Service</v>
      </c>
      <c r="H61" s="138" t="s">
        <v>690</v>
      </c>
      <c r="I61" s="176" t="str">
        <f>TEXT(   (SUMPRODUCT( ((Main!$H$9:$H$1000)=$E61)*((Main!$J$9:$J$1000)=$F61)*((Main!$O$9:$O$1000)=$C61)*(Main!R$9:R$1000) ) +  ( SUMPRODUCT( ((Adders!$D$13:$D$101)=$E61)*((Adders!$E$13:$E$101)=$F61)*(Adders!G$13:G$101)) + VLOOKUP($H61,Adders!$B$5:$G$8,L$11,FALSE)  +  NJ!$D$2 ) * IF($D61="NJ",1.07,1))/$L$10, CHOOSE($M$10,$L$9,$M$9) )</f>
        <v xml:space="preserve"> 95.14 </v>
      </c>
      <c r="J61" s="176" t="str">
        <f>TEXT(   (SUMPRODUCT( ((Main!$H$9:$H$1000)=$E61)*((Main!$J$9:$J$1000)=$F61)*((Main!$O$9:$O$1000)=$C61)*(Main!S$9:S$1000) ) +  ( SUMPRODUCT( ((Adders!$D$13:$D$101)=$E61)*((Adders!$E$13:$E$101)=$F61)*(Adders!H$13:H$101)) + VLOOKUP($H61,Adders!$B$5:$G$8,M$11,FALSE)  +  NJ!$D$2 ) * IF($D61="NJ",1.07,1))/$L$10, CHOOSE($M$10,$L$9,$M$9) )</f>
        <v xml:space="preserve"> 94.84 </v>
      </c>
      <c r="K61" s="177" t="str">
        <f>TEXT(   (SUMPRODUCT( ((Main!$H$9:$H$1000)=$E61)*((Main!$J$9:$J$1000)=$F61)*((Main!$O$9:$O$1000)=$C61)*(Main!T$9:T$1000) ) +  ( SUMPRODUCT( ((Adders!$D$13:$D$101)=$E61)*((Adders!$E$13:$E$101)=$F61)*(Adders!I$13:I$101)) + VLOOKUP($H61,Adders!$B$5:$G$8,N$11,FALSE)  +  NJ!$D$2 ) * IF($D61="NJ",1.07,1))/$L$10, CHOOSE($M$10,$L$9,$M$9) )</f>
        <v xml:space="preserve"> 94.12 </v>
      </c>
      <c r="L61" s="176" t="str">
        <f>TEXT(   (SUMPRODUCT( ((LMPMain!$H$9:$H$1000)=$E61)*((LMPMain!$J$9:$J$1000)=$F61)*((LMPMain!$O$9:$O$1000)=$C61)*(LMPMain!R$9:R$1000) ) +  ( SUMPRODUCT( ((Adders!$D$13:$D$101)=$E61)*((Adders!$E$13:$E$101)=$F61)*(Adders!G$13:G$101)) + VLOOKUP($H61,Adders!$B$5:$G$8,L$11,FALSE)  +  NJ!$D$2 ) * IF($D61="NJ",1.07,1))/$L$10, CHOOSE($M$10,$L$9,$M$9) )</f>
        <v xml:space="preserve"> 51.56 </v>
      </c>
      <c r="M61" s="176" t="str">
        <f>TEXT(   (SUMPRODUCT( ((LMPMain!$H$9:$H$1000)=$E61)*((LMPMain!$J$9:$J$1000)=$F61)*((LMPMain!$O$9:$O$1000)=$C61)*(LMPMain!S$9:S$1000) ) +  ( SUMPRODUCT( ((Adders!$D$13:$D$101)=$E61)*((Adders!$E$13:$E$101)=$F61)*(Adders!H$13:H$101)) + VLOOKUP($H61,Adders!$B$5:$G$8,M$11,FALSE)  +  NJ!$D$2 ) * IF($D61="NJ",1.07,1))/$L$10, CHOOSE($M$10,$L$9,$M$9) )</f>
        <v xml:space="preserve"> 51.12 </v>
      </c>
      <c r="N61" s="177" t="str">
        <f>TEXT(   (SUMPRODUCT( ((LMPMain!$H$9:$H$1000)=$E61)*((LMPMain!$J$9:$J$1000)=$F61)*((LMPMain!$O$9:$O$1000)=$C61)*(LMPMain!T$9:T$1000) ) +  ( SUMPRODUCT( ((Adders!$D$13:$D$101)=$E61)*((Adders!$E$13:$E$101)=$F61)*(Adders!I$13:I$101)) + VLOOKUP($H61,Adders!$B$5:$G$8,N$11,FALSE)  +  NJ!$D$2 ) * IF($D61="NJ",1.07,1))/$L$10, CHOOSE($M$10,$L$9,$M$9) )</f>
        <v xml:space="preserve"> 50.28 </v>
      </c>
      <c r="O61" s="112"/>
    </row>
    <row r="62" spans="2:15" x14ac:dyDescent="0.25">
      <c r="B62" s="108"/>
      <c r="C62" s="127">
        <f t="shared" si="1"/>
        <v>42278</v>
      </c>
      <c r="D62" s="128" t="s">
        <v>31</v>
      </c>
      <c r="E62" s="129" t="s">
        <v>32</v>
      </c>
      <c r="F62" s="128" t="s">
        <v>34</v>
      </c>
      <c r="G62" s="129" t="str">
        <f t="shared" si="2"/>
        <v>Annual Gen Service</v>
      </c>
      <c r="H62" s="130" t="s">
        <v>61</v>
      </c>
      <c r="I62" s="178" t="str">
        <f>TEXT(   (SUMPRODUCT( ((Main!$H$9:$H$1000)=$E62)*((Main!$J$9:$J$1000)=$F62)*((Main!$O$9:$O$1000)=$C62)*(Main!R$9:R$1000) ) +  ( SUMPRODUCT( ((Adders!$D$13:$D$101)=$E62)*((Adders!$E$13:$E$101)=$F62)*(Adders!G$13:G$101)) + VLOOKUP($H62,Adders!$B$5:$G$8,L$11,FALSE)  +  NJ!$D$2 ) * IF($D62="NJ",1.07,1))/$L$10, CHOOSE($M$10,$L$9,$M$9) )</f>
        <v xml:space="preserve"> 97.67 </v>
      </c>
      <c r="J62" s="178" t="str">
        <f>TEXT(   (SUMPRODUCT( ((Main!$H$9:$H$1000)=$E62)*((Main!$J$9:$J$1000)=$F62)*((Main!$O$9:$O$1000)=$C62)*(Main!S$9:S$1000) ) +  ( SUMPRODUCT( ((Adders!$D$13:$D$101)=$E62)*((Adders!$E$13:$E$101)=$F62)*(Adders!H$13:H$101)) + VLOOKUP($H62,Adders!$B$5:$G$8,M$11,FALSE)  +  NJ!$D$2 ) * IF($D62="NJ",1.07,1))/$L$10, CHOOSE($M$10,$L$9,$M$9) )</f>
        <v xml:space="preserve"> 98.37 </v>
      </c>
      <c r="K62" s="179" t="str">
        <f>TEXT(   (SUMPRODUCT( ((Main!$H$9:$H$1000)=$E62)*((Main!$J$9:$J$1000)=$F62)*((Main!$O$9:$O$1000)=$C62)*(Main!T$9:T$1000) ) +  ( SUMPRODUCT( ((Adders!$D$13:$D$101)=$E62)*((Adders!$E$13:$E$101)=$F62)*(Adders!I$13:I$101)) + VLOOKUP($H62,Adders!$B$5:$G$8,N$11,FALSE)  +  NJ!$D$2 ) * IF($D62="NJ",1.07,1))/$L$10, CHOOSE($M$10,$L$9,$M$9) )</f>
        <v xml:space="preserve"> 96.88 </v>
      </c>
      <c r="L62" s="178" t="str">
        <f>TEXT(   (SUMPRODUCT( ((LMPMain!$H$9:$H$1000)=$E62)*((LMPMain!$J$9:$J$1000)=$F62)*((LMPMain!$O$9:$O$1000)=$C62)*(LMPMain!R$9:R$1000) ) +  ( SUMPRODUCT( ((Adders!$D$13:$D$101)=$E62)*((Adders!$E$13:$E$101)=$F62)*(Adders!G$13:G$101)) + VLOOKUP($H62,Adders!$B$5:$G$8,L$11,FALSE)  +  NJ!$D$2 ) * IF($D62="NJ",1.07,1))/$L$10, CHOOSE($M$10,$L$9,$M$9) )</f>
        <v xml:space="preserve"> 54.11 </v>
      </c>
      <c r="M62" s="178" t="str">
        <f>TEXT(   (SUMPRODUCT( ((LMPMain!$H$9:$H$1000)=$E62)*((LMPMain!$J$9:$J$1000)=$F62)*((LMPMain!$O$9:$O$1000)=$C62)*(LMPMain!S$9:S$1000) ) +  ( SUMPRODUCT( ((Adders!$D$13:$D$101)=$E62)*((Adders!$E$13:$E$101)=$F62)*(Adders!H$13:H$101)) + VLOOKUP($H62,Adders!$B$5:$G$8,M$11,FALSE)  +  NJ!$D$2 ) * IF($D62="NJ",1.07,1))/$L$10, CHOOSE($M$10,$L$9,$M$9) )</f>
        <v xml:space="preserve"> 54.07 </v>
      </c>
      <c r="N62" s="179" t="str">
        <f>TEXT(   (SUMPRODUCT( ((LMPMain!$H$9:$H$1000)=$E62)*((LMPMain!$J$9:$J$1000)=$F62)*((LMPMain!$O$9:$O$1000)=$C62)*(LMPMain!T$9:T$1000) ) +  ( SUMPRODUCT( ((Adders!$D$13:$D$101)=$E62)*((Adders!$E$13:$E$101)=$F62)*(Adders!I$13:I$101)) + VLOOKUP($H62,Adders!$B$5:$G$8,N$11,FALSE)  +  NJ!$D$2 ) * IF($D62="NJ",1.07,1))/$L$10, CHOOSE($M$10,$L$9,$M$9) )</f>
        <v xml:space="preserve"> 53.01 </v>
      </c>
      <c r="O62" s="112"/>
    </row>
    <row r="63" spans="2:15" x14ac:dyDescent="0.25">
      <c r="B63" s="108"/>
      <c r="C63" s="131">
        <f t="shared" si="1"/>
        <v>42278</v>
      </c>
      <c r="D63" s="132" t="s">
        <v>31</v>
      </c>
      <c r="E63" s="133" t="s">
        <v>32</v>
      </c>
      <c r="F63" s="132" t="s">
        <v>34</v>
      </c>
      <c r="G63" s="133" t="str">
        <f t="shared" si="2"/>
        <v>Annual Gen Service</v>
      </c>
      <c r="H63" s="134" t="s">
        <v>62</v>
      </c>
      <c r="I63" s="173" t="str">
        <f>TEXT(   (SUMPRODUCT( ((Main!$H$9:$H$1000)=$E63)*((Main!$J$9:$J$1000)=$F63)*((Main!$O$9:$O$1000)=$C63)*(Main!R$9:R$1000) ) +  ( SUMPRODUCT( ((Adders!$D$13:$D$101)=$E63)*((Adders!$E$13:$E$101)=$F63)*(Adders!G$13:G$101)) + VLOOKUP($H63,Adders!$B$5:$G$8,L$11,FALSE)  +  NJ!$D$2 ) * IF($D63="NJ",1.07,1))/$L$10, CHOOSE($M$10,$L$9,$M$9) )</f>
        <v xml:space="preserve"> 95.96 </v>
      </c>
      <c r="J63" s="173" t="str">
        <f>TEXT(   (SUMPRODUCT( ((Main!$H$9:$H$1000)=$E63)*((Main!$J$9:$J$1000)=$F63)*((Main!$O$9:$O$1000)=$C63)*(Main!S$9:S$1000) ) +  ( SUMPRODUCT( ((Adders!$D$13:$D$101)=$E63)*((Adders!$E$13:$E$101)=$F63)*(Adders!H$13:H$101)) + VLOOKUP($H63,Adders!$B$5:$G$8,M$11,FALSE)  +  NJ!$D$2 ) * IF($D63="NJ",1.07,1))/$L$10, CHOOSE($M$10,$L$9,$M$9) )</f>
        <v xml:space="preserve"> 96.66 </v>
      </c>
      <c r="K63" s="174" t="str">
        <f>TEXT(   (SUMPRODUCT( ((Main!$H$9:$H$1000)=$E63)*((Main!$J$9:$J$1000)=$F63)*((Main!$O$9:$O$1000)=$C63)*(Main!T$9:T$1000) ) +  ( SUMPRODUCT( ((Adders!$D$13:$D$101)=$E63)*((Adders!$E$13:$E$101)=$F63)*(Adders!I$13:I$101)) + VLOOKUP($H63,Adders!$B$5:$G$8,N$11,FALSE)  +  NJ!$D$2 ) * IF($D63="NJ",1.07,1))/$L$10, CHOOSE($M$10,$L$9,$M$9) )</f>
        <v xml:space="preserve"> 95.17 </v>
      </c>
      <c r="L63" s="173" t="str">
        <f>TEXT(   (SUMPRODUCT( ((LMPMain!$H$9:$H$1000)=$E63)*((LMPMain!$J$9:$J$1000)=$F63)*((LMPMain!$O$9:$O$1000)=$C63)*(LMPMain!R$9:R$1000) ) +  ( SUMPRODUCT( ((Adders!$D$13:$D$101)=$E63)*((Adders!$E$13:$E$101)=$F63)*(Adders!G$13:G$101)) + VLOOKUP($H63,Adders!$B$5:$G$8,L$11,FALSE)  +  NJ!$D$2 ) * IF($D63="NJ",1.07,1))/$L$10, CHOOSE($M$10,$L$9,$M$9) )</f>
        <v xml:space="preserve"> 52.40 </v>
      </c>
      <c r="M63" s="173" t="str">
        <f>TEXT(   (SUMPRODUCT( ((LMPMain!$H$9:$H$1000)=$E63)*((LMPMain!$J$9:$J$1000)=$F63)*((LMPMain!$O$9:$O$1000)=$C63)*(LMPMain!S$9:S$1000) ) +  ( SUMPRODUCT( ((Adders!$D$13:$D$101)=$E63)*((Adders!$E$13:$E$101)=$F63)*(Adders!H$13:H$101)) + VLOOKUP($H63,Adders!$B$5:$G$8,M$11,FALSE)  +  NJ!$D$2 ) * IF($D63="NJ",1.07,1))/$L$10, CHOOSE($M$10,$L$9,$M$9) )</f>
        <v xml:space="preserve"> 52.36 </v>
      </c>
      <c r="N63" s="174" t="str">
        <f>TEXT(   (SUMPRODUCT( ((LMPMain!$H$9:$H$1000)=$E63)*((LMPMain!$J$9:$J$1000)=$F63)*((LMPMain!$O$9:$O$1000)=$C63)*(LMPMain!T$9:T$1000) ) +  ( SUMPRODUCT( ((Adders!$D$13:$D$101)=$E63)*((Adders!$E$13:$E$101)=$F63)*(Adders!I$13:I$101)) + VLOOKUP($H63,Adders!$B$5:$G$8,N$11,FALSE)  +  NJ!$D$2 ) * IF($D63="NJ",1.07,1))/$L$10, CHOOSE($M$10,$L$9,$M$9) )</f>
        <v xml:space="preserve"> 51.29 </v>
      </c>
      <c r="O63" s="112"/>
    </row>
    <row r="64" spans="2:15" x14ac:dyDescent="0.25">
      <c r="B64" s="108"/>
      <c r="C64" s="135">
        <f t="shared" si="1"/>
        <v>42278</v>
      </c>
      <c r="D64" s="136" t="s">
        <v>31</v>
      </c>
      <c r="E64" s="137" t="s">
        <v>32</v>
      </c>
      <c r="F64" s="136" t="s">
        <v>34</v>
      </c>
      <c r="G64" s="137" t="str">
        <f t="shared" si="2"/>
        <v>Annual Gen Service</v>
      </c>
      <c r="H64" s="138" t="s">
        <v>690</v>
      </c>
      <c r="I64" s="176" t="str">
        <f>TEXT(   (SUMPRODUCT( ((Main!$H$9:$H$1000)=$E64)*((Main!$J$9:$J$1000)=$F64)*((Main!$O$9:$O$1000)=$C64)*(Main!R$9:R$1000) ) +  ( SUMPRODUCT( ((Adders!$D$13:$D$101)=$E64)*((Adders!$E$13:$E$101)=$F64)*(Adders!G$13:G$101)) + VLOOKUP($H64,Adders!$B$5:$G$8,L$11,FALSE)  +  NJ!$D$2 ) * IF($D64="NJ",1.07,1))/$L$10, CHOOSE($M$10,$L$9,$M$9) )</f>
        <v xml:space="preserve"> 94.84 </v>
      </c>
      <c r="J64" s="176" t="str">
        <f>TEXT(   (SUMPRODUCT( ((Main!$H$9:$H$1000)=$E64)*((Main!$J$9:$J$1000)=$F64)*((Main!$O$9:$O$1000)=$C64)*(Main!S$9:S$1000) ) +  ( SUMPRODUCT( ((Adders!$D$13:$D$101)=$E64)*((Adders!$E$13:$E$101)=$F64)*(Adders!H$13:H$101)) + VLOOKUP($H64,Adders!$B$5:$G$8,M$11,FALSE)  +  NJ!$D$2 ) * IF($D64="NJ",1.07,1))/$L$10, CHOOSE($M$10,$L$9,$M$9) )</f>
        <v xml:space="preserve"> 95.54 </v>
      </c>
      <c r="K64" s="177" t="str">
        <f>TEXT(   (SUMPRODUCT( ((Main!$H$9:$H$1000)=$E64)*((Main!$J$9:$J$1000)=$F64)*((Main!$O$9:$O$1000)=$C64)*(Main!T$9:T$1000) ) +  ( SUMPRODUCT( ((Adders!$D$13:$D$101)=$E64)*((Adders!$E$13:$E$101)=$F64)*(Adders!I$13:I$101)) + VLOOKUP($H64,Adders!$B$5:$G$8,N$11,FALSE)  +  NJ!$D$2 ) * IF($D64="NJ",1.07,1))/$L$10, CHOOSE($M$10,$L$9,$M$9) )</f>
        <v xml:space="preserve"> 94.05 </v>
      </c>
      <c r="L64" s="176" t="str">
        <f>TEXT(   (SUMPRODUCT( ((LMPMain!$H$9:$H$1000)=$E64)*((LMPMain!$J$9:$J$1000)=$F64)*((LMPMain!$O$9:$O$1000)=$C64)*(LMPMain!R$9:R$1000) ) +  ( SUMPRODUCT( ((Adders!$D$13:$D$101)=$E64)*((Adders!$E$13:$E$101)=$F64)*(Adders!G$13:G$101)) + VLOOKUP($H64,Adders!$B$5:$G$8,L$11,FALSE)  +  NJ!$D$2 ) * IF($D64="NJ",1.07,1))/$L$10, CHOOSE($M$10,$L$9,$M$9) )</f>
        <v xml:space="preserve"> 51.28 </v>
      </c>
      <c r="M64" s="176" t="str">
        <f>TEXT(   (SUMPRODUCT( ((LMPMain!$H$9:$H$1000)=$E64)*((LMPMain!$J$9:$J$1000)=$F64)*((LMPMain!$O$9:$O$1000)=$C64)*(LMPMain!S$9:S$1000) ) +  ( SUMPRODUCT( ((Adders!$D$13:$D$101)=$E64)*((Adders!$E$13:$E$101)=$F64)*(Adders!H$13:H$101)) + VLOOKUP($H64,Adders!$B$5:$G$8,M$11,FALSE)  +  NJ!$D$2 ) * IF($D64="NJ",1.07,1))/$L$10, CHOOSE($M$10,$L$9,$M$9) )</f>
        <v xml:space="preserve"> 51.24 </v>
      </c>
      <c r="N64" s="177" t="str">
        <f>TEXT(   (SUMPRODUCT( ((LMPMain!$H$9:$H$1000)=$E64)*((LMPMain!$J$9:$J$1000)=$F64)*((LMPMain!$O$9:$O$1000)=$C64)*(LMPMain!T$9:T$1000) ) +  ( SUMPRODUCT( ((Adders!$D$13:$D$101)=$E64)*((Adders!$E$13:$E$101)=$F64)*(Adders!I$13:I$101)) + VLOOKUP($H64,Adders!$B$5:$G$8,N$11,FALSE)  +  NJ!$D$2 ) * IF($D64="NJ",1.07,1))/$L$10, CHOOSE($M$10,$L$9,$M$9) )</f>
        <v xml:space="preserve"> 50.17 </v>
      </c>
      <c r="O64" s="112"/>
    </row>
    <row r="65" spans="2:15" x14ac:dyDescent="0.25">
      <c r="B65" s="108"/>
      <c r="C65" s="127">
        <f t="shared" si="1"/>
        <v>42309</v>
      </c>
      <c r="D65" s="128" t="s">
        <v>31</v>
      </c>
      <c r="E65" s="129" t="s">
        <v>32</v>
      </c>
      <c r="F65" s="128" t="s">
        <v>34</v>
      </c>
      <c r="G65" s="129" t="str">
        <f t="shared" si="2"/>
        <v>Annual Gen Service</v>
      </c>
      <c r="H65" s="130" t="s">
        <v>61</v>
      </c>
      <c r="I65" s="178" t="str">
        <f>TEXT(   (SUMPRODUCT( ((Main!$H$9:$H$1000)=$E65)*((Main!$J$9:$J$1000)=$F65)*((Main!$O$9:$O$1000)=$C65)*(Main!R$9:R$1000) ) +  ( SUMPRODUCT( ((Adders!$D$13:$D$101)=$E65)*((Adders!$E$13:$E$101)=$F65)*(Adders!G$13:G$101)) + VLOOKUP($H65,Adders!$B$5:$G$8,L$11,FALSE)  +  NJ!$D$2 ) * IF($D65="NJ",1.07,1))/$L$10, CHOOSE($M$10,$L$9,$M$9) )</f>
        <v xml:space="preserve"> 97.35 </v>
      </c>
      <c r="J65" s="178" t="str">
        <f>TEXT(   (SUMPRODUCT( ((Main!$H$9:$H$1000)=$E65)*((Main!$J$9:$J$1000)=$F65)*((Main!$O$9:$O$1000)=$C65)*(Main!S$9:S$1000) ) +  ( SUMPRODUCT( ((Adders!$D$13:$D$101)=$E65)*((Adders!$E$13:$E$101)=$F65)*(Adders!H$13:H$101)) + VLOOKUP($H65,Adders!$B$5:$G$8,M$11,FALSE)  +  NJ!$D$2 ) * IF($D65="NJ",1.07,1))/$L$10, CHOOSE($M$10,$L$9,$M$9) )</f>
        <v xml:space="preserve"> 98.42 </v>
      </c>
      <c r="K65" s="179" t="str">
        <f>TEXT(   (SUMPRODUCT( ((Main!$H$9:$H$1000)=$E65)*((Main!$J$9:$J$1000)=$F65)*((Main!$O$9:$O$1000)=$C65)*(Main!T$9:T$1000) ) +  ( SUMPRODUCT( ((Adders!$D$13:$D$101)=$E65)*((Adders!$E$13:$E$101)=$F65)*(Adders!I$13:I$101)) + VLOOKUP($H65,Adders!$B$5:$G$8,N$11,FALSE)  +  NJ!$D$2 ) * IF($D65="NJ",1.07,1))/$L$10, CHOOSE($M$10,$L$9,$M$9) )</f>
        <v xml:space="preserve"> 96.82 </v>
      </c>
      <c r="L65" s="178" t="str">
        <f>TEXT(   (SUMPRODUCT( ((LMPMain!$H$9:$H$1000)=$E65)*((LMPMain!$J$9:$J$1000)=$F65)*((LMPMain!$O$9:$O$1000)=$C65)*(LMPMain!R$9:R$1000) ) +  ( SUMPRODUCT( ((Adders!$D$13:$D$101)=$E65)*((Adders!$E$13:$E$101)=$F65)*(Adders!G$13:G$101)) + VLOOKUP($H65,Adders!$B$5:$G$8,L$11,FALSE)  +  NJ!$D$2 ) * IF($D65="NJ",1.07,1))/$L$10, CHOOSE($M$10,$L$9,$M$9) )</f>
        <v xml:space="preserve"> 53.82 </v>
      </c>
      <c r="M65" s="178" t="str">
        <f>TEXT(   (SUMPRODUCT( ((LMPMain!$H$9:$H$1000)=$E65)*((LMPMain!$J$9:$J$1000)=$F65)*((LMPMain!$O$9:$O$1000)=$C65)*(LMPMain!S$9:S$1000) ) +  ( SUMPRODUCT( ((Adders!$D$13:$D$101)=$E65)*((Adders!$E$13:$E$101)=$F65)*(Adders!H$13:H$101)) + VLOOKUP($H65,Adders!$B$5:$G$8,M$11,FALSE)  +  NJ!$D$2 ) * IF($D65="NJ",1.07,1))/$L$10, CHOOSE($M$10,$L$9,$M$9) )</f>
        <v xml:space="preserve"> 53.96 </v>
      </c>
      <c r="N65" s="179" t="str">
        <f>TEXT(   (SUMPRODUCT( ((LMPMain!$H$9:$H$1000)=$E65)*((LMPMain!$J$9:$J$1000)=$F65)*((LMPMain!$O$9:$O$1000)=$C65)*(LMPMain!T$9:T$1000) ) +  ( SUMPRODUCT( ((Adders!$D$13:$D$101)=$E65)*((Adders!$E$13:$E$101)=$F65)*(Adders!I$13:I$101)) + VLOOKUP($H65,Adders!$B$5:$G$8,N$11,FALSE)  +  NJ!$D$2 ) * IF($D65="NJ",1.07,1))/$L$10, CHOOSE($M$10,$L$9,$M$9) )</f>
        <v xml:space="preserve"> 52.89 </v>
      </c>
      <c r="O65" s="112"/>
    </row>
    <row r="66" spans="2:15" x14ac:dyDescent="0.25">
      <c r="B66" s="108"/>
      <c r="C66" s="131">
        <f t="shared" si="1"/>
        <v>42309</v>
      </c>
      <c r="D66" s="132" t="s">
        <v>31</v>
      </c>
      <c r="E66" s="133" t="s">
        <v>32</v>
      </c>
      <c r="F66" s="132" t="s">
        <v>34</v>
      </c>
      <c r="G66" s="133" t="str">
        <f t="shared" si="2"/>
        <v>Annual Gen Service</v>
      </c>
      <c r="H66" s="134" t="s">
        <v>62</v>
      </c>
      <c r="I66" s="173" t="str">
        <f>TEXT(   (SUMPRODUCT( ((Main!$H$9:$H$1000)=$E66)*((Main!$J$9:$J$1000)=$F66)*((Main!$O$9:$O$1000)=$C66)*(Main!R$9:R$1000) ) +  ( SUMPRODUCT( ((Adders!$D$13:$D$101)=$E66)*((Adders!$E$13:$E$101)=$F66)*(Adders!G$13:G$101)) + VLOOKUP($H66,Adders!$B$5:$G$8,L$11,FALSE)  +  NJ!$D$2 ) * IF($D66="NJ",1.07,1))/$L$10, CHOOSE($M$10,$L$9,$M$9) )</f>
        <v xml:space="preserve"> 95.64 </v>
      </c>
      <c r="J66" s="173" t="str">
        <f>TEXT(   (SUMPRODUCT( ((Main!$H$9:$H$1000)=$E66)*((Main!$J$9:$J$1000)=$F66)*((Main!$O$9:$O$1000)=$C66)*(Main!S$9:S$1000) ) +  ( SUMPRODUCT( ((Adders!$D$13:$D$101)=$E66)*((Adders!$E$13:$E$101)=$F66)*(Adders!H$13:H$101)) + VLOOKUP($H66,Adders!$B$5:$G$8,M$11,FALSE)  +  NJ!$D$2 ) * IF($D66="NJ",1.07,1))/$L$10, CHOOSE($M$10,$L$9,$M$9) )</f>
        <v xml:space="preserve"> 96.71 </v>
      </c>
      <c r="K66" s="174" t="str">
        <f>TEXT(   (SUMPRODUCT( ((Main!$H$9:$H$1000)=$E66)*((Main!$J$9:$J$1000)=$F66)*((Main!$O$9:$O$1000)=$C66)*(Main!T$9:T$1000) ) +  ( SUMPRODUCT( ((Adders!$D$13:$D$101)=$E66)*((Adders!$E$13:$E$101)=$F66)*(Adders!I$13:I$101)) + VLOOKUP($H66,Adders!$B$5:$G$8,N$11,FALSE)  +  NJ!$D$2 ) * IF($D66="NJ",1.07,1))/$L$10, CHOOSE($M$10,$L$9,$M$9) )</f>
        <v xml:space="preserve"> 95.11 </v>
      </c>
      <c r="L66" s="173" t="str">
        <f>TEXT(   (SUMPRODUCT( ((LMPMain!$H$9:$H$1000)=$E66)*((LMPMain!$J$9:$J$1000)=$F66)*((LMPMain!$O$9:$O$1000)=$C66)*(LMPMain!R$9:R$1000) ) +  ( SUMPRODUCT( ((Adders!$D$13:$D$101)=$E66)*((Adders!$E$13:$E$101)=$F66)*(Adders!G$13:G$101)) + VLOOKUP($H66,Adders!$B$5:$G$8,L$11,FALSE)  +  NJ!$D$2 ) * IF($D66="NJ",1.07,1))/$L$10, CHOOSE($M$10,$L$9,$M$9) )</f>
        <v xml:space="preserve"> 52.11 </v>
      </c>
      <c r="M66" s="173" t="str">
        <f>TEXT(   (SUMPRODUCT( ((LMPMain!$H$9:$H$1000)=$E66)*((LMPMain!$J$9:$J$1000)=$F66)*((LMPMain!$O$9:$O$1000)=$C66)*(LMPMain!S$9:S$1000) ) +  ( SUMPRODUCT( ((Adders!$D$13:$D$101)=$E66)*((Adders!$E$13:$E$101)=$F66)*(Adders!H$13:H$101)) + VLOOKUP($H66,Adders!$B$5:$G$8,M$11,FALSE)  +  NJ!$D$2 ) * IF($D66="NJ",1.07,1))/$L$10, CHOOSE($M$10,$L$9,$M$9) )</f>
        <v xml:space="preserve"> 52.25 </v>
      </c>
      <c r="N66" s="174" t="str">
        <f>TEXT(   (SUMPRODUCT( ((LMPMain!$H$9:$H$1000)=$E66)*((LMPMain!$J$9:$J$1000)=$F66)*((LMPMain!$O$9:$O$1000)=$C66)*(LMPMain!T$9:T$1000) ) +  ( SUMPRODUCT( ((Adders!$D$13:$D$101)=$E66)*((Adders!$E$13:$E$101)=$F66)*(Adders!I$13:I$101)) + VLOOKUP($H66,Adders!$B$5:$G$8,N$11,FALSE)  +  NJ!$D$2 ) * IF($D66="NJ",1.07,1))/$L$10, CHOOSE($M$10,$L$9,$M$9) )</f>
        <v xml:space="preserve"> 51.18 </v>
      </c>
      <c r="O66" s="112"/>
    </row>
    <row r="67" spans="2:15" x14ac:dyDescent="0.25">
      <c r="B67" s="108"/>
      <c r="C67" s="135">
        <f t="shared" si="1"/>
        <v>42309</v>
      </c>
      <c r="D67" s="136" t="s">
        <v>31</v>
      </c>
      <c r="E67" s="137" t="s">
        <v>32</v>
      </c>
      <c r="F67" s="136" t="s">
        <v>34</v>
      </c>
      <c r="G67" s="137" t="str">
        <f t="shared" si="2"/>
        <v>Annual Gen Service</v>
      </c>
      <c r="H67" s="138" t="s">
        <v>690</v>
      </c>
      <c r="I67" s="176" t="str">
        <f>TEXT(   (SUMPRODUCT( ((Main!$H$9:$H$1000)=$E67)*((Main!$J$9:$J$1000)=$F67)*((Main!$O$9:$O$1000)=$C67)*(Main!R$9:R$1000) ) +  ( SUMPRODUCT( ((Adders!$D$13:$D$101)=$E67)*((Adders!$E$13:$E$101)=$F67)*(Adders!G$13:G$101)) + VLOOKUP($H67,Adders!$B$5:$G$8,L$11,FALSE)  +  NJ!$D$2 ) * IF($D67="NJ",1.07,1))/$L$10, CHOOSE($M$10,$L$9,$M$9) )</f>
        <v xml:space="preserve"> 94.52 </v>
      </c>
      <c r="J67" s="176" t="str">
        <f>TEXT(   (SUMPRODUCT( ((Main!$H$9:$H$1000)=$E67)*((Main!$J$9:$J$1000)=$F67)*((Main!$O$9:$O$1000)=$C67)*(Main!S$9:S$1000) ) +  ( SUMPRODUCT( ((Adders!$D$13:$D$101)=$E67)*((Adders!$E$13:$E$101)=$F67)*(Adders!H$13:H$101)) + VLOOKUP($H67,Adders!$B$5:$G$8,M$11,FALSE)  +  NJ!$D$2 ) * IF($D67="NJ",1.07,1))/$L$10, CHOOSE($M$10,$L$9,$M$9) )</f>
        <v xml:space="preserve"> 95.59 </v>
      </c>
      <c r="K67" s="177" t="str">
        <f>TEXT(   (SUMPRODUCT( ((Main!$H$9:$H$1000)=$E67)*((Main!$J$9:$J$1000)=$F67)*((Main!$O$9:$O$1000)=$C67)*(Main!T$9:T$1000) ) +  ( SUMPRODUCT( ((Adders!$D$13:$D$101)=$E67)*((Adders!$E$13:$E$101)=$F67)*(Adders!I$13:I$101)) + VLOOKUP($H67,Adders!$B$5:$G$8,N$11,FALSE)  +  NJ!$D$2 ) * IF($D67="NJ",1.07,1))/$L$10, CHOOSE($M$10,$L$9,$M$9) )</f>
        <v xml:space="preserve"> 93.99 </v>
      </c>
      <c r="L67" s="176" t="str">
        <f>TEXT(   (SUMPRODUCT( ((LMPMain!$H$9:$H$1000)=$E67)*((LMPMain!$J$9:$J$1000)=$F67)*((LMPMain!$O$9:$O$1000)=$C67)*(LMPMain!R$9:R$1000) ) +  ( SUMPRODUCT( ((Adders!$D$13:$D$101)=$E67)*((Adders!$E$13:$E$101)=$F67)*(Adders!G$13:G$101)) + VLOOKUP($H67,Adders!$B$5:$G$8,L$11,FALSE)  +  NJ!$D$2 ) * IF($D67="NJ",1.07,1))/$L$10, CHOOSE($M$10,$L$9,$M$9) )</f>
        <v xml:space="preserve"> 50.99 </v>
      </c>
      <c r="M67" s="176" t="str">
        <f>TEXT(   (SUMPRODUCT( ((LMPMain!$H$9:$H$1000)=$E67)*((LMPMain!$J$9:$J$1000)=$F67)*((LMPMain!$O$9:$O$1000)=$C67)*(LMPMain!S$9:S$1000) ) +  ( SUMPRODUCT( ((Adders!$D$13:$D$101)=$E67)*((Adders!$E$13:$E$101)=$F67)*(Adders!H$13:H$101)) + VLOOKUP($H67,Adders!$B$5:$G$8,M$11,FALSE)  +  NJ!$D$2 ) * IF($D67="NJ",1.07,1))/$L$10, CHOOSE($M$10,$L$9,$M$9) )</f>
        <v xml:space="preserve"> 51.13 </v>
      </c>
      <c r="N67" s="177" t="str">
        <f>TEXT(   (SUMPRODUCT( ((LMPMain!$H$9:$H$1000)=$E67)*((LMPMain!$J$9:$J$1000)=$F67)*((LMPMain!$O$9:$O$1000)=$C67)*(LMPMain!T$9:T$1000) ) +  ( SUMPRODUCT( ((Adders!$D$13:$D$101)=$E67)*((Adders!$E$13:$E$101)=$F67)*(Adders!I$13:I$101)) + VLOOKUP($H67,Adders!$B$5:$G$8,N$11,FALSE)  +  NJ!$D$2 ) * IF($D67="NJ",1.07,1))/$L$10, CHOOSE($M$10,$L$9,$M$9) )</f>
        <v xml:space="preserve"> 50.05 </v>
      </c>
      <c r="O67" s="112"/>
    </row>
    <row r="68" spans="2:15" x14ac:dyDescent="0.25">
      <c r="B68" s="108"/>
      <c r="C68" s="127">
        <f t="shared" si="1"/>
        <v>42339</v>
      </c>
      <c r="D68" s="128" t="s">
        <v>31</v>
      </c>
      <c r="E68" s="129" t="s">
        <v>32</v>
      </c>
      <c r="F68" s="128" t="s">
        <v>34</v>
      </c>
      <c r="G68" s="129" t="str">
        <f t="shared" si="2"/>
        <v>Annual Gen Service</v>
      </c>
      <c r="H68" s="130" t="s">
        <v>61</v>
      </c>
      <c r="I68" s="178" t="str">
        <f>TEXT(   (SUMPRODUCT( ((Main!$H$9:$H$1000)=$E68)*((Main!$J$9:$J$1000)=$F68)*((Main!$O$9:$O$1000)=$C68)*(Main!R$9:R$1000) ) +  ( SUMPRODUCT( ((Adders!$D$13:$D$101)=$E68)*((Adders!$E$13:$E$101)=$F68)*(Adders!G$13:G$101)) + VLOOKUP($H68,Adders!$B$5:$G$8,L$11,FALSE)  +  NJ!$D$2 ) * IF($D68="NJ",1.07,1))/$L$10, CHOOSE($M$10,$L$9,$M$9) )</f>
        <v xml:space="preserve"> 97.09 </v>
      </c>
      <c r="J68" s="178" t="str">
        <f>TEXT(   (SUMPRODUCT( ((Main!$H$9:$H$1000)=$E68)*((Main!$J$9:$J$1000)=$F68)*((Main!$O$9:$O$1000)=$C68)*(Main!S$9:S$1000) ) +  ( SUMPRODUCT( ((Adders!$D$13:$D$101)=$E68)*((Adders!$E$13:$E$101)=$F68)*(Adders!H$13:H$101)) + VLOOKUP($H68,Adders!$B$5:$G$8,M$11,FALSE)  +  NJ!$D$2 ) * IF($D68="NJ",1.07,1))/$L$10, CHOOSE($M$10,$L$9,$M$9) )</f>
        <v xml:space="preserve"> 98.09 </v>
      </c>
      <c r="K68" s="179" t="str">
        <f>TEXT(   (SUMPRODUCT( ((Main!$H$9:$H$1000)=$E68)*((Main!$J$9:$J$1000)=$F68)*((Main!$O$9:$O$1000)=$C68)*(Main!T$9:T$1000) ) +  ( SUMPRODUCT( ((Adders!$D$13:$D$101)=$E68)*((Adders!$E$13:$E$101)=$F68)*(Adders!I$13:I$101)) + VLOOKUP($H68,Adders!$B$5:$G$8,N$11,FALSE)  +  NJ!$D$2 ) * IF($D68="NJ",1.07,1))/$L$10, CHOOSE($M$10,$L$9,$M$9) )</f>
        <v xml:space="preserve"> 96.73 </v>
      </c>
      <c r="L68" s="178" t="str">
        <f>TEXT(   (SUMPRODUCT( ((LMPMain!$H$9:$H$1000)=$E68)*((LMPMain!$J$9:$J$1000)=$F68)*((LMPMain!$O$9:$O$1000)=$C68)*(LMPMain!R$9:R$1000) ) +  ( SUMPRODUCT( ((Adders!$D$13:$D$101)=$E68)*((Adders!$E$13:$E$101)=$F68)*(Adders!G$13:G$101)) + VLOOKUP($H68,Adders!$B$5:$G$8,L$11,FALSE)  +  NJ!$D$2 ) * IF($D68="NJ",1.07,1))/$L$10, CHOOSE($M$10,$L$9,$M$9) )</f>
        <v xml:space="preserve"> 53.49 </v>
      </c>
      <c r="M68" s="178" t="str">
        <f>TEXT(   (SUMPRODUCT( ((LMPMain!$H$9:$H$1000)=$E68)*((LMPMain!$J$9:$J$1000)=$F68)*((LMPMain!$O$9:$O$1000)=$C68)*(LMPMain!S$9:S$1000) ) +  ( SUMPRODUCT( ((Adders!$D$13:$D$101)=$E68)*((Adders!$E$13:$E$101)=$F68)*(Adders!H$13:H$101)) + VLOOKUP($H68,Adders!$B$5:$G$8,M$11,FALSE)  +  NJ!$D$2 ) * IF($D68="NJ",1.07,1))/$L$10, CHOOSE($M$10,$L$9,$M$9) )</f>
        <v xml:space="preserve"> 53.59 </v>
      </c>
      <c r="N68" s="179" t="str">
        <f>TEXT(   (SUMPRODUCT( ((LMPMain!$H$9:$H$1000)=$E68)*((LMPMain!$J$9:$J$1000)=$F68)*((LMPMain!$O$9:$O$1000)=$C68)*(LMPMain!T$9:T$1000) ) +  ( SUMPRODUCT( ((Adders!$D$13:$D$101)=$E68)*((Adders!$E$13:$E$101)=$F68)*(Adders!I$13:I$101)) + VLOOKUP($H68,Adders!$B$5:$G$8,N$11,FALSE)  +  NJ!$D$2 ) * IF($D68="NJ",1.07,1))/$L$10, CHOOSE($M$10,$L$9,$M$9) )</f>
        <v xml:space="preserve"> 52.73 </v>
      </c>
      <c r="O68" s="112"/>
    </row>
    <row r="69" spans="2:15" x14ac:dyDescent="0.25">
      <c r="B69" s="108"/>
      <c r="C69" s="131">
        <f t="shared" si="1"/>
        <v>42339</v>
      </c>
      <c r="D69" s="132" t="s">
        <v>31</v>
      </c>
      <c r="E69" s="133" t="s">
        <v>32</v>
      </c>
      <c r="F69" s="132" t="s">
        <v>34</v>
      </c>
      <c r="G69" s="133" t="str">
        <f t="shared" si="2"/>
        <v>Annual Gen Service</v>
      </c>
      <c r="H69" s="134" t="s">
        <v>62</v>
      </c>
      <c r="I69" s="173" t="str">
        <f>TEXT(   (SUMPRODUCT( ((Main!$H$9:$H$1000)=$E69)*((Main!$J$9:$J$1000)=$F69)*((Main!$O$9:$O$1000)=$C69)*(Main!R$9:R$1000) ) +  ( SUMPRODUCT( ((Adders!$D$13:$D$101)=$E69)*((Adders!$E$13:$E$101)=$F69)*(Adders!G$13:G$101)) + VLOOKUP($H69,Adders!$B$5:$G$8,L$11,FALSE)  +  NJ!$D$2 ) * IF($D69="NJ",1.07,1))/$L$10, CHOOSE($M$10,$L$9,$M$9) )</f>
        <v xml:space="preserve"> 95.38 </v>
      </c>
      <c r="J69" s="173" t="str">
        <f>TEXT(   (SUMPRODUCT( ((Main!$H$9:$H$1000)=$E69)*((Main!$J$9:$J$1000)=$F69)*((Main!$O$9:$O$1000)=$C69)*(Main!S$9:S$1000) ) +  ( SUMPRODUCT( ((Adders!$D$13:$D$101)=$E69)*((Adders!$E$13:$E$101)=$F69)*(Adders!H$13:H$101)) + VLOOKUP($H69,Adders!$B$5:$G$8,M$11,FALSE)  +  NJ!$D$2 ) * IF($D69="NJ",1.07,1))/$L$10, CHOOSE($M$10,$L$9,$M$9) )</f>
        <v xml:space="preserve"> 96.38 </v>
      </c>
      <c r="K69" s="174" t="str">
        <f>TEXT(   (SUMPRODUCT( ((Main!$H$9:$H$1000)=$E69)*((Main!$J$9:$J$1000)=$F69)*((Main!$O$9:$O$1000)=$C69)*(Main!T$9:T$1000) ) +  ( SUMPRODUCT( ((Adders!$D$13:$D$101)=$E69)*((Adders!$E$13:$E$101)=$F69)*(Adders!I$13:I$101)) + VLOOKUP($H69,Adders!$B$5:$G$8,N$11,FALSE)  +  NJ!$D$2 ) * IF($D69="NJ",1.07,1))/$L$10, CHOOSE($M$10,$L$9,$M$9) )</f>
        <v xml:space="preserve"> 95.02 </v>
      </c>
      <c r="L69" s="173" t="str">
        <f>TEXT(   (SUMPRODUCT( ((LMPMain!$H$9:$H$1000)=$E69)*((LMPMain!$J$9:$J$1000)=$F69)*((LMPMain!$O$9:$O$1000)=$C69)*(LMPMain!R$9:R$1000) ) +  ( SUMPRODUCT( ((Adders!$D$13:$D$101)=$E69)*((Adders!$E$13:$E$101)=$F69)*(Adders!G$13:G$101)) + VLOOKUP($H69,Adders!$B$5:$G$8,L$11,FALSE)  +  NJ!$D$2 ) * IF($D69="NJ",1.07,1))/$L$10, CHOOSE($M$10,$L$9,$M$9) )</f>
        <v xml:space="preserve"> 51.77 </v>
      </c>
      <c r="M69" s="173" t="str">
        <f>TEXT(   (SUMPRODUCT( ((LMPMain!$H$9:$H$1000)=$E69)*((LMPMain!$J$9:$J$1000)=$F69)*((LMPMain!$O$9:$O$1000)=$C69)*(LMPMain!S$9:S$1000) ) +  ( SUMPRODUCT( ((Adders!$D$13:$D$101)=$E69)*((Adders!$E$13:$E$101)=$F69)*(Adders!H$13:H$101)) + VLOOKUP($H69,Adders!$B$5:$G$8,M$11,FALSE)  +  NJ!$D$2 ) * IF($D69="NJ",1.07,1))/$L$10, CHOOSE($M$10,$L$9,$M$9) )</f>
        <v xml:space="preserve"> 51.88 </v>
      </c>
      <c r="N69" s="174" t="str">
        <f>TEXT(   (SUMPRODUCT( ((LMPMain!$H$9:$H$1000)=$E69)*((LMPMain!$J$9:$J$1000)=$F69)*((LMPMain!$O$9:$O$1000)=$C69)*(LMPMain!T$9:T$1000) ) +  ( SUMPRODUCT( ((Adders!$D$13:$D$101)=$E69)*((Adders!$E$13:$E$101)=$F69)*(Adders!I$13:I$101)) + VLOOKUP($H69,Adders!$B$5:$G$8,N$11,FALSE)  +  NJ!$D$2 ) * IF($D69="NJ",1.07,1))/$L$10, CHOOSE($M$10,$L$9,$M$9) )</f>
        <v xml:space="preserve"> 51.02 </v>
      </c>
      <c r="O69" s="112"/>
    </row>
    <row r="70" spans="2:15" x14ac:dyDescent="0.25">
      <c r="B70" s="108"/>
      <c r="C70" s="135">
        <f t="shared" si="1"/>
        <v>42339</v>
      </c>
      <c r="D70" s="136" t="s">
        <v>31</v>
      </c>
      <c r="E70" s="137" t="s">
        <v>32</v>
      </c>
      <c r="F70" s="136" t="s">
        <v>34</v>
      </c>
      <c r="G70" s="137" t="str">
        <f t="shared" si="2"/>
        <v>Annual Gen Service</v>
      </c>
      <c r="H70" s="138" t="s">
        <v>690</v>
      </c>
      <c r="I70" s="176" t="str">
        <f>TEXT(   (SUMPRODUCT( ((Main!$H$9:$H$1000)=$E70)*((Main!$J$9:$J$1000)=$F70)*((Main!$O$9:$O$1000)=$C70)*(Main!R$9:R$1000) ) +  ( SUMPRODUCT( ((Adders!$D$13:$D$101)=$E70)*((Adders!$E$13:$E$101)=$F70)*(Adders!G$13:G$101)) + VLOOKUP($H70,Adders!$B$5:$G$8,L$11,FALSE)  +  NJ!$D$2 ) * IF($D70="NJ",1.07,1))/$L$10, CHOOSE($M$10,$L$9,$M$9) )</f>
        <v xml:space="preserve"> 94.26 </v>
      </c>
      <c r="J70" s="176" t="str">
        <f>TEXT(   (SUMPRODUCT( ((Main!$H$9:$H$1000)=$E70)*((Main!$J$9:$J$1000)=$F70)*((Main!$O$9:$O$1000)=$C70)*(Main!S$9:S$1000) ) +  ( SUMPRODUCT( ((Adders!$D$13:$D$101)=$E70)*((Adders!$E$13:$E$101)=$F70)*(Adders!H$13:H$101)) + VLOOKUP($H70,Adders!$B$5:$G$8,M$11,FALSE)  +  NJ!$D$2 ) * IF($D70="NJ",1.07,1))/$L$10, CHOOSE($M$10,$L$9,$M$9) )</f>
        <v xml:space="preserve"> 95.26 </v>
      </c>
      <c r="K70" s="177" t="str">
        <f>TEXT(   (SUMPRODUCT( ((Main!$H$9:$H$1000)=$E70)*((Main!$J$9:$J$1000)=$F70)*((Main!$O$9:$O$1000)=$C70)*(Main!T$9:T$1000) ) +  ( SUMPRODUCT( ((Adders!$D$13:$D$101)=$E70)*((Adders!$E$13:$E$101)=$F70)*(Adders!I$13:I$101)) + VLOOKUP($H70,Adders!$B$5:$G$8,N$11,FALSE)  +  NJ!$D$2 ) * IF($D70="NJ",1.07,1))/$L$10, CHOOSE($M$10,$L$9,$M$9) )</f>
        <v xml:space="preserve"> 93.90 </v>
      </c>
      <c r="L70" s="176" t="str">
        <f>TEXT(   (SUMPRODUCT( ((LMPMain!$H$9:$H$1000)=$E70)*((LMPMain!$J$9:$J$1000)=$F70)*((LMPMain!$O$9:$O$1000)=$C70)*(LMPMain!R$9:R$1000) ) +  ( SUMPRODUCT( ((Adders!$D$13:$D$101)=$E70)*((Adders!$E$13:$E$101)=$F70)*(Adders!G$13:G$101)) + VLOOKUP($H70,Adders!$B$5:$G$8,L$11,FALSE)  +  NJ!$D$2 ) * IF($D70="NJ",1.07,1))/$L$10, CHOOSE($M$10,$L$9,$M$9) )</f>
        <v xml:space="preserve"> 50.65 </v>
      </c>
      <c r="M70" s="176" t="str">
        <f>TEXT(   (SUMPRODUCT( ((LMPMain!$H$9:$H$1000)=$E70)*((LMPMain!$J$9:$J$1000)=$F70)*((LMPMain!$O$9:$O$1000)=$C70)*(LMPMain!S$9:S$1000) ) +  ( SUMPRODUCT( ((Adders!$D$13:$D$101)=$E70)*((Adders!$E$13:$E$101)=$F70)*(Adders!H$13:H$101)) + VLOOKUP($H70,Adders!$B$5:$G$8,M$11,FALSE)  +  NJ!$D$2 ) * IF($D70="NJ",1.07,1))/$L$10, CHOOSE($M$10,$L$9,$M$9) )</f>
        <v xml:space="preserve"> 50.76 </v>
      </c>
      <c r="N70" s="177" t="str">
        <f>TEXT(   (SUMPRODUCT( ((LMPMain!$H$9:$H$1000)=$E70)*((LMPMain!$J$9:$J$1000)=$F70)*((LMPMain!$O$9:$O$1000)=$C70)*(LMPMain!T$9:T$1000) ) +  ( SUMPRODUCT( ((Adders!$D$13:$D$101)=$E70)*((Adders!$E$13:$E$101)=$F70)*(Adders!I$13:I$101)) + VLOOKUP($H70,Adders!$B$5:$G$8,N$11,FALSE)  +  NJ!$D$2 ) * IF($D70="NJ",1.07,1))/$L$10, CHOOSE($M$10,$L$9,$M$9) )</f>
        <v xml:space="preserve"> 49.89 </v>
      </c>
      <c r="O70" s="112"/>
    </row>
    <row r="71" spans="2:15" x14ac:dyDescent="0.25">
      <c r="B71" s="108"/>
      <c r="C71" s="127">
        <f t="shared" si="1"/>
        <v>42370</v>
      </c>
      <c r="D71" s="128" t="s">
        <v>31</v>
      </c>
      <c r="E71" s="129" t="s">
        <v>32</v>
      </c>
      <c r="F71" s="128" t="s">
        <v>34</v>
      </c>
      <c r="G71" s="129" t="str">
        <f t="shared" si="2"/>
        <v>Annual Gen Service</v>
      </c>
      <c r="H71" s="130" t="s">
        <v>61</v>
      </c>
      <c r="I71" s="178" t="str">
        <f>TEXT(   (SUMPRODUCT( ((Main!$H$9:$H$1000)=$E71)*((Main!$J$9:$J$1000)=$F71)*((Main!$O$9:$O$1000)=$C71)*(Main!R$9:R$1000) ) +  ( SUMPRODUCT( ((Adders!$D$13:$D$101)=$E71)*((Adders!$E$13:$E$101)=$F71)*(Adders!G$13:G$101)) + VLOOKUP($H71,Adders!$B$5:$G$8,L$11,FALSE)  +  NJ!$D$2 ) * IF($D71="NJ",1.07,1))/$L$10, CHOOSE($M$10,$L$9,$M$9) )</f>
        <v xml:space="preserve"> 96.66 </v>
      </c>
      <c r="J71" s="178" t="str">
        <f>TEXT(   (SUMPRODUCT( ((Main!$H$9:$H$1000)=$E71)*((Main!$J$9:$J$1000)=$F71)*((Main!$O$9:$O$1000)=$C71)*(Main!S$9:S$1000) ) +  ( SUMPRODUCT( ((Adders!$D$13:$D$101)=$E71)*((Adders!$E$13:$E$101)=$F71)*(Adders!H$13:H$101)) + VLOOKUP($H71,Adders!$B$5:$G$8,M$11,FALSE)  +  NJ!$D$2 ) * IF($D71="NJ",1.07,1))/$L$10, CHOOSE($M$10,$L$9,$M$9) )</f>
        <v xml:space="preserve"> 97.72 </v>
      </c>
      <c r="K71" s="179" t="str">
        <f>TEXT(   (SUMPRODUCT( ((Main!$H$9:$H$1000)=$E71)*((Main!$J$9:$J$1000)=$F71)*((Main!$O$9:$O$1000)=$C71)*(Main!T$9:T$1000) ) +  ( SUMPRODUCT( ((Adders!$D$13:$D$101)=$E71)*((Adders!$E$13:$E$101)=$F71)*(Adders!I$13:I$101)) + VLOOKUP($H71,Adders!$B$5:$G$8,N$11,FALSE)  +  NJ!$D$2 ) * IF($D71="NJ",1.07,1))/$L$10, CHOOSE($M$10,$L$9,$M$9) )</f>
        <v xml:space="preserve"> 96.53 </v>
      </c>
      <c r="L71" s="178" t="str">
        <f>TEXT(   (SUMPRODUCT( ((LMPMain!$H$9:$H$1000)=$E71)*((LMPMain!$J$9:$J$1000)=$F71)*((LMPMain!$O$9:$O$1000)=$C71)*(LMPMain!R$9:R$1000) ) +  ( SUMPRODUCT( ((Adders!$D$13:$D$101)=$E71)*((Adders!$E$13:$E$101)=$F71)*(Adders!G$13:G$101)) + VLOOKUP($H71,Adders!$B$5:$G$8,L$11,FALSE)  +  NJ!$D$2 ) * IF($D71="NJ",1.07,1))/$L$10, CHOOSE($M$10,$L$9,$M$9) )</f>
        <v xml:space="preserve"> 53.19 </v>
      </c>
      <c r="M71" s="178" t="str">
        <f>TEXT(   (SUMPRODUCT( ((LMPMain!$H$9:$H$1000)=$E71)*((LMPMain!$J$9:$J$1000)=$F71)*((LMPMain!$O$9:$O$1000)=$C71)*(LMPMain!S$9:S$1000) ) +  ( SUMPRODUCT( ((Adders!$D$13:$D$101)=$E71)*((Adders!$E$13:$E$101)=$F71)*(Adders!H$13:H$101)) + VLOOKUP($H71,Adders!$B$5:$G$8,M$11,FALSE)  +  NJ!$D$2 ) * IF($D71="NJ",1.07,1))/$L$10, CHOOSE($M$10,$L$9,$M$9) )</f>
        <v xml:space="preserve"> 53.18 </v>
      </c>
      <c r="N71" s="179" t="str">
        <f>TEXT(   (SUMPRODUCT( ((LMPMain!$H$9:$H$1000)=$E71)*((LMPMain!$J$9:$J$1000)=$F71)*((LMPMain!$O$9:$O$1000)=$C71)*(LMPMain!T$9:T$1000) ) +  ( SUMPRODUCT( ((Adders!$D$13:$D$101)=$E71)*((Adders!$E$13:$E$101)=$F71)*(Adders!I$13:I$101)) + VLOOKUP($H71,Adders!$B$5:$G$8,N$11,FALSE)  +  NJ!$D$2 ) * IF($D71="NJ",1.07,1))/$L$10, CHOOSE($M$10,$L$9,$M$9) )</f>
        <v xml:space="preserve"> 52.54 </v>
      </c>
      <c r="O71" s="112"/>
    </row>
    <row r="72" spans="2:15" x14ac:dyDescent="0.25">
      <c r="B72" s="108"/>
      <c r="C72" s="131">
        <f t="shared" si="1"/>
        <v>42370</v>
      </c>
      <c r="D72" s="132" t="s">
        <v>31</v>
      </c>
      <c r="E72" s="133" t="s">
        <v>32</v>
      </c>
      <c r="F72" s="132" t="s">
        <v>34</v>
      </c>
      <c r="G72" s="133" t="str">
        <f t="shared" si="2"/>
        <v>Annual Gen Service</v>
      </c>
      <c r="H72" s="134" t="s">
        <v>62</v>
      </c>
      <c r="I72" s="173" t="str">
        <f>TEXT(   (SUMPRODUCT( ((Main!$H$9:$H$1000)=$E72)*((Main!$J$9:$J$1000)=$F72)*((Main!$O$9:$O$1000)=$C72)*(Main!R$9:R$1000) ) +  ( SUMPRODUCT( ((Adders!$D$13:$D$101)=$E72)*((Adders!$E$13:$E$101)=$F72)*(Adders!G$13:G$101)) + VLOOKUP($H72,Adders!$B$5:$G$8,L$11,FALSE)  +  NJ!$D$2 ) * IF($D72="NJ",1.07,1))/$L$10, CHOOSE($M$10,$L$9,$M$9) )</f>
        <v xml:space="preserve"> 94.95 </v>
      </c>
      <c r="J72" s="173" t="str">
        <f>TEXT(   (SUMPRODUCT( ((Main!$H$9:$H$1000)=$E72)*((Main!$J$9:$J$1000)=$F72)*((Main!$O$9:$O$1000)=$C72)*(Main!S$9:S$1000) ) +  ( SUMPRODUCT( ((Adders!$D$13:$D$101)=$E72)*((Adders!$E$13:$E$101)=$F72)*(Adders!H$13:H$101)) + VLOOKUP($H72,Adders!$B$5:$G$8,M$11,FALSE)  +  NJ!$D$2 ) * IF($D72="NJ",1.07,1))/$L$10, CHOOSE($M$10,$L$9,$M$9) )</f>
        <v xml:space="preserve"> 96.01 </v>
      </c>
      <c r="K72" s="174" t="str">
        <f>TEXT(   (SUMPRODUCT( ((Main!$H$9:$H$1000)=$E72)*((Main!$J$9:$J$1000)=$F72)*((Main!$O$9:$O$1000)=$C72)*(Main!T$9:T$1000) ) +  ( SUMPRODUCT( ((Adders!$D$13:$D$101)=$E72)*((Adders!$E$13:$E$101)=$F72)*(Adders!I$13:I$101)) + VLOOKUP($H72,Adders!$B$5:$G$8,N$11,FALSE)  +  NJ!$D$2 ) * IF($D72="NJ",1.07,1))/$L$10, CHOOSE($M$10,$L$9,$M$9) )</f>
        <v xml:space="preserve"> 94.82 </v>
      </c>
      <c r="L72" s="173" t="str">
        <f>TEXT(   (SUMPRODUCT( ((LMPMain!$H$9:$H$1000)=$E72)*((LMPMain!$J$9:$J$1000)=$F72)*((LMPMain!$O$9:$O$1000)=$C72)*(LMPMain!R$9:R$1000) ) +  ( SUMPRODUCT( ((Adders!$D$13:$D$101)=$E72)*((Adders!$E$13:$E$101)=$F72)*(Adders!G$13:G$101)) + VLOOKUP($H72,Adders!$B$5:$G$8,L$11,FALSE)  +  NJ!$D$2 ) * IF($D72="NJ",1.07,1))/$L$10, CHOOSE($M$10,$L$9,$M$9) )</f>
        <v xml:space="preserve"> 51.47 </v>
      </c>
      <c r="M72" s="173" t="str">
        <f>TEXT(   (SUMPRODUCT( ((LMPMain!$H$9:$H$1000)=$E72)*((LMPMain!$J$9:$J$1000)=$F72)*((LMPMain!$O$9:$O$1000)=$C72)*(LMPMain!S$9:S$1000) ) +  ( SUMPRODUCT( ((Adders!$D$13:$D$101)=$E72)*((Adders!$E$13:$E$101)=$F72)*(Adders!H$13:H$101)) + VLOOKUP($H72,Adders!$B$5:$G$8,M$11,FALSE)  +  NJ!$D$2 ) * IF($D72="NJ",1.07,1))/$L$10, CHOOSE($M$10,$L$9,$M$9) )</f>
        <v xml:space="preserve"> 51.47 </v>
      </c>
      <c r="N72" s="174" t="str">
        <f>TEXT(   (SUMPRODUCT( ((LMPMain!$H$9:$H$1000)=$E72)*((LMPMain!$J$9:$J$1000)=$F72)*((LMPMain!$O$9:$O$1000)=$C72)*(LMPMain!T$9:T$1000) ) +  ( SUMPRODUCT( ((Adders!$D$13:$D$101)=$E72)*((Adders!$E$13:$E$101)=$F72)*(Adders!I$13:I$101)) + VLOOKUP($H72,Adders!$B$5:$G$8,N$11,FALSE)  +  NJ!$D$2 ) * IF($D72="NJ",1.07,1))/$L$10, CHOOSE($M$10,$L$9,$M$9) )</f>
        <v xml:space="preserve"> 50.83 </v>
      </c>
      <c r="O72" s="112"/>
    </row>
    <row r="73" spans="2:15" x14ac:dyDescent="0.25">
      <c r="B73" s="108"/>
      <c r="C73" s="135">
        <f t="shared" si="1"/>
        <v>42370</v>
      </c>
      <c r="D73" s="136" t="s">
        <v>31</v>
      </c>
      <c r="E73" s="137" t="s">
        <v>32</v>
      </c>
      <c r="F73" s="136" t="s">
        <v>34</v>
      </c>
      <c r="G73" s="137" t="str">
        <f t="shared" si="2"/>
        <v>Annual Gen Service</v>
      </c>
      <c r="H73" s="138" t="s">
        <v>690</v>
      </c>
      <c r="I73" s="176" t="str">
        <f>TEXT(   (SUMPRODUCT( ((Main!$H$9:$H$1000)=$E73)*((Main!$J$9:$J$1000)=$F73)*((Main!$O$9:$O$1000)=$C73)*(Main!R$9:R$1000) ) +  ( SUMPRODUCT( ((Adders!$D$13:$D$101)=$E73)*((Adders!$E$13:$E$101)=$F73)*(Adders!G$13:G$101)) + VLOOKUP($H73,Adders!$B$5:$G$8,L$11,FALSE)  +  NJ!$D$2 ) * IF($D73="NJ",1.07,1))/$L$10, CHOOSE($M$10,$L$9,$M$9) )</f>
        <v xml:space="preserve"> 93.83 </v>
      </c>
      <c r="J73" s="176" t="str">
        <f>TEXT(   (SUMPRODUCT( ((Main!$H$9:$H$1000)=$E73)*((Main!$J$9:$J$1000)=$F73)*((Main!$O$9:$O$1000)=$C73)*(Main!S$9:S$1000) ) +  ( SUMPRODUCT( ((Adders!$D$13:$D$101)=$E73)*((Adders!$E$13:$E$101)=$F73)*(Adders!H$13:H$101)) + VLOOKUP($H73,Adders!$B$5:$G$8,M$11,FALSE)  +  NJ!$D$2 ) * IF($D73="NJ",1.07,1))/$L$10, CHOOSE($M$10,$L$9,$M$9) )</f>
        <v xml:space="preserve"> 94.89 </v>
      </c>
      <c r="K73" s="177" t="str">
        <f>TEXT(   (SUMPRODUCT( ((Main!$H$9:$H$1000)=$E73)*((Main!$J$9:$J$1000)=$F73)*((Main!$O$9:$O$1000)=$C73)*(Main!T$9:T$1000) ) +  ( SUMPRODUCT( ((Adders!$D$13:$D$101)=$E73)*((Adders!$E$13:$E$101)=$F73)*(Adders!I$13:I$101)) + VLOOKUP($H73,Adders!$B$5:$G$8,N$11,FALSE)  +  NJ!$D$2 ) * IF($D73="NJ",1.07,1))/$L$10, CHOOSE($M$10,$L$9,$M$9) )</f>
        <v xml:space="preserve"> 93.70 </v>
      </c>
      <c r="L73" s="176" t="str">
        <f>TEXT(   (SUMPRODUCT( ((LMPMain!$H$9:$H$1000)=$E73)*((LMPMain!$J$9:$J$1000)=$F73)*((LMPMain!$O$9:$O$1000)=$C73)*(LMPMain!R$9:R$1000) ) +  ( SUMPRODUCT( ((Adders!$D$13:$D$101)=$E73)*((Adders!$E$13:$E$101)=$F73)*(Adders!G$13:G$101)) + VLOOKUP($H73,Adders!$B$5:$G$8,L$11,FALSE)  +  NJ!$D$2 ) * IF($D73="NJ",1.07,1))/$L$10, CHOOSE($M$10,$L$9,$M$9) )</f>
        <v xml:space="preserve"> 50.35 </v>
      </c>
      <c r="M73" s="176" t="str">
        <f>TEXT(   (SUMPRODUCT( ((LMPMain!$H$9:$H$1000)=$E73)*((LMPMain!$J$9:$J$1000)=$F73)*((LMPMain!$O$9:$O$1000)=$C73)*(LMPMain!S$9:S$1000) ) +  ( SUMPRODUCT( ((Adders!$D$13:$D$101)=$E73)*((Adders!$E$13:$E$101)=$F73)*(Adders!H$13:H$101)) + VLOOKUP($H73,Adders!$B$5:$G$8,M$11,FALSE)  +  NJ!$D$2 ) * IF($D73="NJ",1.07,1))/$L$10, CHOOSE($M$10,$L$9,$M$9) )</f>
        <v xml:space="preserve"> 50.35 </v>
      </c>
      <c r="N73" s="177" t="str">
        <f>TEXT(   (SUMPRODUCT( ((LMPMain!$H$9:$H$1000)=$E73)*((LMPMain!$J$9:$J$1000)=$F73)*((LMPMain!$O$9:$O$1000)=$C73)*(LMPMain!T$9:T$1000) ) +  ( SUMPRODUCT( ((Adders!$D$13:$D$101)=$E73)*((Adders!$E$13:$E$101)=$F73)*(Adders!I$13:I$101)) + VLOOKUP($H73,Adders!$B$5:$G$8,N$11,FALSE)  +  NJ!$D$2 ) * IF($D73="NJ",1.07,1))/$L$10, CHOOSE($M$10,$L$9,$M$9) )</f>
        <v xml:space="preserve"> 49.70 </v>
      </c>
      <c r="O73" s="112"/>
    </row>
    <row r="74" spans="2:15" x14ac:dyDescent="0.25">
      <c r="B74" s="108"/>
      <c r="C74" s="127">
        <f t="shared" si="1"/>
        <v>42401</v>
      </c>
      <c r="D74" s="128" t="s">
        <v>31</v>
      </c>
      <c r="E74" s="129" t="s">
        <v>32</v>
      </c>
      <c r="F74" s="128" t="s">
        <v>34</v>
      </c>
      <c r="G74" s="129" t="str">
        <f t="shared" si="2"/>
        <v>Annual Gen Service</v>
      </c>
      <c r="H74" s="130" t="s">
        <v>61</v>
      </c>
      <c r="I74" s="178" t="str">
        <f>TEXT(   (SUMPRODUCT( ((Main!$H$9:$H$1000)=$E74)*((Main!$J$9:$J$1000)=$F74)*((Main!$O$9:$O$1000)=$C74)*(Main!R$9:R$1000) ) +  ( SUMPRODUCT( ((Adders!$D$13:$D$101)=$E74)*((Adders!$E$13:$E$101)=$F74)*(Adders!G$13:G$101)) + VLOOKUP($H74,Adders!$B$5:$G$8,L$11,FALSE)  +  NJ!$D$2 ) * IF($D74="NJ",1.07,1))/$L$10, CHOOSE($M$10,$L$9,$M$9) )</f>
        <v xml:space="preserve"> 96.49 </v>
      </c>
      <c r="J74" s="178" t="str">
        <f>TEXT(   (SUMPRODUCT( ((Main!$H$9:$H$1000)=$E74)*((Main!$J$9:$J$1000)=$F74)*((Main!$O$9:$O$1000)=$C74)*(Main!S$9:S$1000) ) +  ( SUMPRODUCT( ((Adders!$D$13:$D$101)=$E74)*((Adders!$E$13:$E$101)=$F74)*(Adders!H$13:H$101)) + VLOOKUP($H74,Adders!$B$5:$G$8,M$11,FALSE)  +  NJ!$D$2 ) * IF($D74="NJ",1.07,1))/$L$10, CHOOSE($M$10,$L$9,$M$9) )</f>
        <v xml:space="preserve"> 96.74 </v>
      </c>
      <c r="K74" s="179" t="str">
        <f>TEXT(   (SUMPRODUCT( ((Main!$H$9:$H$1000)=$E74)*((Main!$J$9:$J$1000)=$F74)*((Main!$O$9:$O$1000)=$C74)*(Main!T$9:T$1000) ) +  ( SUMPRODUCT( ((Adders!$D$13:$D$101)=$E74)*((Adders!$E$13:$E$101)=$F74)*(Adders!I$13:I$101)) + VLOOKUP($H74,Adders!$B$5:$G$8,N$11,FALSE)  +  NJ!$D$2 ) * IF($D74="NJ",1.07,1))/$L$10, CHOOSE($M$10,$L$9,$M$9) )</f>
        <v xml:space="preserve"> 96.63 </v>
      </c>
      <c r="L74" s="178" t="str">
        <f>TEXT(   (SUMPRODUCT( ((LMPMain!$H$9:$H$1000)=$E74)*((LMPMain!$J$9:$J$1000)=$F74)*((LMPMain!$O$9:$O$1000)=$C74)*(LMPMain!R$9:R$1000) ) +  ( SUMPRODUCT( ((Adders!$D$13:$D$101)=$E74)*((Adders!$E$13:$E$101)=$F74)*(Adders!G$13:G$101)) + VLOOKUP($H74,Adders!$B$5:$G$8,L$11,FALSE)  +  NJ!$D$2 ) * IF($D74="NJ",1.07,1))/$L$10, CHOOSE($M$10,$L$9,$M$9) )</f>
        <v xml:space="preserve"> 52.84 </v>
      </c>
      <c r="M74" s="178" t="str">
        <f>TEXT(   (SUMPRODUCT( ((LMPMain!$H$9:$H$1000)=$E74)*((LMPMain!$J$9:$J$1000)=$F74)*((LMPMain!$O$9:$O$1000)=$C74)*(LMPMain!S$9:S$1000) ) +  ( SUMPRODUCT( ((Adders!$D$13:$D$101)=$E74)*((Adders!$E$13:$E$101)=$F74)*(Adders!H$13:H$101)) + VLOOKUP($H74,Adders!$B$5:$G$8,M$11,FALSE)  +  NJ!$D$2 ) * IF($D74="NJ",1.07,1))/$L$10, CHOOSE($M$10,$L$9,$M$9) )</f>
        <v xml:space="preserve"> 52.54 </v>
      </c>
      <c r="N74" s="179" t="str">
        <f>TEXT(   (SUMPRODUCT( ((LMPMain!$H$9:$H$1000)=$E74)*((LMPMain!$J$9:$J$1000)=$F74)*((LMPMain!$O$9:$O$1000)=$C74)*(LMPMain!T$9:T$1000) ) +  ( SUMPRODUCT( ((Adders!$D$13:$D$101)=$E74)*((Adders!$E$13:$E$101)=$F74)*(Adders!I$13:I$101)) + VLOOKUP($H74,Adders!$B$5:$G$8,N$11,FALSE)  +  NJ!$D$2 ) * IF($D74="NJ",1.07,1))/$L$10, CHOOSE($M$10,$L$9,$M$9) )</f>
        <v xml:space="preserve"> 52.28 </v>
      </c>
      <c r="O74" s="112"/>
    </row>
    <row r="75" spans="2:15" x14ac:dyDescent="0.25">
      <c r="B75" s="108"/>
      <c r="C75" s="131">
        <f t="shared" si="1"/>
        <v>42401</v>
      </c>
      <c r="D75" s="132" t="s">
        <v>31</v>
      </c>
      <c r="E75" s="133" t="s">
        <v>32</v>
      </c>
      <c r="F75" s="132" t="s">
        <v>34</v>
      </c>
      <c r="G75" s="133" t="str">
        <f t="shared" si="2"/>
        <v>Annual Gen Service</v>
      </c>
      <c r="H75" s="134" t="s">
        <v>62</v>
      </c>
      <c r="I75" s="173" t="str">
        <f>TEXT(   (SUMPRODUCT( ((Main!$H$9:$H$1000)=$E75)*((Main!$J$9:$J$1000)=$F75)*((Main!$O$9:$O$1000)=$C75)*(Main!R$9:R$1000) ) +  ( SUMPRODUCT( ((Adders!$D$13:$D$101)=$E75)*((Adders!$E$13:$E$101)=$F75)*(Adders!G$13:G$101)) + VLOOKUP($H75,Adders!$B$5:$G$8,L$11,FALSE)  +  NJ!$D$2 ) * IF($D75="NJ",1.07,1))/$L$10, CHOOSE($M$10,$L$9,$M$9) )</f>
        <v xml:space="preserve"> 94.78 </v>
      </c>
      <c r="J75" s="173" t="str">
        <f>TEXT(   (SUMPRODUCT( ((Main!$H$9:$H$1000)=$E75)*((Main!$J$9:$J$1000)=$F75)*((Main!$O$9:$O$1000)=$C75)*(Main!S$9:S$1000) ) +  ( SUMPRODUCT( ((Adders!$D$13:$D$101)=$E75)*((Adders!$E$13:$E$101)=$F75)*(Adders!H$13:H$101)) + VLOOKUP($H75,Adders!$B$5:$G$8,M$11,FALSE)  +  NJ!$D$2 ) * IF($D75="NJ",1.07,1))/$L$10, CHOOSE($M$10,$L$9,$M$9) )</f>
        <v xml:space="preserve"> 95.03 </v>
      </c>
      <c r="K75" s="174" t="str">
        <f>TEXT(   (SUMPRODUCT( ((Main!$H$9:$H$1000)=$E75)*((Main!$J$9:$J$1000)=$F75)*((Main!$O$9:$O$1000)=$C75)*(Main!T$9:T$1000) ) +  ( SUMPRODUCT( ((Adders!$D$13:$D$101)=$E75)*((Adders!$E$13:$E$101)=$F75)*(Adders!I$13:I$101)) + VLOOKUP($H75,Adders!$B$5:$G$8,N$11,FALSE)  +  NJ!$D$2 ) * IF($D75="NJ",1.07,1))/$L$10, CHOOSE($M$10,$L$9,$M$9) )</f>
        <v xml:space="preserve"> 94.92 </v>
      </c>
      <c r="L75" s="173" t="str">
        <f>TEXT(   (SUMPRODUCT( ((LMPMain!$H$9:$H$1000)=$E75)*((LMPMain!$J$9:$J$1000)=$F75)*((LMPMain!$O$9:$O$1000)=$C75)*(LMPMain!R$9:R$1000) ) +  ( SUMPRODUCT( ((Adders!$D$13:$D$101)=$E75)*((Adders!$E$13:$E$101)=$F75)*(Adders!G$13:G$101)) + VLOOKUP($H75,Adders!$B$5:$G$8,L$11,FALSE)  +  NJ!$D$2 ) * IF($D75="NJ",1.07,1))/$L$10, CHOOSE($M$10,$L$9,$M$9) )</f>
        <v xml:space="preserve"> 51.13 </v>
      </c>
      <c r="M75" s="173" t="str">
        <f>TEXT(   (SUMPRODUCT( ((LMPMain!$H$9:$H$1000)=$E75)*((LMPMain!$J$9:$J$1000)=$F75)*((LMPMain!$O$9:$O$1000)=$C75)*(LMPMain!S$9:S$1000) ) +  ( SUMPRODUCT( ((Adders!$D$13:$D$101)=$E75)*((Adders!$E$13:$E$101)=$F75)*(Adders!H$13:H$101)) + VLOOKUP($H75,Adders!$B$5:$G$8,M$11,FALSE)  +  NJ!$D$2 ) * IF($D75="NJ",1.07,1))/$L$10, CHOOSE($M$10,$L$9,$M$9) )</f>
        <v xml:space="preserve"> 50.83 </v>
      </c>
      <c r="N75" s="174" t="str">
        <f>TEXT(   (SUMPRODUCT( ((LMPMain!$H$9:$H$1000)=$E75)*((LMPMain!$J$9:$J$1000)=$F75)*((LMPMain!$O$9:$O$1000)=$C75)*(LMPMain!T$9:T$1000) ) +  ( SUMPRODUCT( ((Adders!$D$13:$D$101)=$E75)*((Adders!$E$13:$E$101)=$F75)*(Adders!I$13:I$101)) + VLOOKUP($H75,Adders!$B$5:$G$8,N$11,FALSE)  +  NJ!$D$2 ) * IF($D75="NJ",1.07,1))/$L$10, CHOOSE($M$10,$L$9,$M$9) )</f>
        <v xml:space="preserve"> 50.57 </v>
      </c>
      <c r="O75" s="112"/>
    </row>
    <row r="76" spans="2:15" x14ac:dyDescent="0.25">
      <c r="B76" s="108"/>
      <c r="C76" s="135">
        <f t="shared" si="1"/>
        <v>42401</v>
      </c>
      <c r="D76" s="136" t="s">
        <v>31</v>
      </c>
      <c r="E76" s="137" t="s">
        <v>32</v>
      </c>
      <c r="F76" s="136" t="s">
        <v>34</v>
      </c>
      <c r="G76" s="137" t="str">
        <f t="shared" si="2"/>
        <v>Annual Gen Service</v>
      </c>
      <c r="H76" s="138" t="s">
        <v>690</v>
      </c>
      <c r="I76" s="176" t="str">
        <f>TEXT(   (SUMPRODUCT( ((Main!$H$9:$H$1000)=$E76)*((Main!$J$9:$J$1000)=$F76)*((Main!$O$9:$O$1000)=$C76)*(Main!R$9:R$1000) ) +  ( SUMPRODUCT( ((Adders!$D$13:$D$101)=$E76)*((Adders!$E$13:$E$101)=$F76)*(Adders!G$13:G$101)) + VLOOKUP($H76,Adders!$B$5:$G$8,L$11,FALSE)  +  NJ!$D$2 ) * IF($D76="NJ",1.07,1))/$L$10, CHOOSE($M$10,$L$9,$M$9) )</f>
        <v xml:space="preserve"> 93.66 </v>
      </c>
      <c r="J76" s="176" t="str">
        <f>TEXT(   (SUMPRODUCT( ((Main!$H$9:$H$1000)=$E76)*((Main!$J$9:$J$1000)=$F76)*((Main!$O$9:$O$1000)=$C76)*(Main!S$9:S$1000) ) +  ( SUMPRODUCT( ((Adders!$D$13:$D$101)=$E76)*((Adders!$E$13:$E$101)=$F76)*(Adders!H$13:H$101)) + VLOOKUP($H76,Adders!$B$5:$G$8,M$11,FALSE)  +  NJ!$D$2 ) * IF($D76="NJ",1.07,1))/$L$10, CHOOSE($M$10,$L$9,$M$9) )</f>
        <v xml:space="preserve"> 93.91 </v>
      </c>
      <c r="K76" s="177" t="str">
        <f>TEXT(   (SUMPRODUCT( ((Main!$H$9:$H$1000)=$E76)*((Main!$J$9:$J$1000)=$F76)*((Main!$O$9:$O$1000)=$C76)*(Main!T$9:T$1000) ) +  ( SUMPRODUCT( ((Adders!$D$13:$D$101)=$E76)*((Adders!$E$13:$E$101)=$F76)*(Adders!I$13:I$101)) + VLOOKUP($H76,Adders!$B$5:$G$8,N$11,FALSE)  +  NJ!$D$2 ) * IF($D76="NJ",1.07,1))/$L$10, CHOOSE($M$10,$L$9,$M$9) )</f>
        <v xml:space="preserve"> 93.80 </v>
      </c>
      <c r="L76" s="176" t="str">
        <f>TEXT(   (SUMPRODUCT( ((LMPMain!$H$9:$H$1000)=$E76)*((LMPMain!$J$9:$J$1000)=$F76)*((LMPMain!$O$9:$O$1000)=$C76)*(LMPMain!R$9:R$1000) ) +  ( SUMPRODUCT( ((Adders!$D$13:$D$101)=$E76)*((Adders!$E$13:$E$101)=$F76)*(Adders!G$13:G$101)) + VLOOKUP($H76,Adders!$B$5:$G$8,L$11,FALSE)  +  NJ!$D$2 ) * IF($D76="NJ",1.07,1))/$L$10, CHOOSE($M$10,$L$9,$M$9) )</f>
        <v xml:space="preserve"> 50.01 </v>
      </c>
      <c r="M76" s="176" t="str">
        <f>TEXT(   (SUMPRODUCT( ((LMPMain!$H$9:$H$1000)=$E76)*((LMPMain!$J$9:$J$1000)=$F76)*((LMPMain!$O$9:$O$1000)=$C76)*(LMPMain!S$9:S$1000) ) +  ( SUMPRODUCT( ((Adders!$D$13:$D$101)=$E76)*((Adders!$E$13:$E$101)=$F76)*(Adders!H$13:H$101)) + VLOOKUP($H76,Adders!$B$5:$G$8,M$11,FALSE)  +  NJ!$D$2 ) * IF($D76="NJ",1.07,1))/$L$10, CHOOSE($M$10,$L$9,$M$9) )</f>
        <v xml:space="preserve"> 49.70 </v>
      </c>
      <c r="N76" s="177" t="str">
        <f>TEXT(   (SUMPRODUCT( ((LMPMain!$H$9:$H$1000)=$E76)*((LMPMain!$J$9:$J$1000)=$F76)*((LMPMain!$O$9:$O$1000)=$C76)*(LMPMain!T$9:T$1000) ) +  ( SUMPRODUCT( ((Adders!$D$13:$D$101)=$E76)*((Adders!$E$13:$E$101)=$F76)*(Adders!I$13:I$101)) + VLOOKUP($H76,Adders!$B$5:$G$8,N$11,FALSE)  +  NJ!$D$2 ) * IF($D76="NJ",1.07,1))/$L$10, CHOOSE($M$10,$L$9,$M$9) )</f>
        <v xml:space="preserve"> 49.45 </v>
      </c>
      <c r="O76" s="112"/>
    </row>
    <row r="77" spans="2:15" x14ac:dyDescent="0.25">
      <c r="B77" s="108"/>
      <c r="C77" s="127">
        <f t="shared" si="1"/>
        <v>42430</v>
      </c>
      <c r="D77" s="128" t="s">
        <v>31</v>
      </c>
      <c r="E77" s="129" t="s">
        <v>32</v>
      </c>
      <c r="F77" s="128" t="s">
        <v>34</v>
      </c>
      <c r="G77" s="129" t="str">
        <f t="shared" si="2"/>
        <v>Annual Gen Service</v>
      </c>
      <c r="H77" s="130" t="s">
        <v>61</v>
      </c>
      <c r="I77" s="178" t="str">
        <f>TEXT(   (SUMPRODUCT( ((Main!$H$9:$H$1000)=$E77)*((Main!$J$9:$J$1000)=$F77)*((Main!$O$9:$O$1000)=$C77)*(Main!R$9:R$1000) ) +  ( SUMPRODUCT( ((Adders!$D$13:$D$101)=$E77)*((Adders!$E$13:$E$101)=$F77)*(Adders!G$13:G$101)) + VLOOKUP($H77,Adders!$B$5:$G$8,L$11,FALSE)  +  NJ!$D$2 ) * IF($D77="NJ",1.07,1))/$L$10, CHOOSE($M$10,$L$9,$M$9) )</f>
        <v xml:space="preserve"> 96.23 </v>
      </c>
      <c r="J77" s="178" t="str">
        <f>TEXT(   (SUMPRODUCT( ((Main!$H$9:$H$1000)=$E77)*((Main!$J$9:$J$1000)=$F77)*((Main!$O$9:$O$1000)=$C77)*(Main!S$9:S$1000) ) +  ( SUMPRODUCT( ((Adders!$D$13:$D$101)=$E77)*((Adders!$E$13:$E$101)=$F77)*(Adders!H$13:H$101)) + VLOOKUP($H77,Adders!$B$5:$G$8,M$11,FALSE)  +  NJ!$D$2 ) * IF($D77="NJ",1.07,1))/$L$10, CHOOSE($M$10,$L$9,$M$9) )</f>
        <v xml:space="preserve"> 95.78 </v>
      </c>
      <c r="K77" s="179" t="str">
        <f>TEXT(   (SUMPRODUCT( ((Main!$H$9:$H$1000)=$E77)*((Main!$J$9:$J$1000)=$F77)*((Main!$O$9:$O$1000)=$C77)*(Main!T$9:T$1000) ) +  ( SUMPRODUCT( ((Adders!$D$13:$D$101)=$E77)*((Adders!$E$13:$E$101)=$F77)*(Adders!I$13:I$101)) + VLOOKUP($H77,Adders!$B$5:$G$8,N$11,FALSE)  +  NJ!$D$2 ) * IF($D77="NJ",1.07,1))/$L$10, CHOOSE($M$10,$L$9,$M$9) )</f>
        <v xml:space="preserve"> 96.66 </v>
      </c>
      <c r="L77" s="178" t="str">
        <f>TEXT(   (SUMPRODUCT( ((LMPMain!$H$9:$H$1000)=$E77)*((LMPMain!$J$9:$J$1000)=$F77)*((LMPMain!$O$9:$O$1000)=$C77)*(LMPMain!R$9:R$1000) ) +  ( SUMPRODUCT( ((Adders!$D$13:$D$101)=$E77)*((Adders!$E$13:$E$101)=$F77)*(Adders!G$13:G$101)) + VLOOKUP($H77,Adders!$B$5:$G$8,L$11,FALSE)  +  NJ!$D$2 ) * IF($D77="NJ",1.07,1))/$L$10, CHOOSE($M$10,$L$9,$M$9) )</f>
        <v xml:space="preserve"> 52.52 </v>
      </c>
      <c r="M77" s="178" t="str">
        <f>TEXT(   (SUMPRODUCT( ((LMPMain!$H$9:$H$1000)=$E77)*((LMPMain!$J$9:$J$1000)=$F77)*((LMPMain!$O$9:$O$1000)=$C77)*(LMPMain!S$9:S$1000) ) +  ( SUMPRODUCT( ((Adders!$D$13:$D$101)=$E77)*((Adders!$E$13:$E$101)=$F77)*(Adders!H$13:H$101)) + VLOOKUP($H77,Adders!$B$5:$G$8,M$11,FALSE)  +  NJ!$D$2 ) * IF($D77="NJ",1.07,1))/$L$10, CHOOSE($M$10,$L$9,$M$9) )</f>
        <v xml:space="preserve"> 51.91 </v>
      </c>
      <c r="N77" s="179" t="str">
        <f>TEXT(   (SUMPRODUCT( ((LMPMain!$H$9:$H$1000)=$E77)*((LMPMain!$J$9:$J$1000)=$F77)*((LMPMain!$O$9:$O$1000)=$C77)*(LMPMain!T$9:T$1000) ) +  ( SUMPRODUCT( ((Adders!$D$13:$D$101)=$E77)*((Adders!$E$13:$E$101)=$F77)*(Adders!I$13:I$101)) + VLOOKUP($H77,Adders!$B$5:$G$8,N$11,FALSE)  +  NJ!$D$2 ) * IF($D77="NJ",1.07,1))/$L$10, CHOOSE($M$10,$L$9,$M$9) )</f>
        <v xml:space="preserve"> 51.95 </v>
      </c>
      <c r="O77" s="112"/>
    </row>
    <row r="78" spans="2:15" x14ac:dyDescent="0.25">
      <c r="B78" s="108"/>
      <c r="C78" s="131">
        <f t="shared" si="1"/>
        <v>42430</v>
      </c>
      <c r="D78" s="132" t="s">
        <v>31</v>
      </c>
      <c r="E78" s="133" t="s">
        <v>32</v>
      </c>
      <c r="F78" s="132" t="s">
        <v>34</v>
      </c>
      <c r="G78" s="133" t="str">
        <f t="shared" si="2"/>
        <v>Annual Gen Service</v>
      </c>
      <c r="H78" s="134" t="s">
        <v>62</v>
      </c>
      <c r="I78" s="173" t="str">
        <f>TEXT(   (SUMPRODUCT( ((Main!$H$9:$H$1000)=$E78)*((Main!$J$9:$J$1000)=$F78)*((Main!$O$9:$O$1000)=$C78)*(Main!R$9:R$1000) ) +  ( SUMPRODUCT( ((Adders!$D$13:$D$101)=$E78)*((Adders!$E$13:$E$101)=$F78)*(Adders!G$13:G$101)) + VLOOKUP($H78,Adders!$B$5:$G$8,L$11,FALSE)  +  NJ!$D$2 ) * IF($D78="NJ",1.07,1))/$L$10, CHOOSE($M$10,$L$9,$M$9) )</f>
        <v xml:space="preserve"> 94.52 </v>
      </c>
      <c r="J78" s="173" t="str">
        <f>TEXT(   (SUMPRODUCT( ((Main!$H$9:$H$1000)=$E78)*((Main!$J$9:$J$1000)=$F78)*((Main!$O$9:$O$1000)=$C78)*(Main!S$9:S$1000) ) +  ( SUMPRODUCT( ((Adders!$D$13:$D$101)=$E78)*((Adders!$E$13:$E$101)=$F78)*(Adders!H$13:H$101)) + VLOOKUP($H78,Adders!$B$5:$G$8,M$11,FALSE)  +  NJ!$D$2 ) * IF($D78="NJ",1.07,1))/$L$10, CHOOSE($M$10,$L$9,$M$9) )</f>
        <v xml:space="preserve"> 94.07 </v>
      </c>
      <c r="K78" s="174" t="str">
        <f>TEXT(   (SUMPRODUCT( ((Main!$H$9:$H$1000)=$E78)*((Main!$J$9:$J$1000)=$F78)*((Main!$O$9:$O$1000)=$C78)*(Main!T$9:T$1000) ) +  ( SUMPRODUCT( ((Adders!$D$13:$D$101)=$E78)*((Adders!$E$13:$E$101)=$F78)*(Adders!I$13:I$101)) + VLOOKUP($H78,Adders!$B$5:$G$8,N$11,FALSE)  +  NJ!$D$2 ) * IF($D78="NJ",1.07,1))/$L$10, CHOOSE($M$10,$L$9,$M$9) )</f>
        <v xml:space="preserve"> 94.95 </v>
      </c>
      <c r="L78" s="173" t="str">
        <f>TEXT(   (SUMPRODUCT( ((LMPMain!$H$9:$H$1000)=$E78)*((LMPMain!$J$9:$J$1000)=$F78)*((LMPMain!$O$9:$O$1000)=$C78)*(LMPMain!R$9:R$1000) ) +  ( SUMPRODUCT( ((Adders!$D$13:$D$101)=$E78)*((Adders!$E$13:$E$101)=$F78)*(Adders!G$13:G$101)) + VLOOKUP($H78,Adders!$B$5:$G$8,L$11,FALSE)  +  NJ!$D$2 ) * IF($D78="NJ",1.07,1))/$L$10, CHOOSE($M$10,$L$9,$M$9) )</f>
        <v xml:space="preserve"> 50.81 </v>
      </c>
      <c r="M78" s="173" t="str">
        <f>TEXT(   (SUMPRODUCT( ((LMPMain!$H$9:$H$1000)=$E78)*((LMPMain!$J$9:$J$1000)=$F78)*((LMPMain!$O$9:$O$1000)=$C78)*(LMPMain!S$9:S$1000) ) +  ( SUMPRODUCT( ((Adders!$D$13:$D$101)=$E78)*((Adders!$E$13:$E$101)=$F78)*(Adders!H$13:H$101)) + VLOOKUP($H78,Adders!$B$5:$G$8,M$11,FALSE)  +  NJ!$D$2 ) * IF($D78="NJ",1.07,1))/$L$10, CHOOSE($M$10,$L$9,$M$9) )</f>
        <v xml:space="preserve"> 50.20 </v>
      </c>
      <c r="N78" s="174" t="str">
        <f>TEXT(   (SUMPRODUCT( ((LMPMain!$H$9:$H$1000)=$E78)*((LMPMain!$J$9:$J$1000)=$F78)*((LMPMain!$O$9:$O$1000)=$C78)*(LMPMain!T$9:T$1000) ) +  ( SUMPRODUCT( ((Adders!$D$13:$D$101)=$E78)*((Adders!$E$13:$E$101)=$F78)*(Adders!I$13:I$101)) + VLOOKUP($H78,Adders!$B$5:$G$8,N$11,FALSE)  +  NJ!$D$2 ) * IF($D78="NJ",1.07,1))/$L$10, CHOOSE($M$10,$L$9,$M$9) )</f>
        <v xml:space="preserve"> 50.24 </v>
      </c>
      <c r="O78" s="112"/>
    </row>
    <row r="79" spans="2:15" x14ac:dyDescent="0.25">
      <c r="B79" s="108"/>
      <c r="C79" s="135">
        <f t="shared" si="1"/>
        <v>42430</v>
      </c>
      <c r="D79" s="136" t="s">
        <v>31</v>
      </c>
      <c r="E79" s="137" t="s">
        <v>32</v>
      </c>
      <c r="F79" s="136" t="s">
        <v>34</v>
      </c>
      <c r="G79" s="137" t="str">
        <f t="shared" si="2"/>
        <v>Annual Gen Service</v>
      </c>
      <c r="H79" s="138" t="s">
        <v>690</v>
      </c>
      <c r="I79" s="176" t="str">
        <f>TEXT(   (SUMPRODUCT( ((Main!$H$9:$H$1000)=$E79)*((Main!$J$9:$J$1000)=$F79)*((Main!$O$9:$O$1000)=$C79)*(Main!R$9:R$1000) ) +  ( SUMPRODUCT( ((Adders!$D$13:$D$101)=$E79)*((Adders!$E$13:$E$101)=$F79)*(Adders!G$13:G$101)) + VLOOKUP($H79,Adders!$B$5:$G$8,L$11,FALSE)  +  NJ!$D$2 ) * IF($D79="NJ",1.07,1))/$L$10, CHOOSE($M$10,$L$9,$M$9) )</f>
        <v xml:space="preserve"> 93.40 </v>
      </c>
      <c r="J79" s="176" t="str">
        <f>TEXT(   (SUMPRODUCT( ((Main!$H$9:$H$1000)=$E79)*((Main!$J$9:$J$1000)=$F79)*((Main!$O$9:$O$1000)=$C79)*(Main!S$9:S$1000) ) +  ( SUMPRODUCT( ((Adders!$D$13:$D$101)=$E79)*((Adders!$E$13:$E$101)=$F79)*(Adders!H$13:H$101)) + VLOOKUP($H79,Adders!$B$5:$G$8,M$11,FALSE)  +  NJ!$D$2 ) * IF($D79="NJ",1.07,1))/$L$10, CHOOSE($M$10,$L$9,$M$9) )</f>
        <v xml:space="preserve"> 92.95 </v>
      </c>
      <c r="K79" s="177" t="str">
        <f>TEXT(   (SUMPRODUCT( ((Main!$H$9:$H$1000)=$E79)*((Main!$J$9:$J$1000)=$F79)*((Main!$O$9:$O$1000)=$C79)*(Main!T$9:T$1000) ) +  ( SUMPRODUCT( ((Adders!$D$13:$D$101)=$E79)*((Adders!$E$13:$E$101)=$F79)*(Adders!I$13:I$101)) + VLOOKUP($H79,Adders!$B$5:$G$8,N$11,FALSE)  +  NJ!$D$2 ) * IF($D79="NJ",1.07,1))/$L$10, CHOOSE($M$10,$L$9,$M$9) )</f>
        <v xml:space="preserve"> 93.83 </v>
      </c>
      <c r="L79" s="176" t="str">
        <f>TEXT(   (SUMPRODUCT( ((LMPMain!$H$9:$H$1000)=$E79)*((LMPMain!$J$9:$J$1000)=$F79)*((LMPMain!$O$9:$O$1000)=$C79)*(LMPMain!R$9:R$1000) ) +  ( SUMPRODUCT( ((Adders!$D$13:$D$101)=$E79)*((Adders!$E$13:$E$101)=$F79)*(Adders!G$13:G$101)) + VLOOKUP($H79,Adders!$B$5:$G$8,L$11,FALSE)  +  NJ!$D$2 ) * IF($D79="NJ",1.07,1))/$L$10, CHOOSE($M$10,$L$9,$M$9) )</f>
        <v xml:space="preserve"> 49.69 </v>
      </c>
      <c r="M79" s="176" t="str">
        <f>TEXT(   (SUMPRODUCT( ((LMPMain!$H$9:$H$1000)=$E79)*((LMPMain!$J$9:$J$1000)=$F79)*((LMPMain!$O$9:$O$1000)=$C79)*(LMPMain!S$9:S$1000) ) +  ( SUMPRODUCT( ((Adders!$D$13:$D$101)=$E79)*((Adders!$E$13:$E$101)=$F79)*(Adders!H$13:H$101)) + VLOOKUP($H79,Adders!$B$5:$G$8,M$11,FALSE)  +  NJ!$D$2 ) * IF($D79="NJ",1.07,1))/$L$10, CHOOSE($M$10,$L$9,$M$9) )</f>
        <v xml:space="preserve"> 49.07 </v>
      </c>
      <c r="N79" s="177" t="str">
        <f>TEXT(   (SUMPRODUCT( ((LMPMain!$H$9:$H$1000)=$E79)*((LMPMain!$J$9:$J$1000)=$F79)*((LMPMain!$O$9:$O$1000)=$C79)*(LMPMain!T$9:T$1000) ) +  ( SUMPRODUCT( ((Adders!$D$13:$D$101)=$E79)*((Adders!$E$13:$E$101)=$F79)*(Adders!I$13:I$101)) + VLOOKUP($H79,Adders!$B$5:$G$8,N$11,FALSE)  +  NJ!$D$2 ) * IF($D79="NJ",1.07,1))/$L$10, CHOOSE($M$10,$L$9,$M$9) )</f>
        <v xml:space="preserve"> 49.11 </v>
      </c>
      <c r="O79" s="112"/>
    </row>
    <row r="80" spans="2:15" x14ac:dyDescent="0.25">
      <c r="B80" s="108"/>
      <c r="C80" s="127">
        <f t="shared" si="1"/>
        <v>42461</v>
      </c>
      <c r="D80" s="128" t="s">
        <v>31</v>
      </c>
      <c r="E80" s="129" t="s">
        <v>32</v>
      </c>
      <c r="F80" s="128" t="s">
        <v>34</v>
      </c>
      <c r="G80" s="129" t="str">
        <f t="shared" si="2"/>
        <v>Annual Gen Service</v>
      </c>
      <c r="H80" s="130" t="s">
        <v>61</v>
      </c>
      <c r="I80" s="178" t="str">
        <f>TEXT(   (SUMPRODUCT( ((Main!$H$9:$H$1000)=$E80)*((Main!$J$9:$J$1000)=$F80)*((Main!$O$9:$O$1000)=$C80)*(Main!R$9:R$1000) ) +  ( SUMPRODUCT( ((Adders!$D$13:$D$101)=$E80)*((Adders!$E$13:$E$101)=$F80)*(Adders!G$13:G$101)) + VLOOKUP($H80,Adders!$B$5:$G$8,L$11,FALSE)  +  NJ!$D$2 ) * IF($D80="NJ",1.07,1))/$L$10, CHOOSE($M$10,$L$9,$M$9) )</f>
        <v xml:space="preserve"> 95.94 </v>
      </c>
      <c r="J80" s="178" t="str">
        <f>TEXT(   (SUMPRODUCT( ((Main!$H$9:$H$1000)=$E80)*((Main!$J$9:$J$1000)=$F80)*((Main!$O$9:$O$1000)=$C80)*(Main!S$9:S$1000) ) +  ( SUMPRODUCT( ((Adders!$D$13:$D$101)=$E80)*((Adders!$E$13:$E$101)=$F80)*(Adders!H$13:H$101)) + VLOOKUP($H80,Adders!$B$5:$G$8,M$11,FALSE)  +  NJ!$D$2 ) * IF($D80="NJ",1.07,1))/$L$10, CHOOSE($M$10,$L$9,$M$9) )</f>
        <v xml:space="preserve"> 94.84 </v>
      </c>
      <c r="K80" s="179" t="str">
        <f>TEXT(   (SUMPRODUCT( ((Main!$H$9:$H$1000)=$E80)*((Main!$J$9:$J$1000)=$F80)*((Main!$O$9:$O$1000)=$C80)*(Main!T$9:T$1000) ) +  ( SUMPRODUCT( ((Adders!$D$13:$D$101)=$E80)*((Adders!$E$13:$E$101)=$F80)*(Adders!I$13:I$101)) + VLOOKUP($H80,Adders!$B$5:$G$8,N$11,FALSE)  +  NJ!$D$2 ) * IF($D80="NJ",1.07,1))/$L$10, CHOOSE($M$10,$L$9,$M$9) )</f>
        <v xml:space="preserve"> 96.34 </v>
      </c>
      <c r="L80" s="178" t="str">
        <f>TEXT(   (SUMPRODUCT( ((LMPMain!$H$9:$H$1000)=$E80)*((LMPMain!$J$9:$J$1000)=$F80)*((LMPMain!$O$9:$O$1000)=$C80)*(LMPMain!R$9:R$1000) ) +  ( SUMPRODUCT( ((Adders!$D$13:$D$101)=$E80)*((Adders!$E$13:$E$101)=$F80)*(Adders!G$13:G$101)) + VLOOKUP($H80,Adders!$B$5:$G$8,L$11,FALSE)  +  NJ!$D$2 ) * IF($D80="NJ",1.07,1))/$L$10, CHOOSE($M$10,$L$9,$M$9) )</f>
        <v xml:space="preserve"> 52.22 </v>
      </c>
      <c r="M80" s="178" t="str">
        <f>TEXT(   (SUMPRODUCT( ((LMPMain!$H$9:$H$1000)=$E80)*((LMPMain!$J$9:$J$1000)=$F80)*((LMPMain!$O$9:$O$1000)=$C80)*(LMPMain!S$9:S$1000) ) +  ( SUMPRODUCT( ((Adders!$D$13:$D$101)=$E80)*((Adders!$E$13:$E$101)=$F80)*(Adders!H$13:H$101)) + VLOOKUP($H80,Adders!$B$5:$G$8,M$11,FALSE)  +  NJ!$D$2 ) * IF($D80="NJ",1.07,1))/$L$10, CHOOSE($M$10,$L$9,$M$9) )</f>
        <v xml:space="preserve"> 51.48 </v>
      </c>
      <c r="N80" s="179" t="str">
        <f>TEXT(   (SUMPRODUCT( ((LMPMain!$H$9:$H$1000)=$E80)*((LMPMain!$J$9:$J$1000)=$F80)*((LMPMain!$O$9:$O$1000)=$C80)*(LMPMain!T$9:T$1000) ) +  ( SUMPRODUCT( ((Adders!$D$13:$D$101)=$E80)*((Adders!$E$13:$E$101)=$F80)*(Adders!I$13:I$101)) + VLOOKUP($H80,Adders!$B$5:$G$8,N$11,FALSE)  +  NJ!$D$2 ) * IF($D80="NJ",1.07,1))/$L$10, CHOOSE($M$10,$L$9,$M$9) )</f>
        <v xml:space="preserve"> 51.69 </v>
      </c>
      <c r="O80" s="112"/>
    </row>
    <row r="81" spans="2:15" x14ac:dyDescent="0.25">
      <c r="B81" s="108"/>
      <c r="C81" s="131">
        <f t="shared" si="1"/>
        <v>42461</v>
      </c>
      <c r="D81" s="132" t="s">
        <v>31</v>
      </c>
      <c r="E81" s="133" t="s">
        <v>32</v>
      </c>
      <c r="F81" s="132" t="s">
        <v>34</v>
      </c>
      <c r="G81" s="133" t="str">
        <f t="shared" si="2"/>
        <v>Annual Gen Service</v>
      </c>
      <c r="H81" s="134" t="s">
        <v>62</v>
      </c>
      <c r="I81" s="173" t="str">
        <f>TEXT(   (SUMPRODUCT( ((Main!$H$9:$H$1000)=$E81)*((Main!$J$9:$J$1000)=$F81)*((Main!$O$9:$O$1000)=$C81)*(Main!R$9:R$1000) ) +  ( SUMPRODUCT( ((Adders!$D$13:$D$101)=$E81)*((Adders!$E$13:$E$101)=$F81)*(Adders!G$13:G$101)) + VLOOKUP($H81,Adders!$B$5:$G$8,L$11,FALSE)  +  NJ!$D$2 ) * IF($D81="NJ",1.07,1))/$L$10, CHOOSE($M$10,$L$9,$M$9) )</f>
        <v xml:space="preserve"> 94.23 </v>
      </c>
      <c r="J81" s="173" t="str">
        <f>TEXT(   (SUMPRODUCT( ((Main!$H$9:$H$1000)=$E81)*((Main!$J$9:$J$1000)=$F81)*((Main!$O$9:$O$1000)=$C81)*(Main!S$9:S$1000) ) +  ( SUMPRODUCT( ((Adders!$D$13:$D$101)=$E81)*((Adders!$E$13:$E$101)=$F81)*(Adders!H$13:H$101)) + VLOOKUP($H81,Adders!$B$5:$G$8,M$11,FALSE)  +  NJ!$D$2 ) * IF($D81="NJ",1.07,1))/$L$10, CHOOSE($M$10,$L$9,$M$9) )</f>
        <v xml:space="preserve"> 93.13 </v>
      </c>
      <c r="K81" s="174" t="str">
        <f>TEXT(   (SUMPRODUCT( ((Main!$H$9:$H$1000)=$E81)*((Main!$J$9:$J$1000)=$F81)*((Main!$O$9:$O$1000)=$C81)*(Main!T$9:T$1000) ) +  ( SUMPRODUCT( ((Adders!$D$13:$D$101)=$E81)*((Adders!$E$13:$E$101)=$F81)*(Adders!I$13:I$101)) + VLOOKUP($H81,Adders!$B$5:$G$8,N$11,FALSE)  +  NJ!$D$2 ) * IF($D81="NJ",1.07,1))/$L$10, CHOOSE($M$10,$L$9,$M$9) )</f>
        <v xml:space="preserve"> 94.63 </v>
      </c>
      <c r="L81" s="173" t="str">
        <f>TEXT(   (SUMPRODUCT( ((LMPMain!$H$9:$H$1000)=$E81)*((LMPMain!$J$9:$J$1000)=$F81)*((LMPMain!$O$9:$O$1000)=$C81)*(LMPMain!R$9:R$1000) ) +  ( SUMPRODUCT( ((Adders!$D$13:$D$101)=$E81)*((Adders!$E$13:$E$101)=$F81)*(Adders!G$13:G$101)) + VLOOKUP($H81,Adders!$B$5:$G$8,L$11,FALSE)  +  NJ!$D$2 ) * IF($D81="NJ",1.07,1))/$L$10, CHOOSE($M$10,$L$9,$M$9) )</f>
        <v xml:space="preserve"> 50.51 </v>
      </c>
      <c r="M81" s="173" t="str">
        <f>TEXT(   (SUMPRODUCT( ((LMPMain!$H$9:$H$1000)=$E81)*((LMPMain!$J$9:$J$1000)=$F81)*((LMPMain!$O$9:$O$1000)=$C81)*(LMPMain!S$9:S$1000) ) +  ( SUMPRODUCT( ((Adders!$D$13:$D$101)=$E81)*((Adders!$E$13:$E$101)=$F81)*(Adders!H$13:H$101)) + VLOOKUP($H81,Adders!$B$5:$G$8,M$11,FALSE)  +  NJ!$D$2 ) * IF($D81="NJ",1.07,1))/$L$10, CHOOSE($M$10,$L$9,$M$9) )</f>
        <v xml:space="preserve"> 49.76 </v>
      </c>
      <c r="N81" s="174" t="str">
        <f>TEXT(   (SUMPRODUCT( ((LMPMain!$H$9:$H$1000)=$E81)*((LMPMain!$J$9:$J$1000)=$F81)*((LMPMain!$O$9:$O$1000)=$C81)*(LMPMain!T$9:T$1000) ) +  ( SUMPRODUCT( ((Adders!$D$13:$D$101)=$E81)*((Adders!$E$13:$E$101)=$F81)*(Adders!I$13:I$101)) + VLOOKUP($H81,Adders!$B$5:$G$8,N$11,FALSE)  +  NJ!$D$2 ) * IF($D81="NJ",1.07,1))/$L$10, CHOOSE($M$10,$L$9,$M$9) )</f>
        <v xml:space="preserve"> 49.97 </v>
      </c>
      <c r="O81" s="112"/>
    </row>
    <row r="82" spans="2:15" x14ac:dyDescent="0.25">
      <c r="B82" s="108"/>
      <c r="C82" s="135">
        <f t="shared" si="1"/>
        <v>42461</v>
      </c>
      <c r="D82" s="136" t="s">
        <v>31</v>
      </c>
      <c r="E82" s="137" t="s">
        <v>32</v>
      </c>
      <c r="F82" s="136" t="s">
        <v>34</v>
      </c>
      <c r="G82" s="137" t="str">
        <f t="shared" si="2"/>
        <v>Annual Gen Service</v>
      </c>
      <c r="H82" s="138" t="s">
        <v>690</v>
      </c>
      <c r="I82" s="176" t="str">
        <f>TEXT(   (SUMPRODUCT( ((Main!$H$9:$H$1000)=$E82)*((Main!$J$9:$J$1000)=$F82)*((Main!$O$9:$O$1000)=$C82)*(Main!R$9:R$1000) ) +  ( SUMPRODUCT( ((Adders!$D$13:$D$101)=$E82)*((Adders!$E$13:$E$101)=$F82)*(Adders!G$13:G$101)) + VLOOKUP($H82,Adders!$B$5:$G$8,L$11,FALSE)  +  NJ!$D$2 ) * IF($D82="NJ",1.07,1))/$L$10, CHOOSE($M$10,$L$9,$M$9) )</f>
        <v xml:space="preserve"> 93.11 </v>
      </c>
      <c r="J82" s="176" t="str">
        <f>TEXT(   (SUMPRODUCT( ((Main!$H$9:$H$1000)=$E82)*((Main!$J$9:$J$1000)=$F82)*((Main!$O$9:$O$1000)=$C82)*(Main!S$9:S$1000) ) +  ( SUMPRODUCT( ((Adders!$D$13:$D$101)=$E82)*((Adders!$E$13:$E$101)=$F82)*(Adders!H$13:H$101)) + VLOOKUP($H82,Adders!$B$5:$G$8,M$11,FALSE)  +  NJ!$D$2 ) * IF($D82="NJ",1.07,1))/$L$10, CHOOSE($M$10,$L$9,$M$9) )</f>
        <v xml:space="preserve"> 92.01 </v>
      </c>
      <c r="K82" s="177" t="str">
        <f>TEXT(   (SUMPRODUCT( ((Main!$H$9:$H$1000)=$E82)*((Main!$J$9:$J$1000)=$F82)*((Main!$O$9:$O$1000)=$C82)*(Main!T$9:T$1000) ) +  ( SUMPRODUCT( ((Adders!$D$13:$D$101)=$E82)*((Adders!$E$13:$E$101)=$F82)*(Adders!I$13:I$101)) + VLOOKUP($H82,Adders!$B$5:$G$8,N$11,FALSE)  +  NJ!$D$2 ) * IF($D82="NJ",1.07,1))/$L$10, CHOOSE($M$10,$L$9,$M$9) )</f>
        <v xml:space="preserve"> 93.51 </v>
      </c>
      <c r="L82" s="176" t="str">
        <f>TEXT(   (SUMPRODUCT( ((LMPMain!$H$9:$H$1000)=$E82)*((LMPMain!$J$9:$J$1000)=$F82)*((LMPMain!$O$9:$O$1000)=$C82)*(LMPMain!R$9:R$1000) ) +  ( SUMPRODUCT( ((Adders!$D$13:$D$101)=$E82)*((Adders!$E$13:$E$101)=$F82)*(Adders!G$13:G$101)) + VLOOKUP($H82,Adders!$B$5:$G$8,L$11,FALSE)  +  NJ!$D$2 ) * IF($D82="NJ",1.07,1))/$L$10, CHOOSE($M$10,$L$9,$M$9) )</f>
        <v xml:space="preserve"> 49.39 </v>
      </c>
      <c r="M82" s="176" t="str">
        <f>TEXT(   (SUMPRODUCT( ((LMPMain!$H$9:$H$1000)=$E82)*((LMPMain!$J$9:$J$1000)=$F82)*((LMPMain!$O$9:$O$1000)=$C82)*(LMPMain!S$9:S$1000) ) +  ( SUMPRODUCT( ((Adders!$D$13:$D$101)=$E82)*((Adders!$E$13:$E$101)=$F82)*(Adders!H$13:H$101)) + VLOOKUP($H82,Adders!$B$5:$G$8,M$11,FALSE)  +  NJ!$D$2 ) * IF($D82="NJ",1.07,1))/$L$10, CHOOSE($M$10,$L$9,$M$9) )</f>
        <v xml:space="preserve"> 48.64 </v>
      </c>
      <c r="N82" s="177" t="str">
        <f>TEXT(   (SUMPRODUCT( ((LMPMain!$H$9:$H$1000)=$E82)*((LMPMain!$J$9:$J$1000)=$F82)*((LMPMain!$O$9:$O$1000)=$C82)*(LMPMain!T$9:T$1000) ) +  ( SUMPRODUCT( ((Adders!$D$13:$D$101)=$E82)*((Adders!$E$13:$E$101)=$F82)*(Adders!I$13:I$101)) + VLOOKUP($H82,Adders!$B$5:$G$8,N$11,FALSE)  +  NJ!$D$2 ) * IF($D82="NJ",1.07,1))/$L$10, CHOOSE($M$10,$L$9,$M$9) )</f>
        <v xml:space="preserve"> 48.85 </v>
      </c>
      <c r="O82" s="112"/>
    </row>
    <row r="83" spans="2:15" x14ac:dyDescent="0.25">
      <c r="B83" s="108"/>
      <c r="C83" s="127">
        <f t="shared" si="1"/>
        <v>42491</v>
      </c>
      <c r="D83" s="128" t="s">
        <v>31</v>
      </c>
      <c r="E83" s="129" t="s">
        <v>32</v>
      </c>
      <c r="F83" s="128" t="s">
        <v>34</v>
      </c>
      <c r="G83" s="129" t="str">
        <f t="shared" si="2"/>
        <v>Annual Gen Service</v>
      </c>
      <c r="H83" s="130" t="s">
        <v>61</v>
      </c>
      <c r="I83" s="178" t="str">
        <f>TEXT(   (SUMPRODUCT( ((Main!$H$9:$H$1000)=$E83)*((Main!$J$9:$J$1000)=$F83)*((Main!$O$9:$O$1000)=$C83)*(Main!R$9:R$1000) ) +  ( SUMPRODUCT( ((Adders!$D$13:$D$101)=$E83)*((Adders!$E$13:$E$101)=$F83)*(Adders!G$13:G$101)) + VLOOKUP($H83,Adders!$B$5:$G$8,L$11,FALSE)  +  NJ!$D$2 ) * IF($D83="NJ",1.07,1))/$L$10, CHOOSE($M$10,$L$9,$M$9) )</f>
        <v xml:space="preserve"> 95.59 </v>
      </c>
      <c r="J83" s="178" t="str">
        <f>TEXT(   (SUMPRODUCT( ((Main!$H$9:$H$1000)=$E83)*((Main!$J$9:$J$1000)=$F83)*((Main!$O$9:$O$1000)=$C83)*(Main!S$9:S$1000) ) +  ( SUMPRODUCT( ((Adders!$D$13:$D$101)=$E83)*((Adders!$E$13:$E$101)=$F83)*(Adders!H$13:H$101)) + VLOOKUP($H83,Adders!$B$5:$G$8,M$11,FALSE)  +  NJ!$D$2 ) * IF($D83="NJ",1.07,1))/$L$10, CHOOSE($M$10,$L$9,$M$9) )</f>
        <v xml:space="preserve"> 94.50 </v>
      </c>
      <c r="K83" s="179" t="str">
        <f>TEXT(   (SUMPRODUCT( ((Main!$H$9:$H$1000)=$E83)*((Main!$J$9:$J$1000)=$F83)*((Main!$O$9:$O$1000)=$C83)*(Main!T$9:T$1000) ) +  ( SUMPRODUCT( ((Adders!$D$13:$D$101)=$E83)*((Adders!$E$13:$E$101)=$F83)*(Adders!I$13:I$101)) + VLOOKUP($H83,Adders!$B$5:$G$8,N$11,FALSE)  +  NJ!$D$2 ) * IF($D83="NJ",1.07,1))/$L$10, CHOOSE($M$10,$L$9,$M$9) )</f>
        <v xml:space="preserve"> 96.05 </v>
      </c>
      <c r="L83" s="178" t="str">
        <f>TEXT(   (SUMPRODUCT( ((LMPMain!$H$9:$H$1000)=$E83)*((LMPMain!$J$9:$J$1000)=$F83)*((LMPMain!$O$9:$O$1000)=$C83)*(LMPMain!R$9:R$1000) ) +  ( SUMPRODUCT( ((Adders!$D$13:$D$101)=$E83)*((Adders!$E$13:$E$101)=$F83)*(Adders!G$13:G$101)) + VLOOKUP($H83,Adders!$B$5:$G$8,L$11,FALSE)  +  NJ!$D$2 ) * IF($D83="NJ",1.07,1))/$L$10, CHOOSE($M$10,$L$9,$M$9) )</f>
        <v xml:space="preserve"> 51.93 </v>
      </c>
      <c r="M83" s="178" t="str">
        <f>TEXT(   (SUMPRODUCT( ((LMPMain!$H$9:$H$1000)=$E83)*((LMPMain!$J$9:$J$1000)=$F83)*((LMPMain!$O$9:$O$1000)=$C83)*(LMPMain!S$9:S$1000) ) +  ( SUMPRODUCT( ((Adders!$D$13:$D$101)=$E83)*((Adders!$E$13:$E$101)=$F83)*(Adders!H$13:H$101)) + VLOOKUP($H83,Adders!$B$5:$G$8,M$11,FALSE)  +  NJ!$D$2 ) * IF($D83="NJ",1.07,1))/$L$10, CHOOSE($M$10,$L$9,$M$9) )</f>
        <v xml:space="preserve"> 51.26 </v>
      </c>
      <c r="N83" s="179" t="str">
        <f>TEXT(   (SUMPRODUCT( ((LMPMain!$H$9:$H$1000)=$E83)*((LMPMain!$J$9:$J$1000)=$F83)*((LMPMain!$O$9:$O$1000)=$C83)*(LMPMain!T$9:T$1000) ) +  ( SUMPRODUCT( ((Adders!$D$13:$D$101)=$E83)*((Adders!$E$13:$E$101)=$F83)*(Adders!I$13:I$101)) + VLOOKUP($H83,Adders!$B$5:$G$8,N$11,FALSE)  +  NJ!$D$2 ) * IF($D83="NJ",1.07,1))/$L$10, CHOOSE($M$10,$L$9,$M$9) )</f>
        <v xml:space="preserve"> 51.41 </v>
      </c>
      <c r="O83" s="112"/>
    </row>
    <row r="84" spans="2:15" x14ac:dyDescent="0.25">
      <c r="B84" s="108"/>
      <c r="C84" s="131">
        <f t="shared" si="1"/>
        <v>42491</v>
      </c>
      <c r="D84" s="132" t="s">
        <v>31</v>
      </c>
      <c r="E84" s="133" t="s">
        <v>32</v>
      </c>
      <c r="F84" s="132" t="s">
        <v>34</v>
      </c>
      <c r="G84" s="133" t="str">
        <f t="shared" si="2"/>
        <v>Annual Gen Service</v>
      </c>
      <c r="H84" s="134" t="s">
        <v>62</v>
      </c>
      <c r="I84" s="173" t="str">
        <f>TEXT(   (SUMPRODUCT( ((Main!$H$9:$H$1000)=$E84)*((Main!$J$9:$J$1000)=$F84)*((Main!$O$9:$O$1000)=$C84)*(Main!R$9:R$1000) ) +  ( SUMPRODUCT( ((Adders!$D$13:$D$101)=$E84)*((Adders!$E$13:$E$101)=$F84)*(Adders!G$13:G$101)) + VLOOKUP($H84,Adders!$B$5:$G$8,L$11,FALSE)  +  NJ!$D$2 ) * IF($D84="NJ",1.07,1))/$L$10, CHOOSE($M$10,$L$9,$M$9) )</f>
        <v xml:space="preserve"> 93.88 </v>
      </c>
      <c r="J84" s="173" t="str">
        <f>TEXT(   (SUMPRODUCT( ((Main!$H$9:$H$1000)=$E84)*((Main!$J$9:$J$1000)=$F84)*((Main!$O$9:$O$1000)=$C84)*(Main!S$9:S$1000) ) +  ( SUMPRODUCT( ((Adders!$D$13:$D$101)=$E84)*((Adders!$E$13:$E$101)=$F84)*(Adders!H$13:H$101)) + VLOOKUP($H84,Adders!$B$5:$G$8,M$11,FALSE)  +  NJ!$D$2 ) * IF($D84="NJ",1.07,1))/$L$10, CHOOSE($M$10,$L$9,$M$9) )</f>
        <v xml:space="preserve"> 92.79 </v>
      </c>
      <c r="K84" s="174" t="str">
        <f>TEXT(   (SUMPRODUCT( ((Main!$H$9:$H$1000)=$E84)*((Main!$J$9:$J$1000)=$F84)*((Main!$O$9:$O$1000)=$C84)*(Main!T$9:T$1000) ) +  ( SUMPRODUCT( ((Adders!$D$13:$D$101)=$E84)*((Adders!$E$13:$E$101)=$F84)*(Adders!I$13:I$101)) + VLOOKUP($H84,Adders!$B$5:$G$8,N$11,FALSE)  +  NJ!$D$2 ) * IF($D84="NJ",1.07,1))/$L$10, CHOOSE($M$10,$L$9,$M$9) )</f>
        <v xml:space="preserve"> 94.34 </v>
      </c>
      <c r="L84" s="173" t="str">
        <f>TEXT(   (SUMPRODUCT( ((LMPMain!$H$9:$H$1000)=$E84)*((LMPMain!$J$9:$J$1000)=$F84)*((LMPMain!$O$9:$O$1000)=$C84)*(LMPMain!R$9:R$1000) ) +  ( SUMPRODUCT( ((Adders!$D$13:$D$101)=$E84)*((Adders!$E$13:$E$101)=$F84)*(Adders!G$13:G$101)) + VLOOKUP($H84,Adders!$B$5:$G$8,L$11,FALSE)  +  NJ!$D$2 ) * IF($D84="NJ",1.07,1))/$L$10, CHOOSE($M$10,$L$9,$M$9) )</f>
        <v xml:space="preserve"> 50.22 </v>
      </c>
      <c r="M84" s="173" t="str">
        <f>TEXT(   (SUMPRODUCT( ((LMPMain!$H$9:$H$1000)=$E84)*((LMPMain!$J$9:$J$1000)=$F84)*((LMPMain!$O$9:$O$1000)=$C84)*(LMPMain!S$9:S$1000) ) +  ( SUMPRODUCT( ((Adders!$D$13:$D$101)=$E84)*((Adders!$E$13:$E$101)=$F84)*(Adders!H$13:H$101)) + VLOOKUP($H84,Adders!$B$5:$G$8,M$11,FALSE)  +  NJ!$D$2 ) * IF($D84="NJ",1.07,1))/$L$10, CHOOSE($M$10,$L$9,$M$9) )</f>
        <v xml:space="preserve"> 49.54 </v>
      </c>
      <c r="N84" s="174" t="str">
        <f>TEXT(   (SUMPRODUCT( ((LMPMain!$H$9:$H$1000)=$E84)*((LMPMain!$J$9:$J$1000)=$F84)*((LMPMain!$O$9:$O$1000)=$C84)*(LMPMain!T$9:T$1000) ) +  ( SUMPRODUCT( ((Adders!$D$13:$D$101)=$E84)*((Adders!$E$13:$E$101)=$F84)*(Adders!I$13:I$101)) + VLOOKUP($H84,Adders!$B$5:$G$8,N$11,FALSE)  +  NJ!$D$2 ) * IF($D84="NJ",1.07,1))/$L$10, CHOOSE($M$10,$L$9,$M$9) )</f>
        <v xml:space="preserve"> 49.70 </v>
      </c>
      <c r="O84" s="112"/>
    </row>
    <row r="85" spans="2:15" x14ac:dyDescent="0.25">
      <c r="B85" s="108"/>
      <c r="C85" s="135">
        <f t="shared" si="1"/>
        <v>42491</v>
      </c>
      <c r="D85" s="136" t="s">
        <v>31</v>
      </c>
      <c r="E85" s="137" t="s">
        <v>32</v>
      </c>
      <c r="F85" s="136" t="s">
        <v>34</v>
      </c>
      <c r="G85" s="137" t="str">
        <f t="shared" si="2"/>
        <v>Annual Gen Service</v>
      </c>
      <c r="H85" s="138" t="s">
        <v>690</v>
      </c>
      <c r="I85" s="176" t="str">
        <f>TEXT(   (SUMPRODUCT( ((Main!$H$9:$H$1000)=$E85)*((Main!$J$9:$J$1000)=$F85)*((Main!$O$9:$O$1000)=$C85)*(Main!R$9:R$1000) ) +  ( SUMPRODUCT( ((Adders!$D$13:$D$101)=$E85)*((Adders!$E$13:$E$101)=$F85)*(Adders!G$13:G$101)) + VLOOKUP($H85,Adders!$B$5:$G$8,L$11,FALSE)  +  NJ!$D$2 ) * IF($D85="NJ",1.07,1))/$L$10, CHOOSE($M$10,$L$9,$M$9) )</f>
        <v xml:space="preserve"> 92.76 </v>
      </c>
      <c r="J85" s="176" t="str">
        <f>TEXT(   (SUMPRODUCT( ((Main!$H$9:$H$1000)=$E85)*((Main!$J$9:$J$1000)=$F85)*((Main!$O$9:$O$1000)=$C85)*(Main!S$9:S$1000) ) +  ( SUMPRODUCT( ((Adders!$D$13:$D$101)=$E85)*((Adders!$E$13:$E$101)=$F85)*(Adders!H$13:H$101)) + VLOOKUP($H85,Adders!$B$5:$G$8,M$11,FALSE)  +  NJ!$D$2 ) * IF($D85="NJ",1.07,1))/$L$10, CHOOSE($M$10,$L$9,$M$9) )</f>
        <v xml:space="preserve"> 91.67 </v>
      </c>
      <c r="K85" s="177" t="str">
        <f>TEXT(   (SUMPRODUCT( ((Main!$H$9:$H$1000)=$E85)*((Main!$J$9:$J$1000)=$F85)*((Main!$O$9:$O$1000)=$C85)*(Main!T$9:T$1000) ) +  ( SUMPRODUCT( ((Adders!$D$13:$D$101)=$E85)*((Adders!$E$13:$E$101)=$F85)*(Adders!I$13:I$101)) + VLOOKUP($H85,Adders!$B$5:$G$8,N$11,FALSE)  +  NJ!$D$2 ) * IF($D85="NJ",1.07,1))/$L$10, CHOOSE($M$10,$L$9,$M$9) )</f>
        <v xml:space="preserve"> 93.22 </v>
      </c>
      <c r="L85" s="176" t="str">
        <f>TEXT(   (SUMPRODUCT( ((LMPMain!$H$9:$H$1000)=$E85)*((LMPMain!$J$9:$J$1000)=$F85)*((LMPMain!$O$9:$O$1000)=$C85)*(LMPMain!R$9:R$1000) ) +  ( SUMPRODUCT( ((Adders!$D$13:$D$101)=$E85)*((Adders!$E$13:$E$101)=$F85)*(Adders!G$13:G$101)) + VLOOKUP($H85,Adders!$B$5:$G$8,L$11,FALSE)  +  NJ!$D$2 ) * IF($D85="NJ",1.07,1))/$L$10, CHOOSE($M$10,$L$9,$M$9) )</f>
        <v xml:space="preserve"> 49.10 </v>
      </c>
      <c r="M85" s="176" t="str">
        <f>TEXT(   (SUMPRODUCT( ((LMPMain!$H$9:$H$1000)=$E85)*((LMPMain!$J$9:$J$1000)=$F85)*((LMPMain!$O$9:$O$1000)=$C85)*(LMPMain!S$9:S$1000) ) +  ( SUMPRODUCT( ((Adders!$D$13:$D$101)=$E85)*((Adders!$E$13:$E$101)=$F85)*(Adders!H$13:H$101)) + VLOOKUP($H85,Adders!$B$5:$G$8,M$11,FALSE)  +  NJ!$D$2 ) * IF($D85="NJ",1.07,1))/$L$10, CHOOSE($M$10,$L$9,$M$9) )</f>
        <v xml:space="preserve"> 48.42 </v>
      </c>
      <c r="N85" s="177" t="str">
        <f>TEXT(   (SUMPRODUCT( ((LMPMain!$H$9:$H$1000)=$E85)*((LMPMain!$J$9:$J$1000)=$F85)*((LMPMain!$O$9:$O$1000)=$C85)*(LMPMain!T$9:T$1000) ) +  ( SUMPRODUCT( ((Adders!$D$13:$D$101)=$E85)*((Adders!$E$13:$E$101)=$F85)*(Adders!I$13:I$101)) + VLOOKUP($H85,Adders!$B$5:$G$8,N$11,FALSE)  +  NJ!$D$2 ) * IF($D85="NJ",1.07,1))/$L$10, CHOOSE($M$10,$L$9,$M$9) )</f>
        <v xml:space="preserve"> 48.57 </v>
      </c>
      <c r="O85" s="112"/>
    </row>
    <row r="86" spans="2:15" x14ac:dyDescent="0.25">
      <c r="B86" s="108"/>
      <c r="C86" s="127">
        <f t="shared" si="1"/>
        <v>42156</v>
      </c>
      <c r="D86" s="128" t="s">
        <v>31</v>
      </c>
      <c r="E86" s="129" t="s">
        <v>35</v>
      </c>
      <c r="F86" s="128" t="s">
        <v>9</v>
      </c>
      <c r="G86" s="129" t="str">
        <f>VLOOKUP(SUMPRODUCT( ((LMPMain!$H$9:$H$1000)=$E86)*((LMPMain!$J$9:$J$1000)=$F86)*((LMPMain!$O$9:$O$1000)=$C86)*(LMPMain!A$9:A$1000)),LMPMain!$A$9:$K$1000,11,FALSE)</f>
        <v>General Service Large</v>
      </c>
      <c r="H86" s="130" t="s">
        <v>61</v>
      </c>
      <c r="I86" s="178" t="str">
        <f>TEXT(   (SUMPRODUCT( ((Main!$H$9:$H$1000)=$E86)*((Main!$J$9:$J$1000)=$F86)*((Main!$O$9:$O$1000)=$C86)*(Main!R$9:R$1000) ) +  ( SUMPRODUCT( ((Adders!$D$13:$D$101)=$E86)*((Adders!$E$13:$E$101)=$F86)*(Adders!G$13:G$101)) + VLOOKUP($H86,Adders!$B$5:$G$8,L$11,FALSE)  +  NJ!$D$2 ) * IF($D86="NJ",1.07,1))/$L$10, CHOOSE($M$10,$L$9,$M$9) )</f>
        <v xml:space="preserve"> 96.39 </v>
      </c>
      <c r="J86" s="178" t="str">
        <f>TEXT(   (SUMPRODUCT( ((Main!$H$9:$H$1000)=$E86)*((Main!$J$9:$J$1000)=$F86)*((Main!$O$9:$O$1000)=$C86)*(Main!S$9:S$1000) ) +  ( SUMPRODUCT( ((Adders!$D$13:$D$101)=$E86)*((Adders!$E$13:$E$101)=$F86)*(Adders!H$13:H$101)) + VLOOKUP($H86,Adders!$B$5:$G$8,M$11,FALSE)  +  NJ!$D$2 ) * IF($D86="NJ",1.07,1))/$L$10, CHOOSE($M$10,$L$9,$M$9) )</f>
        <v xml:space="preserve"> 93.96 </v>
      </c>
      <c r="K86" s="179" t="str">
        <f>TEXT(   (SUMPRODUCT( ((Main!$H$9:$H$1000)=$E86)*((Main!$J$9:$J$1000)=$F86)*((Main!$O$9:$O$1000)=$C86)*(Main!T$9:T$1000) ) +  ( SUMPRODUCT( ((Adders!$D$13:$D$101)=$E86)*((Adders!$E$13:$E$101)=$F86)*(Adders!I$13:I$101)) + VLOOKUP($H86,Adders!$B$5:$G$8,N$11,FALSE)  +  NJ!$D$2 ) * IF($D86="NJ",1.07,1))/$L$10, CHOOSE($M$10,$L$9,$M$9) )</f>
        <v xml:space="preserve"> 94.79 </v>
      </c>
      <c r="L86" s="178" t="str">
        <f>TEXT(   (SUMPRODUCT( ((LMPMain!$H$9:$H$1000)=$E86)*((LMPMain!$J$9:$J$1000)=$F86)*((LMPMain!$O$9:$O$1000)=$C86)*(LMPMain!R$9:R$1000) ) +  ( SUMPRODUCT( ((Adders!$D$13:$D$101)=$E86)*((Adders!$E$13:$E$101)=$F86)*(Adders!G$13:G$101)) + VLOOKUP($H86,Adders!$B$5:$G$8,L$11,FALSE)  +  NJ!$D$2 ) * IF($D86="NJ",1.07,1))/$L$10, CHOOSE($M$10,$L$9,$M$9) )</f>
        <v xml:space="preserve"> 52.63 </v>
      </c>
      <c r="M86" s="178" t="str">
        <f>TEXT(   (SUMPRODUCT( ((LMPMain!$H$9:$H$1000)=$E86)*((LMPMain!$J$9:$J$1000)=$F86)*((LMPMain!$O$9:$O$1000)=$C86)*(LMPMain!S$9:S$1000) ) +  ( SUMPRODUCT( ((Adders!$D$13:$D$101)=$E86)*((Adders!$E$13:$E$101)=$F86)*(Adders!H$13:H$101)) + VLOOKUP($H86,Adders!$B$5:$G$8,M$11,FALSE)  +  NJ!$D$2 ) * IF($D86="NJ",1.07,1))/$L$10, CHOOSE($M$10,$L$9,$M$9) )</f>
        <v xml:space="preserve"> 50.71 </v>
      </c>
      <c r="N86" s="179" t="str">
        <f>TEXT(   (SUMPRODUCT( ((LMPMain!$H$9:$H$1000)=$E86)*((LMPMain!$J$9:$J$1000)=$F86)*((LMPMain!$O$9:$O$1000)=$C86)*(LMPMain!T$9:T$1000) ) +  ( SUMPRODUCT( ((Adders!$D$13:$D$101)=$E86)*((Adders!$E$13:$E$101)=$F86)*(Adders!I$13:I$101)) + VLOOKUP($H86,Adders!$B$5:$G$8,N$11,FALSE)  +  NJ!$D$2 ) * IF($D86="NJ",1.07,1))/$L$10, CHOOSE($M$10,$L$9,$M$9) )</f>
        <v xml:space="preserve"> 50.77 </v>
      </c>
      <c r="O86" s="112"/>
    </row>
    <row r="87" spans="2:15" x14ac:dyDescent="0.25">
      <c r="B87" s="108"/>
      <c r="C87" s="131">
        <f t="shared" si="1"/>
        <v>42156</v>
      </c>
      <c r="D87" s="132" t="s">
        <v>31</v>
      </c>
      <c r="E87" s="133" t="s">
        <v>35</v>
      </c>
      <c r="F87" s="132" t="s">
        <v>9</v>
      </c>
      <c r="G87" s="133" t="str">
        <f>G86</f>
        <v>General Service Large</v>
      </c>
      <c r="H87" s="134" t="s">
        <v>62</v>
      </c>
      <c r="I87" s="173" t="str">
        <f>TEXT(   (SUMPRODUCT( ((Main!$H$9:$H$1000)=$E87)*((Main!$J$9:$J$1000)=$F87)*((Main!$O$9:$O$1000)=$C87)*(Main!R$9:R$1000) ) +  ( SUMPRODUCT( ((Adders!$D$13:$D$101)=$E87)*((Adders!$E$13:$E$101)=$F87)*(Adders!G$13:G$101)) + VLOOKUP($H87,Adders!$B$5:$G$8,L$11,FALSE)  +  NJ!$D$2 ) * IF($D87="NJ",1.07,1))/$L$10, CHOOSE($M$10,$L$9,$M$9) )</f>
        <v xml:space="preserve"> 94.68 </v>
      </c>
      <c r="J87" s="173" t="str">
        <f>TEXT(   (SUMPRODUCT( ((Main!$H$9:$H$1000)=$E87)*((Main!$J$9:$J$1000)=$F87)*((Main!$O$9:$O$1000)=$C87)*(Main!S$9:S$1000) ) +  ( SUMPRODUCT( ((Adders!$D$13:$D$101)=$E87)*((Adders!$E$13:$E$101)=$F87)*(Adders!H$13:H$101)) + VLOOKUP($H87,Adders!$B$5:$G$8,M$11,FALSE)  +  NJ!$D$2 ) * IF($D87="NJ",1.07,1))/$L$10, CHOOSE($M$10,$L$9,$M$9) )</f>
        <v xml:space="preserve"> 92.25 </v>
      </c>
      <c r="K87" s="174" t="str">
        <f>TEXT(   (SUMPRODUCT( ((Main!$H$9:$H$1000)=$E87)*((Main!$J$9:$J$1000)=$F87)*((Main!$O$9:$O$1000)=$C87)*(Main!T$9:T$1000) ) +  ( SUMPRODUCT( ((Adders!$D$13:$D$101)=$E87)*((Adders!$E$13:$E$101)=$F87)*(Adders!I$13:I$101)) + VLOOKUP($H87,Adders!$B$5:$G$8,N$11,FALSE)  +  NJ!$D$2 ) * IF($D87="NJ",1.07,1))/$L$10, CHOOSE($M$10,$L$9,$M$9) )</f>
        <v xml:space="preserve"> 93.08 </v>
      </c>
      <c r="L87" s="173" t="str">
        <f>TEXT(   (SUMPRODUCT( ((LMPMain!$H$9:$H$1000)=$E87)*((LMPMain!$J$9:$J$1000)=$F87)*((LMPMain!$O$9:$O$1000)=$C87)*(LMPMain!R$9:R$1000) ) +  ( SUMPRODUCT( ((Adders!$D$13:$D$101)=$E87)*((Adders!$E$13:$E$101)=$F87)*(Adders!G$13:G$101)) + VLOOKUP($H87,Adders!$B$5:$G$8,L$11,FALSE)  +  NJ!$D$2 ) * IF($D87="NJ",1.07,1))/$L$10, CHOOSE($M$10,$L$9,$M$9) )</f>
        <v xml:space="preserve"> 50.92 </v>
      </c>
      <c r="M87" s="173" t="str">
        <f>TEXT(   (SUMPRODUCT( ((LMPMain!$H$9:$H$1000)=$E87)*((LMPMain!$J$9:$J$1000)=$F87)*((LMPMain!$O$9:$O$1000)=$C87)*(LMPMain!S$9:S$1000) ) +  ( SUMPRODUCT( ((Adders!$D$13:$D$101)=$E87)*((Adders!$E$13:$E$101)=$F87)*(Adders!H$13:H$101)) + VLOOKUP($H87,Adders!$B$5:$G$8,M$11,FALSE)  +  NJ!$D$2 ) * IF($D87="NJ",1.07,1))/$L$10, CHOOSE($M$10,$L$9,$M$9) )</f>
        <v xml:space="preserve"> 49.00 </v>
      </c>
      <c r="N87" s="174" t="str">
        <f>TEXT(   (SUMPRODUCT( ((LMPMain!$H$9:$H$1000)=$E87)*((LMPMain!$J$9:$J$1000)=$F87)*((LMPMain!$O$9:$O$1000)=$C87)*(LMPMain!T$9:T$1000) ) +  ( SUMPRODUCT( ((Adders!$D$13:$D$101)=$E87)*((Adders!$E$13:$E$101)=$F87)*(Adders!I$13:I$101)) + VLOOKUP($H87,Adders!$B$5:$G$8,N$11,FALSE)  +  NJ!$D$2 ) * IF($D87="NJ",1.07,1))/$L$10, CHOOSE($M$10,$L$9,$M$9) )</f>
        <v xml:space="preserve"> 49.06 </v>
      </c>
      <c r="O87" s="112"/>
    </row>
    <row r="88" spans="2:15" x14ac:dyDescent="0.25">
      <c r="B88" s="108"/>
      <c r="C88" s="135">
        <f t="shared" si="1"/>
        <v>42156</v>
      </c>
      <c r="D88" s="136" t="s">
        <v>31</v>
      </c>
      <c r="E88" s="137" t="s">
        <v>35</v>
      </c>
      <c r="F88" s="136" t="s">
        <v>9</v>
      </c>
      <c r="G88" s="137" t="str">
        <f>G87</f>
        <v>General Service Large</v>
      </c>
      <c r="H88" s="138" t="s">
        <v>690</v>
      </c>
      <c r="I88" s="176" t="str">
        <f>TEXT(   (SUMPRODUCT( ((Main!$H$9:$H$1000)=$E88)*((Main!$J$9:$J$1000)=$F88)*((Main!$O$9:$O$1000)=$C88)*(Main!R$9:R$1000) ) +  ( SUMPRODUCT( ((Adders!$D$13:$D$101)=$E88)*((Adders!$E$13:$E$101)=$F88)*(Adders!G$13:G$101)) + VLOOKUP($H88,Adders!$B$5:$G$8,L$11,FALSE)  +  NJ!$D$2 ) * IF($D88="NJ",1.07,1))/$L$10, CHOOSE($M$10,$L$9,$M$9) )</f>
        <v xml:space="preserve"> 93.56 </v>
      </c>
      <c r="J88" s="176" t="str">
        <f>TEXT(   (SUMPRODUCT( ((Main!$H$9:$H$1000)=$E88)*((Main!$J$9:$J$1000)=$F88)*((Main!$O$9:$O$1000)=$C88)*(Main!S$9:S$1000) ) +  ( SUMPRODUCT( ((Adders!$D$13:$D$101)=$E88)*((Adders!$E$13:$E$101)=$F88)*(Adders!H$13:H$101)) + VLOOKUP($H88,Adders!$B$5:$G$8,M$11,FALSE)  +  NJ!$D$2 ) * IF($D88="NJ",1.07,1))/$L$10, CHOOSE($M$10,$L$9,$M$9) )</f>
        <v xml:space="preserve"> 91.13 </v>
      </c>
      <c r="K88" s="177" t="str">
        <f>TEXT(   (SUMPRODUCT( ((Main!$H$9:$H$1000)=$E88)*((Main!$J$9:$J$1000)=$F88)*((Main!$O$9:$O$1000)=$C88)*(Main!T$9:T$1000) ) +  ( SUMPRODUCT( ((Adders!$D$13:$D$101)=$E88)*((Adders!$E$13:$E$101)=$F88)*(Adders!I$13:I$101)) + VLOOKUP($H88,Adders!$B$5:$G$8,N$11,FALSE)  +  NJ!$D$2 ) * IF($D88="NJ",1.07,1))/$L$10, CHOOSE($M$10,$L$9,$M$9) )</f>
        <v xml:space="preserve"> 91.96 </v>
      </c>
      <c r="L88" s="176" t="str">
        <f>TEXT(   (SUMPRODUCT( ((LMPMain!$H$9:$H$1000)=$E88)*((LMPMain!$J$9:$J$1000)=$F88)*((LMPMain!$O$9:$O$1000)=$C88)*(LMPMain!R$9:R$1000) ) +  ( SUMPRODUCT( ((Adders!$D$13:$D$101)=$E88)*((Adders!$E$13:$E$101)=$F88)*(Adders!G$13:G$101)) + VLOOKUP($H88,Adders!$B$5:$G$8,L$11,FALSE)  +  NJ!$D$2 ) * IF($D88="NJ",1.07,1))/$L$10, CHOOSE($M$10,$L$9,$M$9) )</f>
        <v xml:space="preserve"> 49.80 </v>
      </c>
      <c r="M88" s="176" t="str">
        <f>TEXT(   (SUMPRODUCT( ((LMPMain!$H$9:$H$1000)=$E88)*((LMPMain!$J$9:$J$1000)=$F88)*((LMPMain!$O$9:$O$1000)=$C88)*(LMPMain!S$9:S$1000) ) +  ( SUMPRODUCT( ((Adders!$D$13:$D$101)=$E88)*((Adders!$E$13:$E$101)=$F88)*(Adders!H$13:H$101)) + VLOOKUP($H88,Adders!$B$5:$G$8,M$11,FALSE)  +  NJ!$D$2 ) * IF($D88="NJ",1.07,1))/$L$10, CHOOSE($M$10,$L$9,$M$9) )</f>
        <v xml:space="preserve"> 47.88 </v>
      </c>
      <c r="N88" s="177" t="str">
        <f>TEXT(   (SUMPRODUCT( ((LMPMain!$H$9:$H$1000)=$E88)*((LMPMain!$J$9:$J$1000)=$F88)*((LMPMain!$O$9:$O$1000)=$C88)*(LMPMain!T$9:T$1000) ) +  ( SUMPRODUCT( ((Adders!$D$13:$D$101)=$E88)*((Adders!$E$13:$E$101)=$F88)*(Adders!I$13:I$101)) + VLOOKUP($H88,Adders!$B$5:$G$8,N$11,FALSE)  +  NJ!$D$2 ) * IF($D88="NJ",1.07,1))/$L$10, CHOOSE($M$10,$L$9,$M$9) )</f>
        <v xml:space="preserve"> 47.94 </v>
      </c>
      <c r="O88" s="112"/>
    </row>
    <row r="89" spans="2:15" x14ac:dyDescent="0.25">
      <c r="B89" s="108"/>
      <c r="C89" s="127">
        <f t="shared" si="1"/>
        <v>42186</v>
      </c>
      <c r="D89" s="128" t="s">
        <v>31</v>
      </c>
      <c r="E89" s="129" t="s">
        <v>35</v>
      </c>
      <c r="F89" s="128" t="s">
        <v>9</v>
      </c>
      <c r="G89" s="129" t="str">
        <f t="shared" si="2"/>
        <v>General Service Large</v>
      </c>
      <c r="H89" s="130" t="s">
        <v>61</v>
      </c>
      <c r="I89" s="178" t="str">
        <f>TEXT(   (SUMPRODUCT( ((Main!$H$9:$H$1000)=$E89)*((Main!$J$9:$J$1000)=$F89)*((Main!$O$9:$O$1000)=$C89)*(Main!R$9:R$1000) ) +  ( SUMPRODUCT( ((Adders!$D$13:$D$101)=$E89)*((Adders!$E$13:$E$101)=$F89)*(Adders!G$13:G$101)) + VLOOKUP($H89,Adders!$B$5:$G$8,L$11,FALSE)  +  NJ!$D$2 ) * IF($D89="NJ",1.07,1))/$L$10, CHOOSE($M$10,$L$9,$M$9) )</f>
        <v xml:space="preserve"> 96.24 </v>
      </c>
      <c r="J89" s="178" t="str">
        <f>TEXT(   (SUMPRODUCT( ((Main!$H$9:$H$1000)=$E89)*((Main!$J$9:$J$1000)=$F89)*((Main!$O$9:$O$1000)=$C89)*(Main!S$9:S$1000) ) +  ( SUMPRODUCT( ((Adders!$D$13:$D$101)=$E89)*((Adders!$E$13:$E$101)=$F89)*(Adders!H$13:H$101)) + VLOOKUP($H89,Adders!$B$5:$G$8,M$11,FALSE)  +  NJ!$D$2 ) * IF($D89="NJ",1.07,1))/$L$10, CHOOSE($M$10,$L$9,$M$9) )</f>
        <v xml:space="preserve"> 93.95 </v>
      </c>
      <c r="K89" s="179" t="str">
        <f>TEXT(   (SUMPRODUCT( ((Main!$H$9:$H$1000)=$E89)*((Main!$J$9:$J$1000)=$F89)*((Main!$O$9:$O$1000)=$C89)*(Main!T$9:T$1000) ) +  ( SUMPRODUCT( ((Adders!$D$13:$D$101)=$E89)*((Adders!$E$13:$E$101)=$F89)*(Adders!I$13:I$101)) + VLOOKUP($H89,Adders!$B$5:$G$8,N$11,FALSE)  +  NJ!$D$2 ) * IF($D89="NJ",1.07,1))/$L$10, CHOOSE($M$10,$L$9,$M$9) )</f>
        <v xml:space="preserve"> 94.77 </v>
      </c>
      <c r="L89" s="178" t="str">
        <f>TEXT(   (SUMPRODUCT( ((LMPMain!$H$9:$H$1000)=$E89)*((LMPMain!$J$9:$J$1000)=$F89)*((LMPMain!$O$9:$O$1000)=$C89)*(LMPMain!R$9:R$1000) ) +  ( SUMPRODUCT( ((Adders!$D$13:$D$101)=$E89)*((Adders!$E$13:$E$101)=$F89)*(Adders!G$13:G$101)) + VLOOKUP($H89,Adders!$B$5:$G$8,L$11,FALSE)  +  NJ!$D$2 ) * IF($D89="NJ",1.07,1))/$L$10, CHOOSE($M$10,$L$9,$M$9) )</f>
        <v xml:space="preserve"> 52.42 </v>
      </c>
      <c r="M89" s="178" t="str">
        <f>TEXT(   (SUMPRODUCT( ((LMPMain!$H$9:$H$1000)=$E89)*((LMPMain!$J$9:$J$1000)=$F89)*((LMPMain!$O$9:$O$1000)=$C89)*(LMPMain!S$9:S$1000) ) +  ( SUMPRODUCT( ((Adders!$D$13:$D$101)=$E89)*((Adders!$E$13:$E$101)=$F89)*(Adders!H$13:H$101)) + VLOOKUP($H89,Adders!$B$5:$G$8,M$11,FALSE)  +  NJ!$D$2 ) * IF($D89="NJ",1.07,1))/$L$10, CHOOSE($M$10,$L$9,$M$9) )</f>
        <v xml:space="preserve"> 50.71 </v>
      </c>
      <c r="N89" s="179" t="str">
        <f>TEXT(   (SUMPRODUCT( ((LMPMain!$H$9:$H$1000)=$E89)*((LMPMain!$J$9:$J$1000)=$F89)*((LMPMain!$O$9:$O$1000)=$C89)*(LMPMain!T$9:T$1000) ) +  ( SUMPRODUCT( ((Adders!$D$13:$D$101)=$E89)*((Adders!$E$13:$E$101)=$F89)*(Adders!I$13:I$101)) + VLOOKUP($H89,Adders!$B$5:$G$8,N$11,FALSE)  +  NJ!$D$2 ) * IF($D89="NJ",1.07,1))/$L$10, CHOOSE($M$10,$L$9,$M$9) )</f>
        <v xml:space="preserve"> 50.66 </v>
      </c>
      <c r="O89" s="112"/>
    </row>
    <row r="90" spans="2:15" x14ac:dyDescent="0.25">
      <c r="B90" s="108"/>
      <c r="C90" s="131">
        <f t="shared" si="1"/>
        <v>42186</v>
      </c>
      <c r="D90" s="132" t="s">
        <v>31</v>
      </c>
      <c r="E90" s="133" t="s">
        <v>35</v>
      </c>
      <c r="F90" s="132" t="s">
        <v>9</v>
      </c>
      <c r="G90" s="133" t="str">
        <f t="shared" si="2"/>
        <v>General Service Large</v>
      </c>
      <c r="H90" s="134" t="s">
        <v>62</v>
      </c>
      <c r="I90" s="173" t="str">
        <f>TEXT(   (SUMPRODUCT( ((Main!$H$9:$H$1000)=$E90)*((Main!$J$9:$J$1000)=$F90)*((Main!$O$9:$O$1000)=$C90)*(Main!R$9:R$1000) ) +  ( SUMPRODUCT( ((Adders!$D$13:$D$101)=$E90)*((Adders!$E$13:$E$101)=$F90)*(Adders!G$13:G$101)) + VLOOKUP($H90,Adders!$B$5:$G$8,L$11,FALSE)  +  NJ!$D$2 ) * IF($D90="NJ",1.07,1))/$L$10, CHOOSE($M$10,$L$9,$M$9) )</f>
        <v xml:space="preserve"> 94.53 </v>
      </c>
      <c r="J90" s="173" t="str">
        <f>TEXT(   (SUMPRODUCT( ((Main!$H$9:$H$1000)=$E90)*((Main!$J$9:$J$1000)=$F90)*((Main!$O$9:$O$1000)=$C90)*(Main!S$9:S$1000) ) +  ( SUMPRODUCT( ((Adders!$D$13:$D$101)=$E90)*((Adders!$E$13:$E$101)=$F90)*(Adders!H$13:H$101)) + VLOOKUP($H90,Adders!$B$5:$G$8,M$11,FALSE)  +  NJ!$D$2 ) * IF($D90="NJ",1.07,1))/$L$10, CHOOSE($M$10,$L$9,$M$9) )</f>
        <v xml:space="preserve"> 92.24 </v>
      </c>
      <c r="K90" s="174" t="str">
        <f>TEXT(   (SUMPRODUCT( ((Main!$H$9:$H$1000)=$E90)*((Main!$J$9:$J$1000)=$F90)*((Main!$O$9:$O$1000)=$C90)*(Main!T$9:T$1000) ) +  ( SUMPRODUCT( ((Adders!$D$13:$D$101)=$E90)*((Adders!$E$13:$E$101)=$F90)*(Adders!I$13:I$101)) + VLOOKUP($H90,Adders!$B$5:$G$8,N$11,FALSE)  +  NJ!$D$2 ) * IF($D90="NJ",1.07,1))/$L$10, CHOOSE($M$10,$L$9,$M$9) )</f>
        <v xml:space="preserve"> 93.06 </v>
      </c>
      <c r="L90" s="173" t="str">
        <f>TEXT(   (SUMPRODUCT( ((LMPMain!$H$9:$H$1000)=$E90)*((LMPMain!$J$9:$J$1000)=$F90)*((LMPMain!$O$9:$O$1000)=$C90)*(LMPMain!R$9:R$1000) ) +  ( SUMPRODUCT( ((Adders!$D$13:$D$101)=$E90)*((Adders!$E$13:$E$101)=$F90)*(Adders!G$13:G$101)) + VLOOKUP($H90,Adders!$B$5:$G$8,L$11,FALSE)  +  NJ!$D$2 ) * IF($D90="NJ",1.07,1))/$L$10, CHOOSE($M$10,$L$9,$M$9) )</f>
        <v xml:space="preserve"> 50.71 </v>
      </c>
      <c r="M90" s="173" t="str">
        <f>TEXT(   (SUMPRODUCT( ((LMPMain!$H$9:$H$1000)=$E90)*((LMPMain!$J$9:$J$1000)=$F90)*((LMPMain!$O$9:$O$1000)=$C90)*(LMPMain!S$9:S$1000) ) +  ( SUMPRODUCT( ((Adders!$D$13:$D$101)=$E90)*((Adders!$E$13:$E$101)=$F90)*(Adders!H$13:H$101)) + VLOOKUP($H90,Adders!$B$5:$G$8,M$11,FALSE)  +  NJ!$D$2 ) * IF($D90="NJ",1.07,1))/$L$10, CHOOSE($M$10,$L$9,$M$9) )</f>
        <v xml:space="preserve"> 49.00 </v>
      </c>
      <c r="N90" s="174" t="str">
        <f>TEXT(   (SUMPRODUCT( ((LMPMain!$H$9:$H$1000)=$E90)*((LMPMain!$J$9:$J$1000)=$F90)*((LMPMain!$O$9:$O$1000)=$C90)*(LMPMain!T$9:T$1000) ) +  ( SUMPRODUCT( ((Adders!$D$13:$D$101)=$E90)*((Adders!$E$13:$E$101)=$F90)*(Adders!I$13:I$101)) + VLOOKUP($H90,Adders!$B$5:$G$8,N$11,FALSE)  +  NJ!$D$2 ) * IF($D90="NJ",1.07,1))/$L$10, CHOOSE($M$10,$L$9,$M$9) )</f>
        <v xml:space="preserve"> 48.94 </v>
      </c>
      <c r="O90" s="112"/>
    </row>
    <row r="91" spans="2:15" x14ac:dyDescent="0.25">
      <c r="B91" s="108"/>
      <c r="C91" s="135">
        <f t="shared" si="1"/>
        <v>42186</v>
      </c>
      <c r="D91" s="136" t="s">
        <v>31</v>
      </c>
      <c r="E91" s="137" t="s">
        <v>35</v>
      </c>
      <c r="F91" s="136" t="s">
        <v>9</v>
      </c>
      <c r="G91" s="137" t="str">
        <f t="shared" si="2"/>
        <v>General Service Large</v>
      </c>
      <c r="H91" s="138" t="s">
        <v>690</v>
      </c>
      <c r="I91" s="176" t="str">
        <f>TEXT(   (SUMPRODUCT( ((Main!$H$9:$H$1000)=$E91)*((Main!$J$9:$J$1000)=$F91)*((Main!$O$9:$O$1000)=$C91)*(Main!R$9:R$1000) ) +  ( SUMPRODUCT( ((Adders!$D$13:$D$101)=$E91)*((Adders!$E$13:$E$101)=$F91)*(Adders!G$13:G$101)) + VLOOKUP($H91,Adders!$B$5:$G$8,L$11,FALSE)  +  NJ!$D$2 ) * IF($D91="NJ",1.07,1))/$L$10, CHOOSE($M$10,$L$9,$M$9) )</f>
        <v xml:space="preserve"> 93.41 </v>
      </c>
      <c r="J91" s="176" t="str">
        <f>TEXT(   (SUMPRODUCT( ((Main!$H$9:$H$1000)=$E91)*((Main!$J$9:$J$1000)=$F91)*((Main!$O$9:$O$1000)=$C91)*(Main!S$9:S$1000) ) +  ( SUMPRODUCT( ((Adders!$D$13:$D$101)=$E91)*((Adders!$E$13:$E$101)=$F91)*(Adders!H$13:H$101)) + VLOOKUP($H91,Adders!$B$5:$G$8,M$11,FALSE)  +  NJ!$D$2 ) * IF($D91="NJ",1.07,1))/$L$10, CHOOSE($M$10,$L$9,$M$9) )</f>
        <v xml:space="preserve"> 91.12 </v>
      </c>
      <c r="K91" s="177" t="str">
        <f>TEXT(   (SUMPRODUCT( ((Main!$H$9:$H$1000)=$E91)*((Main!$J$9:$J$1000)=$F91)*((Main!$O$9:$O$1000)=$C91)*(Main!T$9:T$1000) ) +  ( SUMPRODUCT( ((Adders!$D$13:$D$101)=$E91)*((Adders!$E$13:$E$101)=$F91)*(Adders!I$13:I$101)) + VLOOKUP($H91,Adders!$B$5:$G$8,N$11,FALSE)  +  NJ!$D$2 ) * IF($D91="NJ",1.07,1))/$L$10, CHOOSE($M$10,$L$9,$M$9) )</f>
        <v xml:space="preserve"> 91.94 </v>
      </c>
      <c r="L91" s="176" t="str">
        <f>TEXT(   (SUMPRODUCT( ((LMPMain!$H$9:$H$1000)=$E91)*((LMPMain!$J$9:$J$1000)=$F91)*((LMPMain!$O$9:$O$1000)=$C91)*(LMPMain!R$9:R$1000) ) +  ( SUMPRODUCT( ((Adders!$D$13:$D$101)=$E91)*((Adders!$E$13:$E$101)=$F91)*(Adders!G$13:G$101)) + VLOOKUP($H91,Adders!$B$5:$G$8,L$11,FALSE)  +  NJ!$D$2 ) * IF($D91="NJ",1.07,1))/$L$10, CHOOSE($M$10,$L$9,$M$9) )</f>
        <v xml:space="preserve"> 49.58 </v>
      </c>
      <c r="M91" s="176" t="str">
        <f>TEXT(   (SUMPRODUCT( ((LMPMain!$H$9:$H$1000)=$E91)*((LMPMain!$J$9:$J$1000)=$F91)*((LMPMain!$O$9:$O$1000)=$C91)*(LMPMain!S$9:S$1000) ) +  ( SUMPRODUCT( ((Adders!$D$13:$D$101)=$E91)*((Adders!$E$13:$E$101)=$F91)*(Adders!H$13:H$101)) + VLOOKUP($H91,Adders!$B$5:$G$8,M$11,FALSE)  +  NJ!$D$2 ) * IF($D91="NJ",1.07,1))/$L$10, CHOOSE($M$10,$L$9,$M$9) )</f>
        <v xml:space="preserve"> 47.87 </v>
      </c>
      <c r="N91" s="177" t="str">
        <f>TEXT(   (SUMPRODUCT( ((LMPMain!$H$9:$H$1000)=$E91)*((LMPMain!$J$9:$J$1000)=$F91)*((LMPMain!$O$9:$O$1000)=$C91)*(LMPMain!T$9:T$1000) ) +  ( SUMPRODUCT( ((Adders!$D$13:$D$101)=$E91)*((Adders!$E$13:$E$101)=$F91)*(Adders!I$13:I$101)) + VLOOKUP($H91,Adders!$B$5:$G$8,N$11,FALSE)  +  NJ!$D$2 ) * IF($D91="NJ",1.07,1))/$L$10, CHOOSE($M$10,$L$9,$M$9) )</f>
        <v xml:space="preserve"> 47.82 </v>
      </c>
      <c r="O91" s="112"/>
    </row>
    <row r="92" spans="2:15" x14ac:dyDescent="0.25">
      <c r="B92" s="108"/>
      <c r="C92" s="127">
        <f t="shared" si="1"/>
        <v>42217</v>
      </c>
      <c r="D92" s="128" t="s">
        <v>31</v>
      </c>
      <c r="E92" s="129" t="s">
        <v>35</v>
      </c>
      <c r="F92" s="128" t="s">
        <v>9</v>
      </c>
      <c r="G92" s="129" t="str">
        <f t="shared" si="2"/>
        <v>General Service Large</v>
      </c>
      <c r="H92" s="130" t="s">
        <v>61</v>
      </c>
      <c r="I92" s="178" t="str">
        <f>TEXT(   (SUMPRODUCT( ((Main!$H$9:$H$1000)=$E92)*((Main!$J$9:$J$1000)=$F92)*((Main!$O$9:$O$1000)=$C92)*(Main!R$9:R$1000) ) +  ( SUMPRODUCT( ((Adders!$D$13:$D$101)=$E92)*((Adders!$E$13:$E$101)=$F92)*(Adders!G$13:G$101)) + VLOOKUP($H92,Adders!$B$5:$G$8,L$11,FALSE)  +  NJ!$D$2 ) * IF($D92="NJ",1.07,1))/$L$10, CHOOSE($M$10,$L$9,$M$9) )</f>
        <v xml:space="preserve"> 95.74 </v>
      </c>
      <c r="J92" s="178" t="str">
        <f>TEXT(   (SUMPRODUCT( ((Main!$H$9:$H$1000)=$E92)*((Main!$J$9:$J$1000)=$F92)*((Main!$O$9:$O$1000)=$C92)*(Main!S$9:S$1000) ) +  ( SUMPRODUCT( ((Adders!$D$13:$D$101)=$E92)*((Adders!$E$13:$E$101)=$F92)*(Adders!H$13:H$101)) + VLOOKUP($H92,Adders!$B$5:$G$8,M$11,FALSE)  +  NJ!$D$2 ) * IF($D92="NJ",1.07,1))/$L$10, CHOOSE($M$10,$L$9,$M$9) )</f>
        <v xml:space="preserve"> 94.66 </v>
      </c>
      <c r="K92" s="179" t="str">
        <f>TEXT(   (SUMPRODUCT( ((Main!$H$9:$H$1000)=$E92)*((Main!$J$9:$J$1000)=$F92)*((Main!$O$9:$O$1000)=$C92)*(Main!T$9:T$1000) ) +  ( SUMPRODUCT( ((Adders!$D$13:$D$101)=$E92)*((Adders!$E$13:$E$101)=$F92)*(Adders!I$13:I$101)) + VLOOKUP($H92,Adders!$B$5:$G$8,N$11,FALSE)  +  NJ!$D$2 ) * IF($D92="NJ",1.07,1))/$L$10, CHOOSE($M$10,$L$9,$M$9) )</f>
        <v xml:space="preserve"> 94.75 </v>
      </c>
      <c r="L92" s="178" t="str">
        <f>TEXT(   (SUMPRODUCT( ((LMPMain!$H$9:$H$1000)=$E92)*((LMPMain!$J$9:$J$1000)=$F92)*((LMPMain!$O$9:$O$1000)=$C92)*(LMPMain!R$9:R$1000) ) +  ( SUMPRODUCT( ((Adders!$D$13:$D$101)=$E92)*((Adders!$E$13:$E$101)=$F92)*(Adders!G$13:G$101)) + VLOOKUP($H92,Adders!$B$5:$G$8,L$11,FALSE)  +  NJ!$D$2 ) * IF($D92="NJ",1.07,1))/$L$10, CHOOSE($M$10,$L$9,$M$9) )</f>
        <v xml:space="preserve"> 51.96 </v>
      </c>
      <c r="M92" s="178" t="str">
        <f>TEXT(   (SUMPRODUCT( ((LMPMain!$H$9:$H$1000)=$E92)*((LMPMain!$J$9:$J$1000)=$F92)*((LMPMain!$O$9:$O$1000)=$C92)*(LMPMain!S$9:S$1000) ) +  ( SUMPRODUCT( ((Adders!$D$13:$D$101)=$E92)*((Adders!$E$13:$E$101)=$F92)*(Adders!H$13:H$101)) + VLOOKUP($H92,Adders!$B$5:$G$8,M$11,FALSE)  +  NJ!$D$2 ) * IF($D92="NJ",1.07,1))/$L$10, CHOOSE($M$10,$L$9,$M$9) )</f>
        <v xml:space="preserve"> 50.73 </v>
      </c>
      <c r="N92" s="179" t="str">
        <f>TEXT(   (SUMPRODUCT( ((LMPMain!$H$9:$H$1000)=$E92)*((LMPMain!$J$9:$J$1000)=$F92)*((LMPMain!$O$9:$O$1000)=$C92)*(LMPMain!T$9:T$1000) ) +  ( SUMPRODUCT( ((Adders!$D$13:$D$101)=$E92)*((Adders!$E$13:$E$101)=$F92)*(Adders!I$13:I$101)) + VLOOKUP($H92,Adders!$B$5:$G$8,N$11,FALSE)  +  NJ!$D$2 ) * IF($D92="NJ",1.07,1))/$L$10, CHOOSE($M$10,$L$9,$M$9) )</f>
        <v xml:space="preserve"> 50.57 </v>
      </c>
      <c r="O92" s="112"/>
    </row>
    <row r="93" spans="2:15" x14ac:dyDescent="0.25">
      <c r="B93" s="108"/>
      <c r="C93" s="131">
        <f t="shared" si="1"/>
        <v>42217</v>
      </c>
      <c r="D93" s="132" t="s">
        <v>31</v>
      </c>
      <c r="E93" s="133" t="s">
        <v>35</v>
      </c>
      <c r="F93" s="132" t="s">
        <v>9</v>
      </c>
      <c r="G93" s="133" t="str">
        <f t="shared" si="2"/>
        <v>General Service Large</v>
      </c>
      <c r="H93" s="134" t="s">
        <v>62</v>
      </c>
      <c r="I93" s="173" t="str">
        <f>TEXT(   (SUMPRODUCT( ((Main!$H$9:$H$1000)=$E93)*((Main!$J$9:$J$1000)=$F93)*((Main!$O$9:$O$1000)=$C93)*(Main!R$9:R$1000) ) +  ( SUMPRODUCT( ((Adders!$D$13:$D$101)=$E93)*((Adders!$E$13:$E$101)=$F93)*(Adders!G$13:G$101)) + VLOOKUP($H93,Adders!$B$5:$G$8,L$11,FALSE)  +  NJ!$D$2 ) * IF($D93="NJ",1.07,1))/$L$10, CHOOSE($M$10,$L$9,$M$9) )</f>
        <v xml:space="preserve"> 94.03 </v>
      </c>
      <c r="J93" s="173" t="str">
        <f>TEXT(   (SUMPRODUCT( ((Main!$H$9:$H$1000)=$E93)*((Main!$J$9:$J$1000)=$F93)*((Main!$O$9:$O$1000)=$C93)*(Main!S$9:S$1000) ) +  ( SUMPRODUCT( ((Adders!$D$13:$D$101)=$E93)*((Adders!$E$13:$E$101)=$F93)*(Adders!H$13:H$101)) + VLOOKUP($H93,Adders!$B$5:$G$8,M$11,FALSE)  +  NJ!$D$2 ) * IF($D93="NJ",1.07,1))/$L$10, CHOOSE($M$10,$L$9,$M$9) )</f>
        <v xml:space="preserve"> 92.95 </v>
      </c>
      <c r="K93" s="174" t="str">
        <f>TEXT(   (SUMPRODUCT( ((Main!$H$9:$H$1000)=$E93)*((Main!$J$9:$J$1000)=$F93)*((Main!$O$9:$O$1000)=$C93)*(Main!T$9:T$1000) ) +  ( SUMPRODUCT( ((Adders!$D$13:$D$101)=$E93)*((Adders!$E$13:$E$101)=$F93)*(Adders!I$13:I$101)) + VLOOKUP($H93,Adders!$B$5:$G$8,N$11,FALSE)  +  NJ!$D$2 ) * IF($D93="NJ",1.07,1))/$L$10, CHOOSE($M$10,$L$9,$M$9) )</f>
        <v xml:space="preserve"> 93.04 </v>
      </c>
      <c r="L93" s="173" t="str">
        <f>TEXT(   (SUMPRODUCT( ((LMPMain!$H$9:$H$1000)=$E93)*((LMPMain!$J$9:$J$1000)=$F93)*((LMPMain!$O$9:$O$1000)=$C93)*(LMPMain!R$9:R$1000) ) +  ( SUMPRODUCT( ((Adders!$D$13:$D$101)=$E93)*((Adders!$E$13:$E$101)=$F93)*(Adders!G$13:G$101)) + VLOOKUP($H93,Adders!$B$5:$G$8,L$11,FALSE)  +  NJ!$D$2 ) * IF($D93="NJ",1.07,1))/$L$10, CHOOSE($M$10,$L$9,$M$9) )</f>
        <v xml:space="preserve"> 50.25 </v>
      </c>
      <c r="M93" s="173" t="str">
        <f>TEXT(   (SUMPRODUCT( ((LMPMain!$H$9:$H$1000)=$E93)*((LMPMain!$J$9:$J$1000)=$F93)*((LMPMain!$O$9:$O$1000)=$C93)*(LMPMain!S$9:S$1000) ) +  ( SUMPRODUCT( ((Adders!$D$13:$D$101)=$E93)*((Adders!$E$13:$E$101)=$F93)*(Adders!H$13:H$101)) + VLOOKUP($H93,Adders!$B$5:$G$8,M$11,FALSE)  +  NJ!$D$2 ) * IF($D93="NJ",1.07,1))/$L$10, CHOOSE($M$10,$L$9,$M$9) )</f>
        <v xml:space="preserve"> 49.02 </v>
      </c>
      <c r="N93" s="174" t="str">
        <f>TEXT(   (SUMPRODUCT( ((LMPMain!$H$9:$H$1000)=$E93)*((LMPMain!$J$9:$J$1000)=$F93)*((LMPMain!$O$9:$O$1000)=$C93)*(LMPMain!T$9:T$1000) ) +  ( SUMPRODUCT( ((Adders!$D$13:$D$101)=$E93)*((Adders!$E$13:$E$101)=$F93)*(Adders!I$13:I$101)) + VLOOKUP($H93,Adders!$B$5:$G$8,N$11,FALSE)  +  NJ!$D$2 ) * IF($D93="NJ",1.07,1))/$L$10, CHOOSE($M$10,$L$9,$M$9) )</f>
        <v xml:space="preserve"> 48.86 </v>
      </c>
      <c r="O93" s="112"/>
    </row>
    <row r="94" spans="2:15" x14ac:dyDescent="0.25">
      <c r="B94" s="108"/>
      <c r="C94" s="135">
        <f t="shared" si="1"/>
        <v>42217</v>
      </c>
      <c r="D94" s="136" t="s">
        <v>31</v>
      </c>
      <c r="E94" s="137" t="s">
        <v>35</v>
      </c>
      <c r="F94" s="136" t="s">
        <v>9</v>
      </c>
      <c r="G94" s="137" t="str">
        <f t="shared" si="2"/>
        <v>General Service Large</v>
      </c>
      <c r="H94" s="138" t="s">
        <v>690</v>
      </c>
      <c r="I94" s="176" t="str">
        <f>TEXT(   (SUMPRODUCT( ((Main!$H$9:$H$1000)=$E94)*((Main!$J$9:$J$1000)=$F94)*((Main!$O$9:$O$1000)=$C94)*(Main!R$9:R$1000) ) +  ( SUMPRODUCT( ((Adders!$D$13:$D$101)=$E94)*((Adders!$E$13:$E$101)=$F94)*(Adders!G$13:G$101)) + VLOOKUP($H94,Adders!$B$5:$G$8,L$11,FALSE)  +  NJ!$D$2 ) * IF($D94="NJ",1.07,1))/$L$10, CHOOSE($M$10,$L$9,$M$9) )</f>
        <v xml:space="preserve"> 92.91 </v>
      </c>
      <c r="J94" s="176" t="str">
        <f>TEXT(   (SUMPRODUCT( ((Main!$H$9:$H$1000)=$E94)*((Main!$J$9:$J$1000)=$F94)*((Main!$O$9:$O$1000)=$C94)*(Main!S$9:S$1000) ) +  ( SUMPRODUCT( ((Adders!$D$13:$D$101)=$E94)*((Adders!$E$13:$E$101)=$F94)*(Adders!H$13:H$101)) + VLOOKUP($H94,Adders!$B$5:$G$8,M$11,FALSE)  +  NJ!$D$2 ) * IF($D94="NJ",1.07,1))/$L$10, CHOOSE($M$10,$L$9,$M$9) )</f>
        <v xml:space="preserve"> 91.83 </v>
      </c>
      <c r="K94" s="177" t="str">
        <f>TEXT(   (SUMPRODUCT( ((Main!$H$9:$H$1000)=$E94)*((Main!$J$9:$J$1000)=$F94)*((Main!$O$9:$O$1000)=$C94)*(Main!T$9:T$1000) ) +  ( SUMPRODUCT( ((Adders!$D$13:$D$101)=$E94)*((Adders!$E$13:$E$101)=$F94)*(Adders!I$13:I$101)) + VLOOKUP($H94,Adders!$B$5:$G$8,N$11,FALSE)  +  NJ!$D$2 ) * IF($D94="NJ",1.07,1))/$L$10, CHOOSE($M$10,$L$9,$M$9) )</f>
        <v xml:space="preserve"> 91.92 </v>
      </c>
      <c r="L94" s="176" t="str">
        <f>TEXT(   (SUMPRODUCT( ((LMPMain!$H$9:$H$1000)=$E94)*((LMPMain!$J$9:$J$1000)=$F94)*((LMPMain!$O$9:$O$1000)=$C94)*(LMPMain!R$9:R$1000) ) +  ( SUMPRODUCT( ((Adders!$D$13:$D$101)=$E94)*((Adders!$E$13:$E$101)=$F94)*(Adders!G$13:G$101)) + VLOOKUP($H94,Adders!$B$5:$G$8,L$11,FALSE)  +  NJ!$D$2 ) * IF($D94="NJ",1.07,1))/$L$10, CHOOSE($M$10,$L$9,$M$9) )</f>
        <v xml:space="preserve"> 49.13 </v>
      </c>
      <c r="M94" s="176" t="str">
        <f>TEXT(   (SUMPRODUCT( ((LMPMain!$H$9:$H$1000)=$E94)*((LMPMain!$J$9:$J$1000)=$F94)*((LMPMain!$O$9:$O$1000)=$C94)*(LMPMain!S$9:S$1000) ) +  ( SUMPRODUCT( ((Adders!$D$13:$D$101)=$E94)*((Adders!$E$13:$E$101)=$F94)*(Adders!H$13:H$101)) + VLOOKUP($H94,Adders!$B$5:$G$8,M$11,FALSE)  +  NJ!$D$2 ) * IF($D94="NJ",1.07,1))/$L$10, CHOOSE($M$10,$L$9,$M$9) )</f>
        <v xml:space="preserve"> 47.89 </v>
      </c>
      <c r="N94" s="177" t="str">
        <f>TEXT(   (SUMPRODUCT( ((LMPMain!$H$9:$H$1000)=$E94)*((LMPMain!$J$9:$J$1000)=$F94)*((LMPMain!$O$9:$O$1000)=$C94)*(LMPMain!T$9:T$1000) ) +  ( SUMPRODUCT( ((Adders!$D$13:$D$101)=$E94)*((Adders!$E$13:$E$101)=$F94)*(Adders!I$13:I$101)) + VLOOKUP($H94,Adders!$B$5:$G$8,N$11,FALSE)  +  NJ!$D$2 ) * IF($D94="NJ",1.07,1))/$L$10, CHOOSE($M$10,$L$9,$M$9) )</f>
        <v xml:space="preserve"> 47.73 </v>
      </c>
      <c r="O94" s="112"/>
    </row>
    <row r="95" spans="2:15" x14ac:dyDescent="0.25">
      <c r="B95" s="108"/>
      <c r="C95" s="127">
        <f t="shared" si="1"/>
        <v>42248</v>
      </c>
      <c r="D95" s="128" t="s">
        <v>31</v>
      </c>
      <c r="E95" s="129" t="s">
        <v>35</v>
      </c>
      <c r="F95" s="128" t="s">
        <v>9</v>
      </c>
      <c r="G95" s="129" t="str">
        <f t="shared" si="2"/>
        <v>General Service Large</v>
      </c>
      <c r="H95" s="130" t="s">
        <v>61</v>
      </c>
      <c r="I95" s="178" t="str">
        <f>TEXT(   (SUMPRODUCT( ((Main!$H$9:$H$1000)=$E95)*((Main!$J$9:$J$1000)=$F95)*((Main!$O$9:$O$1000)=$C95)*(Main!R$9:R$1000) ) +  ( SUMPRODUCT( ((Adders!$D$13:$D$101)=$E95)*((Adders!$E$13:$E$101)=$F95)*(Adders!G$13:G$101)) + VLOOKUP($H95,Adders!$B$5:$G$8,L$11,FALSE)  +  NJ!$D$2 ) * IF($D95="NJ",1.07,1))/$L$10, CHOOSE($M$10,$L$9,$M$9) )</f>
        <v xml:space="preserve"> 95.59 </v>
      </c>
      <c r="J95" s="178" t="str">
        <f>TEXT(   (SUMPRODUCT( ((Main!$H$9:$H$1000)=$E95)*((Main!$J$9:$J$1000)=$F95)*((Main!$O$9:$O$1000)=$C95)*(Main!S$9:S$1000) ) +  ( SUMPRODUCT( ((Adders!$D$13:$D$101)=$E95)*((Adders!$E$13:$E$101)=$F95)*(Adders!H$13:H$101)) + VLOOKUP($H95,Adders!$B$5:$G$8,M$11,FALSE)  +  NJ!$D$2 ) * IF($D95="NJ",1.07,1))/$L$10, CHOOSE($M$10,$L$9,$M$9) )</f>
        <v xml:space="preserve"> 95.42 </v>
      </c>
      <c r="K95" s="179" t="str">
        <f>TEXT(   (SUMPRODUCT( ((Main!$H$9:$H$1000)=$E95)*((Main!$J$9:$J$1000)=$F95)*((Main!$O$9:$O$1000)=$C95)*(Main!T$9:T$1000) ) +  ( SUMPRODUCT( ((Adders!$D$13:$D$101)=$E95)*((Adders!$E$13:$E$101)=$F95)*(Adders!I$13:I$101)) + VLOOKUP($H95,Adders!$B$5:$G$8,N$11,FALSE)  +  NJ!$D$2 ) * IF($D95="NJ",1.07,1))/$L$10, CHOOSE($M$10,$L$9,$M$9) )</f>
        <v xml:space="preserve"> 94.88 </v>
      </c>
      <c r="L95" s="178" t="str">
        <f>TEXT(   (SUMPRODUCT( ((LMPMain!$H$9:$H$1000)=$E95)*((LMPMain!$J$9:$J$1000)=$F95)*((LMPMain!$O$9:$O$1000)=$C95)*(LMPMain!R$9:R$1000) ) +  ( SUMPRODUCT( ((Adders!$D$13:$D$101)=$E95)*((Adders!$E$13:$E$101)=$F95)*(Adders!G$13:G$101)) + VLOOKUP($H95,Adders!$B$5:$G$8,L$11,FALSE)  +  NJ!$D$2 ) * IF($D95="NJ",1.07,1))/$L$10, CHOOSE($M$10,$L$9,$M$9) )</f>
        <v xml:space="preserve"> 51.69 </v>
      </c>
      <c r="M95" s="178" t="str">
        <f>TEXT(   (SUMPRODUCT( ((LMPMain!$H$9:$H$1000)=$E95)*((LMPMain!$J$9:$J$1000)=$F95)*((LMPMain!$O$9:$O$1000)=$C95)*(LMPMain!S$9:S$1000) ) +  ( SUMPRODUCT( ((Adders!$D$13:$D$101)=$E95)*((Adders!$E$13:$E$101)=$F95)*(Adders!H$13:H$101)) + VLOOKUP($H95,Adders!$B$5:$G$8,M$11,FALSE)  +  NJ!$D$2 ) * IF($D95="NJ",1.07,1))/$L$10, CHOOSE($M$10,$L$9,$M$9) )</f>
        <v xml:space="preserve"> 51.10 </v>
      </c>
      <c r="N95" s="179" t="str">
        <f>TEXT(   (SUMPRODUCT( ((LMPMain!$H$9:$H$1000)=$E95)*((LMPMain!$J$9:$J$1000)=$F95)*((LMPMain!$O$9:$O$1000)=$C95)*(LMPMain!T$9:T$1000) ) +  ( SUMPRODUCT( ((Adders!$D$13:$D$101)=$E95)*((Adders!$E$13:$E$101)=$F95)*(Adders!I$13:I$101)) + VLOOKUP($H95,Adders!$B$5:$G$8,N$11,FALSE)  +  NJ!$D$2 ) * IF($D95="NJ",1.07,1))/$L$10, CHOOSE($M$10,$L$9,$M$9) )</f>
        <v xml:space="preserve"> 50.49 </v>
      </c>
      <c r="O95" s="112"/>
    </row>
    <row r="96" spans="2:15" x14ac:dyDescent="0.25">
      <c r="B96" s="108"/>
      <c r="C96" s="131">
        <f t="shared" si="1"/>
        <v>42248</v>
      </c>
      <c r="D96" s="132" t="s">
        <v>31</v>
      </c>
      <c r="E96" s="133" t="s">
        <v>35</v>
      </c>
      <c r="F96" s="132" t="s">
        <v>9</v>
      </c>
      <c r="G96" s="133" t="str">
        <f t="shared" si="2"/>
        <v>General Service Large</v>
      </c>
      <c r="H96" s="134" t="s">
        <v>62</v>
      </c>
      <c r="I96" s="173" t="str">
        <f>TEXT(   (SUMPRODUCT( ((Main!$H$9:$H$1000)=$E96)*((Main!$J$9:$J$1000)=$F96)*((Main!$O$9:$O$1000)=$C96)*(Main!R$9:R$1000) ) +  ( SUMPRODUCT( ((Adders!$D$13:$D$101)=$E96)*((Adders!$E$13:$E$101)=$F96)*(Adders!G$13:G$101)) + VLOOKUP($H96,Adders!$B$5:$G$8,L$11,FALSE)  +  NJ!$D$2 ) * IF($D96="NJ",1.07,1))/$L$10, CHOOSE($M$10,$L$9,$M$9) )</f>
        <v xml:space="preserve"> 93.88 </v>
      </c>
      <c r="J96" s="173" t="str">
        <f>TEXT(   (SUMPRODUCT( ((Main!$H$9:$H$1000)=$E96)*((Main!$J$9:$J$1000)=$F96)*((Main!$O$9:$O$1000)=$C96)*(Main!S$9:S$1000) ) +  ( SUMPRODUCT( ((Adders!$D$13:$D$101)=$E96)*((Adders!$E$13:$E$101)=$F96)*(Adders!H$13:H$101)) + VLOOKUP($H96,Adders!$B$5:$G$8,M$11,FALSE)  +  NJ!$D$2 ) * IF($D96="NJ",1.07,1))/$L$10, CHOOSE($M$10,$L$9,$M$9) )</f>
        <v xml:space="preserve"> 93.71 </v>
      </c>
      <c r="K96" s="174" t="str">
        <f>TEXT(   (SUMPRODUCT( ((Main!$H$9:$H$1000)=$E96)*((Main!$J$9:$J$1000)=$F96)*((Main!$O$9:$O$1000)=$C96)*(Main!T$9:T$1000) ) +  ( SUMPRODUCT( ((Adders!$D$13:$D$101)=$E96)*((Adders!$E$13:$E$101)=$F96)*(Adders!I$13:I$101)) + VLOOKUP($H96,Adders!$B$5:$G$8,N$11,FALSE)  +  NJ!$D$2 ) * IF($D96="NJ",1.07,1))/$L$10, CHOOSE($M$10,$L$9,$M$9) )</f>
        <v xml:space="preserve"> 93.17 </v>
      </c>
      <c r="L96" s="173" t="str">
        <f>TEXT(   (SUMPRODUCT( ((LMPMain!$H$9:$H$1000)=$E96)*((LMPMain!$J$9:$J$1000)=$F96)*((LMPMain!$O$9:$O$1000)=$C96)*(LMPMain!R$9:R$1000) ) +  ( SUMPRODUCT( ((Adders!$D$13:$D$101)=$E96)*((Adders!$E$13:$E$101)=$F96)*(Adders!G$13:G$101)) + VLOOKUP($H96,Adders!$B$5:$G$8,L$11,FALSE)  +  NJ!$D$2 ) * IF($D96="NJ",1.07,1))/$L$10, CHOOSE($M$10,$L$9,$M$9) )</f>
        <v xml:space="preserve"> 49.98 </v>
      </c>
      <c r="M96" s="173" t="str">
        <f>TEXT(   (SUMPRODUCT( ((LMPMain!$H$9:$H$1000)=$E96)*((LMPMain!$J$9:$J$1000)=$F96)*((LMPMain!$O$9:$O$1000)=$C96)*(LMPMain!S$9:S$1000) ) +  ( SUMPRODUCT( ((Adders!$D$13:$D$101)=$E96)*((Adders!$E$13:$E$101)=$F96)*(Adders!H$13:H$101)) + VLOOKUP($H96,Adders!$B$5:$G$8,M$11,FALSE)  +  NJ!$D$2 ) * IF($D96="NJ",1.07,1))/$L$10, CHOOSE($M$10,$L$9,$M$9) )</f>
        <v xml:space="preserve"> 49.39 </v>
      </c>
      <c r="N96" s="174" t="str">
        <f>TEXT(   (SUMPRODUCT( ((LMPMain!$H$9:$H$1000)=$E96)*((LMPMain!$J$9:$J$1000)=$F96)*((LMPMain!$O$9:$O$1000)=$C96)*(LMPMain!T$9:T$1000) ) +  ( SUMPRODUCT( ((Adders!$D$13:$D$101)=$E96)*((Adders!$E$13:$E$101)=$F96)*(Adders!I$13:I$101)) + VLOOKUP($H96,Adders!$B$5:$G$8,N$11,FALSE)  +  NJ!$D$2 ) * IF($D96="NJ",1.07,1))/$L$10, CHOOSE($M$10,$L$9,$M$9) )</f>
        <v xml:space="preserve"> 48.78 </v>
      </c>
      <c r="O96" s="112"/>
    </row>
    <row r="97" spans="2:15" x14ac:dyDescent="0.25">
      <c r="B97" s="108"/>
      <c r="C97" s="135">
        <f t="shared" si="1"/>
        <v>42248</v>
      </c>
      <c r="D97" s="136" t="s">
        <v>31</v>
      </c>
      <c r="E97" s="137" t="s">
        <v>35</v>
      </c>
      <c r="F97" s="136" t="s">
        <v>9</v>
      </c>
      <c r="G97" s="137" t="str">
        <f t="shared" si="2"/>
        <v>General Service Large</v>
      </c>
      <c r="H97" s="138" t="s">
        <v>690</v>
      </c>
      <c r="I97" s="176" t="str">
        <f>TEXT(   (SUMPRODUCT( ((Main!$H$9:$H$1000)=$E97)*((Main!$J$9:$J$1000)=$F97)*((Main!$O$9:$O$1000)=$C97)*(Main!R$9:R$1000) ) +  ( SUMPRODUCT( ((Adders!$D$13:$D$101)=$E97)*((Adders!$E$13:$E$101)=$F97)*(Adders!G$13:G$101)) + VLOOKUP($H97,Adders!$B$5:$G$8,L$11,FALSE)  +  NJ!$D$2 ) * IF($D97="NJ",1.07,1))/$L$10, CHOOSE($M$10,$L$9,$M$9) )</f>
        <v xml:space="preserve"> 92.76 </v>
      </c>
      <c r="J97" s="176" t="str">
        <f>TEXT(   (SUMPRODUCT( ((Main!$H$9:$H$1000)=$E97)*((Main!$J$9:$J$1000)=$F97)*((Main!$O$9:$O$1000)=$C97)*(Main!S$9:S$1000) ) +  ( SUMPRODUCT( ((Adders!$D$13:$D$101)=$E97)*((Adders!$E$13:$E$101)=$F97)*(Adders!H$13:H$101)) + VLOOKUP($H97,Adders!$B$5:$G$8,M$11,FALSE)  +  NJ!$D$2 ) * IF($D97="NJ",1.07,1))/$L$10, CHOOSE($M$10,$L$9,$M$9) )</f>
        <v xml:space="preserve"> 92.59 </v>
      </c>
      <c r="K97" s="177" t="str">
        <f>TEXT(   (SUMPRODUCT( ((Main!$H$9:$H$1000)=$E97)*((Main!$J$9:$J$1000)=$F97)*((Main!$O$9:$O$1000)=$C97)*(Main!T$9:T$1000) ) +  ( SUMPRODUCT( ((Adders!$D$13:$D$101)=$E97)*((Adders!$E$13:$E$101)=$F97)*(Adders!I$13:I$101)) + VLOOKUP($H97,Adders!$B$5:$G$8,N$11,FALSE)  +  NJ!$D$2 ) * IF($D97="NJ",1.07,1))/$L$10, CHOOSE($M$10,$L$9,$M$9) )</f>
        <v xml:space="preserve"> 92.05 </v>
      </c>
      <c r="L97" s="176" t="str">
        <f>TEXT(   (SUMPRODUCT( ((LMPMain!$H$9:$H$1000)=$E97)*((LMPMain!$J$9:$J$1000)=$F97)*((LMPMain!$O$9:$O$1000)=$C97)*(LMPMain!R$9:R$1000) ) +  ( SUMPRODUCT( ((Adders!$D$13:$D$101)=$E97)*((Adders!$E$13:$E$101)=$F97)*(Adders!G$13:G$101)) + VLOOKUP($H97,Adders!$B$5:$G$8,L$11,FALSE)  +  NJ!$D$2 ) * IF($D97="NJ",1.07,1))/$L$10, CHOOSE($M$10,$L$9,$M$9) )</f>
        <v xml:space="preserve"> 48.85 </v>
      </c>
      <c r="M97" s="176" t="str">
        <f>TEXT(   (SUMPRODUCT( ((LMPMain!$H$9:$H$1000)=$E97)*((LMPMain!$J$9:$J$1000)=$F97)*((LMPMain!$O$9:$O$1000)=$C97)*(LMPMain!S$9:S$1000) ) +  ( SUMPRODUCT( ((Adders!$D$13:$D$101)=$E97)*((Adders!$E$13:$E$101)=$F97)*(Adders!H$13:H$101)) + VLOOKUP($H97,Adders!$B$5:$G$8,M$11,FALSE)  +  NJ!$D$2 ) * IF($D97="NJ",1.07,1))/$L$10, CHOOSE($M$10,$L$9,$M$9) )</f>
        <v xml:space="preserve"> 48.27 </v>
      </c>
      <c r="N97" s="177" t="str">
        <f>TEXT(   (SUMPRODUCT( ((LMPMain!$H$9:$H$1000)=$E97)*((LMPMain!$J$9:$J$1000)=$F97)*((LMPMain!$O$9:$O$1000)=$C97)*(LMPMain!T$9:T$1000) ) +  ( SUMPRODUCT( ((Adders!$D$13:$D$101)=$E97)*((Adders!$E$13:$E$101)=$F97)*(Adders!I$13:I$101)) + VLOOKUP($H97,Adders!$B$5:$G$8,N$11,FALSE)  +  NJ!$D$2 ) * IF($D97="NJ",1.07,1))/$L$10, CHOOSE($M$10,$L$9,$M$9) )</f>
        <v xml:space="preserve"> 47.66 </v>
      </c>
      <c r="O97" s="112"/>
    </row>
    <row r="98" spans="2:15" x14ac:dyDescent="0.25">
      <c r="B98" s="108"/>
      <c r="C98" s="127">
        <f t="shared" si="1"/>
        <v>42278</v>
      </c>
      <c r="D98" s="128" t="s">
        <v>31</v>
      </c>
      <c r="E98" s="129" t="s">
        <v>35</v>
      </c>
      <c r="F98" s="128" t="s">
        <v>9</v>
      </c>
      <c r="G98" s="129" t="str">
        <f t="shared" si="2"/>
        <v>General Service Large</v>
      </c>
      <c r="H98" s="130" t="s">
        <v>61</v>
      </c>
      <c r="I98" s="178" t="str">
        <f>TEXT(   (SUMPRODUCT( ((Main!$H$9:$H$1000)=$E98)*((Main!$J$9:$J$1000)=$F98)*((Main!$O$9:$O$1000)=$C98)*(Main!R$9:R$1000) ) +  ( SUMPRODUCT( ((Adders!$D$13:$D$101)=$E98)*((Adders!$E$13:$E$101)=$F98)*(Adders!G$13:G$101)) + VLOOKUP($H98,Adders!$B$5:$G$8,L$11,FALSE)  +  NJ!$D$2 ) * IF($D98="NJ",1.07,1))/$L$10, CHOOSE($M$10,$L$9,$M$9) )</f>
        <v xml:space="preserve"> 95.39 </v>
      </c>
      <c r="J98" s="178" t="str">
        <f>TEXT(   (SUMPRODUCT( ((Main!$H$9:$H$1000)=$E98)*((Main!$J$9:$J$1000)=$F98)*((Main!$O$9:$O$1000)=$C98)*(Main!S$9:S$1000) ) +  ( SUMPRODUCT( ((Adders!$D$13:$D$101)=$E98)*((Adders!$E$13:$E$101)=$F98)*(Adders!H$13:H$101)) + VLOOKUP($H98,Adders!$B$5:$G$8,M$11,FALSE)  +  NJ!$D$2 ) * IF($D98="NJ",1.07,1))/$L$10, CHOOSE($M$10,$L$9,$M$9) )</f>
        <v xml:space="preserve"> 95.80 </v>
      </c>
      <c r="K98" s="179" t="str">
        <f>TEXT(   (SUMPRODUCT( ((Main!$H$9:$H$1000)=$E98)*((Main!$J$9:$J$1000)=$F98)*((Main!$O$9:$O$1000)=$C98)*(Main!T$9:T$1000) ) +  ( SUMPRODUCT( ((Adders!$D$13:$D$101)=$E98)*((Adders!$E$13:$E$101)=$F98)*(Adders!I$13:I$101)) + VLOOKUP($H98,Adders!$B$5:$G$8,N$11,FALSE)  +  NJ!$D$2 ) * IF($D98="NJ",1.07,1))/$L$10, CHOOSE($M$10,$L$9,$M$9) )</f>
        <v xml:space="preserve"> 94.83 </v>
      </c>
      <c r="L98" s="178" t="str">
        <f>TEXT(   (SUMPRODUCT( ((LMPMain!$H$9:$H$1000)=$E98)*((LMPMain!$J$9:$J$1000)=$F98)*((LMPMain!$O$9:$O$1000)=$C98)*(LMPMain!R$9:R$1000) ) +  ( SUMPRODUCT( ((Adders!$D$13:$D$101)=$E98)*((Adders!$E$13:$E$101)=$F98)*(Adders!G$13:G$101)) + VLOOKUP($H98,Adders!$B$5:$G$8,L$11,FALSE)  +  NJ!$D$2 ) * IF($D98="NJ",1.07,1))/$L$10, CHOOSE($M$10,$L$9,$M$9) )</f>
        <v xml:space="preserve"> 51.33 </v>
      </c>
      <c r="M98" s="178" t="str">
        <f>TEXT(   (SUMPRODUCT( ((LMPMain!$H$9:$H$1000)=$E98)*((LMPMain!$J$9:$J$1000)=$F98)*((LMPMain!$O$9:$O$1000)=$C98)*(LMPMain!S$9:S$1000) ) +  ( SUMPRODUCT( ((Adders!$D$13:$D$101)=$E98)*((Adders!$E$13:$E$101)=$F98)*(Adders!H$13:H$101)) + VLOOKUP($H98,Adders!$B$5:$G$8,M$11,FALSE)  +  NJ!$D$2 ) * IF($D98="NJ",1.07,1))/$L$10, CHOOSE($M$10,$L$9,$M$9) )</f>
        <v xml:space="preserve"> 51.11 </v>
      </c>
      <c r="N98" s="179" t="str">
        <f>TEXT(   (SUMPRODUCT( ((LMPMain!$H$9:$H$1000)=$E98)*((LMPMain!$J$9:$J$1000)=$F98)*((LMPMain!$O$9:$O$1000)=$C98)*(LMPMain!T$9:T$1000) ) +  ( SUMPRODUCT( ((Adders!$D$13:$D$101)=$E98)*((Adders!$E$13:$E$101)=$F98)*(Adders!I$13:I$101)) + VLOOKUP($H98,Adders!$B$5:$G$8,N$11,FALSE)  +  NJ!$D$2 ) * IF($D98="NJ",1.07,1))/$L$10, CHOOSE($M$10,$L$9,$M$9) )</f>
        <v xml:space="preserve"> 50.41 </v>
      </c>
      <c r="O98" s="112"/>
    </row>
    <row r="99" spans="2:15" x14ac:dyDescent="0.25">
      <c r="B99" s="108"/>
      <c r="C99" s="131">
        <f t="shared" si="1"/>
        <v>42278</v>
      </c>
      <c r="D99" s="132" t="s">
        <v>31</v>
      </c>
      <c r="E99" s="133" t="s">
        <v>35</v>
      </c>
      <c r="F99" s="132" t="s">
        <v>9</v>
      </c>
      <c r="G99" s="133" t="str">
        <f t="shared" si="2"/>
        <v>General Service Large</v>
      </c>
      <c r="H99" s="134" t="s">
        <v>62</v>
      </c>
      <c r="I99" s="173" t="str">
        <f>TEXT(   (SUMPRODUCT( ((Main!$H$9:$H$1000)=$E99)*((Main!$J$9:$J$1000)=$F99)*((Main!$O$9:$O$1000)=$C99)*(Main!R$9:R$1000) ) +  ( SUMPRODUCT( ((Adders!$D$13:$D$101)=$E99)*((Adders!$E$13:$E$101)=$F99)*(Adders!G$13:G$101)) + VLOOKUP($H99,Adders!$B$5:$G$8,L$11,FALSE)  +  NJ!$D$2 ) * IF($D99="NJ",1.07,1))/$L$10, CHOOSE($M$10,$L$9,$M$9) )</f>
        <v xml:space="preserve"> 93.68 </v>
      </c>
      <c r="J99" s="173" t="str">
        <f>TEXT(   (SUMPRODUCT( ((Main!$H$9:$H$1000)=$E99)*((Main!$J$9:$J$1000)=$F99)*((Main!$O$9:$O$1000)=$C99)*(Main!S$9:S$1000) ) +  ( SUMPRODUCT( ((Adders!$D$13:$D$101)=$E99)*((Adders!$E$13:$E$101)=$F99)*(Adders!H$13:H$101)) + VLOOKUP($H99,Adders!$B$5:$G$8,M$11,FALSE)  +  NJ!$D$2 ) * IF($D99="NJ",1.07,1))/$L$10, CHOOSE($M$10,$L$9,$M$9) )</f>
        <v xml:space="preserve"> 94.09 </v>
      </c>
      <c r="K99" s="174" t="str">
        <f>TEXT(   (SUMPRODUCT( ((Main!$H$9:$H$1000)=$E99)*((Main!$J$9:$J$1000)=$F99)*((Main!$O$9:$O$1000)=$C99)*(Main!T$9:T$1000) ) +  ( SUMPRODUCT( ((Adders!$D$13:$D$101)=$E99)*((Adders!$E$13:$E$101)=$F99)*(Adders!I$13:I$101)) + VLOOKUP($H99,Adders!$B$5:$G$8,N$11,FALSE)  +  NJ!$D$2 ) * IF($D99="NJ",1.07,1))/$L$10, CHOOSE($M$10,$L$9,$M$9) )</f>
        <v xml:space="preserve"> 93.12 </v>
      </c>
      <c r="L99" s="173" t="str">
        <f>TEXT(   (SUMPRODUCT( ((LMPMain!$H$9:$H$1000)=$E99)*((LMPMain!$J$9:$J$1000)=$F99)*((LMPMain!$O$9:$O$1000)=$C99)*(LMPMain!R$9:R$1000) ) +  ( SUMPRODUCT( ((Adders!$D$13:$D$101)=$E99)*((Adders!$E$13:$E$101)=$F99)*(Adders!G$13:G$101)) + VLOOKUP($H99,Adders!$B$5:$G$8,L$11,FALSE)  +  NJ!$D$2 ) * IF($D99="NJ",1.07,1))/$L$10, CHOOSE($M$10,$L$9,$M$9) )</f>
        <v xml:space="preserve"> 49.62 </v>
      </c>
      <c r="M99" s="173" t="str">
        <f>TEXT(   (SUMPRODUCT( ((LMPMain!$H$9:$H$1000)=$E99)*((LMPMain!$J$9:$J$1000)=$F99)*((LMPMain!$O$9:$O$1000)=$C99)*(LMPMain!S$9:S$1000) ) +  ( SUMPRODUCT( ((Adders!$D$13:$D$101)=$E99)*((Adders!$E$13:$E$101)=$F99)*(Adders!H$13:H$101)) + VLOOKUP($H99,Adders!$B$5:$G$8,M$11,FALSE)  +  NJ!$D$2 ) * IF($D99="NJ",1.07,1))/$L$10, CHOOSE($M$10,$L$9,$M$9) )</f>
        <v xml:space="preserve"> 49.39 </v>
      </c>
      <c r="N99" s="174" t="str">
        <f>TEXT(   (SUMPRODUCT( ((LMPMain!$H$9:$H$1000)=$E99)*((LMPMain!$J$9:$J$1000)=$F99)*((LMPMain!$O$9:$O$1000)=$C99)*(LMPMain!T$9:T$1000) ) +  ( SUMPRODUCT( ((Adders!$D$13:$D$101)=$E99)*((Adders!$E$13:$E$101)=$F99)*(Adders!I$13:I$101)) + VLOOKUP($H99,Adders!$B$5:$G$8,N$11,FALSE)  +  NJ!$D$2 ) * IF($D99="NJ",1.07,1))/$L$10, CHOOSE($M$10,$L$9,$M$9) )</f>
        <v xml:space="preserve"> 48.69 </v>
      </c>
      <c r="O99" s="112"/>
    </row>
    <row r="100" spans="2:15" x14ac:dyDescent="0.25">
      <c r="B100" s="108"/>
      <c r="C100" s="135">
        <f t="shared" si="1"/>
        <v>42278</v>
      </c>
      <c r="D100" s="136" t="s">
        <v>31</v>
      </c>
      <c r="E100" s="137" t="s">
        <v>35</v>
      </c>
      <c r="F100" s="136" t="s">
        <v>9</v>
      </c>
      <c r="G100" s="137" t="str">
        <f t="shared" si="2"/>
        <v>General Service Large</v>
      </c>
      <c r="H100" s="138" t="s">
        <v>690</v>
      </c>
      <c r="I100" s="176" t="str">
        <f>TEXT(   (SUMPRODUCT( ((Main!$H$9:$H$1000)=$E100)*((Main!$J$9:$J$1000)=$F100)*((Main!$O$9:$O$1000)=$C100)*(Main!R$9:R$1000) ) +  ( SUMPRODUCT( ((Adders!$D$13:$D$101)=$E100)*((Adders!$E$13:$E$101)=$F100)*(Adders!G$13:G$101)) + VLOOKUP($H100,Adders!$B$5:$G$8,L$11,FALSE)  +  NJ!$D$2 ) * IF($D100="NJ",1.07,1))/$L$10, CHOOSE($M$10,$L$9,$M$9) )</f>
        <v xml:space="preserve"> 92.56 </v>
      </c>
      <c r="J100" s="176" t="str">
        <f>TEXT(   (SUMPRODUCT( ((Main!$H$9:$H$1000)=$E100)*((Main!$J$9:$J$1000)=$F100)*((Main!$O$9:$O$1000)=$C100)*(Main!S$9:S$1000) ) +  ( SUMPRODUCT( ((Adders!$D$13:$D$101)=$E100)*((Adders!$E$13:$E$101)=$F100)*(Adders!H$13:H$101)) + VLOOKUP($H100,Adders!$B$5:$G$8,M$11,FALSE)  +  NJ!$D$2 ) * IF($D100="NJ",1.07,1))/$L$10, CHOOSE($M$10,$L$9,$M$9) )</f>
        <v xml:space="preserve"> 92.97 </v>
      </c>
      <c r="K100" s="177" t="str">
        <f>TEXT(   (SUMPRODUCT( ((Main!$H$9:$H$1000)=$E100)*((Main!$J$9:$J$1000)=$F100)*((Main!$O$9:$O$1000)=$C100)*(Main!T$9:T$1000) ) +  ( SUMPRODUCT( ((Adders!$D$13:$D$101)=$E100)*((Adders!$E$13:$E$101)=$F100)*(Adders!I$13:I$101)) + VLOOKUP($H100,Adders!$B$5:$G$8,N$11,FALSE)  +  NJ!$D$2 ) * IF($D100="NJ",1.07,1))/$L$10, CHOOSE($M$10,$L$9,$M$9) )</f>
        <v xml:space="preserve"> 92.00 </v>
      </c>
      <c r="L100" s="176" t="str">
        <f>TEXT(   (SUMPRODUCT( ((LMPMain!$H$9:$H$1000)=$E100)*((LMPMain!$J$9:$J$1000)=$F100)*((LMPMain!$O$9:$O$1000)=$C100)*(LMPMain!R$9:R$1000) ) +  ( SUMPRODUCT( ((Adders!$D$13:$D$101)=$E100)*((Adders!$E$13:$E$101)=$F100)*(Adders!G$13:G$101)) + VLOOKUP($H100,Adders!$B$5:$G$8,L$11,FALSE)  +  NJ!$D$2 ) * IF($D100="NJ",1.07,1))/$L$10, CHOOSE($M$10,$L$9,$M$9) )</f>
        <v xml:space="preserve"> 48.50 </v>
      </c>
      <c r="M100" s="176" t="str">
        <f>TEXT(   (SUMPRODUCT( ((LMPMain!$H$9:$H$1000)=$E100)*((LMPMain!$J$9:$J$1000)=$F100)*((LMPMain!$O$9:$O$1000)=$C100)*(LMPMain!S$9:S$1000) ) +  ( SUMPRODUCT( ((Adders!$D$13:$D$101)=$E100)*((Adders!$E$13:$E$101)=$F100)*(Adders!H$13:H$101)) + VLOOKUP($H100,Adders!$B$5:$G$8,M$11,FALSE)  +  NJ!$D$2 ) * IF($D100="NJ",1.07,1))/$L$10, CHOOSE($M$10,$L$9,$M$9) )</f>
        <v xml:space="preserve"> 48.27 </v>
      </c>
      <c r="N100" s="177" t="str">
        <f>TEXT(   (SUMPRODUCT( ((LMPMain!$H$9:$H$1000)=$E100)*((LMPMain!$J$9:$J$1000)=$F100)*((LMPMain!$O$9:$O$1000)=$C100)*(LMPMain!T$9:T$1000) ) +  ( SUMPRODUCT( ((Adders!$D$13:$D$101)=$E100)*((Adders!$E$13:$E$101)=$F100)*(Adders!I$13:I$101)) + VLOOKUP($H100,Adders!$B$5:$G$8,N$11,FALSE)  +  NJ!$D$2 ) * IF($D100="NJ",1.07,1))/$L$10, CHOOSE($M$10,$L$9,$M$9) )</f>
        <v xml:space="preserve"> 47.57 </v>
      </c>
      <c r="O100" s="112"/>
    </row>
    <row r="101" spans="2:15" x14ac:dyDescent="0.25">
      <c r="B101" s="108"/>
      <c r="C101" s="127">
        <f t="shared" si="1"/>
        <v>42309</v>
      </c>
      <c r="D101" s="128" t="s">
        <v>31</v>
      </c>
      <c r="E101" s="129" t="s">
        <v>35</v>
      </c>
      <c r="F101" s="128" t="s">
        <v>9</v>
      </c>
      <c r="G101" s="129" t="str">
        <f t="shared" si="2"/>
        <v>General Service Large</v>
      </c>
      <c r="H101" s="130" t="s">
        <v>61</v>
      </c>
      <c r="I101" s="178" t="str">
        <f>TEXT(   (SUMPRODUCT( ((Main!$H$9:$H$1000)=$E101)*((Main!$J$9:$J$1000)=$F101)*((Main!$O$9:$O$1000)=$C101)*(Main!R$9:R$1000) ) +  ( SUMPRODUCT( ((Adders!$D$13:$D$101)=$E101)*((Adders!$E$13:$E$101)=$F101)*(Adders!G$13:G$101)) + VLOOKUP($H101,Adders!$B$5:$G$8,L$11,FALSE)  +  NJ!$D$2 ) * IF($D101="NJ",1.07,1))/$L$10, CHOOSE($M$10,$L$9,$M$9) )</f>
        <v xml:space="preserve"> 95.14 </v>
      </c>
      <c r="J101" s="178" t="str">
        <f>TEXT(   (SUMPRODUCT( ((Main!$H$9:$H$1000)=$E101)*((Main!$J$9:$J$1000)=$F101)*((Main!$O$9:$O$1000)=$C101)*(Main!S$9:S$1000) ) +  ( SUMPRODUCT( ((Adders!$D$13:$D$101)=$E101)*((Adders!$E$13:$E$101)=$F101)*(Adders!H$13:H$101)) + VLOOKUP($H101,Adders!$B$5:$G$8,M$11,FALSE)  +  NJ!$D$2 ) * IF($D101="NJ",1.07,1))/$L$10, CHOOSE($M$10,$L$9,$M$9) )</f>
        <v xml:space="preserve"> 95.87 </v>
      </c>
      <c r="K101" s="179" t="str">
        <f>TEXT(   (SUMPRODUCT( ((Main!$H$9:$H$1000)=$E101)*((Main!$J$9:$J$1000)=$F101)*((Main!$O$9:$O$1000)=$C101)*(Main!T$9:T$1000) ) +  ( SUMPRODUCT( ((Adders!$D$13:$D$101)=$E101)*((Adders!$E$13:$E$101)=$F101)*(Adders!I$13:I$101)) + VLOOKUP($H101,Adders!$B$5:$G$8,N$11,FALSE)  +  NJ!$D$2 ) * IF($D101="NJ",1.07,1))/$L$10, CHOOSE($M$10,$L$9,$M$9) )</f>
        <v xml:space="preserve"> 94.82 </v>
      </c>
      <c r="L101" s="178" t="str">
        <f>TEXT(   (SUMPRODUCT( ((LMPMain!$H$9:$H$1000)=$E101)*((LMPMain!$J$9:$J$1000)=$F101)*((LMPMain!$O$9:$O$1000)=$C101)*(LMPMain!R$9:R$1000) ) +  ( SUMPRODUCT( ((Adders!$D$13:$D$101)=$E101)*((Adders!$E$13:$E$101)=$F101)*(Adders!G$13:G$101)) + VLOOKUP($H101,Adders!$B$5:$G$8,L$11,FALSE)  +  NJ!$D$2 ) * IF($D101="NJ",1.07,1))/$L$10, CHOOSE($M$10,$L$9,$M$9) )</f>
        <v xml:space="preserve"> 51.07 </v>
      </c>
      <c r="M101" s="178" t="str">
        <f>TEXT(   (SUMPRODUCT( ((LMPMain!$H$9:$H$1000)=$E101)*((LMPMain!$J$9:$J$1000)=$F101)*((LMPMain!$O$9:$O$1000)=$C101)*(LMPMain!S$9:S$1000) ) +  ( SUMPRODUCT( ((Adders!$D$13:$D$101)=$E101)*((Adders!$E$13:$E$101)=$F101)*(Adders!H$13:H$101)) + VLOOKUP($H101,Adders!$B$5:$G$8,M$11,FALSE)  +  NJ!$D$2 ) * IF($D101="NJ",1.07,1))/$L$10, CHOOSE($M$10,$L$9,$M$9) )</f>
        <v xml:space="preserve"> 51.17 </v>
      </c>
      <c r="N101" s="179" t="str">
        <f>TEXT(   (SUMPRODUCT( ((LMPMain!$H$9:$H$1000)=$E101)*((LMPMain!$J$9:$J$1000)=$F101)*((LMPMain!$O$9:$O$1000)=$C101)*(LMPMain!T$9:T$1000) ) +  ( SUMPRODUCT( ((Adders!$D$13:$D$101)=$E101)*((Adders!$E$13:$E$101)=$F101)*(Adders!I$13:I$101)) + VLOOKUP($H101,Adders!$B$5:$G$8,N$11,FALSE)  +  NJ!$D$2 ) * IF($D101="NJ",1.07,1))/$L$10, CHOOSE($M$10,$L$9,$M$9) )</f>
        <v xml:space="preserve"> 50.46 </v>
      </c>
      <c r="O101" s="112"/>
    </row>
    <row r="102" spans="2:15" x14ac:dyDescent="0.25">
      <c r="B102" s="108"/>
      <c r="C102" s="131">
        <f t="shared" si="1"/>
        <v>42309</v>
      </c>
      <c r="D102" s="132" t="s">
        <v>31</v>
      </c>
      <c r="E102" s="133" t="s">
        <v>35</v>
      </c>
      <c r="F102" s="132" t="s">
        <v>9</v>
      </c>
      <c r="G102" s="133" t="str">
        <f t="shared" si="2"/>
        <v>General Service Large</v>
      </c>
      <c r="H102" s="134" t="s">
        <v>62</v>
      </c>
      <c r="I102" s="173" t="str">
        <f>TEXT(   (SUMPRODUCT( ((Main!$H$9:$H$1000)=$E102)*((Main!$J$9:$J$1000)=$F102)*((Main!$O$9:$O$1000)=$C102)*(Main!R$9:R$1000) ) +  ( SUMPRODUCT( ((Adders!$D$13:$D$101)=$E102)*((Adders!$E$13:$E$101)=$F102)*(Adders!G$13:G$101)) + VLOOKUP($H102,Adders!$B$5:$G$8,L$11,FALSE)  +  NJ!$D$2 ) * IF($D102="NJ",1.07,1))/$L$10, CHOOSE($M$10,$L$9,$M$9) )</f>
        <v xml:space="preserve"> 93.43 </v>
      </c>
      <c r="J102" s="173" t="str">
        <f>TEXT(   (SUMPRODUCT( ((Main!$H$9:$H$1000)=$E102)*((Main!$J$9:$J$1000)=$F102)*((Main!$O$9:$O$1000)=$C102)*(Main!S$9:S$1000) ) +  ( SUMPRODUCT( ((Adders!$D$13:$D$101)=$E102)*((Adders!$E$13:$E$101)=$F102)*(Adders!H$13:H$101)) + VLOOKUP($H102,Adders!$B$5:$G$8,M$11,FALSE)  +  NJ!$D$2 ) * IF($D102="NJ",1.07,1))/$L$10, CHOOSE($M$10,$L$9,$M$9) )</f>
        <v xml:space="preserve"> 94.16 </v>
      </c>
      <c r="K102" s="174" t="str">
        <f>TEXT(   (SUMPRODUCT( ((Main!$H$9:$H$1000)=$E102)*((Main!$J$9:$J$1000)=$F102)*((Main!$O$9:$O$1000)=$C102)*(Main!T$9:T$1000) ) +  ( SUMPRODUCT( ((Adders!$D$13:$D$101)=$E102)*((Adders!$E$13:$E$101)=$F102)*(Adders!I$13:I$101)) + VLOOKUP($H102,Adders!$B$5:$G$8,N$11,FALSE)  +  NJ!$D$2 ) * IF($D102="NJ",1.07,1))/$L$10, CHOOSE($M$10,$L$9,$M$9) )</f>
        <v xml:space="preserve"> 93.11 </v>
      </c>
      <c r="L102" s="173" t="str">
        <f>TEXT(   (SUMPRODUCT( ((LMPMain!$H$9:$H$1000)=$E102)*((LMPMain!$J$9:$J$1000)=$F102)*((LMPMain!$O$9:$O$1000)=$C102)*(LMPMain!R$9:R$1000) ) +  ( SUMPRODUCT( ((Adders!$D$13:$D$101)=$E102)*((Adders!$E$13:$E$101)=$F102)*(Adders!G$13:G$101)) + VLOOKUP($H102,Adders!$B$5:$G$8,L$11,FALSE)  +  NJ!$D$2 ) * IF($D102="NJ",1.07,1))/$L$10, CHOOSE($M$10,$L$9,$M$9) )</f>
        <v xml:space="preserve"> 49.36 </v>
      </c>
      <c r="M102" s="173" t="str">
        <f>TEXT(   (SUMPRODUCT( ((LMPMain!$H$9:$H$1000)=$E102)*((LMPMain!$J$9:$J$1000)=$F102)*((LMPMain!$O$9:$O$1000)=$C102)*(LMPMain!S$9:S$1000) ) +  ( SUMPRODUCT( ((Adders!$D$13:$D$101)=$E102)*((Adders!$E$13:$E$101)=$F102)*(Adders!H$13:H$101)) + VLOOKUP($H102,Adders!$B$5:$G$8,M$11,FALSE)  +  NJ!$D$2 ) * IF($D102="NJ",1.07,1))/$L$10, CHOOSE($M$10,$L$9,$M$9) )</f>
        <v xml:space="preserve"> 49.46 </v>
      </c>
      <c r="N102" s="174" t="str">
        <f>TEXT(   (SUMPRODUCT( ((LMPMain!$H$9:$H$1000)=$E102)*((LMPMain!$J$9:$J$1000)=$F102)*((LMPMain!$O$9:$O$1000)=$C102)*(LMPMain!T$9:T$1000) ) +  ( SUMPRODUCT( ((Adders!$D$13:$D$101)=$E102)*((Adders!$E$13:$E$101)=$F102)*(Adders!I$13:I$101)) + VLOOKUP($H102,Adders!$B$5:$G$8,N$11,FALSE)  +  NJ!$D$2 ) * IF($D102="NJ",1.07,1))/$L$10, CHOOSE($M$10,$L$9,$M$9) )</f>
        <v xml:space="preserve"> 48.75 </v>
      </c>
      <c r="O102" s="112"/>
    </row>
    <row r="103" spans="2:15" x14ac:dyDescent="0.25">
      <c r="B103" s="108"/>
      <c r="C103" s="135">
        <f t="shared" si="1"/>
        <v>42309</v>
      </c>
      <c r="D103" s="136" t="s">
        <v>31</v>
      </c>
      <c r="E103" s="137" t="s">
        <v>35</v>
      </c>
      <c r="F103" s="136" t="s">
        <v>9</v>
      </c>
      <c r="G103" s="137" t="str">
        <f t="shared" si="2"/>
        <v>General Service Large</v>
      </c>
      <c r="H103" s="138" t="s">
        <v>690</v>
      </c>
      <c r="I103" s="176" t="str">
        <f>TEXT(   (SUMPRODUCT( ((Main!$H$9:$H$1000)=$E103)*((Main!$J$9:$J$1000)=$F103)*((Main!$O$9:$O$1000)=$C103)*(Main!R$9:R$1000) ) +  ( SUMPRODUCT( ((Adders!$D$13:$D$101)=$E103)*((Adders!$E$13:$E$101)=$F103)*(Adders!G$13:G$101)) + VLOOKUP($H103,Adders!$B$5:$G$8,L$11,FALSE)  +  NJ!$D$2 ) * IF($D103="NJ",1.07,1))/$L$10, CHOOSE($M$10,$L$9,$M$9) )</f>
        <v xml:space="preserve"> 92.31 </v>
      </c>
      <c r="J103" s="176" t="str">
        <f>TEXT(   (SUMPRODUCT( ((Main!$H$9:$H$1000)=$E103)*((Main!$J$9:$J$1000)=$F103)*((Main!$O$9:$O$1000)=$C103)*(Main!S$9:S$1000) ) +  ( SUMPRODUCT( ((Adders!$D$13:$D$101)=$E103)*((Adders!$E$13:$E$101)=$F103)*(Adders!H$13:H$101)) + VLOOKUP($H103,Adders!$B$5:$G$8,M$11,FALSE)  +  NJ!$D$2 ) * IF($D103="NJ",1.07,1))/$L$10, CHOOSE($M$10,$L$9,$M$9) )</f>
        <v xml:space="preserve"> 93.04 </v>
      </c>
      <c r="K103" s="177" t="str">
        <f>TEXT(   (SUMPRODUCT( ((Main!$H$9:$H$1000)=$E103)*((Main!$J$9:$J$1000)=$F103)*((Main!$O$9:$O$1000)=$C103)*(Main!T$9:T$1000) ) +  ( SUMPRODUCT( ((Adders!$D$13:$D$101)=$E103)*((Adders!$E$13:$E$101)=$F103)*(Adders!I$13:I$101)) + VLOOKUP($H103,Adders!$B$5:$G$8,N$11,FALSE)  +  NJ!$D$2 ) * IF($D103="NJ",1.07,1))/$L$10, CHOOSE($M$10,$L$9,$M$9) )</f>
        <v xml:space="preserve"> 91.99 </v>
      </c>
      <c r="L103" s="176" t="str">
        <f>TEXT(   (SUMPRODUCT( ((LMPMain!$H$9:$H$1000)=$E103)*((LMPMain!$J$9:$J$1000)=$F103)*((LMPMain!$O$9:$O$1000)=$C103)*(LMPMain!R$9:R$1000) ) +  ( SUMPRODUCT( ((Adders!$D$13:$D$101)=$E103)*((Adders!$E$13:$E$101)=$F103)*(Adders!G$13:G$101)) + VLOOKUP($H103,Adders!$B$5:$G$8,L$11,FALSE)  +  NJ!$D$2 ) * IF($D103="NJ",1.07,1))/$L$10, CHOOSE($M$10,$L$9,$M$9) )</f>
        <v xml:space="preserve"> 48.23 </v>
      </c>
      <c r="M103" s="176" t="str">
        <f>TEXT(   (SUMPRODUCT( ((LMPMain!$H$9:$H$1000)=$E103)*((LMPMain!$J$9:$J$1000)=$F103)*((LMPMain!$O$9:$O$1000)=$C103)*(LMPMain!S$9:S$1000) ) +  ( SUMPRODUCT( ((Adders!$D$13:$D$101)=$E103)*((Adders!$E$13:$E$101)=$F103)*(Adders!H$13:H$101)) + VLOOKUP($H103,Adders!$B$5:$G$8,M$11,FALSE)  +  NJ!$D$2 ) * IF($D103="NJ",1.07,1))/$L$10, CHOOSE($M$10,$L$9,$M$9) )</f>
        <v xml:space="preserve"> 48.34 </v>
      </c>
      <c r="N103" s="177" t="str">
        <f>TEXT(   (SUMPRODUCT( ((LMPMain!$H$9:$H$1000)=$E103)*((LMPMain!$J$9:$J$1000)=$F103)*((LMPMain!$O$9:$O$1000)=$C103)*(LMPMain!T$9:T$1000) ) +  ( SUMPRODUCT( ((Adders!$D$13:$D$101)=$E103)*((Adders!$E$13:$E$101)=$F103)*(Adders!I$13:I$101)) + VLOOKUP($H103,Adders!$B$5:$G$8,N$11,FALSE)  +  NJ!$D$2 ) * IF($D103="NJ",1.07,1))/$L$10, CHOOSE($M$10,$L$9,$M$9) )</f>
        <v xml:space="preserve"> 47.63 </v>
      </c>
      <c r="O103" s="112"/>
    </row>
    <row r="104" spans="2:15" x14ac:dyDescent="0.25">
      <c r="B104" s="108"/>
      <c r="C104" s="127">
        <f t="shared" si="1"/>
        <v>42339</v>
      </c>
      <c r="D104" s="128" t="s">
        <v>31</v>
      </c>
      <c r="E104" s="129" t="s">
        <v>35</v>
      </c>
      <c r="F104" s="128" t="s">
        <v>9</v>
      </c>
      <c r="G104" s="129" t="str">
        <f t="shared" si="2"/>
        <v>General Service Large</v>
      </c>
      <c r="H104" s="130" t="s">
        <v>61</v>
      </c>
      <c r="I104" s="178" t="str">
        <f>TEXT(   (SUMPRODUCT( ((Main!$H$9:$H$1000)=$E104)*((Main!$J$9:$J$1000)=$F104)*((Main!$O$9:$O$1000)=$C104)*(Main!R$9:R$1000) ) +  ( SUMPRODUCT( ((Adders!$D$13:$D$101)=$E104)*((Adders!$E$13:$E$101)=$F104)*(Adders!G$13:G$101)) + VLOOKUP($H104,Adders!$B$5:$G$8,L$11,FALSE)  +  NJ!$D$2 ) * IF($D104="NJ",1.07,1))/$L$10, CHOOSE($M$10,$L$9,$M$9) )</f>
        <v xml:space="preserve"> 94.94 </v>
      </c>
      <c r="J104" s="178" t="str">
        <f>TEXT(   (SUMPRODUCT( ((Main!$H$9:$H$1000)=$E104)*((Main!$J$9:$J$1000)=$F104)*((Main!$O$9:$O$1000)=$C104)*(Main!S$9:S$1000) ) +  ( SUMPRODUCT( ((Adders!$D$13:$D$101)=$E104)*((Adders!$E$13:$E$101)=$F104)*(Adders!H$13:H$101)) + VLOOKUP($H104,Adders!$B$5:$G$8,M$11,FALSE)  +  NJ!$D$2 ) * IF($D104="NJ",1.07,1))/$L$10, CHOOSE($M$10,$L$9,$M$9) )</f>
        <v xml:space="preserve"> 95.76 </v>
      </c>
      <c r="K104" s="179" t="str">
        <f>TEXT(   (SUMPRODUCT( ((Main!$H$9:$H$1000)=$E104)*((Main!$J$9:$J$1000)=$F104)*((Main!$O$9:$O$1000)=$C104)*(Main!T$9:T$1000) ) +  ( SUMPRODUCT( ((Adders!$D$13:$D$101)=$E104)*((Adders!$E$13:$E$101)=$F104)*(Adders!I$13:I$101)) + VLOOKUP($H104,Adders!$B$5:$G$8,N$11,FALSE)  +  NJ!$D$2 ) * IF($D104="NJ",1.07,1))/$L$10, CHOOSE($M$10,$L$9,$M$9) )</f>
        <v xml:space="preserve"> 94.81 </v>
      </c>
      <c r="L104" s="178" t="str">
        <f>TEXT(   (SUMPRODUCT( ((LMPMain!$H$9:$H$1000)=$E104)*((LMPMain!$J$9:$J$1000)=$F104)*((LMPMain!$O$9:$O$1000)=$C104)*(LMPMain!R$9:R$1000) ) +  ( SUMPRODUCT( ((Adders!$D$13:$D$101)=$E104)*((Adders!$E$13:$E$101)=$F104)*(Adders!G$13:G$101)) + VLOOKUP($H104,Adders!$B$5:$G$8,L$11,FALSE)  +  NJ!$D$2 ) * IF($D104="NJ",1.07,1))/$L$10, CHOOSE($M$10,$L$9,$M$9) )</f>
        <v xml:space="preserve"> 50.73 </v>
      </c>
      <c r="M104" s="178" t="str">
        <f>TEXT(   (SUMPRODUCT( ((LMPMain!$H$9:$H$1000)=$E104)*((LMPMain!$J$9:$J$1000)=$F104)*((LMPMain!$O$9:$O$1000)=$C104)*(LMPMain!S$9:S$1000) ) +  ( SUMPRODUCT( ((Adders!$D$13:$D$101)=$E104)*((Adders!$E$13:$E$101)=$F104)*(Adders!H$13:H$101)) + VLOOKUP($H104,Adders!$B$5:$G$8,M$11,FALSE)  +  NJ!$D$2 ) * IF($D104="NJ",1.07,1))/$L$10, CHOOSE($M$10,$L$9,$M$9) )</f>
        <v xml:space="preserve"> 50.81 </v>
      </c>
      <c r="N104" s="179" t="str">
        <f>TEXT(   (SUMPRODUCT( ((LMPMain!$H$9:$H$1000)=$E104)*((LMPMain!$J$9:$J$1000)=$F104)*((LMPMain!$O$9:$O$1000)=$C104)*(LMPMain!T$9:T$1000) ) +  ( SUMPRODUCT( ((Adders!$D$13:$D$101)=$E104)*((Adders!$E$13:$E$101)=$F104)*(Adders!I$13:I$101)) + VLOOKUP($H104,Adders!$B$5:$G$8,N$11,FALSE)  +  NJ!$D$2 ) * IF($D104="NJ",1.07,1))/$L$10, CHOOSE($M$10,$L$9,$M$9) )</f>
        <v xml:space="preserve"> 50.35 </v>
      </c>
      <c r="O104" s="112"/>
    </row>
    <row r="105" spans="2:15" x14ac:dyDescent="0.25">
      <c r="B105" s="108"/>
      <c r="C105" s="131">
        <f t="shared" si="1"/>
        <v>42339</v>
      </c>
      <c r="D105" s="132" t="s">
        <v>31</v>
      </c>
      <c r="E105" s="133" t="s">
        <v>35</v>
      </c>
      <c r="F105" s="132" t="s">
        <v>9</v>
      </c>
      <c r="G105" s="133" t="str">
        <f t="shared" si="2"/>
        <v>General Service Large</v>
      </c>
      <c r="H105" s="134" t="s">
        <v>62</v>
      </c>
      <c r="I105" s="173" t="str">
        <f>TEXT(   (SUMPRODUCT( ((Main!$H$9:$H$1000)=$E105)*((Main!$J$9:$J$1000)=$F105)*((Main!$O$9:$O$1000)=$C105)*(Main!R$9:R$1000) ) +  ( SUMPRODUCT( ((Adders!$D$13:$D$101)=$E105)*((Adders!$E$13:$E$101)=$F105)*(Adders!G$13:G$101)) + VLOOKUP($H105,Adders!$B$5:$G$8,L$11,FALSE)  +  NJ!$D$2 ) * IF($D105="NJ",1.07,1))/$L$10, CHOOSE($M$10,$L$9,$M$9) )</f>
        <v xml:space="preserve"> 93.23 </v>
      </c>
      <c r="J105" s="173" t="str">
        <f>TEXT(   (SUMPRODUCT( ((Main!$H$9:$H$1000)=$E105)*((Main!$J$9:$J$1000)=$F105)*((Main!$O$9:$O$1000)=$C105)*(Main!S$9:S$1000) ) +  ( SUMPRODUCT( ((Adders!$D$13:$D$101)=$E105)*((Adders!$E$13:$E$101)=$F105)*(Adders!H$13:H$101)) + VLOOKUP($H105,Adders!$B$5:$G$8,M$11,FALSE)  +  NJ!$D$2 ) * IF($D105="NJ",1.07,1))/$L$10, CHOOSE($M$10,$L$9,$M$9) )</f>
        <v xml:space="preserve"> 94.05 </v>
      </c>
      <c r="K105" s="174" t="str">
        <f>TEXT(   (SUMPRODUCT( ((Main!$H$9:$H$1000)=$E105)*((Main!$J$9:$J$1000)=$F105)*((Main!$O$9:$O$1000)=$C105)*(Main!T$9:T$1000) ) +  ( SUMPRODUCT( ((Adders!$D$13:$D$101)=$E105)*((Adders!$E$13:$E$101)=$F105)*(Adders!I$13:I$101)) + VLOOKUP($H105,Adders!$B$5:$G$8,N$11,FALSE)  +  NJ!$D$2 ) * IF($D105="NJ",1.07,1))/$L$10, CHOOSE($M$10,$L$9,$M$9) )</f>
        <v xml:space="preserve"> 93.10 </v>
      </c>
      <c r="L105" s="173" t="str">
        <f>TEXT(   (SUMPRODUCT( ((LMPMain!$H$9:$H$1000)=$E105)*((LMPMain!$J$9:$J$1000)=$F105)*((LMPMain!$O$9:$O$1000)=$C105)*(LMPMain!R$9:R$1000) ) +  ( SUMPRODUCT( ((Adders!$D$13:$D$101)=$E105)*((Adders!$E$13:$E$101)=$F105)*(Adders!G$13:G$101)) + VLOOKUP($H105,Adders!$B$5:$G$8,L$11,FALSE)  +  NJ!$D$2 ) * IF($D105="NJ",1.07,1))/$L$10, CHOOSE($M$10,$L$9,$M$9) )</f>
        <v xml:space="preserve"> 49.02 </v>
      </c>
      <c r="M105" s="173" t="str">
        <f>TEXT(   (SUMPRODUCT( ((LMPMain!$H$9:$H$1000)=$E105)*((LMPMain!$J$9:$J$1000)=$F105)*((LMPMain!$O$9:$O$1000)=$C105)*(LMPMain!S$9:S$1000) ) +  ( SUMPRODUCT( ((Adders!$D$13:$D$101)=$E105)*((Adders!$E$13:$E$101)=$F105)*(Adders!H$13:H$101)) + VLOOKUP($H105,Adders!$B$5:$G$8,M$11,FALSE)  +  NJ!$D$2 ) * IF($D105="NJ",1.07,1))/$L$10, CHOOSE($M$10,$L$9,$M$9) )</f>
        <v xml:space="preserve"> 49.10 </v>
      </c>
      <c r="N105" s="174" t="str">
        <f>TEXT(   (SUMPRODUCT( ((LMPMain!$H$9:$H$1000)=$E105)*((LMPMain!$J$9:$J$1000)=$F105)*((LMPMain!$O$9:$O$1000)=$C105)*(LMPMain!T$9:T$1000) ) +  ( SUMPRODUCT( ((Adders!$D$13:$D$101)=$E105)*((Adders!$E$13:$E$101)=$F105)*(Adders!I$13:I$101)) + VLOOKUP($H105,Adders!$B$5:$G$8,N$11,FALSE)  +  NJ!$D$2 ) * IF($D105="NJ",1.07,1))/$L$10, CHOOSE($M$10,$L$9,$M$9) )</f>
        <v xml:space="preserve"> 48.63 </v>
      </c>
      <c r="O105" s="112"/>
    </row>
    <row r="106" spans="2:15" x14ac:dyDescent="0.25">
      <c r="B106" s="108"/>
      <c r="C106" s="135">
        <f t="shared" si="1"/>
        <v>42339</v>
      </c>
      <c r="D106" s="136" t="s">
        <v>31</v>
      </c>
      <c r="E106" s="137" t="s">
        <v>35</v>
      </c>
      <c r="F106" s="136" t="s">
        <v>9</v>
      </c>
      <c r="G106" s="137" t="str">
        <f t="shared" si="2"/>
        <v>General Service Large</v>
      </c>
      <c r="H106" s="138" t="s">
        <v>690</v>
      </c>
      <c r="I106" s="176" t="str">
        <f>TEXT(   (SUMPRODUCT( ((Main!$H$9:$H$1000)=$E106)*((Main!$J$9:$J$1000)=$F106)*((Main!$O$9:$O$1000)=$C106)*(Main!R$9:R$1000) ) +  ( SUMPRODUCT( ((Adders!$D$13:$D$101)=$E106)*((Adders!$E$13:$E$101)=$F106)*(Adders!G$13:G$101)) + VLOOKUP($H106,Adders!$B$5:$G$8,L$11,FALSE)  +  NJ!$D$2 ) * IF($D106="NJ",1.07,1))/$L$10, CHOOSE($M$10,$L$9,$M$9) )</f>
        <v xml:space="preserve"> 92.11 </v>
      </c>
      <c r="J106" s="176" t="str">
        <f>TEXT(   (SUMPRODUCT( ((Main!$H$9:$H$1000)=$E106)*((Main!$J$9:$J$1000)=$F106)*((Main!$O$9:$O$1000)=$C106)*(Main!S$9:S$1000) ) +  ( SUMPRODUCT( ((Adders!$D$13:$D$101)=$E106)*((Adders!$E$13:$E$101)=$F106)*(Adders!H$13:H$101)) + VLOOKUP($H106,Adders!$B$5:$G$8,M$11,FALSE)  +  NJ!$D$2 ) * IF($D106="NJ",1.07,1))/$L$10, CHOOSE($M$10,$L$9,$M$9) )</f>
        <v xml:space="preserve"> 92.93 </v>
      </c>
      <c r="K106" s="177" t="str">
        <f>TEXT(   (SUMPRODUCT( ((Main!$H$9:$H$1000)=$E106)*((Main!$J$9:$J$1000)=$F106)*((Main!$O$9:$O$1000)=$C106)*(Main!T$9:T$1000) ) +  ( SUMPRODUCT( ((Adders!$D$13:$D$101)=$E106)*((Adders!$E$13:$E$101)=$F106)*(Adders!I$13:I$101)) + VLOOKUP($H106,Adders!$B$5:$G$8,N$11,FALSE)  +  NJ!$D$2 ) * IF($D106="NJ",1.07,1))/$L$10, CHOOSE($M$10,$L$9,$M$9) )</f>
        <v xml:space="preserve"> 91.98 </v>
      </c>
      <c r="L106" s="176" t="str">
        <f>TEXT(   (SUMPRODUCT( ((LMPMain!$H$9:$H$1000)=$E106)*((LMPMain!$J$9:$J$1000)=$F106)*((LMPMain!$O$9:$O$1000)=$C106)*(LMPMain!R$9:R$1000) ) +  ( SUMPRODUCT( ((Adders!$D$13:$D$101)=$E106)*((Adders!$E$13:$E$101)=$F106)*(Adders!G$13:G$101)) + VLOOKUP($H106,Adders!$B$5:$G$8,L$11,FALSE)  +  NJ!$D$2 ) * IF($D106="NJ",1.07,1))/$L$10, CHOOSE($M$10,$L$9,$M$9) )</f>
        <v xml:space="preserve"> 47.89 </v>
      </c>
      <c r="M106" s="176" t="str">
        <f>TEXT(   (SUMPRODUCT( ((LMPMain!$H$9:$H$1000)=$E106)*((LMPMain!$J$9:$J$1000)=$F106)*((LMPMain!$O$9:$O$1000)=$C106)*(LMPMain!S$9:S$1000) ) +  ( SUMPRODUCT( ((Adders!$D$13:$D$101)=$E106)*((Adders!$E$13:$E$101)=$F106)*(Adders!H$13:H$101)) + VLOOKUP($H106,Adders!$B$5:$G$8,M$11,FALSE)  +  NJ!$D$2 ) * IF($D106="NJ",1.07,1))/$L$10, CHOOSE($M$10,$L$9,$M$9) )</f>
        <v xml:space="preserve"> 47.97 </v>
      </c>
      <c r="N106" s="177" t="str">
        <f>TEXT(   (SUMPRODUCT( ((LMPMain!$H$9:$H$1000)=$E106)*((LMPMain!$J$9:$J$1000)=$F106)*((LMPMain!$O$9:$O$1000)=$C106)*(LMPMain!T$9:T$1000) ) +  ( SUMPRODUCT( ((Adders!$D$13:$D$101)=$E106)*((Adders!$E$13:$E$101)=$F106)*(Adders!I$13:I$101)) + VLOOKUP($H106,Adders!$B$5:$G$8,N$11,FALSE)  +  NJ!$D$2 ) * IF($D106="NJ",1.07,1))/$L$10, CHOOSE($M$10,$L$9,$M$9) )</f>
        <v xml:space="preserve"> 47.51 </v>
      </c>
      <c r="O106" s="112"/>
    </row>
    <row r="107" spans="2:15" x14ac:dyDescent="0.25">
      <c r="B107" s="108"/>
      <c r="C107" s="127">
        <f t="shared" si="1"/>
        <v>42370</v>
      </c>
      <c r="D107" s="128" t="s">
        <v>31</v>
      </c>
      <c r="E107" s="129" t="s">
        <v>35</v>
      </c>
      <c r="F107" s="128" t="s">
        <v>9</v>
      </c>
      <c r="G107" s="129" t="str">
        <f t="shared" si="2"/>
        <v>General Service Large</v>
      </c>
      <c r="H107" s="130" t="s">
        <v>61</v>
      </c>
      <c r="I107" s="178" t="str">
        <f>TEXT(   (SUMPRODUCT( ((Main!$H$9:$H$1000)=$E107)*((Main!$J$9:$J$1000)=$F107)*((Main!$O$9:$O$1000)=$C107)*(Main!R$9:R$1000) ) +  ( SUMPRODUCT( ((Adders!$D$13:$D$101)=$E107)*((Adders!$E$13:$E$101)=$F107)*(Adders!G$13:G$101)) + VLOOKUP($H107,Adders!$B$5:$G$8,L$11,FALSE)  +  NJ!$D$2 ) * IF($D107="NJ",1.07,1))/$L$10, CHOOSE($M$10,$L$9,$M$9) )</f>
        <v xml:space="preserve"> 94.54 </v>
      </c>
      <c r="J107" s="178" t="str">
        <f>TEXT(   (SUMPRODUCT( ((Main!$H$9:$H$1000)=$E107)*((Main!$J$9:$J$1000)=$F107)*((Main!$O$9:$O$1000)=$C107)*(Main!S$9:S$1000) ) +  ( SUMPRODUCT( ((Adders!$D$13:$D$101)=$E107)*((Adders!$E$13:$E$101)=$F107)*(Adders!H$13:H$101)) + VLOOKUP($H107,Adders!$B$5:$G$8,M$11,FALSE)  +  NJ!$D$2 ) * IF($D107="NJ",1.07,1))/$L$10, CHOOSE($M$10,$L$9,$M$9) )</f>
        <v xml:space="preserve"> 95.45 </v>
      </c>
      <c r="K107" s="179" t="str">
        <f>TEXT(   (SUMPRODUCT( ((Main!$H$9:$H$1000)=$E107)*((Main!$J$9:$J$1000)=$F107)*((Main!$O$9:$O$1000)=$C107)*(Main!T$9:T$1000) ) +  ( SUMPRODUCT( ((Adders!$D$13:$D$101)=$E107)*((Adders!$E$13:$E$101)=$F107)*(Adders!I$13:I$101)) + VLOOKUP($H107,Adders!$B$5:$G$8,N$11,FALSE)  +  NJ!$D$2 ) * IF($D107="NJ",1.07,1))/$L$10, CHOOSE($M$10,$L$9,$M$9) )</f>
        <v xml:space="preserve"> 94.66 </v>
      </c>
      <c r="L107" s="178" t="str">
        <f>TEXT(   (SUMPRODUCT( ((LMPMain!$H$9:$H$1000)=$E107)*((LMPMain!$J$9:$J$1000)=$F107)*((LMPMain!$O$9:$O$1000)=$C107)*(LMPMain!R$9:R$1000) ) +  ( SUMPRODUCT( ((Adders!$D$13:$D$101)=$E107)*((Adders!$E$13:$E$101)=$F107)*(Adders!G$13:G$101)) + VLOOKUP($H107,Adders!$B$5:$G$8,L$11,FALSE)  +  NJ!$D$2 ) * IF($D107="NJ",1.07,1))/$L$10, CHOOSE($M$10,$L$9,$M$9) )</f>
        <v xml:space="preserve"> 50.43 </v>
      </c>
      <c r="M107" s="178" t="str">
        <f>TEXT(   (SUMPRODUCT( ((LMPMain!$H$9:$H$1000)=$E107)*((LMPMain!$J$9:$J$1000)=$F107)*((LMPMain!$O$9:$O$1000)=$C107)*(LMPMain!S$9:S$1000) ) +  ( SUMPRODUCT( ((Adders!$D$13:$D$101)=$E107)*((Adders!$E$13:$E$101)=$F107)*(Adders!H$13:H$101)) + VLOOKUP($H107,Adders!$B$5:$G$8,M$11,FALSE)  +  NJ!$D$2 ) * IF($D107="NJ",1.07,1))/$L$10, CHOOSE($M$10,$L$9,$M$9) )</f>
        <v xml:space="preserve"> 50.45 </v>
      </c>
      <c r="N107" s="179" t="str">
        <f>TEXT(   (SUMPRODUCT( ((LMPMain!$H$9:$H$1000)=$E107)*((LMPMain!$J$9:$J$1000)=$F107)*((LMPMain!$O$9:$O$1000)=$C107)*(LMPMain!T$9:T$1000) ) +  ( SUMPRODUCT( ((Adders!$D$13:$D$101)=$E107)*((Adders!$E$13:$E$101)=$F107)*(Adders!I$13:I$101)) + VLOOKUP($H107,Adders!$B$5:$G$8,N$11,FALSE)  +  NJ!$D$2 ) * IF($D107="NJ",1.07,1))/$L$10, CHOOSE($M$10,$L$9,$M$9) )</f>
        <v xml:space="preserve"> 50.24 </v>
      </c>
      <c r="O107" s="112"/>
    </row>
    <row r="108" spans="2:15" x14ac:dyDescent="0.25">
      <c r="B108" s="108"/>
      <c r="C108" s="131">
        <f t="shared" si="1"/>
        <v>42370</v>
      </c>
      <c r="D108" s="132" t="s">
        <v>31</v>
      </c>
      <c r="E108" s="133" t="s">
        <v>35</v>
      </c>
      <c r="F108" s="132" t="s">
        <v>9</v>
      </c>
      <c r="G108" s="133" t="str">
        <f t="shared" si="2"/>
        <v>General Service Large</v>
      </c>
      <c r="H108" s="134" t="s">
        <v>62</v>
      </c>
      <c r="I108" s="173" t="str">
        <f>TEXT(   (SUMPRODUCT( ((Main!$H$9:$H$1000)=$E108)*((Main!$J$9:$J$1000)=$F108)*((Main!$O$9:$O$1000)=$C108)*(Main!R$9:R$1000) ) +  ( SUMPRODUCT( ((Adders!$D$13:$D$101)=$E108)*((Adders!$E$13:$E$101)=$F108)*(Adders!G$13:G$101)) + VLOOKUP($H108,Adders!$B$5:$G$8,L$11,FALSE)  +  NJ!$D$2 ) * IF($D108="NJ",1.07,1))/$L$10, CHOOSE($M$10,$L$9,$M$9) )</f>
        <v xml:space="preserve"> 92.83 </v>
      </c>
      <c r="J108" s="173" t="str">
        <f>TEXT(   (SUMPRODUCT( ((Main!$H$9:$H$1000)=$E108)*((Main!$J$9:$J$1000)=$F108)*((Main!$O$9:$O$1000)=$C108)*(Main!S$9:S$1000) ) +  ( SUMPRODUCT( ((Adders!$D$13:$D$101)=$E108)*((Adders!$E$13:$E$101)=$F108)*(Adders!H$13:H$101)) + VLOOKUP($H108,Adders!$B$5:$G$8,M$11,FALSE)  +  NJ!$D$2 ) * IF($D108="NJ",1.07,1))/$L$10, CHOOSE($M$10,$L$9,$M$9) )</f>
        <v xml:space="preserve"> 93.74 </v>
      </c>
      <c r="K108" s="174" t="str">
        <f>TEXT(   (SUMPRODUCT( ((Main!$H$9:$H$1000)=$E108)*((Main!$J$9:$J$1000)=$F108)*((Main!$O$9:$O$1000)=$C108)*(Main!T$9:T$1000) ) +  ( SUMPRODUCT( ((Adders!$D$13:$D$101)=$E108)*((Adders!$E$13:$E$101)=$F108)*(Adders!I$13:I$101)) + VLOOKUP($H108,Adders!$B$5:$G$8,N$11,FALSE)  +  NJ!$D$2 ) * IF($D108="NJ",1.07,1))/$L$10, CHOOSE($M$10,$L$9,$M$9) )</f>
        <v xml:space="preserve"> 92.95 </v>
      </c>
      <c r="L108" s="173" t="str">
        <f>TEXT(   (SUMPRODUCT( ((LMPMain!$H$9:$H$1000)=$E108)*((LMPMain!$J$9:$J$1000)=$F108)*((LMPMain!$O$9:$O$1000)=$C108)*(LMPMain!R$9:R$1000) ) +  ( SUMPRODUCT( ((Adders!$D$13:$D$101)=$E108)*((Adders!$E$13:$E$101)=$F108)*(Adders!G$13:G$101)) + VLOOKUP($H108,Adders!$B$5:$G$8,L$11,FALSE)  +  NJ!$D$2 ) * IF($D108="NJ",1.07,1))/$L$10, CHOOSE($M$10,$L$9,$M$9) )</f>
        <v xml:space="preserve"> 48.71 </v>
      </c>
      <c r="M108" s="173" t="str">
        <f>TEXT(   (SUMPRODUCT( ((LMPMain!$H$9:$H$1000)=$E108)*((LMPMain!$J$9:$J$1000)=$F108)*((LMPMain!$O$9:$O$1000)=$C108)*(LMPMain!S$9:S$1000) ) +  ( SUMPRODUCT( ((Adders!$D$13:$D$101)=$E108)*((Adders!$E$13:$E$101)=$F108)*(Adders!H$13:H$101)) + VLOOKUP($H108,Adders!$B$5:$G$8,M$11,FALSE)  +  NJ!$D$2 ) * IF($D108="NJ",1.07,1))/$L$10, CHOOSE($M$10,$L$9,$M$9) )</f>
        <v xml:space="preserve"> 48.73 </v>
      </c>
      <c r="N108" s="174" t="str">
        <f>TEXT(   (SUMPRODUCT( ((LMPMain!$H$9:$H$1000)=$E108)*((LMPMain!$J$9:$J$1000)=$F108)*((LMPMain!$O$9:$O$1000)=$C108)*(LMPMain!T$9:T$1000) ) +  ( SUMPRODUCT( ((Adders!$D$13:$D$101)=$E108)*((Adders!$E$13:$E$101)=$F108)*(Adders!I$13:I$101)) + VLOOKUP($H108,Adders!$B$5:$G$8,N$11,FALSE)  +  NJ!$D$2 ) * IF($D108="NJ",1.07,1))/$L$10, CHOOSE($M$10,$L$9,$M$9) )</f>
        <v xml:space="preserve"> 48.53 </v>
      </c>
      <c r="O108" s="112"/>
    </row>
    <row r="109" spans="2:15" x14ac:dyDescent="0.25">
      <c r="B109" s="108"/>
      <c r="C109" s="135">
        <f t="shared" si="1"/>
        <v>42370</v>
      </c>
      <c r="D109" s="136" t="s">
        <v>31</v>
      </c>
      <c r="E109" s="137" t="s">
        <v>35</v>
      </c>
      <c r="F109" s="136" t="s">
        <v>9</v>
      </c>
      <c r="G109" s="137" t="str">
        <f t="shared" si="2"/>
        <v>General Service Large</v>
      </c>
      <c r="H109" s="138" t="s">
        <v>690</v>
      </c>
      <c r="I109" s="176" t="str">
        <f>TEXT(   (SUMPRODUCT( ((Main!$H$9:$H$1000)=$E109)*((Main!$J$9:$J$1000)=$F109)*((Main!$O$9:$O$1000)=$C109)*(Main!R$9:R$1000) ) +  ( SUMPRODUCT( ((Adders!$D$13:$D$101)=$E109)*((Adders!$E$13:$E$101)=$F109)*(Adders!G$13:G$101)) + VLOOKUP($H109,Adders!$B$5:$G$8,L$11,FALSE)  +  NJ!$D$2 ) * IF($D109="NJ",1.07,1))/$L$10, CHOOSE($M$10,$L$9,$M$9) )</f>
        <v xml:space="preserve"> 91.71 </v>
      </c>
      <c r="J109" s="176" t="str">
        <f>TEXT(   (SUMPRODUCT( ((Main!$H$9:$H$1000)=$E109)*((Main!$J$9:$J$1000)=$F109)*((Main!$O$9:$O$1000)=$C109)*(Main!S$9:S$1000) ) +  ( SUMPRODUCT( ((Adders!$D$13:$D$101)=$E109)*((Adders!$E$13:$E$101)=$F109)*(Adders!H$13:H$101)) + VLOOKUP($H109,Adders!$B$5:$G$8,M$11,FALSE)  +  NJ!$D$2 ) * IF($D109="NJ",1.07,1))/$L$10, CHOOSE($M$10,$L$9,$M$9) )</f>
        <v xml:space="preserve"> 92.62 </v>
      </c>
      <c r="K109" s="177" t="str">
        <f>TEXT(   (SUMPRODUCT( ((Main!$H$9:$H$1000)=$E109)*((Main!$J$9:$J$1000)=$F109)*((Main!$O$9:$O$1000)=$C109)*(Main!T$9:T$1000) ) +  ( SUMPRODUCT( ((Adders!$D$13:$D$101)=$E109)*((Adders!$E$13:$E$101)=$F109)*(Adders!I$13:I$101)) + VLOOKUP($H109,Adders!$B$5:$G$8,N$11,FALSE)  +  NJ!$D$2 ) * IF($D109="NJ",1.07,1))/$L$10, CHOOSE($M$10,$L$9,$M$9) )</f>
        <v xml:space="preserve"> 91.83 </v>
      </c>
      <c r="L109" s="176" t="str">
        <f>TEXT(   (SUMPRODUCT( ((LMPMain!$H$9:$H$1000)=$E109)*((LMPMain!$J$9:$J$1000)=$F109)*((LMPMain!$O$9:$O$1000)=$C109)*(LMPMain!R$9:R$1000) ) +  ( SUMPRODUCT( ((Adders!$D$13:$D$101)=$E109)*((Adders!$E$13:$E$101)=$F109)*(Adders!G$13:G$101)) + VLOOKUP($H109,Adders!$B$5:$G$8,L$11,FALSE)  +  NJ!$D$2 ) * IF($D109="NJ",1.07,1))/$L$10, CHOOSE($M$10,$L$9,$M$9) )</f>
        <v xml:space="preserve"> 47.59 </v>
      </c>
      <c r="M109" s="176" t="str">
        <f>TEXT(   (SUMPRODUCT( ((LMPMain!$H$9:$H$1000)=$E109)*((LMPMain!$J$9:$J$1000)=$F109)*((LMPMain!$O$9:$O$1000)=$C109)*(LMPMain!S$9:S$1000) ) +  ( SUMPRODUCT( ((Adders!$D$13:$D$101)=$E109)*((Adders!$E$13:$E$101)=$F109)*(Adders!H$13:H$101)) + VLOOKUP($H109,Adders!$B$5:$G$8,M$11,FALSE)  +  NJ!$D$2 ) * IF($D109="NJ",1.07,1))/$L$10, CHOOSE($M$10,$L$9,$M$9) )</f>
        <v xml:space="preserve"> 47.61 </v>
      </c>
      <c r="N109" s="177" t="str">
        <f>TEXT(   (SUMPRODUCT( ((LMPMain!$H$9:$H$1000)=$E109)*((LMPMain!$J$9:$J$1000)=$F109)*((LMPMain!$O$9:$O$1000)=$C109)*(LMPMain!T$9:T$1000) ) +  ( SUMPRODUCT( ((Adders!$D$13:$D$101)=$E109)*((Adders!$E$13:$E$101)=$F109)*(Adders!I$13:I$101)) + VLOOKUP($H109,Adders!$B$5:$G$8,N$11,FALSE)  +  NJ!$D$2 ) * IF($D109="NJ",1.07,1))/$L$10, CHOOSE($M$10,$L$9,$M$9) )</f>
        <v xml:space="preserve"> 47.40 </v>
      </c>
      <c r="O109" s="112"/>
    </row>
    <row r="110" spans="2:15" x14ac:dyDescent="0.25">
      <c r="B110" s="108"/>
      <c r="C110" s="127">
        <f t="shared" si="1"/>
        <v>42401</v>
      </c>
      <c r="D110" s="128" t="s">
        <v>31</v>
      </c>
      <c r="E110" s="129" t="s">
        <v>35</v>
      </c>
      <c r="F110" s="128" t="s">
        <v>9</v>
      </c>
      <c r="G110" s="129" t="str">
        <f t="shared" si="2"/>
        <v>General Service Large</v>
      </c>
      <c r="H110" s="130" t="s">
        <v>61</v>
      </c>
      <c r="I110" s="178" t="str">
        <f>TEXT(   (SUMPRODUCT( ((Main!$H$9:$H$1000)=$E110)*((Main!$J$9:$J$1000)=$F110)*((Main!$O$9:$O$1000)=$C110)*(Main!R$9:R$1000) ) +  ( SUMPRODUCT( ((Adders!$D$13:$D$101)=$E110)*((Adders!$E$13:$E$101)=$F110)*(Adders!G$13:G$101)) + VLOOKUP($H110,Adders!$B$5:$G$8,L$11,FALSE)  +  NJ!$D$2 ) * IF($D110="NJ",1.07,1))/$L$10, CHOOSE($M$10,$L$9,$M$9) )</f>
        <v xml:space="preserve"> 94.33 </v>
      </c>
      <c r="J110" s="178" t="str">
        <f>TEXT(   (SUMPRODUCT( ((Main!$H$9:$H$1000)=$E110)*((Main!$J$9:$J$1000)=$F110)*((Main!$O$9:$O$1000)=$C110)*(Main!S$9:S$1000) ) +  ( SUMPRODUCT( ((Adders!$D$13:$D$101)=$E110)*((Adders!$E$13:$E$101)=$F110)*(Adders!H$13:H$101)) + VLOOKUP($H110,Adders!$B$5:$G$8,M$11,FALSE)  +  NJ!$D$2 ) * IF($D110="NJ",1.07,1))/$L$10, CHOOSE($M$10,$L$9,$M$9) )</f>
        <v xml:space="preserve"> 94.56 </v>
      </c>
      <c r="K110" s="179" t="str">
        <f>TEXT(   (SUMPRODUCT( ((Main!$H$9:$H$1000)=$E110)*((Main!$J$9:$J$1000)=$F110)*((Main!$O$9:$O$1000)=$C110)*(Main!T$9:T$1000) ) +  ( SUMPRODUCT( ((Adders!$D$13:$D$101)=$E110)*((Adders!$E$13:$E$101)=$F110)*(Adders!I$13:I$101)) + VLOOKUP($H110,Adders!$B$5:$G$8,N$11,FALSE)  +  NJ!$D$2 ) * IF($D110="NJ",1.07,1))/$L$10, CHOOSE($M$10,$L$9,$M$9) )</f>
        <v xml:space="preserve"> 94.79 </v>
      </c>
      <c r="L110" s="178" t="str">
        <f>TEXT(   (SUMPRODUCT( ((LMPMain!$H$9:$H$1000)=$E110)*((LMPMain!$J$9:$J$1000)=$F110)*((LMPMain!$O$9:$O$1000)=$C110)*(LMPMain!R$9:R$1000) ) +  ( SUMPRODUCT( ((Adders!$D$13:$D$101)=$E110)*((Adders!$E$13:$E$101)=$F110)*(Adders!G$13:G$101)) + VLOOKUP($H110,Adders!$B$5:$G$8,L$11,FALSE)  +  NJ!$D$2 ) * IF($D110="NJ",1.07,1))/$L$10, CHOOSE($M$10,$L$9,$M$9) )</f>
        <v xml:space="preserve"> 50.09 </v>
      </c>
      <c r="M110" s="178" t="str">
        <f>TEXT(   (SUMPRODUCT( ((LMPMain!$H$9:$H$1000)=$E110)*((LMPMain!$J$9:$J$1000)=$F110)*((LMPMain!$O$9:$O$1000)=$C110)*(LMPMain!S$9:S$1000) ) +  ( SUMPRODUCT( ((Adders!$D$13:$D$101)=$E110)*((Adders!$E$13:$E$101)=$F110)*(Adders!H$13:H$101)) + VLOOKUP($H110,Adders!$B$5:$G$8,M$11,FALSE)  +  NJ!$D$2 ) * IF($D110="NJ",1.07,1))/$L$10, CHOOSE($M$10,$L$9,$M$9) )</f>
        <v xml:space="preserve"> 50.09 </v>
      </c>
      <c r="N110" s="179" t="str">
        <f>TEXT(   (SUMPRODUCT( ((LMPMain!$H$9:$H$1000)=$E110)*((LMPMain!$J$9:$J$1000)=$F110)*((LMPMain!$O$9:$O$1000)=$C110)*(LMPMain!T$9:T$1000) ) +  ( SUMPRODUCT( ((Adders!$D$13:$D$101)=$E110)*((Adders!$E$13:$E$101)=$F110)*(Adders!I$13:I$101)) + VLOOKUP($H110,Adders!$B$5:$G$8,N$11,FALSE)  +  NJ!$D$2 ) * IF($D110="NJ",1.07,1))/$L$10, CHOOSE($M$10,$L$9,$M$9) )</f>
        <v xml:space="preserve"> 50.14 </v>
      </c>
      <c r="O110" s="112"/>
    </row>
    <row r="111" spans="2:15" x14ac:dyDescent="0.25">
      <c r="B111" s="108"/>
      <c r="C111" s="131">
        <f t="shared" si="1"/>
        <v>42401</v>
      </c>
      <c r="D111" s="132" t="s">
        <v>31</v>
      </c>
      <c r="E111" s="133" t="s">
        <v>35</v>
      </c>
      <c r="F111" s="132" t="s">
        <v>9</v>
      </c>
      <c r="G111" s="133" t="str">
        <f t="shared" si="2"/>
        <v>General Service Large</v>
      </c>
      <c r="H111" s="134" t="s">
        <v>62</v>
      </c>
      <c r="I111" s="173" t="str">
        <f>TEXT(   (SUMPRODUCT( ((Main!$H$9:$H$1000)=$E111)*((Main!$J$9:$J$1000)=$F111)*((Main!$O$9:$O$1000)=$C111)*(Main!R$9:R$1000) ) +  ( SUMPRODUCT( ((Adders!$D$13:$D$101)=$E111)*((Adders!$E$13:$E$101)=$F111)*(Adders!G$13:G$101)) + VLOOKUP($H111,Adders!$B$5:$G$8,L$11,FALSE)  +  NJ!$D$2 ) * IF($D111="NJ",1.07,1))/$L$10, CHOOSE($M$10,$L$9,$M$9) )</f>
        <v xml:space="preserve"> 92.62 </v>
      </c>
      <c r="J111" s="173" t="str">
        <f>TEXT(   (SUMPRODUCT( ((Main!$H$9:$H$1000)=$E111)*((Main!$J$9:$J$1000)=$F111)*((Main!$O$9:$O$1000)=$C111)*(Main!S$9:S$1000) ) +  ( SUMPRODUCT( ((Adders!$D$13:$D$101)=$E111)*((Adders!$E$13:$E$101)=$F111)*(Adders!H$13:H$101)) + VLOOKUP($H111,Adders!$B$5:$G$8,M$11,FALSE)  +  NJ!$D$2 ) * IF($D111="NJ",1.07,1))/$L$10, CHOOSE($M$10,$L$9,$M$9) )</f>
        <v xml:space="preserve"> 92.85 </v>
      </c>
      <c r="K111" s="174" t="str">
        <f>TEXT(   (SUMPRODUCT( ((Main!$H$9:$H$1000)=$E111)*((Main!$J$9:$J$1000)=$F111)*((Main!$O$9:$O$1000)=$C111)*(Main!T$9:T$1000) ) +  ( SUMPRODUCT( ((Adders!$D$13:$D$101)=$E111)*((Adders!$E$13:$E$101)=$F111)*(Adders!I$13:I$101)) + VLOOKUP($H111,Adders!$B$5:$G$8,N$11,FALSE)  +  NJ!$D$2 ) * IF($D111="NJ",1.07,1))/$L$10, CHOOSE($M$10,$L$9,$M$9) )</f>
        <v xml:space="preserve"> 93.08 </v>
      </c>
      <c r="L111" s="173" t="str">
        <f>TEXT(   (SUMPRODUCT( ((LMPMain!$H$9:$H$1000)=$E111)*((LMPMain!$J$9:$J$1000)=$F111)*((LMPMain!$O$9:$O$1000)=$C111)*(LMPMain!R$9:R$1000) ) +  ( SUMPRODUCT( ((Adders!$D$13:$D$101)=$E111)*((Adders!$E$13:$E$101)=$F111)*(Adders!G$13:G$101)) + VLOOKUP($H111,Adders!$B$5:$G$8,L$11,FALSE)  +  NJ!$D$2 ) * IF($D111="NJ",1.07,1))/$L$10, CHOOSE($M$10,$L$9,$M$9) )</f>
        <v xml:space="preserve"> 48.38 </v>
      </c>
      <c r="M111" s="173" t="str">
        <f>TEXT(   (SUMPRODUCT( ((LMPMain!$H$9:$H$1000)=$E111)*((LMPMain!$J$9:$J$1000)=$F111)*((LMPMain!$O$9:$O$1000)=$C111)*(LMPMain!S$9:S$1000) ) +  ( SUMPRODUCT( ((Adders!$D$13:$D$101)=$E111)*((Adders!$E$13:$E$101)=$F111)*(Adders!H$13:H$101)) + VLOOKUP($H111,Adders!$B$5:$G$8,M$11,FALSE)  +  NJ!$D$2 ) * IF($D111="NJ",1.07,1))/$L$10, CHOOSE($M$10,$L$9,$M$9) )</f>
        <v xml:space="preserve"> 48.38 </v>
      </c>
      <c r="N111" s="174" t="str">
        <f>TEXT(   (SUMPRODUCT( ((LMPMain!$H$9:$H$1000)=$E111)*((LMPMain!$J$9:$J$1000)=$F111)*((LMPMain!$O$9:$O$1000)=$C111)*(LMPMain!T$9:T$1000) ) +  ( SUMPRODUCT( ((Adders!$D$13:$D$101)=$E111)*((Adders!$E$13:$E$101)=$F111)*(Adders!I$13:I$101)) + VLOOKUP($H111,Adders!$B$5:$G$8,N$11,FALSE)  +  NJ!$D$2 ) * IF($D111="NJ",1.07,1))/$L$10, CHOOSE($M$10,$L$9,$M$9) )</f>
        <v xml:space="preserve"> 48.43 </v>
      </c>
      <c r="O111" s="112"/>
    </row>
    <row r="112" spans="2:15" x14ac:dyDescent="0.25">
      <c r="B112" s="108"/>
      <c r="C112" s="135">
        <f t="shared" si="1"/>
        <v>42401</v>
      </c>
      <c r="D112" s="136" t="s">
        <v>31</v>
      </c>
      <c r="E112" s="137" t="s">
        <v>35</v>
      </c>
      <c r="F112" s="136" t="s">
        <v>9</v>
      </c>
      <c r="G112" s="137" t="str">
        <f t="shared" si="2"/>
        <v>General Service Large</v>
      </c>
      <c r="H112" s="138" t="s">
        <v>690</v>
      </c>
      <c r="I112" s="176" t="str">
        <f>TEXT(   (SUMPRODUCT( ((Main!$H$9:$H$1000)=$E112)*((Main!$J$9:$J$1000)=$F112)*((Main!$O$9:$O$1000)=$C112)*(Main!R$9:R$1000) ) +  ( SUMPRODUCT( ((Adders!$D$13:$D$101)=$E112)*((Adders!$E$13:$E$101)=$F112)*(Adders!G$13:G$101)) + VLOOKUP($H112,Adders!$B$5:$G$8,L$11,FALSE)  +  NJ!$D$2 ) * IF($D112="NJ",1.07,1))/$L$10, CHOOSE($M$10,$L$9,$M$9) )</f>
        <v xml:space="preserve"> 91.50 </v>
      </c>
      <c r="J112" s="176" t="str">
        <f>TEXT(   (SUMPRODUCT( ((Main!$H$9:$H$1000)=$E112)*((Main!$J$9:$J$1000)=$F112)*((Main!$O$9:$O$1000)=$C112)*(Main!S$9:S$1000) ) +  ( SUMPRODUCT( ((Adders!$D$13:$D$101)=$E112)*((Adders!$E$13:$E$101)=$F112)*(Adders!H$13:H$101)) + VLOOKUP($H112,Adders!$B$5:$G$8,M$11,FALSE)  +  NJ!$D$2 ) * IF($D112="NJ",1.07,1))/$L$10, CHOOSE($M$10,$L$9,$M$9) )</f>
        <v xml:space="preserve"> 91.73 </v>
      </c>
      <c r="K112" s="177" t="str">
        <f>TEXT(   (SUMPRODUCT( ((Main!$H$9:$H$1000)=$E112)*((Main!$J$9:$J$1000)=$F112)*((Main!$O$9:$O$1000)=$C112)*(Main!T$9:T$1000) ) +  ( SUMPRODUCT( ((Adders!$D$13:$D$101)=$E112)*((Adders!$E$13:$E$101)=$F112)*(Adders!I$13:I$101)) + VLOOKUP($H112,Adders!$B$5:$G$8,N$11,FALSE)  +  NJ!$D$2 ) * IF($D112="NJ",1.07,1))/$L$10, CHOOSE($M$10,$L$9,$M$9) )</f>
        <v xml:space="preserve"> 91.96 </v>
      </c>
      <c r="L112" s="176" t="str">
        <f>TEXT(   (SUMPRODUCT( ((LMPMain!$H$9:$H$1000)=$E112)*((LMPMain!$J$9:$J$1000)=$F112)*((LMPMain!$O$9:$O$1000)=$C112)*(LMPMain!R$9:R$1000) ) +  ( SUMPRODUCT( ((Adders!$D$13:$D$101)=$E112)*((Adders!$E$13:$E$101)=$F112)*(Adders!G$13:G$101)) + VLOOKUP($H112,Adders!$B$5:$G$8,L$11,FALSE)  +  NJ!$D$2 ) * IF($D112="NJ",1.07,1))/$L$10, CHOOSE($M$10,$L$9,$M$9) )</f>
        <v xml:space="preserve"> 47.26 </v>
      </c>
      <c r="M112" s="176" t="str">
        <f>TEXT(   (SUMPRODUCT( ((LMPMain!$H$9:$H$1000)=$E112)*((LMPMain!$J$9:$J$1000)=$F112)*((LMPMain!$O$9:$O$1000)=$C112)*(LMPMain!S$9:S$1000) ) +  ( SUMPRODUCT( ((Adders!$D$13:$D$101)=$E112)*((Adders!$E$13:$E$101)=$F112)*(Adders!H$13:H$101)) + VLOOKUP($H112,Adders!$B$5:$G$8,M$11,FALSE)  +  NJ!$D$2 ) * IF($D112="NJ",1.07,1))/$L$10, CHOOSE($M$10,$L$9,$M$9) )</f>
        <v xml:space="preserve"> 47.26 </v>
      </c>
      <c r="N112" s="177" t="str">
        <f>TEXT(   (SUMPRODUCT( ((LMPMain!$H$9:$H$1000)=$E112)*((LMPMain!$J$9:$J$1000)=$F112)*((LMPMain!$O$9:$O$1000)=$C112)*(LMPMain!T$9:T$1000) ) +  ( SUMPRODUCT( ((Adders!$D$13:$D$101)=$E112)*((Adders!$E$13:$E$101)=$F112)*(Adders!I$13:I$101)) + VLOOKUP($H112,Adders!$B$5:$G$8,N$11,FALSE)  +  NJ!$D$2 ) * IF($D112="NJ",1.07,1))/$L$10, CHOOSE($M$10,$L$9,$M$9) )</f>
        <v xml:space="preserve"> 47.30 </v>
      </c>
      <c r="O112" s="112"/>
    </row>
    <row r="113" spans="2:15" x14ac:dyDescent="0.25">
      <c r="B113" s="108"/>
      <c r="C113" s="127">
        <f t="shared" si="1"/>
        <v>42430</v>
      </c>
      <c r="D113" s="128" t="s">
        <v>31</v>
      </c>
      <c r="E113" s="129" t="s">
        <v>35</v>
      </c>
      <c r="F113" s="128" t="s">
        <v>9</v>
      </c>
      <c r="G113" s="129" t="str">
        <f t="shared" si="2"/>
        <v>General Service Large</v>
      </c>
      <c r="H113" s="130" t="s">
        <v>61</v>
      </c>
      <c r="I113" s="178" t="str">
        <f>TEXT(   (SUMPRODUCT( ((Main!$H$9:$H$1000)=$E113)*((Main!$J$9:$J$1000)=$F113)*((Main!$O$9:$O$1000)=$C113)*(Main!R$9:R$1000) ) +  ( SUMPRODUCT( ((Adders!$D$13:$D$101)=$E113)*((Adders!$E$13:$E$101)=$F113)*(Adders!G$13:G$101)) + VLOOKUP($H113,Adders!$B$5:$G$8,L$11,FALSE)  +  NJ!$D$2 ) * IF($D113="NJ",1.07,1))/$L$10, CHOOSE($M$10,$L$9,$M$9) )</f>
        <v xml:space="preserve"> 94.06 </v>
      </c>
      <c r="J113" s="178" t="str">
        <f>TEXT(   (SUMPRODUCT( ((Main!$H$9:$H$1000)=$E113)*((Main!$J$9:$J$1000)=$F113)*((Main!$O$9:$O$1000)=$C113)*(Main!S$9:S$1000) ) +  ( SUMPRODUCT( ((Adders!$D$13:$D$101)=$E113)*((Adders!$E$13:$E$101)=$F113)*(Adders!H$13:H$101)) + VLOOKUP($H113,Adders!$B$5:$G$8,M$11,FALSE)  +  NJ!$D$2 ) * IF($D113="NJ",1.07,1))/$L$10, CHOOSE($M$10,$L$9,$M$9) )</f>
        <v xml:space="preserve"> 93.82 </v>
      </c>
      <c r="K113" s="179" t="str">
        <f>TEXT(   (SUMPRODUCT( ((Main!$H$9:$H$1000)=$E113)*((Main!$J$9:$J$1000)=$F113)*((Main!$O$9:$O$1000)=$C113)*(Main!T$9:T$1000) ) +  ( SUMPRODUCT( ((Adders!$D$13:$D$101)=$E113)*((Adders!$E$13:$E$101)=$F113)*(Adders!I$13:I$101)) + VLOOKUP($H113,Adders!$B$5:$G$8,N$11,FALSE)  +  NJ!$D$2 ) * IF($D113="NJ",1.07,1))/$L$10, CHOOSE($M$10,$L$9,$M$9) )</f>
        <v xml:space="preserve"> 94.84 </v>
      </c>
      <c r="L113" s="178" t="str">
        <f>TEXT(   (SUMPRODUCT( ((LMPMain!$H$9:$H$1000)=$E113)*((LMPMain!$J$9:$J$1000)=$F113)*((LMPMain!$O$9:$O$1000)=$C113)*(LMPMain!R$9:R$1000) ) +  ( SUMPRODUCT( ((Adders!$D$13:$D$101)=$E113)*((Adders!$E$13:$E$101)=$F113)*(Adders!G$13:G$101)) + VLOOKUP($H113,Adders!$B$5:$G$8,L$11,FALSE)  +  NJ!$D$2 ) * IF($D113="NJ",1.07,1))/$L$10, CHOOSE($M$10,$L$9,$M$9) )</f>
        <v xml:space="preserve"> 49.79 </v>
      </c>
      <c r="M113" s="178" t="str">
        <f>TEXT(   (SUMPRODUCT( ((LMPMain!$H$9:$H$1000)=$E113)*((LMPMain!$J$9:$J$1000)=$F113)*((LMPMain!$O$9:$O$1000)=$C113)*(LMPMain!S$9:S$1000) ) +  ( SUMPRODUCT( ((Adders!$D$13:$D$101)=$E113)*((Adders!$E$13:$E$101)=$F113)*(Adders!H$13:H$101)) + VLOOKUP($H113,Adders!$B$5:$G$8,M$11,FALSE)  +  NJ!$D$2 ) * IF($D113="NJ",1.07,1))/$L$10, CHOOSE($M$10,$L$9,$M$9) )</f>
        <v xml:space="preserve"> 49.45 </v>
      </c>
      <c r="N113" s="179" t="str">
        <f>TEXT(   (SUMPRODUCT( ((LMPMain!$H$9:$H$1000)=$E113)*((LMPMain!$J$9:$J$1000)=$F113)*((LMPMain!$O$9:$O$1000)=$C113)*(LMPMain!T$9:T$1000) ) +  ( SUMPRODUCT( ((Adders!$D$13:$D$101)=$E113)*((Adders!$E$13:$E$101)=$F113)*(Adders!I$13:I$101)) + VLOOKUP($H113,Adders!$B$5:$G$8,N$11,FALSE)  +  NJ!$D$2 ) * IF($D113="NJ",1.07,1))/$L$10, CHOOSE($M$10,$L$9,$M$9) )</f>
        <v xml:space="preserve"> 50.05 </v>
      </c>
      <c r="O113" s="112"/>
    </row>
    <row r="114" spans="2:15" x14ac:dyDescent="0.25">
      <c r="B114" s="108"/>
      <c r="C114" s="131">
        <f t="shared" si="1"/>
        <v>42430</v>
      </c>
      <c r="D114" s="132" t="s">
        <v>31</v>
      </c>
      <c r="E114" s="133" t="s">
        <v>35</v>
      </c>
      <c r="F114" s="132" t="s">
        <v>9</v>
      </c>
      <c r="G114" s="133" t="str">
        <f t="shared" si="2"/>
        <v>General Service Large</v>
      </c>
      <c r="H114" s="134" t="s">
        <v>62</v>
      </c>
      <c r="I114" s="173" t="str">
        <f>TEXT(   (SUMPRODUCT( ((Main!$H$9:$H$1000)=$E114)*((Main!$J$9:$J$1000)=$F114)*((Main!$O$9:$O$1000)=$C114)*(Main!R$9:R$1000) ) +  ( SUMPRODUCT( ((Adders!$D$13:$D$101)=$E114)*((Adders!$E$13:$E$101)=$F114)*(Adders!G$13:G$101)) + VLOOKUP($H114,Adders!$B$5:$G$8,L$11,FALSE)  +  NJ!$D$2 ) * IF($D114="NJ",1.07,1))/$L$10, CHOOSE($M$10,$L$9,$M$9) )</f>
        <v xml:space="preserve"> 92.35 </v>
      </c>
      <c r="J114" s="173" t="str">
        <f>TEXT(   (SUMPRODUCT( ((Main!$H$9:$H$1000)=$E114)*((Main!$J$9:$J$1000)=$F114)*((Main!$O$9:$O$1000)=$C114)*(Main!S$9:S$1000) ) +  ( SUMPRODUCT( ((Adders!$D$13:$D$101)=$E114)*((Adders!$E$13:$E$101)=$F114)*(Adders!H$13:H$101)) + VLOOKUP($H114,Adders!$B$5:$G$8,M$11,FALSE)  +  NJ!$D$2 ) * IF($D114="NJ",1.07,1))/$L$10, CHOOSE($M$10,$L$9,$M$9) )</f>
        <v xml:space="preserve"> 92.11 </v>
      </c>
      <c r="K114" s="174" t="str">
        <f>TEXT(   (SUMPRODUCT( ((Main!$H$9:$H$1000)=$E114)*((Main!$J$9:$J$1000)=$F114)*((Main!$O$9:$O$1000)=$C114)*(Main!T$9:T$1000) ) +  ( SUMPRODUCT( ((Adders!$D$13:$D$101)=$E114)*((Adders!$E$13:$E$101)=$F114)*(Adders!I$13:I$101)) + VLOOKUP($H114,Adders!$B$5:$G$8,N$11,FALSE)  +  NJ!$D$2 ) * IF($D114="NJ",1.07,1))/$L$10, CHOOSE($M$10,$L$9,$M$9) )</f>
        <v xml:space="preserve"> 93.13 </v>
      </c>
      <c r="L114" s="173" t="str">
        <f>TEXT(   (SUMPRODUCT( ((LMPMain!$H$9:$H$1000)=$E114)*((LMPMain!$J$9:$J$1000)=$F114)*((LMPMain!$O$9:$O$1000)=$C114)*(LMPMain!R$9:R$1000) ) +  ( SUMPRODUCT( ((Adders!$D$13:$D$101)=$E114)*((Adders!$E$13:$E$101)=$F114)*(Adders!G$13:G$101)) + VLOOKUP($H114,Adders!$B$5:$G$8,L$11,FALSE)  +  NJ!$D$2 ) * IF($D114="NJ",1.07,1))/$L$10, CHOOSE($M$10,$L$9,$M$9) )</f>
        <v xml:space="preserve"> 48.08 </v>
      </c>
      <c r="M114" s="173" t="str">
        <f>TEXT(   (SUMPRODUCT( ((LMPMain!$H$9:$H$1000)=$E114)*((LMPMain!$J$9:$J$1000)=$F114)*((LMPMain!$O$9:$O$1000)=$C114)*(LMPMain!S$9:S$1000) ) +  ( SUMPRODUCT( ((Adders!$D$13:$D$101)=$E114)*((Adders!$E$13:$E$101)=$F114)*(Adders!H$13:H$101)) + VLOOKUP($H114,Adders!$B$5:$G$8,M$11,FALSE)  +  NJ!$D$2 ) * IF($D114="NJ",1.07,1))/$L$10, CHOOSE($M$10,$L$9,$M$9) )</f>
        <v xml:space="preserve"> 47.73 </v>
      </c>
      <c r="N114" s="174" t="str">
        <f>TEXT(   (SUMPRODUCT( ((LMPMain!$H$9:$H$1000)=$E114)*((LMPMain!$J$9:$J$1000)=$F114)*((LMPMain!$O$9:$O$1000)=$C114)*(LMPMain!T$9:T$1000) ) +  ( SUMPRODUCT( ((Adders!$D$13:$D$101)=$E114)*((Adders!$E$13:$E$101)=$F114)*(Adders!I$13:I$101)) + VLOOKUP($H114,Adders!$B$5:$G$8,N$11,FALSE)  +  NJ!$D$2 ) * IF($D114="NJ",1.07,1))/$L$10, CHOOSE($M$10,$L$9,$M$9) )</f>
        <v xml:space="preserve"> 48.34 </v>
      </c>
      <c r="O114" s="112"/>
    </row>
    <row r="115" spans="2:15" x14ac:dyDescent="0.25">
      <c r="B115" s="108"/>
      <c r="C115" s="135">
        <f t="shared" ref="C115:C178" si="3">C79</f>
        <v>42430</v>
      </c>
      <c r="D115" s="136" t="s">
        <v>31</v>
      </c>
      <c r="E115" s="137" t="s">
        <v>35</v>
      </c>
      <c r="F115" s="136" t="s">
        <v>9</v>
      </c>
      <c r="G115" s="137" t="str">
        <f t="shared" ref="G115:G178" si="4">G114</f>
        <v>General Service Large</v>
      </c>
      <c r="H115" s="138" t="s">
        <v>690</v>
      </c>
      <c r="I115" s="176" t="str">
        <f>TEXT(   (SUMPRODUCT( ((Main!$H$9:$H$1000)=$E115)*((Main!$J$9:$J$1000)=$F115)*((Main!$O$9:$O$1000)=$C115)*(Main!R$9:R$1000) ) +  ( SUMPRODUCT( ((Adders!$D$13:$D$101)=$E115)*((Adders!$E$13:$E$101)=$F115)*(Adders!G$13:G$101)) + VLOOKUP($H115,Adders!$B$5:$G$8,L$11,FALSE)  +  NJ!$D$2 ) * IF($D115="NJ",1.07,1))/$L$10, CHOOSE($M$10,$L$9,$M$9) )</f>
        <v xml:space="preserve"> 91.23 </v>
      </c>
      <c r="J115" s="176" t="str">
        <f>TEXT(   (SUMPRODUCT( ((Main!$H$9:$H$1000)=$E115)*((Main!$J$9:$J$1000)=$F115)*((Main!$O$9:$O$1000)=$C115)*(Main!S$9:S$1000) ) +  ( SUMPRODUCT( ((Adders!$D$13:$D$101)=$E115)*((Adders!$E$13:$E$101)=$F115)*(Adders!H$13:H$101)) + VLOOKUP($H115,Adders!$B$5:$G$8,M$11,FALSE)  +  NJ!$D$2 ) * IF($D115="NJ",1.07,1))/$L$10, CHOOSE($M$10,$L$9,$M$9) )</f>
        <v xml:space="preserve"> 90.99 </v>
      </c>
      <c r="K115" s="177" t="str">
        <f>TEXT(   (SUMPRODUCT( ((Main!$H$9:$H$1000)=$E115)*((Main!$J$9:$J$1000)=$F115)*((Main!$O$9:$O$1000)=$C115)*(Main!T$9:T$1000) ) +  ( SUMPRODUCT( ((Adders!$D$13:$D$101)=$E115)*((Adders!$E$13:$E$101)=$F115)*(Adders!I$13:I$101)) + VLOOKUP($H115,Adders!$B$5:$G$8,N$11,FALSE)  +  NJ!$D$2 ) * IF($D115="NJ",1.07,1))/$L$10, CHOOSE($M$10,$L$9,$M$9) )</f>
        <v xml:space="preserve"> 92.01 </v>
      </c>
      <c r="L115" s="176" t="str">
        <f>TEXT(   (SUMPRODUCT( ((LMPMain!$H$9:$H$1000)=$E115)*((LMPMain!$J$9:$J$1000)=$F115)*((LMPMain!$O$9:$O$1000)=$C115)*(LMPMain!R$9:R$1000) ) +  ( SUMPRODUCT( ((Adders!$D$13:$D$101)=$E115)*((Adders!$E$13:$E$101)=$F115)*(Adders!G$13:G$101)) + VLOOKUP($H115,Adders!$B$5:$G$8,L$11,FALSE)  +  NJ!$D$2 ) * IF($D115="NJ",1.07,1))/$L$10, CHOOSE($M$10,$L$9,$M$9) )</f>
        <v xml:space="preserve"> 46.96 </v>
      </c>
      <c r="M115" s="176" t="str">
        <f>TEXT(   (SUMPRODUCT( ((LMPMain!$H$9:$H$1000)=$E115)*((LMPMain!$J$9:$J$1000)=$F115)*((LMPMain!$O$9:$O$1000)=$C115)*(LMPMain!S$9:S$1000) ) +  ( SUMPRODUCT( ((Adders!$D$13:$D$101)=$E115)*((Adders!$E$13:$E$101)=$F115)*(Adders!H$13:H$101)) + VLOOKUP($H115,Adders!$B$5:$G$8,M$11,FALSE)  +  NJ!$D$2 ) * IF($D115="NJ",1.07,1))/$L$10, CHOOSE($M$10,$L$9,$M$9) )</f>
        <v xml:space="preserve"> 46.61 </v>
      </c>
      <c r="N115" s="177" t="str">
        <f>TEXT(   (SUMPRODUCT( ((LMPMain!$H$9:$H$1000)=$E115)*((LMPMain!$J$9:$J$1000)=$F115)*((LMPMain!$O$9:$O$1000)=$C115)*(LMPMain!T$9:T$1000) ) +  ( SUMPRODUCT( ((Adders!$D$13:$D$101)=$E115)*((Adders!$E$13:$E$101)=$F115)*(Adders!I$13:I$101)) + VLOOKUP($H115,Adders!$B$5:$G$8,N$11,FALSE)  +  NJ!$D$2 ) * IF($D115="NJ",1.07,1))/$L$10, CHOOSE($M$10,$L$9,$M$9) )</f>
        <v xml:space="preserve"> 47.22 </v>
      </c>
      <c r="O115" s="112"/>
    </row>
    <row r="116" spans="2:15" x14ac:dyDescent="0.25">
      <c r="B116" s="108"/>
      <c r="C116" s="127">
        <f t="shared" si="3"/>
        <v>42461</v>
      </c>
      <c r="D116" s="128" t="s">
        <v>31</v>
      </c>
      <c r="E116" s="129" t="s">
        <v>35</v>
      </c>
      <c r="F116" s="128" t="s">
        <v>9</v>
      </c>
      <c r="G116" s="129" t="str">
        <f t="shared" si="4"/>
        <v>General Service Large</v>
      </c>
      <c r="H116" s="130" t="s">
        <v>61</v>
      </c>
      <c r="I116" s="178" t="str">
        <f>TEXT(   (SUMPRODUCT( ((Main!$H$9:$H$1000)=$E116)*((Main!$J$9:$J$1000)=$F116)*((Main!$O$9:$O$1000)=$C116)*(Main!R$9:R$1000) ) +  ( SUMPRODUCT( ((Adders!$D$13:$D$101)=$E116)*((Adders!$E$13:$E$101)=$F116)*(Adders!G$13:G$101)) + VLOOKUP($H116,Adders!$B$5:$G$8,L$11,FALSE)  +  NJ!$D$2 ) * IF($D116="NJ",1.07,1))/$L$10, CHOOSE($M$10,$L$9,$M$9) )</f>
        <v xml:space="preserve"> 93.80 </v>
      </c>
      <c r="J116" s="178" t="str">
        <f>TEXT(   (SUMPRODUCT( ((Main!$H$9:$H$1000)=$E116)*((Main!$J$9:$J$1000)=$F116)*((Main!$O$9:$O$1000)=$C116)*(Main!S$9:S$1000) ) +  ( SUMPRODUCT( ((Adders!$D$13:$D$101)=$E116)*((Adders!$E$13:$E$101)=$F116)*(Adders!H$13:H$101)) + VLOOKUP($H116,Adders!$B$5:$G$8,M$11,FALSE)  +  NJ!$D$2 ) * IF($D116="NJ",1.07,1))/$L$10, CHOOSE($M$10,$L$9,$M$9) )</f>
        <v xml:space="preserve"> 93.22 </v>
      </c>
      <c r="K116" s="179" t="str">
        <f>TEXT(   (SUMPRODUCT( ((Main!$H$9:$H$1000)=$E116)*((Main!$J$9:$J$1000)=$F116)*((Main!$O$9:$O$1000)=$C116)*(Main!T$9:T$1000) ) +  ( SUMPRODUCT( ((Adders!$D$13:$D$101)=$E116)*((Adders!$E$13:$E$101)=$F116)*(Adders!I$13:I$101)) + VLOOKUP($H116,Adders!$B$5:$G$8,N$11,FALSE)  +  NJ!$D$2 ) * IF($D116="NJ",1.07,1))/$L$10, CHOOSE($M$10,$L$9,$M$9) )</f>
        <v xml:space="preserve"> 94.70 </v>
      </c>
      <c r="L116" s="178" t="str">
        <f>TEXT(   (SUMPRODUCT( ((LMPMain!$H$9:$H$1000)=$E116)*((LMPMain!$J$9:$J$1000)=$F116)*((LMPMain!$O$9:$O$1000)=$C116)*(LMPMain!R$9:R$1000) ) +  ( SUMPRODUCT( ((Adders!$D$13:$D$101)=$E116)*((Adders!$E$13:$E$101)=$F116)*(Adders!G$13:G$101)) + VLOOKUP($H116,Adders!$B$5:$G$8,L$11,FALSE)  +  NJ!$D$2 ) * IF($D116="NJ",1.07,1))/$L$10, CHOOSE($M$10,$L$9,$M$9) )</f>
        <v xml:space="preserve"> 49.50 </v>
      </c>
      <c r="M116" s="178" t="str">
        <f>TEXT(   (SUMPRODUCT( ((LMPMain!$H$9:$H$1000)=$E116)*((LMPMain!$J$9:$J$1000)=$F116)*((LMPMain!$O$9:$O$1000)=$C116)*(LMPMain!S$9:S$1000) ) +  ( SUMPRODUCT( ((Adders!$D$13:$D$101)=$E116)*((Adders!$E$13:$E$101)=$F116)*(Adders!H$13:H$101)) + VLOOKUP($H116,Adders!$B$5:$G$8,M$11,FALSE)  +  NJ!$D$2 ) * IF($D116="NJ",1.07,1))/$L$10, CHOOSE($M$10,$L$9,$M$9) )</f>
        <v xml:space="preserve"> 49.14 </v>
      </c>
      <c r="N116" s="179" t="str">
        <f>TEXT(   (SUMPRODUCT( ((LMPMain!$H$9:$H$1000)=$E116)*((LMPMain!$J$9:$J$1000)=$F116)*((LMPMain!$O$9:$O$1000)=$C116)*(LMPMain!T$9:T$1000) ) +  ( SUMPRODUCT( ((Adders!$D$13:$D$101)=$E116)*((Adders!$E$13:$E$101)=$F116)*(Adders!I$13:I$101)) + VLOOKUP($H116,Adders!$B$5:$G$8,N$11,FALSE)  +  NJ!$D$2 ) * IF($D116="NJ",1.07,1))/$L$10, CHOOSE($M$10,$L$9,$M$9) )</f>
        <v xml:space="preserve"> 49.96 </v>
      </c>
      <c r="O116" s="112"/>
    </row>
    <row r="117" spans="2:15" x14ac:dyDescent="0.25">
      <c r="B117" s="108"/>
      <c r="C117" s="131">
        <f t="shared" si="3"/>
        <v>42461</v>
      </c>
      <c r="D117" s="132" t="s">
        <v>31</v>
      </c>
      <c r="E117" s="133" t="s">
        <v>35</v>
      </c>
      <c r="F117" s="132" t="s">
        <v>9</v>
      </c>
      <c r="G117" s="133" t="str">
        <f t="shared" si="4"/>
        <v>General Service Large</v>
      </c>
      <c r="H117" s="134" t="s">
        <v>62</v>
      </c>
      <c r="I117" s="173" t="str">
        <f>TEXT(   (SUMPRODUCT( ((Main!$H$9:$H$1000)=$E117)*((Main!$J$9:$J$1000)=$F117)*((Main!$O$9:$O$1000)=$C117)*(Main!R$9:R$1000) ) +  ( SUMPRODUCT( ((Adders!$D$13:$D$101)=$E117)*((Adders!$E$13:$E$101)=$F117)*(Adders!G$13:G$101)) + VLOOKUP($H117,Adders!$B$5:$G$8,L$11,FALSE)  +  NJ!$D$2 ) * IF($D117="NJ",1.07,1))/$L$10, CHOOSE($M$10,$L$9,$M$9) )</f>
        <v xml:space="preserve"> 92.09 </v>
      </c>
      <c r="J117" s="173" t="str">
        <f>TEXT(   (SUMPRODUCT( ((Main!$H$9:$H$1000)=$E117)*((Main!$J$9:$J$1000)=$F117)*((Main!$O$9:$O$1000)=$C117)*(Main!S$9:S$1000) ) +  ( SUMPRODUCT( ((Adders!$D$13:$D$101)=$E117)*((Adders!$E$13:$E$101)=$F117)*(Adders!H$13:H$101)) + VLOOKUP($H117,Adders!$B$5:$G$8,M$11,FALSE)  +  NJ!$D$2 ) * IF($D117="NJ",1.07,1))/$L$10, CHOOSE($M$10,$L$9,$M$9) )</f>
        <v xml:space="preserve"> 91.51 </v>
      </c>
      <c r="K117" s="174" t="str">
        <f>TEXT(   (SUMPRODUCT( ((Main!$H$9:$H$1000)=$E117)*((Main!$J$9:$J$1000)=$F117)*((Main!$O$9:$O$1000)=$C117)*(Main!T$9:T$1000) ) +  ( SUMPRODUCT( ((Adders!$D$13:$D$101)=$E117)*((Adders!$E$13:$E$101)=$F117)*(Adders!I$13:I$101)) + VLOOKUP($H117,Adders!$B$5:$G$8,N$11,FALSE)  +  NJ!$D$2 ) * IF($D117="NJ",1.07,1))/$L$10, CHOOSE($M$10,$L$9,$M$9) )</f>
        <v xml:space="preserve"> 92.99 </v>
      </c>
      <c r="L117" s="173" t="str">
        <f>TEXT(   (SUMPRODUCT( ((LMPMain!$H$9:$H$1000)=$E117)*((LMPMain!$J$9:$J$1000)=$F117)*((LMPMain!$O$9:$O$1000)=$C117)*(LMPMain!R$9:R$1000) ) +  ( SUMPRODUCT( ((Adders!$D$13:$D$101)=$E117)*((Adders!$E$13:$E$101)=$F117)*(Adders!G$13:G$101)) + VLOOKUP($H117,Adders!$B$5:$G$8,L$11,FALSE)  +  NJ!$D$2 ) * IF($D117="NJ",1.07,1))/$L$10, CHOOSE($M$10,$L$9,$M$9) )</f>
        <v xml:space="preserve"> 47.79 </v>
      </c>
      <c r="M117" s="173" t="str">
        <f>TEXT(   (SUMPRODUCT( ((LMPMain!$H$9:$H$1000)=$E117)*((LMPMain!$J$9:$J$1000)=$F117)*((LMPMain!$O$9:$O$1000)=$C117)*(LMPMain!S$9:S$1000) ) +  ( SUMPRODUCT( ((Adders!$D$13:$D$101)=$E117)*((Adders!$E$13:$E$101)=$F117)*(Adders!H$13:H$101)) + VLOOKUP($H117,Adders!$B$5:$G$8,M$11,FALSE)  +  NJ!$D$2 ) * IF($D117="NJ",1.07,1))/$L$10, CHOOSE($M$10,$L$9,$M$9) )</f>
        <v xml:space="preserve"> 47.43 </v>
      </c>
      <c r="N117" s="174" t="str">
        <f>TEXT(   (SUMPRODUCT( ((LMPMain!$H$9:$H$1000)=$E117)*((LMPMain!$J$9:$J$1000)=$F117)*((LMPMain!$O$9:$O$1000)=$C117)*(LMPMain!T$9:T$1000) ) +  ( SUMPRODUCT( ((Adders!$D$13:$D$101)=$E117)*((Adders!$E$13:$E$101)=$F117)*(Adders!I$13:I$101)) + VLOOKUP($H117,Adders!$B$5:$G$8,N$11,FALSE)  +  NJ!$D$2 ) * IF($D117="NJ",1.07,1))/$L$10, CHOOSE($M$10,$L$9,$M$9) )</f>
        <v xml:space="preserve"> 48.25 </v>
      </c>
      <c r="O117" s="112"/>
    </row>
    <row r="118" spans="2:15" x14ac:dyDescent="0.25">
      <c r="B118" s="108"/>
      <c r="C118" s="135">
        <f t="shared" si="3"/>
        <v>42461</v>
      </c>
      <c r="D118" s="136" t="s">
        <v>31</v>
      </c>
      <c r="E118" s="137" t="s">
        <v>35</v>
      </c>
      <c r="F118" s="136" t="s">
        <v>9</v>
      </c>
      <c r="G118" s="137" t="str">
        <f t="shared" si="4"/>
        <v>General Service Large</v>
      </c>
      <c r="H118" s="138" t="s">
        <v>690</v>
      </c>
      <c r="I118" s="176" t="str">
        <f>TEXT(   (SUMPRODUCT( ((Main!$H$9:$H$1000)=$E118)*((Main!$J$9:$J$1000)=$F118)*((Main!$O$9:$O$1000)=$C118)*(Main!R$9:R$1000) ) +  ( SUMPRODUCT( ((Adders!$D$13:$D$101)=$E118)*((Adders!$E$13:$E$101)=$F118)*(Adders!G$13:G$101)) + VLOOKUP($H118,Adders!$B$5:$G$8,L$11,FALSE)  +  NJ!$D$2 ) * IF($D118="NJ",1.07,1))/$L$10, CHOOSE($M$10,$L$9,$M$9) )</f>
        <v xml:space="preserve"> 90.97 </v>
      </c>
      <c r="J118" s="176" t="str">
        <f>TEXT(   (SUMPRODUCT( ((Main!$H$9:$H$1000)=$E118)*((Main!$J$9:$J$1000)=$F118)*((Main!$O$9:$O$1000)=$C118)*(Main!S$9:S$1000) ) +  ( SUMPRODUCT( ((Adders!$D$13:$D$101)=$E118)*((Adders!$E$13:$E$101)=$F118)*(Adders!H$13:H$101)) + VLOOKUP($H118,Adders!$B$5:$G$8,M$11,FALSE)  +  NJ!$D$2 ) * IF($D118="NJ",1.07,1))/$L$10, CHOOSE($M$10,$L$9,$M$9) )</f>
        <v xml:space="preserve"> 90.39 </v>
      </c>
      <c r="K118" s="177" t="str">
        <f>TEXT(   (SUMPRODUCT( ((Main!$H$9:$H$1000)=$E118)*((Main!$J$9:$J$1000)=$F118)*((Main!$O$9:$O$1000)=$C118)*(Main!T$9:T$1000) ) +  ( SUMPRODUCT( ((Adders!$D$13:$D$101)=$E118)*((Adders!$E$13:$E$101)=$F118)*(Adders!I$13:I$101)) + VLOOKUP($H118,Adders!$B$5:$G$8,N$11,FALSE)  +  NJ!$D$2 ) * IF($D118="NJ",1.07,1))/$L$10, CHOOSE($M$10,$L$9,$M$9) )</f>
        <v xml:space="preserve"> 91.87 </v>
      </c>
      <c r="L118" s="176" t="str">
        <f>TEXT(   (SUMPRODUCT( ((LMPMain!$H$9:$H$1000)=$E118)*((LMPMain!$J$9:$J$1000)=$F118)*((LMPMain!$O$9:$O$1000)=$C118)*(LMPMain!R$9:R$1000) ) +  ( SUMPRODUCT( ((Adders!$D$13:$D$101)=$E118)*((Adders!$E$13:$E$101)=$F118)*(Adders!G$13:G$101)) + VLOOKUP($H118,Adders!$B$5:$G$8,L$11,FALSE)  +  NJ!$D$2 ) * IF($D118="NJ",1.07,1))/$L$10, CHOOSE($M$10,$L$9,$M$9) )</f>
        <v xml:space="preserve"> 46.67 </v>
      </c>
      <c r="M118" s="176" t="str">
        <f>TEXT(   (SUMPRODUCT( ((LMPMain!$H$9:$H$1000)=$E118)*((LMPMain!$J$9:$J$1000)=$F118)*((LMPMain!$O$9:$O$1000)=$C118)*(LMPMain!S$9:S$1000) ) +  ( SUMPRODUCT( ((Adders!$D$13:$D$101)=$E118)*((Adders!$E$13:$E$101)=$F118)*(Adders!H$13:H$101)) + VLOOKUP($H118,Adders!$B$5:$G$8,M$11,FALSE)  +  NJ!$D$2 ) * IF($D118="NJ",1.07,1))/$L$10, CHOOSE($M$10,$L$9,$M$9) )</f>
        <v xml:space="preserve"> 46.31 </v>
      </c>
      <c r="N118" s="177" t="str">
        <f>TEXT(   (SUMPRODUCT( ((LMPMain!$H$9:$H$1000)=$E118)*((LMPMain!$J$9:$J$1000)=$F118)*((LMPMain!$O$9:$O$1000)=$C118)*(LMPMain!T$9:T$1000) ) +  ( SUMPRODUCT( ((Adders!$D$13:$D$101)=$E118)*((Adders!$E$13:$E$101)=$F118)*(Adders!I$13:I$101)) + VLOOKUP($H118,Adders!$B$5:$G$8,N$11,FALSE)  +  NJ!$D$2 ) * IF($D118="NJ",1.07,1))/$L$10, CHOOSE($M$10,$L$9,$M$9) )</f>
        <v xml:space="preserve"> 47.12 </v>
      </c>
      <c r="O118" s="112"/>
    </row>
    <row r="119" spans="2:15" x14ac:dyDescent="0.25">
      <c r="B119" s="108"/>
      <c r="C119" s="127">
        <f t="shared" si="3"/>
        <v>42491</v>
      </c>
      <c r="D119" s="128" t="s">
        <v>31</v>
      </c>
      <c r="E119" s="129" t="s">
        <v>35</v>
      </c>
      <c r="F119" s="128" t="s">
        <v>9</v>
      </c>
      <c r="G119" s="129" t="str">
        <f t="shared" si="4"/>
        <v>General Service Large</v>
      </c>
      <c r="H119" s="130" t="s">
        <v>61</v>
      </c>
      <c r="I119" s="178" t="str">
        <f>TEXT(   (SUMPRODUCT( ((Main!$H$9:$H$1000)=$E119)*((Main!$J$9:$J$1000)=$F119)*((Main!$O$9:$O$1000)=$C119)*(Main!R$9:R$1000) ) +  ( SUMPRODUCT( ((Adders!$D$13:$D$101)=$E119)*((Adders!$E$13:$E$101)=$F119)*(Adders!G$13:G$101)) + VLOOKUP($H119,Adders!$B$5:$G$8,L$11,FALSE)  +  NJ!$D$2 ) * IF($D119="NJ",1.07,1))/$L$10, CHOOSE($M$10,$L$9,$M$9) )</f>
        <v xml:space="preserve"> 93.51 </v>
      </c>
      <c r="J119" s="178" t="str">
        <f>TEXT(   (SUMPRODUCT( ((Main!$H$9:$H$1000)=$E119)*((Main!$J$9:$J$1000)=$F119)*((Main!$O$9:$O$1000)=$C119)*(Main!S$9:S$1000) ) +  ( SUMPRODUCT( ((Adders!$D$13:$D$101)=$E119)*((Adders!$E$13:$E$101)=$F119)*(Adders!H$13:H$101)) + VLOOKUP($H119,Adders!$B$5:$G$8,M$11,FALSE)  +  NJ!$D$2 ) * IF($D119="NJ",1.07,1))/$L$10, CHOOSE($M$10,$L$9,$M$9) )</f>
        <v xml:space="preserve"> 92.96 </v>
      </c>
      <c r="K119" s="179" t="str">
        <f>TEXT(   (SUMPRODUCT( ((Main!$H$9:$H$1000)=$E119)*((Main!$J$9:$J$1000)=$F119)*((Main!$O$9:$O$1000)=$C119)*(Main!T$9:T$1000) ) +  ( SUMPRODUCT( ((Adders!$D$13:$D$101)=$E119)*((Adders!$E$13:$E$101)=$F119)*(Adders!I$13:I$101)) + VLOOKUP($H119,Adders!$B$5:$G$8,N$11,FALSE)  +  NJ!$D$2 ) * IF($D119="NJ",1.07,1))/$L$10, CHOOSE($M$10,$L$9,$M$9) )</f>
        <v xml:space="preserve"> 94.65 </v>
      </c>
      <c r="L119" s="178" t="str">
        <f>TEXT(   (SUMPRODUCT( ((LMPMain!$H$9:$H$1000)=$E119)*((LMPMain!$J$9:$J$1000)=$F119)*((LMPMain!$O$9:$O$1000)=$C119)*(LMPMain!R$9:R$1000) ) +  ( SUMPRODUCT( ((Adders!$D$13:$D$101)=$E119)*((Adders!$E$13:$E$101)=$F119)*(Adders!G$13:G$101)) + VLOOKUP($H119,Adders!$B$5:$G$8,L$11,FALSE)  +  NJ!$D$2 ) * IF($D119="NJ",1.07,1))/$L$10, CHOOSE($M$10,$L$9,$M$9) )</f>
        <v xml:space="preserve"> 49.23 </v>
      </c>
      <c r="M119" s="178" t="str">
        <f>TEXT(   (SUMPRODUCT( ((LMPMain!$H$9:$H$1000)=$E119)*((LMPMain!$J$9:$J$1000)=$F119)*((LMPMain!$O$9:$O$1000)=$C119)*(LMPMain!S$9:S$1000) ) +  ( SUMPRODUCT( ((Adders!$D$13:$D$101)=$E119)*((Adders!$E$13:$E$101)=$F119)*(Adders!H$13:H$101)) + VLOOKUP($H119,Adders!$B$5:$G$8,M$11,FALSE)  +  NJ!$D$2 ) * IF($D119="NJ",1.07,1))/$L$10, CHOOSE($M$10,$L$9,$M$9) )</f>
        <v xml:space="preserve"> 48.98 </v>
      </c>
      <c r="N119" s="179" t="str">
        <f>TEXT(   (SUMPRODUCT( ((LMPMain!$H$9:$H$1000)=$E119)*((LMPMain!$J$9:$J$1000)=$F119)*((LMPMain!$O$9:$O$1000)=$C119)*(LMPMain!T$9:T$1000) ) +  ( SUMPRODUCT( ((Adders!$D$13:$D$101)=$E119)*((Adders!$E$13:$E$101)=$F119)*(Adders!I$13:I$101)) + VLOOKUP($H119,Adders!$B$5:$G$8,N$11,FALSE)  +  NJ!$D$2 ) * IF($D119="NJ",1.07,1))/$L$10, CHOOSE($M$10,$L$9,$M$9) )</f>
        <v xml:space="preserve"> 49.86 </v>
      </c>
      <c r="O119" s="112"/>
    </row>
    <row r="120" spans="2:15" x14ac:dyDescent="0.25">
      <c r="B120" s="108"/>
      <c r="C120" s="131">
        <f t="shared" si="3"/>
        <v>42491</v>
      </c>
      <c r="D120" s="132" t="s">
        <v>31</v>
      </c>
      <c r="E120" s="133" t="s">
        <v>35</v>
      </c>
      <c r="F120" s="132" t="s">
        <v>9</v>
      </c>
      <c r="G120" s="133" t="str">
        <f t="shared" si="4"/>
        <v>General Service Large</v>
      </c>
      <c r="H120" s="134" t="s">
        <v>62</v>
      </c>
      <c r="I120" s="173" t="str">
        <f>TEXT(   (SUMPRODUCT( ((Main!$H$9:$H$1000)=$E120)*((Main!$J$9:$J$1000)=$F120)*((Main!$O$9:$O$1000)=$C120)*(Main!R$9:R$1000) ) +  ( SUMPRODUCT( ((Adders!$D$13:$D$101)=$E120)*((Adders!$E$13:$E$101)=$F120)*(Adders!G$13:G$101)) + VLOOKUP($H120,Adders!$B$5:$G$8,L$11,FALSE)  +  NJ!$D$2 ) * IF($D120="NJ",1.07,1))/$L$10, CHOOSE($M$10,$L$9,$M$9) )</f>
        <v xml:space="preserve"> 91.80 </v>
      </c>
      <c r="J120" s="173" t="str">
        <f>TEXT(   (SUMPRODUCT( ((Main!$H$9:$H$1000)=$E120)*((Main!$J$9:$J$1000)=$F120)*((Main!$O$9:$O$1000)=$C120)*(Main!S$9:S$1000) ) +  ( SUMPRODUCT( ((Adders!$D$13:$D$101)=$E120)*((Adders!$E$13:$E$101)=$F120)*(Adders!H$13:H$101)) + VLOOKUP($H120,Adders!$B$5:$G$8,M$11,FALSE)  +  NJ!$D$2 ) * IF($D120="NJ",1.07,1))/$L$10, CHOOSE($M$10,$L$9,$M$9) )</f>
        <v xml:space="preserve"> 91.25 </v>
      </c>
      <c r="K120" s="174" t="str">
        <f>TEXT(   (SUMPRODUCT( ((Main!$H$9:$H$1000)=$E120)*((Main!$J$9:$J$1000)=$F120)*((Main!$O$9:$O$1000)=$C120)*(Main!T$9:T$1000) ) +  ( SUMPRODUCT( ((Adders!$D$13:$D$101)=$E120)*((Adders!$E$13:$E$101)=$F120)*(Adders!I$13:I$101)) + VLOOKUP($H120,Adders!$B$5:$G$8,N$11,FALSE)  +  NJ!$D$2 ) * IF($D120="NJ",1.07,1))/$L$10, CHOOSE($M$10,$L$9,$M$9) )</f>
        <v xml:space="preserve"> 92.94 </v>
      </c>
      <c r="L120" s="173" t="str">
        <f>TEXT(   (SUMPRODUCT( ((LMPMain!$H$9:$H$1000)=$E120)*((LMPMain!$J$9:$J$1000)=$F120)*((LMPMain!$O$9:$O$1000)=$C120)*(LMPMain!R$9:R$1000) ) +  ( SUMPRODUCT( ((Adders!$D$13:$D$101)=$E120)*((Adders!$E$13:$E$101)=$F120)*(Adders!G$13:G$101)) + VLOOKUP($H120,Adders!$B$5:$G$8,L$11,FALSE)  +  NJ!$D$2 ) * IF($D120="NJ",1.07,1))/$L$10, CHOOSE($M$10,$L$9,$M$9) )</f>
        <v xml:space="preserve"> 47.52 </v>
      </c>
      <c r="M120" s="173" t="str">
        <f>TEXT(   (SUMPRODUCT( ((LMPMain!$H$9:$H$1000)=$E120)*((LMPMain!$J$9:$J$1000)=$F120)*((LMPMain!$O$9:$O$1000)=$C120)*(LMPMain!S$9:S$1000) ) +  ( SUMPRODUCT( ((Adders!$D$13:$D$101)=$E120)*((Adders!$E$13:$E$101)=$F120)*(Adders!H$13:H$101)) + VLOOKUP($H120,Adders!$B$5:$G$8,M$11,FALSE)  +  NJ!$D$2 ) * IF($D120="NJ",1.07,1))/$L$10, CHOOSE($M$10,$L$9,$M$9) )</f>
        <v xml:space="preserve"> 47.27 </v>
      </c>
      <c r="N120" s="174" t="str">
        <f>TEXT(   (SUMPRODUCT( ((LMPMain!$H$9:$H$1000)=$E120)*((LMPMain!$J$9:$J$1000)=$F120)*((LMPMain!$O$9:$O$1000)=$C120)*(LMPMain!T$9:T$1000) ) +  ( SUMPRODUCT( ((Adders!$D$13:$D$101)=$E120)*((Adders!$E$13:$E$101)=$F120)*(Adders!I$13:I$101)) + VLOOKUP($H120,Adders!$B$5:$G$8,N$11,FALSE)  +  NJ!$D$2 ) * IF($D120="NJ",1.07,1))/$L$10, CHOOSE($M$10,$L$9,$M$9) )</f>
        <v xml:space="preserve"> 48.15 </v>
      </c>
      <c r="O120" s="112"/>
    </row>
    <row r="121" spans="2:15" x14ac:dyDescent="0.25">
      <c r="B121" s="108"/>
      <c r="C121" s="135">
        <f t="shared" si="3"/>
        <v>42491</v>
      </c>
      <c r="D121" s="136" t="s">
        <v>31</v>
      </c>
      <c r="E121" s="137" t="s">
        <v>35</v>
      </c>
      <c r="F121" s="136" t="s">
        <v>9</v>
      </c>
      <c r="G121" s="137" t="str">
        <f t="shared" si="4"/>
        <v>General Service Large</v>
      </c>
      <c r="H121" s="138" t="s">
        <v>690</v>
      </c>
      <c r="I121" s="176" t="str">
        <f>TEXT(   (SUMPRODUCT( ((Main!$H$9:$H$1000)=$E121)*((Main!$J$9:$J$1000)=$F121)*((Main!$O$9:$O$1000)=$C121)*(Main!R$9:R$1000) ) +  ( SUMPRODUCT( ((Adders!$D$13:$D$101)=$E121)*((Adders!$E$13:$E$101)=$F121)*(Adders!G$13:G$101)) + VLOOKUP($H121,Adders!$B$5:$G$8,L$11,FALSE)  +  NJ!$D$2 ) * IF($D121="NJ",1.07,1))/$L$10, CHOOSE($M$10,$L$9,$M$9) )</f>
        <v xml:space="preserve"> 90.68 </v>
      </c>
      <c r="J121" s="176" t="str">
        <f>TEXT(   (SUMPRODUCT( ((Main!$H$9:$H$1000)=$E121)*((Main!$J$9:$J$1000)=$F121)*((Main!$O$9:$O$1000)=$C121)*(Main!S$9:S$1000) ) +  ( SUMPRODUCT( ((Adders!$D$13:$D$101)=$E121)*((Adders!$E$13:$E$101)=$F121)*(Adders!H$13:H$101)) + VLOOKUP($H121,Adders!$B$5:$G$8,M$11,FALSE)  +  NJ!$D$2 ) * IF($D121="NJ",1.07,1))/$L$10, CHOOSE($M$10,$L$9,$M$9) )</f>
        <v xml:space="preserve"> 90.13 </v>
      </c>
      <c r="K121" s="177" t="str">
        <f>TEXT(   (SUMPRODUCT( ((Main!$H$9:$H$1000)=$E121)*((Main!$J$9:$J$1000)=$F121)*((Main!$O$9:$O$1000)=$C121)*(Main!T$9:T$1000) ) +  ( SUMPRODUCT( ((Adders!$D$13:$D$101)=$E121)*((Adders!$E$13:$E$101)=$F121)*(Adders!I$13:I$101)) + VLOOKUP($H121,Adders!$B$5:$G$8,N$11,FALSE)  +  NJ!$D$2 ) * IF($D121="NJ",1.07,1))/$L$10, CHOOSE($M$10,$L$9,$M$9) )</f>
        <v xml:space="preserve"> 91.82 </v>
      </c>
      <c r="L121" s="176" t="str">
        <f>TEXT(   (SUMPRODUCT( ((LMPMain!$H$9:$H$1000)=$E121)*((LMPMain!$J$9:$J$1000)=$F121)*((LMPMain!$O$9:$O$1000)=$C121)*(LMPMain!R$9:R$1000) ) +  ( SUMPRODUCT( ((Adders!$D$13:$D$101)=$E121)*((Adders!$E$13:$E$101)=$F121)*(Adders!G$13:G$101)) + VLOOKUP($H121,Adders!$B$5:$G$8,L$11,FALSE)  +  NJ!$D$2 ) * IF($D121="NJ",1.07,1))/$L$10, CHOOSE($M$10,$L$9,$M$9) )</f>
        <v xml:space="preserve"> 46.39 </v>
      </c>
      <c r="M121" s="176" t="str">
        <f>TEXT(   (SUMPRODUCT( ((LMPMain!$H$9:$H$1000)=$E121)*((LMPMain!$J$9:$J$1000)=$F121)*((LMPMain!$O$9:$O$1000)=$C121)*(LMPMain!S$9:S$1000) ) +  ( SUMPRODUCT( ((Adders!$D$13:$D$101)=$E121)*((Adders!$E$13:$E$101)=$F121)*(Adders!H$13:H$101)) + VLOOKUP($H121,Adders!$B$5:$G$8,M$11,FALSE)  +  NJ!$D$2 ) * IF($D121="NJ",1.07,1))/$L$10, CHOOSE($M$10,$L$9,$M$9) )</f>
        <v xml:space="preserve"> 46.15 </v>
      </c>
      <c r="N121" s="177" t="str">
        <f>TEXT(   (SUMPRODUCT( ((LMPMain!$H$9:$H$1000)=$E121)*((LMPMain!$J$9:$J$1000)=$F121)*((LMPMain!$O$9:$O$1000)=$C121)*(LMPMain!T$9:T$1000) ) +  ( SUMPRODUCT( ((Adders!$D$13:$D$101)=$E121)*((Adders!$E$13:$E$101)=$F121)*(Adders!I$13:I$101)) + VLOOKUP($H121,Adders!$B$5:$G$8,N$11,FALSE)  +  NJ!$D$2 ) * IF($D121="NJ",1.07,1))/$L$10, CHOOSE($M$10,$L$9,$M$9) )</f>
        <v xml:space="preserve"> 47.03 </v>
      </c>
      <c r="O121" s="112"/>
    </row>
    <row r="122" spans="2:15" x14ac:dyDescent="0.25">
      <c r="B122" s="108"/>
      <c r="C122" s="127">
        <f t="shared" si="3"/>
        <v>42156</v>
      </c>
      <c r="D122" s="128" t="s">
        <v>31</v>
      </c>
      <c r="E122" s="129" t="s">
        <v>35</v>
      </c>
      <c r="F122" s="128" t="s">
        <v>10</v>
      </c>
      <c r="G122" s="129" t="str">
        <f>VLOOKUP(SUMPRODUCT( ((LMPMain!$H$9:$H$1000)=$E122)*((LMPMain!$J$9:$J$1000)=$F122)*((LMPMain!$O$9:$O$1000)=$C122)*(LMPMain!A$9:A$1000)),LMPMain!$A$9:$K$1000,11,FALSE)</f>
        <v>General Service Medium</v>
      </c>
      <c r="H122" s="130" t="s">
        <v>61</v>
      </c>
      <c r="I122" s="178" t="str">
        <f>TEXT(   (SUMPRODUCT( ((Main!$H$9:$H$1000)=$E122)*((Main!$J$9:$J$1000)=$F122)*((Main!$O$9:$O$1000)=$C122)*(Main!R$9:R$1000) ) +  ( SUMPRODUCT( ((Adders!$D$13:$D$101)=$E122)*((Adders!$E$13:$E$101)=$F122)*(Adders!G$13:G$101)) + VLOOKUP($H122,Adders!$B$5:$G$8,L$11,FALSE)  +  NJ!$D$2 ) * IF($D122="NJ",1.07,1))/$L$10, CHOOSE($M$10,$L$9,$M$9) )</f>
        <v xml:space="preserve"> 99.31 </v>
      </c>
      <c r="J122" s="178" t="str">
        <f>TEXT(   (SUMPRODUCT( ((Main!$H$9:$H$1000)=$E122)*((Main!$J$9:$J$1000)=$F122)*((Main!$O$9:$O$1000)=$C122)*(Main!S$9:S$1000) ) +  ( SUMPRODUCT( ((Adders!$D$13:$D$101)=$E122)*((Adders!$E$13:$E$101)=$F122)*(Adders!H$13:H$101)) + VLOOKUP($H122,Adders!$B$5:$G$8,M$11,FALSE)  +  NJ!$D$2 ) * IF($D122="NJ",1.07,1))/$L$10, CHOOSE($M$10,$L$9,$M$9) )</f>
        <v xml:space="preserve"> 98.75 </v>
      </c>
      <c r="K122" s="179" t="str">
        <f>TEXT(   (SUMPRODUCT( ((Main!$H$9:$H$1000)=$E122)*((Main!$J$9:$J$1000)=$F122)*((Main!$O$9:$O$1000)=$C122)*(Main!T$9:T$1000) ) +  ( SUMPRODUCT( ((Adders!$D$13:$D$101)=$E122)*((Adders!$E$13:$E$101)=$F122)*(Adders!I$13:I$101)) + VLOOKUP($H122,Adders!$B$5:$G$8,N$11,FALSE)  +  NJ!$D$2 ) * IF($D122="NJ",1.07,1))/$L$10, CHOOSE($M$10,$L$9,$M$9) )</f>
        <v xml:space="preserve"> 97.78 </v>
      </c>
      <c r="L122" s="178" t="str">
        <f>TEXT(   (SUMPRODUCT( ((LMPMain!$H$9:$H$1000)=$E122)*((LMPMain!$J$9:$J$1000)=$F122)*((LMPMain!$O$9:$O$1000)=$C122)*(LMPMain!R$9:R$1000) ) +  ( SUMPRODUCT( ((Adders!$D$13:$D$101)=$E122)*((Adders!$E$13:$E$101)=$F122)*(Adders!G$13:G$101)) + VLOOKUP($H122,Adders!$B$5:$G$8,L$11,FALSE)  +  NJ!$D$2 ) * IF($D122="NJ",1.07,1))/$L$10, CHOOSE($M$10,$L$9,$M$9) )</f>
        <v xml:space="preserve"> 53.59 </v>
      </c>
      <c r="M122" s="178" t="str">
        <f>TEXT(   (SUMPRODUCT( ((LMPMain!$H$9:$H$1000)=$E122)*((LMPMain!$J$9:$J$1000)=$F122)*((LMPMain!$O$9:$O$1000)=$C122)*(LMPMain!S$9:S$1000) ) +  ( SUMPRODUCT( ((Adders!$D$13:$D$101)=$E122)*((Adders!$E$13:$E$101)=$F122)*(Adders!H$13:H$101)) + VLOOKUP($H122,Adders!$B$5:$G$8,M$11,FALSE)  +  NJ!$D$2 ) * IF($D122="NJ",1.07,1))/$L$10, CHOOSE($M$10,$L$9,$M$9) )</f>
        <v xml:space="preserve"> 53.41 </v>
      </c>
      <c r="N122" s="179" t="str">
        <f>TEXT(   (SUMPRODUCT( ((LMPMain!$H$9:$H$1000)=$E122)*((LMPMain!$J$9:$J$1000)=$F122)*((LMPMain!$O$9:$O$1000)=$C122)*(LMPMain!T$9:T$1000) ) +  ( SUMPRODUCT( ((Adders!$D$13:$D$101)=$E122)*((Adders!$E$13:$E$101)=$F122)*(Adders!I$13:I$101)) + VLOOKUP($H122,Adders!$B$5:$G$8,N$11,FALSE)  +  NJ!$D$2 ) * IF($D122="NJ",1.07,1))/$L$10, CHOOSE($M$10,$L$9,$M$9) )</f>
        <v xml:space="preserve"> 51.76 </v>
      </c>
      <c r="O122" s="112"/>
    </row>
    <row r="123" spans="2:15" x14ac:dyDescent="0.25">
      <c r="B123" s="108"/>
      <c r="C123" s="131">
        <f t="shared" si="3"/>
        <v>42156</v>
      </c>
      <c r="D123" s="132" t="s">
        <v>31</v>
      </c>
      <c r="E123" s="133" t="s">
        <v>35</v>
      </c>
      <c r="F123" s="132" t="s">
        <v>10</v>
      </c>
      <c r="G123" s="133" t="str">
        <f>G122</f>
        <v>General Service Medium</v>
      </c>
      <c r="H123" s="134" t="s">
        <v>62</v>
      </c>
      <c r="I123" s="173" t="str">
        <f>TEXT(   (SUMPRODUCT( ((Main!$H$9:$H$1000)=$E123)*((Main!$J$9:$J$1000)=$F123)*((Main!$O$9:$O$1000)=$C123)*(Main!R$9:R$1000) ) +  ( SUMPRODUCT( ((Adders!$D$13:$D$101)=$E123)*((Adders!$E$13:$E$101)=$F123)*(Adders!G$13:G$101)) + VLOOKUP($H123,Adders!$B$5:$G$8,L$11,FALSE)  +  NJ!$D$2 ) * IF($D123="NJ",1.07,1))/$L$10, CHOOSE($M$10,$L$9,$M$9) )</f>
        <v xml:space="preserve"> 97.60 </v>
      </c>
      <c r="J123" s="173" t="str">
        <f>TEXT(   (SUMPRODUCT( ((Main!$H$9:$H$1000)=$E123)*((Main!$J$9:$J$1000)=$F123)*((Main!$O$9:$O$1000)=$C123)*(Main!S$9:S$1000) ) +  ( SUMPRODUCT( ((Adders!$D$13:$D$101)=$E123)*((Adders!$E$13:$E$101)=$F123)*(Adders!H$13:H$101)) + VLOOKUP($H123,Adders!$B$5:$G$8,M$11,FALSE)  +  NJ!$D$2 ) * IF($D123="NJ",1.07,1))/$L$10, CHOOSE($M$10,$L$9,$M$9) )</f>
        <v xml:space="preserve"> 97.04 </v>
      </c>
      <c r="K123" s="174" t="str">
        <f>TEXT(   (SUMPRODUCT( ((Main!$H$9:$H$1000)=$E123)*((Main!$J$9:$J$1000)=$F123)*((Main!$O$9:$O$1000)=$C123)*(Main!T$9:T$1000) ) +  ( SUMPRODUCT( ((Adders!$D$13:$D$101)=$E123)*((Adders!$E$13:$E$101)=$F123)*(Adders!I$13:I$101)) + VLOOKUP($H123,Adders!$B$5:$G$8,N$11,FALSE)  +  NJ!$D$2 ) * IF($D123="NJ",1.07,1))/$L$10, CHOOSE($M$10,$L$9,$M$9) )</f>
        <v xml:space="preserve"> 96.07 </v>
      </c>
      <c r="L123" s="173" t="str">
        <f>TEXT(   (SUMPRODUCT( ((LMPMain!$H$9:$H$1000)=$E123)*((LMPMain!$J$9:$J$1000)=$F123)*((LMPMain!$O$9:$O$1000)=$C123)*(LMPMain!R$9:R$1000) ) +  ( SUMPRODUCT( ((Adders!$D$13:$D$101)=$E123)*((Adders!$E$13:$E$101)=$F123)*(Adders!G$13:G$101)) + VLOOKUP($H123,Adders!$B$5:$G$8,L$11,FALSE)  +  NJ!$D$2 ) * IF($D123="NJ",1.07,1))/$L$10, CHOOSE($M$10,$L$9,$M$9) )</f>
        <v xml:space="preserve"> 51.88 </v>
      </c>
      <c r="M123" s="173" t="str">
        <f>TEXT(   (SUMPRODUCT( ((LMPMain!$H$9:$H$1000)=$E123)*((LMPMain!$J$9:$J$1000)=$F123)*((LMPMain!$O$9:$O$1000)=$C123)*(LMPMain!S$9:S$1000) ) +  ( SUMPRODUCT( ((Adders!$D$13:$D$101)=$E123)*((Adders!$E$13:$E$101)=$F123)*(Adders!H$13:H$101)) + VLOOKUP($H123,Adders!$B$5:$G$8,M$11,FALSE)  +  NJ!$D$2 ) * IF($D123="NJ",1.07,1))/$L$10, CHOOSE($M$10,$L$9,$M$9) )</f>
        <v xml:space="preserve"> 51.70 </v>
      </c>
      <c r="N123" s="174" t="str">
        <f>TEXT(   (SUMPRODUCT( ((LMPMain!$H$9:$H$1000)=$E123)*((LMPMain!$J$9:$J$1000)=$F123)*((LMPMain!$O$9:$O$1000)=$C123)*(LMPMain!T$9:T$1000) ) +  ( SUMPRODUCT( ((Adders!$D$13:$D$101)=$E123)*((Adders!$E$13:$E$101)=$F123)*(Adders!I$13:I$101)) + VLOOKUP($H123,Adders!$B$5:$G$8,N$11,FALSE)  +  NJ!$D$2 ) * IF($D123="NJ",1.07,1))/$L$10, CHOOSE($M$10,$L$9,$M$9) )</f>
        <v xml:space="preserve"> 50.05 </v>
      </c>
      <c r="O123" s="112"/>
    </row>
    <row r="124" spans="2:15" x14ac:dyDescent="0.25">
      <c r="B124" s="108"/>
      <c r="C124" s="135">
        <f t="shared" si="3"/>
        <v>42156</v>
      </c>
      <c r="D124" s="136" t="s">
        <v>31</v>
      </c>
      <c r="E124" s="137" t="s">
        <v>35</v>
      </c>
      <c r="F124" s="136" t="s">
        <v>10</v>
      </c>
      <c r="G124" s="137" t="str">
        <f>G123</f>
        <v>General Service Medium</v>
      </c>
      <c r="H124" s="138" t="s">
        <v>690</v>
      </c>
      <c r="I124" s="176" t="str">
        <f>TEXT(   (SUMPRODUCT( ((Main!$H$9:$H$1000)=$E124)*((Main!$J$9:$J$1000)=$F124)*((Main!$O$9:$O$1000)=$C124)*(Main!R$9:R$1000) ) +  ( SUMPRODUCT( ((Adders!$D$13:$D$101)=$E124)*((Adders!$E$13:$E$101)=$F124)*(Adders!G$13:G$101)) + VLOOKUP($H124,Adders!$B$5:$G$8,L$11,FALSE)  +  NJ!$D$2 ) * IF($D124="NJ",1.07,1))/$L$10, CHOOSE($M$10,$L$9,$M$9) )</f>
        <v xml:space="preserve"> 96.48 </v>
      </c>
      <c r="J124" s="176" t="str">
        <f>TEXT(   (SUMPRODUCT( ((Main!$H$9:$H$1000)=$E124)*((Main!$J$9:$J$1000)=$F124)*((Main!$O$9:$O$1000)=$C124)*(Main!S$9:S$1000) ) +  ( SUMPRODUCT( ((Adders!$D$13:$D$101)=$E124)*((Adders!$E$13:$E$101)=$F124)*(Adders!H$13:H$101)) + VLOOKUP($H124,Adders!$B$5:$G$8,M$11,FALSE)  +  NJ!$D$2 ) * IF($D124="NJ",1.07,1))/$L$10, CHOOSE($M$10,$L$9,$M$9) )</f>
        <v xml:space="preserve"> 95.92 </v>
      </c>
      <c r="K124" s="177" t="str">
        <f>TEXT(   (SUMPRODUCT( ((Main!$H$9:$H$1000)=$E124)*((Main!$J$9:$J$1000)=$F124)*((Main!$O$9:$O$1000)=$C124)*(Main!T$9:T$1000) ) +  ( SUMPRODUCT( ((Adders!$D$13:$D$101)=$E124)*((Adders!$E$13:$E$101)=$F124)*(Adders!I$13:I$101)) + VLOOKUP($H124,Adders!$B$5:$G$8,N$11,FALSE)  +  NJ!$D$2 ) * IF($D124="NJ",1.07,1))/$L$10, CHOOSE($M$10,$L$9,$M$9) )</f>
        <v xml:space="preserve"> 94.95 </v>
      </c>
      <c r="L124" s="176" t="str">
        <f>TEXT(   (SUMPRODUCT( ((LMPMain!$H$9:$H$1000)=$E124)*((LMPMain!$J$9:$J$1000)=$F124)*((LMPMain!$O$9:$O$1000)=$C124)*(LMPMain!R$9:R$1000) ) +  ( SUMPRODUCT( ((Adders!$D$13:$D$101)=$E124)*((Adders!$E$13:$E$101)=$F124)*(Adders!G$13:G$101)) + VLOOKUP($H124,Adders!$B$5:$G$8,L$11,FALSE)  +  NJ!$D$2 ) * IF($D124="NJ",1.07,1))/$L$10, CHOOSE($M$10,$L$9,$M$9) )</f>
        <v xml:space="preserve"> 50.75 </v>
      </c>
      <c r="M124" s="176" t="str">
        <f>TEXT(   (SUMPRODUCT( ((LMPMain!$H$9:$H$1000)=$E124)*((LMPMain!$J$9:$J$1000)=$F124)*((LMPMain!$O$9:$O$1000)=$C124)*(LMPMain!S$9:S$1000) ) +  ( SUMPRODUCT( ((Adders!$D$13:$D$101)=$E124)*((Adders!$E$13:$E$101)=$F124)*(Adders!H$13:H$101)) + VLOOKUP($H124,Adders!$B$5:$G$8,M$11,FALSE)  +  NJ!$D$2 ) * IF($D124="NJ",1.07,1))/$L$10, CHOOSE($M$10,$L$9,$M$9) )</f>
        <v xml:space="preserve"> 50.58 </v>
      </c>
      <c r="N124" s="177" t="str">
        <f>TEXT(   (SUMPRODUCT( ((LMPMain!$H$9:$H$1000)=$E124)*((LMPMain!$J$9:$J$1000)=$F124)*((LMPMain!$O$9:$O$1000)=$C124)*(LMPMain!T$9:T$1000) ) +  ( SUMPRODUCT( ((Adders!$D$13:$D$101)=$E124)*((Adders!$E$13:$E$101)=$F124)*(Adders!I$13:I$101)) + VLOOKUP($H124,Adders!$B$5:$G$8,N$11,FALSE)  +  NJ!$D$2 ) * IF($D124="NJ",1.07,1))/$L$10, CHOOSE($M$10,$L$9,$M$9) )</f>
        <v xml:space="preserve"> 48.93 </v>
      </c>
      <c r="O124" s="112"/>
    </row>
    <row r="125" spans="2:15" x14ac:dyDescent="0.25">
      <c r="B125" s="108"/>
      <c r="C125" s="127">
        <f t="shared" si="3"/>
        <v>42186</v>
      </c>
      <c r="D125" s="128" t="s">
        <v>31</v>
      </c>
      <c r="E125" s="129" t="s">
        <v>35</v>
      </c>
      <c r="F125" s="128" t="s">
        <v>10</v>
      </c>
      <c r="G125" s="129" t="str">
        <f t="shared" si="4"/>
        <v>General Service Medium</v>
      </c>
      <c r="H125" s="130" t="s">
        <v>61</v>
      </c>
      <c r="I125" s="178" t="str">
        <f>TEXT(   (SUMPRODUCT( ((Main!$H$9:$H$1000)=$E125)*((Main!$J$9:$J$1000)=$F125)*((Main!$O$9:$O$1000)=$C125)*(Main!R$9:R$1000) ) +  ( SUMPRODUCT( ((Adders!$D$13:$D$101)=$E125)*((Adders!$E$13:$E$101)=$F125)*(Adders!G$13:G$101)) + VLOOKUP($H125,Adders!$B$5:$G$8,L$11,FALSE)  +  NJ!$D$2 ) * IF($D125="NJ",1.07,1))/$L$10, CHOOSE($M$10,$L$9,$M$9) )</f>
        <v xml:space="preserve"> 99.20 </v>
      </c>
      <c r="J125" s="178" t="str">
        <f>TEXT(   (SUMPRODUCT( ((Main!$H$9:$H$1000)=$E125)*((Main!$J$9:$J$1000)=$F125)*((Main!$O$9:$O$1000)=$C125)*(Main!S$9:S$1000) ) +  ( SUMPRODUCT( ((Adders!$D$13:$D$101)=$E125)*((Adders!$E$13:$E$101)=$F125)*(Adders!H$13:H$101)) + VLOOKUP($H125,Adders!$B$5:$G$8,M$11,FALSE)  +  NJ!$D$2 ) * IF($D125="NJ",1.07,1))/$L$10, CHOOSE($M$10,$L$9,$M$9) )</f>
        <v xml:space="preserve"> 98.21 </v>
      </c>
      <c r="K125" s="179" t="str">
        <f>TEXT(   (SUMPRODUCT( ((Main!$H$9:$H$1000)=$E125)*((Main!$J$9:$J$1000)=$F125)*((Main!$O$9:$O$1000)=$C125)*(Main!T$9:T$1000) ) +  ( SUMPRODUCT( ((Adders!$D$13:$D$101)=$E125)*((Adders!$E$13:$E$101)=$F125)*(Adders!I$13:I$101)) + VLOOKUP($H125,Adders!$B$5:$G$8,N$11,FALSE)  +  NJ!$D$2 ) * IF($D125="NJ",1.07,1))/$L$10, CHOOSE($M$10,$L$9,$M$9) )</f>
        <v xml:space="preserve"> 97.78 </v>
      </c>
      <c r="L125" s="178" t="str">
        <f>TEXT(   (SUMPRODUCT( ((LMPMain!$H$9:$H$1000)=$E125)*((LMPMain!$J$9:$J$1000)=$F125)*((LMPMain!$O$9:$O$1000)=$C125)*(LMPMain!R$9:R$1000) ) +  ( SUMPRODUCT( ((Adders!$D$13:$D$101)=$E125)*((Adders!$E$13:$E$101)=$F125)*(Adders!G$13:G$101)) + VLOOKUP($H125,Adders!$B$5:$G$8,L$11,FALSE)  +  NJ!$D$2 ) * IF($D125="NJ",1.07,1))/$L$10, CHOOSE($M$10,$L$9,$M$9) )</f>
        <v xml:space="preserve"> 53.40 </v>
      </c>
      <c r="M125" s="178" t="str">
        <f>TEXT(   (SUMPRODUCT( ((LMPMain!$H$9:$H$1000)=$E125)*((LMPMain!$J$9:$J$1000)=$F125)*((LMPMain!$O$9:$O$1000)=$C125)*(LMPMain!S$9:S$1000) ) +  ( SUMPRODUCT( ((Adders!$D$13:$D$101)=$E125)*((Adders!$E$13:$E$101)=$F125)*(Adders!H$13:H$101)) + VLOOKUP($H125,Adders!$B$5:$G$8,M$11,FALSE)  +  NJ!$D$2 ) * IF($D125="NJ",1.07,1))/$L$10, CHOOSE($M$10,$L$9,$M$9) )</f>
        <v xml:space="preserve"> 52.98 </v>
      </c>
      <c r="N125" s="179" t="str">
        <f>TEXT(   (SUMPRODUCT( ((LMPMain!$H$9:$H$1000)=$E125)*((LMPMain!$J$9:$J$1000)=$F125)*((LMPMain!$O$9:$O$1000)=$C125)*(LMPMain!T$9:T$1000) ) +  ( SUMPRODUCT( ((Adders!$D$13:$D$101)=$E125)*((Adders!$E$13:$E$101)=$F125)*(Adders!I$13:I$101)) + VLOOKUP($H125,Adders!$B$5:$G$8,N$11,FALSE)  +  NJ!$D$2 ) * IF($D125="NJ",1.07,1))/$L$10, CHOOSE($M$10,$L$9,$M$9) )</f>
        <v xml:space="preserve"> 51.67 </v>
      </c>
      <c r="O125" s="112"/>
    </row>
    <row r="126" spans="2:15" x14ac:dyDescent="0.25">
      <c r="B126" s="108"/>
      <c r="C126" s="131">
        <f t="shared" si="3"/>
        <v>42186</v>
      </c>
      <c r="D126" s="132" t="s">
        <v>31</v>
      </c>
      <c r="E126" s="133" t="s">
        <v>35</v>
      </c>
      <c r="F126" s="132" t="s">
        <v>10</v>
      </c>
      <c r="G126" s="133" t="str">
        <f t="shared" si="4"/>
        <v>General Service Medium</v>
      </c>
      <c r="H126" s="134" t="s">
        <v>62</v>
      </c>
      <c r="I126" s="173" t="str">
        <f>TEXT(   (SUMPRODUCT( ((Main!$H$9:$H$1000)=$E126)*((Main!$J$9:$J$1000)=$F126)*((Main!$O$9:$O$1000)=$C126)*(Main!R$9:R$1000) ) +  ( SUMPRODUCT( ((Adders!$D$13:$D$101)=$E126)*((Adders!$E$13:$E$101)=$F126)*(Adders!G$13:G$101)) + VLOOKUP($H126,Adders!$B$5:$G$8,L$11,FALSE)  +  NJ!$D$2 ) * IF($D126="NJ",1.07,1))/$L$10, CHOOSE($M$10,$L$9,$M$9) )</f>
        <v xml:space="preserve"> 97.49 </v>
      </c>
      <c r="J126" s="173" t="str">
        <f>TEXT(   (SUMPRODUCT( ((Main!$H$9:$H$1000)=$E126)*((Main!$J$9:$J$1000)=$F126)*((Main!$O$9:$O$1000)=$C126)*(Main!S$9:S$1000) ) +  ( SUMPRODUCT( ((Adders!$D$13:$D$101)=$E126)*((Adders!$E$13:$E$101)=$F126)*(Adders!H$13:H$101)) + VLOOKUP($H126,Adders!$B$5:$G$8,M$11,FALSE)  +  NJ!$D$2 ) * IF($D126="NJ",1.07,1))/$L$10, CHOOSE($M$10,$L$9,$M$9) )</f>
        <v xml:space="preserve"> 96.50 </v>
      </c>
      <c r="K126" s="174" t="str">
        <f>TEXT(   (SUMPRODUCT( ((Main!$H$9:$H$1000)=$E126)*((Main!$J$9:$J$1000)=$F126)*((Main!$O$9:$O$1000)=$C126)*(Main!T$9:T$1000) ) +  ( SUMPRODUCT( ((Adders!$D$13:$D$101)=$E126)*((Adders!$E$13:$E$101)=$F126)*(Adders!I$13:I$101)) + VLOOKUP($H126,Adders!$B$5:$G$8,N$11,FALSE)  +  NJ!$D$2 ) * IF($D126="NJ",1.07,1))/$L$10, CHOOSE($M$10,$L$9,$M$9) )</f>
        <v xml:space="preserve"> 96.07 </v>
      </c>
      <c r="L126" s="173" t="str">
        <f>TEXT(   (SUMPRODUCT( ((LMPMain!$H$9:$H$1000)=$E126)*((LMPMain!$J$9:$J$1000)=$F126)*((LMPMain!$O$9:$O$1000)=$C126)*(LMPMain!R$9:R$1000) ) +  ( SUMPRODUCT( ((Adders!$D$13:$D$101)=$E126)*((Adders!$E$13:$E$101)=$F126)*(Adders!G$13:G$101)) + VLOOKUP($H126,Adders!$B$5:$G$8,L$11,FALSE)  +  NJ!$D$2 ) * IF($D126="NJ",1.07,1))/$L$10, CHOOSE($M$10,$L$9,$M$9) )</f>
        <v xml:space="preserve"> 51.68 </v>
      </c>
      <c r="M126" s="173" t="str">
        <f>TEXT(   (SUMPRODUCT( ((LMPMain!$H$9:$H$1000)=$E126)*((LMPMain!$J$9:$J$1000)=$F126)*((LMPMain!$O$9:$O$1000)=$C126)*(LMPMain!S$9:S$1000) ) +  ( SUMPRODUCT( ((Adders!$D$13:$D$101)=$E126)*((Adders!$E$13:$E$101)=$F126)*(Adders!H$13:H$101)) + VLOOKUP($H126,Adders!$B$5:$G$8,M$11,FALSE)  +  NJ!$D$2 ) * IF($D126="NJ",1.07,1))/$L$10, CHOOSE($M$10,$L$9,$M$9) )</f>
        <v xml:space="preserve"> 51.27 </v>
      </c>
      <c r="N126" s="174" t="str">
        <f>TEXT(   (SUMPRODUCT( ((LMPMain!$H$9:$H$1000)=$E126)*((LMPMain!$J$9:$J$1000)=$F126)*((LMPMain!$O$9:$O$1000)=$C126)*(LMPMain!T$9:T$1000) ) +  ( SUMPRODUCT( ((Adders!$D$13:$D$101)=$E126)*((Adders!$E$13:$E$101)=$F126)*(Adders!I$13:I$101)) + VLOOKUP($H126,Adders!$B$5:$G$8,N$11,FALSE)  +  NJ!$D$2 ) * IF($D126="NJ",1.07,1))/$L$10, CHOOSE($M$10,$L$9,$M$9) )</f>
        <v xml:space="preserve"> 49.96 </v>
      </c>
      <c r="O126" s="112"/>
    </row>
    <row r="127" spans="2:15" x14ac:dyDescent="0.25">
      <c r="B127" s="108"/>
      <c r="C127" s="135">
        <f t="shared" si="3"/>
        <v>42186</v>
      </c>
      <c r="D127" s="136" t="s">
        <v>31</v>
      </c>
      <c r="E127" s="137" t="s">
        <v>35</v>
      </c>
      <c r="F127" s="136" t="s">
        <v>10</v>
      </c>
      <c r="G127" s="137" t="str">
        <f t="shared" si="4"/>
        <v>General Service Medium</v>
      </c>
      <c r="H127" s="138" t="s">
        <v>690</v>
      </c>
      <c r="I127" s="176" t="str">
        <f>TEXT(   (SUMPRODUCT( ((Main!$H$9:$H$1000)=$E127)*((Main!$J$9:$J$1000)=$F127)*((Main!$O$9:$O$1000)=$C127)*(Main!R$9:R$1000) ) +  ( SUMPRODUCT( ((Adders!$D$13:$D$101)=$E127)*((Adders!$E$13:$E$101)=$F127)*(Adders!G$13:G$101)) + VLOOKUP($H127,Adders!$B$5:$G$8,L$11,FALSE)  +  NJ!$D$2 ) * IF($D127="NJ",1.07,1))/$L$10, CHOOSE($M$10,$L$9,$M$9) )</f>
        <v xml:space="preserve"> 96.37 </v>
      </c>
      <c r="J127" s="176" t="str">
        <f>TEXT(   (SUMPRODUCT( ((Main!$H$9:$H$1000)=$E127)*((Main!$J$9:$J$1000)=$F127)*((Main!$O$9:$O$1000)=$C127)*(Main!S$9:S$1000) ) +  ( SUMPRODUCT( ((Adders!$D$13:$D$101)=$E127)*((Adders!$E$13:$E$101)=$F127)*(Adders!H$13:H$101)) + VLOOKUP($H127,Adders!$B$5:$G$8,M$11,FALSE)  +  NJ!$D$2 ) * IF($D127="NJ",1.07,1))/$L$10, CHOOSE($M$10,$L$9,$M$9) )</f>
        <v xml:space="preserve"> 95.38 </v>
      </c>
      <c r="K127" s="177" t="str">
        <f>TEXT(   (SUMPRODUCT( ((Main!$H$9:$H$1000)=$E127)*((Main!$J$9:$J$1000)=$F127)*((Main!$O$9:$O$1000)=$C127)*(Main!T$9:T$1000) ) +  ( SUMPRODUCT( ((Adders!$D$13:$D$101)=$E127)*((Adders!$E$13:$E$101)=$F127)*(Adders!I$13:I$101)) + VLOOKUP($H127,Adders!$B$5:$G$8,N$11,FALSE)  +  NJ!$D$2 ) * IF($D127="NJ",1.07,1))/$L$10, CHOOSE($M$10,$L$9,$M$9) )</f>
        <v xml:space="preserve"> 94.95 </v>
      </c>
      <c r="L127" s="176" t="str">
        <f>TEXT(   (SUMPRODUCT( ((LMPMain!$H$9:$H$1000)=$E127)*((LMPMain!$J$9:$J$1000)=$F127)*((LMPMain!$O$9:$O$1000)=$C127)*(LMPMain!R$9:R$1000) ) +  ( SUMPRODUCT( ((Adders!$D$13:$D$101)=$E127)*((Adders!$E$13:$E$101)=$F127)*(Adders!G$13:G$101)) + VLOOKUP($H127,Adders!$B$5:$G$8,L$11,FALSE)  +  NJ!$D$2 ) * IF($D127="NJ",1.07,1))/$L$10, CHOOSE($M$10,$L$9,$M$9) )</f>
        <v xml:space="preserve"> 50.56 </v>
      </c>
      <c r="M127" s="176" t="str">
        <f>TEXT(   (SUMPRODUCT( ((LMPMain!$H$9:$H$1000)=$E127)*((LMPMain!$J$9:$J$1000)=$F127)*((LMPMain!$O$9:$O$1000)=$C127)*(LMPMain!S$9:S$1000) ) +  ( SUMPRODUCT( ((Adders!$D$13:$D$101)=$E127)*((Adders!$E$13:$E$101)=$F127)*(Adders!H$13:H$101)) + VLOOKUP($H127,Adders!$B$5:$G$8,M$11,FALSE)  +  NJ!$D$2 ) * IF($D127="NJ",1.07,1))/$L$10, CHOOSE($M$10,$L$9,$M$9) )</f>
        <v xml:space="preserve"> 50.14 </v>
      </c>
      <c r="N127" s="177" t="str">
        <f>TEXT(   (SUMPRODUCT( ((LMPMain!$H$9:$H$1000)=$E127)*((LMPMain!$J$9:$J$1000)=$F127)*((LMPMain!$O$9:$O$1000)=$C127)*(LMPMain!T$9:T$1000) ) +  ( SUMPRODUCT( ((Adders!$D$13:$D$101)=$E127)*((Adders!$E$13:$E$101)=$F127)*(Adders!I$13:I$101)) + VLOOKUP($H127,Adders!$B$5:$G$8,N$11,FALSE)  +  NJ!$D$2 ) * IF($D127="NJ",1.07,1))/$L$10, CHOOSE($M$10,$L$9,$M$9) )</f>
        <v xml:space="preserve"> 48.84 </v>
      </c>
      <c r="O127" s="112"/>
    </row>
    <row r="128" spans="2:15" x14ac:dyDescent="0.25">
      <c r="B128" s="108"/>
      <c r="C128" s="127">
        <f t="shared" si="3"/>
        <v>42217</v>
      </c>
      <c r="D128" s="128" t="s">
        <v>31</v>
      </c>
      <c r="E128" s="129" t="s">
        <v>35</v>
      </c>
      <c r="F128" s="128" t="s">
        <v>10</v>
      </c>
      <c r="G128" s="129" t="str">
        <f t="shared" si="4"/>
        <v>General Service Medium</v>
      </c>
      <c r="H128" s="130" t="s">
        <v>61</v>
      </c>
      <c r="I128" s="178" t="str">
        <f>TEXT(   (SUMPRODUCT( ((Main!$H$9:$H$1000)=$E128)*((Main!$J$9:$J$1000)=$F128)*((Main!$O$9:$O$1000)=$C128)*(Main!R$9:R$1000) ) +  ( SUMPRODUCT( ((Adders!$D$13:$D$101)=$E128)*((Adders!$E$13:$E$101)=$F128)*(Adders!G$13:G$101)) + VLOOKUP($H128,Adders!$B$5:$G$8,L$11,FALSE)  +  NJ!$D$2 ) * IF($D128="NJ",1.07,1))/$L$10, CHOOSE($M$10,$L$9,$M$9) )</f>
        <v xml:space="preserve"> 98.70 </v>
      </c>
      <c r="J128" s="178" t="str">
        <f>TEXT(   (SUMPRODUCT( ((Main!$H$9:$H$1000)=$E128)*((Main!$J$9:$J$1000)=$F128)*((Main!$O$9:$O$1000)=$C128)*(Main!S$9:S$1000) ) +  ( SUMPRODUCT( ((Adders!$D$13:$D$101)=$E128)*((Adders!$E$13:$E$101)=$F128)*(Adders!H$13:H$101)) + VLOOKUP($H128,Adders!$B$5:$G$8,M$11,FALSE)  +  NJ!$D$2 ) * IF($D128="NJ",1.07,1))/$L$10, CHOOSE($M$10,$L$9,$M$9) )</f>
        <v xml:space="preserve"> 98.64 </v>
      </c>
      <c r="K128" s="179" t="str">
        <f>TEXT(   (SUMPRODUCT( ((Main!$H$9:$H$1000)=$E128)*((Main!$J$9:$J$1000)=$F128)*((Main!$O$9:$O$1000)=$C128)*(Main!T$9:T$1000) ) +  ( SUMPRODUCT( ((Adders!$D$13:$D$101)=$E128)*((Adders!$E$13:$E$101)=$F128)*(Adders!I$13:I$101)) + VLOOKUP($H128,Adders!$B$5:$G$8,N$11,FALSE)  +  NJ!$D$2 ) * IF($D128="NJ",1.07,1))/$L$10, CHOOSE($M$10,$L$9,$M$9) )</f>
        <v xml:space="preserve"> 97.73 </v>
      </c>
      <c r="L128" s="178" t="str">
        <f>TEXT(   (SUMPRODUCT( ((LMPMain!$H$9:$H$1000)=$E128)*((LMPMain!$J$9:$J$1000)=$F128)*((LMPMain!$O$9:$O$1000)=$C128)*(LMPMain!R$9:R$1000) ) +  ( SUMPRODUCT( ((Adders!$D$13:$D$101)=$E128)*((Adders!$E$13:$E$101)=$F128)*(Adders!G$13:G$101)) + VLOOKUP($H128,Adders!$B$5:$G$8,L$11,FALSE)  +  NJ!$D$2 ) * IF($D128="NJ",1.07,1))/$L$10, CHOOSE($M$10,$L$9,$M$9) )</f>
        <v xml:space="preserve"> 52.95 </v>
      </c>
      <c r="M128" s="178" t="str">
        <f>TEXT(   (SUMPRODUCT( ((LMPMain!$H$9:$H$1000)=$E128)*((LMPMain!$J$9:$J$1000)=$F128)*((LMPMain!$O$9:$O$1000)=$C128)*(LMPMain!S$9:S$1000) ) +  ( SUMPRODUCT( ((Adders!$D$13:$D$101)=$E128)*((Adders!$E$13:$E$101)=$F128)*(Adders!H$13:H$101)) + VLOOKUP($H128,Adders!$B$5:$G$8,M$11,FALSE)  +  NJ!$D$2 ) * IF($D128="NJ",1.07,1))/$L$10, CHOOSE($M$10,$L$9,$M$9) )</f>
        <v xml:space="preserve"> 52.56 </v>
      </c>
      <c r="N128" s="179" t="str">
        <f>TEXT(   (SUMPRODUCT( ((LMPMain!$H$9:$H$1000)=$E128)*((LMPMain!$J$9:$J$1000)=$F128)*((LMPMain!$O$9:$O$1000)=$C128)*(LMPMain!T$9:T$1000) ) +  ( SUMPRODUCT( ((Adders!$D$13:$D$101)=$E128)*((Adders!$E$13:$E$101)=$F128)*(Adders!I$13:I$101)) + VLOOKUP($H128,Adders!$B$5:$G$8,N$11,FALSE)  +  NJ!$D$2 ) * IF($D128="NJ",1.07,1))/$L$10, CHOOSE($M$10,$L$9,$M$9) )</f>
        <v xml:space="preserve"> 51.56 </v>
      </c>
      <c r="O128" s="112"/>
    </row>
    <row r="129" spans="2:15" x14ac:dyDescent="0.25">
      <c r="B129" s="108"/>
      <c r="C129" s="131">
        <f t="shared" si="3"/>
        <v>42217</v>
      </c>
      <c r="D129" s="132" t="s">
        <v>31</v>
      </c>
      <c r="E129" s="133" t="s">
        <v>35</v>
      </c>
      <c r="F129" s="132" t="s">
        <v>10</v>
      </c>
      <c r="G129" s="133" t="str">
        <f t="shared" si="4"/>
        <v>General Service Medium</v>
      </c>
      <c r="H129" s="134" t="s">
        <v>62</v>
      </c>
      <c r="I129" s="173" t="str">
        <f>TEXT(   (SUMPRODUCT( ((Main!$H$9:$H$1000)=$E129)*((Main!$J$9:$J$1000)=$F129)*((Main!$O$9:$O$1000)=$C129)*(Main!R$9:R$1000) ) +  ( SUMPRODUCT( ((Adders!$D$13:$D$101)=$E129)*((Adders!$E$13:$E$101)=$F129)*(Adders!G$13:G$101)) + VLOOKUP($H129,Adders!$B$5:$G$8,L$11,FALSE)  +  NJ!$D$2 ) * IF($D129="NJ",1.07,1))/$L$10, CHOOSE($M$10,$L$9,$M$9) )</f>
        <v xml:space="preserve"> 96.99 </v>
      </c>
      <c r="J129" s="173" t="str">
        <f>TEXT(   (SUMPRODUCT( ((Main!$H$9:$H$1000)=$E129)*((Main!$J$9:$J$1000)=$F129)*((Main!$O$9:$O$1000)=$C129)*(Main!S$9:S$1000) ) +  ( SUMPRODUCT( ((Adders!$D$13:$D$101)=$E129)*((Adders!$E$13:$E$101)=$F129)*(Adders!H$13:H$101)) + VLOOKUP($H129,Adders!$B$5:$G$8,M$11,FALSE)  +  NJ!$D$2 ) * IF($D129="NJ",1.07,1))/$L$10, CHOOSE($M$10,$L$9,$M$9) )</f>
        <v xml:space="preserve"> 96.93 </v>
      </c>
      <c r="K129" s="174" t="str">
        <f>TEXT(   (SUMPRODUCT( ((Main!$H$9:$H$1000)=$E129)*((Main!$J$9:$J$1000)=$F129)*((Main!$O$9:$O$1000)=$C129)*(Main!T$9:T$1000) ) +  ( SUMPRODUCT( ((Adders!$D$13:$D$101)=$E129)*((Adders!$E$13:$E$101)=$F129)*(Adders!I$13:I$101)) + VLOOKUP($H129,Adders!$B$5:$G$8,N$11,FALSE)  +  NJ!$D$2 ) * IF($D129="NJ",1.07,1))/$L$10, CHOOSE($M$10,$L$9,$M$9) )</f>
        <v xml:space="preserve"> 96.02 </v>
      </c>
      <c r="L129" s="173" t="str">
        <f>TEXT(   (SUMPRODUCT( ((LMPMain!$H$9:$H$1000)=$E129)*((LMPMain!$J$9:$J$1000)=$F129)*((LMPMain!$O$9:$O$1000)=$C129)*(LMPMain!R$9:R$1000) ) +  ( SUMPRODUCT( ((Adders!$D$13:$D$101)=$E129)*((Adders!$E$13:$E$101)=$F129)*(Adders!G$13:G$101)) + VLOOKUP($H129,Adders!$B$5:$G$8,L$11,FALSE)  +  NJ!$D$2 ) * IF($D129="NJ",1.07,1))/$L$10, CHOOSE($M$10,$L$9,$M$9) )</f>
        <v xml:space="preserve"> 51.24 </v>
      </c>
      <c r="M129" s="173" t="str">
        <f>TEXT(   (SUMPRODUCT( ((LMPMain!$H$9:$H$1000)=$E129)*((LMPMain!$J$9:$J$1000)=$F129)*((LMPMain!$O$9:$O$1000)=$C129)*(LMPMain!S$9:S$1000) ) +  ( SUMPRODUCT( ((Adders!$D$13:$D$101)=$E129)*((Adders!$E$13:$E$101)=$F129)*(Adders!H$13:H$101)) + VLOOKUP($H129,Adders!$B$5:$G$8,M$11,FALSE)  +  NJ!$D$2 ) * IF($D129="NJ",1.07,1))/$L$10, CHOOSE($M$10,$L$9,$M$9) )</f>
        <v xml:space="preserve"> 50.85 </v>
      </c>
      <c r="N129" s="174" t="str">
        <f>TEXT(   (SUMPRODUCT( ((LMPMain!$H$9:$H$1000)=$E129)*((LMPMain!$J$9:$J$1000)=$F129)*((LMPMain!$O$9:$O$1000)=$C129)*(LMPMain!T$9:T$1000) ) +  ( SUMPRODUCT( ((Adders!$D$13:$D$101)=$E129)*((Adders!$E$13:$E$101)=$F129)*(Adders!I$13:I$101)) + VLOOKUP($H129,Adders!$B$5:$G$8,N$11,FALSE)  +  NJ!$D$2 ) * IF($D129="NJ",1.07,1))/$L$10, CHOOSE($M$10,$L$9,$M$9) )</f>
        <v xml:space="preserve"> 49.85 </v>
      </c>
      <c r="O129" s="112"/>
    </row>
    <row r="130" spans="2:15" x14ac:dyDescent="0.25">
      <c r="B130" s="108"/>
      <c r="C130" s="135">
        <f t="shared" si="3"/>
        <v>42217</v>
      </c>
      <c r="D130" s="136" t="s">
        <v>31</v>
      </c>
      <c r="E130" s="137" t="s">
        <v>35</v>
      </c>
      <c r="F130" s="136" t="s">
        <v>10</v>
      </c>
      <c r="G130" s="137" t="str">
        <f t="shared" si="4"/>
        <v>General Service Medium</v>
      </c>
      <c r="H130" s="138" t="s">
        <v>690</v>
      </c>
      <c r="I130" s="176" t="str">
        <f>TEXT(   (SUMPRODUCT( ((Main!$H$9:$H$1000)=$E130)*((Main!$J$9:$J$1000)=$F130)*((Main!$O$9:$O$1000)=$C130)*(Main!R$9:R$1000) ) +  ( SUMPRODUCT( ((Adders!$D$13:$D$101)=$E130)*((Adders!$E$13:$E$101)=$F130)*(Adders!G$13:G$101)) + VLOOKUP($H130,Adders!$B$5:$G$8,L$11,FALSE)  +  NJ!$D$2 ) * IF($D130="NJ",1.07,1))/$L$10, CHOOSE($M$10,$L$9,$M$9) )</f>
        <v xml:space="preserve"> 95.87 </v>
      </c>
      <c r="J130" s="176" t="str">
        <f>TEXT(   (SUMPRODUCT( ((Main!$H$9:$H$1000)=$E130)*((Main!$J$9:$J$1000)=$F130)*((Main!$O$9:$O$1000)=$C130)*(Main!S$9:S$1000) ) +  ( SUMPRODUCT( ((Adders!$D$13:$D$101)=$E130)*((Adders!$E$13:$E$101)=$F130)*(Adders!H$13:H$101)) + VLOOKUP($H130,Adders!$B$5:$G$8,M$11,FALSE)  +  NJ!$D$2 ) * IF($D130="NJ",1.07,1))/$L$10, CHOOSE($M$10,$L$9,$M$9) )</f>
        <v xml:space="preserve"> 95.81 </v>
      </c>
      <c r="K130" s="177" t="str">
        <f>TEXT(   (SUMPRODUCT( ((Main!$H$9:$H$1000)=$E130)*((Main!$J$9:$J$1000)=$F130)*((Main!$O$9:$O$1000)=$C130)*(Main!T$9:T$1000) ) +  ( SUMPRODUCT( ((Adders!$D$13:$D$101)=$E130)*((Adders!$E$13:$E$101)=$F130)*(Adders!I$13:I$101)) + VLOOKUP($H130,Adders!$B$5:$G$8,N$11,FALSE)  +  NJ!$D$2 ) * IF($D130="NJ",1.07,1))/$L$10, CHOOSE($M$10,$L$9,$M$9) )</f>
        <v xml:space="preserve"> 94.90 </v>
      </c>
      <c r="L130" s="176" t="str">
        <f>TEXT(   (SUMPRODUCT( ((LMPMain!$H$9:$H$1000)=$E130)*((LMPMain!$J$9:$J$1000)=$F130)*((LMPMain!$O$9:$O$1000)=$C130)*(LMPMain!R$9:R$1000) ) +  ( SUMPRODUCT( ((Adders!$D$13:$D$101)=$E130)*((Adders!$E$13:$E$101)=$F130)*(Adders!G$13:G$101)) + VLOOKUP($H130,Adders!$B$5:$G$8,L$11,FALSE)  +  NJ!$D$2 ) * IF($D130="NJ",1.07,1))/$L$10, CHOOSE($M$10,$L$9,$M$9) )</f>
        <v xml:space="preserve"> 50.12 </v>
      </c>
      <c r="M130" s="176" t="str">
        <f>TEXT(   (SUMPRODUCT( ((LMPMain!$H$9:$H$1000)=$E130)*((LMPMain!$J$9:$J$1000)=$F130)*((LMPMain!$O$9:$O$1000)=$C130)*(LMPMain!S$9:S$1000) ) +  ( SUMPRODUCT( ((Adders!$D$13:$D$101)=$E130)*((Adders!$E$13:$E$101)=$F130)*(Adders!H$13:H$101)) + VLOOKUP($H130,Adders!$B$5:$G$8,M$11,FALSE)  +  NJ!$D$2 ) * IF($D130="NJ",1.07,1))/$L$10, CHOOSE($M$10,$L$9,$M$9) )</f>
        <v xml:space="preserve"> 49.73 </v>
      </c>
      <c r="N130" s="177" t="str">
        <f>TEXT(   (SUMPRODUCT( ((LMPMain!$H$9:$H$1000)=$E130)*((LMPMain!$J$9:$J$1000)=$F130)*((LMPMain!$O$9:$O$1000)=$C130)*(LMPMain!T$9:T$1000) ) +  ( SUMPRODUCT( ((Adders!$D$13:$D$101)=$E130)*((Adders!$E$13:$E$101)=$F130)*(Adders!I$13:I$101)) + VLOOKUP($H130,Adders!$B$5:$G$8,N$11,FALSE)  +  NJ!$D$2 ) * IF($D130="NJ",1.07,1))/$L$10, CHOOSE($M$10,$L$9,$M$9) )</f>
        <v xml:space="preserve"> 48.73 </v>
      </c>
      <c r="O130" s="112"/>
    </row>
    <row r="131" spans="2:15" x14ac:dyDescent="0.25">
      <c r="B131" s="108"/>
      <c r="C131" s="127">
        <f t="shared" si="3"/>
        <v>42248</v>
      </c>
      <c r="D131" s="128" t="s">
        <v>31</v>
      </c>
      <c r="E131" s="129" t="s">
        <v>35</v>
      </c>
      <c r="F131" s="128" t="s">
        <v>10</v>
      </c>
      <c r="G131" s="129" t="str">
        <f t="shared" si="4"/>
        <v>General Service Medium</v>
      </c>
      <c r="H131" s="130" t="s">
        <v>61</v>
      </c>
      <c r="I131" s="178" t="str">
        <f>TEXT(   (SUMPRODUCT( ((Main!$H$9:$H$1000)=$E131)*((Main!$J$9:$J$1000)=$F131)*((Main!$O$9:$O$1000)=$C131)*(Main!R$9:R$1000) ) +  ( SUMPRODUCT( ((Adders!$D$13:$D$101)=$E131)*((Adders!$E$13:$E$101)=$F131)*(Adders!G$13:G$101)) + VLOOKUP($H131,Adders!$B$5:$G$8,L$11,FALSE)  +  NJ!$D$2 ) * IF($D131="NJ",1.07,1))/$L$10, CHOOSE($M$10,$L$9,$M$9) )</f>
        <v xml:space="preserve"> 98.52 </v>
      </c>
      <c r="J131" s="178" t="str">
        <f>TEXT(   (SUMPRODUCT( ((Main!$H$9:$H$1000)=$E131)*((Main!$J$9:$J$1000)=$F131)*((Main!$O$9:$O$1000)=$C131)*(Main!S$9:S$1000) ) +  ( SUMPRODUCT( ((Adders!$D$13:$D$101)=$E131)*((Adders!$E$13:$E$101)=$F131)*(Adders!H$13:H$101)) + VLOOKUP($H131,Adders!$B$5:$G$8,M$11,FALSE)  +  NJ!$D$2 ) * IF($D131="NJ",1.07,1))/$L$10, CHOOSE($M$10,$L$9,$M$9) )</f>
        <v xml:space="preserve"> 99.01 </v>
      </c>
      <c r="K131" s="179" t="str">
        <f>TEXT(   (SUMPRODUCT( ((Main!$H$9:$H$1000)=$E131)*((Main!$J$9:$J$1000)=$F131)*((Main!$O$9:$O$1000)=$C131)*(Main!T$9:T$1000) ) +  ( SUMPRODUCT( ((Adders!$D$13:$D$101)=$E131)*((Adders!$E$13:$E$101)=$F131)*(Adders!I$13:I$101)) + VLOOKUP($H131,Adders!$B$5:$G$8,N$11,FALSE)  +  NJ!$D$2 ) * IF($D131="NJ",1.07,1))/$L$10, CHOOSE($M$10,$L$9,$M$9) )</f>
        <v xml:space="preserve"> 97.81 </v>
      </c>
      <c r="L131" s="178" t="str">
        <f>TEXT(   (SUMPRODUCT( ((LMPMain!$H$9:$H$1000)=$E131)*((LMPMain!$J$9:$J$1000)=$F131)*((LMPMain!$O$9:$O$1000)=$C131)*(LMPMain!R$9:R$1000) ) +  ( SUMPRODUCT( ((Adders!$D$13:$D$101)=$E131)*((Adders!$E$13:$E$101)=$F131)*(Adders!G$13:G$101)) + VLOOKUP($H131,Adders!$B$5:$G$8,L$11,FALSE)  +  NJ!$D$2 ) * IF($D131="NJ",1.07,1))/$L$10, CHOOSE($M$10,$L$9,$M$9) )</f>
        <v xml:space="preserve"> 52.65 </v>
      </c>
      <c r="M131" s="178" t="str">
        <f>TEXT(   (SUMPRODUCT( ((LMPMain!$H$9:$H$1000)=$E131)*((LMPMain!$J$9:$J$1000)=$F131)*((LMPMain!$O$9:$O$1000)=$C131)*(LMPMain!S$9:S$1000) ) +  ( SUMPRODUCT( ((Adders!$D$13:$D$101)=$E131)*((Adders!$E$13:$E$101)=$F131)*(Adders!H$13:H$101)) + VLOOKUP($H131,Adders!$B$5:$G$8,M$11,FALSE)  +  NJ!$D$2 ) * IF($D131="NJ",1.07,1))/$L$10, CHOOSE($M$10,$L$9,$M$9) )</f>
        <v xml:space="preserve"> 52.44 </v>
      </c>
      <c r="N131" s="179" t="str">
        <f>TEXT(   (SUMPRODUCT( ((LMPMain!$H$9:$H$1000)=$E131)*((LMPMain!$J$9:$J$1000)=$F131)*((LMPMain!$O$9:$O$1000)=$C131)*(LMPMain!T$9:T$1000) ) +  ( SUMPRODUCT( ((Adders!$D$13:$D$101)=$E131)*((Adders!$E$13:$E$101)=$F131)*(Adders!I$13:I$101)) + VLOOKUP($H131,Adders!$B$5:$G$8,N$11,FALSE)  +  NJ!$D$2 ) * IF($D131="NJ",1.07,1))/$L$10, CHOOSE($M$10,$L$9,$M$9) )</f>
        <v xml:space="preserve"> 51.46 </v>
      </c>
      <c r="O131" s="112"/>
    </row>
    <row r="132" spans="2:15" x14ac:dyDescent="0.25">
      <c r="B132" s="108"/>
      <c r="C132" s="131">
        <f t="shared" si="3"/>
        <v>42248</v>
      </c>
      <c r="D132" s="132" t="s">
        <v>31</v>
      </c>
      <c r="E132" s="133" t="s">
        <v>35</v>
      </c>
      <c r="F132" s="132" t="s">
        <v>10</v>
      </c>
      <c r="G132" s="133" t="str">
        <f t="shared" si="4"/>
        <v>General Service Medium</v>
      </c>
      <c r="H132" s="134" t="s">
        <v>62</v>
      </c>
      <c r="I132" s="173" t="str">
        <f>TEXT(   (SUMPRODUCT( ((Main!$H$9:$H$1000)=$E132)*((Main!$J$9:$J$1000)=$F132)*((Main!$O$9:$O$1000)=$C132)*(Main!R$9:R$1000) ) +  ( SUMPRODUCT( ((Adders!$D$13:$D$101)=$E132)*((Adders!$E$13:$E$101)=$F132)*(Adders!G$13:G$101)) + VLOOKUP($H132,Adders!$B$5:$G$8,L$11,FALSE)  +  NJ!$D$2 ) * IF($D132="NJ",1.07,1))/$L$10, CHOOSE($M$10,$L$9,$M$9) )</f>
        <v xml:space="preserve"> 96.81 </v>
      </c>
      <c r="J132" s="173" t="str">
        <f>TEXT(   (SUMPRODUCT( ((Main!$H$9:$H$1000)=$E132)*((Main!$J$9:$J$1000)=$F132)*((Main!$O$9:$O$1000)=$C132)*(Main!S$9:S$1000) ) +  ( SUMPRODUCT( ((Adders!$D$13:$D$101)=$E132)*((Adders!$E$13:$E$101)=$F132)*(Adders!H$13:H$101)) + VLOOKUP($H132,Adders!$B$5:$G$8,M$11,FALSE)  +  NJ!$D$2 ) * IF($D132="NJ",1.07,1))/$L$10, CHOOSE($M$10,$L$9,$M$9) )</f>
        <v xml:space="preserve"> 97.30 </v>
      </c>
      <c r="K132" s="174" t="str">
        <f>TEXT(   (SUMPRODUCT( ((Main!$H$9:$H$1000)=$E132)*((Main!$J$9:$J$1000)=$F132)*((Main!$O$9:$O$1000)=$C132)*(Main!T$9:T$1000) ) +  ( SUMPRODUCT( ((Adders!$D$13:$D$101)=$E132)*((Adders!$E$13:$E$101)=$F132)*(Adders!I$13:I$101)) + VLOOKUP($H132,Adders!$B$5:$G$8,N$11,FALSE)  +  NJ!$D$2 ) * IF($D132="NJ",1.07,1))/$L$10, CHOOSE($M$10,$L$9,$M$9) )</f>
        <v xml:space="preserve"> 96.10 </v>
      </c>
      <c r="L132" s="173" t="str">
        <f>TEXT(   (SUMPRODUCT( ((LMPMain!$H$9:$H$1000)=$E132)*((LMPMain!$J$9:$J$1000)=$F132)*((LMPMain!$O$9:$O$1000)=$C132)*(LMPMain!R$9:R$1000) ) +  ( SUMPRODUCT( ((Adders!$D$13:$D$101)=$E132)*((Adders!$E$13:$E$101)=$F132)*(Adders!G$13:G$101)) + VLOOKUP($H132,Adders!$B$5:$G$8,L$11,FALSE)  +  NJ!$D$2 ) * IF($D132="NJ",1.07,1))/$L$10, CHOOSE($M$10,$L$9,$M$9) )</f>
        <v xml:space="preserve"> 50.94 </v>
      </c>
      <c r="M132" s="173" t="str">
        <f>TEXT(   (SUMPRODUCT( ((LMPMain!$H$9:$H$1000)=$E132)*((LMPMain!$J$9:$J$1000)=$F132)*((LMPMain!$O$9:$O$1000)=$C132)*(LMPMain!S$9:S$1000) ) +  ( SUMPRODUCT( ((Adders!$D$13:$D$101)=$E132)*((Adders!$E$13:$E$101)=$F132)*(Adders!H$13:H$101)) + VLOOKUP($H132,Adders!$B$5:$G$8,M$11,FALSE)  +  NJ!$D$2 ) * IF($D132="NJ",1.07,1))/$L$10, CHOOSE($M$10,$L$9,$M$9) )</f>
        <v xml:space="preserve"> 50.73 </v>
      </c>
      <c r="N132" s="174" t="str">
        <f>TEXT(   (SUMPRODUCT( ((LMPMain!$H$9:$H$1000)=$E132)*((LMPMain!$J$9:$J$1000)=$F132)*((LMPMain!$O$9:$O$1000)=$C132)*(LMPMain!T$9:T$1000) ) +  ( SUMPRODUCT( ((Adders!$D$13:$D$101)=$E132)*((Adders!$E$13:$E$101)=$F132)*(Adders!I$13:I$101)) + VLOOKUP($H132,Adders!$B$5:$G$8,N$11,FALSE)  +  NJ!$D$2 ) * IF($D132="NJ",1.07,1))/$L$10, CHOOSE($M$10,$L$9,$M$9) )</f>
        <v xml:space="preserve"> 49.75 </v>
      </c>
      <c r="O132" s="112"/>
    </row>
    <row r="133" spans="2:15" x14ac:dyDescent="0.25">
      <c r="B133" s="108"/>
      <c r="C133" s="135">
        <f t="shared" si="3"/>
        <v>42248</v>
      </c>
      <c r="D133" s="136" t="s">
        <v>31</v>
      </c>
      <c r="E133" s="137" t="s">
        <v>35</v>
      </c>
      <c r="F133" s="136" t="s">
        <v>10</v>
      </c>
      <c r="G133" s="137" t="str">
        <f t="shared" si="4"/>
        <v>General Service Medium</v>
      </c>
      <c r="H133" s="138" t="s">
        <v>690</v>
      </c>
      <c r="I133" s="176" t="str">
        <f>TEXT(   (SUMPRODUCT( ((Main!$H$9:$H$1000)=$E133)*((Main!$J$9:$J$1000)=$F133)*((Main!$O$9:$O$1000)=$C133)*(Main!R$9:R$1000) ) +  ( SUMPRODUCT( ((Adders!$D$13:$D$101)=$E133)*((Adders!$E$13:$E$101)=$F133)*(Adders!G$13:G$101)) + VLOOKUP($H133,Adders!$B$5:$G$8,L$11,FALSE)  +  NJ!$D$2 ) * IF($D133="NJ",1.07,1))/$L$10, CHOOSE($M$10,$L$9,$M$9) )</f>
        <v xml:space="preserve"> 95.69 </v>
      </c>
      <c r="J133" s="176" t="str">
        <f>TEXT(   (SUMPRODUCT( ((Main!$H$9:$H$1000)=$E133)*((Main!$J$9:$J$1000)=$F133)*((Main!$O$9:$O$1000)=$C133)*(Main!S$9:S$1000) ) +  ( SUMPRODUCT( ((Adders!$D$13:$D$101)=$E133)*((Adders!$E$13:$E$101)=$F133)*(Adders!H$13:H$101)) + VLOOKUP($H133,Adders!$B$5:$G$8,M$11,FALSE)  +  NJ!$D$2 ) * IF($D133="NJ",1.07,1))/$L$10, CHOOSE($M$10,$L$9,$M$9) )</f>
        <v xml:space="preserve"> 96.18 </v>
      </c>
      <c r="K133" s="177" t="str">
        <f>TEXT(   (SUMPRODUCT( ((Main!$H$9:$H$1000)=$E133)*((Main!$J$9:$J$1000)=$F133)*((Main!$O$9:$O$1000)=$C133)*(Main!T$9:T$1000) ) +  ( SUMPRODUCT( ((Adders!$D$13:$D$101)=$E133)*((Adders!$E$13:$E$101)=$F133)*(Adders!I$13:I$101)) + VLOOKUP($H133,Adders!$B$5:$G$8,N$11,FALSE)  +  NJ!$D$2 ) * IF($D133="NJ",1.07,1))/$L$10, CHOOSE($M$10,$L$9,$M$9) )</f>
        <v xml:space="preserve"> 94.98 </v>
      </c>
      <c r="L133" s="176" t="str">
        <f>TEXT(   (SUMPRODUCT( ((LMPMain!$H$9:$H$1000)=$E133)*((LMPMain!$J$9:$J$1000)=$F133)*((LMPMain!$O$9:$O$1000)=$C133)*(LMPMain!R$9:R$1000) ) +  ( SUMPRODUCT( ((Adders!$D$13:$D$101)=$E133)*((Adders!$E$13:$E$101)=$F133)*(Adders!G$13:G$101)) + VLOOKUP($H133,Adders!$B$5:$G$8,L$11,FALSE)  +  NJ!$D$2 ) * IF($D133="NJ",1.07,1))/$L$10, CHOOSE($M$10,$L$9,$M$9) )</f>
        <v xml:space="preserve"> 49.82 </v>
      </c>
      <c r="M133" s="176" t="str">
        <f>TEXT(   (SUMPRODUCT( ((LMPMain!$H$9:$H$1000)=$E133)*((LMPMain!$J$9:$J$1000)=$F133)*((LMPMain!$O$9:$O$1000)=$C133)*(LMPMain!S$9:S$1000) ) +  ( SUMPRODUCT( ((Adders!$D$13:$D$101)=$E133)*((Adders!$E$13:$E$101)=$F133)*(Adders!H$13:H$101)) + VLOOKUP($H133,Adders!$B$5:$G$8,M$11,FALSE)  +  NJ!$D$2 ) * IF($D133="NJ",1.07,1))/$L$10, CHOOSE($M$10,$L$9,$M$9) )</f>
        <v xml:space="preserve"> 49.60 </v>
      </c>
      <c r="N133" s="177" t="str">
        <f>TEXT(   (SUMPRODUCT( ((LMPMain!$H$9:$H$1000)=$E133)*((LMPMain!$J$9:$J$1000)=$F133)*((LMPMain!$O$9:$O$1000)=$C133)*(LMPMain!T$9:T$1000) ) +  ( SUMPRODUCT( ((Adders!$D$13:$D$101)=$E133)*((Adders!$E$13:$E$101)=$F133)*(Adders!I$13:I$101)) + VLOOKUP($H133,Adders!$B$5:$G$8,N$11,FALSE)  +  NJ!$D$2 ) * IF($D133="NJ",1.07,1))/$L$10, CHOOSE($M$10,$L$9,$M$9) )</f>
        <v xml:space="preserve"> 48.63 </v>
      </c>
      <c r="O133" s="112"/>
    </row>
    <row r="134" spans="2:15" x14ac:dyDescent="0.25">
      <c r="B134" s="108"/>
      <c r="C134" s="127">
        <f t="shared" si="3"/>
        <v>42278</v>
      </c>
      <c r="D134" s="128" t="s">
        <v>31</v>
      </c>
      <c r="E134" s="129" t="s">
        <v>35</v>
      </c>
      <c r="F134" s="128" t="s">
        <v>10</v>
      </c>
      <c r="G134" s="129" t="str">
        <f t="shared" si="4"/>
        <v>General Service Medium</v>
      </c>
      <c r="H134" s="130" t="s">
        <v>61</v>
      </c>
      <c r="I134" s="178" t="str">
        <f>TEXT(   (SUMPRODUCT( ((Main!$H$9:$H$1000)=$E134)*((Main!$J$9:$J$1000)=$F134)*((Main!$O$9:$O$1000)=$C134)*(Main!R$9:R$1000) ) +  ( SUMPRODUCT( ((Adders!$D$13:$D$101)=$E134)*((Adders!$E$13:$E$101)=$F134)*(Adders!G$13:G$101)) + VLOOKUP($H134,Adders!$B$5:$G$8,L$11,FALSE)  +  NJ!$D$2 ) * IF($D134="NJ",1.07,1))/$L$10, CHOOSE($M$10,$L$9,$M$9) )</f>
        <v xml:space="preserve"> 98.28 </v>
      </c>
      <c r="J134" s="178" t="str">
        <f>TEXT(   (SUMPRODUCT( ((Main!$H$9:$H$1000)=$E134)*((Main!$J$9:$J$1000)=$F134)*((Main!$O$9:$O$1000)=$C134)*(Main!S$9:S$1000) ) +  ( SUMPRODUCT( ((Adders!$D$13:$D$101)=$E134)*((Adders!$E$13:$E$101)=$F134)*(Adders!H$13:H$101)) + VLOOKUP($H134,Adders!$B$5:$G$8,M$11,FALSE)  +  NJ!$D$2 ) * IF($D134="NJ",1.07,1))/$L$10, CHOOSE($M$10,$L$9,$M$9) )</f>
        <v xml:space="preserve"> 98.59 </v>
      </c>
      <c r="K134" s="179" t="str">
        <f>TEXT(   (SUMPRODUCT( ((Main!$H$9:$H$1000)=$E134)*((Main!$J$9:$J$1000)=$F134)*((Main!$O$9:$O$1000)=$C134)*(Main!T$9:T$1000) ) +  ( SUMPRODUCT( ((Adders!$D$13:$D$101)=$E134)*((Adders!$E$13:$E$101)=$F134)*(Adders!I$13:I$101)) + VLOOKUP($H134,Adders!$B$5:$G$8,N$11,FALSE)  +  NJ!$D$2 ) * IF($D134="NJ",1.07,1))/$L$10, CHOOSE($M$10,$L$9,$M$9) )</f>
        <v xml:space="preserve"> 97.73 </v>
      </c>
      <c r="L134" s="178" t="str">
        <f>TEXT(   (SUMPRODUCT( ((LMPMain!$H$9:$H$1000)=$E134)*((LMPMain!$J$9:$J$1000)=$F134)*((LMPMain!$O$9:$O$1000)=$C134)*(LMPMain!R$9:R$1000) ) +  ( SUMPRODUCT( ((Adders!$D$13:$D$101)=$E134)*((Adders!$E$13:$E$101)=$F134)*(Adders!G$13:G$101)) + VLOOKUP($H134,Adders!$B$5:$G$8,L$11,FALSE)  +  NJ!$D$2 ) * IF($D134="NJ",1.07,1))/$L$10, CHOOSE($M$10,$L$9,$M$9) )</f>
        <v xml:space="preserve"> 52.28 </v>
      </c>
      <c r="M134" s="178" t="str">
        <f>TEXT(   (SUMPRODUCT( ((LMPMain!$H$9:$H$1000)=$E134)*((LMPMain!$J$9:$J$1000)=$F134)*((LMPMain!$O$9:$O$1000)=$C134)*(LMPMain!S$9:S$1000) ) +  ( SUMPRODUCT( ((Adders!$D$13:$D$101)=$E134)*((Adders!$E$13:$E$101)=$F134)*(Adders!H$13:H$101)) + VLOOKUP($H134,Adders!$B$5:$G$8,M$11,FALSE)  +  NJ!$D$2 ) * IF($D134="NJ",1.07,1))/$L$10, CHOOSE($M$10,$L$9,$M$9) )</f>
        <v xml:space="preserve"> 51.75 </v>
      </c>
      <c r="N134" s="179" t="str">
        <f>TEXT(   (SUMPRODUCT( ((LMPMain!$H$9:$H$1000)=$E134)*((LMPMain!$J$9:$J$1000)=$F134)*((LMPMain!$O$9:$O$1000)=$C134)*(LMPMain!T$9:T$1000) ) +  ( SUMPRODUCT( ((Adders!$D$13:$D$101)=$E134)*((Adders!$E$13:$E$101)=$F134)*(Adders!I$13:I$101)) + VLOOKUP($H134,Adders!$B$5:$G$8,N$11,FALSE)  +  NJ!$D$2 ) * IF($D134="NJ",1.07,1))/$L$10, CHOOSE($M$10,$L$9,$M$9) )</f>
        <v xml:space="preserve"> 51.36 </v>
      </c>
      <c r="O134" s="112"/>
    </row>
    <row r="135" spans="2:15" x14ac:dyDescent="0.25">
      <c r="B135" s="108"/>
      <c r="C135" s="131">
        <f t="shared" si="3"/>
        <v>42278</v>
      </c>
      <c r="D135" s="132" t="s">
        <v>31</v>
      </c>
      <c r="E135" s="133" t="s">
        <v>35</v>
      </c>
      <c r="F135" s="132" t="s">
        <v>10</v>
      </c>
      <c r="G135" s="133" t="str">
        <f t="shared" si="4"/>
        <v>General Service Medium</v>
      </c>
      <c r="H135" s="134" t="s">
        <v>62</v>
      </c>
      <c r="I135" s="173" t="str">
        <f>TEXT(   (SUMPRODUCT( ((Main!$H$9:$H$1000)=$E135)*((Main!$J$9:$J$1000)=$F135)*((Main!$O$9:$O$1000)=$C135)*(Main!R$9:R$1000) ) +  ( SUMPRODUCT( ((Adders!$D$13:$D$101)=$E135)*((Adders!$E$13:$E$101)=$F135)*(Adders!G$13:G$101)) + VLOOKUP($H135,Adders!$B$5:$G$8,L$11,FALSE)  +  NJ!$D$2 ) * IF($D135="NJ",1.07,1))/$L$10, CHOOSE($M$10,$L$9,$M$9) )</f>
        <v xml:space="preserve"> 96.57 </v>
      </c>
      <c r="J135" s="173" t="str">
        <f>TEXT(   (SUMPRODUCT( ((Main!$H$9:$H$1000)=$E135)*((Main!$J$9:$J$1000)=$F135)*((Main!$O$9:$O$1000)=$C135)*(Main!S$9:S$1000) ) +  ( SUMPRODUCT( ((Adders!$D$13:$D$101)=$E135)*((Adders!$E$13:$E$101)=$F135)*(Adders!H$13:H$101)) + VLOOKUP($H135,Adders!$B$5:$G$8,M$11,FALSE)  +  NJ!$D$2 ) * IF($D135="NJ",1.07,1))/$L$10, CHOOSE($M$10,$L$9,$M$9) )</f>
        <v xml:space="preserve"> 96.88 </v>
      </c>
      <c r="K135" s="174" t="str">
        <f>TEXT(   (SUMPRODUCT( ((Main!$H$9:$H$1000)=$E135)*((Main!$J$9:$J$1000)=$F135)*((Main!$O$9:$O$1000)=$C135)*(Main!T$9:T$1000) ) +  ( SUMPRODUCT( ((Adders!$D$13:$D$101)=$E135)*((Adders!$E$13:$E$101)=$F135)*(Adders!I$13:I$101)) + VLOOKUP($H135,Adders!$B$5:$G$8,N$11,FALSE)  +  NJ!$D$2 ) * IF($D135="NJ",1.07,1))/$L$10, CHOOSE($M$10,$L$9,$M$9) )</f>
        <v xml:space="preserve"> 96.02 </v>
      </c>
      <c r="L135" s="173" t="str">
        <f>TEXT(   (SUMPRODUCT( ((LMPMain!$H$9:$H$1000)=$E135)*((LMPMain!$J$9:$J$1000)=$F135)*((LMPMain!$O$9:$O$1000)=$C135)*(LMPMain!R$9:R$1000) ) +  ( SUMPRODUCT( ((Adders!$D$13:$D$101)=$E135)*((Adders!$E$13:$E$101)=$F135)*(Adders!G$13:G$101)) + VLOOKUP($H135,Adders!$B$5:$G$8,L$11,FALSE)  +  NJ!$D$2 ) * IF($D135="NJ",1.07,1))/$L$10, CHOOSE($M$10,$L$9,$M$9) )</f>
        <v xml:space="preserve"> 50.57 </v>
      </c>
      <c r="M135" s="173" t="str">
        <f>TEXT(   (SUMPRODUCT( ((LMPMain!$H$9:$H$1000)=$E135)*((LMPMain!$J$9:$J$1000)=$F135)*((LMPMain!$O$9:$O$1000)=$C135)*(LMPMain!S$9:S$1000) ) +  ( SUMPRODUCT( ((Adders!$D$13:$D$101)=$E135)*((Adders!$E$13:$E$101)=$F135)*(Adders!H$13:H$101)) + VLOOKUP($H135,Adders!$B$5:$G$8,M$11,FALSE)  +  NJ!$D$2 ) * IF($D135="NJ",1.07,1))/$L$10, CHOOSE($M$10,$L$9,$M$9) )</f>
        <v xml:space="preserve"> 50.04 </v>
      </c>
      <c r="N135" s="174" t="str">
        <f>TEXT(   (SUMPRODUCT( ((LMPMain!$H$9:$H$1000)=$E135)*((LMPMain!$J$9:$J$1000)=$F135)*((LMPMain!$O$9:$O$1000)=$C135)*(LMPMain!T$9:T$1000) ) +  ( SUMPRODUCT( ((Adders!$D$13:$D$101)=$E135)*((Adders!$E$13:$E$101)=$F135)*(Adders!I$13:I$101)) + VLOOKUP($H135,Adders!$B$5:$G$8,N$11,FALSE)  +  NJ!$D$2 ) * IF($D135="NJ",1.07,1))/$L$10, CHOOSE($M$10,$L$9,$M$9) )</f>
        <v xml:space="preserve"> 49.65 </v>
      </c>
      <c r="O135" s="112"/>
    </row>
    <row r="136" spans="2:15" x14ac:dyDescent="0.25">
      <c r="B136" s="108"/>
      <c r="C136" s="135">
        <f t="shared" si="3"/>
        <v>42278</v>
      </c>
      <c r="D136" s="136" t="s">
        <v>31</v>
      </c>
      <c r="E136" s="137" t="s">
        <v>35</v>
      </c>
      <c r="F136" s="136" t="s">
        <v>10</v>
      </c>
      <c r="G136" s="137" t="str">
        <f t="shared" si="4"/>
        <v>General Service Medium</v>
      </c>
      <c r="H136" s="138" t="s">
        <v>690</v>
      </c>
      <c r="I136" s="176" t="str">
        <f>TEXT(   (SUMPRODUCT( ((Main!$H$9:$H$1000)=$E136)*((Main!$J$9:$J$1000)=$F136)*((Main!$O$9:$O$1000)=$C136)*(Main!R$9:R$1000) ) +  ( SUMPRODUCT( ((Adders!$D$13:$D$101)=$E136)*((Adders!$E$13:$E$101)=$F136)*(Adders!G$13:G$101)) + VLOOKUP($H136,Adders!$B$5:$G$8,L$11,FALSE)  +  NJ!$D$2 ) * IF($D136="NJ",1.07,1))/$L$10, CHOOSE($M$10,$L$9,$M$9) )</f>
        <v xml:space="preserve"> 95.45 </v>
      </c>
      <c r="J136" s="176" t="str">
        <f>TEXT(   (SUMPRODUCT( ((Main!$H$9:$H$1000)=$E136)*((Main!$J$9:$J$1000)=$F136)*((Main!$O$9:$O$1000)=$C136)*(Main!S$9:S$1000) ) +  ( SUMPRODUCT( ((Adders!$D$13:$D$101)=$E136)*((Adders!$E$13:$E$101)=$F136)*(Adders!H$13:H$101)) + VLOOKUP($H136,Adders!$B$5:$G$8,M$11,FALSE)  +  NJ!$D$2 ) * IF($D136="NJ",1.07,1))/$L$10, CHOOSE($M$10,$L$9,$M$9) )</f>
        <v xml:space="preserve"> 95.76 </v>
      </c>
      <c r="K136" s="177" t="str">
        <f>TEXT(   (SUMPRODUCT( ((Main!$H$9:$H$1000)=$E136)*((Main!$J$9:$J$1000)=$F136)*((Main!$O$9:$O$1000)=$C136)*(Main!T$9:T$1000) ) +  ( SUMPRODUCT( ((Adders!$D$13:$D$101)=$E136)*((Adders!$E$13:$E$101)=$F136)*(Adders!I$13:I$101)) + VLOOKUP($H136,Adders!$B$5:$G$8,N$11,FALSE)  +  NJ!$D$2 ) * IF($D136="NJ",1.07,1))/$L$10, CHOOSE($M$10,$L$9,$M$9) )</f>
        <v xml:space="preserve"> 94.90 </v>
      </c>
      <c r="L136" s="176" t="str">
        <f>TEXT(   (SUMPRODUCT( ((LMPMain!$H$9:$H$1000)=$E136)*((LMPMain!$J$9:$J$1000)=$F136)*((LMPMain!$O$9:$O$1000)=$C136)*(LMPMain!R$9:R$1000) ) +  ( SUMPRODUCT( ((Adders!$D$13:$D$101)=$E136)*((Adders!$E$13:$E$101)=$F136)*(Adders!G$13:G$101)) + VLOOKUP($H136,Adders!$B$5:$G$8,L$11,FALSE)  +  NJ!$D$2 ) * IF($D136="NJ",1.07,1))/$L$10, CHOOSE($M$10,$L$9,$M$9) )</f>
        <v xml:space="preserve"> 49.45 </v>
      </c>
      <c r="M136" s="176" t="str">
        <f>TEXT(   (SUMPRODUCT( ((LMPMain!$H$9:$H$1000)=$E136)*((LMPMain!$J$9:$J$1000)=$F136)*((LMPMain!$O$9:$O$1000)=$C136)*(LMPMain!S$9:S$1000) ) +  ( SUMPRODUCT( ((Adders!$D$13:$D$101)=$E136)*((Adders!$E$13:$E$101)=$F136)*(Adders!H$13:H$101)) + VLOOKUP($H136,Adders!$B$5:$G$8,M$11,FALSE)  +  NJ!$D$2 ) * IF($D136="NJ",1.07,1))/$L$10, CHOOSE($M$10,$L$9,$M$9) )</f>
        <v xml:space="preserve"> 48.92 </v>
      </c>
      <c r="N136" s="177" t="str">
        <f>TEXT(   (SUMPRODUCT( ((LMPMain!$H$9:$H$1000)=$E136)*((LMPMain!$J$9:$J$1000)=$F136)*((LMPMain!$O$9:$O$1000)=$C136)*(LMPMain!T$9:T$1000) ) +  ( SUMPRODUCT( ((Adders!$D$13:$D$101)=$E136)*((Adders!$E$13:$E$101)=$F136)*(Adders!I$13:I$101)) + VLOOKUP($H136,Adders!$B$5:$G$8,N$11,FALSE)  +  NJ!$D$2 ) * IF($D136="NJ",1.07,1))/$L$10, CHOOSE($M$10,$L$9,$M$9) )</f>
        <v xml:space="preserve"> 48.52 </v>
      </c>
      <c r="O136" s="112"/>
    </row>
    <row r="137" spans="2:15" x14ac:dyDescent="0.25">
      <c r="B137" s="108"/>
      <c r="C137" s="127">
        <f t="shared" si="3"/>
        <v>42309</v>
      </c>
      <c r="D137" s="128" t="s">
        <v>31</v>
      </c>
      <c r="E137" s="129" t="s">
        <v>35</v>
      </c>
      <c r="F137" s="128" t="s">
        <v>10</v>
      </c>
      <c r="G137" s="129" t="str">
        <f t="shared" si="4"/>
        <v>General Service Medium</v>
      </c>
      <c r="H137" s="130" t="s">
        <v>61</v>
      </c>
      <c r="I137" s="178" t="str">
        <f>TEXT(   (SUMPRODUCT( ((Main!$H$9:$H$1000)=$E137)*((Main!$J$9:$J$1000)=$F137)*((Main!$O$9:$O$1000)=$C137)*(Main!R$9:R$1000) ) +  ( SUMPRODUCT( ((Adders!$D$13:$D$101)=$E137)*((Adders!$E$13:$E$101)=$F137)*(Adders!G$13:G$101)) + VLOOKUP($H137,Adders!$B$5:$G$8,L$11,FALSE)  +  NJ!$D$2 ) * IF($D137="NJ",1.07,1))/$L$10, CHOOSE($M$10,$L$9,$M$9) )</f>
        <v xml:space="preserve"> 98.02 </v>
      </c>
      <c r="J137" s="178" t="str">
        <f>TEXT(   (SUMPRODUCT( ((Main!$H$9:$H$1000)=$E137)*((Main!$J$9:$J$1000)=$F137)*((Main!$O$9:$O$1000)=$C137)*(Main!S$9:S$1000) ) +  ( SUMPRODUCT( ((Adders!$D$13:$D$101)=$E137)*((Adders!$E$13:$E$101)=$F137)*(Adders!H$13:H$101)) + VLOOKUP($H137,Adders!$B$5:$G$8,M$11,FALSE)  +  NJ!$D$2 ) * IF($D137="NJ",1.07,1))/$L$10, CHOOSE($M$10,$L$9,$M$9) )</f>
        <v xml:space="preserve"> 97.76 </v>
      </c>
      <c r="K137" s="179" t="str">
        <f>TEXT(   (SUMPRODUCT( ((Main!$H$9:$H$1000)=$E137)*((Main!$J$9:$J$1000)=$F137)*((Main!$O$9:$O$1000)=$C137)*(Main!T$9:T$1000) ) +  ( SUMPRODUCT( ((Adders!$D$13:$D$101)=$E137)*((Adders!$E$13:$E$101)=$F137)*(Adders!I$13:I$101)) + VLOOKUP($H137,Adders!$B$5:$G$8,N$11,FALSE)  +  NJ!$D$2 ) * IF($D137="NJ",1.07,1))/$L$10, CHOOSE($M$10,$L$9,$M$9) )</f>
        <v xml:space="preserve"> 97.69 </v>
      </c>
      <c r="L137" s="178" t="str">
        <f>TEXT(   (SUMPRODUCT( ((LMPMain!$H$9:$H$1000)=$E137)*((LMPMain!$J$9:$J$1000)=$F137)*((LMPMain!$O$9:$O$1000)=$C137)*(LMPMain!R$9:R$1000) ) +  ( SUMPRODUCT( ((Adders!$D$13:$D$101)=$E137)*((Adders!$E$13:$E$101)=$F137)*(Adders!G$13:G$101)) + VLOOKUP($H137,Adders!$B$5:$G$8,L$11,FALSE)  +  NJ!$D$2 ) * IF($D137="NJ",1.07,1))/$L$10, CHOOSE($M$10,$L$9,$M$9) )</f>
        <v xml:space="preserve"> 52.00 </v>
      </c>
      <c r="M137" s="178" t="str">
        <f>TEXT(   (SUMPRODUCT( ((LMPMain!$H$9:$H$1000)=$E137)*((LMPMain!$J$9:$J$1000)=$F137)*((LMPMain!$O$9:$O$1000)=$C137)*(LMPMain!S$9:S$1000) ) +  ( SUMPRODUCT( ((Adders!$D$13:$D$101)=$E137)*((Adders!$E$13:$E$101)=$F137)*(Adders!H$13:H$101)) + VLOOKUP($H137,Adders!$B$5:$G$8,M$11,FALSE)  +  NJ!$D$2 ) * IF($D137="NJ",1.07,1))/$L$10, CHOOSE($M$10,$L$9,$M$9) )</f>
        <v xml:space="preserve"> 51.12 </v>
      </c>
      <c r="N137" s="179" t="str">
        <f>TEXT(   (SUMPRODUCT( ((LMPMain!$H$9:$H$1000)=$E137)*((LMPMain!$J$9:$J$1000)=$F137)*((LMPMain!$O$9:$O$1000)=$C137)*(LMPMain!T$9:T$1000) ) +  ( SUMPRODUCT( ((Adders!$D$13:$D$101)=$E137)*((Adders!$E$13:$E$101)=$F137)*(Adders!I$13:I$101)) + VLOOKUP($H137,Adders!$B$5:$G$8,N$11,FALSE)  +  NJ!$D$2 ) * IF($D137="NJ",1.07,1))/$L$10, CHOOSE($M$10,$L$9,$M$9) )</f>
        <v xml:space="preserve"> 51.37 </v>
      </c>
      <c r="O137" s="112"/>
    </row>
    <row r="138" spans="2:15" x14ac:dyDescent="0.25">
      <c r="B138" s="108"/>
      <c r="C138" s="131">
        <f t="shared" si="3"/>
        <v>42309</v>
      </c>
      <c r="D138" s="132" t="s">
        <v>31</v>
      </c>
      <c r="E138" s="133" t="s">
        <v>35</v>
      </c>
      <c r="F138" s="132" t="s">
        <v>10</v>
      </c>
      <c r="G138" s="133" t="str">
        <f t="shared" si="4"/>
        <v>General Service Medium</v>
      </c>
      <c r="H138" s="134" t="s">
        <v>62</v>
      </c>
      <c r="I138" s="173" t="str">
        <f>TEXT(   (SUMPRODUCT( ((Main!$H$9:$H$1000)=$E138)*((Main!$J$9:$J$1000)=$F138)*((Main!$O$9:$O$1000)=$C138)*(Main!R$9:R$1000) ) +  ( SUMPRODUCT( ((Adders!$D$13:$D$101)=$E138)*((Adders!$E$13:$E$101)=$F138)*(Adders!G$13:G$101)) + VLOOKUP($H138,Adders!$B$5:$G$8,L$11,FALSE)  +  NJ!$D$2 ) * IF($D138="NJ",1.07,1))/$L$10, CHOOSE($M$10,$L$9,$M$9) )</f>
        <v xml:space="preserve"> 96.31 </v>
      </c>
      <c r="J138" s="173" t="str">
        <f>TEXT(   (SUMPRODUCT( ((Main!$H$9:$H$1000)=$E138)*((Main!$J$9:$J$1000)=$F138)*((Main!$O$9:$O$1000)=$C138)*(Main!S$9:S$1000) ) +  ( SUMPRODUCT( ((Adders!$D$13:$D$101)=$E138)*((Adders!$E$13:$E$101)=$F138)*(Adders!H$13:H$101)) + VLOOKUP($H138,Adders!$B$5:$G$8,M$11,FALSE)  +  NJ!$D$2 ) * IF($D138="NJ",1.07,1))/$L$10, CHOOSE($M$10,$L$9,$M$9) )</f>
        <v xml:space="preserve"> 96.05 </v>
      </c>
      <c r="K138" s="174" t="str">
        <f>TEXT(   (SUMPRODUCT( ((Main!$H$9:$H$1000)=$E138)*((Main!$J$9:$J$1000)=$F138)*((Main!$O$9:$O$1000)=$C138)*(Main!T$9:T$1000) ) +  ( SUMPRODUCT( ((Adders!$D$13:$D$101)=$E138)*((Adders!$E$13:$E$101)=$F138)*(Adders!I$13:I$101)) + VLOOKUP($H138,Adders!$B$5:$G$8,N$11,FALSE)  +  NJ!$D$2 ) * IF($D138="NJ",1.07,1))/$L$10, CHOOSE($M$10,$L$9,$M$9) )</f>
        <v xml:space="preserve"> 95.98 </v>
      </c>
      <c r="L138" s="173" t="str">
        <f>TEXT(   (SUMPRODUCT( ((LMPMain!$H$9:$H$1000)=$E138)*((LMPMain!$J$9:$J$1000)=$F138)*((LMPMain!$O$9:$O$1000)=$C138)*(LMPMain!R$9:R$1000) ) +  ( SUMPRODUCT( ((Adders!$D$13:$D$101)=$E138)*((Adders!$E$13:$E$101)=$F138)*(Adders!G$13:G$101)) + VLOOKUP($H138,Adders!$B$5:$G$8,L$11,FALSE)  +  NJ!$D$2 ) * IF($D138="NJ",1.07,1))/$L$10, CHOOSE($M$10,$L$9,$M$9) )</f>
        <v xml:space="preserve"> 50.29 </v>
      </c>
      <c r="M138" s="173" t="str">
        <f>TEXT(   (SUMPRODUCT( ((LMPMain!$H$9:$H$1000)=$E138)*((LMPMain!$J$9:$J$1000)=$F138)*((LMPMain!$O$9:$O$1000)=$C138)*(LMPMain!S$9:S$1000) ) +  ( SUMPRODUCT( ((Adders!$D$13:$D$101)=$E138)*((Adders!$E$13:$E$101)=$F138)*(Adders!H$13:H$101)) + VLOOKUP($H138,Adders!$B$5:$G$8,M$11,FALSE)  +  NJ!$D$2 ) * IF($D138="NJ",1.07,1))/$L$10, CHOOSE($M$10,$L$9,$M$9) )</f>
        <v xml:space="preserve"> 49.41 </v>
      </c>
      <c r="N138" s="174" t="str">
        <f>TEXT(   (SUMPRODUCT( ((LMPMain!$H$9:$H$1000)=$E138)*((LMPMain!$J$9:$J$1000)=$F138)*((LMPMain!$O$9:$O$1000)=$C138)*(LMPMain!T$9:T$1000) ) +  ( SUMPRODUCT( ((Adders!$D$13:$D$101)=$E138)*((Adders!$E$13:$E$101)=$F138)*(Adders!I$13:I$101)) + VLOOKUP($H138,Adders!$B$5:$G$8,N$11,FALSE)  +  NJ!$D$2 ) * IF($D138="NJ",1.07,1))/$L$10, CHOOSE($M$10,$L$9,$M$9) )</f>
        <v xml:space="preserve"> 49.65 </v>
      </c>
      <c r="O138" s="112"/>
    </row>
    <row r="139" spans="2:15" x14ac:dyDescent="0.25">
      <c r="B139" s="108"/>
      <c r="C139" s="135">
        <f t="shared" si="3"/>
        <v>42309</v>
      </c>
      <c r="D139" s="136" t="s">
        <v>31</v>
      </c>
      <c r="E139" s="137" t="s">
        <v>35</v>
      </c>
      <c r="F139" s="136" t="s">
        <v>10</v>
      </c>
      <c r="G139" s="137" t="str">
        <f t="shared" si="4"/>
        <v>General Service Medium</v>
      </c>
      <c r="H139" s="138" t="s">
        <v>690</v>
      </c>
      <c r="I139" s="176" t="str">
        <f>TEXT(   (SUMPRODUCT( ((Main!$H$9:$H$1000)=$E139)*((Main!$J$9:$J$1000)=$F139)*((Main!$O$9:$O$1000)=$C139)*(Main!R$9:R$1000) ) +  ( SUMPRODUCT( ((Adders!$D$13:$D$101)=$E139)*((Adders!$E$13:$E$101)=$F139)*(Adders!G$13:G$101)) + VLOOKUP($H139,Adders!$B$5:$G$8,L$11,FALSE)  +  NJ!$D$2 ) * IF($D139="NJ",1.07,1))/$L$10, CHOOSE($M$10,$L$9,$M$9) )</f>
        <v xml:space="preserve"> 95.19 </v>
      </c>
      <c r="J139" s="176" t="str">
        <f>TEXT(   (SUMPRODUCT( ((Main!$H$9:$H$1000)=$E139)*((Main!$J$9:$J$1000)=$F139)*((Main!$O$9:$O$1000)=$C139)*(Main!S$9:S$1000) ) +  ( SUMPRODUCT( ((Adders!$D$13:$D$101)=$E139)*((Adders!$E$13:$E$101)=$F139)*(Adders!H$13:H$101)) + VLOOKUP($H139,Adders!$B$5:$G$8,M$11,FALSE)  +  NJ!$D$2 ) * IF($D139="NJ",1.07,1))/$L$10, CHOOSE($M$10,$L$9,$M$9) )</f>
        <v xml:space="preserve"> 94.93 </v>
      </c>
      <c r="K139" s="177" t="str">
        <f>TEXT(   (SUMPRODUCT( ((Main!$H$9:$H$1000)=$E139)*((Main!$J$9:$J$1000)=$F139)*((Main!$O$9:$O$1000)=$C139)*(Main!T$9:T$1000) ) +  ( SUMPRODUCT( ((Adders!$D$13:$D$101)=$E139)*((Adders!$E$13:$E$101)=$F139)*(Adders!I$13:I$101)) + VLOOKUP($H139,Adders!$B$5:$G$8,N$11,FALSE)  +  NJ!$D$2 ) * IF($D139="NJ",1.07,1))/$L$10, CHOOSE($M$10,$L$9,$M$9) )</f>
        <v xml:space="preserve"> 94.86 </v>
      </c>
      <c r="L139" s="176" t="str">
        <f>TEXT(   (SUMPRODUCT( ((LMPMain!$H$9:$H$1000)=$E139)*((LMPMain!$J$9:$J$1000)=$F139)*((LMPMain!$O$9:$O$1000)=$C139)*(LMPMain!R$9:R$1000) ) +  ( SUMPRODUCT( ((Adders!$D$13:$D$101)=$E139)*((Adders!$E$13:$E$101)=$F139)*(Adders!G$13:G$101)) + VLOOKUP($H139,Adders!$B$5:$G$8,L$11,FALSE)  +  NJ!$D$2 ) * IF($D139="NJ",1.07,1))/$L$10, CHOOSE($M$10,$L$9,$M$9) )</f>
        <v xml:space="preserve"> 49.16 </v>
      </c>
      <c r="M139" s="176" t="str">
        <f>TEXT(   (SUMPRODUCT( ((LMPMain!$H$9:$H$1000)=$E139)*((LMPMain!$J$9:$J$1000)=$F139)*((LMPMain!$O$9:$O$1000)=$C139)*(LMPMain!S$9:S$1000) ) +  ( SUMPRODUCT( ((Adders!$D$13:$D$101)=$E139)*((Adders!$E$13:$E$101)=$F139)*(Adders!H$13:H$101)) + VLOOKUP($H139,Adders!$B$5:$G$8,M$11,FALSE)  +  NJ!$D$2 ) * IF($D139="NJ",1.07,1))/$L$10, CHOOSE($M$10,$L$9,$M$9) )</f>
        <v xml:space="preserve"> 48.29 </v>
      </c>
      <c r="N139" s="177" t="str">
        <f>TEXT(   (SUMPRODUCT( ((LMPMain!$H$9:$H$1000)=$E139)*((LMPMain!$J$9:$J$1000)=$F139)*((LMPMain!$O$9:$O$1000)=$C139)*(LMPMain!T$9:T$1000) ) +  ( SUMPRODUCT( ((Adders!$D$13:$D$101)=$E139)*((Adders!$E$13:$E$101)=$F139)*(Adders!I$13:I$101)) + VLOOKUP($H139,Adders!$B$5:$G$8,N$11,FALSE)  +  NJ!$D$2 ) * IF($D139="NJ",1.07,1))/$L$10, CHOOSE($M$10,$L$9,$M$9) )</f>
        <v xml:space="preserve"> 48.53 </v>
      </c>
      <c r="O139" s="112"/>
    </row>
    <row r="140" spans="2:15" x14ac:dyDescent="0.25">
      <c r="B140" s="108"/>
      <c r="C140" s="127">
        <f t="shared" si="3"/>
        <v>42339</v>
      </c>
      <c r="D140" s="128" t="s">
        <v>31</v>
      </c>
      <c r="E140" s="129" t="s">
        <v>35</v>
      </c>
      <c r="F140" s="128" t="s">
        <v>10</v>
      </c>
      <c r="G140" s="129" t="str">
        <f t="shared" si="4"/>
        <v>General Service Medium</v>
      </c>
      <c r="H140" s="130" t="s">
        <v>61</v>
      </c>
      <c r="I140" s="178" t="str">
        <f>TEXT(   (SUMPRODUCT( ((Main!$H$9:$H$1000)=$E140)*((Main!$J$9:$J$1000)=$F140)*((Main!$O$9:$O$1000)=$C140)*(Main!R$9:R$1000) ) +  ( SUMPRODUCT( ((Adders!$D$13:$D$101)=$E140)*((Adders!$E$13:$E$101)=$F140)*(Adders!G$13:G$101)) + VLOOKUP($H140,Adders!$B$5:$G$8,L$11,FALSE)  +  NJ!$D$2 ) * IF($D140="NJ",1.07,1))/$L$10, CHOOSE($M$10,$L$9,$M$9) )</f>
        <v xml:space="preserve"> 97.78 </v>
      </c>
      <c r="J140" s="178" t="str">
        <f>TEXT(   (SUMPRODUCT( ((Main!$H$9:$H$1000)=$E140)*((Main!$J$9:$J$1000)=$F140)*((Main!$O$9:$O$1000)=$C140)*(Main!S$9:S$1000) ) +  ( SUMPRODUCT( ((Adders!$D$13:$D$101)=$E140)*((Adders!$E$13:$E$101)=$F140)*(Adders!H$13:H$101)) + VLOOKUP($H140,Adders!$B$5:$G$8,M$11,FALSE)  +  NJ!$D$2 ) * IF($D140="NJ",1.07,1))/$L$10, CHOOSE($M$10,$L$9,$M$9) )</f>
        <v xml:space="preserve"> 96.90 </v>
      </c>
      <c r="K140" s="179" t="str">
        <f>TEXT(   (SUMPRODUCT( ((Main!$H$9:$H$1000)=$E140)*((Main!$J$9:$J$1000)=$F140)*((Main!$O$9:$O$1000)=$C140)*(Main!T$9:T$1000) ) +  ( SUMPRODUCT( ((Adders!$D$13:$D$101)=$E140)*((Adders!$E$13:$E$101)=$F140)*(Adders!I$13:I$101)) + VLOOKUP($H140,Adders!$B$5:$G$8,N$11,FALSE)  +  NJ!$D$2 ) * IF($D140="NJ",1.07,1))/$L$10, CHOOSE($M$10,$L$9,$M$9) )</f>
        <v xml:space="preserve"> 97.64 </v>
      </c>
      <c r="L140" s="178" t="str">
        <f>TEXT(   (SUMPRODUCT( ((LMPMain!$H$9:$H$1000)=$E140)*((LMPMain!$J$9:$J$1000)=$F140)*((LMPMain!$O$9:$O$1000)=$C140)*(LMPMain!R$9:R$1000) ) +  ( SUMPRODUCT( ((Adders!$D$13:$D$101)=$E140)*((Adders!$E$13:$E$101)=$F140)*(Adders!G$13:G$101)) + VLOOKUP($H140,Adders!$B$5:$G$8,L$11,FALSE)  +  NJ!$D$2 ) * IF($D140="NJ",1.07,1))/$L$10, CHOOSE($M$10,$L$9,$M$9) )</f>
        <v xml:space="preserve"> 51.64 </v>
      </c>
      <c r="M140" s="178" t="str">
        <f>TEXT(   (SUMPRODUCT( ((LMPMain!$H$9:$H$1000)=$E140)*((LMPMain!$J$9:$J$1000)=$F140)*((LMPMain!$O$9:$O$1000)=$C140)*(LMPMain!S$9:S$1000) ) +  ( SUMPRODUCT( ((Adders!$D$13:$D$101)=$E140)*((Adders!$E$13:$E$101)=$F140)*(Adders!H$13:H$101)) + VLOOKUP($H140,Adders!$B$5:$G$8,M$11,FALSE)  +  NJ!$D$2 ) * IF($D140="NJ",1.07,1))/$L$10, CHOOSE($M$10,$L$9,$M$9) )</f>
        <v xml:space="preserve"> 50.20 </v>
      </c>
      <c r="N140" s="179" t="str">
        <f>TEXT(   (SUMPRODUCT( ((LMPMain!$H$9:$H$1000)=$E140)*((LMPMain!$J$9:$J$1000)=$F140)*((LMPMain!$O$9:$O$1000)=$C140)*(LMPMain!T$9:T$1000) ) +  ( SUMPRODUCT( ((Adders!$D$13:$D$101)=$E140)*((Adders!$E$13:$E$101)=$F140)*(Adders!I$13:I$101)) + VLOOKUP($H140,Adders!$B$5:$G$8,N$11,FALSE)  +  NJ!$D$2 ) * IF($D140="NJ",1.07,1))/$L$10, CHOOSE($M$10,$L$9,$M$9) )</f>
        <v xml:space="preserve"> 51.23 </v>
      </c>
      <c r="O140" s="112"/>
    </row>
    <row r="141" spans="2:15" x14ac:dyDescent="0.25">
      <c r="B141" s="108"/>
      <c r="C141" s="131">
        <f t="shared" si="3"/>
        <v>42339</v>
      </c>
      <c r="D141" s="132" t="s">
        <v>31</v>
      </c>
      <c r="E141" s="133" t="s">
        <v>35</v>
      </c>
      <c r="F141" s="132" t="s">
        <v>10</v>
      </c>
      <c r="G141" s="133" t="str">
        <f t="shared" si="4"/>
        <v>General Service Medium</v>
      </c>
      <c r="H141" s="134" t="s">
        <v>62</v>
      </c>
      <c r="I141" s="173" t="str">
        <f>TEXT(   (SUMPRODUCT( ((Main!$H$9:$H$1000)=$E141)*((Main!$J$9:$J$1000)=$F141)*((Main!$O$9:$O$1000)=$C141)*(Main!R$9:R$1000) ) +  ( SUMPRODUCT( ((Adders!$D$13:$D$101)=$E141)*((Adders!$E$13:$E$101)=$F141)*(Adders!G$13:G$101)) + VLOOKUP($H141,Adders!$B$5:$G$8,L$11,FALSE)  +  NJ!$D$2 ) * IF($D141="NJ",1.07,1))/$L$10, CHOOSE($M$10,$L$9,$M$9) )</f>
        <v xml:space="preserve"> 96.07 </v>
      </c>
      <c r="J141" s="173" t="str">
        <f>TEXT(   (SUMPRODUCT( ((Main!$H$9:$H$1000)=$E141)*((Main!$J$9:$J$1000)=$F141)*((Main!$O$9:$O$1000)=$C141)*(Main!S$9:S$1000) ) +  ( SUMPRODUCT( ((Adders!$D$13:$D$101)=$E141)*((Adders!$E$13:$E$101)=$F141)*(Adders!H$13:H$101)) + VLOOKUP($H141,Adders!$B$5:$G$8,M$11,FALSE)  +  NJ!$D$2 ) * IF($D141="NJ",1.07,1))/$L$10, CHOOSE($M$10,$L$9,$M$9) )</f>
        <v xml:space="preserve"> 95.19 </v>
      </c>
      <c r="K141" s="174" t="str">
        <f>TEXT(   (SUMPRODUCT( ((Main!$H$9:$H$1000)=$E141)*((Main!$J$9:$J$1000)=$F141)*((Main!$O$9:$O$1000)=$C141)*(Main!T$9:T$1000) ) +  ( SUMPRODUCT( ((Adders!$D$13:$D$101)=$E141)*((Adders!$E$13:$E$101)=$F141)*(Adders!I$13:I$101)) + VLOOKUP($H141,Adders!$B$5:$G$8,N$11,FALSE)  +  NJ!$D$2 ) * IF($D141="NJ",1.07,1))/$L$10, CHOOSE($M$10,$L$9,$M$9) )</f>
        <v xml:space="preserve"> 95.93 </v>
      </c>
      <c r="L141" s="173" t="str">
        <f>TEXT(   (SUMPRODUCT( ((LMPMain!$H$9:$H$1000)=$E141)*((LMPMain!$J$9:$J$1000)=$F141)*((LMPMain!$O$9:$O$1000)=$C141)*(LMPMain!R$9:R$1000) ) +  ( SUMPRODUCT( ((Adders!$D$13:$D$101)=$E141)*((Adders!$E$13:$E$101)=$F141)*(Adders!G$13:G$101)) + VLOOKUP($H141,Adders!$B$5:$G$8,L$11,FALSE)  +  NJ!$D$2 ) * IF($D141="NJ",1.07,1))/$L$10, CHOOSE($M$10,$L$9,$M$9) )</f>
        <v xml:space="preserve"> 49.93 </v>
      </c>
      <c r="M141" s="173" t="str">
        <f>TEXT(   (SUMPRODUCT( ((LMPMain!$H$9:$H$1000)=$E141)*((LMPMain!$J$9:$J$1000)=$F141)*((LMPMain!$O$9:$O$1000)=$C141)*(LMPMain!S$9:S$1000) ) +  ( SUMPRODUCT( ((Adders!$D$13:$D$101)=$E141)*((Adders!$E$13:$E$101)=$F141)*(Adders!H$13:H$101)) + VLOOKUP($H141,Adders!$B$5:$G$8,M$11,FALSE)  +  NJ!$D$2 ) * IF($D141="NJ",1.07,1))/$L$10, CHOOSE($M$10,$L$9,$M$9) )</f>
        <v xml:space="preserve"> 48.49 </v>
      </c>
      <c r="N141" s="174" t="str">
        <f>TEXT(   (SUMPRODUCT( ((LMPMain!$H$9:$H$1000)=$E141)*((LMPMain!$J$9:$J$1000)=$F141)*((LMPMain!$O$9:$O$1000)=$C141)*(LMPMain!T$9:T$1000) ) +  ( SUMPRODUCT( ((Adders!$D$13:$D$101)=$E141)*((Adders!$E$13:$E$101)=$F141)*(Adders!I$13:I$101)) + VLOOKUP($H141,Adders!$B$5:$G$8,N$11,FALSE)  +  NJ!$D$2 ) * IF($D141="NJ",1.07,1))/$L$10, CHOOSE($M$10,$L$9,$M$9) )</f>
        <v xml:space="preserve"> 49.52 </v>
      </c>
      <c r="O141" s="112"/>
    </row>
    <row r="142" spans="2:15" x14ac:dyDescent="0.25">
      <c r="B142" s="108"/>
      <c r="C142" s="135">
        <f t="shared" si="3"/>
        <v>42339</v>
      </c>
      <c r="D142" s="136" t="s">
        <v>31</v>
      </c>
      <c r="E142" s="137" t="s">
        <v>35</v>
      </c>
      <c r="F142" s="136" t="s">
        <v>10</v>
      </c>
      <c r="G142" s="137" t="str">
        <f t="shared" si="4"/>
        <v>General Service Medium</v>
      </c>
      <c r="H142" s="138" t="s">
        <v>690</v>
      </c>
      <c r="I142" s="176" t="str">
        <f>TEXT(   (SUMPRODUCT( ((Main!$H$9:$H$1000)=$E142)*((Main!$J$9:$J$1000)=$F142)*((Main!$O$9:$O$1000)=$C142)*(Main!R$9:R$1000) ) +  ( SUMPRODUCT( ((Adders!$D$13:$D$101)=$E142)*((Adders!$E$13:$E$101)=$F142)*(Adders!G$13:G$101)) + VLOOKUP($H142,Adders!$B$5:$G$8,L$11,FALSE)  +  NJ!$D$2 ) * IF($D142="NJ",1.07,1))/$L$10, CHOOSE($M$10,$L$9,$M$9) )</f>
        <v xml:space="preserve"> 94.95 </v>
      </c>
      <c r="J142" s="176" t="str">
        <f>TEXT(   (SUMPRODUCT( ((Main!$H$9:$H$1000)=$E142)*((Main!$J$9:$J$1000)=$F142)*((Main!$O$9:$O$1000)=$C142)*(Main!S$9:S$1000) ) +  ( SUMPRODUCT( ((Adders!$D$13:$D$101)=$E142)*((Adders!$E$13:$E$101)=$F142)*(Adders!H$13:H$101)) + VLOOKUP($H142,Adders!$B$5:$G$8,M$11,FALSE)  +  NJ!$D$2 ) * IF($D142="NJ",1.07,1))/$L$10, CHOOSE($M$10,$L$9,$M$9) )</f>
        <v xml:space="preserve"> 94.07 </v>
      </c>
      <c r="K142" s="177" t="str">
        <f>TEXT(   (SUMPRODUCT( ((Main!$H$9:$H$1000)=$E142)*((Main!$J$9:$J$1000)=$F142)*((Main!$O$9:$O$1000)=$C142)*(Main!T$9:T$1000) ) +  ( SUMPRODUCT( ((Adders!$D$13:$D$101)=$E142)*((Adders!$E$13:$E$101)=$F142)*(Adders!I$13:I$101)) + VLOOKUP($H142,Adders!$B$5:$G$8,N$11,FALSE)  +  NJ!$D$2 ) * IF($D142="NJ",1.07,1))/$L$10, CHOOSE($M$10,$L$9,$M$9) )</f>
        <v xml:space="preserve"> 94.81 </v>
      </c>
      <c r="L142" s="176" t="str">
        <f>TEXT(   (SUMPRODUCT( ((LMPMain!$H$9:$H$1000)=$E142)*((LMPMain!$J$9:$J$1000)=$F142)*((LMPMain!$O$9:$O$1000)=$C142)*(LMPMain!R$9:R$1000) ) +  ( SUMPRODUCT( ((Adders!$D$13:$D$101)=$E142)*((Adders!$E$13:$E$101)=$F142)*(Adders!G$13:G$101)) + VLOOKUP($H142,Adders!$B$5:$G$8,L$11,FALSE)  +  NJ!$D$2 ) * IF($D142="NJ",1.07,1))/$L$10, CHOOSE($M$10,$L$9,$M$9) )</f>
        <v xml:space="preserve"> 48.81 </v>
      </c>
      <c r="M142" s="176" t="str">
        <f>TEXT(   (SUMPRODUCT( ((LMPMain!$H$9:$H$1000)=$E142)*((LMPMain!$J$9:$J$1000)=$F142)*((LMPMain!$O$9:$O$1000)=$C142)*(LMPMain!S$9:S$1000) ) +  ( SUMPRODUCT( ((Adders!$D$13:$D$101)=$E142)*((Adders!$E$13:$E$101)=$F142)*(Adders!H$13:H$101)) + VLOOKUP($H142,Adders!$B$5:$G$8,M$11,FALSE)  +  NJ!$D$2 ) * IF($D142="NJ",1.07,1))/$L$10, CHOOSE($M$10,$L$9,$M$9) )</f>
        <v xml:space="preserve"> 47.36 </v>
      </c>
      <c r="N142" s="177" t="str">
        <f>TEXT(   (SUMPRODUCT( ((LMPMain!$H$9:$H$1000)=$E142)*((LMPMain!$J$9:$J$1000)=$F142)*((LMPMain!$O$9:$O$1000)=$C142)*(LMPMain!T$9:T$1000) ) +  ( SUMPRODUCT( ((Adders!$D$13:$D$101)=$E142)*((Adders!$E$13:$E$101)=$F142)*(Adders!I$13:I$101)) + VLOOKUP($H142,Adders!$B$5:$G$8,N$11,FALSE)  +  NJ!$D$2 ) * IF($D142="NJ",1.07,1))/$L$10, CHOOSE($M$10,$L$9,$M$9) )</f>
        <v xml:space="preserve"> 48.39 </v>
      </c>
      <c r="O142" s="112"/>
    </row>
    <row r="143" spans="2:15" x14ac:dyDescent="0.25">
      <c r="B143" s="108"/>
      <c r="C143" s="127">
        <f t="shared" si="3"/>
        <v>42370</v>
      </c>
      <c r="D143" s="128" t="s">
        <v>31</v>
      </c>
      <c r="E143" s="129" t="s">
        <v>35</v>
      </c>
      <c r="F143" s="128" t="s">
        <v>10</v>
      </c>
      <c r="G143" s="129" t="str">
        <f t="shared" si="4"/>
        <v>General Service Medium</v>
      </c>
      <c r="H143" s="130" t="s">
        <v>61</v>
      </c>
      <c r="I143" s="178" t="str">
        <f>TEXT(   (SUMPRODUCT( ((Main!$H$9:$H$1000)=$E143)*((Main!$J$9:$J$1000)=$F143)*((Main!$O$9:$O$1000)=$C143)*(Main!R$9:R$1000) ) +  ( SUMPRODUCT( ((Adders!$D$13:$D$101)=$E143)*((Adders!$E$13:$E$101)=$F143)*(Adders!G$13:G$101)) + VLOOKUP($H143,Adders!$B$5:$G$8,L$11,FALSE)  +  NJ!$D$2 ) * IF($D143="NJ",1.07,1))/$L$10, CHOOSE($M$10,$L$9,$M$9) )</f>
        <v xml:space="preserve"> 97.33 </v>
      </c>
      <c r="J143" s="178" t="str">
        <f>TEXT(   (SUMPRODUCT( ((Main!$H$9:$H$1000)=$E143)*((Main!$J$9:$J$1000)=$F143)*((Main!$O$9:$O$1000)=$C143)*(Main!S$9:S$1000) ) +  ( SUMPRODUCT( ((Adders!$D$13:$D$101)=$E143)*((Adders!$E$13:$E$101)=$F143)*(Adders!H$13:H$101)) + VLOOKUP($H143,Adders!$B$5:$G$8,M$11,FALSE)  +  NJ!$D$2 ) * IF($D143="NJ",1.07,1))/$L$10, CHOOSE($M$10,$L$9,$M$9) )</f>
        <v xml:space="preserve"> 97.10 </v>
      </c>
      <c r="K143" s="179" t="str">
        <f>TEXT(   (SUMPRODUCT( ((Main!$H$9:$H$1000)=$E143)*((Main!$J$9:$J$1000)=$F143)*((Main!$O$9:$O$1000)=$C143)*(Main!T$9:T$1000) ) +  ( SUMPRODUCT( ((Adders!$D$13:$D$101)=$E143)*((Adders!$E$13:$E$101)=$F143)*(Adders!I$13:I$101)) + VLOOKUP($H143,Adders!$B$5:$G$8,N$11,FALSE)  +  NJ!$D$2 ) * IF($D143="NJ",1.07,1))/$L$10, CHOOSE($M$10,$L$9,$M$9) )</f>
        <v xml:space="preserve"> 97.51 </v>
      </c>
      <c r="L143" s="178" t="str">
        <f>TEXT(   (SUMPRODUCT( ((LMPMain!$H$9:$H$1000)=$E143)*((LMPMain!$J$9:$J$1000)=$F143)*((LMPMain!$O$9:$O$1000)=$C143)*(LMPMain!R$9:R$1000) ) +  ( SUMPRODUCT( ((Adders!$D$13:$D$101)=$E143)*((Adders!$E$13:$E$101)=$F143)*(Adders!G$13:G$101)) + VLOOKUP($H143,Adders!$B$5:$G$8,L$11,FALSE)  +  NJ!$D$2 ) * IF($D143="NJ",1.07,1))/$L$10, CHOOSE($M$10,$L$9,$M$9) )</f>
        <v xml:space="preserve"> 51.31 </v>
      </c>
      <c r="M143" s="178" t="str">
        <f>TEXT(   (SUMPRODUCT( ((LMPMain!$H$9:$H$1000)=$E143)*((LMPMain!$J$9:$J$1000)=$F143)*((LMPMain!$O$9:$O$1000)=$C143)*(LMPMain!S$9:S$1000) ) +  ( SUMPRODUCT( ((Adders!$D$13:$D$101)=$E143)*((Adders!$E$13:$E$101)=$F143)*(Adders!H$13:H$101)) + VLOOKUP($H143,Adders!$B$5:$G$8,M$11,FALSE)  +  NJ!$D$2 ) * IF($D143="NJ",1.07,1))/$L$10, CHOOSE($M$10,$L$9,$M$9) )</f>
        <v xml:space="preserve"> 50.23 </v>
      </c>
      <c r="N143" s="179" t="str">
        <f>TEXT(   (SUMPRODUCT( ((LMPMain!$H$9:$H$1000)=$E143)*((LMPMain!$J$9:$J$1000)=$F143)*((LMPMain!$O$9:$O$1000)=$C143)*(LMPMain!T$9:T$1000) ) +  ( SUMPRODUCT( ((Adders!$D$13:$D$101)=$E143)*((Adders!$E$13:$E$101)=$F143)*(Adders!I$13:I$101)) + VLOOKUP($H143,Adders!$B$5:$G$8,N$11,FALSE)  +  NJ!$D$2 ) * IF($D143="NJ",1.07,1))/$L$10, CHOOSE($M$10,$L$9,$M$9) )</f>
        <v xml:space="preserve"> 51.13 </v>
      </c>
      <c r="O143" s="112"/>
    </row>
    <row r="144" spans="2:15" x14ac:dyDescent="0.25">
      <c r="B144" s="108"/>
      <c r="C144" s="131">
        <f t="shared" si="3"/>
        <v>42370</v>
      </c>
      <c r="D144" s="132" t="s">
        <v>31</v>
      </c>
      <c r="E144" s="133" t="s">
        <v>35</v>
      </c>
      <c r="F144" s="132" t="s">
        <v>10</v>
      </c>
      <c r="G144" s="133" t="str">
        <f t="shared" si="4"/>
        <v>General Service Medium</v>
      </c>
      <c r="H144" s="134" t="s">
        <v>62</v>
      </c>
      <c r="I144" s="173" t="str">
        <f>TEXT(   (SUMPRODUCT( ((Main!$H$9:$H$1000)=$E144)*((Main!$J$9:$J$1000)=$F144)*((Main!$O$9:$O$1000)=$C144)*(Main!R$9:R$1000) ) +  ( SUMPRODUCT( ((Adders!$D$13:$D$101)=$E144)*((Adders!$E$13:$E$101)=$F144)*(Adders!G$13:G$101)) + VLOOKUP($H144,Adders!$B$5:$G$8,L$11,FALSE)  +  NJ!$D$2 ) * IF($D144="NJ",1.07,1))/$L$10, CHOOSE($M$10,$L$9,$M$9) )</f>
        <v xml:space="preserve"> 95.62 </v>
      </c>
      <c r="J144" s="173" t="str">
        <f>TEXT(   (SUMPRODUCT( ((Main!$H$9:$H$1000)=$E144)*((Main!$J$9:$J$1000)=$F144)*((Main!$O$9:$O$1000)=$C144)*(Main!S$9:S$1000) ) +  ( SUMPRODUCT( ((Adders!$D$13:$D$101)=$E144)*((Adders!$E$13:$E$101)=$F144)*(Adders!H$13:H$101)) + VLOOKUP($H144,Adders!$B$5:$G$8,M$11,FALSE)  +  NJ!$D$2 ) * IF($D144="NJ",1.07,1))/$L$10, CHOOSE($M$10,$L$9,$M$9) )</f>
        <v xml:space="preserve"> 95.39 </v>
      </c>
      <c r="K144" s="174" t="str">
        <f>TEXT(   (SUMPRODUCT( ((Main!$H$9:$H$1000)=$E144)*((Main!$J$9:$J$1000)=$F144)*((Main!$O$9:$O$1000)=$C144)*(Main!T$9:T$1000) ) +  ( SUMPRODUCT( ((Adders!$D$13:$D$101)=$E144)*((Adders!$E$13:$E$101)=$F144)*(Adders!I$13:I$101)) + VLOOKUP($H144,Adders!$B$5:$G$8,N$11,FALSE)  +  NJ!$D$2 ) * IF($D144="NJ",1.07,1))/$L$10, CHOOSE($M$10,$L$9,$M$9) )</f>
        <v xml:space="preserve"> 95.80 </v>
      </c>
      <c r="L144" s="173" t="str">
        <f>TEXT(   (SUMPRODUCT( ((LMPMain!$H$9:$H$1000)=$E144)*((LMPMain!$J$9:$J$1000)=$F144)*((LMPMain!$O$9:$O$1000)=$C144)*(LMPMain!R$9:R$1000) ) +  ( SUMPRODUCT( ((Adders!$D$13:$D$101)=$E144)*((Adders!$E$13:$E$101)=$F144)*(Adders!G$13:G$101)) + VLOOKUP($H144,Adders!$B$5:$G$8,L$11,FALSE)  +  NJ!$D$2 ) * IF($D144="NJ",1.07,1))/$L$10, CHOOSE($M$10,$L$9,$M$9) )</f>
        <v xml:space="preserve"> 49.60 </v>
      </c>
      <c r="M144" s="173" t="str">
        <f>TEXT(   (SUMPRODUCT( ((LMPMain!$H$9:$H$1000)=$E144)*((LMPMain!$J$9:$J$1000)=$F144)*((LMPMain!$O$9:$O$1000)=$C144)*(LMPMain!S$9:S$1000) ) +  ( SUMPRODUCT( ((Adders!$D$13:$D$101)=$E144)*((Adders!$E$13:$E$101)=$F144)*(Adders!H$13:H$101)) + VLOOKUP($H144,Adders!$B$5:$G$8,M$11,FALSE)  +  NJ!$D$2 ) * IF($D144="NJ",1.07,1))/$L$10, CHOOSE($M$10,$L$9,$M$9) )</f>
        <v xml:space="preserve"> 48.52 </v>
      </c>
      <c r="N144" s="174" t="str">
        <f>TEXT(   (SUMPRODUCT( ((LMPMain!$H$9:$H$1000)=$E144)*((LMPMain!$J$9:$J$1000)=$F144)*((LMPMain!$O$9:$O$1000)=$C144)*(LMPMain!T$9:T$1000) ) +  ( SUMPRODUCT( ((Adders!$D$13:$D$101)=$E144)*((Adders!$E$13:$E$101)=$F144)*(Adders!I$13:I$101)) + VLOOKUP($H144,Adders!$B$5:$G$8,N$11,FALSE)  +  NJ!$D$2 ) * IF($D144="NJ",1.07,1))/$L$10, CHOOSE($M$10,$L$9,$M$9) )</f>
        <v xml:space="preserve"> 49.42 </v>
      </c>
      <c r="O144" s="112"/>
    </row>
    <row r="145" spans="2:15" x14ac:dyDescent="0.25">
      <c r="B145" s="108"/>
      <c r="C145" s="135">
        <f t="shared" si="3"/>
        <v>42370</v>
      </c>
      <c r="D145" s="136" t="s">
        <v>31</v>
      </c>
      <c r="E145" s="137" t="s">
        <v>35</v>
      </c>
      <c r="F145" s="136" t="s">
        <v>10</v>
      </c>
      <c r="G145" s="137" t="str">
        <f t="shared" si="4"/>
        <v>General Service Medium</v>
      </c>
      <c r="H145" s="138" t="s">
        <v>690</v>
      </c>
      <c r="I145" s="176" t="str">
        <f>TEXT(   (SUMPRODUCT( ((Main!$H$9:$H$1000)=$E145)*((Main!$J$9:$J$1000)=$F145)*((Main!$O$9:$O$1000)=$C145)*(Main!R$9:R$1000) ) +  ( SUMPRODUCT( ((Adders!$D$13:$D$101)=$E145)*((Adders!$E$13:$E$101)=$F145)*(Adders!G$13:G$101)) + VLOOKUP($H145,Adders!$B$5:$G$8,L$11,FALSE)  +  NJ!$D$2 ) * IF($D145="NJ",1.07,1))/$L$10, CHOOSE($M$10,$L$9,$M$9) )</f>
        <v xml:space="preserve"> 94.50 </v>
      </c>
      <c r="J145" s="176" t="str">
        <f>TEXT(   (SUMPRODUCT( ((Main!$H$9:$H$1000)=$E145)*((Main!$J$9:$J$1000)=$F145)*((Main!$O$9:$O$1000)=$C145)*(Main!S$9:S$1000) ) +  ( SUMPRODUCT( ((Adders!$D$13:$D$101)=$E145)*((Adders!$E$13:$E$101)=$F145)*(Adders!H$13:H$101)) + VLOOKUP($H145,Adders!$B$5:$G$8,M$11,FALSE)  +  NJ!$D$2 ) * IF($D145="NJ",1.07,1))/$L$10, CHOOSE($M$10,$L$9,$M$9) )</f>
        <v xml:space="preserve"> 94.27 </v>
      </c>
      <c r="K145" s="177" t="str">
        <f>TEXT(   (SUMPRODUCT( ((Main!$H$9:$H$1000)=$E145)*((Main!$J$9:$J$1000)=$F145)*((Main!$O$9:$O$1000)=$C145)*(Main!T$9:T$1000) ) +  ( SUMPRODUCT( ((Adders!$D$13:$D$101)=$E145)*((Adders!$E$13:$E$101)=$F145)*(Adders!I$13:I$101)) + VLOOKUP($H145,Adders!$B$5:$G$8,N$11,FALSE)  +  NJ!$D$2 ) * IF($D145="NJ",1.07,1))/$L$10, CHOOSE($M$10,$L$9,$M$9) )</f>
        <v xml:space="preserve"> 94.68 </v>
      </c>
      <c r="L145" s="176" t="str">
        <f>TEXT(   (SUMPRODUCT( ((LMPMain!$H$9:$H$1000)=$E145)*((LMPMain!$J$9:$J$1000)=$F145)*((LMPMain!$O$9:$O$1000)=$C145)*(LMPMain!R$9:R$1000) ) +  ( SUMPRODUCT( ((Adders!$D$13:$D$101)=$E145)*((Adders!$E$13:$E$101)=$F145)*(Adders!G$13:G$101)) + VLOOKUP($H145,Adders!$B$5:$G$8,L$11,FALSE)  +  NJ!$D$2 ) * IF($D145="NJ",1.07,1))/$L$10, CHOOSE($M$10,$L$9,$M$9) )</f>
        <v xml:space="preserve"> 48.47 </v>
      </c>
      <c r="M145" s="176" t="str">
        <f>TEXT(   (SUMPRODUCT( ((LMPMain!$H$9:$H$1000)=$E145)*((LMPMain!$J$9:$J$1000)=$F145)*((LMPMain!$O$9:$O$1000)=$C145)*(LMPMain!S$9:S$1000) ) +  ( SUMPRODUCT( ((Adders!$D$13:$D$101)=$E145)*((Adders!$E$13:$E$101)=$F145)*(Adders!H$13:H$101)) + VLOOKUP($H145,Adders!$B$5:$G$8,M$11,FALSE)  +  NJ!$D$2 ) * IF($D145="NJ",1.07,1))/$L$10, CHOOSE($M$10,$L$9,$M$9) )</f>
        <v xml:space="preserve"> 47.40 </v>
      </c>
      <c r="N145" s="177" t="str">
        <f>TEXT(   (SUMPRODUCT( ((LMPMain!$H$9:$H$1000)=$E145)*((LMPMain!$J$9:$J$1000)=$F145)*((LMPMain!$O$9:$O$1000)=$C145)*(LMPMain!T$9:T$1000) ) +  ( SUMPRODUCT( ((Adders!$D$13:$D$101)=$E145)*((Adders!$E$13:$E$101)=$F145)*(Adders!I$13:I$101)) + VLOOKUP($H145,Adders!$B$5:$G$8,N$11,FALSE)  +  NJ!$D$2 ) * IF($D145="NJ",1.07,1))/$L$10, CHOOSE($M$10,$L$9,$M$9) )</f>
        <v xml:space="preserve"> 48.30 </v>
      </c>
      <c r="O145" s="112"/>
    </row>
    <row r="146" spans="2:15" x14ac:dyDescent="0.25">
      <c r="B146" s="108"/>
      <c r="C146" s="127">
        <f t="shared" si="3"/>
        <v>42401</v>
      </c>
      <c r="D146" s="128" t="s">
        <v>31</v>
      </c>
      <c r="E146" s="129" t="s">
        <v>35</v>
      </c>
      <c r="F146" s="128" t="s">
        <v>10</v>
      </c>
      <c r="G146" s="129" t="str">
        <f t="shared" si="4"/>
        <v>General Service Medium</v>
      </c>
      <c r="H146" s="130" t="s">
        <v>61</v>
      </c>
      <c r="I146" s="178" t="str">
        <f>TEXT(   (SUMPRODUCT( ((Main!$H$9:$H$1000)=$E146)*((Main!$J$9:$J$1000)=$F146)*((Main!$O$9:$O$1000)=$C146)*(Main!R$9:R$1000) ) +  ( SUMPRODUCT( ((Adders!$D$13:$D$101)=$E146)*((Adders!$E$13:$E$101)=$F146)*(Adders!G$13:G$101)) + VLOOKUP($H146,Adders!$B$5:$G$8,L$11,FALSE)  +  NJ!$D$2 ) * IF($D146="NJ",1.07,1))/$L$10, CHOOSE($M$10,$L$9,$M$9) )</f>
        <v xml:space="preserve"> 97.17 </v>
      </c>
      <c r="J146" s="178" t="str">
        <f>TEXT(   (SUMPRODUCT( ((Main!$H$9:$H$1000)=$E146)*((Main!$J$9:$J$1000)=$F146)*((Main!$O$9:$O$1000)=$C146)*(Main!S$9:S$1000) ) +  ( SUMPRODUCT( ((Adders!$D$13:$D$101)=$E146)*((Adders!$E$13:$E$101)=$F146)*(Adders!H$13:H$101)) + VLOOKUP($H146,Adders!$B$5:$G$8,M$11,FALSE)  +  NJ!$D$2 ) * IF($D146="NJ",1.07,1))/$L$10, CHOOSE($M$10,$L$9,$M$9) )</f>
        <v xml:space="preserve"> 96.51 </v>
      </c>
      <c r="K146" s="179" t="str">
        <f>TEXT(   (SUMPRODUCT( ((Main!$H$9:$H$1000)=$E146)*((Main!$J$9:$J$1000)=$F146)*((Main!$O$9:$O$1000)=$C146)*(Main!T$9:T$1000) ) +  ( SUMPRODUCT( ((Adders!$D$13:$D$101)=$E146)*((Adders!$E$13:$E$101)=$F146)*(Adders!I$13:I$101)) + VLOOKUP($H146,Adders!$B$5:$G$8,N$11,FALSE)  +  NJ!$D$2 ) * IF($D146="NJ",1.07,1))/$L$10, CHOOSE($M$10,$L$9,$M$9) )</f>
        <v xml:space="preserve"> 97.70 </v>
      </c>
      <c r="L146" s="178" t="str">
        <f>TEXT(   (SUMPRODUCT( ((LMPMain!$H$9:$H$1000)=$E146)*((LMPMain!$J$9:$J$1000)=$F146)*((LMPMain!$O$9:$O$1000)=$C146)*(LMPMain!R$9:R$1000) ) +  ( SUMPRODUCT( ((Adders!$D$13:$D$101)=$E146)*((Adders!$E$13:$E$101)=$F146)*(Adders!G$13:G$101)) + VLOOKUP($H146,Adders!$B$5:$G$8,L$11,FALSE)  +  NJ!$D$2 ) * IF($D146="NJ",1.07,1))/$L$10, CHOOSE($M$10,$L$9,$M$9) )</f>
        <v xml:space="preserve"> 50.99 </v>
      </c>
      <c r="M146" s="178" t="str">
        <f>TEXT(   (SUMPRODUCT( ((LMPMain!$H$9:$H$1000)=$E146)*((LMPMain!$J$9:$J$1000)=$F146)*((LMPMain!$O$9:$O$1000)=$C146)*(LMPMain!S$9:S$1000) ) +  ( SUMPRODUCT( ((Adders!$D$13:$D$101)=$E146)*((Adders!$E$13:$E$101)=$F146)*(Adders!H$13:H$101)) + VLOOKUP($H146,Adders!$B$5:$G$8,M$11,FALSE)  +  NJ!$D$2 ) * IF($D146="NJ",1.07,1))/$L$10, CHOOSE($M$10,$L$9,$M$9) )</f>
        <v xml:space="preserve"> 50.25 </v>
      </c>
      <c r="N146" s="179" t="str">
        <f>TEXT(   (SUMPRODUCT( ((LMPMain!$H$9:$H$1000)=$E146)*((LMPMain!$J$9:$J$1000)=$F146)*((LMPMain!$O$9:$O$1000)=$C146)*(LMPMain!T$9:T$1000) ) +  ( SUMPRODUCT( ((Adders!$D$13:$D$101)=$E146)*((Adders!$E$13:$E$101)=$F146)*(Adders!I$13:I$101)) + VLOOKUP($H146,Adders!$B$5:$G$8,N$11,FALSE)  +  NJ!$D$2 ) * IF($D146="NJ",1.07,1))/$L$10, CHOOSE($M$10,$L$9,$M$9) )</f>
        <v xml:space="preserve"> 51.05 </v>
      </c>
      <c r="O146" s="112"/>
    </row>
    <row r="147" spans="2:15" x14ac:dyDescent="0.25">
      <c r="B147" s="108"/>
      <c r="C147" s="131">
        <f t="shared" si="3"/>
        <v>42401</v>
      </c>
      <c r="D147" s="132" t="s">
        <v>31</v>
      </c>
      <c r="E147" s="133" t="s">
        <v>35</v>
      </c>
      <c r="F147" s="132" t="s">
        <v>10</v>
      </c>
      <c r="G147" s="133" t="str">
        <f t="shared" si="4"/>
        <v>General Service Medium</v>
      </c>
      <c r="H147" s="134" t="s">
        <v>62</v>
      </c>
      <c r="I147" s="173" t="str">
        <f>TEXT(   (SUMPRODUCT( ((Main!$H$9:$H$1000)=$E147)*((Main!$J$9:$J$1000)=$F147)*((Main!$O$9:$O$1000)=$C147)*(Main!R$9:R$1000) ) +  ( SUMPRODUCT( ((Adders!$D$13:$D$101)=$E147)*((Adders!$E$13:$E$101)=$F147)*(Adders!G$13:G$101)) + VLOOKUP($H147,Adders!$B$5:$G$8,L$11,FALSE)  +  NJ!$D$2 ) * IF($D147="NJ",1.07,1))/$L$10, CHOOSE($M$10,$L$9,$M$9) )</f>
        <v xml:space="preserve"> 95.46 </v>
      </c>
      <c r="J147" s="173" t="str">
        <f>TEXT(   (SUMPRODUCT( ((Main!$H$9:$H$1000)=$E147)*((Main!$J$9:$J$1000)=$F147)*((Main!$O$9:$O$1000)=$C147)*(Main!S$9:S$1000) ) +  ( SUMPRODUCT( ((Adders!$D$13:$D$101)=$E147)*((Adders!$E$13:$E$101)=$F147)*(Adders!H$13:H$101)) + VLOOKUP($H147,Adders!$B$5:$G$8,M$11,FALSE)  +  NJ!$D$2 ) * IF($D147="NJ",1.07,1))/$L$10, CHOOSE($M$10,$L$9,$M$9) )</f>
        <v xml:space="preserve"> 94.80 </v>
      </c>
      <c r="K147" s="174" t="str">
        <f>TEXT(   (SUMPRODUCT( ((Main!$H$9:$H$1000)=$E147)*((Main!$J$9:$J$1000)=$F147)*((Main!$O$9:$O$1000)=$C147)*(Main!T$9:T$1000) ) +  ( SUMPRODUCT( ((Adders!$D$13:$D$101)=$E147)*((Adders!$E$13:$E$101)=$F147)*(Adders!I$13:I$101)) + VLOOKUP($H147,Adders!$B$5:$G$8,N$11,FALSE)  +  NJ!$D$2 ) * IF($D147="NJ",1.07,1))/$L$10, CHOOSE($M$10,$L$9,$M$9) )</f>
        <v xml:space="preserve"> 95.99 </v>
      </c>
      <c r="L147" s="173" t="str">
        <f>TEXT(   (SUMPRODUCT( ((LMPMain!$H$9:$H$1000)=$E147)*((LMPMain!$J$9:$J$1000)=$F147)*((LMPMain!$O$9:$O$1000)=$C147)*(LMPMain!R$9:R$1000) ) +  ( SUMPRODUCT( ((Adders!$D$13:$D$101)=$E147)*((Adders!$E$13:$E$101)=$F147)*(Adders!G$13:G$101)) + VLOOKUP($H147,Adders!$B$5:$G$8,L$11,FALSE)  +  NJ!$D$2 ) * IF($D147="NJ",1.07,1))/$L$10, CHOOSE($M$10,$L$9,$M$9) )</f>
        <v xml:space="preserve"> 49.27 </v>
      </c>
      <c r="M147" s="173" t="str">
        <f>TEXT(   (SUMPRODUCT( ((LMPMain!$H$9:$H$1000)=$E147)*((LMPMain!$J$9:$J$1000)=$F147)*((LMPMain!$O$9:$O$1000)=$C147)*(LMPMain!S$9:S$1000) ) +  ( SUMPRODUCT( ((Adders!$D$13:$D$101)=$E147)*((Adders!$E$13:$E$101)=$F147)*(Adders!H$13:H$101)) + VLOOKUP($H147,Adders!$B$5:$G$8,M$11,FALSE)  +  NJ!$D$2 ) * IF($D147="NJ",1.07,1))/$L$10, CHOOSE($M$10,$L$9,$M$9) )</f>
        <v xml:space="preserve"> 48.54 </v>
      </c>
      <c r="N147" s="174" t="str">
        <f>TEXT(   (SUMPRODUCT( ((LMPMain!$H$9:$H$1000)=$E147)*((LMPMain!$J$9:$J$1000)=$F147)*((LMPMain!$O$9:$O$1000)=$C147)*(LMPMain!T$9:T$1000) ) +  ( SUMPRODUCT( ((Adders!$D$13:$D$101)=$E147)*((Adders!$E$13:$E$101)=$F147)*(Adders!I$13:I$101)) + VLOOKUP($H147,Adders!$B$5:$G$8,N$11,FALSE)  +  NJ!$D$2 ) * IF($D147="NJ",1.07,1))/$L$10, CHOOSE($M$10,$L$9,$M$9) )</f>
        <v xml:space="preserve"> 49.34 </v>
      </c>
      <c r="O147" s="112"/>
    </row>
    <row r="148" spans="2:15" x14ac:dyDescent="0.25">
      <c r="B148" s="108"/>
      <c r="C148" s="135">
        <f t="shared" si="3"/>
        <v>42401</v>
      </c>
      <c r="D148" s="136" t="s">
        <v>31</v>
      </c>
      <c r="E148" s="137" t="s">
        <v>35</v>
      </c>
      <c r="F148" s="136" t="s">
        <v>10</v>
      </c>
      <c r="G148" s="137" t="str">
        <f t="shared" si="4"/>
        <v>General Service Medium</v>
      </c>
      <c r="H148" s="138" t="s">
        <v>690</v>
      </c>
      <c r="I148" s="176" t="str">
        <f>TEXT(   (SUMPRODUCT( ((Main!$H$9:$H$1000)=$E148)*((Main!$J$9:$J$1000)=$F148)*((Main!$O$9:$O$1000)=$C148)*(Main!R$9:R$1000) ) +  ( SUMPRODUCT( ((Adders!$D$13:$D$101)=$E148)*((Adders!$E$13:$E$101)=$F148)*(Adders!G$13:G$101)) + VLOOKUP($H148,Adders!$B$5:$G$8,L$11,FALSE)  +  NJ!$D$2 ) * IF($D148="NJ",1.07,1))/$L$10, CHOOSE($M$10,$L$9,$M$9) )</f>
        <v xml:space="preserve"> 94.34 </v>
      </c>
      <c r="J148" s="176" t="str">
        <f>TEXT(   (SUMPRODUCT( ((Main!$H$9:$H$1000)=$E148)*((Main!$J$9:$J$1000)=$F148)*((Main!$O$9:$O$1000)=$C148)*(Main!S$9:S$1000) ) +  ( SUMPRODUCT( ((Adders!$D$13:$D$101)=$E148)*((Adders!$E$13:$E$101)=$F148)*(Adders!H$13:H$101)) + VLOOKUP($H148,Adders!$B$5:$G$8,M$11,FALSE)  +  NJ!$D$2 ) * IF($D148="NJ",1.07,1))/$L$10, CHOOSE($M$10,$L$9,$M$9) )</f>
        <v xml:space="preserve"> 93.68 </v>
      </c>
      <c r="K148" s="177" t="str">
        <f>TEXT(   (SUMPRODUCT( ((Main!$H$9:$H$1000)=$E148)*((Main!$J$9:$J$1000)=$F148)*((Main!$O$9:$O$1000)=$C148)*(Main!T$9:T$1000) ) +  ( SUMPRODUCT( ((Adders!$D$13:$D$101)=$E148)*((Adders!$E$13:$E$101)=$F148)*(Adders!I$13:I$101)) + VLOOKUP($H148,Adders!$B$5:$G$8,N$11,FALSE)  +  NJ!$D$2 ) * IF($D148="NJ",1.07,1))/$L$10, CHOOSE($M$10,$L$9,$M$9) )</f>
        <v xml:space="preserve"> 94.87 </v>
      </c>
      <c r="L148" s="176" t="str">
        <f>TEXT(   (SUMPRODUCT( ((LMPMain!$H$9:$H$1000)=$E148)*((LMPMain!$J$9:$J$1000)=$F148)*((LMPMain!$O$9:$O$1000)=$C148)*(LMPMain!R$9:R$1000) ) +  ( SUMPRODUCT( ((Adders!$D$13:$D$101)=$E148)*((Adders!$E$13:$E$101)=$F148)*(Adders!G$13:G$101)) + VLOOKUP($H148,Adders!$B$5:$G$8,L$11,FALSE)  +  NJ!$D$2 ) * IF($D148="NJ",1.07,1))/$L$10, CHOOSE($M$10,$L$9,$M$9) )</f>
        <v xml:space="preserve"> 48.15 </v>
      </c>
      <c r="M148" s="176" t="str">
        <f>TEXT(   (SUMPRODUCT( ((LMPMain!$H$9:$H$1000)=$E148)*((LMPMain!$J$9:$J$1000)=$F148)*((LMPMain!$O$9:$O$1000)=$C148)*(LMPMain!S$9:S$1000) ) +  ( SUMPRODUCT( ((Adders!$D$13:$D$101)=$E148)*((Adders!$E$13:$E$101)=$F148)*(Adders!H$13:H$101)) + VLOOKUP($H148,Adders!$B$5:$G$8,M$11,FALSE)  +  NJ!$D$2 ) * IF($D148="NJ",1.07,1))/$L$10, CHOOSE($M$10,$L$9,$M$9) )</f>
        <v xml:space="preserve"> 47.42 </v>
      </c>
      <c r="N148" s="177" t="str">
        <f>TEXT(   (SUMPRODUCT( ((LMPMain!$H$9:$H$1000)=$E148)*((LMPMain!$J$9:$J$1000)=$F148)*((LMPMain!$O$9:$O$1000)=$C148)*(LMPMain!T$9:T$1000) ) +  ( SUMPRODUCT( ((Adders!$D$13:$D$101)=$E148)*((Adders!$E$13:$E$101)=$F148)*(Adders!I$13:I$101)) + VLOOKUP($H148,Adders!$B$5:$G$8,N$11,FALSE)  +  NJ!$D$2 ) * IF($D148="NJ",1.07,1))/$L$10, CHOOSE($M$10,$L$9,$M$9) )</f>
        <v xml:space="preserve"> 48.21 </v>
      </c>
      <c r="O148" s="112"/>
    </row>
    <row r="149" spans="2:15" x14ac:dyDescent="0.25">
      <c r="B149" s="108"/>
      <c r="C149" s="127">
        <f t="shared" si="3"/>
        <v>42430</v>
      </c>
      <c r="D149" s="128" t="s">
        <v>31</v>
      </c>
      <c r="E149" s="129" t="s">
        <v>35</v>
      </c>
      <c r="F149" s="128" t="s">
        <v>10</v>
      </c>
      <c r="G149" s="129" t="str">
        <f t="shared" si="4"/>
        <v>General Service Medium</v>
      </c>
      <c r="H149" s="130" t="s">
        <v>61</v>
      </c>
      <c r="I149" s="178" t="str">
        <f>TEXT(   (SUMPRODUCT( ((Main!$H$9:$H$1000)=$E149)*((Main!$J$9:$J$1000)=$F149)*((Main!$O$9:$O$1000)=$C149)*(Main!R$9:R$1000) ) +  ( SUMPRODUCT( ((Adders!$D$13:$D$101)=$E149)*((Adders!$E$13:$E$101)=$F149)*(Adders!G$13:G$101)) + VLOOKUP($H149,Adders!$B$5:$G$8,L$11,FALSE)  +  NJ!$D$2 ) * IF($D149="NJ",1.07,1))/$L$10, CHOOSE($M$10,$L$9,$M$9) )</f>
        <v xml:space="preserve"> 96.96 </v>
      </c>
      <c r="J149" s="178" t="str">
        <f>TEXT(   (SUMPRODUCT( ((Main!$H$9:$H$1000)=$E149)*((Main!$J$9:$J$1000)=$F149)*((Main!$O$9:$O$1000)=$C149)*(Main!S$9:S$1000) ) +  ( SUMPRODUCT( ((Adders!$D$13:$D$101)=$E149)*((Adders!$E$13:$E$101)=$F149)*(Adders!H$13:H$101)) + VLOOKUP($H149,Adders!$B$5:$G$8,M$11,FALSE)  +  NJ!$D$2 ) * IF($D149="NJ",1.07,1))/$L$10, CHOOSE($M$10,$L$9,$M$9) )</f>
        <v xml:space="preserve"> 96.11 </v>
      </c>
      <c r="K149" s="179" t="str">
        <f>TEXT(   (SUMPRODUCT( ((Main!$H$9:$H$1000)=$E149)*((Main!$J$9:$J$1000)=$F149)*((Main!$O$9:$O$1000)=$C149)*(Main!T$9:T$1000) ) +  ( SUMPRODUCT( ((Adders!$D$13:$D$101)=$E149)*((Adders!$E$13:$E$101)=$F149)*(Adders!I$13:I$101)) + VLOOKUP($H149,Adders!$B$5:$G$8,N$11,FALSE)  +  NJ!$D$2 ) * IF($D149="NJ",1.07,1))/$L$10, CHOOSE($M$10,$L$9,$M$9) )</f>
        <v xml:space="preserve"> 97.80 </v>
      </c>
      <c r="L149" s="178" t="str">
        <f>TEXT(   (SUMPRODUCT( ((LMPMain!$H$9:$H$1000)=$E149)*((LMPMain!$J$9:$J$1000)=$F149)*((LMPMain!$O$9:$O$1000)=$C149)*(LMPMain!R$9:R$1000) ) +  ( SUMPRODUCT( ((Adders!$D$13:$D$101)=$E149)*((Adders!$E$13:$E$101)=$F149)*(Adders!G$13:G$101)) + VLOOKUP($H149,Adders!$B$5:$G$8,L$11,FALSE)  +  NJ!$D$2 ) * IF($D149="NJ",1.07,1))/$L$10, CHOOSE($M$10,$L$9,$M$9) )</f>
        <v xml:space="preserve"> 50.71 </v>
      </c>
      <c r="M149" s="178" t="str">
        <f>TEXT(   (SUMPRODUCT( ((LMPMain!$H$9:$H$1000)=$E149)*((LMPMain!$J$9:$J$1000)=$F149)*((LMPMain!$O$9:$O$1000)=$C149)*(LMPMain!S$9:S$1000) ) +  ( SUMPRODUCT( ((Adders!$D$13:$D$101)=$E149)*((Adders!$E$13:$E$101)=$F149)*(Adders!H$13:H$101)) + VLOOKUP($H149,Adders!$B$5:$G$8,M$11,FALSE)  +  NJ!$D$2 ) * IF($D149="NJ",1.07,1))/$L$10, CHOOSE($M$10,$L$9,$M$9) )</f>
        <v xml:space="preserve"> 50.05 </v>
      </c>
      <c r="N149" s="179" t="str">
        <f>TEXT(   (SUMPRODUCT( ((LMPMain!$H$9:$H$1000)=$E149)*((LMPMain!$J$9:$J$1000)=$F149)*((LMPMain!$O$9:$O$1000)=$C149)*(LMPMain!T$9:T$1000) ) +  ( SUMPRODUCT( ((Adders!$D$13:$D$101)=$E149)*((Adders!$E$13:$E$101)=$F149)*(Adders!I$13:I$101)) + VLOOKUP($H149,Adders!$B$5:$G$8,N$11,FALSE)  +  NJ!$D$2 ) * IF($D149="NJ",1.07,1))/$L$10, CHOOSE($M$10,$L$9,$M$9) )</f>
        <v xml:space="preserve"> 50.98 </v>
      </c>
      <c r="O149" s="112"/>
    </row>
    <row r="150" spans="2:15" x14ac:dyDescent="0.25">
      <c r="B150" s="108"/>
      <c r="C150" s="131">
        <f t="shared" si="3"/>
        <v>42430</v>
      </c>
      <c r="D150" s="132" t="s">
        <v>31</v>
      </c>
      <c r="E150" s="133" t="s">
        <v>35</v>
      </c>
      <c r="F150" s="132" t="s">
        <v>10</v>
      </c>
      <c r="G150" s="133" t="str">
        <f t="shared" si="4"/>
        <v>General Service Medium</v>
      </c>
      <c r="H150" s="134" t="s">
        <v>62</v>
      </c>
      <c r="I150" s="173" t="str">
        <f>TEXT(   (SUMPRODUCT( ((Main!$H$9:$H$1000)=$E150)*((Main!$J$9:$J$1000)=$F150)*((Main!$O$9:$O$1000)=$C150)*(Main!R$9:R$1000) ) +  ( SUMPRODUCT( ((Adders!$D$13:$D$101)=$E150)*((Adders!$E$13:$E$101)=$F150)*(Adders!G$13:G$101)) + VLOOKUP($H150,Adders!$B$5:$G$8,L$11,FALSE)  +  NJ!$D$2 ) * IF($D150="NJ",1.07,1))/$L$10, CHOOSE($M$10,$L$9,$M$9) )</f>
        <v xml:space="preserve"> 95.25 </v>
      </c>
      <c r="J150" s="173" t="str">
        <f>TEXT(   (SUMPRODUCT( ((Main!$H$9:$H$1000)=$E150)*((Main!$J$9:$J$1000)=$F150)*((Main!$O$9:$O$1000)=$C150)*(Main!S$9:S$1000) ) +  ( SUMPRODUCT( ((Adders!$D$13:$D$101)=$E150)*((Adders!$E$13:$E$101)=$F150)*(Adders!H$13:H$101)) + VLOOKUP($H150,Adders!$B$5:$G$8,M$11,FALSE)  +  NJ!$D$2 ) * IF($D150="NJ",1.07,1))/$L$10, CHOOSE($M$10,$L$9,$M$9) )</f>
        <v xml:space="preserve"> 94.40 </v>
      </c>
      <c r="K150" s="174" t="str">
        <f>TEXT(   (SUMPRODUCT( ((Main!$H$9:$H$1000)=$E150)*((Main!$J$9:$J$1000)=$F150)*((Main!$O$9:$O$1000)=$C150)*(Main!T$9:T$1000) ) +  ( SUMPRODUCT( ((Adders!$D$13:$D$101)=$E150)*((Adders!$E$13:$E$101)=$F150)*(Adders!I$13:I$101)) + VLOOKUP($H150,Adders!$B$5:$G$8,N$11,FALSE)  +  NJ!$D$2 ) * IF($D150="NJ",1.07,1))/$L$10, CHOOSE($M$10,$L$9,$M$9) )</f>
        <v xml:space="preserve"> 96.09 </v>
      </c>
      <c r="L150" s="173" t="str">
        <f>TEXT(   (SUMPRODUCT( ((LMPMain!$H$9:$H$1000)=$E150)*((LMPMain!$J$9:$J$1000)=$F150)*((LMPMain!$O$9:$O$1000)=$C150)*(LMPMain!R$9:R$1000) ) +  ( SUMPRODUCT( ((Adders!$D$13:$D$101)=$E150)*((Adders!$E$13:$E$101)=$F150)*(Adders!G$13:G$101)) + VLOOKUP($H150,Adders!$B$5:$G$8,L$11,FALSE)  +  NJ!$D$2 ) * IF($D150="NJ",1.07,1))/$L$10, CHOOSE($M$10,$L$9,$M$9) )</f>
        <v xml:space="preserve"> 49.00 </v>
      </c>
      <c r="M150" s="173" t="str">
        <f>TEXT(   (SUMPRODUCT( ((LMPMain!$H$9:$H$1000)=$E150)*((LMPMain!$J$9:$J$1000)=$F150)*((LMPMain!$O$9:$O$1000)=$C150)*(LMPMain!S$9:S$1000) ) +  ( SUMPRODUCT( ((Adders!$D$13:$D$101)=$E150)*((Adders!$E$13:$E$101)=$F150)*(Adders!H$13:H$101)) + VLOOKUP($H150,Adders!$B$5:$G$8,M$11,FALSE)  +  NJ!$D$2 ) * IF($D150="NJ",1.07,1))/$L$10, CHOOSE($M$10,$L$9,$M$9) )</f>
        <v xml:space="preserve"> 48.34 </v>
      </c>
      <c r="N150" s="174" t="str">
        <f>TEXT(   (SUMPRODUCT( ((LMPMain!$H$9:$H$1000)=$E150)*((LMPMain!$J$9:$J$1000)=$F150)*((LMPMain!$O$9:$O$1000)=$C150)*(LMPMain!T$9:T$1000) ) +  ( SUMPRODUCT( ((Adders!$D$13:$D$101)=$E150)*((Adders!$E$13:$E$101)=$F150)*(Adders!I$13:I$101)) + VLOOKUP($H150,Adders!$B$5:$G$8,N$11,FALSE)  +  NJ!$D$2 ) * IF($D150="NJ",1.07,1))/$L$10, CHOOSE($M$10,$L$9,$M$9) )</f>
        <v xml:space="preserve"> 49.27 </v>
      </c>
      <c r="O150" s="112"/>
    </row>
    <row r="151" spans="2:15" x14ac:dyDescent="0.25">
      <c r="B151" s="108"/>
      <c r="C151" s="135">
        <f t="shared" si="3"/>
        <v>42430</v>
      </c>
      <c r="D151" s="136" t="s">
        <v>31</v>
      </c>
      <c r="E151" s="137" t="s">
        <v>35</v>
      </c>
      <c r="F151" s="136" t="s">
        <v>10</v>
      </c>
      <c r="G151" s="137" t="str">
        <f t="shared" si="4"/>
        <v>General Service Medium</v>
      </c>
      <c r="H151" s="138" t="s">
        <v>690</v>
      </c>
      <c r="I151" s="176" t="str">
        <f>TEXT(   (SUMPRODUCT( ((Main!$H$9:$H$1000)=$E151)*((Main!$J$9:$J$1000)=$F151)*((Main!$O$9:$O$1000)=$C151)*(Main!R$9:R$1000) ) +  ( SUMPRODUCT( ((Adders!$D$13:$D$101)=$E151)*((Adders!$E$13:$E$101)=$F151)*(Adders!G$13:G$101)) + VLOOKUP($H151,Adders!$B$5:$G$8,L$11,FALSE)  +  NJ!$D$2 ) * IF($D151="NJ",1.07,1))/$L$10, CHOOSE($M$10,$L$9,$M$9) )</f>
        <v xml:space="preserve"> 94.13 </v>
      </c>
      <c r="J151" s="176" t="str">
        <f>TEXT(   (SUMPRODUCT( ((Main!$H$9:$H$1000)=$E151)*((Main!$J$9:$J$1000)=$F151)*((Main!$O$9:$O$1000)=$C151)*(Main!S$9:S$1000) ) +  ( SUMPRODUCT( ((Adders!$D$13:$D$101)=$E151)*((Adders!$E$13:$E$101)=$F151)*(Adders!H$13:H$101)) + VLOOKUP($H151,Adders!$B$5:$G$8,M$11,FALSE)  +  NJ!$D$2 ) * IF($D151="NJ",1.07,1))/$L$10, CHOOSE($M$10,$L$9,$M$9) )</f>
        <v xml:space="preserve"> 93.28 </v>
      </c>
      <c r="K151" s="177" t="str">
        <f>TEXT(   (SUMPRODUCT( ((Main!$H$9:$H$1000)=$E151)*((Main!$J$9:$J$1000)=$F151)*((Main!$O$9:$O$1000)=$C151)*(Main!T$9:T$1000) ) +  ( SUMPRODUCT( ((Adders!$D$13:$D$101)=$E151)*((Adders!$E$13:$E$101)=$F151)*(Adders!I$13:I$101)) + VLOOKUP($H151,Adders!$B$5:$G$8,N$11,FALSE)  +  NJ!$D$2 ) * IF($D151="NJ",1.07,1))/$L$10, CHOOSE($M$10,$L$9,$M$9) )</f>
        <v xml:space="preserve"> 94.97 </v>
      </c>
      <c r="L151" s="176" t="str">
        <f>TEXT(   (SUMPRODUCT( ((LMPMain!$H$9:$H$1000)=$E151)*((LMPMain!$J$9:$J$1000)=$F151)*((LMPMain!$O$9:$O$1000)=$C151)*(LMPMain!R$9:R$1000) ) +  ( SUMPRODUCT( ((Adders!$D$13:$D$101)=$E151)*((Adders!$E$13:$E$101)=$F151)*(Adders!G$13:G$101)) + VLOOKUP($H151,Adders!$B$5:$G$8,L$11,FALSE)  +  NJ!$D$2 ) * IF($D151="NJ",1.07,1))/$L$10, CHOOSE($M$10,$L$9,$M$9) )</f>
        <v xml:space="preserve"> 47.88 </v>
      </c>
      <c r="M151" s="176" t="str">
        <f>TEXT(   (SUMPRODUCT( ((LMPMain!$H$9:$H$1000)=$E151)*((LMPMain!$J$9:$J$1000)=$F151)*((LMPMain!$O$9:$O$1000)=$C151)*(LMPMain!S$9:S$1000) ) +  ( SUMPRODUCT( ((Adders!$D$13:$D$101)=$E151)*((Adders!$E$13:$E$101)=$F151)*(Adders!H$13:H$101)) + VLOOKUP($H151,Adders!$B$5:$G$8,M$11,FALSE)  +  NJ!$D$2 ) * IF($D151="NJ",1.07,1))/$L$10, CHOOSE($M$10,$L$9,$M$9) )</f>
        <v xml:space="preserve"> 47.22 </v>
      </c>
      <c r="N151" s="177" t="str">
        <f>TEXT(   (SUMPRODUCT( ((LMPMain!$H$9:$H$1000)=$E151)*((LMPMain!$J$9:$J$1000)=$F151)*((LMPMain!$O$9:$O$1000)=$C151)*(LMPMain!T$9:T$1000) ) +  ( SUMPRODUCT( ((Adders!$D$13:$D$101)=$E151)*((Adders!$E$13:$E$101)=$F151)*(Adders!I$13:I$101)) + VLOOKUP($H151,Adders!$B$5:$G$8,N$11,FALSE)  +  NJ!$D$2 ) * IF($D151="NJ",1.07,1))/$L$10, CHOOSE($M$10,$L$9,$M$9) )</f>
        <v xml:space="preserve"> 48.15 </v>
      </c>
      <c r="O151" s="112"/>
    </row>
    <row r="152" spans="2:15" x14ac:dyDescent="0.25">
      <c r="B152" s="108"/>
      <c r="C152" s="127">
        <f t="shared" si="3"/>
        <v>42461</v>
      </c>
      <c r="D152" s="128" t="s">
        <v>31</v>
      </c>
      <c r="E152" s="129" t="s">
        <v>35</v>
      </c>
      <c r="F152" s="128" t="s">
        <v>10</v>
      </c>
      <c r="G152" s="129" t="str">
        <f t="shared" si="4"/>
        <v>General Service Medium</v>
      </c>
      <c r="H152" s="130" t="s">
        <v>61</v>
      </c>
      <c r="I152" s="178" t="str">
        <f>TEXT(   (SUMPRODUCT( ((Main!$H$9:$H$1000)=$E152)*((Main!$J$9:$J$1000)=$F152)*((Main!$O$9:$O$1000)=$C152)*(Main!R$9:R$1000) ) +  ( SUMPRODUCT( ((Adders!$D$13:$D$101)=$E152)*((Adders!$E$13:$E$101)=$F152)*(Adders!G$13:G$101)) + VLOOKUP($H152,Adders!$B$5:$G$8,L$11,FALSE)  +  NJ!$D$2 ) * IF($D152="NJ",1.07,1))/$L$10, CHOOSE($M$10,$L$9,$M$9) )</f>
        <v xml:space="preserve"> 96.75 </v>
      </c>
      <c r="J152" s="178" t="str">
        <f>TEXT(   (SUMPRODUCT( ((Main!$H$9:$H$1000)=$E152)*((Main!$J$9:$J$1000)=$F152)*((Main!$O$9:$O$1000)=$C152)*(Main!S$9:S$1000) ) +  ( SUMPRODUCT( ((Adders!$D$13:$D$101)=$E152)*((Adders!$E$13:$E$101)=$F152)*(Adders!H$13:H$101)) + VLOOKUP($H152,Adders!$B$5:$G$8,M$11,FALSE)  +  NJ!$D$2 ) * IF($D152="NJ",1.07,1))/$L$10, CHOOSE($M$10,$L$9,$M$9) )</f>
        <v xml:space="preserve"> 96.23 </v>
      </c>
      <c r="K152" s="179" t="str">
        <f>TEXT(   (SUMPRODUCT( ((Main!$H$9:$H$1000)=$E152)*((Main!$J$9:$J$1000)=$F152)*((Main!$O$9:$O$1000)=$C152)*(Main!T$9:T$1000) ) +  ( SUMPRODUCT( ((Adders!$D$13:$D$101)=$E152)*((Adders!$E$13:$E$101)=$F152)*(Adders!I$13:I$101)) + VLOOKUP($H152,Adders!$B$5:$G$8,N$11,FALSE)  +  NJ!$D$2 ) * IF($D152="NJ",1.07,1))/$L$10, CHOOSE($M$10,$L$9,$M$9) )</f>
        <v xml:space="preserve"> 97.67 </v>
      </c>
      <c r="L152" s="178" t="str">
        <f>TEXT(   (SUMPRODUCT( ((LMPMain!$H$9:$H$1000)=$E152)*((LMPMain!$J$9:$J$1000)=$F152)*((LMPMain!$O$9:$O$1000)=$C152)*(LMPMain!R$9:R$1000) ) +  ( SUMPRODUCT( ((Adders!$D$13:$D$101)=$E152)*((Adders!$E$13:$E$101)=$F152)*(Adders!G$13:G$101)) + VLOOKUP($H152,Adders!$B$5:$G$8,L$11,FALSE)  +  NJ!$D$2 ) * IF($D152="NJ",1.07,1))/$L$10, CHOOSE($M$10,$L$9,$M$9) )</f>
        <v xml:space="preserve"> 50.45 </v>
      </c>
      <c r="M152" s="178" t="str">
        <f>TEXT(   (SUMPRODUCT( ((LMPMain!$H$9:$H$1000)=$E152)*((LMPMain!$J$9:$J$1000)=$F152)*((LMPMain!$O$9:$O$1000)=$C152)*(LMPMain!S$9:S$1000) ) +  ( SUMPRODUCT( ((Adders!$D$13:$D$101)=$E152)*((Adders!$E$13:$E$101)=$F152)*(Adders!H$13:H$101)) + VLOOKUP($H152,Adders!$B$5:$G$8,M$11,FALSE)  +  NJ!$D$2 ) * IF($D152="NJ",1.07,1))/$L$10, CHOOSE($M$10,$L$9,$M$9) )</f>
        <v xml:space="preserve"> 50.36 </v>
      </c>
      <c r="N152" s="179" t="str">
        <f>TEXT(   (SUMPRODUCT( ((LMPMain!$H$9:$H$1000)=$E152)*((LMPMain!$J$9:$J$1000)=$F152)*((LMPMain!$O$9:$O$1000)=$C152)*(LMPMain!T$9:T$1000) ) +  ( SUMPRODUCT( ((Adders!$D$13:$D$101)=$E152)*((Adders!$E$13:$E$101)=$F152)*(Adders!I$13:I$101)) + VLOOKUP($H152,Adders!$B$5:$G$8,N$11,FALSE)  +  NJ!$D$2 ) * IF($D152="NJ",1.07,1))/$L$10, CHOOSE($M$10,$L$9,$M$9) )</f>
        <v xml:space="preserve"> 50.92 </v>
      </c>
      <c r="O152" s="112"/>
    </row>
    <row r="153" spans="2:15" x14ac:dyDescent="0.25">
      <c r="B153" s="108"/>
      <c r="C153" s="131">
        <f t="shared" si="3"/>
        <v>42461</v>
      </c>
      <c r="D153" s="132" t="s">
        <v>31</v>
      </c>
      <c r="E153" s="133" t="s">
        <v>35</v>
      </c>
      <c r="F153" s="132" t="s">
        <v>10</v>
      </c>
      <c r="G153" s="133" t="str">
        <f t="shared" si="4"/>
        <v>General Service Medium</v>
      </c>
      <c r="H153" s="134" t="s">
        <v>62</v>
      </c>
      <c r="I153" s="173" t="str">
        <f>TEXT(   (SUMPRODUCT( ((Main!$H$9:$H$1000)=$E153)*((Main!$J$9:$J$1000)=$F153)*((Main!$O$9:$O$1000)=$C153)*(Main!R$9:R$1000) ) +  ( SUMPRODUCT( ((Adders!$D$13:$D$101)=$E153)*((Adders!$E$13:$E$101)=$F153)*(Adders!G$13:G$101)) + VLOOKUP($H153,Adders!$B$5:$G$8,L$11,FALSE)  +  NJ!$D$2 ) * IF($D153="NJ",1.07,1))/$L$10, CHOOSE($M$10,$L$9,$M$9) )</f>
        <v xml:space="preserve"> 95.04 </v>
      </c>
      <c r="J153" s="173" t="str">
        <f>TEXT(   (SUMPRODUCT( ((Main!$H$9:$H$1000)=$E153)*((Main!$J$9:$J$1000)=$F153)*((Main!$O$9:$O$1000)=$C153)*(Main!S$9:S$1000) ) +  ( SUMPRODUCT( ((Adders!$D$13:$D$101)=$E153)*((Adders!$E$13:$E$101)=$F153)*(Adders!H$13:H$101)) + VLOOKUP($H153,Adders!$B$5:$G$8,M$11,FALSE)  +  NJ!$D$2 ) * IF($D153="NJ",1.07,1))/$L$10, CHOOSE($M$10,$L$9,$M$9) )</f>
        <v xml:space="preserve"> 94.52 </v>
      </c>
      <c r="K153" s="174" t="str">
        <f>TEXT(   (SUMPRODUCT( ((Main!$H$9:$H$1000)=$E153)*((Main!$J$9:$J$1000)=$F153)*((Main!$O$9:$O$1000)=$C153)*(Main!T$9:T$1000) ) +  ( SUMPRODUCT( ((Adders!$D$13:$D$101)=$E153)*((Adders!$E$13:$E$101)=$F153)*(Adders!I$13:I$101)) + VLOOKUP($H153,Adders!$B$5:$G$8,N$11,FALSE)  +  NJ!$D$2 ) * IF($D153="NJ",1.07,1))/$L$10, CHOOSE($M$10,$L$9,$M$9) )</f>
        <v xml:space="preserve"> 95.96 </v>
      </c>
      <c r="L153" s="173" t="str">
        <f>TEXT(   (SUMPRODUCT( ((LMPMain!$H$9:$H$1000)=$E153)*((LMPMain!$J$9:$J$1000)=$F153)*((LMPMain!$O$9:$O$1000)=$C153)*(LMPMain!R$9:R$1000) ) +  ( SUMPRODUCT( ((Adders!$D$13:$D$101)=$E153)*((Adders!$E$13:$E$101)=$F153)*(Adders!G$13:G$101)) + VLOOKUP($H153,Adders!$B$5:$G$8,L$11,FALSE)  +  NJ!$D$2 ) * IF($D153="NJ",1.07,1))/$L$10, CHOOSE($M$10,$L$9,$M$9) )</f>
        <v xml:space="preserve"> 48.74 </v>
      </c>
      <c r="M153" s="173" t="str">
        <f>TEXT(   (SUMPRODUCT( ((LMPMain!$H$9:$H$1000)=$E153)*((LMPMain!$J$9:$J$1000)=$F153)*((LMPMain!$O$9:$O$1000)=$C153)*(LMPMain!S$9:S$1000) ) +  ( SUMPRODUCT( ((Adders!$D$13:$D$101)=$E153)*((Adders!$E$13:$E$101)=$F153)*(Adders!H$13:H$101)) + VLOOKUP($H153,Adders!$B$5:$G$8,M$11,FALSE)  +  NJ!$D$2 ) * IF($D153="NJ",1.07,1))/$L$10, CHOOSE($M$10,$L$9,$M$9) )</f>
        <v xml:space="preserve"> 48.65 </v>
      </c>
      <c r="N153" s="174" t="str">
        <f>TEXT(   (SUMPRODUCT( ((LMPMain!$H$9:$H$1000)=$E153)*((LMPMain!$J$9:$J$1000)=$F153)*((LMPMain!$O$9:$O$1000)=$C153)*(LMPMain!T$9:T$1000) ) +  ( SUMPRODUCT( ((Adders!$D$13:$D$101)=$E153)*((Adders!$E$13:$E$101)=$F153)*(Adders!I$13:I$101)) + VLOOKUP($H153,Adders!$B$5:$G$8,N$11,FALSE)  +  NJ!$D$2 ) * IF($D153="NJ",1.07,1))/$L$10, CHOOSE($M$10,$L$9,$M$9) )</f>
        <v xml:space="preserve"> 49.20 </v>
      </c>
      <c r="O153" s="112"/>
    </row>
    <row r="154" spans="2:15" x14ac:dyDescent="0.25">
      <c r="B154" s="108"/>
      <c r="C154" s="135">
        <f t="shared" si="3"/>
        <v>42461</v>
      </c>
      <c r="D154" s="136" t="s">
        <v>31</v>
      </c>
      <c r="E154" s="137" t="s">
        <v>35</v>
      </c>
      <c r="F154" s="136" t="s">
        <v>10</v>
      </c>
      <c r="G154" s="137" t="str">
        <f t="shared" si="4"/>
        <v>General Service Medium</v>
      </c>
      <c r="H154" s="138" t="s">
        <v>690</v>
      </c>
      <c r="I154" s="176" t="str">
        <f>TEXT(   (SUMPRODUCT( ((Main!$H$9:$H$1000)=$E154)*((Main!$J$9:$J$1000)=$F154)*((Main!$O$9:$O$1000)=$C154)*(Main!R$9:R$1000) ) +  ( SUMPRODUCT( ((Adders!$D$13:$D$101)=$E154)*((Adders!$E$13:$E$101)=$F154)*(Adders!G$13:G$101)) + VLOOKUP($H154,Adders!$B$5:$G$8,L$11,FALSE)  +  NJ!$D$2 ) * IF($D154="NJ",1.07,1))/$L$10, CHOOSE($M$10,$L$9,$M$9) )</f>
        <v xml:space="preserve"> 93.92 </v>
      </c>
      <c r="J154" s="176" t="str">
        <f>TEXT(   (SUMPRODUCT( ((Main!$H$9:$H$1000)=$E154)*((Main!$J$9:$J$1000)=$F154)*((Main!$O$9:$O$1000)=$C154)*(Main!S$9:S$1000) ) +  ( SUMPRODUCT( ((Adders!$D$13:$D$101)=$E154)*((Adders!$E$13:$E$101)=$F154)*(Adders!H$13:H$101)) + VLOOKUP($H154,Adders!$B$5:$G$8,M$11,FALSE)  +  NJ!$D$2 ) * IF($D154="NJ",1.07,1))/$L$10, CHOOSE($M$10,$L$9,$M$9) )</f>
        <v xml:space="preserve"> 93.40 </v>
      </c>
      <c r="K154" s="177" t="str">
        <f>TEXT(   (SUMPRODUCT( ((Main!$H$9:$H$1000)=$E154)*((Main!$J$9:$J$1000)=$F154)*((Main!$O$9:$O$1000)=$C154)*(Main!T$9:T$1000) ) +  ( SUMPRODUCT( ((Adders!$D$13:$D$101)=$E154)*((Adders!$E$13:$E$101)=$F154)*(Adders!I$13:I$101)) + VLOOKUP($H154,Adders!$B$5:$G$8,N$11,FALSE)  +  NJ!$D$2 ) * IF($D154="NJ",1.07,1))/$L$10, CHOOSE($M$10,$L$9,$M$9) )</f>
        <v xml:space="preserve"> 94.84 </v>
      </c>
      <c r="L154" s="176" t="str">
        <f>TEXT(   (SUMPRODUCT( ((LMPMain!$H$9:$H$1000)=$E154)*((LMPMain!$J$9:$J$1000)=$F154)*((LMPMain!$O$9:$O$1000)=$C154)*(LMPMain!R$9:R$1000) ) +  ( SUMPRODUCT( ((Adders!$D$13:$D$101)=$E154)*((Adders!$E$13:$E$101)=$F154)*(Adders!G$13:G$101)) + VLOOKUP($H154,Adders!$B$5:$G$8,L$11,FALSE)  +  NJ!$D$2 ) * IF($D154="NJ",1.07,1))/$L$10, CHOOSE($M$10,$L$9,$M$9) )</f>
        <v xml:space="preserve"> 47.62 </v>
      </c>
      <c r="M154" s="176" t="str">
        <f>TEXT(   (SUMPRODUCT( ((LMPMain!$H$9:$H$1000)=$E154)*((LMPMain!$J$9:$J$1000)=$F154)*((LMPMain!$O$9:$O$1000)=$C154)*(LMPMain!S$9:S$1000) ) +  ( SUMPRODUCT( ((Adders!$D$13:$D$101)=$E154)*((Adders!$E$13:$E$101)=$F154)*(Adders!H$13:H$101)) + VLOOKUP($H154,Adders!$B$5:$G$8,M$11,FALSE)  +  NJ!$D$2 ) * IF($D154="NJ",1.07,1))/$L$10, CHOOSE($M$10,$L$9,$M$9) )</f>
        <v xml:space="preserve"> 47.53 </v>
      </c>
      <c r="N154" s="177" t="str">
        <f>TEXT(   (SUMPRODUCT( ((LMPMain!$H$9:$H$1000)=$E154)*((LMPMain!$J$9:$J$1000)=$F154)*((LMPMain!$O$9:$O$1000)=$C154)*(LMPMain!T$9:T$1000) ) +  ( SUMPRODUCT( ((Adders!$D$13:$D$101)=$E154)*((Adders!$E$13:$E$101)=$F154)*(Adders!I$13:I$101)) + VLOOKUP($H154,Adders!$B$5:$G$8,N$11,FALSE)  +  NJ!$D$2 ) * IF($D154="NJ",1.07,1))/$L$10, CHOOSE($M$10,$L$9,$M$9) )</f>
        <v xml:space="preserve"> 48.08 </v>
      </c>
      <c r="O154" s="112"/>
    </row>
    <row r="155" spans="2:15" x14ac:dyDescent="0.25">
      <c r="B155" s="108"/>
      <c r="C155" s="127">
        <f t="shared" si="3"/>
        <v>42491</v>
      </c>
      <c r="D155" s="128" t="s">
        <v>31</v>
      </c>
      <c r="E155" s="129" t="s">
        <v>35</v>
      </c>
      <c r="F155" s="128" t="s">
        <v>10</v>
      </c>
      <c r="G155" s="129" t="str">
        <f t="shared" si="4"/>
        <v>General Service Medium</v>
      </c>
      <c r="H155" s="130" t="s">
        <v>61</v>
      </c>
      <c r="I155" s="178" t="str">
        <f>TEXT(   (SUMPRODUCT( ((Main!$H$9:$H$1000)=$E155)*((Main!$J$9:$J$1000)=$F155)*((Main!$O$9:$O$1000)=$C155)*(Main!R$9:R$1000) ) +  ( SUMPRODUCT( ((Adders!$D$13:$D$101)=$E155)*((Adders!$E$13:$E$101)=$F155)*(Adders!G$13:G$101)) + VLOOKUP($H155,Adders!$B$5:$G$8,L$11,FALSE)  +  NJ!$D$2 ) * IF($D155="NJ",1.07,1))/$L$10, CHOOSE($M$10,$L$9,$M$9) )</f>
        <v xml:space="preserve"> 96.54 </v>
      </c>
      <c r="J155" s="178" t="str">
        <f>TEXT(   (SUMPRODUCT( ((Main!$H$9:$H$1000)=$E155)*((Main!$J$9:$J$1000)=$F155)*((Main!$O$9:$O$1000)=$C155)*(Main!S$9:S$1000) ) +  ( SUMPRODUCT( ((Adders!$D$13:$D$101)=$E155)*((Adders!$E$13:$E$101)=$F155)*(Adders!H$13:H$101)) + VLOOKUP($H155,Adders!$B$5:$G$8,M$11,FALSE)  +  NJ!$D$2 ) * IF($D155="NJ",1.07,1))/$L$10, CHOOSE($M$10,$L$9,$M$9) )</f>
        <v xml:space="preserve"> 96.84 </v>
      </c>
      <c r="K155" s="179" t="str">
        <f>TEXT(   (SUMPRODUCT( ((Main!$H$9:$H$1000)=$E155)*((Main!$J$9:$J$1000)=$F155)*((Main!$O$9:$O$1000)=$C155)*(Main!T$9:T$1000) ) +  ( SUMPRODUCT( ((Adders!$D$13:$D$101)=$E155)*((Adders!$E$13:$E$101)=$F155)*(Adders!I$13:I$101)) + VLOOKUP($H155,Adders!$B$5:$G$8,N$11,FALSE)  +  NJ!$D$2 ) * IF($D155="NJ",1.07,1))/$L$10, CHOOSE($M$10,$L$9,$M$9) )</f>
        <v xml:space="preserve"> 97.68 </v>
      </c>
      <c r="L155" s="178" t="str">
        <f>TEXT(   (SUMPRODUCT( ((LMPMain!$H$9:$H$1000)=$E155)*((LMPMain!$J$9:$J$1000)=$F155)*((LMPMain!$O$9:$O$1000)=$C155)*(LMPMain!R$9:R$1000) ) +  ( SUMPRODUCT( ((Adders!$D$13:$D$101)=$E155)*((Adders!$E$13:$E$101)=$F155)*(Adders!G$13:G$101)) + VLOOKUP($H155,Adders!$B$5:$G$8,L$11,FALSE)  +  NJ!$D$2 ) * IF($D155="NJ",1.07,1))/$L$10, CHOOSE($M$10,$L$9,$M$9) )</f>
        <v xml:space="preserve"> 50.23 </v>
      </c>
      <c r="M155" s="178" t="str">
        <f>TEXT(   (SUMPRODUCT( ((LMPMain!$H$9:$H$1000)=$E155)*((LMPMain!$J$9:$J$1000)=$F155)*((LMPMain!$O$9:$O$1000)=$C155)*(LMPMain!S$9:S$1000) ) +  ( SUMPRODUCT( ((Adders!$D$13:$D$101)=$E155)*((Adders!$E$13:$E$101)=$F155)*(Adders!H$13:H$101)) + VLOOKUP($H155,Adders!$B$5:$G$8,M$11,FALSE)  +  NJ!$D$2 ) * IF($D155="NJ",1.07,1))/$L$10, CHOOSE($M$10,$L$9,$M$9) )</f>
        <v xml:space="preserve"> 50.85 </v>
      </c>
      <c r="N155" s="179" t="str">
        <f>TEXT(   (SUMPRODUCT( ((LMPMain!$H$9:$H$1000)=$E155)*((LMPMain!$J$9:$J$1000)=$F155)*((LMPMain!$O$9:$O$1000)=$C155)*(LMPMain!T$9:T$1000) ) +  ( SUMPRODUCT( ((Adders!$D$13:$D$101)=$E155)*((Adders!$E$13:$E$101)=$F155)*(Adders!I$13:I$101)) + VLOOKUP($H155,Adders!$B$5:$G$8,N$11,FALSE)  +  NJ!$D$2 ) * IF($D155="NJ",1.07,1))/$L$10, CHOOSE($M$10,$L$9,$M$9) )</f>
        <v xml:space="preserve"> 50.85 </v>
      </c>
      <c r="O155" s="112"/>
    </row>
    <row r="156" spans="2:15" x14ac:dyDescent="0.25">
      <c r="B156" s="108"/>
      <c r="C156" s="131">
        <f t="shared" si="3"/>
        <v>42491</v>
      </c>
      <c r="D156" s="132" t="s">
        <v>31</v>
      </c>
      <c r="E156" s="133" t="s">
        <v>35</v>
      </c>
      <c r="F156" s="132" t="s">
        <v>10</v>
      </c>
      <c r="G156" s="133" t="str">
        <f t="shared" si="4"/>
        <v>General Service Medium</v>
      </c>
      <c r="H156" s="134" t="s">
        <v>62</v>
      </c>
      <c r="I156" s="173" t="str">
        <f>TEXT(   (SUMPRODUCT( ((Main!$H$9:$H$1000)=$E156)*((Main!$J$9:$J$1000)=$F156)*((Main!$O$9:$O$1000)=$C156)*(Main!R$9:R$1000) ) +  ( SUMPRODUCT( ((Adders!$D$13:$D$101)=$E156)*((Adders!$E$13:$E$101)=$F156)*(Adders!G$13:G$101)) + VLOOKUP($H156,Adders!$B$5:$G$8,L$11,FALSE)  +  NJ!$D$2 ) * IF($D156="NJ",1.07,1))/$L$10, CHOOSE($M$10,$L$9,$M$9) )</f>
        <v xml:space="preserve"> 94.83 </v>
      </c>
      <c r="J156" s="173" t="str">
        <f>TEXT(   (SUMPRODUCT( ((Main!$H$9:$H$1000)=$E156)*((Main!$J$9:$J$1000)=$F156)*((Main!$O$9:$O$1000)=$C156)*(Main!S$9:S$1000) ) +  ( SUMPRODUCT( ((Adders!$D$13:$D$101)=$E156)*((Adders!$E$13:$E$101)=$F156)*(Adders!H$13:H$101)) + VLOOKUP($H156,Adders!$B$5:$G$8,M$11,FALSE)  +  NJ!$D$2 ) * IF($D156="NJ",1.07,1))/$L$10, CHOOSE($M$10,$L$9,$M$9) )</f>
        <v xml:space="preserve"> 95.13 </v>
      </c>
      <c r="K156" s="174" t="str">
        <f>TEXT(   (SUMPRODUCT( ((Main!$H$9:$H$1000)=$E156)*((Main!$J$9:$J$1000)=$F156)*((Main!$O$9:$O$1000)=$C156)*(Main!T$9:T$1000) ) +  ( SUMPRODUCT( ((Adders!$D$13:$D$101)=$E156)*((Adders!$E$13:$E$101)=$F156)*(Adders!I$13:I$101)) + VLOOKUP($H156,Adders!$B$5:$G$8,N$11,FALSE)  +  NJ!$D$2 ) * IF($D156="NJ",1.07,1))/$L$10, CHOOSE($M$10,$L$9,$M$9) )</f>
        <v xml:space="preserve"> 95.97 </v>
      </c>
      <c r="L156" s="173" t="str">
        <f>TEXT(   (SUMPRODUCT( ((LMPMain!$H$9:$H$1000)=$E156)*((LMPMain!$J$9:$J$1000)=$F156)*((LMPMain!$O$9:$O$1000)=$C156)*(LMPMain!R$9:R$1000) ) +  ( SUMPRODUCT( ((Adders!$D$13:$D$101)=$E156)*((Adders!$E$13:$E$101)=$F156)*(Adders!G$13:G$101)) + VLOOKUP($H156,Adders!$B$5:$G$8,L$11,FALSE)  +  NJ!$D$2 ) * IF($D156="NJ",1.07,1))/$L$10, CHOOSE($M$10,$L$9,$M$9) )</f>
        <v xml:space="preserve"> 48.52 </v>
      </c>
      <c r="M156" s="173" t="str">
        <f>TEXT(   (SUMPRODUCT( ((LMPMain!$H$9:$H$1000)=$E156)*((LMPMain!$J$9:$J$1000)=$F156)*((LMPMain!$O$9:$O$1000)=$C156)*(LMPMain!S$9:S$1000) ) +  ( SUMPRODUCT( ((Adders!$D$13:$D$101)=$E156)*((Adders!$E$13:$E$101)=$F156)*(Adders!H$13:H$101)) + VLOOKUP($H156,Adders!$B$5:$G$8,M$11,FALSE)  +  NJ!$D$2 ) * IF($D156="NJ",1.07,1))/$L$10, CHOOSE($M$10,$L$9,$M$9) )</f>
        <v xml:space="preserve"> 49.14 </v>
      </c>
      <c r="N156" s="174" t="str">
        <f>TEXT(   (SUMPRODUCT( ((LMPMain!$H$9:$H$1000)=$E156)*((LMPMain!$J$9:$J$1000)=$F156)*((LMPMain!$O$9:$O$1000)=$C156)*(LMPMain!T$9:T$1000) ) +  ( SUMPRODUCT( ((Adders!$D$13:$D$101)=$E156)*((Adders!$E$13:$E$101)=$F156)*(Adders!I$13:I$101)) + VLOOKUP($H156,Adders!$B$5:$G$8,N$11,FALSE)  +  NJ!$D$2 ) * IF($D156="NJ",1.07,1))/$L$10, CHOOSE($M$10,$L$9,$M$9) )</f>
        <v xml:space="preserve"> 49.14 </v>
      </c>
      <c r="O156" s="112"/>
    </row>
    <row r="157" spans="2:15" x14ac:dyDescent="0.25">
      <c r="B157" s="108"/>
      <c r="C157" s="135">
        <f t="shared" si="3"/>
        <v>42491</v>
      </c>
      <c r="D157" s="136" t="s">
        <v>31</v>
      </c>
      <c r="E157" s="137" t="s">
        <v>35</v>
      </c>
      <c r="F157" s="136" t="s">
        <v>10</v>
      </c>
      <c r="G157" s="137" t="str">
        <f t="shared" si="4"/>
        <v>General Service Medium</v>
      </c>
      <c r="H157" s="138" t="s">
        <v>690</v>
      </c>
      <c r="I157" s="176" t="str">
        <f>TEXT(   (SUMPRODUCT( ((Main!$H$9:$H$1000)=$E157)*((Main!$J$9:$J$1000)=$F157)*((Main!$O$9:$O$1000)=$C157)*(Main!R$9:R$1000) ) +  ( SUMPRODUCT( ((Adders!$D$13:$D$101)=$E157)*((Adders!$E$13:$E$101)=$F157)*(Adders!G$13:G$101)) + VLOOKUP($H157,Adders!$B$5:$G$8,L$11,FALSE)  +  NJ!$D$2 ) * IF($D157="NJ",1.07,1))/$L$10, CHOOSE($M$10,$L$9,$M$9) )</f>
        <v xml:space="preserve"> 93.71 </v>
      </c>
      <c r="J157" s="176" t="str">
        <f>TEXT(   (SUMPRODUCT( ((Main!$H$9:$H$1000)=$E157)*((Main!$J$9:$J$1000)=$F157)*((Main!$O$9:$O$1000)=$C157)*(Main!S$9:S$1000) ) +  ( SUMPRODUCT( ((Adders!$D$13:$D$101)=$E157)*((Adders!$E$13:$E$101)=$F157)*(Adders!H$13:H$101)) + VLOOKUP($H157,Adders!$B$5:$G$8,M$11,FALSE)  +  NJ!$D$2 ) * IF($D157="NJ",1.07,1))/$L$10, CHOOSE($M$10,$L$9,$M$9) )</f>
        <v xml:space="preserve"> 94.01 </v>
      </c>
      <c r="K157" s="177" t="str">
        <f>TEXT(   (SUMPRODUCT( ((Main!$H$9:$H$1000)=$E157)*((Main!$J$9:$J$1000)=$F157)*((Main!$O$9:$O$1000)=$C157)*(Main!T$9:T$1000) ) +  ( SUMPRODUCT( ((Adders!$D$13:$D$101)=$E157)*((Adders!$E$13:$E$101)=$F157)*(Adders!I$13:I$101)) + VLOOKUP($H157,Adders!$B$5:$G$8,N$11,FALSE)  +  NJ!$D$2 ) * IF($D157="NJ",1.07,1))/$L$10, CHOOSE($M$10,$L$9,$M$9) )</f>
        <v xml:space="preserve"> 94.85 </v>
      </c>
      <c r="L157" s="176" t="str">
        <f>TEXT(   (SUMPRODUCT( ((LMPMain!$H$9:$H$1000)=$E157)*((LMPMain!$J$9:$J$1000)=$F157)*((LMPMain!$O$9:$O$1000)=$C157)*(LMPMain!R$9:R$1000) ) +  ( SUMPRODUCT( ((Adders!$D$13:$D$101)=$E157)*((Adders!$E$13:$E$101)=$F157)*(Adders!G$13:G$101)) + VLOOKUP($H157,Adders!$B$5:$G$8,L$11,FALSE)  +  NJ!$D$2 ) * IF($D157="NJ",1.07,1))/$L$10, CHOOSE($M$10,$L$9,$M$9) )</f>
        <v xml:space="preserve"> 47.40 </v>
      </c>
      <c r="M157" s="176" t="str">
        <f>TEXT(   (SUMPRODUCT( ((LMPMain!$H$9:$H$1000)=$E157)*((LMPMain!$J$9:$J$1000)=$F157)*((LMPMain!$O$9:$O$1000)=$C157)*(LMPMain!S$9:S$1000) ) +  ( SUMPRODUCT( ((Adders!$D$13:$D$101)=$E157)*((Adders!$E$13:$E$101)=$F157)*(Adders!H$13:H$101)) + VLOOKUP($H157,Adders!$B$5:$G$8,M$11,FALSE)  +  NJ!$D$2 ) * IF($D157="NJ",1.07,1))/$L$10, CHOOSE($M$10,$L$9,$M$9) )</f>
        <v xml:space="preserve"> 48.02 </v>
      </c>
      <c r="N157" s="177" t="str">
        <f>TEXT(   (SUMPRODUCT( ((LMPMain!$H$9:$H$1000)=$E157)*((LMPMain!$J$9:$J$1000)=$F157)*((LMPMain!$O$9:$O$1000)=$C157)*(LMPMain!T$9:T$1000) ) +  ( SUMPRODUCT( ((Adders!$D$13:$D$101)=$E157)*((Adders!$E$13:$E$101)=$F157)*(Adders!I$13:I$101)) + VLOOKUP($H157,Adders!$B$5:$G$8,N$11,FALSE)  +  NJ!$D$2 ) * IF($D157="NJ",1.07,1))/$L$10, CHOOSE($M$10,$L$9,$M$9) )</f>
        <v xml:space="preserve"> 48.02 </v>
      </c>
      <c r="O157" s="112"/>
    </row>
    <row r="158" spans="2:15" x14ac:dyDescent="0.25">
      <c r="B158" s="108"/>
      <c r="C158" s="127">
        <f t="shared" si="3"/>
        <v>42156</v>
      </c>
      <c r="D158" s="128" t="s">
        <v>31</v>
      </c>
      <c r="E158" s="129" t="s">
        <v>35</v>
      </c>
      <c r="F158" s="128" t="s">
        <v>11</v>
      </c>
      <c r="G158" s="129" t="str">
        <f>VLOOKUP(SUMPRODUCT( ((LMPMain!$H$9:$H$1000)=$E158)*((LMPMain!$J$9:$J$1000)=$F158)*((LMPMain!$O$9:$O$1000)=$C158)*(LMPMain!A$9:A$1000)),LMPMain!$A$9:$K$1000,11,FALSE)</f>
        <v>General Service Small</v>
      </c>
      <c r="H158" s="130" t="s">
        <v>61</v>
      </c>
      <c r="I158" s="178" t="str">
        <f>TEXT(   (SUMPRODUCT( ((Main!$H$9:$H$1000)=$E158)*((Main!$J$9:$J$1000)=$F158)*((Main!$O$9:$O$1000)=$C158)*(Main!R$9:R$1000) ) +  ( SUMPRODUCT( ((Adders!$D$13:$D$101)=$E158)*((Adders!$E$13:$E$101)=$F158)*(Adders!G$13:G$101)) + VLOOKUP($H158,Adders!$B$5:$G$8,L$11,FALSE)  +  NJ!$D$2 ) * IF($D158="NJ",1.07,1))/$L$10, CHOOSE($M$10,$L$9,$M$9) )</f>
        <v xml:space="preserve"> 97.02 </v>
      </c>
      <c r="J158" s="178" t="str">
        <f>TEXT(   (SUMPRODUCT( ((Main!$H$9:$H$1000)=$E158)*((Main!$J$9:$J$1000)=$F158)*((Main!$O$9:$O$1000)=$C158)*(Main!S$9:S$1000) ) +  ( SUMPRODUCT( ((Adders!$D$13:$D$101)=$E158)*((Adders!$E$13:$E$101)=$F158)*(Adders!H$13:H$101)) + VLOOKUP($H158,Adders!$B$5:$G$8,M$11,FALSE)  +  NJ!$D$2 ) * IF($D158="NJ",1.07,1))/$L$10, CHOOSE($M$10,$L$9,$M$9) )</f>
        <v xml:space="preserve"> 95.20 </v>
      </c>
      <c r="K158" s="179" t="str">
        <f>TEXT(   (SUMPRODUCT( ((Main!$H$9:$H$1000)=$E158)*((Main!$J$9:$J$1000)=$F158)*((Main!$O$9:$O$1000)=$C158)*(Main!T$9:T$1000) ) +  ( SUMPRODUCT( ((Adders!$D$13:$D$101)=$E158)*((Adders!$E$13:$E$101)=$F158)*(Adders!I$13:I$101)) + VLOOKUP($H158,Adders!$B$5:$G$8,N$11,FALSE)  +  NJ!$D$2 ) * IF($D158="NJ",1.07,1))/$L$10, CHOOSE($M$10,$L$9,$M$9) )</f>
        <v xml:space="preserve"> 95.40 </v>
      </c>
      <c r="L158" s="178" t="str">
        <f>TEXT(   (SUMPRODUCT( ((LMPMain!$H$9:$H$1000)=$E158)*((LMPMain!$J$9:$J$1000)=$F158)*((LMPMain!$O$9:$O$1000)=$C158)*(LMPMain!R$9:R$1000) ) +  ( SUMPRODUCT( ((Adders!$D$13:$D$101)=$E158)*((Adders!$E$13:$E$101)=$F158)*(Adders!G$13:G$101)) + VLOOKUP($H158,Adders!$B$5:$G$8,L$11,FALSE)  +  NJ!$D$2 ) * IF($D158="NJ",1.07,1))/$L$10, CHOOSE($M$10,$L$9,$M$9) )</f>
        <v xml:space="preserve"> 53.83 </v>
      </c>
      <c r="M158" s="178" t="str">
        <f>TEXT(   (SUMPRODUCT( ((LMPMain!$H$9:$H$1000)=$E158)*((LMPMain!$J$9:$J$1000)=$F158)*((LMPMain!$O$9:$O$1000)=$C158)*(LMPMain!S$9:S$1000) ) +  ( SUMPRODUCT( ((Adders!$D$13:$D$101)=$E158)*((Adders!$E$13:$E$101)=$F158)*(Adders!H$13:H$101)) + VLOOKUP($H158,Adders!$B$5:$G$8,M$11,FALSE)  +  NJ!$D$2 ) * IF($D158="NJ",1.07,1))/$L$10, CHOOSE($M$10,$L$9,$M$9) )</f>
        <v xml:space="preserve"> 52.63 </v>
      </c>
      <c r="N158" s="179" t="str">
        <f>TEXT(   (SUMPRODUCT( ((LMPMain!$H$9:$H$1000)=$E158)*((LMPMain!$J$9:$J$1000)=$F158)*((LMPMain!$O$9:$O$1000)=$C158)*(LMPMain!T$9:T$1000) ) +  ( SUMPRODUCT( ((Adders!$D$13:$D$101)=$E158)*((Adders!$E$13:$E$101)=$F158)*(Adders!I$13:I$101)) + VLOOKUP($H158,Adders!$B$5:$G$8,N$11,FALSE)  +  NJ!$D$2 ) * IF($D158="NJ",1.07,1))/$L$10, CHOOSE($M$10,$L$9,$M$9) )</f>
        <v xml:space="preserve"> 51.98 </v>
      </c>
      <c r="O158" s="112"/>
    </row>
    <row r="159" spans="2:15" x14ac:dyDescent="0.25">
      <c r="B159" s="108"/>
      <c r="C159" s="131">
        <f t="shared" si="3"/>
        <v>42156</v>
      </c>
      <c r="D159" s="132" t="s">
        <v>31</v>
      </c>
      <c r="E159" s="133" t="s">
        <v>35</v>
      </c>
      <c r="F159" s="132" t="s">
        <v>11</v>
      </c>
      <c r="G159" s="133" t="str">
        <f>G158</f>
        <v>General Service Small</v>
      </c>
      <c r="H159" s="134" t="s">
        <v>62</v>
      </c>
      <c r="I159" s="173" t="str">
        <f>TEXT(   (SUMPRODUCT( ((Main!$H$9:$H$1000)=$E159)*((Main!$J$9:$J$1000)=$F159)*((Main!$O$9:$O$1000)=$C159)*(Main!R$9:R$1000) ) +  ( SUMPRODUCT( ((Adders!$D$13:$D$101)=$E159)*((Adders!$E$13:$E$101)=$F159)*(Adders!G$13:G$101)) + VLOOKUP($H159,Adders!$B$5:$G$8,L$11,FALSE)  +  NJ!$D$2 ) * IF($D159="NJ",1.07,1))/$L$10, CHOOSE($M$10,$L$9,$M$9) )</f>
        <v xml:space="preserve"> 95.31 </v>
      </c>
      <c r="J159" s="173" t="str">
        <f>TEXT(   (SUMPRODUCT( ((Main!$H$9:$H$1000)=$E159)*((Main!$J$9:$J$1000)=$F159)*((Main!$O$9:$O$1000)=$C159)*(Main!S$9:S$1000) ) +  ( SUMPRODUCT( ((Adders!$D$13:$D$101)=$E159)*((Adders!$E$13:$E$101)=$F159)*(Adders!H$13:H$101)) + VLOOKUP($H159,Adders!$B$5:$G$8,M$11,FALSE)  +  NJ!$D$2 ) * IF($D159="NJ",1.07,1))/$L$10, CHOOSE($M$10,$L$9,$M$9) )</f>
        <v xml:space="preserve"> 93.49 </v>
      </c>
      <c r="K159" s="174" t="str">
        <f>TEXT(   (SUMPRODUCT( ((Main!$H$9:$H$1000)=$E159)*((Main!$J$9:$J$1000)=$F159)*((Main!$O$9:$O$1000)=$C159)*(Main!T$9:T$1000) ) +  ( SUMPRODUCT( ((Adders!$D$13:$D$101)=$E159)*((Adders!$E$13:$E$101)=$F159)*(Adders!I$13:I$101)) + VLOOKUP($H159,Adders!$B$5:$G$8,N$11,FALSE)  +  NJ!$D$2 ) * IF($D159="NJ",1.07,1))/$L$10, CHOOSE($M$10,$L$9,$M$9) )</f>
        <v xml:space="preserve"> 93.69 </v>
      </c>
      <c r="L159" s="173" t="str">
        <f>TEXT(   (SUMPRODUCT( ((LMPMain!$H$9:$H$1000)=$E159)*((LMPMain!$J$9:$J$1000)=$F159)*((LMPMain!$O$9:$O$1000)=$C159)*(LMPMain!R$9:R$1000) ) +  ( SUMPRODUCT( ((Adders!$D$13:$D$101)=$E159)*((Adders!$E$13:$E$101)=$F159)*(Adders!G$13:G$101)) + VLOOKUP($H159,Adders!$B$5:$G$8,L$11,FALSE)  +  NJ!$D$2 ) * IF($D159="NJ",1.07,1))/$L$10, CHOOSE($M$10,$L$9,$M$9) )</f>
        <v xml:space="preserve"> 52.12 </v>
      </c>
      <c r="M159" s="173" t="str">
        <f>TEXT(   (SUMPRODUCT( ((LMPMain!$H$9:$H$1000)=$E159)*((LMPMain!$J$9:$J$1000)=$F159)*((LMPMain!$O$9:$O$1000)=$C159)*(LMPMain!S$9:S$1000) ) +  ( SUMPRODUCT( ((Adders!$D$13:$D$101)=$E159)*((Adders!$E$13:$E$101)=$F159)*(Adders!H$13:H$101)) + VLOOKUP($H159,Adders!$B$5:$G$8,M$11,FALSE)  +  NJ!$D$2 ) * IF($D159="NJ",1.07,1))/$L$10, CHOOSE($M$10,$L$9,$M$9) )</f>
        <v xml:space="preserve"> 50.92 </v>
      </c>
      <c r="N159" s="174" t="str">
        <f>TEXT(   (SUMPRODUCT( ((LMPMain!$H$9:$H$1000)=$E159)*((LMPMain!$J$9:$J$1000)=$F159)*((LMPMain!$O$9:$O$1000)=$C159)*(LMPMain!T$9:T$1000) ) +  ( SUMPRODUCT( ((Adders!$D$13:$D$101)=$E159)*((Adders!$E$13:$E$101)=$F159)*(Adders!I$13:I$101)) + VLOOKUP($H159,Adders!$B$5:$G$8,N$11,FALSE)  +  NJ!$D$2 ) * IF($D159="NJ",1.07,1))/$L$10, CHOOSE($M$10,$L$9,$M$9) )</f>
        <v xml:space="preserve"> 50.27 </v>
      </c>
      <c r="O159" s="112"/>
    </row>
    <row r="160" spans="2:15" x14ac:dyDescent="0.25">
      <c r="B160" s="108"/>
      <c r="C160" s="135">
        <f t="shared" si="3"/>
        <v>42156</v>
      </c>
      <c r="D160" s="136" t="s">
        <v>31</v>
      </c>
      <c r="E160" s="137" t="s">
        <v>35</v>
      </c>
      <c r="F160" s="136" t="s">
        <v>11</v>
      </c>
      <c r="G160" s="137" t="str">
        <f>G159</f>
        <v>General Service Small</v>
      </c>
      <c r="H160" s="138" t="s">
        <v>690</v>
      </c>
      <c r="I160" s="176" t="str">
        <f>TEXT(   (SUMPRODUCT( ((Main!$H$9:$H$1000)=$E160)*((Main!$J$9:$J$1000)=$F160)*((Main!$O$9:$O$1000)=$C160)*(Main!R$9:R$1000) ) +  ( SUMPRODUCT( ((Adders!$D$13:$D$101)=$E160)*((Adders!$E$13:$E$101)=$F160)*(Adders!G$13:G$101)) + VLOOKUP($H160,Adders!$B$5:$G$8,L$11,FALSE)  +  NJ!$D$2 ) * IF($D160="NJ",1.07,1))/$L$10, CHOOSE($M$10,$L$9,$M$9) )</f>
        <v xml:space="preserve"> 94.19 </v>
      </c>
      <c r="J160" s="176" t="str">
        <f>TEXT(   (SUMPRODUCT( ((Main!$H$9:$H$1000)=$E160)*((Main!$J$9:$J$1000)=$F160)*((Main!$O$9:$O$1000)=$C160)*(Main!S$9:S$1000) ) +  ( SUMPRODUCT( ((Adders!$D$13:$D$101)=$E160)*((Adders!$E$13:$E$101)=$F160)*(Adders!H$13:H$101)) + VLOOKUP($H160,Adders!$B$5:$G$8,M$11,FALSE)  +  NJ!$D$2 ) * IF($D160="NJ",1.07,1))/$L$10, CHOOSE($M$10,$L$9,$M$9) )</f>
        <v xml:space="preserve"> 92.37 </v>
      </c>
      <c r="K160" s="177" t="str">
        <f>TEXT(   (SUMPRODUCT( ((Main!$H$9:$H$1000)=$E160)*((Main!$J$9:$J$1000)=$F160)*((Main!$O$9:$O$1000)=$C160)*(Main!T$9:T$1000) ) +  ( SUMPRODUCT( ((Adders!$D$13:$D$101)=$E160)*((Adders!$E$13:$E$101)=$F160)*(Adders!I$13:I$101)) + VLOOKUP($H160,Adders!$B$5:$G$8,N$11,FALSE)  +  NJ!$D$2 ) * IF($D160="NJ",1.07,1))/$L$10, CHOOSE($M$10,$L$9,$M$9) )</f>
        <v xml:space="preserve"> 92.57 </v>
      </c>
      <c r="L160" s="176" t="str">
        <f>TEXT(   (SUMPRODUCT( ((LMPMain!$H$9:$H$1000)=$E160)*((LMPMain!$J$9:$J$1000)=$F160)*((LMPMain!$O$9:$O$1000)=$C160)*(LMPMain!R$9:R$1000) ) +  ( SUMPRODUCT( ((Adders!$D$13:$D$101)=$E160)*((Adders!$E$13:$E$101)=$F160)*(Adders!G$13:G$101)) + VLOOKUP($H160,Adders!$B$5:$G$8,L$11,FALSE)  +  NJ!$D$2 ) * IF($D160="NJ",1.07,1))/$L$10, CHOOSE($M$10,$L$9,$M$9) )</f>
        <v xml:space="preserve"> 51.00 </v>
      </c>
      <c r="M160" s="176" t="str">
        <f>TEXT(   (SUMPRODUCT( ((LMPMain!$H$9:$H$1000)=$E160)*((LMPMain!$J$9:$J$1000)=$F160)*((LMPMain!$O$9:$O$1000)=$C160)*(LMPMain!S$9:S$1000) ) +  ( SUMPRODUCT( ((Adders!$D$13:$D$101)=$E160)*((Adders!$E$13:$E$101)=$F160)*(Adders!H$13:H$101)) + VLOOKUP($H160,Adders!$B$5:$G$8,M$11,FALSE)  +  NJ!$D$2 ) * IF($D160="NJ",1.07,1))/$L$10, CHOOSE($M$10,$L$9,$M$9) )</f>
        <v xml:space="preserve"> 49.79 </v>
      </c>
      <c r="N160" s="177" t="str">
        <f>TEXT(   (SUMPRODUCT( ((LMPMain!$H$9:$H$1000)=$E160)*((LMPMain!$J$9:$J$1000)=$F160)*((LMPMain!$O$9:$O$1000)=$C160)*(LMPMain!T$9:T$1000) ) +  ( SUMPRODUCT( ((Adders!$D$13:$D$101)=$E160)*((Adders!$E$13:$E$101)=$F160)*(Adders!I$13:I$101)) + VLOOKUP($H160,Adders!$B$5:$G$8,N$11,FALSE)  +  NJ!$D$2 ) * IF($D160="NJ",1.07,1))/$L$10, CHOOSE($M$10,$L$9,$M$9) )</f>
        <v xml:space="preserve"> 49.14 </v>
      </c>
      <c r="O160" s="112"/>
    </row>
    <row r="161" spans="2:15" x14ac:dyDescent="0.25">
      <c r="B161" s="108"/>
      <c r="C161" s="127">
        <f t="shared" si="3"/>
        <v>42186</v>
      </c>
      <c r="D161" s="128" t="s">
        <v>31</v>
      </c>
      <c r="E161" s="129" t="s">
        <v>35</v>
      </c>
      <c r="F161" s="128" t="s">
        <v>11</v>
      </c>
      <c r="G161" s="129" t="str">
        <f t="shared" si="4"/>
        <v>General Service Small</v>
      </c>
      <c r="H161" s="130" t="s">
        <v>61</v>
      </c>
      <c r="I161" s="178" t="str">
        <f>TEXT(   (SUMPRODUCT( ((Main!$H$9:$H$1000)=$E161)*((Main!$J$9:$J$1000)=$F161)*((Main!$O$9:$O$1000)=$C161)*(Main!R$9:R$1000) ) +  ( SUMPRODUCT( ((Adders!$D$13:$D$101)=$E161)*((Adders!$E$13:$E$101)=$F161)*(Adders!G$13:G$101)) + VLOOKUP($H161,Adders!$B$5:$G$8,L$11,FALSE)  +  NJ!$D$2 ) * IF($D161="NJ",1.07,1))/$L$10, CHOOSE($M$10,$L$9,$M$9) )</f>
        <v xml:space="preserve"> 96.84 </v>
      </c>
      <c r="J161" s="178" t="str">
        <f>TEXT(   (SUMPRODUCT( ((Main!$H$9:$H$1000)=$E161)*((Main!$J$9:$J$1000)=$F161)*((Main!$O$9:$O$1000)=$C161)*(Main!S$9:S$1000) ) +  ( SUMPRODUCT( ((Adders!$D$13:$D$101)=$E161)*((Adders!$E$13:$E$101)=$F161)*(Adders!H$13:H$101)) + VLOOKUP($H161,Adders!$B$5:$G$8,M$11,FALSE)  +  NJ!$D$2 ) * IF($D161="NJ",1.07,1))/$L$10, CHOOSE($M$10,$L$9,$M$9) )</f>
        <v xml:space="preserve"> 94.81 </v>
      </c>
      <c r="K161" s="179" t="str">
        <f>TEXT(   (SUMPRODUCT( ((Main!$H$9:$H$1000)=$E161)*((Main!$J$9:$J$1000)=$F161)*((Main!$O$9:$O$1000)=$C161)*(Main!T$9:T$1000) ) +  ( SUMPRODUCT( ((Adders!$D$13:$D$101)=$E161)*((Adders!$E$13:$E$101)=$F161)*(Adders!I$13:I$101)) + VLOOKUP($H161,Adders!$B$5:$G$8,N$11,FALSE)  +  NJ!$D$2 ) * IF($D161="NJ",1.07,1))/$L$10, CHOOSE($M$10,$L$9,$M$9) )</f>
        <v xml:space="preserve"> 95.36 </v>
      </c>
      <c r="L161" s="178" t="str">
        <f>TEXT(   (SUMPRODUCT( ((LMPMain!$H$9:$H$1000)=$E161)*((LMPMain!$J$9:$J$1000)=$F161)*((LMPMain!$O$9:$O$1000)=$C161)*(LMPMain!R$9:R$1000) ) +  ( SUMPRODUCT( ((Adders!$D$13:$D$101)=$E161)*((Adders!$E$13:$E$101)=$F161)*(Adders!G$13:G$101)) + VLOOKUP($H161,Adders!$B$5:$G$8,L$11,FALSE)  +  NJ!$D$2 ) * IF($D161="NJ",1.07,1))/$L$10, CHOOSE($M$10,$L$9,$M$9) )</f>
        <v xml:space="preserve"> 53.60 </v>
      </c>
      <c r="M161" s="178" t="str">
        <f>TEXT(   (SUMPRODUCT( ((LMPMain!$H$9:$H$1000)=$E161)*((LMPMain!$J$9:$J$1000)=$F161)*((LMPMain!$O$9:$O$1000)=$C161)*(LMPMain!S$9:S$1000) ) +  ( SUMPRODUCT( ((Adders!$D$13:$D$101)=$E161)*((Adders!$E$13:$E$101)=$F161)*(Adders!H$13:H$101)) + VLOOKUP($H161,Adders!$B$5:$G$8,M$11,FALSE)  +  NJ!$D$2 ) * IF($D161="NJ",1.07,1))/$L$10, CHOOSE($M$10,$L$9,$M$9) )</f>
        <v xml:space="preserve"> 52.26 </v>
      </c>
      <c r="N161" s="179" t="str">
        <f>TEXT(   (SUMPRODUCT( ((LMPMain!$H$9:$H$1000)=$E161)*((LMPMain!$J$9:$J$1000)=$F161)*((LMPMain!$O$9:$O$1000)=$C161)*(LMPMain!T$9:T$1000) ) +  ( SUMPRODUCT( ((Adders!$D$13:$D$101)=$E161)*((Adders!$E$13:$E$101)=$F161)*(Adders!I$13:I$101)) + VLOOKUP($H161,Adders!$B$5:$G$8,N$11,FALSE)  +  NJ!$D$2 ) * IF($D161="NJ",1.07,1))/$L$10, CHOOSE($M$10,$L$9,$M$9) )</f>
        <v xml:space="preserve"> 51.86 </v>
      </c>
      <c r="O161" s="112"/>
    </row>
    <row r="162" spans="2:15" x14ac:dyDescent="0.25">
      <c r="B162" s="108"/>
      <c r="C162" s="131">
        <f t="shared" si="3"/>
        <v>42186</v>
      </c>
      <c r="D162" s="132" t="s">
        <v>31</v>
      </c>
      <c r="E162" s="133" t="s">
        <v>35</v>
      </c>
      <c r="F162" s="132" t="s">
        <v>11</v>
      </c>
      <c r="G162" s="133" t="str">
        <f t="shared" si="4"/>
        <v>General Service Small</v>
      </c>
      <c r="H162" s="134" t="s">
        <v>62</v>
      </c>
      <c r="I162" s="173" t="str">
        <f>TEXT(   (SUMPRODUCT( ((Main!$H$9:$H$1000)=$E162)*((Main!$J$9:$J$1000)=$F162)*((Main!$O$9:$O$1000)=$C162)*(Main!R$9:R$1000) ) +  ( SUMPRODUCT( ((Adders!$D$13:$D$101)=$E162)*((Adders!$E$13:$E$101)=$F162)*(Adders!G$13:G$101)) + VLOOKUP($H162,Adders!$B$5:$G$8,L$11,FALSE)  +  NJ!$D$2 ) * IF($D162="NJ",1.07,1))/$L$10, CHOOSE($M$10,$L$9,$M$9) )</f>
        <v xml:space="preserve"> 95.13 </v>
      </c>
      <c r="J162" s="173" t="str">
        <f>TEXT(   (SUMPRODUCT( ((Main!$H$9:$H$1000)=$E162)*((Main!$J$9:$J$1000)=$F162)*((Main!$O$9:$O$1000)=$C162)*(Main!S$9:S$1000) ) +  ( SUMPRODUCT( ((Adders!$D$13:$D$101)=$E162)*((Adders!$E$13:$E$101)=$F162)*(Adders!H$13:H$101)) + VLOOKUP($H162,Adders!$B$5:$G$8,M$11,FALSE)  +  NJ!$D$2 ) * IF($D162="NJ",1.07,1))/$L$10, CHOOSE($M$10,$L$9,$M$9) )</f>
        <v xml:space="preserve"> 93.10 </v>
      </c>
      <c r="K162" s="174" t="str">
        <f>TEXT(   (SUMPRODUCT( ((Main!$H$9:$H$1000)=$E162)*((Main!$J$9:$J$1000)=$F162)*((Main!$O$9:$O$1000)=$C162)*(Main!T$9:T$1000) ) +  ( SUMPRODUCT( ((Adders!$D$13:$D$101)=$E162)*((Adders!$E$13:$E$101)=$F162)*(Adders!I$13:I$101)) + VLOOKUP($H162,Adders!$B$5:$G$8,N$11,FALSE)  +  NJ!$D$2 ) * IF($D162="NJ",1.07,1))/$L$10, CHOOSE($M$10,$L$9,$M$9) )</f>
        <v xml:space="preserve"> 93.65 </v>
      </c>
      <c r="L162" s="173" t="str">
        <f>TEXT(   (SUMPRODUCT( ((LMPMain!$H$9:$H$1000)=$E162)*((LMPMain!$J$9:$J$1000)=$F162)*((LMPMain!$O$9:$O$1000)=$C162)*(LMPMain!R$9:R$1000) ) +  ( SUMPRODUCT( ((Adders!$D$13:$D$101)=$E162)*((Adders!$E$13:$E$101)=$F162)*(Adders!G$13:G$101)) + VLOOKUP($H162,Adders!$B$5:$G$8,L$11,FALSE)  +  NJ!$D$2 ) * IF($D162="NJ",1.07,1))/$L$10, CHOOSE($M$10,$L$9,$M$9) )</f>
        <v xml:space="preserve"> 51.89 </v>
      </c>
      <c r="M162" s="173" t="str">
        <f>TEXT(   (SUMPRODUCT( ((LMPMain!$H$9:$H$1000)=$E162)*((LMPMain!$J$9:$J$1000)=$F162)*((LMPMain!$O$9:$O$1000)=$C162)*(LMPMain!S$9:S$1000) ) +  ( SUMPRODUCT( ((Adders!$D$13:$D$101)=$E162)*((Adders!$E$13:$E$101)=$F162)*(Adders!H$13:H$101)) + VLOOKUP($H162,Adders!$B$5:$G$8,M$11,FALSE)  +  NJ!$D$2 ) * IF($D162="NJ",1.07,1))/$L$10, CHOOSE($M$10,$L$9,$M$9) )</f>
        <v xml:space="preserve"> 50.55 </v>
      </c>
      <c r="N162" s="174" t="str">
        <f>TEXT(   (SUMPRODUCT( ((LMPMain!$H$9:$H$1000)=$E162)*((LMPMain!$J$9:$J$1000)=$F162)*((LMPMain!$O$9:$O$1000)=$C162)*(LMPMain!T$9:T$1000) ) +  ( SUMPRODUCT( ((Adders!$D$13:$D$101)=$E162)*((Adders!$E$13:$E$101)=$F162)*(Adders!I$13:I$101)) + VLOOKUP($H162,Adders!$B$5:$G$8,N$11,FALSE)  +  NJ!$D$2 ) * IF($D162="NJ",1.07,1))/$L$10, CHOOSE($M$10,$L$9,$M$9) )</f>
        <v xml:space="preserve"> 50.15 </v>
      </c>
      <c r="O162" s="112"/>
    </row>
    <row r="163" spans="2:15" x14ac:dyDescent="0.25">
      <c r="B163" s="108"/>
      <c r="C163" s="135">
        <f t="shared" si="3"/>
        <v>42186</v>
      </c>
      <c r="D163" s="136" t="s">
        <v>31</v>
      </c>
      <c r="E163" s="137" t="s">
        <v>35</v>
      </c>
      <c r="F163" s="136" t="s">
        <v>11</v>
      </c>
      <c r="G163" s="137" t="str">
        <f t="shared" si="4"/>
        <v>General Service Small</v>
      </c>
      <c r="H163" s="138" t="s">
        <v>690</v>
      </c>
      <c r="I163" s="176" t="str">
        <f>TEXT(   (SUMPRODUCT( ((Main!$H$9:$H$1000)=$E163)*((Main!$J$9:$J$1000)=$F163)*((Main!$O$9:$O$1000)=$C163)*(Main!R$9:R$1000) ) +  ( SUMPRODUCT( ((Adders!$D$13:$D$101)=$E163)*((Adders!$E$13:$E$101)=$F163)*(Adders!G$13:G$101)) + VLOOKUP($H163,Adders!$B$5:$G$8,L$11,FALSE)  +  NJ!$D$2 ) * IF($D163="NJ",1.07,1))/$L$10, CHOOSE($M$10,$L$9,$M$9) )</f>
        <v xml:space="preserve"> 94.01 </v>
      </c>
      <c r="J163" s="176" t="str">
        <f>TEXT(   (SUMPRODUCT( ((Main!$H$9:$H$1000)=$E163)*((Main!$J$9:$J$1000)=$F163)*((Main!$O$9:$O$1000)=$C163)*(Main!S$9:S$1000) ) +  ( SUMPRODUCT( ((Adders!$D$13:$D$101)=$E163)*((Adders!$E$13:$E$101)=$F163)*(Adders!H$13:H$101)) + VLOOKUP($H163,Adders!$B$5:$G$8,M$11,FALSE)  +  NJ!$D$2 ) * IF($D163="NJ",1.07,1))/$L$10, CHOOSE($M$10,$L$9,$M$9) )</f>
        <v xml:space="preserve"> 91.98 </v>
      </c>
      <c r="K163" s="177" t="str">
        <f>TEXT(   (SUMPRODUCT( ((Main!$H$9:$H$1000)=$E163)*((Main!$J$9:$J$1000)=$F163)*((Main!$O$9:$O$1000)=$C163)*(Main!T$9:T$1000) ) +  ( SUMPRODUCT( ((Adders!$D$13:$D$101)=$E163)*((Adders!$E$13:$E$101)=$F163)*(Adders!I$13:I$101)) + VLOOKUP($H163,Adders!$B$5:$G$8,N$11,FALSE)  +  NJ!$D$2 ) * IF($D163="NJ",1.07,1))/$L$10, CHOOSE($M$10,$L$9,$M$9) )</f>
        <v xml:space="preserve"> 92.53 </v>
      </c>
      <c r="L163" s="176" t="str">
        <f>TEXT(   (SUMPRODUCT( ((LMPMain!$H$9:$H$1000)=$E163)*((LMPMain!$J$9:$J$1000)=$F163)*((LMPMain!$O$9:$O$1000)=$C163)*(LMPMain!R$9:R$1000) ) +  ( SUMPRODUCT( ((Adders!$D$13:$D$101)=$E163)*((Adders!$E$13:$E$101)=$F163)*(Adders!G$13:G$101)) + VLOOKUP($H163,Adders!$B$5:$G$8,L$11,FALSE)  +  NJ!$D$2 ) * IF($D163="NJ",1.07,1))/$L$10, CHOOSE($M$10,$L$9,$M$9) )</f>
        <v xml:space="preserve"> 50.76 </v>
      </c>
      <c r="M163" s="176" t="str">
        <f>TEXT(   (SUMPRODUCT( ((LMPMain!$H$9:$H$1000)=$E163)*((LMPMain!$J$9:$J$1000)=$F163)*((LMPMain!$O$9:$O$1000)=$C163)*(LMPMain!S$9:S$1000) ) +  ( SUMPRODUCT( ((Adders!$D$13:$D$101)=$E163)*((Adders!$E$13:$E$101)=$F163)*(Adders!H$13:H$101)) + VLOOKUP($H163,Adders!$B$5:$G$8,M$11,FALSE)  +  NJ!$D$2 ) * IF($D163="NJ",1.07,1))/$L$10, CHOOSE($M$10,$L$9,$M$9) )</f>
        <v xml:space="preserve"> 49.43 </v>
      </c>
      <c r="N163" s="177" t="str">
        <f>TEXT(   (SUMPRODUCT( ((LMPMain!$H$9:$H$1000)=$E163)*((LMPMain!$J$9:$J$1000)=$F163)*((LMPMain!$O$9:$O$1000)=$C163)*(LMPMain!T$9:T$1000) ) +  ( SUMPRODUCT( ((Adders!$D$13:$D$101)=$E163)*((Adders!$E$13:$E$101)=$F163)*(Adders!I$13:I$101)) + VLOOKUP($H163,Adders!$B$5:$G$8,N$11,FALSE)  +  NJ!$D$2 ) * IF($D163="NJ",1.07,1))/$L$10, CHOOSE($M$10,$L$9,$M$9) )</f>
        <v xml:space="preserve"> 49.02 </v>
      </c>
      <c r="O163" s="112"/>
    </row>
    <row r="164" spans="2:15" x14ac:dyDescent="0.25">
      <c r="B164" s="108"/>
      <c r="C164" s="127">
        <f t="shared" si="3"/>
        <v>42217</v>
      </c>
      <c r="D164" s="128" t="s">
        <v>31</v>
      </c>
      <c r="E164" s="129" t="s">
        <v>35</v>
      </c>
      <c r="F164" s="128" t="s">
        <v>11</v>
      </c>
      <c r="G164" s="129" t="str">
        <f t="shared" si="4"/>
        <v>General Service Small</v>
      </c>
      <c r="H164" s="130" t="s">
        <v>61</v>
      </c>
      <c r="I164" s="178" t="str">
        <f>TEXT(   (SUMPRODUCT( ((Main!$H$9:$H$1000)=$E164)*((Main!$J$9:$J$1000)=$F164)*((Main!$O$9:$O$1000)=$C164)*(Main!R$9:R$1000) ) +  ( SUMPRODUCT( ((Adders!$D$13:$D$101)=$E164)*((Adders!$E$13:$E$101)=$F164)*(Adders!G$13:G$101)) + VLOOKUP($H164,Adders!$B$5:$G$8,L$11,FALSE)  +  NJ!$D$2 ) * IF($D164="NJ",1.07,1))/$L$10, CHOOSE($M$10,$L$9,$M$9) )</f>
        <v xml:space="preserve"> 96.35 </v>
      </c>
      <c r="J164" s="178" t="str">
        <f>TEXT(   (SUMPRODUCT( ((Main!$H$9:$H$1000)=$E164)*((Main!$J$9:$J$1000)=$F164)*((Main!$O$9:$O$1000)=$C164)*(Main!S$9:S$1000) ) +  ( SUMPRODUCT( ((Adders!$D$13:$D$101)=$E164)*((Adders!$E$13:$E$101)=$F164)*(Adders!H$13:H$101)) + VLOOKUP($H164,Adders!$B$5:$G$8,M$11,FALSE)  +  NJ!$D$2 ) * IF($D164="NJ",1.07,1))/$L$10, CHOOSE($M$10,$L$9,$M$9) )</f>
        <v xml:space="preserve"> 95.39 </v>
      </c>
      <c r="K164" s="179" t="str">
        <f>TEXT(   (SUMPRODUCT( ((Main!$H$9:$H$1000)=$E164)*((Main!$J$9:$J$1000)=$F164)*((Main!$O$9:$O$1000)=$C164)*(Main!T$9:T$1000) ) +  ( SUMPRODUCT( ((Adders!$D$13:$D$101)=$E164)*((Adders!$E$13:$E$101)=$F164)*(Adders!I$13:I$101)) + VLOOKUP($H164,Adders!$B$5:$G$8,N$11,FALSE)  +  NJ!$D$2 ) * IF($D164="NJ",1.07,1))/$L$10, CHOOSE($M$10,$L$9,$M$9) )</f>
        <v xml:space="preserve"> 95.32 </v>
      </c>
      <c r="L164" s="178" t="str">
        <f>TEXT(   (SUMPRODUCT( ((LMPMain!$H$9:$H$1000)=$E164)*((LMPMain!$J$9:$J$1000)=$F164)*((LMPMain!$O$9:$O$1000)=$C164)*(LMPMain!R$9:R$1000) ) +  ( SUMPRODUCT( ((Adders!$D$13:$D$101)=$E164)*((Adders!$E$13:$E$101)=$F164)*(Adders!G$13:G$101)) + VLOOKUP($H164,Adders!$B$5:$G$8,L$11,FALSE)  +  NJ!$D$2 ) * IF($D164="NJ",1.07,1))/$L$10, CHOOSE($M$10,$L$9,$M$9) )</f>
        <v xml:space="preserve"> 53.15 </v>
      </c>
      <c r="M164" s="178" t="str">
        <f>TEXT(   (SUMPRODUCT( ((LMPMain!$H$9:$H$1000)=$E164)*((LMPMain!$J$9:$J$1000)=$F164)*((LMPMain!$O$9:$O$1000)=$C164)*(LMPMain!S$9:S$1000) ) +  ( SUMPRODUCT( ((Adders!$D$13:$D$101)=$E164)*((Adders!$E$13:$E$101)=$F164)*(Adders!H$13:H$101)) + VLOOKUP($H164,Adders!$B$5:$G$8,M$11,FALSE)  +  NJ!$D$2 ) * IF($D164="NJ",1.07,1))/$L$10, CHOOSE($M$10,$L$9,$M$9) )</f>
        <v xml:space="preserve"> 51.96 </v>
      </c>
      <c r="N164" s="179" t="str">
        <f>TEXT(   (SUMPRODUCT( ((LMPMain!$H$9:$H$1000)=$E164)*((LMPMain!$J$9:$J$1000)=$F164)*((LMPMain!$O$9:$O$1000)=$C164)*(LMPMain!T$9:T$1000) ) +  ( SUMPRODUCT( ((Adders!$D$13:$D$101)=$E164)*((Adders!$E$13:$E$101)=$F164)*(Adders!I$13:I$101)) + VLOOKUP($H164,Adders!$B$5:$G$8,N$11,FALSE)  +  NJ!$D$2 ) * IF($D164="NJ",1.07,1))/$L$10, CHOOSE($M$10,$L$9,$M$9) )</f>
        <v xml:space="preserve"> 51.75 </v>
      </c>
      <c r="O164" s="112"/>
    </row>
    <row r="165" spans="2:15" x14ac:dyDescent="0.25">
      <c r="B165" s="108"/>
      <c r="C165" s="131">
        <f t="shared" si="3"/>
        <v>42217</v>
      </c>
      <c r="D165" s="132" t="s">
        <v>31</v>
      </c>
      <c r="E165" s="133" t="s">
        <v>35</v>
      </c>
      <c r="F165" s="132" t="s">
        <v>11</v>
      </c>
      <c r="G165" s="133" t="str">
        <f t="shared" si="4"/>
        <v>General Service Small</v>
      </c>
      <c r="H165" s="134" t="s">
        <v>62</v>
      </c>
      <c r="I165" s="173" t="str">
        <f>TEXT(   (SUMPRODUCT( ((Main!$H$9:$H$1000)=$E165)*((Main!$J$9:$J$1000)=$F165)*((Main!$O$9:$O$1000)=$C165)*(Main!R$9:R$1000) ) +  ( SUMPRODUCT( ((Adders!$D$13:$D$101)=$E165)*((Adders!$E$13:$E$101)=$F165)*(Adders!G$13:G$101)) + VLOOKUP($H165,Adders!$B$5:$G$8,L$11,FALSE)  +  NJ!$D$2 ) * IF($D165="NJ",1.07,1))/$L$10, CHOOSE($M$10,$L$9,$M$9) )</f>
        <v xml:space="preserve"> 94.64 </v>
      </c>
      <c r="J165" s="173" t="str">
        <f>TEXT(   (SUMPRODUCT( ((Main!$H$9:$H$1000)=$E165)*((Main!$J$9:$J$1000)=$F165)*((Main!$O$9:$O$1000)=$C165)*(Main!S$9:S$1000) ) +  ( SUMPRODUCT( ((Adders!$D$13:$D$101)=$E165)*((Adders!$E$13:$E$101)=$F165)*(Adders!H$13:H$101)) + VLOOKUP($H165,Adders!$B$5:$G$8,M$11,FALSE)  +  NJ!$D$2 ) * IF($D165="NJ",1.07,1))/$L$10, CHOOSE($M$10,$L$9,$M$9) )</f>
        <v xml:space="preserve"> 93.68 </v>
      </c>
      <c r="K165" s="174" t="str">
        <f>TEXT(   (SUMPRODUCT( ((Main!$H$9:$H$1000)=$E165)*((Main!$J$9:$J$1000)=$F165)*((Main!$O$9:$O$1000)=$C165)*(Main!T$9:T$1000) ) +  ( SUMPRODUCT( ((Adders!$D$13:$D$101)=$E165)*((Adders!$E$13:$E$101)=$F165)*(Adders!I$13:I$101)) + VLOOKUP($H165,Adders!$B$5:$G$8,N$11,FALSE)  +  NJ!$D$2 ) * IF($D165="NJ",1.07,1))/$L$10, CHOOSE($M$10,$L$9,$M$9) )</f>
        <v xml:space="preserve"> 93.61 </v>
      </c>
      <c r="L165" s="173" t="str">
        <f>TEXT(   (SUMPRODUCT( ((LMPMain!$H$9:$H$1000)=$E165)*((LMPMain!$J$9:$J$1000)=$F165)*((LMPMain!$O$9:$O$1000)=$C165)*(LMPMain!R$9:R$1000) ) +  ( SUMPRODUCT( ((Adders!$D$13:$D$101)=$E165)*((Adders!$E$13:$E$101)=$F165)*(Adders!G$13:G$101)) + VLOOKUP($H165,Adders!$B$5:$G$8,L$11,FALSE)  +  NJ!$D$2 ) * IF($D165="NJ",1.07,1))/$L$10, CHOOSE($M$10,$L$9,$M$9) )</f>
        <v xml:space="preserve"> 51.44 </v>
      </c>
      <c r="M165" s="173" t="str">
        <f>TEXT(   (SUMPRODUCT( ((LMPMain!$H$9:$H$1000)=$E165)*((LMPMain!$J$9:$J$1000)=$F165)*((LMPMain!$O$9:$O$1000)=$C165)*(LMPMain!S$9:S$1000) ) +  ( SUMPRODUCT( ((Adders!$D$13:$D$101)=$E165)*((Adders!$E$13:$E$101)=$F165)*(Adders!H$13:H$101)) + VLOOKUP($H165,Adders!$B$5:$G$8,M$11,FALSE)  +  NJ!$D$2 ) * IF($D165="NJ",1.07,1))/$L$10, CHOOSE($M$10,$L$9,$M$9) )</f>
        <v xml:space="preserve"> 50.25 </v>
      </c>
      <c r="N165" s="174" t="str">
        <f>TEXT(   (SUMPRODUCT( ((LMPMain!$H$9:$H$1000)=$E165)*((LMPMain!$J$9:$J$1000)=$F165)*((LMPMain!$O$9:$O$1000)=$C165)*(LMPMain!T$9:T$1000) ) +  ( SUMPRODUCT( ((Adders!$D$13:$D$101)=$E165)*((Adders!$E$13:$E$101)=$F165)*(Adders!I$13:I$101)) + VLOOKUP($H165,Adders!$B$5:$G$8,N$11,FALSE)  +  NJ!$D$2 ) * IF($D165="NJ",1.07,1))/$L$10, CHOOSE($M$10,$L$9,$M$9) )</f>
        <v xml:space="preserve"> 50.04 </v>
      </c>
      <c r="O165" s="112"/>
    </row>
    <row r="166" spans="2:15" x14ac:dyDescent="0.25">
      <c r="B166" s="108"/>
      <c r="C166" s="135">
        <f t="shared" si="3"/>
        <v>42217</v>
      </c>
      <c r="D166" s="136" t="s">
        <v>31</v>
      </c>
      <c r="E166" s="137" t="s">
        <v>35</v>
      </c>
      <c r="F166" s="136" t="s">
        <v>11</v>
      </c>
      <c r="G166" s="137" t="str">
        <f t="shared" si="4"/>
        <v>General Service Small</v>
      </c>
      <c r="H166" s="138" t="s">
        <v>690</v>
      </c>
      <c r="I166" s="176" t="str">
        <f>TEXT(   (SUMPRODUCT( ((Main!$H$9:$H$1000)=$E166)*((Main!$J$9:$J$1000)=$F166)*((Main!$O$9:$O$1000)=$C166)*(Main!R$9:R$1000) ) +  ( SUMPRODUCT( ((Adders!$D$13:$D$101)=$E166)*((Adders!$E$13:$E$101)=$F166)*(Adders!G$13:G$101)) + VLOOKUP($H166,Adders!$B$5:$G$8,L$11,FALSE)  +  NJ!$D$2 ) * IF($D166="NJ",1.07,1))/$L$10, CHOOSE($M$10,$L$9,$M$9) )</f>
        <v xml:space="preserve"> 93.52 </v>
      </c>
      <c r="J166" s="176" t="str">
        <f>TEXT(   (SUMPRODUCT( ((Main!$H$9:$H$1000)=$E166)*((Main!$J$9:$J$1000)=$F166)*((Main!$O$9:$O$1000)=$C166)*(Main!S$9:S$1000) ) +  ( SUMPRODUCT( ((Adders!$D$13:$D$101)=$E166)*((Adders!$E$13:$E$101)=$F166)*(Adders!H$13:H$101)) + VLOOKUP($H166,Adders!$B$5:$G$8,M$11,FALSE)  +  NJ!$D$2 ) * IF($D166="NJ",1.07,1))/$L$10, CHOOSE($M$10,$L$9,$M$9) )</f>
        <v xml:space="preserve"> 92.56 </v>
      </c>
      <c r="K166" s="177" t="str">
        <f>TEXT(   (SUMPRODUCT( ((Main!$H$9:$H$1000)=$E166)*((Main!$J$9:$J$1000)=$F166)*((Main!$O$9:$O$1000)=$C166)*(Main!T$9:T$1000) ) +  ( SUMPRODUCT( ((Adders!$D$13:$D$101)=$E166)*((Adders!$E$13:$E$101)=$F166)*(Adders!I$13:I$101)) + VLOOKUP($H166,Adders!$B$5:$G$8,N$11,FALSE)  +  NJ!$D$2 ) * IF($D166="NJ",1.07,1))/$L$10, CHOOSE($M$10,$L$9,$M$9) )</f>
        <v xml:space="preserve"> 92.49 </v>
      </c>
      <c r="L166" s="176" t="str">
        <f>TEXT(   (SUMPRODUCT( ((LMPMain!$H$9:$H$1000)=$E166)*((LMPMain!$J$9:$J$1000)=$F166)*((LMPMain!$O$9:$O$1000)=$C166)*(LMPMain!R$9:R$1000) ) +  ( SUMPRODUCT( ((Adders!$D$13:$D$101)=$E166)*((Adders!$E$13:$E$101)=$F166)*(Adders!G$13:G$101)) + VLOOKUP($H166,Adders!$B$5:$G$8,L$11,FALSE)  +  NJ!$D$2 ) * IF($D166="NJ",1.07,1))/$L$10, CHOOSE($M$10,$L$9,$M$9) )</f>
        <v xml:space="preserve"> 50.32 </v>
      </c>
      <c r="M166" s="176" t="str">
        <f>TEXT(   (SUMPRODUCT( ((LMPMain!$H$9:$H$1000)=$E166)*((LMPMain!$J$9:$J$1000)=$F166)*((LMPMain!$O$9:$O$1000)=$C166)*(LMPMain!S$9:S$1000) ) +  ( SUMPRODUCT( ((Adders!$D$13:$D$101)=$E166)*((Adders!$E$13:$E$101)=$F166)*(Adders!H$13:H$101)) + VLOOKUP($H166,Adders!$B$5:$G$8,M$11,FALSE)  +  NJ!$D$2 ) * IF($D166="NJ",1.07,1))/$L$10, CHOOSE($M$10,$L$9,$M$9) )</f>
        <v xml:space="preserve"> 49.13 </v>
      </c>
      <c r="N166" s="177" t="str">
        <f>TEXT(   (SUMPRODUCT( ((LMPMain!$H$9:$H$1000)=$E166)*((LMPMain!$J$9:$J$1000)=$F166)*((LMPMain!$O$9:$O$1000)=$C166)*(LMPMain!T$9:T$1000) ) +  ( SUMPRODUCT( ((Adders!$D$13:$D$101)=$E166)*((Adders!$E$13:$E$101)=$F166)*(Adders!I$13:I$101)) + VLOOKUP($H166,Adders!$B$5:$G$8,N$11,FALSE)  +  NJ!$D$2 ) * IF($D166="NJ",1.07,1))/$L$10, CHOOSE($M$10,$L$9,$M$9) )</f>
        <v xml:space="preserve"> 48.92 </v>
      </c>
      <c r="O166" s="112"/>
    </row>
    <row r="167" spans="2:15" x14ac:dyDescent="0.25">
      <c r="B167" s="108"/>
      <c r="C167" s="127">
        <f t="shared" si="3"/>
        <v>42248</v>
      </c>
      <c r="D167" s="128" t="s">
        <v>31</v>
      </c>
      <c r="E167" s="129" t="s">
        <v>35</v>
      </c>
      <c r="F167" s="128" t="s">
        <v>11</v>
      </c>
      <c r="G167" s="129" t="str">
        <f t="shared" si="4"/>
        <v>General Service Small</v>
      </c>
      <c r="H167" s="130" t="s">
        <v>61</v>
      </c>
      <c r="I167" s="178" t="str">
        <f>TEXT(   (SUMPRODUCT( ((Main!$H$9:$H$1000)=$E167)*((Main!$J$9:$J$1000)=$F167)*((Main!$O$9:$O$1000)=$C167)*(Main!R$9:R$1000) ) +  ( SUMPRODUCT( ((Adders!$D$13:$D$101)=$E167)*((Adders!$E$13:$E$101)=$F167)*(Adders!G$13:G$101)) + VLOOKUP($H167,Adders!$B$5:$G$8,L$11,FALSE)  +  NJ!$D$2 ) * IF($D167="NJ",1.07,1))/$L$10, CHOOSE($M$10,$L$9,$M$9) )</f>
        <v xml:space="preserve"> 96.17 </v>
      </c>
      <c r="J167" s="178" t="str">
        <f>TEXT(   (SUMPRODUCT( ((Main!$H$9:$H$1000)=$E167)*((Main!$J$9:$J$1000)=$F167)*((Main!$O$9:$O$1000)=$C167)*(Main!S$9:S$1000) ) +  ( SUMPRODUCT( ((Adders!$D$13:$D$101)=$E167)*((Adders!$E$13:$E$101)=$F167)*(Adders!H$13:H$101)) + VLOOKUP($H167,Adders!$B$5:$G$8,M$11,FALSE)  +  NJ!$D$2 ) * IF($D167="NJ",1.07,1))/$L$10, CHOOSE($M$10,$L$9,$M$9) )</f>
        <v xml:space="preserve"> 95.84 </v>
      </c>
      <c r="K167" s="179" t="str">
        <f>TEXT(   (SUMPRODUCT( ((Main!$H$9:$H$1000)=$E167)*((Main!$J$9:$J$1000)=$F167)*((Main!$O$9:$O$1000)=$C167)*(Main!T$9:T$1000) ) +  ( SUMPRODUCT( ((Adders!$D$13:$D$101)=$E167)*((Adders!$E$13:$E$101)=$F167)*(Adders!I$13:I$101)) + VLOOKUP($H167,Adders!$B$5:$G$8,N$11,FALSE)  +  NJ!$D$2 ) * IF($D167="NJ",1.07,1))/$L$10, CHOOSE($M$10,$L$9,$M$9) )</f>
        <v xml:space="preserve"> 95.39 </v>
      </c>
      <c r="L167" s="178" t="str">
        <f>TEXT(   (SUMPRODUCT( ((LMPMain!$H$9:$H$1000)=$E167)*((LMPMain!$J$9:$J$1000)=$F167)*((LMPMain!$O$9:$O$1000)=$C167)*(LMPMain!R$9:R$1000) ) +  ( SUMPRODUCT( ((Adders!$D$13:$D$101)=$E167)*((Adders!$E$13:$E$101)=$F167)*(Adders!G$13:G$101)) + VLOOKUP($H167,Adders!$B$5:$G$8,L$11,FALSE)  +  NJ!$D$2 ) * IF($D167="NJ",1.07,1))/$L$10, CHOOSE($M$10,$L$9,$M$9) )</f>
        <v xml:space="preserve"> 52.85 </v>
      </c>
      <c r="M167" s="178" t="str">
        <f>TEXT(   (SUMPRODUCT( ((LMPMain!$H$9:$H$1000)=$E167)*((LMPMain!$J$9:$J$1000)=$F167)*((LMPMain!$O$9:$O$1000)=$C167)*(LMPMain!S$9:S$1000) ) +  ( SUMPRODUCT( ((Adders!$D$13:$D$101)=$E167)*((Adders!$E$13:$E$101)=$F167)*(Adders!H$13:H$101)) + VLOOKUP($H167,Adders!$B$5:$G$8,M$11,FALSE)  +  NJ!$D$2 ) * IF($D167="NJ",1.07,1))/$L$10, CHOOSE($M$10,$L$9,$M$9) )</f>
        <v xml:space="preserve"> 51.92 </v>
      </c>
      <c r="N167" s="179" t="str">
        <f>TEXT(   (SUMPRODUCT( ((LMPMain!$H$9:$H$1000)=$E167)*((LMPMain!$J$9:$J$1000)=$F167)*((LMPMain!$O$9:$O$1000)=$C167)*(LMPMain!T$9:T$1000) ) +  ( SUMPRODUCT( ((Adders!$D$13:$D$101)=$E167)*((Adders!$E$13:$E$101)=$F167)*(Adders!I$13:I$101)) + VLOOKUP($H167,Adders!$B$5:$G$8,N$11,FALSE)  +  NJ!$D$2 ) * IF($D167="NJ",1.07,1))/$L$10, CHOOSE($M$10,$L$9,$M$9) )</f>
        <v xml:space="preserve"> 51.66 </v>
      </c>
      <c r="O167" s="112"/>
    </row>
    <row r="168" spans="2:15" x14ac:dyDescent="0.25">
      <c r="B168" s="108"/>
      <c r="C168" s="131">
        <f t="shared" si="3"/>
        <v>42248</v>
      </c>
      <c r="D168" s="132" t="s">
        <v>31</v>
      </c>
      <c r="E168" s="133" t="s">
        <v>35</v>
      </c>
      <c r="F168" s="132" t="s">
        <v>11</v>
      </c>
      <c r="G168" s="133" t="str">
        <f t="shared" si="4"/>
        <v>General Service Small</v>
      </c>
      <c r="H168" s="134" t="s">
        <v>62</v>
      </c>
      <c r="I168" s="173" t="str">
        <f>TEXT(   (SUMPRODUCT( ((Main!$H$9:$H$1000)=$E168)*((Main!$J$9:$J$1000)=$F168)*((Main!$O$9:$O$1000)=$C168)*(Main!R$9:R$1000) ) +  ( SUMPRODUCT( ((Adders!$D$13:$D$101)=$E168)*((Adders!$E$13:$E$101)=$F168)*(Adders!G$13:G$101)) + VLOOKUP($H168,Adders!$B$5:$G$8,L$11,FALSE)  +  NJ!$D$2 ) * IF($D168="NJ",1.07,1))/$L$10, CHOOSE($M$10,$L$9,$M$9) )</f>
        <v xml:space="preserve"> 94.46 </v>
      </c>
      <c r="J168" s="173" t="str">
        <f>TEXT(   (SUMPRODUCT( ((Main!$H$9:$H$1000)=$E168)*((Main!$J$9:$J$1000)=$F168)*((Main!$O$9:$O$1000)=$C168)*(Main!S$9:S$1000) ) +  ( SUMPRODUCT( ((Adders!$D$13:$D$101)=$E168)*((Adders!$E$13:$E$101)=$F168)*(Adders!H$13:H$101)) + VLOOKUP($H168,Adders!$B$5:$G$8,M$11,FALSE)  +  NJ!$D$2 ) * IF($D168="NJ",1.07,1))/$L$10, CHOOSE($M$10,$L$9,$M$9) )</f>
        <v xml:space="preserve"> 94.13 </v>
      </c>
      <c r="K168" s="174" t="str">
        <f>TEXT(   (SUMPRODUCT( ((Main!$H$9:$H$1000)=$E168)*((Main!$J$9:$J$1000)=$F168)*((Main!$O$9:$O$1000)=$C168)*(Main!T$9:T$1000) ) +  ( SUMPRODUCT( ((Adders!$D$13:$D$101)=$E168)*((Adders!$E$13:$E$101)=$F168)*(Adders!I$13:I$101)) + VLOOKUP($H168,Adders!$B$5:$G$8,N$11,FALSE)  +  NJ!$D$2 ) * IF($D168="NJ",1.07,1))/$L$10, CHOOSE($M$10,$L$9,$M$9) )</f>
        <v xml:space="preserve"> 93.68 </v>
      </c>
      <c r="L168" s="173" t="str">
        <f>TEXT(   (SUMPRODUCT( ((LMPMain!$H$9:$H$1000)=$E168)*((LMPMain!$J$9:$J$1000)=$F168)*((LMPMain!$O$9:$O$1000)=$C168)*(LMPMain!R$9:R$1000) ) +  ( SUMPRODUCT( ((Adders!$D$13:$D$101)=$E168)*((Adders!$E$13:$E$101)=$F168)*(Adders!G$13:G$101)) + VLOOKUP($H168,Adders!$B$5:$G$8,L$11,FALSE)  +  NJ!$D$2 ) * IF($D168="NJ",1.07,1))/$L$10, CHOOSE($M$10,$L$9,$M$9) )</f>
        <v xml:space="preserve"> 51.14 </v>
      </c>
      <c r="M168" s="173" t="str">
        <f>TEXT(   (SUMPRODUCT( ((LMPMain!$H$9:$H$1000)=$E168)*((LMPMain!$J$9:$J$1000)=$F168)*((LMPMain!$O$9:$O$1000)=$C168)*(LMPMain!S$9:S$1000) ) +  ( SUMPRODUCT( ((Adders!$D$13:$D$101)=$E168)*((Adders!$E$13:$E$101)=$F168)*(Adders!H$13:H$101)) + VLOOKUP($H168,Adders!$B$5:$G$8,M$11,FALSE)  +  NJ!$D$2 ) * IF($D168="NJ",1.07,1))/$L$10, CHOOSE($M$10,$L$9,$M$9) )</f>
        <v xml:space="preserve"> 50.21 </v>
      </c>
      <c r="N168" s="174" t="str">
        <f>TEXT(   (SUMPRODUCT( ((LMPMain!$H$9:$H$1000)=$E168)*((LMPMain!$J$9:$J$1000)=$F168)*((LMPMain!$O$9:$O$1000)=$C168)*(LMPMain!T$9:T$1000) ) +  ( SUMPRODUCT( ((Adders!$D$13:$D$101)=$E168)*((Adders!$E$13:$E$101)=$F168)*(Adders!I$13:I$101)) + VLOOKUP($H168,Adders!$B$5:$G$8,N$11,FALSE)  +  NJ!$D$2 ) * IF($D168="NJ",1.07,1))/$L$10, CHOOSE($M$10,$L$9,$M$9) )</f>
        <v xml:space="preserve"> 49.94 </v>
      </c>
      <c r="O168" s="112"/>
    </row>
    <row r="169" spans="2:15" x14ac:dyDescent="0.25">
      <c r="B169" s="108"/>
      <c r="C169" s="135">
        <f t="shared" si="3"/>
        <v>42248</v>
      </c>
      <c r="D169" s="136" t="s">
        <v>31</v>
      </c>
      <c r="E169" s="137" t="s">
        <v>35</v>
      </c>
      <c r="F169" s="136" t="s">
        <v>11</v>
      </c>
      <c r="G169" s="137" t="str">
        <f t="shared" si="4"/>
        <v>General Service Small</v>
      </c>
      <c r="H169" s="138" t="s">
        <v>690</v>
      </c>
      <c r="I169" s="176" t="str">
        <f>TEXT(   (SUMPRODUCT( ((Main!$H$9:$H$1000)=$E169)*((Main!$J$9:$J$1000)=$F169)*((Main!$O$9:$O$1000)=$C169)*(Main!R$9:R$1000) ) +  ( SUMPRODUCT( ((Adders!$D$13:$D$101)=$E169)*((Adders!$E$13:$E$101)=$F169)*(Adders!G$13:G$101)) + VLOOKUP($H169,Adders!$B$5:$G$8,L$11,FALSE)  +  NJ!$D$2 ) * IF($D169="NJ",1.07,1))/$L$10, CHOOSE($M$10,$L$9,$M$9) )</f>
        <v xml:space="preserve"> 93.34 </v>
      </c>
      <c r="J169" s="176" t="str">
        <f>TEXT(   (SUMPRODUCT( ((Main!$H$9:$H$1000)=$E169)*((Main!$J$9:$J$1000)=$F169)*((Main!$O$9:$O$1000)=$C169)*(Main!S$9:S$1000) ) +  ( SUMPRODUCT( ((Adders!$D$13:$D$101)=$E169)*((Adders!$E$13:$E$101)=$F169)*(Adders!H$13:H$101)) + VLOOKUP($H169,Adders!$B$5:$G$8,M$11,FALSE)  +  NJ!$D$2 ) * IF($D169="NJ",1.07,1))/$L$10, CHOOSE($M$10,$L$9,$M$9) )</f>
        <v xml:space="preserve"> 93.01 </v>
      </c>
      <c r="K169" s="177" t="str">
        <f>TEXT(   (SUMPRODUCT( ((Main!$H$9:$H$1000)=$E169)*((Main!$J$9:$J$1000)=$F169)*((Main!$O$9:$O$1000)=$C169)*(Main!T$9:T$1000) ) +  ( SUMPRODUCT( ((Adders!$D$13:$D$101)=$E169)*((Adders!$E$13:$E$101)=$F169)*(Adders!I$13:I$101)) + VLOOKUP($H169,Adders!$B$5:$G$8,N$11,FALSE)  +  NJ!$D$2 ) * IF($D169="NJ",1.07,1))/$L$10, CHOOSE($M$10,$L$9,$M$9) )</f>
        <v xml:space="preserve"> 92.56 </v>
      </c>
      <c r="L169" s="176" t="str">
        <f>TEXT(   (SUMPRODUCT( ((LMPMain!$H$9:$H$1000)=$E169)*((LMPMain!$J$9:$J$1000)=$F169)*((LMPMain!$O$9:$O$1000)=$C169)*(LMPMain!R$9:R$1000) ) +  ( SUMPRODUCT( ((Adders!$D$13:$D$101)=$E169)*((Adders!$E$13:$E$101)=$F169)*(Adders!G$13:G$101)) + VLOOKUP($H169,Adders!$B$5:$G$8,L$11,FALSE)  +  NJ!$D$2 ) * IF($D169="NJ",1.07,1))/$L$10, CHOOSE($M$10,$L$9,$M$9) )</f>
        <v xml:space="preserve"> 50.02 </v>
      </c>
      <c r="M169" s="176" t="str">
        <f>TEXT(   (SUMPRODUCT( ((LMPMain!$H$9:$H$1000)=$E169)*((LMPMain!$J$9:$J$1000)=$F169)*((LMPMain!$O$9:$O$1000)=$C169)*(LMPMain!S$9:S$1000) ) +  ( SUMPRODUCT( ((Adders!$D$13:$D$101)=$E169)*((Adders!$E$13:$E$101)=$F169)*(Adders!H$13:H$101)) + VLOOKUP($H169,Adders!$B$5:$G$8,M$11,FALSE)  +  NJ!$D$2 ) * IF($D169="NJ",1.07,1))/$L$10, CHOOSE($M$10,$L$9,$M$9) )</f>
        <v xml:space="preserve"> 49.08 </v>
      </c>
      <c r="N169" s="177" t="str">
        <f>TEXT(   (SUMPRODUCT( ((LMPMain!$H$9:$H$1000)=$E169)*((LMPMain!$J$9:$J$1000)=$F169)*((LMPMain!$O$9:$O$1000)=$C169)*(LMPMain!T$9:T$1000) ) +  ( SUMPRODUCT( ((Adders!$D$13:$D$101)=$E169)*((Adders!$E$13:$E$101)=$F169)*(Adders!I$13:I$101)) + VLOOKUP($H169,Adders!$B$5:$G$8,N$11,FALSE)  +  NJ!$D$2 ) * IF($D169="NJ",1.07,1))/$L$10, CHOOSE($M$10,$L$9,$M$9) )</f>
        <v xml:space="preserve"> 48.82 </v>
      </c>
      <c r="O169" s="112"/>
    </row>
    <row r="170" spans="2:15" x14ac:dyDescent="0.25">
      <c r="B170" s="108"/>
      <c r="C170" s="127">
        <f t="shared" si="3"/>
        <v>42278</v>
      </c>
      <c r="D170" s="128" t="s">
        <v>31</v>
      </c>
      <c r="E170" s="129" t="s">
        <v>35</v>
      </c>
      <c r="F170" s="128" t="s">
        <v>11</v>
      </c>
      <c r="G170" s="129" t="str">
        <f t="shared" si="4"/>
        <v>General Service Small</v>
      </c>
      <c r="H170" s="130" t="s">
        <v>61</v>
      </c>
      <c r="I170" s="178" t="str">
        <f>TEXT(   (SUMPRODUCT( ((Main!$H$9:$H$1000)=$E170)*((Main!$J$9:$J$1000)=$F170)*((Main!$O$9:$O$1000)=$C170)*(Main!R$9:R$1000) ) +  ( SUMPRODUCT( ((Adders!$D$13:$D$101)=$E170)*((Adders!$E$13:$E$101)=$F170)*(Adders!G$13:G$101)) + VLOOKUP($H170,Adders!$B$5:$G$8,L$11,FALSE)  +  NJ!$D$2 ) * IF($D170="NJ",1.07,1))/$L$10, CHOOSE($M$10,$L$9,$M$9) )</f>
        <v xml:space="preserve"> 95.93 </v>
      </c>
      <c r="J170" s="178" t="str">
        <f>TEXT(   (SUMPRODUCT( ((Main!$H$9:$H$1000)=$E170)*((Main!$J$9:$J$1000)=$F170)*((Main!$O$9:$O$1000)=$C170)*(Main!S$9:S$1000) ) +  ( SUMPRODUCT( ((Adders!$D$13:$D$101)=$E170)*((Adders!$E$13:$E$101)=$F170)*(Adders!H$13:H$101)) + VLOOKUP($H170,Adders!$B$5:$G$8,M$11,FALSE)  +  NJ!$D$2 ) * IF($D170="NJ",1.07,1))/$L$10, CHOOSE($M$10,$L$9,$M$9) )</f>
        <v xml:space="preserve"> 95.86 </v>
      </c>
      <c r="K170" s="179" t="str">
        <f>TEXT(   (SUMPRODUCT( ((Main!$H$9:$H$1000)=$E170)*((Main!$J$9:$J$1000)=$F170)*((Main!$O$9:$O$1000)=$C170)*(Main!T$9:T$1000) ) +  ( SUMPRODUCT( ((Adders!$D$13:$D$101)=$E170)*((Adders!$E$13:$E$101)=$F170)*(Adders!I$13:I$101)) + VLOOKUP($H170,Adders!$B$5:$G$8,N$11,FALSE)  +  NJ!$D$2 ) * IF($D170="NJ",1.07,1))/$L$10, CHOOSE($M$10,$L$9,$M$9) )</f>
        <v xml:space="preserve"> 95.32 </v>
      </c>
      <c r="L170" s="178" t="str">
        <f>TEXT(   (SUMPRODUCT( ((LMPMain!$H$9:$H$1000)=$E170)*((LMPMain!$J$9:$J$1000)=$F170)*((LMPMain!$O$9:$O$1000)=$C170)*(LMPMain!R$9:R$1000) ) +  ( SUMPRODUCT( ((Adders!$D$13:$D$101)=$E170)*((Adders!$E$13:$E$101)=$F170)*(Adders!G$13:G$101)) + VLOOKUP($H170,Adders!$B$5:$G$8,L$11,FALSE)  +  NJ!$D$2 ) * IF($D170="NJ",1.07,1))/$L$10, CHOOSE($M$10,$L$9,$M$9) )</f>
        <v xml:space="preserve"> 52.49 </v>
      </c>
      <c r="M170" s="178" t="str">
        <f>TEXT(   (SUMPRODUCT( ((LMPMain!$H$9:$H$1000)=$E170)*((LMPMain!$J$9:$J$1000)=$F170)*((LMPMain!$O$9:$O$1000)=$C170)*(LMPMain!S$9:S$1000) ) +  ( SUMPRODUCT( ((Adders!$D$13:$D$101)=$E170)*((Adders!$E$13:$E$101)=$F170)*(Adders!H$13:H$101)) + VLOOKUP($H170,Adders!$B$5:$G$8,M$11,FALSE)  +  NJ!$D$2 ) * IF($D170="NJ",1.07,1))/$L$10, CHOOSE($M$10,$L$9,$M$9) )</f>
        <v xml:space="preserve"> 51.66 </v>
      </c>
      <c r="N170" s="179" t="str">
        <f>TEXT(   (SUMPRODUCT( ((LMPMain!$H$9:$H$1000)=$E170)*((LMPMain!$J$9:$J$1000)=$F170)*((LMPMain!$O$9:$O$1000)=$C170)*(LMPMain!T$9:T$1000) ) +  ( SUMPRODUCT( ((Adders!$D$13:$D$101)=$E170)*((Adders!$E$13:$E$101)=$F170)*(Adders!I$13:I$101)) + VLOOKUP($H170,Adders!$B$5:$G$8,N$11,FALSE)  +  NJ!$D$2 ) * IF($D170="NJ",1.07,1))/$L$10, CHOOSE($M$10,$L$9,$M$9) )</f>
        <v xml:space="preserve"> 51.55 </v>
      </c>
      <c r="O170" s="112"/>
    </row>
    <row r="171" spans="2:15" x14ac:dyDescent="0.25">
      <c r="B171" s="108"/>
      <c r="C171" s="131">
        <f t="shared" si="3"/>
        <v>42278</v>
      </c>
      <c r="D171" s="132" t="s">
        <v>31</v>
      </c>
      <c r="E171" s="133" t="s">
        <v>35</v>
      </c>
      <c r="F171" s="132" t="s">
        <v>11</v>
      </c>
      <c r="G171" s="133" t="str">
        <f t="shared" si="4"/>
        <v>General Service Small</v>
      </c>
      <c r="H171" s="134" t="s">
        <v>62</v>
      </c>
      <c r="I171" s="173" t="str">
        <f>TEXT(   (SUMPRODUCT( ((Main!$H$9:$H$1000)=$E171)*((Main!$J$9:$J$1000)=$F171)*((Main!$O$9:$O$1000)=$C171)*(Main!R$9:R$1000) ) +  ( SUMPRODUCT( ((Adders!$D$13:$D$101)=$E171)*((Adders!$E$13:$E$101)=$F171)*(Adders!G$13:G$101)) + VLOOKUP($H171,Adders!$B$5:$G$8,L$11,FALSE)  +  NJ!$D$2 ) * IF($D171="NJ",1.07,1))/$L$10, CHOOSE($M$10,$L$9,$M$9) )</f>
        <v xml:space="preserve"> 94.22 </v>
      </c>
      <c r="J171" s="173" t="str">
        <f>TEXT(   (SUMPRODUCT( ((Main!$H$9:$H$1000)=$E171)*((Main!$J$9:$J$1000)=$F171)*((Main!$O$9:$O$1000)=$C171)*(Main!S$9:S$1000) ) +  ( SUMPRODUCT( ((Adders!$D$13:$D$101)=$E171)*((Adders!$E$13:$E$101)=$F171)*(Adders!H$13:H$101)) + VLOOKUP($H171,Adders!$B$5:$G$8,M$11,FALSE)  +  NJ!$D$2 ) * IF($D171="NJ",1.07,1))/$L$10, CHOOSE($M$10,$L$9,$M$9) )</f>
        <v xml:space="preserve"> 94.15 </v>
      </c>
      <c r="K171" s="174" t="str">
        <f>TEXT(   (SUMPRODUCT( ((Main!$H$9:$H$1000)=$E171)*((Main!$J$9:$J$1000)=$F171)*((Main!$O$9:$O$1000)=$C171)*(Main!T$9:T$1000) ) +  ( SUMPRODUCT( ((Adders!$D$13:$D$101)=$E171)*((Adders!$E$13:$E$101)=$F171)*(Adders!I$13:I$101)) + VLOOKUP($H171,Adders!$B$5:$G$8,N$11,FALSE)  +  NJ!$D$2 ) * IF($D171="NJ",1.07,1))/$L$10, CHOOSE($M$10,$L$9,$M$9) )</f>
        <v xml:space="preserve"> 93.61 </v>
      </c>
      <c r="L171" s="173" t="str">
        <f>TEXT(   (SUMPRODUCT( ((LMPMain!$H$9:$H$1000)=$E171)*((LMPMain!$J$9:$J$1000)=$F171)*((LMPMain!$O$9:$O$1000)=$C171)*(LMPMain!R$9:R$1000) ) +  ( SUMPRODUCT( ((Adders!$D$13:$D$101)=$E171)*((Adders!$E$13:$E$101)=$F171)*(Adders!G$13:G$101)) + VLOOKUP($H171,Adders!$B$5:$G$8,L$11,FALSE)  +  NJ!$D$2 ) * IF($D171="NJ",1.07,1))/$L$10, CHOOSE($M$10,$L$9,$M$9) )</f>
        <v xml:space="preserve"> 50.78 </v>
      </c>
      <c r="M171" s="173" t="str">
        <f>TEXT(   (SUMPRODUCT( ((LMPMain!$H$9:$H$1000)=$E171)*((LMPMain!$J$9:$J$1000)=$F171)*((LMPMain!$O$9:$O$1000)=$C171)*(LMPMain!S$9:S$1000) ) +  ( SUMPRODUCT( ((Adders!$D$13:$D$101)=$E171)*((Adders!$E$13:$E$101)=$F171)*(Adders!H$13:H$101)) + VLOOKUP($H171,Adders!$B$5:$G$8,M$11,FALSE)  +  NJ!$D$2 ) * IF($D171="NJ",1.07,1))/$L$10, CHOOSE($M$10,$L$9,$M$9) )</f>
        <v xml:space="preserve"> 49.95 </v>
      </c>
      <c r="N171" s="174" t="str">
        <f>TEXT(   (SUMPRODUCT( ((LMPMain!$H$9:$H$1000)=$E171)*((LMPMain!$J$9:$J$1000)=$F171)*((LMPMain!$O$9:$O$1000)=$C171)*(LMPMain!T$9:T$1000) ) +  ( SUMPRODUCT( ((Adders!$D$13:$D$101)=$E171)*((Adders!$E$13:$E$101)=$F171)*(Adders!I$13:I$101)) + VLOOKUP($H171,Adders!$B$5:$G$8,N$11,FALSE)  +  NJ!$D$2 ) * IF($D171="NJ",1.07,1))/$L$10, CHOOSE($M$10,$L$9,$M$9) )</f>
        <v xml:space="preserve"> 49.84 </v>
      </c>
      <c r="O171" s="112"/>
    </row>
    <row r="172" spans="2:15" x14ac:dyDescent="0.25">
      <c r="B172" s="108"/>
      <c r="C172" s="135">
        <f t="shared" si="3"/>
        <v>42278</v>
      </c>
      <c r="D172" s="136" t="s">
        <v>31</v>
      </c>
      <c r="E172" s="137" t="s">
        <v>35</v>
      </c>
      <c r="F172" s="136" t="s">
        <v>11</v>
      </c>
      <c r="G172" s="137" t="str">
        <f t="shared" si="4"/>
        <v>General Service Small</v>
      </c>
      <c r="H172" s="138" t="s">
        <v>690</v>
      </c>
      <c r="I172" s="176" t="str">
        <f>TEXT(   (SUMPRODUCT( ((Main!$H$9:$H$1000)=$E172)*((Main!$J$9:$J$1000)=$F172)*((Main!$O$9:$O$1000)=$C172)*(Main!R$9:R$1000) ) +  ( SUMPRODUCT( ((Adders!$D$13:$D$101)=$E172)*((Adders!$E$13:$E$101)=$F172)*(Adders!G$13:G$101)) + VLOOKUP($H172,Adders!$B$5:$G$8,L$11,FALSE)  +  NJ!$D$2 ) * IF($D172="NJ",1.07,1))/$L$10, CHOOSE($M$10,$L$9,$M$9) )</f>
        <v xml:space="preserve"> 93.10 </v>
      </c>
      <c r="J172" s="176" t="str">
        <f>TEXT(   (SUMPRODUCT( ((Main!$H$9:$H$1000)=$E172)*((Main!$J$9:$J$1000)=$F172)*((Main!$O$9:$O$1000)=$C172)*(Main!S$9:S$1000) ) +  ( SUMPRODUCT( ((Adders!$D$13:$D$101)=$E172)*((Adders!$E$13:$E$101)=$F172)*(Adders!H$13:H$101)) + VLOOKUP($H172,Adders!$B$5:$G$8,M$11,FALSE)  +  NJ!$D$2 ) * IF($D172="NJ",1.07,1))/$L$10, CHOOSE($M$10,$L$9,$M$9) )</f>
        <v xml:space="preserve"> 93.03 </v>
      </c>
      <c r="K172" s="177" t="str">
        <f>TEXT(   (SUMPRODUCT( ((Main!$H$9:$H$1000)=$E172)*((Main!$J$9:$J$1000)=$F172)*((Main!$O$9:$O$1000)=$C172)*(Main!T$9:T$1000) ) +  ( SUMPRODUCT( ((Adders!$D$13:$D$101)=$E172)*((Adders!$E$13:$E$101)=$F172)*(Adders!I$13:I$101)) + VLOOKUP($H172,Adders!$B$5:$G$8,N$11,FALSE)  +  NJ!$D$2 ) * IF($D172="NJ",1.07,1))/$L$10, CHOOSE($M$10,$L$9,$M$9) )</f>
        <v xml:space="preserve"> 92.49 </v>
      </c>
      <c r="L172" s="176" t="str">
        <f>TEXT(   (SUMPRODUCT( ((LMPMain!$H$9:$H$1000)=$E172)*((LMPMain!$J$9:$J$1000)=$F172)*((LMPMain!$O$9:$O$1000)=$C172)*(LMPMain!R$9:R$1000) ) +  ( SUMPRODUCT( ((Adders!$D$13:$D$101)=$E172)*((Adders!$E$13:$E$101)=$F172)*(Adders!G$13:G$101)) + VLOOKUP($H172,Adders!$B$5:$G$8,L$11,FALSE)  +  NJ!$D$2 ) * IF($D172="NJ",1.07,1))/$L$10, CHOOSE($M$10,$L$9,$M$9) )</f>
        <v xml:space="preserve"> 49.66 </v>
      </c>
      <c r="M172" s="176" t="str">
        <f>TEXT(   (SUMPRODUCT( ((LMPMain!$H$9:$H$1000)=$E172)*((LMPMain!$J$9:$J$1000)=$F172)*((LMPMain!$O$9:$O$1000)=$C172)*(LMPMain!S$9:S$1000) ) +  ( SUMPRODUCT( ((Adders!$D$13:$D$101)=$E172)*((Adders!$E$13:$E$101)=$F172)*(Adders!H$13:H$101)) + VLOOKUP($H172,Adders!$B$5:$G$8,M$11,FALSE)  +  NJ!$D$2 ) * IF($D172="NJ",1.07,1))/$L$10, CHOOSE($M$10,$L$9,$M$9) )</f>
        <v xml:space="preserve"> 48.83 </v>
      </c>
      <c r="N172" s="177" t="str">
        <f>TEXT(   (SUMPRODUCT( ((LMPMain!$H$9:$H$1000)=$E172)*((LMPMain!$J$9:$J$1000)=$F172)*((LMPMain!$O$9:$O$1000)=$C172)*(LMPMain!T$9:T$1000) ) +  ( SUMPRODUCT( ((Adders!$D$13:$D$101)=$E172)*((Adders!$E$13:$E$101)=$F172)*(Adders!I$13:I$101)) + VLOOKUP($H172,Adders!$B$5:$G$8,N$11,FALSE)  +  NJ!$D$2 ) * IF($D172="NJ",1.07,1))/$L$10, CHOOSE($M$10,$L$9,$M$9) )</f>
        <v xml:space="preserve"> 48.72 </v>
      </c>
      <c r="O172" s="112"/>
    </row>
    <row r="173" spans="2:15" x14ac:dyDescent="0.25">
      <c r="B173" s="108"/>
      <c r="C173" s="127">
        <f t="shared" si="3"/>
        <v>42309</v>
      </c>
      <c r="D173" s="128" t="s">
        <v>31</v>
      </c>
      <c r="E173" s="129" t="s">
        <v>35</v>
      </c>
      <c r="F173" s="128" t="s">
        <v>11</v>
      </c>
      <c r="G173" s="129" t="str">
        <f t="shared" si="4"/>
        <v>General Service Small</v>
      </c>
      <c r="H173" s="130" t="s">
        <v>61</v>
      </c>
      <c r="I173" s="178" t="str">
        <f>TEXT(   (SUMPRODUCT( ((Main!$H$9:$H$1000)=$E173)*((Main!$J$9:$J$1000)=$F173)*((Main!$O$9:$O$1000)=$C173)*(Main!R$9:R$1000) ) +  ( SUMPRODUCT( ((Adders!$D$13:$D$101)=$E173)*((Adders!$E$13:$E$101)=$F173)*(Adders!G$13:G$101)) + VLOOKUP($H173,Adders!$B$5:$G$8,L$11,FALSE)  +  NJ!$D$2 ) * IF($D173="NJ",1.07,1))/$L$10, CHOOSE($M$10,$L$9,$M$9) )</f>
        <v xml:space="preserve"> 95.66 </v>
      </c>
      <c r="J173" s="178" t="str">
        <f>TEXT(   (SUMPRODUCT( ((Main!$H$9:$H$1000)=$E173)*((Main!$J$9:$J$1000)=$F173)*((Main!$O$9:$O$1000)=$C173)*(Main!S$9:S$1000) ) +  ( SUMPRODUCT( ((Adders!$D$13:$D$101)=$E173)*((Adders!$E$13:$E$101)=$F173)*(Adders!H$13:H$101)) + VLOOKUP($H173,Adders!$B$5:$G$8,M$11,FALSE)  +  NJ!$D$2 ) * IF($D173="NJ",1.07,1))/$L$10, CHOOSE($M$10,$L$9,$M$9) )</f>
        <v xml:space="preserve"> 95.73 </v>
      </c>
      <c r="K173" s="179" t="str">
        <f>TEXT(   (SUMPRODUCT( ((Main!$H$9:$H$1000)=$E173)*((Main!$J$9:$J$1000)=$F173)*((Main!$O$9:$O$1000)=$C173)*(Main!T$9:T$1000) ) +  ( SUMPRODUCT( ((Adders!$D$13:$D$101)=$E173)*((Adders!$E$13:$E$101)=$F173)*(Adders!I$13:I$101)) + VLOOKUP($H173,Adders!$B$5:$G$8,N$11,FALSE)  +  NJ!$D$2 ) * IF($D173="NJ",1.07,1))/$L$10, CHOOSE($M$10,$L$9,$M$9) )</f>
        <v xml:space="preserve"> 95.28 </v>
      </c>
      <c r="L173" s="178" t="str">
        <f>TEXT(   (SUMPRODUCT( ((LMPMain!$H$9:$H$1000)=$E173)*((LMPMain!$J$9:$J$1000)=$F173)*((LMPMain!$O$9:$O$1000)=$C173)*(LMPMain!R$9:R$1000) ) +  ( SUMPRODUCT( ((Adders!$D$13:$D$101)=$E173)*((Adders!$E$13:$E$101)=$F173)*(Adders!G$13:G$101)) + VLOOKUP($H173,Adders!$B$5:$G$8,L$11,FALSE)  +  NJ!$D$2 ) * IF($D173="NJ",1.07,1))/$L$10, CHOOSE($M$10,$L$9,$M$9) )</f>
        <v xml:space="preserve"> 52.20 </v>
      </c>
      <c r="M173" s="178" t="str">
        <f>TEXT(   (SUMPRODUCT( ((LMPMain!$H$9:$H$1000)=$E173)*((LMPMain!$J$9:$J$1000)=$F173)*((LMPMain!$O$9:$O$1000)=$C173)*(LMPMain!S$9:S$1000) ) +  ( SUMPRODUCT( ((Adders!$D$13:$D$101)=$E173)*((Adders!$E$13:$E$101)=$F173)*(Adders!H$13:H$101)) + VLOOKUP($H173,Adders!$B$5:$G$8,M$11,FALSE)  +  NJ!$D$2 ) * IF($D173="NJ",1.07,1))/$L$10, CHOOSE($M$10,$L$9,$M$9) )</f>
        <v xml:space="preserve"> 51.56 </v>
      </c>
      <c r="N173" s="179" t="str">
        <f>TEXT(   (SUMPRODUCT( ((LMPMain!$H$9:$H$1000)=$E173)*((LMPMain!$J$9:$J$1000)=$F173)*((LMPMain!$O$9:$O$1000)=$C173)*(LMPMain!T$9:T$1000) ) +  ( SUMPRODUCT( ((Adders!$D$13:$D$101)=$E173)*((Adders!$E$13:$E$101)=$F173)*(Adders!I$13:I$101)) + VLOOKUP($H173,Adders!$B$5:$G$8,N$11,FALSE)  +  NJ!$D$2 ) * IF($D173="NJ",1.07,1))/$L$10, CHOOSE($M$10,$L$9,$M$9) )</f>
        <v xml:space="preserve"> 51.58 </v>
      </c>
      <c r="O173" s="112"/>
    </row>
    <row r="174" spans="2:15" x14ac:dyDescent="0.25">
      <c r="B174" s="108"/>
      <c r="C174" s="131">
        <f t="shared" si="3"/>
        <v>42309</v>
      </c>
      <c r="D174" s="132" t="s">
        <v>31</v>
      </c>
      <c r="E174" s="133" t="s">
        <v>35</v>
      </c>
      <c r="F174" s="132" t="s">
        <v>11</v>
      </c>
      <c r="G174" s="133" t="str">
        <f t="shared" si="4"/>
        <v>General Service Small</v>
      </c>
      <c r="H174" s="134" t="s">
        <v>62</v>
      </c>
      <c r="I174" s="173" t="str">
        <f>TEXT(   (SUMPRODUCT( ((Main!$H$9:$H$1000)=$E174)*((Main!$J$9:$J$1000)=$F174)*((Main!$O$9:$O$1000)=$C174)*(Main!R$9:R$1000) ) +  ( SUMPRODUCT( ((Adders!$D$13:$D$101)=$E174)*((Adders!$E$13:$E$101)=$F174)*(Adders!G$13:G$101)) + VLOOKUP($H174,Adders!$B$5:$G$8,L$11,FALSE)  +  NJ!$D$2 ) * IF($D174="NJ",1.07,1))/$L$10, CHOOSE($M$10,$L$9,$M$9) )</f>
        <v xml:space="preserve"> 93.95 </v>
      </c>
      <c r="J174" s="173" t="str">
        <f>TEXT(   (SUMPRODUCT( ((Main!$H$9:$H$1000)=$E174)*((Main!$J$9:$J$1000)=$F174)*((Main!$O$9:$O$1000)=$C174)*(Main!S$9:S$1000) ) +  ( SUMPRODUCT( ((Adders!$D$13:$D$101)=$E174)*((Adders!$E$13:$E$101)=$F174)*(Adders!H$13:H$101)) + VLOOKUP($H174,Adders!$B$5:$G$8,M$11,FALSE)  +  NJ!$D$2 ) * IF($D174="NJ",1.07,1))/$L$10, CHOOSE($M$10,$L$9,$M$9) )</f>
        <v xml:space="preserve"> 94.02 </v>
      </c>
      <c r="K174" s="174" t="str">
        <f>TEXT(   (SUMPRODUCT( ((Main!$H$9:$H$1000)=$E174)*((Main!$J$9:$J$1000)=$F174)*((Main!$O$9:$O$1000)=$C174)*(Main!T$9:T$1000) ) +  ( SUMPRODUCT( ((Adders!$D$13:$D$101)=$E174)*((Adders!$E$13:$E$101)=$F174)*(Adders!I$13:I$101)) + VLOOKUP($H174,Adders!$B$5:$G$8,N$11,FALSE)  +  NJ!$D$2 ) * IF($D174="NJ",1.07,1))/$L$10, CHOOSE($M$10,$L$9,$M$9) )</f>
        <v xml:space="preserve"> 93.57 </v>
      </c>
      <c r="L174" s="173" t="str">
        <f>TEXT(   (SUMPRODUCT( ((LMPMain!$H$9:$H$1000)=$E174)*((LMPMain!$J$9:$J$1000)=$F174)*((LMPMain!$O$9:$O$1000)=$C174)*(LMPMain!R$9:R$1000) ) +  ( SUMPRODUCT( ((Adders!$D$13:$D$101)=$E174)*((Adders!$E$13:$E$101)=$F174)*(Adders!G$13:G$101)) + VLOOKUP($H174,Adders!$B$5:$G$8,L$11,FALSE)  +  NJ!$D$2 ) * IF($D174="NJ",1.07,1))/$L$10, CHOOSE($M$10,$L$9,$M$9) )</f>
        <v xml:space="preserve"> 50.49 </v>
      </c>
      <c r="M174" s="173" t="str">
        <f>TEXT(   (SUMPRODUCT( ((LMPMain!$H$9:$H$1000)=$E174)*((LMPMain!$J$9:$J$1000)=$F174)*((LMPMain!$O$9:$O$1000)=$C174)*(LMPMain!S$9:S$1000) ) +  ( SUMPRODUCT( ((Adders!$D$13:$D$101)=$E174)*((Adders!$E$13:$E$101)=$F174)*(Adders!H$13:H$101)) + VLOOKUP($H174,Adders!$B$5:$G$8,M$11,FALSE)  +  NJ!$D$2 ) * IF($D174="NJ",1.07,1))/$L$10, CHOOSE($M$10,$L$9,$M$9) )</f>
        <v xml:space="preserve"> 49.85 </v>
      </c>
      <c r="N174" s="174" t="str">
        <f>TEXT(   (SUMPRODUCT( ((LMPMain!$H$9:$H$1000)=$E174)*((LMPMain!$J$9:$J$1000)=$F174)*((LMPMain!$O$9:$O$1000)=$C174)*(LMPMain!T$9:T$1000) ) +  ( SUMPRODUCT( ((Adders!$D$13:$D$101)=$E174)*((Adders!$E$13:$E$101)=$F174)*(Adders!I$13:I$101)) + VLOOKUP($H174,Adders!$B$5:$G$8,N$11,FALSE)  +  NJ!$D$2 ) * IF($D174="NJ",1.07,1))/$L$10, CHOOSE($M$10,$L$9,$M$9) )</f>
        <v xml:space="preserve"> 49.87 </v>
      </c>
      <c r="O174" s="112"/>
    </row>
    <row r="175" spans="2:15" x14ac:dyDescent="0.25">
      <c r="B175" s="108"/>
      <c r="C175" s="135">
        <f t="shared" si="3"/>
        <v>42309</v>
      </c>
      <c r="D175" s="136" t="s">
        <v>31</v>
      </c>
      <c r="E175" s="137" t="s">
        <v>35</v>
      </c>
      <c r="F175" s="136" t="s">
        <v>11</v>
      </c>
      <c r="G175" s="137" t="str">
        <f t="shared" si="4"/>
        <v>General Service Small</v>
      </c>
      <c r="H175" s="138" t="s">
        <v>690</v>
      </c>
      <c r="I175" s="176" t="str">
        <f>TEXT(   (SUMPRODUCT( ((Main!$H$9:$H$1000)=$E175)*((Main!$J$9:$J$1000)=$F175)*((Main!$O$9:$O$1000)=$C175)*(Main!R$9:R$1000) ) +  ( SUMPRODUCT( ((Adders!$D$13:$D$101)=$E175)*((Adders!$E$13:$E$101)=$F175)*(Adders!G$13:G$101)) + VLOOKUP($H175,Adders!$B$5:$G$8,L$11,FALSE)  +  NJ!$D$2 ) * IF($D175="NJ",1.07,1))/$L$10, CHOOSE($M$10,$L$9,$M$9) )</f>
        <v xml:space="preserve"> 92.83 </v>
      </c>
      <c r="J175" s="176" t="str">
        <f>TEXT(   (SUMPRODUCT( ((Main!$H$9:$H$1000)=$E175)*((Main!$J$9:$J$1000)=$F175)*((Main!$O$9:$O$1000)=$C175)*(Main!S$9:S$1000) ) +  ( SUMPRODUCT( ((Adders!$D$13:$D$101)=$E175)*((Adders!$E$13:$E$101)=$F175)*(Adders!H$13:H$101)) + VLOOKUP($H175,Adders!$B$5:$G$8,M$11,FALSE)  +  NJ!$D$2 ) * IF($D175="NJ",1.07,1))/$L$10, CHOOSE($M$10,$L$9,$M$9) )</f>
        <v xml:space="preserve"> 92.90 </v>
      </c>
      <c r="K175" s="177" t="str">
        <f>TEXT(   (SUMPRODUCT( ((Main!$H$9:$H$1000)=$E175)*((Main!$J$9:$J$1000)=$F175)*((Main!$O$9:$O$1000)=$C175)*(Main!T$9:T$1000) ) +  ( SUMPRODUCT( ((Adders!$D$13:$D$101)=$E175)*((Adders!$E$13:$E$101)=$F175)*(Adders!I$13:I$101)) + VLOOKUP($H175,Adders!$B$5:$G$8,N$11,FALSE)  +  NJ!$D$2 ) * IF($D175="NJ",1.07,1))/$L$10, CHOOSE($M$10,$L$9,$M$9) )</f>
        <v xml:space="preserve"> 92.45 </v>
      </c>
      <c r="L175" s="176" t="str">
        <f>TEXT(   (SUMPRODUCT( ((LMPMain!$H$9:$H$1000)=$E175)*((LMPMain!$J$9:$J$1000)=$F175)*((LMPMain!$O$9:$O$1000)=$C175)*(LMPMain!R$9:R$1000) ) +  ( SUMPRODUCT( ((Adders!$D$13:$D$101)=$E175)*((Adders!$E$13:$E$101)=$F175)*(Adders!G$13:G$101)) + VLOOKUP($H175,Adders!$B$5:$G$8,L$11,FALSE)  +  NJ!$D$2 ) * IF($D175="NJ",1.07,1))/$L$10, CHOOSE($M$10,$L$9,$M$9) )</f>
        <v xml:space="preserve"> 49.36 </v>
      </c>
      <c r="M175" s="176" t="str">
        <f>TEXT(   (SUMPRODUCT( ((LMPMain!$H$9:$H$1000)=$E175)*((LMPMain!$J$9:$J$1000)=$F175)*((LMPMain!$O$9:$O$1000)=$C175)*(LMPMain!S$9:S$1000) ) +  ( SUMPRODUCT( ((Adders!$D$13:$D$101)=$E175)*((Adders!$E$13:$E$101)=$F175)*(Adders!H$13:H$101)) + VLOOKUP($H175,Adders!$B$5:$G$8,M$11,FALSE)  +  NJ!$D$2 ) * IF($D175="NJ",1.07,1))/$L$10, CHOOSE($M$10,$L$9,$M$9) )</f>
        <v xml:space="preserve"> 48.73 </v>
      </c>
      <c r="N175" s="177" t="str">
        <f>TEXT(   (SUMPRODUCT( ((LMPMain!$H$9:$H$1000)=$E175)*((LMPMain!$J$9:$J$1000)=$F175)*((LMPMain!$O$9:$O$1000)=$C175)*(LMPMain!T$9:T$1000) ) +  ( SUMPRODUCT( ((Adders!$D$13:$D$101)=$E175)*((Adders!$E$13:$E$101)=$F175)*(Adders!I$13:I$101)) + VLOOKUP($H175,Adders!$B$5:$G$8,N$11,FALSE)  +  NJ!$D$2 ) * IF($D175="NJ",1.07,1))/$L$10, CHOOSE($M$10,$L$9,$M$9) )</f>
        <v xml:space="preserve"> 48.75 </v>
      </c>
      <c r="O175" s="112"/>
    </row>
    <row r="176" spans="2:15" x14ac:dyDescent="0.25">
      <c r="B176" s="108"/>
      <c r="C176" s="127">
        <f t="shared" si="3"/>
        <v>42339</v>
      </c>
      <c r="D176" s="128" t="s">
        <v>31</v>
      </c>
      <c r="E176" s="129" t="s">
        <v>35</v>
      </c>
      <c r="F176" s="128" t="s">
        <v>11</v>
      </c>
      <c r="G176" s="129" t="str">
        <f t="shared" si="4"/>
        <v>General Service Small</v>
      </c>
      <c r="H176" s="130" t="s">
        <v>61</v>
      </c>
      <c r="I176" s="178" t="str">
        <f>TEXT(   (SUMPRODUCT( ((Main!$H$9:$H$1000)=$E176)*((Main!$J$9:$J$1000)=$F176)*((Main!$O$9:$O$1000)=$C176)*(Main!R$9:R$1000) ) +  ( SUMPRODUCT( ((Adders!$D$13:$D$101)=$E176)*((Adders!$E$13:$E$101)=$F176)*(Adders!G$13:G$101)) + VLOOKUP($H176,Adders!$B$5:$G$8,L$11,FALSE)  +  NJ!$D$2 ) * IF($D176="NJ",1.07,1))/$L$10, CHOOSE($M$10,$L$9,$M$9) )</f>
        <v xml:space="preserve"> 95.47 </v>
      </c>
      <c r="J176" s="178" t="str">
        <f>TEXT(   (SUMPRODUCT( ((Main!$H$9:$H$1000)=$E176)*((Main!$J$9:$J$1000)=$F176)*((Main!$O$9:$O$1000)=$C176)*(Main!S$9:S$1000) ) +  ( SUMPRODUCT( ((Adders!$D$13:$D$101)=$E176)*((Adders!$E$13:$E$101)=$F176)*(Adders!H$13:H$101)) + VLOOKUP($H176,Adders!$B$5:$G$8,M$11,FALSE)  +  NJ!$D$2 ) * IF($D176="NJ",1.07,1))/$L$10, CHOOSE($M$10,$L$9,$M$9) )</f>
        <v xml:space="preserve"> 95.64 </v>
      </c>
      <c r="K176" s="179" t="str">
        <f>TEXT(   (SUMPRODUCT( ((Main!$H$9:$H$1000)=$E176)*((Main!$J$9:$J$1000)=$F176)*((Main!$O$9:$O$1000)=$C176)*(Main!T$9:T$1000) ) +  ( SUMPRODUCT( ((Adders!$D$13:$D$101)=$E176)*((Adders!$E$13:$E$101)=$F176)*(Adders!I$13:I$101)) + VLOOKUP($H176,Adders!$B$5:$G$8,N$11,FALSE)  +  NJ!$D$2 ) * IF($D176="NJ",1.07,1))/$L$10, CHOOSE($M$10,$L$9,$M$9) )</f>
        <v xml:space="preserve"> 95.26 </v>
      </c>
      <c r="L176" s="178" t="str">
        <f>TEXT(   (SUMPRODUCT( ((LMPMain!$H$9:$H$1000)=$E176)*((LMPMain!$J$9:$J$1000)=$F176)*((LMPMain!$O$9:$O$1000)=$C176)*(LMPMain!R$9:R$1000) ) +  ( SUMPRODUCT( ((Adders!$D$13:$D$101)=$E176)*((Adders!$E$13:$E$101)=$F176)*(Adders!G$13:G$101)) + VLOOKUP($H176,Adders!$B$5:$G$8,L$11,FALSE)  +  NJ!$D$2 ) * IF($D176="NJ",1.07,1))/$L$10, CHOOSE($M$10,$L$9,$M$9) )</f>
        <v xml:space="preserve"> 51.87 </v>
      </c>
      <c r="M176" s="178" t="str">
        <f>TEXT(   (SUMPRODUCT( ((LMPMain!$H$9:$H$1000)=$E176)*((LMPMain!$J$9:$J$1000)=$F176)*((LMPMain!$O$9:$O$1000)=$C176)*(LMPMain!S$9:S$1000) ) +  ( SUMPRODUCT( ((Adders!$D$13:$D$101)=$E176)*((Adders!$E$13:$E$101)=$F176)*(Adders!H$13:H$101)) + VLOOKUP($H176,Adders!$B$5:$G$8,M$11,FALSE)  +  NJ!$D$2 ) * IF($D176="NJ",1.07,1))/$L$10, CHOOSE($M$10,$L$9,$M$9) )</f>
        <v xml:space="preserve"> 51.27 </v>
      </c>
      <c r="N176" s="179" t="str">
        <f>TEXT(   (SUMPRODUCT( ((LMPMain!$H$9:$H$1000)=$E176)*((LMPMain!$J$9:$J$1000)=$F176)*((LMPMain!$O$9:$O$1000)=$C176)*(LMPMain!T$9:T$1000) ) +  ( SUMPRODUCT( ((Adders!$D$13:$D$101)=$E176)*((Adders!$E$13:$E$101)=$F176)*(Adders!I$13:I$101)) + VLOOKUP($H176,Adders!$B$5:$G$8,N$11,FALSE)  +  NJ!$D$2 ) * IF($D176="NJ",1.07,1))/$L$10, CHOOSE($M$10,$L$9,$M$9) )</f>
        <v xml:space="preserve"> 51.45 </v>
      </c>
      <c r="O176" s="112"/>
    </row>
    <row r="177" spans="2:15" x14ac:dyDescent="0.25">
      <c r="B177" s="108"/>
      <c r="C177" s="131">
        <f t="shared" si="3"/>
        <v>42339</v>
      </c>
      <c r="D177" s="132" t="s">
        <v>31</v>
      </c>
      <c r="E177" s="133" t="s">
        <v>35</v>
      </c>
      <c r="F177" s="132" t="s">
        <v>11</v>
      </c>
      <c r="G177" s="133" t="str">
        <f t="shared" si="4"/>
        <v>General Service Small</v>
      </c>
      <c r="H177" s="134" t="s">
        <v>62</v>
      </c>
      <c r="I177" s="173" t="str">
        <f>TEXT(   (SUMPRODUCT( ((Main!$H$9:$H$1000)=$E177)*((Main!$J$9:$J$1000)=$F177)*((Main!$O$9:$O$1000)=$C177)*(Main!R$9:R$1000) ) +  ( SUMPRODUCT( ((Adders!$D$13:$D$101)=$E177)*((Adders!$E$13:$E$101)=$F177)*(Adders!G$13:G$101)) + VLOOKUP($H177,Adders!$B$5:$G$8,L$11,FALSE)  +  NJ!$D$2 ) * IF($D177="NJ",1.07,1))/$L$10, CHOOSE($M$10,$L$9,$M$9) )</f>
        <v xml:space="preserve"> 93.76 </v>
      </c>
      <c r="J177" s="173" t="str">
        <f>TEXT(   (SUMPRODUCT( ((Main!$H$9:$H$1000)=$E177)*((Main!$J$9:$J$1000)=$F177)*((Main!$O$9:$O$1000)=$C177)*(Main!S$9:S$1000) ) +  ( SUMPRODUCT( ((Adders!$D$13:$D$101)=$E177)*((Adders!$E$13:$E$101)=$F177)*(Adders!H$13:H$101)) + VLOOKUP($H177,Adders!$B$5:$G$8,M$11,FALSE)  +  NJ!$D$2 ) * IF($D177="NJ",1.07,1))/$L$10, CHOOSE($M$10,$L$9,$M$9) )</f>
        <v xml:space="preserve"> 93.93 </v>
      </c>
      <c r="K177" s="174" t="str">
        <f>TEXT(   (SUMPRODUCT( ((Main!$H$9:$H$1000)=$E177)*((Main!$J$9:$J$1000)=$F177)*((Main!$O$9:$O$1000)=$C177)*(Main!T$9:T$1000) ) +  ( SUMPRODUCT( ((Adders!$D$13:$D$101)=$E177)*((Adders!$E$13:$E$101)=$F177)*(Adders!I$13:I$101)) + VLOOKUP($H177,Adders!$B$5:$G$8,N$11,FALSE)  +  NJ!$D$2 ) * IF($D177="NJ",1.07,1))/$L$10, CHOOSE($M$10,$L$9,$M$9) )</f>
        <v xml:space="preserve"> 93.55 </v>
      </c>
      <c r="L177" s="173" t="str">
        <f>TEXT(   (SUMPRODUCT( ((LMPMain!$H$9:$H$1000)=$E177)*((LMPMain!$J$9:$J$1000)=$F177)*((LMPMain!$O$9:$O$1000)=$C177)*(LMPMain!R$9:R$1000) ) +  ( SUMPRODUCT( ((Adders!$D$13:$D$101)=$E177)*((Adders!$E$13:$E$101)=$F177)*(Adders!G$13:G$101)) + VLOOKUP($H177,Adders!$B$5:$G$8,L$11,FALSE)  +  NJ!$D$2 ) * IF($D177="NJ",1.07,1))/$L$10, CHOOSE($M$10,$L$9,$M$9) )</f>
        <v xml:space="preserve"> 50.15 </v>
      </c>
      <c r="M177" s="173" t="str">
        <f>TEXT(   (SUMPRODUCT( ((LMPMain!$H$9:$H$1000)=$E177)*((LMPMain!$J$9:$J$1000)=$F177)*((LMPMain!$O$9:$O$1000)=$C177)*(LMPMain!S$9:S$1000) ) +  ( SUMPRODUCT( ((Adders!$D$13:$D$101)=$E177)*((Adders!$E$13:$E$101)=$F177)*(Adders!H$13:H$101)) + VLOOKUP($H177,Adders!$B$5:$G$8,M$11,FALSE)  +  NJ!$D$2 ) * IF($D177="NJ",1.07,1))/$L$10, CHOOSE($M$10,$L$9,$M$9) )</f>
        <v xml:space="preserve"> 49.56 </v>
      </c>
      <c r="N177" s="174" t="str">
        <f>TEXT(   (SUMPRODUCT( ((LMPMain!$H$9:$H$1000)=$E177)*((LMPMain!$J$9:$J$1000)=$F177)*((LMPMain!$O$9:$O$1000)=$C177)*(LMPMain!T$9:T$1000) ) +  ( SUMPRODUCT( ((Adders!$D$13:$D$101)=$E177)*((Adders!$E$13:$E$101)=$F177)*(Adders!I$13:I$101)) + VLOOKUP($H177,Adders!$B$5:$G$8,N$11,FALSE)  +  NJ!$D$2 ) * IF($D177="NJ",1.07,1))/$L$10, CHOOSE($M$10,$L$9,$M$9) )</f>
        <v xml:space="preserve"> 49.74 </v>
      </c>
      <c r="O177" s="112"/>
    </row>
    <row r="178" spans="2:15" x14ac:dyDescent="0.25">
      <c r="B178" s="108"/>
      <c r="C178" s="135">
        <f t="shared" si="3"/>
        <v>42339</v>
      </c>
      <c r="D178" s="136" t="s">
        <v>31</v>
      </c>
      <c r="E178" s="137" t="s">
        <v>35</v>
      </c>
      <c r="F178" s="136" t="s">
        <v>11</v>
      </c>
      <c r="G178" s="137" t="str">
        <f t="shared" si="4"/>
        <v>General Service Small</v>
      </c>
      <c r="H178" s="138" t="s">
        <v>690</v>
      </c>
      <c r="I178" s="176" t="str">
        <f>TEXT(   (SUMPRODUCT( ((Main!$H$9:$H$1000)=$E178)*((Main!$J$9:$J$1000)=$F178)*((Main!$O$9:$O$1000)=$C178)*(Main!R$9:R$1000) ) +  ( SUMPRODUCT( ((Adders!$D$13:$D$101)=$E178)*((Adders!$E$13:$E$101)=$F178)*(Adders!G$13:G$101)) + VLOOKUP($H178,Adders!$B$5:$G$8,L$11,FALSE)  +  NJ!$D$2 ) * IF($D178="NJ",1.07,1))/$L$10, CHOOSE($M$10,$L$9,$M$9) )</f>
        <v xml:space="preserve"> 92.64 </v>
      </c>
      <c r="J178" s="176" t="str">
        <f>TEXT(   (SUMPRODUCT( ((Main!$H$9:$H$1000)=$E178)*((Main!$J$9:$J$1000)=$F178)*((Main!$O$9:$O$1000)=$C178)*(Main!S$9:S$1000) ) +  ( SUMPRODUCT( ((Adders!$D$13:$D$101)=$E178)*((Adders!$E$13:$E$101)=$F178)*(Adders!H$13:H$101)) + VLOOKUP($H178,Adders!$B$5:$G$8,M$11,FALSE)  +  NJ!$D$2 ) * IF($D178="NJ",1.07,1))/$L$10, CHOOSE($M$10,$L$9,$M$9) )</f>
        <v xml:space="preserve"> 92.81 </v>
      </c>
      <c r="K178" s="177" t="str">
        <f>TEXT(   (SUMPRODUCT( ((Main!$H$9:$H$1000)=$E178)*((Main!$J$9:$J$1000)=$F178)*((Main!$O$9:$O$1000)=$C178)*(Main!T$9:T$1000) ) +  ( SUMPRODUCT( ((Adders!$D$13:$D$101)=$E178)*((Adders!$E$13:$E$101)=$F178)*(Adders!I$13:I$101)) + VLOOKUP($H178,Adders!$B$5:$G$8,N$11,FALSE)  +  NJ!$D$2 ) * IF($D178="NJ",1.07,1))/$L$10, CHOOSE($M$10,$L$9,$M$9) )</f>
        <v xml:space="preserve"> 92.43 </v>
      </c>
      <c r="L178" s="176" t="str">
        <f>TEXT(   (SUMPRODUCT( ((LMPMain!$H$9:$H$1000)=$E178)*((LMPMain!$J$9:$J$1000)=$F178)*((LMPMain!$O$9:$O$1000)=$C178)*(LMPMain!R$9:R$1000) ) +  ( SUMPRODUCT( ((Adders!$D$13:$D$101)=$E178)*((Adders!$E$13:$E$101)=$F178)*(Adders!G$13:G$101)) + VLOOKUP($H178,Adders!$B$5:$G$8,L$11,FALSE)  +  NJ!$D$2 ) * IF($D178="NJ",1.07,1))/$L$10, CHOOSE($M$10,$L$9,$M$9) )</f>
        <v xml:space="preserve"> 49.03 </v>
      </c>
      <c r="M178" s="176" t="str">
        <f>TEXT(   (SUMPRODUCT( ((LMPMain!$H$9:$H$1000)=$E178)*((LMPMain!$J$9:$J$1000)=$F178)*((LMPMain!$O$9:$O$1000)=$C178)*(LMPMain!S$9:S$1000) ) +  ( SUMPRODUCT( ((Adders!$D$13:$D$101)=$E178)*((Adders!$E$13:$E$101)=$F178)*(Adders!H$13:H$101)) + VLOOKUP($H178,Adders!$B$5:$G$8,M$11,FALSE)  +  NJ!$D$2 ) * IF($D178="NJ",1.07,1))/$L$10, CHOOSE($M$10,$L$9,$M$9) )</f>
        <v xml:space="preserve"> 48.44 </v>
      </c>
      <c r="N178" s="177" t="str">
        <f>TEXT(   (SUMPRODUCT( ((LMPMain!$H$9:$H$1000)=$E178)*((LMPMain!$J$9:$J$1000)=$F178)*((LMPMain!$O$9:$O$1000)=$C178)*(LMPMain!T$9:T$1000) ) +  ( SUMPRODUCT( ((Adders!$D$13:$D$101)=$E178)*((Adders!$E$13:$E$101)=$F178)*(Adders!I$13:I$101)) + VLOOKUP($H178,Adders!$B$5:$G$8,N$11,FALSE)  +  NJ!$D$2 ) * IF($D178="NJ",1.07,1))/$L$10, CHOOSE($M$10,$L$9,$M$9) )</f>
        <v xml:space="preserve"> 48.61 </v>
      </c>
      <c r="O178" s="112"/>
    </row>
    <row r="179" spans="2:15" x14ac:dyDescent="0.25">
      <c r="B179" s="108"/>
      <c r="C179" s="127">
        <f t="shared" ref="C179:C242" si="5">C143</f>
        <v>42370</v>
      </c>
      <c r="D179" s="128" t="s">
        <v>31</v>
      </c>
      <c r="E179" s="129" t="s">
        <v>35</v>
      </c>
      <c r="F179" s="128" t="s">
        <v>11</v>
      </c>
      <c r="G179" s="129" t="str">
        <f t="shared" ref="G179:G242" si="6">G178</f>
        <v>General Service Small</v>
      </c>
      <c r="H179" s="130" t="s">
        <v>61</v>
      </c>
      <c r="I179" s="178" t="str">
        <f>TEXT(   (SUMPRODUCT( ((Main!$H$9:$H$1000)=$E179)*((Main!$J$9:$J$1000)=$F179)*((Main!$O$9:$O$1000)=$C179)*(Main!R$9:R$1000) ) +  ( SUMPRODUCT( ((Adders!$D$13:$D$101)=$E179)*((Adders!$E$13:$E$101)=$F179)*(Adders!G$13:G$101)) + VLOOKUP($H179,Adders!$B$5:$G$8,L$11,FALSE)  +  NJ!$D$2 ) * IF($D179="NJ",1.07,1))/$L$10, CHOOSE($M$10,$L$9,$M$9) )</f>
        <v xml:space="preserve"> 95.05 </v>
      </c>
      <c r="J179" s="178" t="str">
        <f>TEXT(   (SUMPRODUCT( ((Main!$H$9:$H$1000)=$E179)*((Main!$J$9:$J$1000)=$F179)*((Main!$O$9:$O$1000)=$C179)*(Main!S$9:S$1000) ) +  ( SUMPRODUCT( ((Adders!$D$13:$D$101)=$E179)*((Adders!$E$13:$E$101)=$F179)*(Adders!H$13:H$101)) + VLOOKUP($H179,Adders!$B$5:$G$8,M$11,FALSE)  +  NJ!$D$2 ) * IF($D179="NJ",1.07,1))/$L$10, CHOOSE($M$10,$L$9,$M$9) )</f>
        <v xml:space="preserve"> 95.71 </v>
      </c>
      <c r="K179" s="179" t="str">
        <f>TEXT(   (SUMPRODUCT( ((Main!$H$9:$H$1000)=$E179)*((Main!$J$9:$J$1000)=$F179)*((Main!$O$9:$O$1000)=$C179)*(Main!T$9:T$1000) ) +  ( SUMPRODUCT( ((Adders!$D$13:$D$101)=$E179)*((Adders!$E$13:$E$101)=$F179)*(Adders!I$13:I$101)) + VLOOKUP($H179,Adders!$B$5:$G$8,N$11,FALSE)  +  NJ!$D$2 ) * IF($D179="NJ",1.07,1))/$L$10, CHOOSE($M$10,$L$9,$M$9) )</f>
        <v xml:space="preserve"> 95.11 </v>
      </c>
      <c r="L179" s="178" t="str">
        <f>TEXT(   (SUMPRODUCT( ((LMPMain!$H$9:$H$1000)=$E179)*((LMPMain!$J$9:$J$1000)=$F179)*((LMPMain!$O$9:$O$1000)=$C179)*(LMPMain!R$9:R$1000) ) +  ( SUMPRODUCT( ((Adders!$D$13:$D$101)=$E179)*((Adders!$E$13:$E$101)=$F179)*(Adders!G$13:G$101)) + VLOOKUP($H179,Adders!$B$5:$G$8,L$11,FALSE)  +  NJ!$D$2 ) * IF($D179="NJ",1.07,1))/$L$10, CHOOSE($M$10,$L$9,$M$9) )</f>
        <v xml:space="preserve"> 51.55 </v>
      </c>
      <c r="M179" s="178" t="str">
        <f>TEXT(   (SUMPRODUCT( ((LMPMain!$H$9:$H$1000)=$E179)*((LMPMain!$J$9:$J$1000)=$F179)*((LMPMain!$O$9:$O$1000)=$C179)*(LMPMain!S$9:S$1000) ) +  ( SUMPRODUCT( ((Adders!$D$13:$D$101)=$E179)*((Adders!$E$13:$E$101)=$F179)*(Adders!H$13:H$101)) + VLOOKUP($H179,Adders!$B$5:$G$8,M$11,FALSE)  +  NJ!$D$2 ) * IF($D179="NJ",1.07,1))/$L$10, CHOOSE($M$10,$L$9,$M$9) )</f>
        <v xml:space="preserve"> 51.25 </v>
      </c>
      <c r="N179" s="179" t="str">
        <f>TEXT(   (SUMPRODUCT( ((LMPMain!$H$9:$H$1000)=$E179)*((LMPMain!$J$9:$J$1000)=$F179)*((LMPMain!$O$9:$O$1000)=$C179)*(LMPMain!T$9:T$1000) ) +  ( SUMPRODUCT( ((Adders!$D$13:$D$101)=$E179)*((Adders!$E$13:$E$101)=$F179)*(Adders!I$13:I$101)) + VLOOKUP($H179,Adders!$B$5:$G$8,N$11,FALSE)  +  NJ!$D$2 ) * IF($D179="NJ",1.07,1))/$L$10, CHOOSE($M$10,$L$9,$M$9) )</f>
        <v xml:space="preserve"> 51.34 </v>
      </c>
      <c r="O179" s="112"/>
    </row>
    <row r="180" spans="2:15" x14ac:dyDescent="0.25">
      <c r="B180" s="108"/>
      <c r="C180" s="131">
        <f t="shared" si="5"/>
        <v>42370</v>
      </c>
      <c r="D180" s="132" t="s">
        <v>31</v>
      </c>
      <c r="E180" s="133" t="s">
        <v>35</v>
      </c>
      <c r="F180" s="132" t="s">
        <v>11</v>
      </c>
      <c r="G180" s="133" t="str">
        <f t="shared" si="6"/>
        <v>General Service Small</v>
      </c>
      <c r="H180" s="134" t="s">
        <v>62</v>
      </c>
      <c r="I180" s="173" t="str">
        <f>TEXT(   (SUMPRODUCT( ((Main!$H$9:$H$1000)=$E180)*((Main!$J$9:$J$1000)=$F180)*((Main!$O$9:$O$1000)=$C180)*(Main!R$9:R$1000) ) +  ( SUMPRODUCT( ((Adders!$D$13:$D$101)=$E180)*((Adders!$E$13:$E$101)=$F180)*(Adders!G$13:G$101)) + VLOOKUP($H180,Adders!$B$5:$G$8,L$11,FALSE)  +  NJ!$D$2 ) * IF($D180="NJ",1.07,1))/$L$10, CHOOSE($M$10,$L$9,$M$9) )</f>
        <v xml:space="preserve"> 93.34 </v>
      </c>
      <c r="J180" s="173" t="str">
        <f>TEXT(   (SUMPRODUCT( ((Main!$H$9:$H$1000)=$E180)*((Main!$J$9:$J$1000)=$F180)*((Main!$O$9:$O$1000)=$C180)*(Main!S$9:S$1000) ) +  ( SUMPRODUCT( ((Adders!$D$13:$D$101)=$E180)*((Adders!$E$13:$E$101)=$F180)*(Adders!H$13:H$101)) + VLOOKUP($H180,Adders!$B$5:$G$8,M$11,FALSE)  +  NJ!$D$2 ) * IF($D180="NJ",1.07,1))/$L$10, CHOOSE($M$10,$L$9,$M$9) )</f>
        <v xml:space="preserve"> 94.00 </v>
      </c>
      <c r="K180" s="174" t="str">
        <f>TEXT(   (SUMPRODUCT( ((Main!$H$9:$H$1000)=$E180)*((Main!$J$9:$J$1000)=$F180)*((Main!$O$9:$O$1000)=$C180)*(Main!T$9:T$1000) ) +  ( SUMPRODUCT( ((Adders!$D$13:$D$101)=$E180)*((Adders!$E$13:$E$101)=$F180)*(Adders!I$13:I$101)) + VLOOKUP($H180,Adders!$B$5:$G$8,N$11,FALSE)  +  NJ!$D$2 ) * IF($D180="NJ",1.07,1))/$L$10, CHOOSE($M$10,$L$9,$M$9) )</f>
        <v xml:space="preserve"> 93.40 </v>
      </c>
      <c r="L180" s="173" t="str">
        <f>TEXT(   (SUMPRODUCT( ((LMPMain!$H$9:$H$1000)=$E180)*((LMPMain!$J$9:$J$1000)=$F180)*((LMPMain!$O$9:$O$1000)=$C180)*(LMPMain!R$9:R$1000) ) +  ( SUMPRODUCT( ((Adders!$D$13:$D$101)=$E180)*((Adders!$E$13:$E$101)=$F180)*(Adders!G$13:G$101)) + VLOOKUP($H180,Adders!$B$5:$G$8,L$11,FALSE)  +  NJ!$D$2 ) * IF($D180="NJ",1.07,1))/$L$10, CHOOSE($M$10,$L$9,$M$9) )</f>
        <v xml:space="preserve"> 49.84 </v>
      </c>
      <c r="M180" s="173" t="str">
        <f>TEXT(   (SUMPRODUCT( ((LMPMain!$H$9:$H$1000)=$E180)*((LMPMain!$J$9:$J$1000)=$F180)*((LMPMain!$O$9:$O$1000)=$C180)*(LMPMain!S$9:S$1000) ) +  ( SUMPRODUCT( ((Adders!$D$13:$D$101)=$E180)*((Adders!$E$13:$E$101)=$F180)*(Adders!H$13:H$101)) + VLOOKUP($H180,Adders!$B$5:$G$8,M$11,FALSE)  +  NJ!$D$2 ) * IF($D180="NJ",1.07,1))/$L$10, CHOOSE($M$10,$L$9,$M$9) )</f>
        <v xml:space="preserve"> 49.54 </v>
      </c>
      <c r="N180" s="174" t="str">
        <f>TEXT(   (SUMPRODUCT( ((LMPMain!$H$9:$H$1000)=$E180)*((LMPMain!$J$9:$J$1000)=$F180)*((LMPMain!$O$9:$O$1000)=$C180)*(LMPMain!T$9:T$1000) ) +  ( SUMPRODUCT( ((Adders!$D$13:$D$101)=$E180)*((Adders!$E$13:$E$101)=$F180)*(Adders!I$13:I$101)) + VLOOKUP($H180,Adders!$B$5:$G$8,N$11,FALSE)  +  NJ!$D$2 ) * IF($D180="NJ",1.07,1))/$L$10, CHOOSE($M$10,$L$9,$M$9) )</f>
        <v xml:space="preserve"> 49.63 </v>
      </c>
      <c r="O180" s="112"/>
    </row>
    <row r="181" spans="2:15" x14ac:dyDescent="0.25">
      <c r="B181" s="108"/>
      <c r="C181" s="135">
        <f t="shared" si="5"/>
        <v>42370</v>
      </c>
      <c r="D181" s="136" t="s">
        <v>31</v>
      </c>
      <c r="E181" s="137" t="s">
        <v>35</v>
      </c>
      <c r="F181" s="136" t="s">
        <v>11</v>
      </c>
      <c r="G181" s="137" t="str">
        <f t="shared" si="6"/>
        <v>General Service Small</v>
      </c>
      <c r="H181" s="138" t="s">
        <v>690</v>
      </c>
      <c r="I181" s="176" t="str">
        <f>TEXT(   (SUMPRODUCT( ((Main!$H$9:$H$1000)=$E181)*((Main!$J$9:$J$1000)=$F181)*((Main!$O$9:$O$1000)=$C181)*(Main!R$9:R$1000) ) +  ( SUMPRODUCT( ((Adders!$D$13:$D$101)=$E181)*((Adders!$E$13:$E$101)=$F181)*(Adders!G$13:G$101)) + VLOOKUP($H181,Adders!$B$5:$G$8,L$11,FALSE)  +  NJ!$D$2 ) * IF($D181="NJ",1.07,1))/$L$10, CHOOSE($M$10,$L$9,$M$9) )</f>
        <v xml:space="preserve"> 92.22 </v>
      </c>
      <c r="J181" s="176" t="str">
        <f>TEXT(   (SUMPRODUCT( ((Main!$H$9:$H$1000)=$E181)*((Main!$J$9:$J$1000)=$F181)*((Main!$O$9:$O$1000)=$C181)*(Main!S$9:S$1000) ) +  ( SUMPRODUCT( ((Adders!$D$13:$D$101)=$E181)*((Adders!$E$13:$E$101)=$F181)*(Adders!H$13:H$101)) + VLOOKUP($H181,Adders!$B$5:$G$8,M$11,FALSE)  +  NJ!$D$2 ) * IF($D181="NJ",1.07,1))/$L$10, CHOOSE($M$10,$L$9,$M$9) )</f>
        <v xml:space="preserve"> 92.88 </v>
      </c>
      <c r="K181" s="177" t="str">
        <f>TEXT(   (SUMPRODUCT( ((Main!$H$9:$H$1000)=$E181)*((Main!$J$9:$J$1000)=$F181)*((Main!$O$9:$O$1000)=$C181)*(Main!T$9:T$1000) ) +  ( SUMPRODUCT( ((Adders!$D$13:$D$101)=$E181)*((Adders!$E$13:$E$101)=$F181)*(Adders!I$13:I$101)) + VLOOKUP($H181,Adders!$B$5:$G$8,N$11,FALSE)  +  NJ!$D$2 ) * IF($D181="NJ",1.07,1))/$L$10, CHOOSE($M$10,$L$9,$M$9) )</f>
        <v xml:space="preserve"> 92.28 </v>
      </c>
      <c r="L181" s="176" t="str">
        <f>TEXT(   (SUMPRODUCT( ((LMPMain!$H$9:$H$1000)=$E181)*((LMPMain!$J$9:$J$1000)=$F181)*((LMPMain!$O$9:$O$1000)=$C181)*(LMPMain!R$9:R$1000) ) +  ( SUMPRODUCT( ((Adders!$D$13:$D$101)=$E181)*((Adders!$E$13:$E$101)=$F181)*(Adders!G$13:G$101)) + VLOOKUP($H181,Adders!$B$5:$G$8,L$11,FALSE)  +  NJ!$D$2 ) * IF($D181="NJ",1.07,1))/$L$10, CHOOSE($M$10,$L$9,$M$9) )</f>
        <v xml:space="preserve"> 48.71 </v>
      </c>
      <c r="M181" s="176" t="str">
        <f>TEXT(   (SUMPRODUCT( ((LMPMain!$H$9:$H$1000)=$E181)*((LMPMain!$J$9:$J$1000)=$F181)*((LMPMain!$O$9:$O$1000)=$C181)*(LMPMain!S$9:S$1000) ) +  ( SUMPRODUCT( ((Adders!$D$13:$D$101)=$E181)*((Adders!$E$13:$E$101)=$F181)*(Adders!H$13:H$101)) + VLOOKUP($H181,Adders!$B$5:$G$8,M$11,FALSE)  +  NJ!$D$2 ) * IF($D181="NJ",1.07,1))/$L$10, CHOOSE($M$10,$L$9,$M$9) )</f>
        <v xml:space="preserve"> 48.42 </v>
      </c>
      <c r="N181" s="177" t="str">
        <f>TEXT(   (SUMPRODUCT( ((LMPMain!$H$9:$H$1000)=$E181)*((LMPMain!$J$9:$J$1000)=$F181)*((LMPMain!$O$9:$O$1000)=$C181)*(LMPMain!T$9:T$1000) ) +  ( SUMPRODUCT( ((Adders!$D$13:$D$101)=$E181)*((Adders!$E$13:$E$101)=$F181)*(Adders!I$13:I$101)) + VLOOKUP($H181,Adders!$B$5:$G$8,N$11,FALSE)  +  NJ!$D$2 ) * IF($D181="NJ",1.07,1))/$L$10, CHOOSE($M$10,$L$9,$M$9) )</f>
        <v xml:space="preserve"> 48.51 </v>
      </c>
      <c r="O181" s="112"/>
    </row>
    <row r="182" spans="2:15" x14ac:dyDescent="0.25">
      <c r="B182" s="108"/>
      <c r="C182" s="127">
        <f t="shared" si="5"/>
        <v>42401</v>
      </c>
      <c r="D182" s="128" t="s">
        <v>31</v>
      </c>
      <c r="E182" s="129" t="s">
        <v>35</v>
      </c>
      <c r="F182" s="128" t="s">
        <v>11</v>
      </c>
      <c r="G182" s="129" t="str">
        <f t="shared" si="6"/>
        <v>General Service Small</v>
      </c>
      <c r="H182" s="130" t="s">
        <v>61</v>
      </c>
      <c r="I182" s="178" t="str">
        <f>TEXT(   (SUMPRODUCT( ((Main!$H$9:$H$1000)=$E182)*((Main!$J$9:$J$1000)=$F182)*((Main!$O$9:$O$1000)=$C182)*(Main!R$9:R$1000) ) +  ( SUMPRODUCT( ((Adders!$D$13:$D$101)=$E182)*((Adders!$E$13:$E$101)=$F182)*(Adders!G$13:G$101)) + VLOOKUP($H182,Adders!$B$5:$G$8,L$11,FALSE)  +  NJ!$D$2 ) * IF($D182="NJ",1.07,1))/$L$10, CHOOSE($M$10,$L$9,$M$9) )</f>
        <v xml:space="preserve"> 94.87 </v>
      </c>
      <c r="J182" s="178" t="str">
        <f>TEXT(   (SUMPRODUCT( ((Main!$H$9:$H$1000)=$E182)*((Main!$J$9:$J$1000)=$F182)*((Main!$O$9:$O$1000)=$C182)*(Main!S$9:S$1000) ) +  ( SUMPRODUCT( ((Adders!$D$13:$D$101)=$E182)*((Adders!$E$13:$E$101)=$F182)*(Adders!H$13:H$101)) + VLOOKUP($H182,Adders!$B$5:$G$8,M$11,FALSE)  +  NJ!$D$2 ) * IF($D182="NJ",1.07,1))/$L$10, CHOOSE($M$10,$L$9,$M$9) )</f>
        <v xml:space="preserve"> 94.95 </v>
      </c>
      <c r="K182" s="179" t="str">
        <f>TEXT(   (SUMPRODUCT( ((Main!$H$9:$H$1000)=$E182)*((Main!$J$9:$J$1000)=$F182)*((Main!$O$9:$O$1000)=$C182)*(Main!T$9:T$1000) ) +  ( SUMPRODUCT( ((Adders!$D$13:$D$101)=$E182)*((Adders!$E$13:$E$101)=$F182)*(Adders!I$13:I$101)) + VLOOKUP($H182,Adders!$B$5:$G$8,N$11,FALSE)  +  NJ!$D$2 ) * IF($D182="NJ",1.07,1))/$L$10, CHOOSE($M$10,$L$9,$M$9) )</f>
        <v xml:space="preserve"> 95.30 </v>
      </c>
      <c r="L182" s="178" t="str">
        <f>TEXT(   (SUMPRODUCT( ((LMPMain!$H$9:$H$1000)=$E182)*((LMPMain!$J$9:$J$1000)=$F182)*((LMPMain!$O$9:$O$1000)=$C182)*(LMPMain!R$9:R$1000) ) +  ( SUMPRODUCT( ((Adders!$D$13:$D$101)=$E182)*((Adders!$E$13:$E$101)=$F182)*(Adders!G$13:G$101)) + VLOOKUP($H182,Adders!$B$5:$G$8,L$11,FALSE)  +  NJ!$D$2 ) * IF($D182="NJ",1.07,1))/$L$10, CHOOSE($M$10,$L$9,$M$9) )</f>
        <v xml:space="preserve"> 51.24 </v>
      </c>
      <c r="M182" s="178" t="str">
        <f>TEXT(   (SUMPRODUCT( ((LMPMain!$H$9:$H$1000)=$E182)*((LMPMain!$J$9:$J$1000)=$F182)*((LMPMain!$O$9:$O$1000)=$C182)*(LMPMain!S$9:S$1000) ) +  ( SUMPRODUCT( ((Adders!$D$13:$D$101)=$E182)*((Adders!$E$13:$E$101)=$F182)*(Adders!H$13:H$101)) + VLOOKUP($H182,Adders!$B$5:$G$8,M$11,FALSE)  +  NJ!$D$2 ) * IF($D182="NJ",1.07,1))/$L$10, CHOOSE($M$10,$L$9,$M$9) )</f>
        <v xml:space="preserve"> 51.20 </v>
      </c>
      <c r="N182" s="179" t="str">
        <f>TEXT(   (SUMPRODUCT( ((LMPMain!$H$9:$H$1000)=$E182)*((LMPMain!$J$9:$J$1000)=$F182)*((LMPMain!$O$9:$O$1000)=$C182)*(LMPMain!T$9:T$1000) ) +  ( SUMPRODUCT( ((Adders!$D$13:$D$101)=$E182)*((Adders!$E$13:$E$101)=$F182)*(Adders!I$13:I$101)) + VLOOKUP($H182,Adders!$B$5:$G$8,N$11,FALSE)  +  NJ!$D$2 ) * IF($D182="NJ",1.07,1))/$L$10, CHOOSE($M$10,$L$9,$M$9) )</f>
        <v xml:space="preserve"> 51.26 </v>
      </c>
      <c r="O182" s="112"/>
    </row>
    <row r="183" spans="2:15" x14ac:dyDescent="0.25">
      <c r="B183" s="108"/>
      <c r="C183" s="131">
        <f t="shared" si="5"/>
        <v>42401</v>
      </c>
      <c r="D183" s="132" t="s">
        <v>31</v>
      </c>
      <c r="E183" s="133" t="s">
        <v>35</v>
      </c>
      <c r="F183" s="132" t="s">
        <v>11</v>
      </c>
      <c r="G183" s="133" t="str">
        <f t="shared" si="6"/>
        <v>General Service Small</v>
      </c>
      <c r="H183" s="134" t="s">
        <v>62</v>
      </c>
      <c r="I183" s="173" t="str">
        <f>TEXT(   (SUMPRODUCT( ((Main!$H$9:$H$1000)=$E183)*((Main!$J$9:$J$1000)=$F183)*((Main!$O$9:$O$1000)=$C183)*(Main!R$9:R$1000) ) +  ( SUMPRODUCT( ((Adders!$D$13:$D$101)=$E183)*((Adders!$E$13:$E$101)=$F183)*(Adders!G$13:G$101)) + VLOOKUP($H183,Adders!$B$5:$G$8,L$11,FALSE)  +  NJ!$D$2 ) * IF($D183="NJ",1.07,1))/$L$10, CHOOSE($M$10,$L$9,$M$9) )</f>
        <v xml:space="preserve"> 93.16 </v>
      </c>
      <c r="J183" s="173" t="str">
        <f>TEXT(   (SUMPRODUCT( ((Main!$H$9:$H$1000)=$E183)*((Main!$J$9:$J$1000)=$F183)*((Main!$O$9:$O$1000)=$C183)*(Main!S$9:S$1000) ) +  ( SUMPRODUCT( ((Adders!$D$13:$D$101)=$E183)*((Adders!$E$13:$E$101)=$F183)*(Adders!H$13:H$101)) + VLOOKUP($H183,Adders!$B$5:$G$8,M$11,FALSE)  +  NJ!$D$2 ) * IF($D183="NJ",1.07,1))/$L$10, CHOOSE($M$10,$L$9,$M$9) )</f>
        <v xml:space="preserve"> 93.24 </v>
      </c>
      <c r="K183" s="174" t="str">
        <f>TEXT(   (SUMPRODUCT( ((Main!$H$9:$H$1000)=$E183)*((Main!$J$9:$J$1000)=$F183)*((Main!$O$9:$O$1000)=$C183)*(Main!T$9:T$1000) ) +  ( SUMPRODUCT( ((Adders!$D$13:$D$101)=$E183)*((Adders!$E$13:$E$101)=$F183)*(Adders!I$13:I$101)) + VLOOKUP($H183,Adders!$B$5:$G$8,N$11,FALSE)  +  NJ!$D$2 ) * IF($D183="NJ",1.07,1))/$L$10, CHOOSE($M$10,$L$9,$M$9) )</f>
        <v xml:space="preserve"> 93.59 </v>
      </c>
      <c r="L183" s="173" t="str">
        <f>TEXT(   (SUMPRODUCT( ((LMPMain!$H$9:$H$1000)=$E183)*((LMPMain!$J$9:$J$1000)=$F183)*((LMPMain!$O$9:$O$1000)=$C183)*(LMPMain!R$9:R$1000) ) +  ( SUMPRODUCT( ((Adders!$D$13:$D$101)=$E183)*((Adders!$E$13:$E$101)=$F183)*(Adders!G$13:G$101)) + VLOOKUP($H183,Adders!$B$5:$G$8,L$11,FALSE)  +  NJ!$D$2 ) * IF($D183="NJ",1.07,1))/$L$10, CHOOSE($M$10,$L$9,$M$9) )</f>
        <v xml:space="preserve"> 49.53 </v>
      </c>
      <c r="M183" s="173" t="str">
        <f>TEXT(   (SUMPRODUCT( ((LMPMain!$H$9:$H$1000)=$E183)*((LMPMain!$J$9:$J$1000)=$F183)*((LMPMain!$O$9:$O$1000)=$C183)*(LMPMain!S$9:S$1000) ) +  ( SUMPRODUCT( ((Adders!$D$13:$D$101)=$E183)*((Adders!$E$13:$E$101)=$F183)*(Adders!H$13:H$101)) + VLOOKUP($H183,Adders!$B$5:$G$8,M$11,FALSE)  +  NJ!$D$2 ) * IF($D183="NJ",1.07,1))/$L$10, CHOOSE($M$10,$L$9,$M$9) )</f>
        <v xml:space="preserve"> 49.49 </v>
      </c>
      <c r="N183" s="174" t="str">
        <f>TEXT(   (SUMPRODUCT( ((LMPMain!$H$9:$H$1000)=$E183)*((LMPMain!$J$9:$J$1000)=$F183)*((LMPMain!$O$9:$O$1000)=$C183)*(LMPMain!T$9:T$1000) ) +  ( SUMPRODUCT( ((Adders!$D$13:$D$101)=$E183)*((Adders!$E$13:$E$101)=$F183)*(Adders!I$13:I$101)) + VLOOKUP($H183,Adders!$B$5:$G$8,N$11,FALSE)  +  NJ!$D$2 ) * IF($D183="NJ",1.07,1))/$L$10, CHOOSE($M$10,$L$9,$M$9) )</f>
        <v xml:space="preserve"> 49.55 </v>
      </c>
      <c r="O183" s="112"/>
    </row>
    <row r="184" spans="2:15" x14ac:dyDescent="0.25">
      <c r="B184" s="108"/>
      <c r="C184" s="135">
        <f t="shared" si="5"/>
        <v>42401</v>
      </c>
      <c r="D184" s="136" t="s">
        <v>31</v>
      </c>
      <c r="E184" s="137" t="s">
        <v>35</v>
      </c>
      <c r="F184" s="136" t="s">
        <v>11</v>
      </c>
      <c r="G184" s="137" t="str">
        <f t="shared" si="6"/>
        <v>General Service Small</v>
      </c>
      <c r="H184" s="138" t="s">
        <v>690</v>
      </c>
      <c r="I184" s="176" t="str">
        <f>TEXT(   (SUMPRODUCT( ((Main!$H$9:$H$1000)=$E184)*((Main!$J$9:$J$1000)=$F184)*((Main!$O$9:$O$1000)=$C184)*(Main!R$9:R$1000) ) +  ( SUMPRODUCT( ((Adders!$D$13:$D$101)=$E184)*((Adders!$E$13:$E$101)=$F184)*(Adders!G$13:G$101)) + VLOOKUP($H184,Adders!$B$5:$G$8,L$11,FALSE)  +  NJ!$D$2 ) * IF($D184="NJ",1.07,1))/$L$10, CHOOSE($M$10,$L$9,$M$9) )</f>
        <v xml:space="preserve"> 92.04 </v>
      </c>
      <c r="J184" s="176" t="str">
        <f>TEXT(   (SUMPRODUCT( ((Main!$H$9:$H$1000)=$E184)*((Main!$J$9:$J$1000)=$F184)*((Main!$O$9:$O$1000)=$C184)*(Main!S$9:S$1000) ) +  ( SUMPRODUCT( ((Adders!$D$13:$D$101)=$E184)*((Adders!$E$13:$E$101)=$F184)*(Adders!H$13:H$101)) + VLOOKUP($H184,Adders!$B$5:$G$8,M$11,FALSE)  +  NJ!$D$2 ) * IF($D184="NJ",1.07,1))/$L$10, CHOOSE($M$10,$L$9,$M$9) )</f>
        <v xml:space="preserve"> 92.12 </v>
      </c>
      <c r="K184" s="177" t="str">
        <f>TEXT(   (SUMPRODUCT( ((Main!$H$9:$H$1000)=$E184)*((Main!$J$9:$J$1000)=$F184)*((Main!$O$9:$O$1000)=$C184)*(Main!T$9:T$1000) ) +  ( SUMPRODUCT( ((Adders!$D$13:$D$101)=$E184)*((Adders!$E$13:$E$101)=$F184)*(Adders!I$13:I$101)) + VLOOKUP($H184,Adders!$B$5:$G$8,N$11,FALSE)  +  NJ!$D$2 ) * IF($D184="NJ",1.07,1))/$L$10, CHOOSE($M$10,$L$9,$M$9) )</f>
        <v xml:space="preserve"> 92.47 </v>
      </c>
      <c r="L184" s="176" t="str">
        <f>TEXT(   (SUMPRODUCT( ((LMPMain!$H$9:$H$1000)=$E184)*((LMPMain!$J$9:$J$1000)=$F184)*((LMPMain!$O$9:$O$1000)=$C184)*(LMPMain!R$9:R$1000) ) +  ( SUMPRODUCT( ((Adders!$D$13:$D$101)=$E184)*((Adders!$E$13:$E$101)=$F184)*(Adders!G$13:G$101)) + VLOOKUP($H184,Adders!$B$5:$G$8,L$11,FALSE)  +  NJ!$D$2 ) * IF($D184="NJ",1.07,1))/$L$10, CHOOSE($M$10,$L$9,$M$9) )</f>
        <v xml:space="preserve"> 48.40 </v>
      </c>
      <c r="M184" s="176" t="str">
        <f>TEXT(   (SUMPRODUCT( ((LMPMain!$H$9:$H$1000)=$E184)*((LMPMain!$J$9:$J$1000)=$F184)*((LMPMain!$O$9:$O$1000)=$C184)*(LMPMain!S$9:S$1000) ) +  ( SUMPRODUCT( ((Adders!$D$13:$D$101)=$E184)*((Adders!$E$13:$E$101)=$F184)*(Adders!H$13:H$101)) + VLOOKUP($H184,Adders!$B$5:$G$8,M$11,FALSE)  +  NJ!$D$2 ) * IF($D184="NJ",1.07,1))/$L$10, CHOOSE($M$10,$L$9,$M$9) )</f>
        <v xml:space="preserve"> 48.36 </v>
      </c>
      <c r="N184" s="177" t="str">
        <f>TEXT(   (SUMPRODUCT( ((LMPMain!$H$9:$H$1000)=$E184)*((LMPMain!$J$9:$J$1000)=$F184)*((LMPMain!$O$9:$O$1000)=$C184)*(LMPMain!T$9:T$1000) ) +  ( SUMPRODUCT( ((Adders!$D$13:$D$101)=$E184)*((Adders!$E$13:$E$101)=$F184)*(Adders!I$13:I$101)) + VLOOKUP($H184,Adders!$B$5:$G$8,N$11,FALSE)  +  NJ!$D$2 ) * IF($D184="NJ",1.07,1))/$L$10, CHOOSE($M$10,$L$9,$M$9) )</f>
        <v xml:space="preserve"> 48.43 </v>
      </c>
      <c r="O184" s="112"/>
    </row>
    <row r="185" spans="2:15" x14ac:dyDescent="0.25">
      <c r="B185" s="108"/>
      <c r="C185" s="127">
        <f t="shared" si="5"/>
        <v>42430</v>
      </c>
      <c r="D185" s="128" t="s">
        <v>31</v>
      </c>
      <c r="E185" s="129" t="s">
        <v>35</v>
      </c>
      <c r="F185" s="128" t="s">
        <v>11</v>
      </c>
      <c r="G185" s="129" t="str">
        <f t="shared" si="6"/>
        <v>General Service Small</v>
      </c>
      <c r="H185" s="130" t="s">
        <v>61</v>
      </c>
      <c r="I185" s="178" t="str">
        <f>TEXT(   (SUMPRODUCT( ((Main!$H$9:$H$1000)=$E185)*((Main!$J$9:$J$1000)=$F185)*((Main!$O$9:$O$1000)=$C185)*(Main!R$9:R$1000) ) +  ( SUMPRODUCT( ((Adders!$D$13:$D$101)=$E185)*((Adders!$E$13:$E$101)=$F185)*(Adders!G$13:G$101)) + VLOOKUP($H185,Adders!$B$5:$G$8,L$11,FALSE)  +  NJ!$D$2 ) * IF($D185="NJ",1.07,1))/$L$10, CHOOSE($M$10,$L$9,$M$9) )</f>
        <v xml:space="preserve"> 94.62 </v>
      </c>
      <c r="J185" s="178" t="str">
        <f>TEXT(   (SUMPRODUCT( ((Main!$H$9:$H$1000)=$E185)*((Main!$J$9:$J$1000)=$F185)*((Main!$O$9:$O$1000)=$C185)*(Main!S$9:S$1000) ) +  ( SUMPRODUCT( ((Adders!$D$13:$D$101)=$E185)*((Adders!$E$13:$E$101)=$F185)*(Adders!H$13:H$101)) + VLOOKUP($H185,Adders!$B$5:$G$8,M$11,FALSE)  +  NJ!$D$2 ) * IF($D185="NJ",1.07,1))/$L$10, CHOOSE($M$10,$L$9,$M$9) )</f>
        <v xml:space="preserve"> 94.42 </v>
      </c>
      <c r="K185" s="179" t="str">
        <f>TEXT(   (SUMPRODUCT( ((Main!$H$9:$H$1000)=$E185)*((Main!$J$9:$J$1000)=$F185)*((Main!$O$9:$O$1000)=$C185)*(Main!T$9:T$1000) ) +  ( SUMPRODUCT( ((Adders!$D$13:$D$101)=$E185)*((Adders!$E$13:$E$101)=$F185)*(Adders!I$13:I$101)) + VLOOKUP($H185,Adders!$B$5:$G$8,N$11,FALSE)  +  NJ!$D$2 ) * IF($D185="NJ",1.07,1))/$L$10, CHOOSE($M$10,$L$9,$M$9) )</f>
        <v xml:space="preserve"> 95.39 </v>
      </c>
      <c r="L185" s="178" t="str">
        <f>TEXT(   (SUMPRODUCT( ((LMPMain!$H$9:$H$1000)=$E185)*((LMPMain!$J$9:$J$1000)=$F185)*((LMPMain!$O$9:$O$1000)=$C185)*(LMPMain!R$9:R$1000) ) +  ( SUMPRODUCT( ((Adders!$D$13:$D$101)=$E185)*((Adders!$E$13:$E$101)=$F185)*(Adders!G$13:G$101)) + VLOOKUP($H185,Adders!$B$5:$G$8,L$11,FALSE)  +  NJ!$D$2 ) * IF($D185="NJ",1.07,1))/$L$10, CHOOSE($M$10,$L$9,$M$9) )</f>
        <v xml:space="preserve"> 50.95 </v>
      </c>
      <c r="M185" s="178" t="str">
        <f>TEXT(   (SUMPRODUCT( ((LMPMain!$H$9:$H$1000)=$E185)*((LMPMain!$J$9:$J$1000)=$F185)*((LMPMain!$O$9:$O$1000)=$C185)*(LMPMain!S$9:S$1000) ) +  ( SUMPRODUCT( ((Adders!$D$13:$D$101)=$E185)*((Adders!$E$13:$E$101)=$F185)*(Adders!H$13:H$101)) + VLOOKUP($H185,Adders!$B$5:$G$8,M$11,FALSE)  +  NJ!$D$2 ) * IF($D185="NJ",1.07,1))/$L$10, CHOOSE($M$10,$L$9,$M$9) )</f>
        <v xml:space="preserve"> 50.92 </v>
      </c>
      <c r="N185" s="179" t="str">
        <f>TEXT(   (SUMPRODUCT( ((LMPMain!$H$9:$H$1000)=$E185)*((LMPMain!$J$9:$J$1000)=$F185)*((LMPMain!$O$9:$O$1000)=$C185)*(LMPMain!T$9:T$1000) ) +  ( SUMPRODUCT( ((Adders!$D$13:$D$101)=$E185)*((Adders!$E$13:$E$101)=$F185)*(Adders!I$13:I$101)) + VLOOKUP($H185,Adders!$B$5:$G$8,N$11,FALSE)  +  NJ!$D$2 ) * IF($D185="NJ",1.07,1))/$L$10, CHOOSE($M$10,$L$9,$M$9) )</f>
        <v xml:space="preserve"> 51.19 </v>
      </c>
      <c r="O185" s="112"/>
    </row>
    <row r="186" spans="2:15" x14ac:dyDescent="0.25">
      <c r="B186" s="108"/>
      <c r="C186" s="131">
        <f t="shared" si="5"/>
        <v>42430</v>
      </c>
      <c r="D186" s="132" t="s">
        <v>31</v>
      </c>
      <c r="E186" s="133" t="s">
        <v>35</v>
      </c>
      <c r="F186" s="132" t="s">
        <v>11</v>
      </c>
      <c r="G186" s="133" t="str">
        <f t="shared" si="6"/>
        <v>General Service Small</v>
      </c>
      <c r="H186" s="134" t="s">
        <v>62</v>
      </c>
      <c r="I186" s="173" t="str">
        <f>TEXT(   (SUMPRODUCT( ((Main!$H$9:$H$1000)=$E186)*((Main!$J$9:$J$1000)=$F186)*((Main!$O$9:$O$1000)=$C186)*(Main!R$9:R$1000) ) +  ( SUMPRODUCT( ((Adders!$D$13:$D$101)=$E186)*((Adders!$E$13:$E$101)=$F186)*(Adders!G$13:G$101)) + VLOOKUP($H186,Adders!$B$5:$G$8,L$11,FALSE)  +  NJ!$D$2 ) * IF($D186="NJ",1.07,1))/$L$10, CHOOSE($M$10,$L$9,$M$9) )</f>
        <v xml:space="preserve"> 92.91 </v>
      </c>
      <c r="J186" s="173" t="str">
        <f>TEXT(   (SUMPRODUCT( ((Main!$H$9:$H$1000)=$E186)*((Main!$J$9:$J$1000)=$F186)*((Main!$O$9:$O$1000)=$C186)*(Main!S$9:S$1000) ) +  ( SUMPRODUCT( ((Adders!$D$13:$D$101)=$E186)*((Adders!$E$13:$E$101)=$F186)*(Adders!H$13:H$101)) + VLOOKUP($H186,Adders!$B$5:$G$8,M$11,FALSE)  +  NJ!$D$2 ) * IF($D186="NJ",1.07,1))/$L$10, CHOOSE($M$10,$L$9,$M$9) )</f>
        <v xml:space="preserve"> 92.71 </v>
      </c>
      <c r="K186" s="174" t="str">
        <f>TEXT(   (SUMPRODUCT( ((Main!$H$9:$H$1000)=$E186)*((Main!$J$9:$J$1000)=$F186)*((Main!$O$9:$O$1000)=$C186)*(Main!T$9:T$1000) ) +  ( SUMPRODUCT( ((Adders!$D$13:$D$101)=$E186)*((Adders!$E$13:$E$101)=$F186)*(Adders!I$13:I$101)) + VLOOKUP($H186,Adders!$B$5:$G$8,N$11,FALSE)  +  NJ!$D$2 ) * IF($D186="NJ",1.07,1))/$L$10, CHOOSE($M$10,$L$9,$M$9) )</f>
        <v xml:space="preserve"> 93.68 </v>
      </c>
      <c r="L186" s="173" t="str">
        <f>TEXT(   (SUMPRODUCT( ((LMPMain!$H$9:$H$1000)=$E186)*((LMPMain!$J$9:$J$1000)=$F186)*((LMPMain!$O$9:$O$1000)=$C186)*(LMPMain!R$9:R$1000) ) +  ( SUMPRODUCT( ((Adders!$D$13:$D$101)=$E186)*((Adders!$E$13:$E$101)=$F186)*(Adders!G$13:G$101)) + VLOOKUP($H186,Adders!$B$5:$G$8,L$11,FALSE)  +  NJ!$D$2 ) * IF($D186="NJ",1.07,1))/$L$10, CHOOSE($M$10,$L$9,$M$9) )</f>
        <v xml:space="preserve"> 49.24 </v>
      </c>
      <c r="M186" s="173" t="str">
        <f>TEXT(   (SUMPRODUCT( ((LMPMain!$H$9:$H$1000)=$E186)*((LMPMain!$J$9:$J$1000)=$F186)*((LMPMain!$O$9:$O$1000)=$C186)*(LMPMain!S$9:S$1000) ) +  ( SUMPRODUCT( ((Adders!$D$13:$D$101)=$E186)*((Adders!$E$13:$E$101)=$F186)*(Adders!H$13:H$101)) + VLOOKUP($H186,Adders!$B$5:$G$8,M$11,FALSE)  +  NJ!$D$2 ) * IF($D186="NJ",1.07,1))/$L$10, CHOOSE($M$10,$L$9,$M$9) )</f>
        <v xml:space="preserve"> 49.21 </v>
      </c>
      <c r="N186" s="174" t="str">
        <f>TEXT(   (SUMPRODUCT( ((LMPMain!$H$9:$H$1000)=$E186)*((LMPMain!$J$9:$J$1000)=$F186)*((LMPMain!$O$9:$O$1000)=$C186)*(LMPMain!T$9:T$1000) ) +  ( SUMPRODUCT( ((Adders!$D$13:$D$101)=$E186)*((Adders!$E$13:$E$101)=$F186)*(Adders!I$13:I$101)) + VLOOKUP($H186,Adders!$B$5:$G$8,N$11,FALSE)  +  NJ!$D$2 ) * IF($D186="NJ",1.07,1))/$L$10, CHOOSE($M$10,$L$9,$M$9) )</f>
        <v xml:space="preserve"> 49.48 </v>
      </c>
      <c r="O186" s="112"/>
    </row>
    <row r="187" spans="2:15" x14ac:dyDescent="0.25">
      <c r="B187" s="108"/>
      <c r="C187" s="135">
        <f t="shared" si="5"/>
        <v>42430</v>
      </c>
      <c r="D187" s="136" t="s">
        <v>31</v>
      </c>
      <c r="E187" s="137" t="s">
        <v>35</v>
      </c>
      <c r="F187" s="136" t="s">
        <v>11</v>
      </c>
      <c r="G187" s="137" t="str">
        <f t="shared" si="6"/>
        <v>General Service Small</v>
      </c>
      <c r="H187" s="138" t="s">
        <v>690</v>
      </c>
      <c r="I187" s="176" t="str">
        <f>TEXT(   (SUMPRODUCT( ((Main!$H$9:$H$1000)=$E187)*((Main!$J$9:$J$1000)=$F187)*((Main!$O$9:$O$1000)=$C187)*(Main!R$9:R$1000) ) +  ( SUMPRODUCT( ((Adders!$D$13:$D$101)=$E187)*((Adders!$E$13:$E$101)=$F187)*(Adders!G$13:G$101)) + VLOOKUP($H187,Adders!$B$5:$G$8,L$11,FALSE)  +  NJ!$D$2 ) * IF($D187="NJ",1.07,1))/$L$10, CHOOSE($M$10,$L$9,$M$9) )</f>
        <v xml:space="preserve"> 91.79 </v>
      </c>
      <c r="J187" s="176" t="str">
        <f>TEXT(   (SUMPRODUCT( ((Main!$H$9:$H$1000)=$E187)*((Main!$J$9:$J$1000)=$F187)*((Main!$O$9:$O$1000)=$C187)*(Main!S$9:S$1000) ) +  ( SUMPRODUCT( ((Adders!$D$13:$D$101)=$E187)*((Adders!$E$13:$E$101)=$F187)*(Adders!H$13:H$101)) + VLOOKUP($H187,Adders!$B$5:$G$8,M$11,FALSE)  +  NJ!$D$2 ) * IF($D187="NJ",1.07,1))/$L$10, CHOOSE($M$10,$L$9,$M$9) )</f>
        <v xml:space="preserve"> 91.59 </v>
      </c>
      <c r="K187" s="177" t="str">
        <f>TEXT(   (SUMPRODUCT( ((Main!$H$9:$H$1000)=$E187)*((Main!$J$9:$J$1000)=$F187)*((Main!$O$9:$O$1000)=$C187)*(Main!T$9:T$1000) ) +  ( SUMPRODUCT( ((Adders!$D$13:$D$101)=$E187)*((Adders!$E$13:$E$101)=$F187)*(Adders!I$13:I$101)) + VLOOKUP($H187,Adders!$B$5:$G$8,N$11,FALSE)  +  NJ!$D$2 ) * IF($D187="NJ",1.07,1))/$L$10, CHOOSE($M$10,$L$9,$M$9) )</f>
        <v xml:space="preserve"> 92.56 </v>
      </c>
      <c r="L187" s="176" t="str">
        <f>TEXT(   (SUMPRODUCT( ((LMPMain!$H$9:$H$1000)=$E187)*((LMPMain!$J$9:$J$1000)=$F187)*((LMPMain!$O$9:$O$1000)=$C187)*(LMPMain!R$9:R$1000) ) +  ( SUMPRODUCT( ((Adders!$D$13:$D$101)=$E187)*((Adders!$E$13:$E$101)=$F187)*(Adders!G$13:G$101)) + VLOOKUP($H187,Adders!$B$5:$G$8,L$11,FALSE)  +  NJ!$D$2 ) * IF($D187="NJ",1.07,1))/$L$10, CHOOSE($M$10,$L$9,$M$9) )</f>
        <v xml:space="preserve"> 48.12 </v>
      </c>
      <c r="M187" s="176" t="str">
        <f>TEXT(   (SUMPRODUCT( ((LMPMain!$H$9:$H$1000)=$E187)*((LMPMain!$J$9:$J$1000)=$F187)*((LMPMain!$O$9:$O$1000)=$C187)*(LMPMain!S$9:S$1000) ) +  ( SUMPRODUCT( ((Adders!$D$13:$D$101)=$E187)*((Adders!$E$13:$E$101)=$F187)*(Adders!H$13:H$101)) + VLOOKUP($H187,Adders!$B$5:$G$8,M$11,FALSE)  +  NJ!$D$2 ) * IF($D187="NJ",1.07,1))/$L$10, CHOOSE($M$10,$L$9,$M$9) )</f>
        <v xml:space="preserve"> 48.09 </v>
      </c>
      <c r="N187" s="177" t="str">
        <f>TEXT(   (SUMPRODUCT( ((LMPMain!$H$9:$H$1000)=$E187)*((LMPMain!$J$9:$J$1000)=$F187)*((LMPMain!$O$9:$O$1000)=$C187)*(LMPMain!T$9:T$1000) ) +  ( SUMPRODUCT( ((Adders!$D$13:$D$101)=$E187)*((Adders!$E$13:$E$101)=$F187)*(Adders!I$13:I$101)) + VLOOKUP($H187,Adders!$B$5:$G$8,N$11,FALSE)  +  NJ!$D$2 ) * IF($D187="NJ",1.07,1))/$L$10, CHOOSE($M$10,$L$9,$M$9) )</f>
        <v xml:space="preserve"> 48.36 </v>
      </c>
      <c r="O187" s="112"/>
    </row>
    <row r="188" spans="2:15" x14ac:dyDescent="0.25">
      <c r="B188" s="108"/>
      <c r="C188" s="127">
        <f t="shared" si="5"/>
        <v>42461</v>
      </c>
      <c r="D188" s="128" t="s">
        <v>31</v>
      </c>
      <c r="E188" s="129" t="s">
        <v>35</v>
      </c>
      <c r="F188" s="128" t="s">
        <v>11</v>
      </c>
      <c r="G188" s="129" t="str">
        <f t="shared" si="6"/>
        <v>General Service Small</v>
      </c>
      <c r="H188" s="130" t="s">
        <v>61</v>
      </c>
      <c r="I188" s="178" t="str">
        <f>TEXT(   (SUMPRODUCT( ((Main!$H$9:$H$1000)=$E188)*((Main!$J$9:$J$1000)=$F188)*((Main!$O$9:$O$1000)=$C188)*(Main!R$9:R$1000) ) +  ( SUMPRODUCT( ((Adders!$D$13:$D$101)=$E188)*((Adders!$E$13:$E$101)=$F188)*(Adders!G$13:G$101)) + VLOOKUP($H188,Adders!$B$5:$G$8,L$11,FALSE)  +  NJ!$D$2 ) * IF($D188="NJ",1.07,1))/$L$10, CHOOSE($M$10,$L$9,$M$9) )</f>
        <v xml:space="preserve"> 94.37 </v>
      </c>
      <c r="J188" s="178" t="str">
        <f>TEXT(   (SUMPRODUCT( ((Main!$H$9:$H$1000)=$E188)*((Main!$J$9:$J$1000)=$F188)*((Main!$O$9:$O$1000)=$C188)*(Main!S$9:S$1000) ) +  ( SUMPRODUCT( ((Adders!$D$13:$D$101)=$E188)*((Adders!$E$13:$E$101)=$F188)*(Adders!H$13:H$101)) + VLOOKUP($H188,Adders!$B$5:$G$8,M$11,FALSE)  +  NJ!$D$2 ) * IF($D188="NJ",1.07,1))/$L$10, CHOOSE($M$10,$L$9,$M$9) )</f>
        <v xml:space="preserve"> 94.12 </v>
      </c>
      <c r="K188" s="179" t="str">
        <f>TEXT(   (SUMPRODUCT( ((Main!$H$9:$H$1000)=$E188)*((Main!$J$9:$J$1000)=$F188)*((Main!$O$9:$O$1000)=$C188)*(Main!T$9:T$1000) ) +  ( SUMPRODUCT( ((Adders!$D$13:$D$101)=$E188)*((Adders!$E$13:$E$101)=$F188)*(Adders!I$13:I$101)) + VLOOKUP($H188,Adders!$B$5:$G$8,N$11,FALSE)  +  NJ!$D$2 ) * IF($D188="NJ",1.07,1))/$L$10, CHOOSE($M$10,$L$9,$M$9) )</f>
        <v xml:space="preserve"> 95.27 </v>
      </c>
      <c r="L188" s="178" t="str">
        <f>TEXT(   (SUMPRODUCT( ((LMPMain!$H$9:$H$1000)=$E188)*((LMPMain!$J$9:$J$1000)=$F188)*((LMPMain!$O$9:$O$1000)=$C188)*(LMPMain!R$9:R$1000) ) +  ( SUMPRODUCT( ((Adders!$D$13:$D$101)=$E188)*((Adders!$E$13:$E$101)=$F188)*(Adders!G$13:G$101)) + VLOOKUP($H188,Adders!$B$5:$G$8,L$11,FALSE)  +  NJ!$D$2 ) * IF($D188="NJ",1.07,1))/$L$10, CHOOSE($M$10,$L$9,$M$9) )</f>
        <v xml:space="preserve"> 50.68 </v>
      </c>
      <c r="M188" s="178" t="str">
        <f>TEXT(   (SUMPRODUCT( ((LMPMain!$H$9:$H$1000)=$E188)*((LMPMain!$J$9:$J$1000)=$F188)*((LMPMain!$O$9:$O$1000)=$C188)*(LMPMain!S$9:S$1000) ) +  ( SUMPRODUCT( ((Adders!$D$13:$D$101)=$E188)*((Adders!$E$13:$E$101)=$F188)*(Adders!H$13:H$101)) + VLOOKUP($H188,Adders!$B$5:$G$8,M$11,FALSE)  +  NJ!$D$2 ) * IF($D188="NJ",1.07,1))/$L$10, CHOOSE($M$10,$L$9,$M$9) )</f>
        <v xml:space="preserve"> 50.85 </v>
      </c>
      <c r="N188" s="179" t="str">
        <f>TEXT(   (SUMPRODUCT( ((LMPMain!$H$9:$H$1000)=$E188)*((LMPMain!$J$9:$J$1000)=$F188)*((LMPMain!$O$9:$O$1000)=$C188)*(LMPMain!T$9:T$1000) ) +  ( SUMPRODUCT( ((Adders!$D$13:$D$101)=$E188)*((Adders!$E$13:$E$101)=$F188)*(Adders!I$13:I$101)) + VLOOKUP($H188,Adders!$B$5:$G$8,N$11,FALSE)  +  NJ!$D$2 ) * IF($D188="NJ",1.07,1))/$L$10, CHOOSE($M$10,$L$9,$M$9) )</f>
        <v xml:space="preserve"> 51.11 </v>
      </c>
      <c r="O188" s="112"/>
    </row>
    <row r="189" spans="2:15" x14ac:dyDescent="0.25">
      <c r="B189" s="108"/>
      <c r="C189" s="131">
        <f t="shared" si="5"/>
        <v>42461</v>
      </c>
      <c r="D189" s="132" t="s">
        <v>31</v>
      </c>
      <c r="E189" s="133" t="s">
        <v>35</v>
      </c>
      <c r="F189" s="132" t="s">
        <v>11</v>
      </c>
      <c r="G189" s="133" t="str">
        <f t="shared" si="6"/>
        <v>General Service Small</v>
      </c>
      <c r="H189" s="134" t="s">
        <v>62</v>
      </c>
      <c r="I189" s="173" t="str">
        <f>TEXT(   (SUMPRODUCT( ((Main!$H$9:$H$1000)=$E189)*((Main!$J$9:$J$1000)=$F189)*((Main!$O$9:$O$1000)=$C189)*(Main!R$9:R$1000) ) +  ( SUMPRODUCT( ((Adders!$D$13:$D$101)=$E189)*((Adders!$E$13:$E$101)=$F189)*(Adders!G$13:G$101)) + VLOOKUP($H189,Adders!$B$5:$G$8,L$11,FALSE)  +  NJ!$D$2 ) * IF($D189="NJ",1.07,1))/$L$10, CHOOSE($M$10,$L$9,$M$9) )</f>
        <v xml:space="preserve"> 92.66 </v>
      </c>
      <c r="J189" s="173" t="str">
        <f>TEXT(   (SUMPRODUCT( ((Main!$H$9:$H$1000)=$E189)*((Main!$J$9:$J$1000)=$F189)*((Main!$O$9:$O$1000)=$C189)*(Main!S$9:S$1000) ) +  ( SUMPRODUCT( ((Adders!$D$13:$D$101)=$E189)*((Adders!$E$13:$E$101)=$F189)*(Adders!H$13:H$101)) + VLOOKUP($H189,Adders!$B$5:$G$8,M$11,FALSE)  +  NJ!$D$2 ) * IF($D189="NJ",1.07,1))/$L$10, CHOOSE($M$10,$L$9,$M$9) )</f>
        <v xml:space="preserve"> 92.41 </v>
      </c>
      <c r="K189" s="174" t="str">
        <f>TEXT(   (SUMPRODUCT( ((Main!$H$9:$H$1000)=$E189)*((Main!$J$9:$J$1000)=$F189)*((Main!$O$9:$O$1000)=$C189)*(Main!T$9:T$1000) ) +  ( SUMPRODUCT( ((Adders!$D$13:$D$101)=$E189)*((Adders!$E$13:$E$101)=$F189)*(Adders!I$13:I$101)) + VLOOKUP($H189,Adders!$B$5:$G$8,N$11,FALSE)  +  NJ!$D$2 ) * IF($D189="NJ",1.07,1))/$L$10, CHOOSE($M$10,$L$9,$M$9) )</f>
        <v xml:space="preserve"> 93.56 </v>
      </c>
      <c r="L189" s="173" t="str">
        <f>TEXT(   (SUMPRODUCT( ((LMPMain!$H$9:$H$1000)=$E189)*((LMPMain!$J$9:$J$1000)=$F189)*((LMPMain!$O$9:$O$1000)=$C189)*(LMPMain!R$9:R$1000) ) +  ( SUMPRODUCT( ((Adders!$D$13:$D$101)=$E189)*((Adders!$E$13:$E$101)=$F189)*(Adders!G$13:G$101)) + VLOOKUP($H189,Adders!$B$5:$G$8,L$11,FALSE)  +  NJ!$D$2 ) * IF($D189="NJ",1.07,1))/$L$10, CHOOSE($M$10,$L$9,$M$9) )</f>
        <v xml:space="preserve"> 48.97 </v>
      </c>
      <c r="M189" s="173" t="str">
        <f>TEXT(   (SUMPRODUCT( ((LMPMain!$H$9:$H$1000)=$E189)*((LMPMain!$J$9:$J$1000)=$F189)*((LMPMain!$O$9:$O$1000)=$C189)*(LMPMain!S$9:S$1000) ) +  ( SUMPRODUCT( ((Adders!$D$13:$D$101)=$E189)*((Adders!$E$13:$E$101)=$F189)*(Adders!H$13:H$101)) + VLOOKUP($H189,Adders!$B$5:$G$8,M$11,FALSE)  +  NJ!$D$2 ) * IF($D189="NJ",1.07,1))/$L$10, CHOOSE($M$10,$L$9,$M$9) )</f>
        <v xml:space="preserve"> 49.14 </v>
      </c>
      <c r="N189" s="174" t="str">
        <f>TEXT(   (SUMPRODUCT( ((LMPMain!$H$9:$H$1000)=$E189)*((LMPMain!$J$9:$J$1000)=$F189)*((LMPMain!$O$9:$O$1000)=$C189)*(LMPMain!T$9:T$1000) ) +  ( SUMPRODUCT( ((Adders!$D$13:$D$101)=$E189)*((Adders!$E$13:$E$101)=$F189)*(Adders!I$13:I$101)) + VLOOKUP($H189,Adders!$B$5:$G$8,N$11,FALSE)  +  NJ!$D$2 ) * IF($D189="NJ",1.07,1))/$L$10, CHOOSE($M$10,$L$9,$M$9) )</f>
        <v xml:space="preserve"> 49.40 </v>
      </c>
      <c r="O189" s="112"/>
    </row>
    <row r="190" spans="2:15" x14ac:dyDescent="0.25">
      <c r="B190" s="108"/>
      <c r="C190" s="135">
        <f t="shared" si="5"/>
        <v>42461</v>
      </c>
      <c r="D190" s="136" t="s">
        <v>31</v>
      </c>
      <c r="E190" s="137" t="s">
        <v>35</v>
      </c>
      <c r="F190" s="136" t="s">
        <v>11</v>
      </c>
      <c r="G190" s="137" t="str">
        <f t="shared" si="6"/>
        <v>General Service Small</v>
      </c>
      <c r="H190" s="138" t="s">
        <v>690</v>
      </c>
      <c r="I190" s="176" t="str">
        <f>TEXT(   (SUMPRODUCT( ((Main!$H$9:$H$1000)=$E190)*((Main!$J$9:$J$1000)=$F190)*((Main!$O$9:$O$1000)=$C190)*(Main!R$9:R$1000) ) +  ( SUMPRODUCT( ((Adders!$D$13:$D$101)=$E190)*((Adders!$E$13:$E$101)=$F190)*(Adders!G$13:G$101)) + VLOOKUP($H190,Adders!$B$5:$G$8,L$11,FALSE)  +  NJ!$D$2 ) * IF($D190="NJ",1.07,1))/$L$10, CHOOSE($M$10,$L$9,$M$9) )</f>
        <v xml:space="preserve"> 91.54 </v>
      </c>
      <c r="J190" s="176" t="str">
        <f>TEXT(   (SUMPRODUCT( ((Main!$H$9:$H$1000)=$E190)*((Main!$J$9:$J$1000)=$F190)*((Main!$O$9:$O$1000)=$C190)*(Main!S$9:S$1000) ) +  ( SUMPRODUCT( ((Adders!$D$13:$D$101)=$E190)*((Adders!$E$13:$E$101)=$F190)*(Adders!H$13:H$101)) + VLOOKUP($H190,Adders!$B$5:$G$8,M$11,FALSE)  +  NJ!$D$2 ) * IF($D190="NJ",1.07,1))/$L$10, CHOOSE($M$10,$L$9,$M$9) )</f>
        <v xml:space="preserve"> 91.29 </v>
      </c>
      <c r="K190" s="177" t="str">
        <f>TEXT(   (SUMPRODUCT( ((Main!$H$9:$H$1000)=$E190)*((Main!$J$9:$J$1000)=$F190)*((Main!$O$9:$O$1000)=$C190)*(Main!T$9:T$1000) ) +  ( SUMPRODUCT( ((Adders!$D$13:$D$101)=$E190)*((Adders!$E$13:$E$101)=$F190)*(Adders!I$13:I$101)) + VLOOKUP($H190,Adders!$B$5:$G$8,N$11,FALSE)  +  NJ!$D$2 ) * IF($D190="NJ",1.07,1))/$L$10, CHOOSE($M$10,$L$9,$M$9) )</f>
        <v xml:space="preserve"> 92.44 </v>
      </c>
      <c r="L190" s="176" t="str">
        <f>TEXT(   (SUMPRODUCT( ((LMPMain!$H$9:$H$1000)=$E190)*((LMPMain!$J$9:$J$1000)=$F190)*((LMPMain!$O$9:$O$1000)=$C190)*(LMPMain!R$9:R$1000) ) +  ( SUMPRODUCT( ((Adders!$D$13:$D$101)=$E190)*((Adders!$E$13:$E$101)=$F190)*(Adders!G$13:G$101)) + VLOOKUP($H190,Adders!$B$5:$G$8,L$11,FALSE)  +  NJ!$D$2 ) * IF($D190="NJ",1.07,1))/$L$10, CHOOSE($M$10,$L$9,$M$9) )</f>
        <v xml:space="preserve"> 47.85 </v>
      </c>
      <c r="M190" s="176" t="str">
        <f>TEXT(   (SUMPRODUCT( ((LMPMain!$H$9:$H$1000)=$E190)*((LMPMain!$J$9:$J$1000)=$F190)*((LMPMain!$O$9:$O$1000)=$C190)*(LMPMain!S$9:S$1000) ) +  ( SUMPRODUCT( ((Adders!$D$13:$D$101)=$E190)*((Adders!$E$13:$E$101)=$F190)*(Adders!H$13:H$101)) + VLOOKUP($H190,Adders!$B$5:$G$8,M$11,FALSE)  +  NJ!$D$2 ) * IF($D190="NJ",1.07,1))/$L$10, CHOOSE($M$10,$L$9,$M$9) )</f>
        <v xml:space="preserve"> 48.02 </v>
      </c>
      <c r="N190" s="177" t="str">
        <f>TEXT(   (SUMPRODUCT( ((LMPMain!$H$9:$H$1000)=$E190)*((LMPMain!$J$9:$J$1000)=$F190)*((LMPMain!$O$9:$O$1000)=$C190)*(LMPMain!T$9:T$1000) ) +  ( SUMPRODUCT( ((Adders!$D$13:$D$101)=$E190)*((Adders!$E$13:$E$101)=$F190)*(Adders!I$13:I$101)) + VLOOKUP($H190,Adders!$B$5:$G$8,N$11,FALSE)  +  NJ!$D$2 ) * IF($D190="NJ",1.07,1))/$L$10, CHOOSE($M$10,$L$9,$M$9) )</f>
        <v xml:space="preserve"> 48.28 </v>
      </c>
      <c r="O190" s="112"/>
    </row>
    <row r="191" spans="2:15" x14ac:dyDescent="0.25">
      <c r="B191" s="108"/>
      <c r="C191" s="127">
        <f t="shared" si="5"/>
        <v>42491</v>
      </c>
      <c r="D191" s="128" t="s">
        <v>31</v>
      </c>
      <c r="E191" s="129" t="s">
        <v>35</v>
      </c>
      <c r="F191" s="128" t="s">
        <v>11</v>
      </c>
      <c r="G191" s="129" t="str">
        <f t="shared" si="6"/>
        <v>General Service Small</v>
      </c>
      <c r="H191" s="130" t="s">
        <v>61</v>
      </c>
      <c r="I191" s="178" t="str">
        <f>TEXT(   (SUMPRODUCT( ((Main!$H$9:$H$1000)=$E191)*((Main!$J$9:$J$1000)=$F191)*((Main!$O$9:$O$1000)=$C191)*(Main!R$9:R$1000) ) +  ( SUMPRODUCT( ((Adders!$D$13:$D$101)=$E191)*((Adders!$E$13:$E$101)=$F191)*(Adders!G$13:G$101)) + VLOOKUP($H191,Adders!$B$5:$G$8,L$11,FALSE)  +  NJ!$D$2 ) * IF($D191="NJ",1.07,1))/$L$10, CHOOSE($M$10,$L$9,$M$9) )</f>
        <v xml:space="preserve"> 94.09 </v>
      </c>
      <c r="J191" s="178" t="str">
        <f>TEXT(   (SUMPRODUCT( ((Main!$H$9:$H$1000)=$E191)*((Main!$J$9:$J$1000)=$F191)*((Main!$O$9:$O$1000)=$C191)*(Main!S$9:S$1000) ) +  ( SUMPRODUCT( ((Adders!$D$13:$D$101)=$E191)*((Adders!$E$13:$E$101)=$F191)*(Adders!H$13:H$101)) + VLOOKUP($H191,Adders!$B$5:$G$8,M$11,FALSE)  +  NJ!$D$2 ) * IF($D191="NJ",1.07,1))/$L$10, CHOOSE($M$10,$L$9,$M$9) )</f>
        <v xml:space="preserve"> 94.02 </v>
      </c>
      <c r="K191" s="179" t="str">
        <f>TEXT(   (SUMPRODUCT( ((Main!$H$9:$H$1000)=$E191)*((Main!$J$9:$J$1000)=$F191)*((Main!$O$9:$O$1000)=$C191)*(Main!T$9:T$1000) ) +  ( SUMPRODUCT( ((Adders!$D$13:$D$101)=$E191)*((Adders!$E$13:$E$101)=$F191)*(Adders!I$13:I$101)) + VLOOKUP($H191,Adders!$B$5:$G$8,N$11,FALSE)  +  NJ!$D$2 ) * IF($D191="NJ",1.07,1))/$L$10, CHOOSE($M$10,$L$9,$M$9) )</f>
        <v xml:space="preserve"> 95.24 </v>
      </c>
      <c r="L191" s="178" t="str">
        <f>TEXT(   (SUMPRODUCT( ((LMPMain!$H$9:$H$1000)=$E191)*((LMPMain!$J$9:$J$1000)=$F191)*((LMPMain!$O$9:$O$1000)=$C191)*(LMPMain!R$9:R$1000) ) +  ( SUMPRODUCT( ((Adders!$D$13:$D$101)=$E191)*((Adders!$E$13:$E$101)=$F191)*(Adders!G$13:G$101)) + VLOOKUP($H191,Adders!$B$5:$G$8,L$11,FALSE)  +  NJ!$D$2 ) * IF($D191="NJ",1.07,1))/$L$10, CHOOSE($M$10,$L$9,$M$9) )</f>
        <v xml:space="preserve"> 50.42 </v>
      </c>
      <c r="M191" s="178" t="str">
        <f>TEXT(   (SUMPRODUCT( ((LMPMain!$H$9:$H$1000)=$E191)*((LMPMain!$J$9:$J$1000)=$F191)*((LMPMain!$O$9:$O$1000)=$C191)*(LMPMain!S$9:S$1000) ) +  ( SUMPRODUCT( ((Adders!$D$13:$D$101)=$E191)*((Adders!$E$13:$E$101)=$F191)*(Adders!H$13:H$101)) + VLOOKUP($H191,Adders!$B$5:$G$8,M$11,FALSE)  +  NJ!$D$2 ) * IF($D191="NJ",1.07,1))/$L$10, CHOOSE($M$10,$L$9,$M$9) )</f>
        <v xml:space="preserve"> 50.82 </v>
      </c>
      <c r="N191" s="179" t="str">
        <f>TEXT(   (SUMPRODUCT( ((LMPMain!$H$9:$H$1000)=$E191)*((LMPMain!$J$9:$J$1000)=$F191)*((LMPMain!$O$9:$O$1000)=$C191)*(LMPMain!T$9:T$1000) ) +  ( SUMPRODUCT( ((Adders!$D$13:$D$101)=$E191)*((Adders!$E$13:$E$101)=$F191)*(Adders!I$13:I$101)) + VLOOKUP($H191,Adders!$B$5:$G$8,N$11,FALSE)  +  NJ!$D$2 ) * IF($D191="NJ",1.07,1))/$L$10, CHOOSE($M$10,$L$9,$M$9) )</f>
        <v xml:space="preserve"> 51.03 </v>
      </c>
      <c r="O191" s="112"/>
    </row>
    <row r="192" spans="2:15" x14ac:dyDescent="0.25">
      <c r="B192" s="108"/>
      <c r="C192" s="131">
        <f t="shared" si="5"/>
        <v>42491</v>
      </c>
      <c r="D192" s="132" t="s">
        <v>31</v>
      </c>
      <c r="E192" s="133" t="s">
        <v>35</v>
      </c>
      <c r="F192" s="132" t="s">
        <v>11</v>
      </c>
      <c r="G192" s="133" t="str">
        <f t="shared" si="6"/>
        <v>General Service Small</v>
      </c>
      <c r="H192" s="134" t="s">
        <v>62</v>
      </c>
      <c r="I192" s="173" t="str">
        <f>TEXT(   (SUMPRODUCT( ((Main!$H$9:$H$1000)=$E192)*((Main!$J$9:$J$1000)=$F192)*((Main!$O$9:$O$1000)=$C192)*(Main!R$9:R$1000) ) +  ( SUMPRODUCT( ((Adders!$D$13:$D$101)=$E192)*((Adders!$E$13:$E$101)=$F192)*(Adders!G$13:G$101)) + VLOOKUP($H192,Adders!$B$5:$G$8,L$11,FALSE)  +  NJ!$D$2 ) * IF($D192="NJ",1.07,1))/$L$10, CHOOSE($M$10,$L$9,$M$9) )</f>
        <v xml:space="preserve"> 92.38 </v>
      </c>
      <c r="J192" s="173" t="str">
        <f>TEXT(   (SUMPRODUCT( ((Main!$H$9:$H$1000)=$E192)*((Main!$J$9:$J$1000)=$F192)*((Main!$O$9:$O$1000)=$C192)*(Main!S$9:S$1000) ) +  ( SUMPRODUCT( ((Adders!$D$13:$D$101)=$E192)*((Adders!$E$13:$E$101)=$F192)*(Adders!H$13:H$101)) + VLOOKUP($H192,Adders!$B$5:$G$8,M$11,FALSE)  +  NJ!$D$2 ) * IF($D192="NJ",1.07,1))/$L$10, CHOOSE($M$10,$L$9,$M$9) )</f>
        <v xml:space="preserve"> 92.31 </v>
      </c>
      <c r="K192" s="174" t="str">
        <f>TEXT(   (SUMPRODUCT( ((Main!$H$9:$H$1000)=$E192)*((Main!$J$9:$J$1000)=$F192)*((Main!$O$9:$O$1000)=$C192)*(Main!T$9:T$1000) ) +  ( SUMPRODUCT( ((Adders!$D$13:$D$101)=$E192)*((Adders!$E$13:$E$101)=$F192)*(Adders!I$13:I$101)) + VLOOKUP($H192,Adders!$B$5:$G$8,N$11,FALSE)  +  NJ!$D$2 ) * IF($D192="NJ",1.07,1))/$L$10, CHOOSE($M$10,$L$9,$M$9) )</f>
        <v xml:space="preserve"> 93.53 </v>
      </c>
      <c r="L192" s="173" t="str">
        <f>TEXT(   (SUMPRODUCT( ((LMPMain!$H$9:$H$1000)=$E192)*((LMPMain!$J$9:$J$1000)=$F192)*((LMPMain!$O$9:$O$1000)=$C192)*(LMPMain!R$9:R$1000) ) +  ( SUMPRODUCT( ((Adders!$D$13:$D$101)=$E192)*((Adders!$E$13:$E$101)=$F192)*(Adders!G$13:G$101)) + VLOOKUP($H192,Adders!$B$5:$G$8,L$11,FALSE)  +  NJ!$D$2 ) * IF($D192="NJ",1.07,1))/$L$10, CHOOSE($M$10,$L$9,$M$9) )</f>
        <v xml:space="preserve"> 48.71 </v>
      </c>
      <c r="M192" s="173" t="str">
        <f>TEXT(   (SUMPRODUCT( ((LMPMain!$H$9:$H$1000)=$E192)*((LMPMain!$J$9:$J$1000)=$F192)*((LMPMain!$O$9:$O$1000)=$C192)*(LMPMain!S$9:S$1000) ) +  ( SUMPRODUCT( ((Adders!$D$13:$D$101)=$E192)*((Adders!$E$13:$E$101)=$F192)*(Adders!H$13:H$101)) + VLOOKUP($H192,Adders!$B$5:$G$8,M$11,FALSE)  +  NJ!$D$2 ) * IF($D192="NJ",1.07,1))/$L$10, CHOOSE($M$10,$L$9,$M$9) )</f>
        <v xml:space="preserve"> 49.10 </v>
      </c>
      <c r="N192" s="174" t="str">
        <f>TEXT(   (SUMPRODUCT( ((LMPMain!$H$9:$H$1000)=$E192)*((LMPMain!$J$9:$J$1000)=$F192)*((LMPMain!$O$9:$O$1000)=$C192)*(LMPMain!T$9:T$1000) ) +  ( SUMPRODUCT( ((Adders!$D$13:$D$101)=$E192)*((Adders!$E$13:$E$101)=$F192)*(Adders!I$13:I$101)) + VLOOKUP($H192,Adders!$B$5:$G$8,N$11,FALSE)  +  NJ!$D$2 ) * IF($D192="NJ",1.07,1))/$L$10, CHOOSE($M$10,$L$9,$M$9) )</f>
        <v xml:space="preserve"> 49.31 </v>
      </c>
      <c r="O192" s="112"/>
    </row>
    <row r="193" spans="2:15" x14ac:dyDescent="0.25">
      <c r="B193" s="108"/>
      <c r="C193" s="135">
        <f t="shared" si="5"/>
        <v>42491</v>
      </c>
      <c r="D193" s="136" t="s">
        <v>31</v>
      </c>
      <c r="E193" s="137" t="s">
        <v>35</v>
      </c>
      <c r="F193" s="136" t="s">
        <v>11</v>
      </c>
      <c r="G193" s="137" t="str">
        <f t="shared" si="6"/>
        <v>General Service Small</v>
      </c>
      <c r="H193" s="138" t="s">
        <v>690</v>
      </c>
      <c r="I193" s="176" t="str">
        <f>TEXT(   (SUMPRODUCT( ((Main!$H$9:$H$1000)=$E193)*((Main!$J$9:$J$1000)=$F193)*((Main!$O$9:$O$1000)=$C193)*(Main!R$9:R$1000) ) +  ( SUMPRODUCT( ((Adders!$D$13:$D$101)=$E193)*((Adders!$E$13:$E$101)=$F193)*(Adders!G$13:G$101)) + VLOOKUP($H193,Adders!$B$5:$G$8,L$11,FALSE)  +  NJ!$D$2 ) * IF($D193="NJ",1.07,1))/$L$10, CHOOSE($M$10,$L$9,$M$9) )</f>
        <v xml:space="preserve"> 91.26 </v>
      </c>
      <c r="J193" s="176" t="str">
        <f>TEXT(   (SUMPRODUCT( ((Main!$H$9:$H$1000)=$E193)*((Main!$J$9:$J$1000)=$F193)*((Main!$O$9:$O$1000)=$C193)*(Main!S$9:S$1000) ) +  ( SUMPRODUCT( ((Adders!$D$13:$D$101)=$E193)*((Adders!$E$13:$E$101)=$F193)*(Adders!H$13:H$101)) + VLOOKUP($H193,Adders!$B$5:$G$8,M$11,FALSE)  +  NJ!$D$2 ) * IF($D193="NJ",1.07,1))/$L$10, CHOOSE($M$10,$L$9,$M$9) )</f>
        <v xml:space="preserve"> 91.19 </v>
      </c>
      <c r="K193" s="177" t="str">
        <f>TEXT(   (SUMPRODUCT( ((Main!$H$9:$H$1000)=$E193)*((Main!$J$9:$J$1000)=$F193)*((Main!$O$9:$O$1000)=$C193)*(Main!T$9:T$1000) ) +  ( SUMPRODUCT( ((Adders!$D$13:$D$101)=$E193)*((Adders!$E$13:$E$101)=$F193)*(Adders!I$13:I$101)) + VLOOKUP($H193,Adders!$B$5:$G$8,N$11,FALSE)  +  NJ!$D$2 ) * IF($D193="NJ",1.07,1))/$L$10, CHOOSE($M$10,$L$9,$M$9) )</f>
        <v xml:space="preserve"> 92.41 </v>
      </c>
      <c r="L193" s="176" t="str">
        <f>TEXT(   (SUMPRODUCT( ((LMPMain!$H$9:$H$1000)=$E193)*((LMPMain!$J$9:$J$1000)=$F193)*((LMPMain!$O$9:$O$1000)=$C193)*(LMPMain!R$9:R$1000) ) +  ( SUMPRODUCT( ((Adders!$D$13:$D$101)=$E193)*((Adders!$E$13:$E$101)=$F193)*(Adders!G$13:G$101)) + VLOOKUP($H193,Adders!$B$5:$G$8,L$11,FALSE)  +  NJ!$D$2 ) * IF($D193="NJ",1.07,1))/$L$10, CHOOSE($M$10,$L$9,$M$9) )</f>
        <v xml:space="preserve"> 47.58 </v>
      </c>
      <c r="M193" s="176" t="str">
        <f>TEXT(   (SUMPRODUCT( ((LMPMain!$H$9:$H$1000)=$E193)*((LMPMain!$J$9:$J$1000)=$F193)*((LMPMain!$O$9:$O$1000)=$C193)*(LMPMain!S$9:S$1000) ) +  ( SUMPRODUCT( ((Adders!$D$13:$D$101)=$E193)*((Adders!$E$13:$E$101)=$F193)*(Adders!H$13:H$101)) + VLOOKUP($H193,Adders!$B$5:$G$8,M$11,FALSE)  +  NJ!$D$2 ) * IF($D193="NJ",1.07,1))/$L$10, CHOOSE($M$10,$L$9,$M$9) )</f>
        <v xml:space="preserve"> 47.98 </v>
      </c>
      <c r="N193" s="177" t="str">
        <f>TEXT(   (SUMPRODUCT( ((LMPMain!$H$9:$H$1000)=$E193)*((LMPMain!$J$9:$J$1000)=$F193)*((LMPMain!$O$9:$O$1000)=$C193)*(LMPMain!T$9:T$1000) ) +  ( SUMPRODUCT( ((Adders!$D$13:$D$101)=$E193)*((Adders!$E$13:$E$101)=$F193)*(Adders!I$13:I$101)) + VLOOKUP($H193,Adders!$B$5:$G$8,N$11,FALSE)  +  NJ!$D$2 ) * IF($D193="NJ",1.07,1))/$L$10, CHOOSE($M$10,$L$9,$M$9) )</f>
        <v xml:space="preserve"> 48.19 </v>
      </c>
      <c r="O193" s="112"/>
    </row>
    <row r="194" spans="2:15" x14ac:dyDescent="0.25">
      <c r="B194" s="108"/>
      <c r="C194" s="127">
        <f t="shared" si="5"/>
        <v>42156</v>
      </c>
      <c r="D194" s="128" t="s">
        <v>31</v>
      </c>
      <c r="E194" s="129" t="s">
        <v>36</v>
      </c>
      <c r="F194" s="128" t="s">
        <v>37</v>
      </c>
      <c r="G194" s="129" t="str">
        <f>VLOOKUP(SUMPRODUCT( ((LMPMain!$H$9:$H$1000)=$E194)*((LMPMain!$J$9:$J$1000)=$F194)*((LMPMain!$O$9:$O$1000)=$C194)*(LMPMain!A$9:A$1000)),LMPMain!$A$9:$K$1000,11,FALSE)</f>
        <v>General L&amp;P</v>
      </c>
      <c r="H194" s="130" t="s">
        <v>61</v>
      </c>
      <c r="I194" s="178" t="str">
        <f>TEXT(   (SUMPRODUCT( ((Main!$H$9:$H$1000)=$E194)*((Main!$J$9:$J$1000)=$F194)*((Main!$O$9:$O$1000)=$C194)*(Main!R$9:R$1000) ) +  ( SUMPRODUCT( ((Adders!$D$13:$D$101)=$E194)*((Adders!$E$13:$E$101)=$F194)*(Adders!G$13:G$101)) + VLOOKUP($H194,Adders!$B$5:$G$8,L$11,FALSE)  +  NJ!$D$2 ) * IF($D194="NJ",1.07,1))/$L$10, CHOOSE($M$10,$L$9,$M$9) )</f>
        <v xml:space="preserve"> 104.35 </v>
      </c>
      <c r="J194" s="178" t="str">
        <f>TEXT(   (SUMPRODUCT( ((Main!$H$9:$H$1000)=$E194)*((Main!$J$9:$J$1000)=$F194)*((Main!$O$9:$O$1000)=$C194)*(Main!S$9:S$1000) ) +  ( SUMPRODUCT( ((Adders!$D$13:$D$101)=$E194)*((Adders!$E$13:$E$101)=$F194)*(Adders!H$13:H$101)) + VLOOKUP($H194,Adders!$B$5:$G$8,M$11,FALSE)  +  NJ!$D$2 ) * IF($D194="NJ",1.07,1))/$L$10, CHOOSE($M$10,$L$9,$M$9) )</f>
        <v xml:space="preserve"> 104.00 </v>
      </c>
      <c r="K194" s="179" t="str">
        <f>TEXT(   (SUMPRODUCT( ((Main!$H$9:$H$1000)=$E194)*((Main!$J$9:$J$1000)=$F194)*((Main!$O$9:$O$1000)=$C194)*(Main!T$9:T$1000) ) +  ( SUMPRODUCT( ((Adders!$D$13:$D$101)=$E194)*((Adders!$E$13:$E$101)=$F194)*(Adders!I$13:I$101)) + VLOOKUP($H194,Adders!$B$5:$G$8,N$11,FALSE)  +  NJ!$D$2 ) * IF($D194="NJ",1.07,1))/$L$10, CHOOSE($M$10,$L$9,$M$9) )</f>
        <v xml:space="preserve"> 105.80 </v>
      </c>
      <c r="L194" s="178" t="str">
        <f>TEXT(   (SUMPRODUCT( ((LMPMain!$H$9:$H$1000)=$E194)*((LMPMain!$J$9:$J$1000)=$F194)*((LMPMain!$O$9:$O$1000)=$C194)*(LMPMain!R$9:R$1000) ) +  ( SUMPRODUCT( ((Adders!$D$13:$D$101)=$E194)*((Adders!$E$13:$E$101)=$F194)*(Adders!G$13:G$101)) + VLOOKUP($H194,Adders!$B$5:$G$8,L$11,FALSE)  +  NJ!$D$2 ) * IF($D194="NJ",1.07,1))/$L$10, CHOOSE($M$10,$L$9,$M$9) )</f>
        <v xml:space="preserve"> 65.28 </v>
      </c>
      <c r="M194" s="178" t="str">
        <f>TEXT(   (SUMPRODUCT( ((LMPMain!$H$9:$H$1000)=$E194)*((LMPMain!$J$9:$J$1000)=$F194)*((LMPMain!$O$9:$O$1000)=$C194)*(LMPMain!S$9:S$1000) ) +  ( SUMPRODUCT( ((Adders!$D$13:$D$101)=$E194)*((Adders!$E$13:$E$101)=$F194)*(Adders!H$13:H$101)) + VLOOKUP($H194,Adders!$B$5:$G$8,M$11,FALSE)  +  NJ!$D$2 ) * IF($D194="NJ",1.07,1))/$L$10, CHOOSE($M$10,$L$9,$M$9) )</f>
        <v xml:space="preserve"> 65.51 </v>
      </c>
      <c r="N194" s="179" t="str">
        <f>TEXT(   (SUMPRODUCT( ((LMPMain!$H$9:$H$1000)=$E194)*((LMPMain!$J$9:$J$1000)=$F194)*((LMPMain!$O$9:$O$1000)=$C194)*(LMPMain!T$9:T$1000) ) +  ( SUMPRODUCT( ((Adders!$D$13:$D$101)=$E194)*((Adders!$E$13:$E$101)=$F194)*(Adders!I$13:I$101)) + VLOOKUP($H194,Adders!$B$5:$G$8,N$11,FALSE)  +  NJ!$D$2 ) * IF($D194="NJ",1.07,1))/$L$10, CHOOSE($M$10,$L$9,$M$9) )</f>
        <v xml:space="preserve"> 66.82 </v>
      </c>
      <c r="O194" s="112"/>
    </row>
    <row r="195" spans="2:15" x14ac:dyDescent="0.25">
      <c r="B195" s="108"/>
      <c r="C195" s="131">
        <f t="shared" si="5"/>
        <v>42156</v>
      </c>
      <c r="D195" s="132" t="s">
        <v>31</v>
      </c>
      <c r="E195" s="133" t="s">
        <v>36</v>
      </c>
      <c r="F195" s="132" t="s">
        <v>37</v>
      </c>
      <c r="G195" s="133" t="str">
        <f>G194</f>
        <v>General L&amp;P</v>
      </c>
      <c r="H195" s="134" t="s">
        <v>62</v>
      </c>
      <c r="I195" s="173" t="str">
        <f>TEXT(   (SUMPRODUCT( ((Main!$H$9:$H$1000)=$E195)*((Main!$J$9:$J$1000)=$F195)*((Main!$O$9:$O$1000)=$C195)*(Main!R$9:R$1000) ) +  ( SUMPRODUCT( ((Adders!$D$13:$D$101)=$E195)*((Adders!$E$13:$E$101)=$F195)*(Adders!G$13:G$101)) + VLOOKUP($H195,Adders!$B$5:$G$8,L$11,FALSE)  +  NJ!$D$2 ) * IF($D195="NJ",1.07,1))/$L$10, CHOOSE($M$10,$L$9,$M$9) )</f>
        <v xml:space="preserve"> 102.64 </v>
      </c>
      <c r="J195" s="173" t="str">
        <f>TEXT(   (SUMPRODUCT( ((Main!$H$9:$H$1000)=$E195)*((Main!$J$9:$J$1000)=$F195)*((Main!$O$9:$O$1000)=$C195)*(Main!S$9:S$1000) ) +  ( SUMPRODUCT( ((Adders!$D$13:$D$101)=$E195)*((Adders!$E$13:$E$101)=$F195)*(Adders!H$13:H$101)) + VLOOKUP($H195,Adders!$B$5:$G$8,M$11,FALSE)  +  NJ!$D$2 ) * IF($D195="NJ",1.07,1))/$L$10, CHOOSE($M$10,$L$9,$M$9) )</f>
        <v xml:space="preserve"> 102.29 </v>
      </c>
      <c r="K195" s="174" t="str">
        <f>TEXT(   (SUMPRODUCT( ((Main!$H$9:$H$1000)=$E195)*((Main!$J$9:$J$1000)=$F195)*((Main!$O$9:$O$1000)=$C195)*(Main!T$9:T$1000) ) +  ( SUMPRODUCT( ((Adders!$D$13:$D$101)=$E195)*((Adders!$E$13:$E$101)=$F195)*(Adders!I$13:I$101)) + VLOOKUP($H195,Adders!$B$5:$G$8,N$11,FALSE)  +  NJ!$D$2 ) * IF($D195="NJ",1.07,1))/$L$10, CHOOSE($M$10,$L$9,$M$9) )</f>
        <v xml:space="preserve"> 104.09 </v>
      </c>
      <c r="L195" s="173" t="str">
        <f>TEXT(   (SUMPRODUCT( ((LMPMain!$H$9:$H$1000)=$E195)*((LMPMain!$J$9:$J$1000)=$F195)*((LMPMain!$O$9:$O$1000)=$C195)*(LMPMain!R$9:R$1000) ) +  ( SUMPRODUCT( ((Adders!$D$13:$D$101)=$E195)*((Adders!$E$13:$E$101)=$F195)*(Adders!G$13:G$101)) + VLOOKUP($H195,Adders!$B$5:$G$8,L$11,FALSE)  +  NJ!$D$2 ) * IF($D195="NJ",1.07,1))/$L$10, CHOOSE($M$10,$L$9,$M$9) )</f>
        <v xml:space="preserve"> 63.57 </v>
      </c>
      <c r="M195" s="173" t="str">
        <f>TEXT(   (SUMPRODUCT( ((LMPMain!$H$9:$H$1000)=$E195)*((LMPMain!$J$9:$J$1000)=$F195)*((LMPMain!$O$9:$O$1000)=$C195)*(LMPMain!S$9:S$1000) ) +  ( SUMPRODUCT( ((Adders!$D$13:$D$101)=$E195)*((Adders!$E$13:$E$101)=$F195)*(Adders!H$13:H$101)) + VLOOKUP($H195,Adders!$B$5:$G$8,M$11,FALSE)  +  NJ!$D$2 ) * IF($D195="NJ",1.07,1))/$L$10, CHOOSE($M$10,$L$9,$M$9) )</f>
        <v xml:space="preserve"> 63.79 </v>
      </c>
      <c r="N195" s="174" t="str">
        <f>TEXT(   (SUMPRODUCT( ((LMPMain!$H$9:$H$1000)=$E195)*((LMPMain!$J$9:$J$1000)=$F195)*((LMPMain!$O$9:$O$1000)=$C195)*(LMPMain!T$9:T$1000) ) +  ( SUMPRODUCT( ((Adders!$D$13:$D$101)=$E195)*((Adders!$E$13:$E$101)=$F195)*(Adders!I$13:I$101)) + VLOOKUP($H195,Adders!$B$5:$G$8,N$11,FALSE)  +  NJ!$D$2 ) * IF($D195="NJ",1.07,1))/$L$10, CHOOSE($M$10,$L$9,$M$9) )</f>
        <v xml:space="preserve"> 65.11 </v>
      </c>
      <c r="O195" s="112"/>
    </row>
    <row r="196" spans="2:15" x14ac:dyDescent="0.25">
      <c r="B196" s="108"/>
      <c r="C196" s="135">
        <f t="shared" si="5"/>
        <v>42156</v>
      </c>
      <c r="D196" s="136" t="s">
        <v>31</v>
      </c>
      <c r="E196" s="137" t="s">
        <v>36</v>
      </c>
      <c r="F196" s="136" t="s">
        <v>37</v>
      </c>
      <c r="G196" s="137" t="str">
        <f>G195</f>
        <v>General L&amp;P</v>
      </c>
      <c r="H196" s="138" t="s">
        <v>690</v>
      </c>
      <c r="I196" s="176" t="str">
        <f>TEXT(   (SUMPRODUCT( ((Main!$H$9:$H$1000)=$E196)*((Main!$J$9:$J$1000)=$F196)*((Main!$O$9:$O$1000)=$C196)*(Main!R$9:R$1000) ) +  ( SUMPRODUCT( ((Adders!$D$13:$D$101)=$E196)*((Adders!$E$13:$E$101)=$F196)*(Adders!G$13:G$101)) + VLOOKUP($H196,Adders!$B$5:$G$8,L$11,FALSE)  +  NJ!$D$2 ) * IF($D196="NJ",1.07,1))/$L$10, CHOOSE($M$10,$L$9,$M$9) )</f>
        <v xml:space="preserve"> 101.52 </v>
      </c>
      <c r="J196" s="176" t="str">
        <f>TEXT(   (SUMPRODUCT( ((Main!$H$9:$H$1000)=$E196)*((Main!$J$9:$J$1000)=$F196)*((Main!$O$9:$O$1000)=$C196)*(Main!S$9:S$1000) ) +  ( SUMPRODUCT( ((Adders!$D$13:$D$101)=$E196)*((Adders!$E$13:$E$101)=$F196)*(Adders!H$13:H$101)) + VLOOKUP($H196,Adders!$B$5:$G$8,M$11,FALSE)  +  NJ!$D$2 ) * IF($D196="NJ",1.07,1))/$L$10, CHOOSE($M$10,$L$9,$M$9) )</f>
        <v xml:space="preserve"> 101.17 </v>
      </c>
      <c r="K196" s="177" t="str">
        <f>TEXT(   (SUMPRODUCT( ((Main!$H$9:$H$1000)=$E196)*((Main!$J$9:$J$1000)=$F196)*((Main!$O$9:$O$1000)=$C196)*(Main!T$9:T$1000) ) +  ( SUMPRODUCT( ((Adders!$D$13:$D$101)=$E196)*((Adders!$E$13:$E$101)=$F196)*(Adders!I$13:I$101)) + VLOOKUP($H196,Adders!$B$5:$G$8,N$11,FALSE)  +  NJ!$D$2 ) * IF($D196="NJ",1.07,1))/$L$10, CHOOSE($M$10,$L$9,$M$9) )</f>
        <v xml:space="preserve"> 102.97 </v>
      </c>
      <c r="L196" s="176" t="str">
        <f>TEXT(   (SUMPRODUCT( ((LMPMain!$H$9:$H$1000)=$E196)*((LMPMain!$J$9:$J$1000)=$F196)*((LMPMain!$O$9:$O$1000)=$C196)*(LMPMain!R$9:R$1000) ) +  ( SUMPRODUCT( ((Adders!$D$13:$D$101)=$E196)*((Adders!$E$13:$E$101)=$F196)*(Adders!G$13:G$101)) + VLOOKUP($H196,Adders!$B$5:$G$8,L$11,FALSE)  +  NJ!$D$2 ) * IF($D196="NJ",1.07,1))/$L$10, CHOOSE($M$10,$L$9,$M$9) )</f>
        <v xml:space="preserve"> 62.45 </v>
      </c>
      <c r="M196" s="176" t="str">
        <f>TEXT(   (SUMPRODUCT( ((LMPMain!$H$9:$H$1000)=$E196)*((LMPMain!$J$9:$J$1000)=$F196)*((LMPMain!$O$9:$O$1000)=$C196)*(LMPMain!S$9:S$1000) ) +  ( SUMPRODUCT( ((Adders!$D$13:$D$101)=$E196)*((Adders!$E$13:$E$101)=$F196)*(Adders!H$13:H$101)) + VLOOKUP($H196,Adders!$B$5:$G$8,M$11,FALSE)  +  NJ!$D$2 ) * IF($D196="NJ",1.07,1))/$L$10, CHOOSE($M$10,$L$9,$M$9) )</f>
        <v xml:space="preserve"> 62.67 </v>
      </c>
      <c r="N196" s="177" t="str">
        <f>TEXT(   (SUMPRODUCT( ((LMPMain!$H$9:$H$1000)=$E196)*((LMPMain!$J$9:$J$1000)=$F196)*((LMPMain!$O$9:$O$1000)=$C196)*(LMPMain!T$9:T$1000) ) +  ( SUMPRODUCT( ((Adders!$D$13:$D$101)=$E196)*((Adders!$E$13:$E$101)=$F196)*(Adders!I$13:I$101)) + VLOOKUP($H196,Adders!$B$5:$G$8,N$11,FALSE)  +  NJ!$D$2 ) * IF($D196="NJ",1.07,1))/$L$10, CHOOSE($M$10,$L$9,$M$9) )</f>
        <v xml:space="preserve"> 63.99 </v>
      </c>
      <c r="O196" s="112"/>
    </row>
    <row r="197" spans="2:15" x14ac:dyDescent="0.25">
      <c r="B197" s="108"/>
      <c r="C197" s="127">
        <f t="shared" si="5"/>
        <v>42186</v>
      </c>
      <c r="D197" s="128" t="s">
        <v>31</v>
      </c>
      <c r="E197" s="129" t="s">
        <v>36</v>
      </c>
      <c r="F197" s="128" t="s">
        <v>37</v>
      </c>
      <c r="G197" s="129" t="str">
        <f t="shared" si="6"/>
        <v>General L&amp;P</v>
      </c>
      <c r="H197" s="130" t="s">
        <v>61</v>
      </c>
      <c r="I197" s="178" t="str">
        <f>TEXT(   (SUMPRODUCT( ((Main!$H$9:$H$1000)=$E197)*((Main!$J$9:$J$1000)=$F197)*((Main!$O$9:$O$1000)=$C197)*(Main!R$9:R$1000) ) +  ( SUMPRODUCT( ((Adders!$D$13:$D$101)=$E197)*((Adders!$E$13:$E$101)=$F197)*(Adders!G$13:G$101)) + VLOOKUP($H197,Adders!$B$5:$G$8,L$11,FALSE)  +  NJ!$D$2 ) * IF($D197="NJ",1.07,1))/$L$10, CHOOSE($M$10,$L$9,$M$9) )</f>
        <v xml:space="preserve"> 104.80 </v>
      </c>
      <c r="J197" s="178" t="str">
        <f>TEXT(   (SUMPRODUCT( ((Main!$H$9:$H$1000)=$E197)*((Main!$J$9:$J$1000)=$F197)*((Main!$O$9:$O$1000)=$C197)*(Main!S$9:S$1000) ) +  ( SUMPRODUCT( ((Adders!$D$13:$D$101)=$E197)*((Adders!$E$13:$E$101)=$F197)*(Adders!H$13:H$101)) + VLOOKUP($H197,Adders!$B$5:$G$8,M$11,FALSE)  +  NJ!$D$2 ) * IF($D197="NJ",1.07,1))/$L$10, CHOOSE($M$10,$L$9,$M$9) )</f>
        <v xml:space="preserve"> 104.38 </v>
      </c>
      <c r="K197" s="179" t="str">
        <f>TEXT(   (SUMPRODUCT( ((Main!$H$9:$H$1000)=$E197)*((Main!$J$9:$J$1000)=$F197)*((Main!$O$9:$O$1000)=$C197)*(Main!T$9:T$1000) ) +  ( SUMPRODUCT( ((Adders!$D$13:$D$101)=$E197)*((Adders!$E$13:$E$101)=$F197)*(Adders!I$13:I$101)) + VLOOKUP($H197,Adders!$B$5:$G$8,N$11,FALSE)  +  NJ!$D$2 ) * IF($D197="NJ",1.07,1))/$L$10, CHOOSE($M$10,$L$9,$M$9) )</f>
        <v xml:space="preserve"> 106.06 </v>
      </c>
      <c r="L197" s="178" t="str">
        <f>TEXT(   (SUMPRODUCT( ((LMPMain!$H$9:$H$1000)=$E197)*((LMPMain!$J$9:$J$1000)=$F197)*((LMPMain!$O$9:$O$1000)=$C197)*(LMPMain!R$9:R$1000) ) +  ( SUMPRODUCT( ((Adders!$D$13:$D$101)=$E197)*((Adders!$E$13:$E$101)=$F197)*(Adders!G$13:G$101)) + VLOOKUP($H197,Adders!$B$5:$G$8,L$11,FALSE)  +  NJ!$D$2 ) * IF($D197="NJ",1.07,1))/$L$10, CHOOSE($M$10,$L$9,$M$9) )</f>
        <v xml:space="preserve"> 65.56 </v>
      </c>
      <c r="M197" s="178" t="str">
        <f>TEXT(   (SUMPRODUCT( ((LMPMain!$H$9:$H$1000)=$E197)*((LMPMain!$J$9:$J$1000)=$F197)*((LMPMain!$O$9:$O$1000)=$C197)*(LMPMain!S$9:S$1000) ) +  ( SUMPRODUCT( ((Adders!$D$13:$D$101)=$E197)*((Adders!$E$13:$E$101)=$F197)*(Adders!H$13:H$101)) + VLOOKUP($H197,Adders!$B$5:$G$8,M$11,FALSE)  +  NJ!$D$2 ) * IF($D197="NJ",1.07,1))/$L$10, CHOOSE($M$10,$L$9,$M$9) )</f>
        <v xml:space="preserve"> 66.03 </v>
      </c>
      <c r="N197" s="179" t="str">
        <f>TEXT(   (SUMPRODUCT( ((LMPMain!$H$9:$H$1000)=$E197)*((LMPMain!$J$9:$J$1000)=$F197)*((LMPMain!$O$9:$O$1000)=$C197)*(LMPMain!T$9:T$1000) ) +  ( SUMPRODUCT( ((Adders!$D$13:$D$101)=$E197)*((Adders!$E$13:$E$101)=$F197)*(Adders!I$13:I$101)) + VLOOKUP($H197,Adders!$B$5:$G$8,N$11,FALSE)  +  NJ!$D$2 ) * IF($D197="NJ",1.07,1))/$L$10, CHOOSE($M$10,$L$9,$M$9) )</f>
        <v xml:space="preserve"> 67.01 </v>
      </c>
      <c r="O197" s="112"/>
    </row>
    <row r="198" spans="2:15" x14ac:dyDescent="0.25">
      <c r="B198" s="108"/>
      <c r="C198" s="131">
        <f t="shared" si="5"/>
        <v>42186</v>
      </c>
      <c r="D198" s="132" t="s">
        <v>31</v>
      </c>
      <c r="E198" s="133" t="s">
        <v>36</v>
      </c>
      <c r="F198" s="132" t="s">
        <v>37</v>
      </c>
      <c r="G198" s="133" t="str">
        <f t="shared" si="6"/>
        <v>General L&amp;P</v>
      </c>
      <c r="H198" s="134" t="s">
        <v>62</v>
      </c>
      <c r="I198" s="173" t="str">
        <f>TEXT(   (SUMPRODUCT( ((Main!$H$9:$H$1000)=$E198)*((Main!$J$9:$J$1000)=$F198)*((Main!$O$9:$O$1000)=$C198)*(Main!R$9:R$1000) ) +  ( SUMPRODUCT( ((Adders!$D$13:$D$101)=$E198)*((Adders!$E$13:$E$101)=$F198)*(Adders!G$13:G$101)) + VLOOKUP($H198,Adders!$B$5:$G$8,L$11,FALSE)  +  NJ!$D$2 ) * IF($D198="NJ",1.07,1))/$L$10, CHOOSE($M$10,$L$9,$M$9) )</f>
        <v xml:space="preserve"> 103.09 </v>
      </c>
      <c r="J198" s="173" t="str">
        <f>TEXT(   (SUMPRODUCT( ((Main!$H$9:$H$1000)=$E198)*((Main!$J$9:$J$1000)=$F198)*((Main!$O$9:$O$1000)=$C198)*(Main!S$9:S$1000) ) +  ( SUMPRODUCT( ((Adders!$D$13:$D$101)=$E198)*((Adders!$E$13:$E$101)=$F198)*(Adders!H$13:H$101)) + VLOOKUP($H198,Adders!$B$5:$G$8,M$11,FALSE)  +  NJ!$D$2 ) * IF($D198="NJ",1.07,1))/$L$10, CHOOSE($M$10,$L$9,$M$9) )</f>
        <v xml:space="preserve"> 102.67 </v>
      </c>
      <c r="K198" s="174" t="str">
        <f>TEXT(   (SUMPRODUCT( ((Main!$H$9:$H$1000)=$E198)*((Main!$J$9:$J$1000)=$F198)*((Main!$O$9:$O$1000)=$C198)*(Main!T$9:T$1000) ) +  ( SUMPRODUCT( ((Adders!$D$13:$D$101)=$E198)*((Adders!$E$13:$E$101)=$F198)*(Adders!I$13:I$101)) + VLOOKUP($H198,Adders!$B$5:$G$8,N$11,FALSE)  +  NJ!$D$2 ) * IF($D198="NJ",1.07,1))/$L$10, CHOOSE($M$10,$L$9,$M$9) )</f>
        <v xml:space="preserve"> 104.35 </v>
      </c>
      <c r="L198" s="173" t="str">
        <f>TEXT(   (SUMPRODUCT( ((LMPMain!$H$9:$H$1000)=$E198)*((LMPMain!$J$9:$J$1000)=$F198)*((LMPMain!$O$9:$O$1000)=$C198)*(LMPMain!R$9:R$1000) ) +  ( SUMPRODUCT( ((Adders!$D$13:$D$101)=$E198)*((Adders!$E$13:$E$101)=$F198)*(Adders!G$13:G$101)) + VLOOKUP($H198,Adders!$B$5:$G$8,L$11,FALSE)  +  NJ!$D$2 ) * IF($D198="NJ",1.07,1))/$L$10, CHOOSE($M$10,$L$9,$M$9) )</f>
        <v xml:space="preserve"> 63.85 </v>
      </c>
      <c r="M198" s="173" t="str">
        <f>TEXT(   (SUMPRODUCT( ((LMPMain!$H$9:$H$1000)=$E198)*((LMPMain!$J$9:$J$1000)=$F198)*((LMPMain!$O$9:$O$1000)=$C198)*(LMPMain!S$9:S$1000) ) +  ( SUMPRODUCT( ((Adders!$D$13:$D$101)=$E198)*((Adders!$E$13:$E$101)=$F198)*(Adders!H$13:H$101)) + VLOOKUP($H198,Adders!$B$5:$G$8,M$11,FALSE)  +  NJ!$D$2 ) * IF($D198="NJ",1.07,1))/$L$10, CHOOSE($M$10,$L$9,$M$9) )</f>
        <v xml:space="preserve"> 64.31 </v>
      </c>
      <c r="N198" s="174" t="str">
        <f>TEXT(   (SUMPRODUCT( ((LMPMain!$H$9:$H$1000)=$E198)*((LMPMain!$J$9:$J$1000)=$F198)*((LMPMain!$O$9:$O$1000)=$C198)*(LMPMain!T$9:T$1000) ) +  ( SUMPRODUCT( ((Adders!$D$13:$D$101)=$E198)*((Adders!$E$13:$E$101)=$F198)*(Adders!I$13:I$101)) + VLOOKUP($H198,Adders!$B$5:$G$8,N$11,FALSE)  +  NJ!$D$2 ) * IF($D198="NJ",1.07,1))/$L$10, CHOOSE($M$10,$L$9,$M$9) )</f>
        <v xml:space="preserve"> 65.30 </v>
      </c>
      <c r="O198" s="112"/>
    </row>
    <row r="199" spans="2:15" x14ac:dyDescent="0.25">
      <c r="B199" s="108"/>
      <c r="C199" s="135">
        <f t="shared" si="5"/>
        <v>42186</v>
      </c>
      <c r="D199" s="136" t="s">
        <v>31</v>
      </c>
      <c r="E199" s="137" t="s">
        <v>36</v>
      </c>
      <c r="F199" s="136" t="s">
        <v>37</v>
      </c>
      <c r="G199" s="137" t="str">
        <f t="shared" si="6"/>
        <v>General L&amp;P</v>
      </c>
      <c r="H199" s="138" t="s">
        <v>690</v>
      </c>
      <c r="I199" s="176" t="str">
        <f>TEXT(   (SUMPRODUCT( ((Main!$H$9:$H$1000)=$E199)*((Main!$J$9:$J$1000)=$F199)*((Main!$O$9:$O$1000)=$C199)*(Main!R$9:R$1000) ) +  ( SUMPRODUCT( ((Adders!$D$13:$D$101)=$E199)*((Adders!$E$13:$E$101)=$F199)*(Adders!G$13:G$101)) + VLOOKUP($H199,Adders!$B$5:$G$8,L$11,FALSE)  +  NJ!$D$2 ) * IF($D199="NJ",1.07,1))/$L$10, CHOOSE($M$10,$L$9,$M$9) )</f>
        <v xml:space="preserve"> 101.97 </v>
      </c>
      <c r="J199" s="176" t="str">
        <f>TEXT(   (SUMPRODUCT( ((Main!$H$9:$H$1000)=$E199)*((Main!$J$9:$J$1000)=$F199)*((Main!$O$9:$O$1000)=$C199)*(Main!S$9:S$1000) ) +  ( SUMPRODUCT( ((Adders!$D$13:$D$101)=$E199)*((Adders!$E$13:$E$101)=$F199)*(Adders!H$13:H$101)) + VLOOKUP($H199,Adders!$B$5:$G$8,M$11,FALSE)  +  NJ!$D$2 ) * IF($D199="NJ",1.07,1))/$L$10, CHOOSE($M$10,$L$9,$M$9) )</f>
        <v xml:space="preserve"> 101.55 </v>
      </c>
      <c r="K199" s="177" t="str">
        <f>TEXT(   (SUMPRODUCT( ((Main!$H$9:$H$1000)=$E199)*((Main!$J$9:$J$1000)=$F199)*((Main!$O$9:$O$1000)=$C199)*(Main!T$9:T$1000) ) +  ( SUMPRODUCT( ((Adders!$D$13:$D$101)=$E199)*((Adders!$E$13:$E$101)=$F199)*(Adders!I$13:I$101)) + VLOOKUP($H199,Adders!$B$5:$G$8,N$11,FALSE)  +  NJ!$D$2 ) * IF($D199="NJ",1.07,1))/$L$10, CHOOSE($M$10,$L$9,$M$9) )</f>
        <v xml:space="preserve"> 103.23 </v>
      </c>
      <c r="L199" s="176" t="str">
        <f>TEXT(   (SUMPRODUCT( ((LMPMain!$H$9:$H$1000)=$E199)*((LMPMain!$J$9:$J$1000)=$F199)*((LMPMain!$O$9:$O$1000)=$C199)*(LMPMain!R$9:R$1000) ) +  ( SUMPRODUCT( ((Adders!$D$13:$D$101)=$E199)*((Adders!$E$13:$E$101)=$F199)*(Adders!G$13:G$101)) + VLOOKUP($H199,Adders!$B$5:$G$8,L$11,FALSE)  +  NJ!$D$2 ) * IF($D199="NJ",1.07,1))/$L$10, CHOOSE($M$10,$L$9,$M$9) )</f>
        <v xml:space="preserve"> 62.72 </v>
      </c>
      <c r="M199" s="176" t="str">
        <f>TEXT(   (SUMPRODUCT( ((LMPMain!$H$9:$H$1000)=$E199)*((LMPMain!$J$9:$J$1000)=$F199)*((LMPMain!$O$9:$O$1000)=$C199)*(LMPMain!S$9:S$1000) ) +  ( SUMPRODUCT( ((Adders!$D$13:$D$101)=$E199)*((Adders!$E$13:$E$101)=$F199)*(Adders!H$13:H$101)) + VLOOKUP($H199,Adders!$B$5:$G$8,M$11,FALSE)  +  NJ!$D$2 ) * IF($D199="NJ",1.07,1))/$L$10, CHOOSE($M$10,$L$9,$M$9) )</f>
        <v xml:space="preserve"> 63.19 </v>
      </c>
      <c r="N199" s="177" t="str">
        <f>TEXT(   (SUMPRODUCT( ((LMPMain!$H$9:$H$1000)=$E199)*((LMPMain!$J$9:$J$1000)=$F199)*((LMPMain!$O$9:$O$1000)=$C199)*(LMPMain!T$9:T$1000) ) +  ( SUMPRODUCT( ((Adders!$D$13:$D$101)=$E199)*((Adders!$E$13:$E$101)=$F199)*(Adders!I$13:I$101)) + VLOOKUP($H199,Adders!$B$5:$G$8,N$11,FALSE)  +  NJ!$D$2 ) * IF($D199="NJ",1.07,1))/$L$10, CHOOSE($M$10,$L$9,$M$9) )</f>
        <v xml:space="preserve"> 64.18 </v>
      </c>
      <c r="O199" s="112"/>
    </row>
    <row r="200" spans="2:15" x14ac:dyDescent="0.25">
      <c r="B200" s="108"/>
      <c r="C200" s="127">
        <f t="shared" si="5"/>
        <v>42217</v>
      </c>
      <c r="D200" s="128" t="s">
        <v>31</v>
      </c>
      <c r="E200" s="129" t="s">
        <v>36</v>
      </c>
      <c r="F200" s="128" t="s">
        <v>37</v>
      </c>
      <c r="G200" s="129" t="str">
        <f t="shared" si="6"/>
        <v>General L&amp;P</v>
      </c>
      <c r="H200" s="130" t="s">
        <v>61</v>
      </c>
      <c r="I200" s="178" t="str">
        <f>TEXT(   (SUMPRODUCT( ((Main!$H$9:$H$1000)=$E200)*((Main!$J$9:$J$1000)=$F200)*((Main!$O$9:$O$1000)=$C200)*(Main!R$9:R$1000) ) +  ( SUMPRODUCT( ((Adders!$D$13:$D$101)=$E200)*((Adders!$E$13:$E$101)=$F200)*(Adders!G$13:G$101)) + VLOOKUP($H200,Adders!$B$5:$G$8,L$11,FALSE)  +  NJ!$D$2 ) * IF($D200="NJ",1.07,1))/$L$10, CHOOSE($M$10,$L$9,$M$9) )</f>
        <v xml:space="preserve"> 104.92 </v>
      </c>
      <c r="J200" s="178" t="str">
        <f>TEXT(   (SUMPRODUCT( ((Main!$H$9:$H$1000)=$E200)*((Main!$J$9:$J$1000)=$F200)*((Main!$O$9:$O$1000)=$C200)*(Main!S$9:S$1000) ) +  ( SUMPRODUCT( ((Adders!$D$13:$D$101)=$E200)*((Adders!$E$13:$E$101)=$F200)*(Adders!H$13:H$101)) + VLOOKUP($H200,Adders!$B$5:$G$8,M$11,FALSE)  +  NJ!$D$2 ) * IF($D200="NJ",1.07,1))/$L$10, CHOOSE($M$10,$L$9,$M$9) )</f>
        <v xml:space="preserve"> 105.47 </v>
      </c>
      <c r="K200" s="179" t="str">
        <f>TEXT(   (SUMPRODUCT( ((Main!$H$9:$H$1000)=$E200)*((Main!$J$9:$J$1000)=$F200)*((Main!$O$9:$O$1000)=$C200)*(Main!T$9:T$1000) ) +  ( SUMPRODUCT( ((Adders!$D$13:$D$101)=$E200)*((Adders!$E$13:$E$101)=$F200)*(Adders!I$13:I$101)) + VLOOKUP($H200,Adders!$B$5:$G$8,N$11,FALSE)  +  NJ!$D$2 ) * IF($D200="NJ",1.07,1))/$L$10, CHOOSE($M$10,$L$9,$M$9) )</f>
        <v xml:space="preserve"> 106.33 </v>
      </c>
      <c r="L200" s="178" t="str">
        <f>TEXT(   (SUMPRODUCT( ((LMPMain!$H$9:$H$1000)=$E200)*((LMPMain!$J$9:$J$1000)=$F200)*((LMPMain!$O$9:$O$1000)=$C200)*(LMPMain!R$9:R$1000) ) +  ( SUMPRODUCT( ((Adders!$D$13:$D$101)=$E200)*((Adders!$E$13:$E$101)=$F200)*(Adders!G$13:G$101)) + VLOOKUP($H200,Adders!$B$5:$G$8,L$11,FALSE)  +  NJ!$D$2 ) * IF($D200="NJ",1.07,1))/$L$10, CHOOSE($M$10,$L$9,$M$9) )</f>
        <v xml:space="preserve"> 65.88 </v>
      </c>
      <c r="M200" s="178" t="str">
        <f>TEXT(   (SUMPRODUCT( ((LMPMain!$H$9:$H$1000)=$E200)*((LMPMain!$J$9:$J$1000)=$F200)*((LMPMain!$O$9:$O$1000)=$C200)*(LMPMain!S$9:S$1000) ) +  ( SUMPRODUCT( ((Adders!$D$13:$D$101)=$E200)*((Adders!$E$13:$E$101)=$F200)*(Adders!H$13:H$101)) + VLOOKUP($H200,Adders!$B$5:$G$8,M$11,FALSE)  +  NJ!$D$2 ) * IF($D200="NJ",1.07,1))/$L$10, CHOOSE($M$10,$L$9,$M$9) )</f>
        <v xml:space="preserve"> 66.87 </v>
      </c>
      <c r="N200" s="179" t="str">
        <f>TEXT(   (SUMPRODUCT( ((LMPMain!$H$9:$H$1000)=$E200)*((LMPMain!$J$9:$J$1000)=$F200)*((LMPMain!$O$9:$O$1000)=$C200)*(LMPMain!T$9:T$1000) ) +  ( SUMPRODUCT( ((Adders!$D$13:$D$101)=$E200)*((Adders!$E$13:$E$101)=$F200)*(Adders!I$13:I$101)) + VLOOKUP($H200,Adders!$B$5:$G$8,N$11,FALSE)  +  NJ!$D$2 ) * IF($D200="NJ",1.07,1))/$L$10, CHOOSE($M$10,$L$9,$M$9) )</f>
        <v xml:space="preserve"> 67.26 </v>
      </c>
      <c r="O200" s="112"/>
    </row>
    <row r="201" spans="2:15" x14ac:dyDescent="0.25">
      <c r="B201" s="108"/>
      <c r="C201" s="131">
        <f t="shared" si="5"/>
        <v>42217</v>
      </c>
      <c r="D201" s="132" t="s">
        <v>31</v>
      </c>
      <c r="E201" s="133" t="s">
        <v>36</v>
      </c>
      <c r="F201" s="132" t="s">
        <v>37</v>
      </c>
      <c r="G201" s="133" t="str">
        <f t="shared" si="6"/>
        <v>General L&amp;P</v>
      </c>
      <c r="H201" s="134" t="s">
        <v>62</v>
      </c>
      <c r="I201" s="173" t="str">
        <f>TEXT(   (SUMPRODUCT( ((Main!$H$9:$H$1000)=$E201)*((Main!$J$9:$J$1000)=$F201)*((Main!$O$9:$O$1000)=$C201)*(Main!R$9:R$1000) ) +  ( SUMPRODUCT( ((Adders!$D$13:$D$101)=$E201)*((Adders!$E$13:$E$101)=$F201)*(Adders!G$13:G$101)) + VLOOKUP($H201,Adders!$B$5:$G$8,L$11,FALSE)  +  NJ!$D$2 ) * IF($D201="NJ",1.07,1))/$L$10, CHOOSE($M$10,$L$9,$M$9) )</f>
        <v xml:space="preserve"> 103.21 </v>
      </c>
      <c r="J201" s="173" t="str">
        <f>TEXT(   (SUMPRODUCT( ((Main!$H$9:$H$1000)=$E201)*((Main!$J$9:$J$1000)=$F201)*((Main!$O$9:$O$1000)=$C201)*(Main!S$9:S$1000) ) +  ( SUMPRODUCT( ((Adders!$D$13:$D$101)=$E201)*((Adders!$E$13:$E$101)=$F201)*(Adders!H$13:H$101)) + VLOOKUP($H201,Adders!$B$5:$G$8,M$11,FALSE)  +  NJ!$D$2 ) * IF($D201="NJ",1.07,1))/$L$10, CHOOSE($M$10,$L$9,$M$9) )</f>
        <v xml:space="preserve"> 103.76 </v>
      </c>
      <c r="K201" s="174" t="str">
        <f>TEXT(   (SUMPRODUCT( ((Main!$H$9:$H$1000)=$E201)*((Main!$J$9:$J$1000)=$F201)*((Main!$O$9:$O$1000)=$C201)*(Main!T$9:T$1000) ) +  ( SUMPRODUCT( ((Adders!$D$13:$D$101)=$E201)*((Adders!$E$13:$E$101)=$F201)*(Adders!I$13:I$101)) + VLOOKUP($H201,Adders!$B$5:$G$8,N$11,FALSE)  +  NJ!$D$2 ) * IF($D201="NJ",1.07,1))/$L$10, CHOOSE($M$10,$L$9,$M$9) )</f>
        <v xml:space="preserve"> 104.62 </v>
      </c>
      <c r="L201" s="173" t="str">
        <f>TEXT(   (SUMPRODUCT( ((LMPMain!$H$9:$H$1000)=$E201)*((LMPMain!$J$9:$J$1000)=$F201)*((LMPMain!$O$9:$O$1000)=$C201)*(LMPMain!R$9:R$1000) ) +  ( SUMPRODUCT( ((Adders!$D$13:$D$101)=$E201)*((Adders!$E$13:$E$101)=$F201)*(Adders!G$13:G$101)) + VLOOKUP($H201,Adders!$B$5:$G$8,L$11,FALSE)  +  NJ!$D$2 ) * IF($D201="NJ",1.07,1))/$L$10, CHOOSE($M$10,$L$9,$M$9) )</f>
        <v xml:space="preserve"> 64.17 </v>
      </c>
      <c r="M201" s="173" t="str">
        <f>TEXT(   (SUMPRODUCT( ((LMPMain!$H$9:$H$1000)=$E201)*((LMPMain!$J$9:$J$1000)=$F201)*((LMPMain!$O$9:$O$1000)=$C201)*(LMPMain!S$9:S$1000) ) +  ( SUMPRODUCT( ((Adders!$D$13:$D$101)=$E201)*((Adders!$E$13:$E$101)=$F201)*(Adders!H$13:H$101)) + VLOOKUP($H201,Adders!$B$5:$G$8,M$11,FALSE)  +  NJ!$D$2 ) * IF($D201="NJ",1.07,1))/$L$10, CHOOSE($M$10,$L$9,$M$9) )</f>
        <v xml:space="preserve"> 65.15 </v>
      </c>
      <c r="N201" s="174" t="str">
        <f>TEXT(   (SUMPRODUCT( ((LMPMain!$H$9:$H$1000)=$E201)*((LMPMain!$J$9:$J$1000)=$F201)*((LMPMain!$O$9:$O$1000)=$C201)*(LMPMain!T$9:T$1000) ) +  ( SUMPRODUCT( ((Adders!$D$13:$D$101)=$E201)*((Adders!$E$13:$E$101)=$F201)*(Adders!I$13:I$101)) + VLOOKUP($H201,Adders!$B$5:$G$8,N$11,FALSE)  +  NJ!$D$2 ) * IF($D201="NJ",1.07,1))/$L$10, CHOOSE($M$10,$L$9,$M$9) )</f>
        <v xml:space="preserve"> 65.55 </v>
      </c>
      <c r="O201" s="112"/>
    </row>
    <row r="202" spans="2:15" x14ac:dyDescent="0.25">
      <c r="B202" s="108"/>
      <c r="C202" s="135">
        <f t="shared" si="5"/>
        <v>42217</v>
      </c>
      <c r="D202" s="136" t="s">
        <v>31</v>
      </c>
      <c r="E202" s="137" t="s">
        <v>36</v>
      </c>
      <c r="F202" s="136" t="s">
        <v>37</v>
      </c>
      <c r="G202" s="137" t="str">
        <f t="shared" si="6"/>
        <v>General L&amp;P</v>
      </c>
      <c r="H202" s="138" t="s">
        <v>690</v>
      </c>
      <c r="I202" s="176" t="str">
        <f>TEXT(   (SUMPRODUCT( ((Main!$H$9:$H$1000)=$E202)*((Main!$J$9:$J$1000)=$F202)*((Main!$O$9:$O$1000)=$C202)*(Main!R$9:R$1000) ) +  ( SUMPRODUCT( ((Adders!$D$13:$D$101)=$E202)*((Adders!$E$13:$E$101)=$F202)*(Adders!G$13:G$101)) + VLOOKUP($H202,Adders!$B$5:$G$8,L$11,FALSE)  +  NJ!$D$2 ) * IF($D202="NJ",1.07,1))/$L$10, CHOOSE($M$10,$L$9,$M$9) )</f>
        <v xml:space="preserve"> 102.09 </v>
      </c>
      <c r="J202" s="176" t="str">
        <f>TEXT(   (SUMPRODUCT( ((Main!$H$9:$H$1000)=$E202)*((Main!$J$9:$J$1000)=$F202)*((Main!$O$9:$O$1000)=$C202)*(Main!S$9:S$1000) ) +  ( SUMPRODUCT( ((Adders!$D$13:$D$101)=$E202)*((Adders!$E$13:$E$101)=$F202)*(Adders!H$13:H$101)) + VLOOKUP($H202,Adders!$B$5:$G$8,M$11,FALSE)  +  NJ!$D$2 ) * IF($D202="NJ",1.07,1))/$L$10, CHOOSE($M$10,$L$9,$M$9) )</f>
        <v xml:space="preserve"> 102.64 </v>
      </c>
      <c r="K202" s="177" t="str">
        <f>TEXT(   (SUMPRODUCT( ((Main!$H$9:$H$1000)=$E202)*((Main!$J$9:$J$1000)=$F202)*((Main!$O$9:$O$1000)=$C202)*(Main!T$9:T$1000) ) +  ( SUMPRODUCT( ((Adders!$D$13:$D$101)=$E202)*((Adders!$E$13:$E$101)=$F202)*(Adders!I$13:I$101)) + VLOOKUP($H202,Adders!$B$5:$G$8,N$11,FALSE)  +  NJ!$D$2 ) * IF($D202="NJ",1.07,1))/$L$10, CHOOSE($M$10,$L$9,$M$9) )</f>
        <v xml:space="preserve"> 103.50 </v>
      </c>
      <c r="L202" s="176" t="str">
        <f>TEXT(   (SUMPRODUCT( ((LMPMain!$H$9:$H$1000)=$E202)*((LMPMain!$J$9:$J$1000)=$F202)*((LMPMain!$O$9:$O$1000)=$C202)*(LMPMain!R$9:R$1000) ) +  ( SUMPRODUCT( ((Adders!$D$13:$D$101)=$E202)*((Adders!$E$13:$E$101)=$F202)*(Adders!G$13:G$101)) + VLOOKUP($H202,Adders!$B$5:$G$8,L$11,FALSE)  +  NJ!$D$2 ) * IF($D202="NJ",1.07,1))/$L$10, CHOOSE($M$10,$L$9,$M$9) )</f>
        <v xml:space="preserve"> 63.05 </v>
      </c>
      <c r="M202" s="176" t="str">
        <f>TEXT(   (SUMPRODUCT( ((LMPMain!$H$9:$H$1000)=$E202)*((LMPMain!$J$9:$J$1000)=$F202)*((LMPMain!$O$9:$O$1000)=$C202)*(LMPMain!S$9:S$1000) ) +  ( SUMPRODUCT( ((Adders!$D$13:$D$101)=$E202)*((Adders!$E$13:$E$101)=$F202)*(Adders!H$13:H$101)) + VLOOKUP($H202,Adders!$B$5:$G$8,M$11,FALSE)  +  NJ!$D$2 ) * IF($D202="NJ",1.07,1))/$L$10, CHOOSE($M$10,$L$9,$M$9) )</f>
        <v xml:space="preserve"> 64.03 </v>
      </c>
      <c r="N202" s="177" t="str">
        <f>TEXT(   (SUMPRODUCT( ((LMPMain!$H$9:$H$1000)=$E202)*((LMPMain!$J$9:$J$1000)=$F202)*((LMPMain!$O$9:$O$1000)=$C202)*(LMPMain!T$9:T$1000) ) +  ( SUMPRODUCT( ((Adders!$D$13:$D$101)=$E202)*((Adders!$E$13:$E$101)=$F202)*(Adders!I$13:I$101)) + VLOOKUP($H202,Adders!$B$5:$G$8,N$11,FALSE)  +  NJ!$D$2 ) * IF($D202="NJ",1.07,1))/$L$10, CHOOSE($M$10,$L$9,$M$9) )</f>
        <v xml:space="preserve"> 64.43 </v>
      </c>
      <c r="O202" s="112"/>
    </row>
    <row r="203" spans="2:15" x14ac:dyDescent="0.25">
      <c r="B203" s="108"/>
      <c r="C203" s="127">
        <f t="shared" si="5"/>
        <v>42248</v>
      </c>
      <c r="D203" s="128" t="s">
        <v>31</v>
      </c>
      <c r="E203" s="129" t="s">
        <v>36</v>
      </c>
      <c r="F203" s="128" t="s">
        <v>37</v>
      </c>
      <c r="G203" s="129" t="str">
        <f t="shared" si="6"/>
        <v>General L&amp;P</v>
      </c>
      <c r="H203" s="130" t="s">
        <v>61</v>
      </c>
      <c r="I203" s="178" t="str">
        <f>TEXT(   (SUMPRODUCT( ((Main!$H$9:$H$1000)=$E203)*((Main!$J$9:$J$1000)=$F203)*((Main!$O$9:$O$1000)=$C203)*(Main!R$9:R$1000) ) +  ( SUMPRODUCT( ((Adders!$D$13:$D$101)=$E203)*((Adders!$E$13:$E$101)=$F203)*(Adders!G$13:G$101)) + VLOOKUP($H203,Adders!$B$5:$G$8,L$11,FALSE)  +  NJ!$D$2 ) * IF($D203="NJ",1.07,1))/$L$10, CHOOSE($M$10,$L$9,$M$9) )</f>
        <v xml:space="preserve"> 105.31 </v>
      </c>
      <c r="J203" s="178" t="str">
        <f>TEXT(   (SUMPRODUCT( ((Main!$H$9:$H$1000)=$E203)*((Main!$J$9:$J$1000)=$F203)*((Main!$O$9:$O$1000)=$C203)*(Main!S$9:S$1000) ) +  ( SUMPRODUCT( ((Adders!$D$13:$D$101)=$E203)*((Adders!$E$13:$E$101)=$F203)*(Adders!H$13:H$101)) + VLOOKUP($H203,Adders!$B$5:$G$8,M$11,FALSE)  +  NJ!$D$2 ) * IF($D203="NJ",1.07,1))/$L$10, CHOOSE($M$10,$L$9,$M$9) )</f>
        <v xml:space="preserve"> 106.54 </v>
      </c>
      <c r="K203" s="179" t="str">
        <f>TEXT(   (SUMPRODUCT( ((Main!$H$9:$H$1000)=$E203)*((Main!$J$9:$J$1000)=$F203)*((Main!$O$9:$O$1000)=$C203)*(Main!T$9:T$1000) ) +  ( SUMPRODUCT( ((Adders!$D$13:$D$101)=$E203)*((Adders!$E$13:$E$101)=$F203)*(Adders!I$13:I$101)) + VLOOKUP($H203,Adders!$B$5:$G$8,N$11,FALSE)  +  NJ!$D$2 ) * IF($D203="NJ",1.07,1))/$L$10, CHOOSE($M$10,$L$9,$M$9) )</f>
        <v xml:space="preserve"> 106.71 </v>
      </c>
      <c r="L203" s="178" t="str">
        <f>TEXT(   (SUMPRODUCT( ((LMPMain!$H$9:$H$1000)=$E203)*((LMPMain!$J$9:$J$1000)=$F203)*((LMPMain!$O$9:$O$1000)=$C203)*(LMPMain!R$9:R$1000) ) +  ( SUMPRODUCT( ((Adders!$D$13:$D$101)=$E203)*((Adders!$E$13:$E$101)=$F203)*(Adders!G$13:G$101)) + VLOOKUP($H203,Adders!$B$5:$G$8,L$11,FALSE)  +  NJ!$D$2 ) * IF($D203="NJ",1.07,1))/$L$10, CHOOSE($M$10,$L$9,$M$9) )</f>
        <v xml:space="preserve"> 66.16 </v>
      </c>
      <c r="M203" s="178" t="str">
        <f>TEXT(   (SUMPRODUCT( ((LMPMain!$H$9:$H$1000)=$E203)*((LMPMain!$J$9:$J$1000)=$F203)*((LMPMain!$O$9:$O$1000)=$C203)*(LMPMain!S$9:S$1000) ) +  ( SUMPRODUCT( ((Adders!$D$13:$D$101)=$E203)*((Adders!$E$13:$E$101)=$F203)*(Adders!H$13:H$101)) + VLOOKUP($H203,Adders!$B$5:$G$8,M$11,FALSE)  +  NJ!$D$2 ) * IF($D203="NJ",1.07,1))/$L$10, CHOOSE($M$10,$L$9,$M$9) )</f>
        <v xml:space="preserve"> 67.51 </v>
      </c>
      <c r="N203" s="179" t="str">
        <f>TEXT(   (SUMPRODUCT( ((LMPMain!$H$9:$H$1000)=$E203)*((LMPMain!$J$9:$J$1000)=$F203)*((LMPMain!$O$9:$O$1000)=$C203)*(LMPMain!T$9:T$1000) ) +  ( SUMPRODUCT( ((Adders!$D$13:$D$101)=$E203)*((Adders!$E$13:$E$101)=$F203)*(Adders!I$13:I$101)) + VLOOKUP($H203,Adders!$B$5:$G$8,N$11,FALSE)  +  NJ!$D$2 ) * IF($D203="NJ",1.07,1))/$L$10, CHOOSE($M$10,$L$9,$M$9) )</f>
        <v xml:space="preserve"> 67.41 </v>
      </c>
      <c r="O203" s="112"/>
    </row>
    <row r="204" spans="2:15" x14ac:dyDescent="0.25">
      <c r="B204" s="108"/>
      <c r="C204" s="131">
        <f t="shared" si="5"/>
        <v>42248</v>
      </c>
      <c r="D204" s="132" t="s">
        <v>31</v>
      </c>
      <c r="E204" s="133" t="s">
        <v>36</v>
      </c>
      <c r="F204" s="132" t="s">
        <v>37</v>
      </c>
      <c r="G204" s="133" t="str">
        <f t="shared" si="6"/>
        <v>General L&amp;P</v>
      </c>
      <c r="H204" s="134" t="s">
        <v>62</v>
      </c>
      <c r="I204" s="173" t="str">
        <f>TEXT(   (SUMPRODUCT( ((Main!$H$9:$H$1000)=$E204)*((Main!$J$9:$J$1000)=$F204)*((Main!$O$9:$O$1000)=$C204)*(Main!R$9:R$1000) ) +  ( SUMPRODUCT( ((Adders!$D$13:$D$101)=$E204)*((Adders!$E$13:$E$101)=$F204)*(Adders!G$13:G$101)) + VLOOKUP($H204,Adders!$B$5:$G$8,L$11,FALSE)  +  NJ!$D$2 ) * IF($D204="NJ",1.07,1))/$L$10, CHOOSE($M$10,$L$9,$M$9) )</f>
        <v xml:space="preserve"> 103.60 </v>
      </c>
      <c r="J204" s="173" t="str">
        <f>TEXT(   (SUMPRODUCT( ((Main!$H$9:$H$1000)=$E204)*((Main!$J$9:$J$1000)=$F204)*((Main!$O$9:$O$1000)=$C204)*(Main!S$9:S$1000) ) +  ( SUMPRODUCT( ((Adders!$D$13:$D$101)=$E204)*((Adders!$E$13:$E$101)=$F204)*(Adders!H$13:H$101)) + VLOOKUP($H204,Adders!$B$5:$G$8,M$11,FALSE)  +  NJ!$D$2 ) * IF($D204="NJ",1.07,1))/$L$10, CHOOSE($M$10,$L$9,$M$9) )</f>
        <v xml:space="preserve"> 104.83 </v>
      </c>
      <c r="K204" s="174" t="str">
        <f>TEXT(   (SUMPRODUCT( ((Main!$H$9:$H$1000)=$E204)*((Main!$J$9:$J$1000)=$F204)*((Main!$O$9:$O$1000)=$C204)*(Main!T$9:T$1000) ) +  ( SUMPRODUCT( ((Adders!$D$13:$D$101)=$E204)*((Adders!$E$13:$E$101)=$F204)*(Adders!I$13:I$101)) + VLOOKUP($H204,Adders!$B$5:$G$8,N$11,FALSE)  +  NJ!$D$2 ) * IF($D204="NJ",1.07,1))/$L$10, CHOOSE($M$10,$L$9,$M$9) )</f>
        <v xml:space="preserve"> 105.00 </v>
      </c>
      <c r="L204" s="173" t="str">
        <f>TEXT(   (SUMPRODUCT( ((LMPMain!$H$9:$H$1000)=$E204)*((LMPMain!$J$9:$J$1000)=$F204)*((LMPMain!$O$9:$O$1000)=$C204)*(LMPMain!R$9:R$1000) ) +  ( SUMPRODUCT( ((Adders!$D$13:$D$101)=$E204)*((Adders!$E$13:$E$101)=$F204)*(Adders!G$13:G$101)) + VLOOKUP($H204,Adders!$B$5:$G$8,L$11,FALSE)  +  NJ!$D$2 ) * IF($D204="NJ",1.07,1))/$L$10, CHOOSE($M$10,$L$9,$M$9) )</f>
        <v xml:space="preserve"> 64.44 </v>
      </c>
      <c r="M204" s="173" t="str">
        <f>TEXT(   (SUMPRODUCT( ((LMPMain!$H$9:$H$1000)=$E204)*((LMPMain!$J$9:$J$1000)=$F204)*((LMPMain!$O$9:$O$1000)=$C204)*(LMPMain!S$9:S$1000) ) +  ( SUMPRODUCT( ((Adders!$D$13:$D$101)=$E204)*((Adders!$E$13:$E$101)=$F204)*(Adders!H$13:H$101)) + VLOOKUP($H204,Adders!$B$5:$G$8,M$11,FALSE)  +  NJ!$D$2 ) * IF($D204="NJ",1.07,1))/$L$10, CHOOSE($M$10,$L$9,$M$9) )</f>
        <v xml:space="preserve"> 65.80 </v>
      </c>
      <c r="N204" s="174" t="str">
        <f>TEXT(   (SUMPRODUCT( ((LMPMain!$H$9:$H$1000)=$E204)*((LMPMain!$J$9:$J$1000)=$F204)*((LMPMain!$O$9:$O$1000)=$C204)*(LMPMain!T$9:T$1000) ) +  ( SUMPRODUCT( ((Adders!$D$13:$D$101)=$E204)*((Adders!$E$13:$E$101)=$F204)*(Adders!I$13:I$101)) + VLOOKUP($H204,Adders!$B$5:$G$8,N$11,FALSE)  +  NJ!$D$2 ) * IF($D204="NJ",1.07,1))/$L$10, CHOOSE($M$10,$L$9,$M$9) )</f>
        <v xml:space="preserve"> 65.70 </v>
      </c>
      <c r="O204" s="112"/>
    </row>
    <row r="205" spans="2:15" x14ac:dyDescent="0.25">
      <c r="B205" s="108"/>
      <c r="C205" s="135">
        <f t="shared" si="5"/>
        <v>42248</v>
      </c>
      <c r="D205" s="136" t="s">
        <v>31</v>
      </c>
      <c r="E205" s="137" t="s">
        <v>36</v>
      </c>
      <c r="F205" s="136" t="s">
        <v>37</v>
      </c>
      <c r="G205" s="137" t="str">
        <f t="shared" si="6"/>
        <v>General L&amp;P</v>
      </c>
      <c r="H205" s="138" t="s">
        <v>690</v>
      </c>
      <c r="I205" s="176" t="str">
        <f>TEXT(   (SUMPRODUCT( ((Main!$H$9:$H$1000)=$E205)*((Main!$J$9:$J$1000)=$F205)*((Main!$O$9:$O$1000)=$C205)*(Main!R$9:R$1000) ) +  ( SUMPRODUCT( ((Adders!$D$13:$D$101)=$E205)*((Adders!$E$13:$E$101)=$F205)*(Adders!G$13:G$101)) + VLOOKUP($H205,Adders!$B$5:$G$8,L$11,FALSE)  +  NJ!$D$2 ) * IF($D205="NJ",1.07,1))/$L$10, CHOOSE($M$10,$L$9,$M$9) )</f>
        <v xml:space="preserve"> 102.48 </v>
      </c>
      <c r="J205" s="176" t="str">
        <f>TEXT(   (SUMPRODUCT( ((Main!$H$9:$H$1000)=$E205)*((Main!$J$9:$J$1000)=$F205)*((Main!$O$9:$O$1000)=$C205)*(Main!S$9:S$1000) ) +  ( SUMPRODUCT( ((Adders!$D$13:$D$101)=$E205)*((Adders!$E$13:$E$101)=$F205)*(Adders!H$13:H$101)) + VLOOKUP($H205,Adders!$B$5:$G$8,M$11,FALSE)  +  NJ!$D$2 ) * IF($D205="NJ",1.07,1))/$L$10, CHOOSE($M$10,$L$9,$M$9) )</f>
        <v xml:space="preserve"> 103.71 </v>
      </c>
      <c r="K205" s="177" t="str">
        <f>TEXT(   (SUMPRODUCT( ((Main!$H$9:$H$1000)=$E205)*((Main!$J$9:$J$1000)=$F205)*((Main!$O$9:$O$1000)=$C205)*(Main!T$9:T$1000) ) +  ( SUMPRODUCT( ((Adders!$D$13:$D$101)=$E205)*((Adders!$E$13:$E$101)=$F205)*(Adders!I$13:I$101)) + VLOOKUP($H205,Adders!$B$5:$G$8,N$11,FALSE)  +  NJ!$D$2 ) * IF($D205="NJ",1.07,1))/$L$10, CHOOSE($M$10,$L$9,$M$9) )</f>
        <v xml:space="preserve"> 103.88 </v>
      </c>
      <c r="L205" s="176" t="str">
        <f>TEXT(   (SUMPRODUCT( ((LMPMain!$H$9:$H$1000)=$E205)*((LMPMain!$J$9:$J$1000)=$F205)*((LMPMain!$O$9:$O$1000)=$C205)*(LMPMain!R$9:R$1000) ) +  ( SUMPRODUCT( ((Adders!$D$13:$D$101)=$E205)*((Adders!$E$13:$E$101)=$F205)*(Adders!G$13:G$101)) + VLOOKUP($H205,Adders!$B$5:$G$8,L$11,FALSE)  +  NJ!$D$2 ) * IF($D205="NJ",1.07,1))/$L$10, CHOOSE($M$10,$L$9,$M$9) )</f>
        <v xml:space="preserve"> 63.32 </v>
      </c>
      <c r="M205" s="176" t="str">
        <f>TEXT(   (SUMPRODUCT( ((LMPMain!$H$9:$H$1000)=$E205)*((LMPMain!$J$9:$J$1000)=$F205)*((LMPMain!$O$9:$O$1000)=$C205)*(LMPMain!S$9:S$1000) ) +  ( SUMPRODUCT( ((Adders!$D$13:$D$101)=$E205)*((Adders!$E$13:$E$101)=$F205)*(Adders!H$13:H$101)) + VLOOKUP($H205,Adders!$B$5:$G$8,M$11,FALSE)  +  NJ!$D$2 ) * IF($D205="NJ",1.07,1))/$L$10, CHOOSE($M$10,$L$9,$M$9) )</f>
        <v xml:space="preserve"> 64.67 </v>
      </c>
      <c r="N205" s="177" t="str">
        <f>TEXT(   (SUMPRODUCT( ((LMPMain!$H$9:$H$1000)=$E205)*((LMPMain!$J$9:$J$1000)=$F205)*((LMPMain!$O$9:$O$1000)=$C205)*(LMPMain!T$9:T$1000) ) +  ( SUMPRODUCT( ((Adders!$D$13:$D$101)=$E205)*((Adders!$E$13:$E$101)=$F205)*(Adders!I$13:I$101)) + VLOOKUP($H205,Adders!$B$5:$G$8,N$11,FALSE)  +  NJ!$D$2 ) * IF($D205="NJ",1.07,1))/$L$10, CHOOSE($M$10,$L$9,$M$9) )</f>
        <v xml:space="preserve"> 64.58 </v>
      </c>
      <c r="O205" s="112"/>
    </row>
    <row r="206" spans="2:15" x14ac:dyDescent="0.25">
      <c r="B206" s="108"/>
      <c r="C206" s="127">
        <f t="shared" si="5"/>
        <v>42278</v>
      </c>
      <c r="D206" s="128" t="s">
        <v>31</v>
      </c>
      <c r="E206" s="129" t="s">
        <v>36</v>
      </c>
      <c r="F206" s="128" t="s">
        <v>37</v>
      </c>
      <c r="G206" s="129" t="str">
        <f t="shared" si="6"/>
        <v>General L&amp;P</v>
      </c>
      <c r="H206" s="130" t="s">
        <v>61</v>
      </c>
      <c r="I206" s="178" t="str">
        <f>TEXT(   (SUMPRODUCT( ((Main!$H$9:$H$1000)=$E206)*((Main!$J$9:$J$1000)=$F206)*((Main!$O$9:$O$1000)=$C206)*(Main!R$9:R$1000) ) +  ( SUMPRODUCT( ((Adders!$D$13:$D$101)=$E206)*((Adders!$E$13:$E$101)=$F206)*(Adders!G$13:G$101)) + VLOOKUP($H206,Adders!$B$5:$G$8,L$11,FALSE)  +  NJ!$D$2 ) * IF($D206="NJ",1.07,1))/$L$10, CHOOSE($M$10,$L$9,$M$9) )</f>
        <v xml:space="preserve"> 105.59 </v>
      </c>
      <c r="J206" s="178" t="str">
        <f>TEXT(   (SUMPRODUCT( ((Main!$H$9:$H$1000)=$E206)*((Main!$J$9:$J$1000)=$F206)*((Main!$O$9:$O$1000)=$C206)*(Main!S$9:S$1000) ) +  ( SUMPRODUCT( ((Adders!$D$13:$D$101)=$E206)*((Adders!$E$13:$E$101)=$F206)*(Adders!H$13:H$101)) + VLOOKUP($H206,Adders!$B$5:$G$8,M$11,FALSE)  +  NJ!$D$2 ) * IF($D206="NJ",1.07,1))/$L$10, CHOOSE($M$10,$L$9,$M$9) )</f>
        <v xml:space="preserve"> 107.36 </v>
      </c>
      <c r="K206" s="179" t="str">
        <f>TEXT(   (SUMPRODUCT( ((Main!$H$9:$H$1000)=$E206)*((Main!$J$9:$J$1000)=$F206)*((Main!$O$9:$O$1000)=$C206)*(Main!T$9:T$1000) ) +  ( SUMPRODUCT( ((Adders!$D$13:$D$101)=$E206)*((Adders!$E$13:$E$101)=$F206)*(Adders!I$13:I$101)) + VLOOKUP($H206,Adders!$B$5:$G$8,N$11,FALSE)  +  NJ!$D$2 ) * IF($D206="NJ",1.07,1))/$L$10, CHOOSE($M$10,$L$9,$M$9) )</f>
        <v xml:space="preserve"> 106.89 </v>
      </c>
      <c r="L206" s="178" t="str">
        <f>TEXT(   (SUMPRODUCT( ((LMPMain!$H$9:$H$1000)=$E206)*((LMPMain!$J$9:$J$1000)=$F206)*((LMPMain!$O$9:$O$1000)=$C206)*(LMPMain!R$9:R$1000) ) +  ( SUMPRODUCT( ((Adders!$D$13:$D$101)=$E206)*((Adders!$E$13:$E$101)=$F206)*(Adders!G$13:G$101)) + VLOOKUP($H206,Adders!$B$5:$G$8,L$11,FALSE)  +  NJ!$D$2 ) * IF($D206="NJ",1.07,1))/$L$10, CHOOSE($M$10,$L$9,$M$9) )</f>
        <v xml:space="preserve"> 66.44 </v>
      </c>
      <c r="M206" s="178" t="str">
        <f>TEXT(   (SUMPRODUCT( ((LMPMain!$H$9:$H$1000)=$E206)*((LMPMain!$J$9:$J$1000)=$F206)*((LMPMain!$O$9:$O$1000)=$C206)*(LMPMain!S$9:S$1000) ) +  ( SUMPRODUCT( ((Adders!$D$13:$D$101)=$E206)*((Adders!$E$13:$E$101)=$F206)*(Adders!H$13:H$101)) + VLOOKUP($H206,Adders!$B$5:$G$8,M$11,FALSE)  +  NJ!$D$2 ) * IF($D206="NJ",1.07,1))/$L$10, CHOOSE($M$10,$L$9,$M$9) )</f>
        <v xml:space="preserve"> 68.04 </v>
      </c>
      <c r="N206" s="179" t="str">
        <f>TEXT(   (SUMPRODUCT( ((LMPMain!$H$9:$H$1000)=$E206)*((LMPMain!$J$9:$J$1000)=$F206)*((LMPMain!$O$9:$O$1000)=$C206)*(LMPMain!T$9:T$1000) ) +  ( SUMPRODUCT( ((Adders!$D$13:$D$101)=$E206)*((Adders!$E$13:$E$101)=$F206)*(Adders!I$13:I$101)) + VLOOKUP($H206,Adders!$B$5:$G$8,N$11,FALSE)  +  NJ!$D$2 ) * IF($D206="NJ",1.07,1))/$L$10, CHOOSE($M$10,$L$9,$M$9) )</f>
        <v xml:space="preserve"> 67.60 </v>
      </c>
      <c r="O206" s="112"/>
    </row>
    <row r="207" spans="2:15" x14ac:dyDescent="0.25">
      <c r="B207" s="108"/>
      <c r="C207" s="131">
        <f t="shared" si="5"/>
        <v>42278</v>
      </c>
      <c r="D207" s="132" t="s">
        <v>31</v>
      </c>
      <c r="E207" s="133" t="s">
        <v>36</v>
      </c>
      <c r="F207" s="132" t="s">
        <v>37</v>
      </c>
      <c r="G207" s="133" t="str">
        <f t="shared" si="6"/>
        <v>General L&amp;P</v>
      </c>
      <c r="H207" s="134" t="s">
        <v>62</v>
      </c>
      <c r="I207" s="173" t="str">
        <f>TEXT(   (SUMPRODUCT( ((Main!$H$9:$H$1000)=$E207)*((Main!$J$9:$J$1000)=$F207)*((Main!$O$9:$O$1000)=$C207)*(Main!R$9:R$1000) ) +  ( SUMPRODUCT( ((Adders!$D$13:$D$101)=$E207)*((Adders!$E$13:$E$101)=$F207)*(Adders!G$13:G$101)) + VLOOKUP($H207,Adders!$B$5:$G$8,L$11,FALSE)  +  NJ!$D$2 ) * IF($D207="NJ",1.07,1))/$L$10, CHOOSE($M$10,$L$9,$M$9) )</f>
        <v xml:space="preserve"> 103.88 </v>
      </c>
      <c r="J207" s="173" t="str">
        <f>TEXT(   (SUMPRODUCT( ((Main!$H$9:$H$1000)=$E207)*((Main!$J$9:$J$1000)=$F207)*((Main!$O$9:$O$1000)=$C207)*(Main!S$9:S$1000) ) +  ( SUMPRODUCT( ((Adders!$D$13:$D$101)=$E207)*((Adders!$E$13:$E$101)=$F207)*(Adders!H$13:H$101)) + VLOOKUP($H207,Adders!$B$5:$G$8,M$11,FALSE)  +  NJ!$D$2 ) * IF($D207="NJ",1.07,1))/$L$10, CHOOSE($M$10,$L$9,$M$9) )</f>
        <v xml:space="preserve"> 105.65 </v>
      </c>
      <c r="K207" s="174" t="str">
        <f>TEXT(   (SUMPRODUCT( ((Main!$H$9:$H$1000)=$E207)*((Main!$J$9:$J$1000)=$F207)*((Main!$O$9:$O$1000)=$C207)*(Main!T$9:T$1000) ) +  ( SUMPRODUCT( ((Adders!$D$13:$D$101)=$E207)*((Adders!$E$13:$E$101)=$F207)*(Adders!I$13:I$101)) + VLOOKUP($H207,Adders!$B$5:$G$8,N$11,FALSE)  +  NJ!$D$2 ) * IF($D207="NJ",1.07,1))/$L$10, CHOOSE($M$10,$L$9,$M$9) )</f>
        <v xml:space="preserve"> 105.18 </v>
      </c>
      <c r="L207" s="173" t="str">
        <f>TEXT(   (SUMPRODUCT( ((LMPMain!$H$9:$H$1000)=$E207)*((LMPMain!$J$9:$J$1000)=$F207)*((LMPMain!$O$9:$O$1000)=$C207)*(LMPMain!R$9:R$1000) ) +  ( SUMPRODUCT( ((Adders!$D$13:$D$101)=$E207)*((Adders!$E$13:$E$101)=$F207)*(Adders!G$13:G$101)) + VLOOKUP($H207,Adders!$B$5:$G$8,L$11,FALSE)  +  NJ!$D$2 ) * IF($D207="NJ",1.07,1))/$L$10, CHOOSE($M$10,$L$9,$M$9) )</f>
        <v xml:space="preserve"> 64.73 </v>
      </c>
      <c r="M207" s="173" t="str">
        <f>TEXT(   (SUMPRODUCT( ((LMPMain!$H$9:$H$1000)=$E207)*((LMPMain!$J$9:$J$1000)=$F207)*((LMPMain!$O$9:$O$1000)=$C207)*(LMPMain!S$9:S$1000) ) +  ( SUMPRODUCT( ((Adders!$D$13:$D$101)=$E207)*((Adders!$E$13:$E$101)=$F207)*(Adders!H$13:H$101)) + VLOOKUP($H207,Adders!$B$5:$G$8,M$11,FALSE)  +  NJ!$D$2 ) * IF($D207="NJ",1.07,1))/$L$10, CHOOSE($M$10,$L$9,$M$9) )</f>
        <v xml:space="preserve"> 66.33 </v>
      </c>
      <c r="N207" s="174" t="str">
        <f>TEXT(   (SUMPRODUCT( ((LMPMain!$H$9:$H$1000)=$E207)*((LMPMain!$J$9:$J$1000)=$F207)*((LMPMain!$O$9:$O$1000)=$C207)*(LMPMain!T$9:T$1000) ) +  ( SUMPRODUCT( ((Adders!$D$13:$D$101)=$E207)*((Adders!$E$13:$E$101)=$F207)*(Adders!I$13:I$101)) + VLOOKUP($H207,Adders!$B$5:$G$8,N$11,FALSE)  +  NJ!$D$2 ) * IF($D207="NJ",1.07,1))/$L$10, CHOOSE($M$10,$L$9,$M$9) )</f>
        <v xml:space="preserve"> 65.89 </v>
      </c>
      <c r="O207" s="112"/>
    </row>
    <row r="208" spans="2:15" x14ac:dyDescent="0.25">
      <c r="B208" s="108"/>
      <c r="C208" s="135">
        <f t="shared" si="5"/>
        <v>42278</v>
      </c>
      <c r="D208" s="136" t="s">
        <v>31</v>
      </c>
      <c r="E208" s="137" t="s">
        <v>36</v>
      </c>
      <c r="F208" s="136" t="s">
        <v>37</v>
      </c>
      <c r="G208" s="137" t="str">
        <f t="shared" si="6"/>
        <v>General L&amp;P</v>
      </c>
      <c r="H208" s="138" t="s">
        <v>690</v>
      </c>
      <c r="I208" s="176" t="str">
        <f>TEXT(   (SUMPRODUCT( ((Main!$H$9:$H$1000)=$E208)*((Main!$J$9:$J$1000)=$F208)*((Main!$O$9:$O$1000)=$C208)*(Main!R$9:R$1000) ) +  ( SUMPRODUCT( ((Adders!$D$13:$D$101)=$E208)*((Adders!$E$13:$E$101)=$F208)*(Adders!G$13:G$101)) + VLOOKUP($H208,Adders!$B$5:$G$8,L$11,FALSE)  +  NJ!$D$2 ) * IF($D208="NJ",1.07,1))/$L$10, CHOOSE($M$10,$L$9,$M$9) )</f>
        <v xml:space="preserve"> 102.76 </v>
      </c>
      <c r="J208" s="176" t="str">
        <f>TEXT(   (SUMPRODUCT( ((Main!$H$9:$H$1000)=$E208)*((Main!$J$9:$J$1000)=$F208)*((Main!$O$9:$O$1000)=$C208)*(Main!S$9:S$1000) ) +  ( SUMPRODUCT( ((Adders!$D$13:$D$101)=$E208)*((Adders!$E$13:$E$101)=$F208)*(Adders!H$13:H$101)) + VLOOKUP($H208,Adders!$B$5:$G$8,M$11,FALSE)  +  NJ!$D$2 ) * IF($D208="NJ",1.07,1))/$L$10, CHOOSE($M$10,$L$9,$M$9) )</f>
        <v xml:space="preserve"> 104.53 </v>
      </c>
      <c r="K208" s="177" t="str">
        <f>TEXT(   (SUMPRODUCT( ((Main!$H$9:$H$1000)=$E208)*((Main!$J$9:$J$1000)=$F208)*((Main!$O$9:$O$1000)=$C208)*(Main!T$9:T$1000) ) +  ( SUMPRODUCT( ((Adders!$D$13:$D$101)=$E208)*((Adders!$E$13:$E$101)=$F208)*(Adders!I$13:I$101)) + VLOOKUP($H208,Adders!$B$5:$G$8,N$11,FALSE)  +  NJ!$D$2 ) * IF($D208="NJ",1.07,1))/$L$10, CHOOSE($M$10,$L$9,$M$9) )</f>
        <v xml:space="preserve"> 104.06 </v>
      </c>
      <c r="L208" s="176" t="str">
        <f>TEXT(   (SUMPRODUCT( ((LMPMain!$H$9:$H$1000)=$E208)*((LMPMain!$J$9:$J$1000)=$F208)*((LMPMain!$O$9:$O$1000)=$C208)*(LMPMain!R$9:R$1000) ) +  ( SUMPRODUCT( ((Adders!$D$13:$D$101)=$E208)*((Adders!$E$13:$E$101)=$F208)*(Adders!G$13:G$101)) + VLOOKUP($H208,Adders!$B$5:$G$8,L$11,FALSE)  +  NJ!$D$2 ) * IF($D208="NJ",1.07,1))/$L$10, CHOOSE($M$10,$L$9,$M$9) )</f>
        <v xml:space="preserve"> 63.61 </v>
      </c>
      <c r="M208" s="176" t="str">
        <f>TEXT(   (SUMPRODUCT( ((LMPMain!$H$9:$H$1000)=$E208)*((LMPMain!$J$9:$J$1000)=$F208)*((LMPMain!$O$9:$O$1000)=$C208)*(LMPMain!S$9:S$1000) ) +  ( SUMPRODUCT( ((Adders!$D$13:$D$101)=$E208)*((Adders!$E$13:$E$101)=$F208)*(Adders!H$13:H$101)) + VLOOKUP($H208,Adders!$B$5:$G$8,M$11,FALSE)  +  NJ!$D$2 ) * IF($D208="NJ",1.07,1))/$L$10, CHOOSE($M$10,$L$9,$M$9) )</f>
        <v xml:space="preserve"> 65.20 </v>
      </c>
      <c r="N208" s="177" t="str">
        <f>TEXT(   (SUMPRODUCT( ((LMPMain!$H$9:$H$1000)=$E208)*((LMPMain!$J$9:$J$1000)=$F208)*((LMPMain!$O$9:$O$1000)=$C208)*(LMPMain!T$9:T$1000) ) +  ( SUMPRODUCT( ((Adders!$D$13:$D$101)=$E208)*((Adders!$E$13:$E$101)=$F208)*(Adders!I$13:I$101)) + VLOOKUP($H208,Adders!$B$5:$G$8,N$11,FALSE)  +  NJ!$D$2 ) * IF($D208="NJ",1.07,1))/$L$10, CHOOSE($M$10,$L$9,$M$9) )</f>
        <v xml:space="preserve"> 64.76 </v>
      </c>
      <c r="O208" s="112"/>
    </row>
    <row r="209" spans="2:15" x14ac:dyDescent="0.25">
      <c r="B209" s="108"/>
      <c r="C209" s="127">
        <f t="shared" si="5"/>
        <v>42309</v>
      </c>
      <c r="D209" s="128" t="s">
        <v>31</v>
      </c>
      <c r="E209" s="129" t="s">
        <v>36</v>
      </c>
      <c r="F209" s="128" t="s">
        <v>37</v>
      </c>
      <c r="G209" s="129" t="str">
        <f t="shared" si="6"/>
        <v>General L&amp;P</v>
      </c>
      <c r="H209" s="130" t="s">
        <v>61</v>
      </c>
      <c r="I209" s="178" t="str">
        <f>TEXT(   (SUMPRODUCT( ((Main!$H$9:$H$1000)=$E209)*((Main!$J$9:$J$1000)=$F209)*((Main!$O$9:$O$1000)=$C209)*(Main!R$9:R$1000) ) +  ( SUMPRODUCT( ((Adders!$D$13:$D$101)=$E209)*((Adders!$E$13:$E$101)=$F209)*(Adders!G$13:G$101)) + VLOOKUP($H209,Adders!$B$5:$G$8,L$11,FALSE)  +  NJ!$D$2 ) * IF($D209="NJ",1.07,1))/$L$10, CHOOSE($M$10,$L$9,$M$9) )</f>
        <v xml:space="preserve"> 105.91 </v>
      </c>
      <c r="J209" s="178" t="str">
        <f>TEXT(   (SUMPRODUCT( ((Main!$H$9:$H$1000)=$E209)*((Main!$J$9:$J$1000)=$F209)*((Main!$O$9:$O$1000)=$C209)*(Main!S$9:S$1000) ) +  ( SUMPRODUCT( ((Adders!$D$13:$D$101)=$E209)*((Adders!$E$13:$E$101)=$F209)*(Adders!H$13:H$101)) + VLOOKUP($H209,Adders!$B$5:$G$8,M$11,FALSE)  +  NJ!$D$2 ) * IF($D209="NJ",1.07,1))/$L$10, CHOOSE($M$10,$L$9,$M$9) )</f>
        <v xml:space="preserve"> 107.75 </v>
      </c>
      <c r="K209" s="179" t="str">
        <f>TEXT(   (SUMPRODUCT( ((Main!$H$9:$H$1000)=$E209)*((Main!$J$9:$J$1000)=$F209)*((Main!$O$9:$O$1000)=$C209)*(Main!T$9:T$1000) ) +  ( SUMPRODUCT( ((Adders!$D$13:$D$101)=$E209)*((Adders!$E$13:$E$101)=$F209)*(Adders!I$13:I$101)) + VLOOKUP($H209,Adders!$B$5:$G$8,N$11,FALSE)  +  NJ!$D$2 ) * IF($D209="NJ",1.07,1))/$L$10, CHOOSE($M$10,$L$9,$M$9) )</f>
        <v xml:space="preserve"> 107.13 </v>
      </c>
      <c r="L209" s="178" t="str">
        <f>TEXT(   (SUMPRODUCT( ((LMPMain!$H$9:$H$1000)=$E209)*((LMPMain!$J$9:$J$1000)=$F209)*((LMPMain!$O$9:$O$1000)=$C209)*(LMPMain!R$9:R$1000) ) +  ( SUMPRODUCT( ((Adders!$D$13:$D$101)=$E209)*((Adders!$E$13:$E$101)=$F209)*(Adders!G$13:G$101)) + VLOOKUP($H209,Adders!$B$5:$G$8,L$11,FALSE)  +  NJ!$D$2 ) * IF($D209="NJ",1.07,1))/$L$10, CHOOSE($M$10,$L$9,$M$9) )</f>
        <v xml:space="preserve"> 66.78 </v>
      </c>
      <c r="M209" s="178" t="str">
        <f>TEXT(   (SUMPRODUCT( ((LMPMain!$H$9:$H$1000)=$E209)*((LMPMain!$J$9:$J$1000)=$F209)*((LMPMain!$O$9:$O$1000)=$C209)*(LMPMain!S$9:S$1000) ) +  ( SUMPRODUCT( ((Adders!$D$13:$D$101)=$E209)*((Adders!$E$13:$E$101)=$F209)*(Adders!H$13:H$101)) + VLOOKUP($H209,Adders!$B$5:$G$8,M$11,FALSE)  +  NJ!$D$2 ) * IF($D209="NJ",1.07,1))/$L$10, CHOOSE($M$10,$L$9,$M$9) )</f>
        <v xml:space="preserve"> 68.28 </v>
      </c>
      <c r="N209" s="179" t="str">
        <f>TEXT(   (SUMPRODUCT( ((LMPMain!$H$9:$H$1000)=$E209)*((LMPMain!$J$9:$J$1000)=$F209)*((LMPMain!$O$9:$O$1000)=$C209)*(LMPMain!T$9:T$1000) ) +  ( SUMPRODUCT( ((Adders!$D$13:$D$101)=$E209)*((Adders!$E$13:$E$101)=$F209)*(Adders!I$13:I$101)) + VLOOKUP($H209,Adders!$B$5:$G$8,N$11,FALSE)  +  NJ!$D$2 ) * IF($D209="NJ",1.07,1))/$L$10, CHOOSE($M$10,$L$9,$M$9) )</f>
        <v xml:space="preserve"> 67.82 </v>
      </c>
      <c r="O209" s="112"/>
    </row>
    <row r="210" spans="2:15" x14ac:dyDescent="0.25">
      <c r="B210" s="108"/>
      <c r="C210" s="131">
        <f t="shared" si="5"/>
        <v>42309</v>
      </c>
      <c r="D210" s="132" t="s">
        <v>31</v>
      </c>
      <c r="E210" s="133" t="s">
        <v>36</v>
      </c>
      <c r="F210" s="132" t="s">
        <v>37</v>
      </c>
      <c r="G210" s="133" t="str">
        <f t="shared" si="6"/>
        <v>General L&amp;P</v>
      </c>
      <c r="H210" s="134" t="s">
        <v>62</v>
      </c>
      <c r="I210" s="173" t="str">
        <f>TEXT(   (SUMPRODUCT( ((Main!$H$9:$H$1000)=$E210)*((Main!$J$9:$J$1000)=$F210)*((Main!$O$9:$O$1000)=$C210)*(Main!R$9:R$1000) ) +  ( SUMPRODUCT( ((Adders!$D$13:$D$101)=$E210)*((Adders!$E$13:$E$101)=$F210)*(Adders!G$13:G$101)) + VLOOKUP($H210,Adders!$B$5:$G$8,L$11,FALSE)  +  NJ!$D$2 ) * IF($D210="NJ",1.07,1))/$L$10, CHOOSE($M$10,$L$9,$M$9) )</f>
        <v xml:space="preserve"> 104.20 </v>
      </c>
      <c r="J210" s="173" t="str">
        <f>TEXT(   (SUMPRODUCT( ((Main!$H$9:$H$1000)=$E210)*((Main!$J$9:$J$1000)=$F210)*((Main!$O$9:$O$1000)=$C210)*(Main!S$9:S$1000) ) +  ( SUMPRODUCT( ((Adders!$D$13:$D$101)=$E210)*((Adders!$E$13:$E$101)=$F210)*(Adders!H$13:H$101)) + VLOOKUP($H210,Adders!$B$5:$G$8,M$11,FALSE)  +  NJ!$D$2 ) * IF($D210="NJ",1.07,1))/$L$10, CHOOSE($M$10,$L$9,$M$9) )</f>
        <v xml:space="preserve"> 106.04 </v>
      </c>
      <c r="K210" s="174" t="str">
        <f>TEXT(   (SUMPRODUCT( ((Main!$H$9:$H$1000)=$E210)*((Main!$J$9:$J$1000)=$F210)*((Main!$O$9:$O$1000)=$C210)*(Main!T$9:T$1000) ) +  ( SUMPRODUCT( ((Adders!$D$13:$D$101)=$E210)*((Adders!$E$13:$E$101)=$F210)*(Adders!I$13:I$101)) + VLOOKUP($H210,Adders!$B$5:$G$8,N$11,FALSE)  +  NJ!$D$2 ) * IF($D210="NJ",1.07,1))/$L$10, CHOOSE($M$10,$L$9,$M$9) )</f>
        <v xml:space="preserve"> 105.42 </v>
      </c>
      <c r="L210" s="173" t="str">
        <f>TEXT(   (SUMPRODUCT( ((LMPMain!$H$9:$H$1000)=$E210)*((LMPMain!$J$9:$J$1000)=$F210)*((LMPMain!$O$9:$O$1000)=$C210)*(LMPMain!R$9:R$1000) ) +  ( SUMPRODUCT( ((Adders!$D$13:$D$101)=$E210)*((Adders!$E$13:$E$101)=$F210)*(Adders!G$13:G$101)) + VLOOKUP($H210,Adders!$B$5:$G$8,L$11,FALSE)  +  NJ!$D$2 ) * IF($D210="NJ",1.07,1))/$L$10, CHOOSE($M$10,$L$9,$M$9) )</f>
        <v xml:space="preserve"> 65.07 </v>
      </c>
      <c r="M210" s="173" t="str">
        <f>TEXT(   (SUMPRODUCT( ((LMPMain!$H$9:$H$1000)=$E210)*((LMPMain!$J$9:$J$1000)=$F210)*((LMPMain!$O$9:$O$1000)=$C210)*(LMPMain!S$9:S$1000) ) +  ( SUMPRODUCT( ((Adders!$D$13:$D$101)=$E210)*((Adders!$E$13:$E$101)=$F210)*(Adders!H$13:H$101)) + VLOOKUP($H210,Adders!$B$5:$G$8,M$11,FALSE)  +  NJ!$D$2 ) * IF($D210="NJ",1.07,1))/$L$10, CHOOSE($M$10,$L$9,$M$9) )</f>
        <v xml:space="preserve"> 66.57 </v>
      </c>
      <c r="N210" s="174" t="str">
        <f>TEXT(   (SUMPRODUCT( ((LMPMain!$H$9:$H$1000)=$E210)*((LMPMain!$J$9:$J$1000)=$F210)*((LMPMain!$O$9:$O$1000)=$C210)*(LMPMain!T$9:T$1000) ) +  ( SUMPRODUCT( ((Adders!$D$13:$D$101)=$E210)*((Adders!$E$13:$E$101)=$F210)*(Adders!I$13:I$101)) + VLOOKUP($H210,Adders!$B$5:$G$8,N$11,FALSE)  +  NJ!$D$2 ) * IF($D210="NJ",1.07,1))/$L$10, CHOOSE($M$10,$L$9,$M$9) )</f>
        <v xml:space="preserve"> 66.10 </v>
      </c>
      <c r="O210" s="112"/>
    </row>
    <row r="211" spans="2:15" x14ac:dyDescent="0.25">
      <c r="B211" s="108"/>
      <c r="C211" s="135">
        <f t="shared" si="5"/>
        <v>42309</v>
      </c>
      <c r="D211" s="136" t="s">
        <v>31</v>
      </c>
      <c r="E211" s="137" t="s">
        <v>36</v>
      </c>
      <c r="F211" s="136" t="s">
        <v>37</v>
      </c>
      <c r="G211" s="137" t="str">
        <f t="shared" si="6"/>
        <v>General L&amp;P</v>
      </c>
      <c r="H211" s="138" t="s">
        <v>690</v>
      </c>
      <c r="I211" s="176" t="str">
        <f>TEXT(   (SUMPRODUCT( ((Main!$H$9:$H$1000)=$E211)*((Main!$J$9:$J$1000)=$F211)*((Main!$O$9:$O$1000)=$C211)*(Main!R$9:R$1000) ) +  ( SUMPRODUCT( ((Adders!$D$13:$D$101)=$E211)*((Adders!$E$13:$E$101)=$F211)*(Adders!G$13:G$101)) + VLOOKUP($H211,Adders!$B$5:$G$8,L$11,FALSE)  +  NJ!$D$2 ) * IF($D211="NJ",1.07,1))/$L$10, CHOOSE($M$10,$L$9,$M$9) )</f>
        <v xml:space="preserve"> 103.08 </v>
      </c>
      <c r="J211" s="176" t="str">
        <f>TEXT(   (SUMPRODUCT( ((Main!$H$9:$H$1000)=$E211)*((Main!$J$9:$J$1000)=$F211)*((Main!$O$9:$O$1000)=$C211)*(Main!S$9:S$1000) ) +  ( SUMPRODUCT( ((Adders!$D$13:$D$101)=$E211)*((Adders!$E$13:$E$101)=$F211)*(Adders!H$13:H$101)) + VLOOKUP($H211,Adders!$B$5:$G$8,M$11,FALSE)  +  NJ!$D$2 ) * IF($D211="NJ",1.07,1))/$L$10, CHOOSE($M$10,$L$9,$M$9) )</f>
        <v xml:space="preserve"> 104.92 </v>
      </c>
      <c r="K211" s="177" t="str">
        <f>TEXT(   (SUMPRODUCT( ((Main!$H$9:$H$1000)=$E211)*((Main!$J$9:$J$1000)=$F211)*((Main!$O$9:$O$1000)=$C211)*(Main!T$9:T$1000) ) +  ( SUMPRODUCT( ((Adders!$D$13:$D$101)=$E211)*((Adders!$E$13:$E$101)=$F211)*(Adders!I$13:I$101)) + VLOOKUP($H211,Adders!$B$5:$G$8,N$11,FALSE)  +  NJ!$D$2 ) * IF($D211="NJ",1.07,1))/$L$10, CHOOSE($M$10,$L$9,$M$9) )</f>
        <v xml:space="preserve"> 104.30 </v>
      </c>
      <c r="L211" s="176" t="str">
        <f>TEXT(   (SUMPRODUCT( ((LMPMain!$H$9:$H$1000)=$E211)*((LMPMain!$J$9:$J$1000)=$F211)*((LMPMain!$O$9:$O$1000)=$C211)*(LMPMain!R$9:R$1000) ) +  ( SUMPRODUCT( ((Adders!$D$13:$D$101)=$E211)*((Adders!$E$13:$E$101)=$F211)*(Adders!G$13:G$101)) + VLOOKUP($H211,Adders!$B$5:$G$8,L$11,FALSE)  +  NJ!$D$2 ) * IF($D211="NJ",1.07,1))/$L$10, CHOOSE($M$10,$L$9,$M$9) )</f>
        <v xml:space="preserve"> 63.95 </v>
      </c>
      <c r="M211" s="176" t="str">
        <f>TEXT(   (SUMPRODUCT( ((LMPMain!$H$9:$H$1000)=$E211)*((LMPMain!$J$9:$J$1000)=$F211)*((LMPMain!$O$9:$O$1000)=$C211)*(LMPMain!S$9:S$1000) ) +  ( SUMPRODUCT( ((Adders!$D$13:$D$101)=$E211)*((Adders!$E$13:$E$101)=$F211)*(Adders!H$13:H$101)) + VLOOKUP($H211,Adders!$B$5:$G$8,M$11,FALSE)  +  NJ!$D$2 ) * IF($D211="NJ",1.07,1))/$L$10, CHOOSE($M$10,$L$9,$M$9) )</f>
        <v xml:space="preserve"> 65.44 </v>
      </c>
      <c r="N211" s="177" t="str">
        <f>TEXT(   (SUMPRODUCT( ((LMPMain!$H$9:$H$1000)=$E211)*((LMPMain!$J$9:$J$1000)=$F211)*((LMPMain!$O$9:$O$1000)=$C211)*(LMPMain!T$9:T$1000) ) +  ( SUMPRODUCT( ((Adders!$D$13:$D$101)=$E211)*((Adders!$E$13:$E$101)=$F211)*(Adders!I$13:I$101)) + VLOOKUP($H211,Adders!$B$5:$G$8,N$11,FALSE)  +  NJ!$D$2 ) * IF($D211="NJ",1.07,1))/$L$10, CHOOSE($M$10,$L$9,$M$9) )</f>
        <v xml:space="preserve"> 64.98 </v>
      </c>
      <c r="O211" s="112"/>
    </row>
    <row r="212" spans="2:15" x14ac:dyDescent="0.25">
      <c r="B212" s="108"/>
      <c r="C212" s="127">
        <f t="shared" si="5"/>
        <v>42339</v>
      </c>
      <c r="D212" s="128" t="s">
        <v>31</v>
      </c>
      <c r="E212" s="129" t="s">
        <v>36</v>
      </c>
      <c r="F212" s="128" t="s">
        <v>37</v>
      </c>
      <c r="G212" s="129" t="str">
        <f t="shared" si="6"/>
        <v>General L&amp;P</v>
      </c>
      <c r="H212" s="130" t="s">
        <v>61</v>
      </c>
      <c r="I212" s="178" t="str">
        <f>TEXT(   (SUMPRODUCT( ((Main!$H$9:$H$1000)=$E212)*((Main!$J$9:$J$1000)=$F212)*((Main!$O$9:$O$1000)=$C212)*(Main!R$9:R$1000) ) +  ( SUMPRODUCT( ((Adders!$D$13:$D$101)=$E212)*((Adders!$E$13:$E$101)=$F212)*(Adders!G$13:G$101)) + VLOOKUP($H212,Adders!$B$5:$G$8,L$11,FALSE)  +  NJ!$D$2 ) * IF($D212="NJ",1.07,1))/$L$10, CHOOSE($M$10,$L$9,$M$9) )</f>
        <v xml:space="preserve"> 106.20 </v>
      </c>
      <c r="J212" s="178" t="str">
        <f>TEXT(   (SUMPRODUCT( ((Main!$H$9:$H$1000)=$E212)*((Main!$J$9:$J$1000)=$F212)*((Main!$O$9:$O$1000)=$C212)*(Main!S$9:S$1000) ) +  ( SUMPRODUCT( ((Adders!$D$13:$D$101)=$E212)*((Adders!$E$13:$E$101)=$F212)*(Adders!H$13:H$101)) + VLOOKUP($H212,Adders!$B$5:$G$8,M$11,FALSE)  +  NJ!$D$2 ) * IF($D212="NJ",1.07,1))/$L$10, CHOOSE($M$10,$L$9,$M$9) )</f>
        <v xml:space="preserve"> 107.94 </v>
      </c>
      <c r="K212" s="179" t="str">
        <f>TEXT(   (SUMPRODUCT( ((Main!$H$9:$H$1000)=$E212)*((Main!$J$9:$J$1000)=$F212)*((Main!$O$9:$O$1000)=$C212)*(Main!T$9:T$1000) ) +  ( SUMPRODUCT( ((Adders!$D$13:$D$101)=$E212)*((Adders!$E$13:$E$101)=$F212)*(Adders!I$13:I$101)) + VLOOKUP($H212,Adders!$B$5:$G$8,N$11,FALSE)  +  NJ!$D$2 ) * IF($D212="NJ",1.07,1))/$L$10, CHOOSE($M$10,$L$9,$M$9) )</f>
        <v xml:space="preserve"> 107.35 </v>
      </c>
      <c r="L212" s="178" t="str">
        <f>TEXT(   (SUMPRODUCT( ((LMPMain!$H$9:$H$1000)=$E212)*((LMPMain!$J$9:$J$1000)=$F212)*((LMPMain!$O$9:$O$1000)=$C212)*(LMPMain!R$9:R$1000) ) +  ( SUMPRODUCT( ((Adders!$D$13:$D$101)=$E212)*((Adders!$E$13:$E$101)=$F212)*(Adders!G$13:G$101)) + VLOOKUP($H212,Adders!$B$5:$G$8,L$11,FALSE)  +  NJ!$D$2 ) * IF($D212="NJ",1.07,1))/$L$10, CHOOSE($M$10,$L$9,$M$9) )</f>
        <v xml:space="preserve"> 67.02 </v>
      </c>
      <c r="M212" s="178" t="str">
        <f>TEXT(   (SUMPRODUCT( ((LMPMain!$H$9:$H$1000)=$E212)*((LMPMain!$J$9:$J$1000)=$F212)*((LMPMain!$O$9:$O$1000)=$C212)*(LMPMain!S$9:S$1000) ) +  ( SUMPRODUCT( ((Adders!$D$13:$D$101)=$E212)*((Adders!$E$13:$E$101)=$F212)*(Adders!H$13:H$101)) + VLOOKUP($H212,Adders!$B$5:$G$8,M$11,FALSE)  +  NJ!$D$2 ) * IF($D212="NJ",1.07,1))/$L$10, CHOOSE($M$10,$L$9,$M$9) )</f>
        <v xml:space="preserve"> 68.32 </v>
      </c>
      <c r="N212" s="179" t="str">
        <f>TEXT(   (SUMPRODUCT( ((LMPMain!$H$9:$H$1000)=$E212)*((LMPMain!$J$9:$J$1000)=$F212)*((LMPMain!$O$9:$O$1000)=$C212)*(LMPMain!T$9:T$1000) ) +  ( SUMPRODUCT( ((Adders!$D$13:$D$101)=$E212)*((Adders!$E$13:$E$101)=$F212)*(Adders!I$13:I$101)) + VLOOKUP($H212,Adders!$B$5:$G$8,N$11,FALSE)  +  NJ!$D$2 ) * IF($D212="NJ",1.07,1))/$L$10, CHOOSE($M$10,$L$9,$M$9) )</f>
        <v xml:space="preserve"> 67.99 </v>
      </c>
      <c r="O212" s="112"/>
    </row>
    <row r="213" spans="2:15" x14ac:dyDescent="0.25">
      <c r="B213" s="108"/>
      <c r="C213" s="131">
        <f t="shared" si="5"/>
        <v>42339</v>
      </c>
      <c r="D213" s="132" t="s">
        <v>31</v>
      </c>
      <c r="E213" s="133" t="s">
        <v>36</v>
      </c>
      <c r="F213" s="132" t="s">
        <v>37</v>
      </c>
      <c r="G213" s="133" t="str">
        <f t="shared" si="6"/>
        <v>General L&amp;P</v>
      </c>
      <c r="H213" s="134" t="s">
        <v>62</v>
      </c>
      <c r="I213" s="173" t="str">
        <f>TEXT(   (SUMPRODUCT( ((Main!$H$9:$H$1000)=$E213)*((Main!$J$9:$J$1000)=$F213)*((Main!$O$9:$O$1000)=$C213)*(Main!R$9:R$1000) ) +  ( SUMPRODUCT( ((Adders!$D$13:$D$101)=$E213)*((Adders!$E$13:$E$101)=$F213)*(Adders!G$13:G$101)) + VLOOKUP($H213,Adders!$B$5:$G$8,L$11,FALSE)  +  NJ!$D$2 ) * IF($D213="NJ",1.07,1))/$L$10, CHOOSE($M$10,$L$9,$M$9) )</f>
        <v xml:space="preserve"> 104.49 </v>
      </c>
      <c r="J213" s="173" t="str">
        <f>TEXT(   (SUMPRODUCT( ((Main!$H$9:$H$1000)=$E213)*((Main!$J$9:$J$1000)=$F213)*((Main!$O$9:$O$1000)=$C213)*(Main!S$9:S$1000) ) +  ( SUMPRODUCT( ((Adders!$D$13:$D$101)=$E213)*((Adders!$E$13:$E$101)=$F213)*(Adders!H$13:H$101)) + VLOOKUP($H213,Adders!$B$5:$G$8,M$11,FALSE)  +  NJ!$D$2 ) * IF($D213="NJ",1.07,1))/$L$10, CHOOSE($M$10,$L$9,$M$9) )</f>
        <v xml:space="preserve"> 106.23 </v>
      </c>
      <c r="K213" s="174" t="str">
        <f>TEXT(   (SUMPRODUCT( ((Main!$H$9:$H$1000)=$E213)*((Main!$J$9:$J$1000)=$F213)*((Main!$O$9:$O$1000)=$C213)*(Main!T$9:T$1000) ) +  ( SUMPRODUCT( ((Adders!$D$13:$D$101)=$E213)*((Adders!$E$13:$E$101)=$F213)*(Adders!I$13:I$101)) + VLOOKUP($H213,Adders!$B$5:$G$8,N$11,FALSE)  +  NJ!$D$2 ) * IF($D213="NJ",1.07,1))/$L$10, CHOOSE($M$10,$L$9,$M$9) )</f>
        <v xml:space="preserve"> 105.64 </v>
      </c>
      <c r="L213" s="173" t="str">
        <f>TEXT(   (SUMPRODUCT( ((LMPMain!$H$9:$H$1000)=$E213)*((LMPMain!$J$9:$J$1000)=$F213)*((LMPMain!$O$9:$O$1000)=$C213)*(LMPMain!R$9:R$1000) ) +  ( SUMPRODUCT( ((Adders!$D$13:$D$101)=$E213)*((Adders!$E$13:$E$101)=$F213)*(Adders!G$13:G$101)) + VLOOKUP($H213,Adders!$B$5:$G$8,L$11,FALSE)  +  NJ!$D$2 ) * IF($D213="NJ",1.07,1))/$L$10, CHOOSE($M$10,$L$9,$M$9) )</f>
        <v xml:space="preserve"> 65.31 </v>
      </c>
      <c r="M213" s="173" t="str">
        <f>TEXT(   (SUMPRODUCT( ((LMPMain!$H$9:$H$1000)=$E213)*((LMPMain!$J$9:$J$1000)=$F213)*((LMPMain!$O$9:$O$1000)=$C213)*(LMPMain!S$9:S$1000) ) +  ( SUMPRODUCT( ((Adders!$D$13:$D$101)=$E213)*((Adders!$E$13:$E$101)=$F213)*(Adders!H$13:H$101)) + VLOOKUP($H213,Adders!$B$5:$G$8,M$11,FALSE)  +  NJ!$D$2 ) * IF($D213="NJ",1.07,1))/$L$10, CHOOSE($M$10,$L$9,$M$9) )</f>
        <v xml:space="preserve"> 66.61 </v>
      </c>
      <c r="N213" s="174" t="str">
        <f>TEXT(   (SUMPRODUCT( ((LMPMain!$H$9:$H$1000)=$E213)*((LMPMain!$J$9:$J$1000)=$F213)*((LMPMain!$O$9:$O$1000)=$C213)*(LMPMain!T$9:T$1000) ) +  ( SUMPRODUCT( ((Adders!$D$13:$D$101)=$E213)*((Adders!$E$13:$E$101)=$F213)*(Adders!I$13:I$101)) + VLOOKUP($H213,Adders!$B$5:$G$8,N$11,FALSE)  +  NJ!$D$2 ) * IF($D213="NJ",1.07,1))/$L$10, CHOOSE($M$10,$L$9,$M$9) )</f>
        <v xml:space="preserve"> 66.28 </v>
      </c>
      <c r="O213" s="112"/>
    </row>
    <row r="214" spans="2:15" x14ac:dyDescent="0.25">
      <c r="B214" s="108"/>
      <c r="C214" s="135">
        <f t="shared" si="5"/>
        <v>42339</v>
      </c>
      <c r="D214" s="136" t="s">
        <v>31</v>
      </c>
      <c r="E214" s="137" t="s">
        <v>36</v>
      </c>
      <c r="F214" s="136" t="s">
        <v>37</v>
      </c>
      <c r="G214" s="137" t="str">
        <f t="shared" si="6"/>
        <v>General L&amp;P</v>
      </c>
      <c r="H214" s="138" t="s">
        <v>690</v>
      </c>
      <c r="I214" s="176" t="str">
        <f>TEXT(   (SUMPRODUCT( ((Main!$H$9:$H$1000)=$E214)*((Main!$J$9:$J$1000)=$F214)*((Main!$O$9:$O$1000)=$C214)*(Main!R$9:R$1000) ) +  ( SUMPRODUCT( ((Adders!$D$13:$D$101)=$E214)*((Adders!$E$13:$E$101)=$F214)*(Adders!G$13:G$101)) + VLOOKUP($H214,Adders!$B$5:$G$8,L$11,FALSE)  +  NJ!$D$2 ) * IF($D214="NJ",1.07,1))/$L$10, CHOOSE($M$10,$L$9,$M$9) )</f>
        <v xml:space="preserve"> 103.37 </v>
      </c>
      <c r="J214" s="176" t="str">
        <f>TEXT(   (SUMPRODUCT( ((Main!$H$9:$H$1000)=$E214)*((Main!$J$9:$J$1000)=$F214)*((Main!$O$9:$O$1000)=$C214)*(Main!S$9:S$1000) ) +  ( SUMPRODUCT( ((Adders!$D$13:$D$101)=$E214)*((Adders!$E$13:$E$101)=$F214)*(Adders!H$13:H$101)) + VLOOKUP($H214,Adders!$B$5:$G$8,M$11,FALSE)  +  NJ!$D$2 ) * IF($D214="NJ",1.07,1))/$L$10, CHOOSE($M$10,$L$9,$M$9) )</f>
        <v xml:space="preserve"> 105.11 </v>
      </c>
      <c r="K214" s="177" t="str">
        <f>TEXT(   (SUMPRODUCT( ((Main!$H$9:$H$1000)=$E214)*((Main!$J$9:$J$1000)=$F214)*((Main!$O$9:$O$1000)=$C214)*(Main!T$9:T$1000) ) +  ( SUMPRODUCT( ((Adders!$D$13:$D$101)=$E214)*((Adders!$E$13:$E$101)=$F214)*(Adders!I$13:I$101)) + VLOOKUP($H214,Adders!$B$5:$G$8,N$11,FALSE)  +  NJ!$D$2 ) * IF($D214="NJ",1.07,1))/$L$10, CHOOSE($M$10,$L$9,$M$9) )</f>
        <v xml:space="preserve"> 104.52 </v>
      </c>
      <c r="L214" s="176" t="str">
        <f>TEXT(   (SUMPRODUCT( ((LMPMain!$H$9:$H$1000)=$E214)*((LMPMain!$J$9:$J$1000)=$F214)*((LMPMain!$O$9:$O$1000)=$C214)*(LMPMain!R$9:R$1000) ) +  ( SUMPRODUCT( ((Adders!$D$13:$D$101)=$E214)*((Adders!$E$13:$E$101)=$F214)*(Adders!G$13:G$101)) + VLOOKUP($H214,Adders!$B$5:$G$8,L$11,FALSE)  +  NJ!$D$2 ) * IF($D214="NJ",1.07,1))/$L$10, CHOOSE($M$10,$L$9,$M$9) )</f>
        <v xml:space="preserve"> 64.19 </v>
      </c>
      <c r="M214" s="176" t="str">
        <f>TEXT(   (SUMPRODUCT( ((LMPMain!$H$9:$H$1000)=$E214)*((LMPMain!$J$9:$J$1000)=$F214)*((LMPMain!$O$9:$O$1000)=$C214)*(LMPMain!S$9:S$1000) ) +  ( SUMPRODUCT( ((Adders!$D$13:$D$101)=$E214)*((Adders!$E$13:$E$101)=$F214)*(Adders!H$13:H$101)) + VLOOKUP($H214,Adders!$B$5:$G$8,M$11,FALSE)  +  NJ!$D$2 ) * IF($D214="NJ",1.07,1))/$L$10, CHOOSE($M$10,$L$9,$M$9) )</f>
        <v xml:space="preserve"> 65.49 </v>
      </c>
      <c r="N214" s="177" t="str">
        <f>TEXT(   (SUMPRODUCT( ((LMPMain!$H$9:$H$1000)=$E214)*((LMPMain!$J$9:$J$1000)=$F214)*((LMPMain!$O$9:$O$1000)=$C214)*(LMPMain!T$9:T$1000) ) +  ( SUMPRODUCT( ((Adders!$D$13:$D$101)=$E214)*((Adders!$E$13:$E$101)=$F214)*(Adders!I$13:I$101)) + VLOOKUP($H214,Adders!$B$5:$G$8,N$11,FALSE)  +  NJ!$D$2 ) * IF($D214="NJ",1.07,1))/$L$10, CHOOSE($M$10,$L$9,$M$9) )</f>
        <v xml:space="preserve"> 65.15 </v>
      </c>
      <c r="O214" s="112"/>
    </row>
    <row r="215" spans="2:15" x14ac:dyDescent="0.25">
      <c r="B215" s="108"/>
      <c r="C215" s="127">
        <f t="shared" si="5"/>
        <v>42370</v>
      </c>
      <c r="D215" s="128" t="s">
        <v>31</v>
      </c>
      <c r="E215" s="129" t="s">
        <v>36</v>
      </c>
      <c r="F215" s="128" t="s">
        <v>37</v>
      </c>
      <c r="G215" s="129" t="str">
        <f t="shared" si="6"/>
        <v>General L&amp;P</v>
      </c>
      <c r="H215" s="130" t="s">
        <v>61</v>
      </c>
      <c r="I215" s="178" t="str">
        <f>TEXT(   (SUMPRODUCT( ((Main!$H$9:$H$1000)=$E215)*((Main!$J$9:$J$1000)=$F215)*((Main!$O$9:$O$1000)=$C215)*(Main!R$9:R$1000) ) +  ( SUMPRODUCT( ((Adders!$D$13:$D$101)=$E215)*((Adders!$E$13:$E$101)=$F215)*(Adders!G$13:G$101)) + VLOOKUP($H215,Adders!$B$5:$G$8,L$11,FALSE)  +  NJ!$D$2 ) * IF($D215="NJ",1.07,1))/$L$10, CHOOSE($M$10,$L$9,$M$9) )</f>
        <v xml:space="preserve"> 106.30 </v>
      </c>
      <c r="J215" s="178" t="str">
        <f>TEXT(   (SUMPRODUCT( ((Main!$H$9:$H$1000)=$E215)*((Main!$J$9:$J$1000)=$F215)*((Main!$O$9:$O$1000)=$C215)*(Main!S$9:S$1000) ) +  ( SUMPRODUCT( ((Adders!$D$13:$D$101)=$E215)*((Adders!$E$13:$E$101)=$F215)*(Adders!H$13:H$101)) + VLOOKUP($H215,Adders!$B$5:$G$8,M$11,FALSE)  +  NJ!$D$2 ) * IF($D215="NJ",1.07,1))/$L$10, CHOOSE($M$10,$L$9,$M$9) )</f>
        <v xml:space="preserve"> 107.94 </v>
      </c>
      <c r="K215" s="179" t="str">
        <f>TEXT(   (SUMPRODUCT( ((Main!$H$9:$H$1000)=$E215)*((Main!$J$9:$J$1000)=$F215)*((Main!$O$9:$O$1000)=$C215)*(Main!T$9:T$1000) ) +  ( SUMPRODUCT( ((Adders!$D$13:$D$101)=$E215)*((Adders!$E$13:$E$101)=$F215)*(Adders!I$13:I$101)) + VLOOKUP($H215,Adders!$B$5:$G$8,N$11,FALSE)  +  NJ!$D$2 ) * IF($D215="NJ",1.07,1))/$L$10, CHOOSE($M$10,$L$9,$M$9) )</f>
        <v xml:space="preserve"> 107.45 </v>
      </c>
      <c r="L215" s="178" t="str">
        <f>TEXT(   (SUMPRODUCT( ((LMPMain!$H$9:$H$1000)=$E215)*((LMPMain!$J$9:$J$1000)=$F215)*((LMPMain!$O$9:$O$1000)=$C215)*(LMPMain!R$9:R$1000) ) +  ( SUMPRODUCT( ((Adders!$D$13:$D$101)=$E215)*((Adders!$E$13:$E$101)=$F215)*(Adders!G$13:G$101)) + VLOOKUP($H215,Adders!$B$5:$G$8,L$11,FALSE)  +  NJ!$D$2 ) * IF($D215="NJ",1.07,1))/$L$10, CHOOSE($M$10,$L$9,$M$9) )</f>
        <v xml:space="preserve"> 67.31 </v>
      </c>
      <c r="M215" s="178" t="str">
        <f>TEXT(   (SUMPRODUCT( ((LMPMain!$H$9:$H$1000)=$E215)*((LMPMain!$J$9:$J$1000)=$F215)*((LMPMain!$O$9:$O$1000)=$C215)*(LMPMain!S$9:S$1000) ) +  ( SUMPRODUCT( ((Adders!$D$13:$D$101)=$E215)*((Adders!$E$13:$E$101)=$F215)*(Adders!H$13:H$101)) + VLOOKUP($H215,Adders!$B$5:$G$8,M$11,FALSE)  +  NJ!$D$2 ) * IF($D215="NJ",1.07,1))/$L$10, CHOOSE($M$10,$L$9,$M$9) )</f>
        <v xml:space="preserve"> 68.23 </v>
      </c>
      <c r="N215" s="179" t="str">
        <f>TEXT(   (SUMPRODUCT( ((LMPMain!$H$9:$H$1000)=$E215)*((LMPMain!$J$9:$J$1000)=$F215)*((LMPMain!$O$9:$O$1000)=$C215)*(LMPMain!T$9:T$1000) ) +  ( SUMPRODUCT( ((Adders!$D$13:$D$101)=$E215)*((Adders!$E$13:$E$101)=$F215)*(Adders!I$13:I$101)) + VLOOKUP($H215,Adders!$B$5:$G$8,N$11,FALSE)  +  NJ!$D$2 ) * IF($D215="NJ",1.07,1))/$L$10, CHOOSE($M$10,$L$9,$M$9) )</f>
        <v xml:space="preserve"> 68.18 </v>
      </c>
      <c r="O215" s="112"/>
    </row>
    <row r="216" spans="2:15" x14ac:dyDescent="0.25">
      <c r="B216" s="108"/>
      <c r="C216" s="131">
        <f t="shared" si="5"/>
        <v>42370</v>
      </c>
      <c r="D216" s="132" t="s">
        <v>31</v>
      </c>
      <c r="E216" s="133" t="s">
        <v>36</v>
      </c>
      <c r="F216" s="132" t="s">
        <v>37</v>
      </c>
      <c r="G216" s="133" t="str">
        <f t="shared" si="6"/>
        <v>General L&amp;P</v>
      </c>
      <c r="H216" s="134" t="s">
        <v>62</v>
      </c>
      <c r="I216" s="173" t="str">
        <f>TEXT(   (SUMPRODUCT( ((Main!$H$9:$H$1000)=$E216)*((Main!$J$9:$J$1000)=$F216)*((Main!$O$9:$O$1000)=$C216)*(Main!R$9:R$1000) ) +  ( SUMPRODUCT( ((Adders!$D$13:$D$101)=$E216)*((Adders!$E$13:$E$101)=$F216)*(Adders!G$13:G$101)) + VLOOKUP($H216,Adders!$B$5:$G$8,L$11,FALSE)  +  NJ!$D$2 ) * IF($D216="NJ",1.07,1))/$L$10, CHOOSE($M$10,$L$9,$M$9) )</f>
        <v xml:space="preserve"> 104.59 </v>
      </c>
      <c r="J216" s="173" t="str">
        <f>TEXT(   (SUMPRODUCT( ((Main!$H$9:$H$1000)=$E216)*((Main!$J$9:$J$1000)=$F216)*((Main!$O$9:$O$1000)=$C216)*(Main!S$9:S$1000) ) +  ( SUMPRODUCT( ((Adders!$D$13:$D$101)=$E216)*((Adders!$E$13:$E$101)=$F216)*(Adders!H$13:H$101)) + VLOOKUP($H216,Adders!$B$5:$G$8,M$11,FALSE)  +  NJ!$D$2 ) * IF($D216="NJ",1.07,1))/$L$10, CHOOSE($M$10,$L$9,$M$9) )</f>
        <v xml:space="preserve"> 106.23 </v>
      </c>
      <c r="K216" s="174" t="str">
        <f>TEXT(   (SUMPRODUCT( ((Main!$H$9:$H$1000)=$E216)*((Main!$J$9:$J$1000)=$F216)*((Main!$O$9:$O$1000)=$C216)*(Main!T$9:T$1000) ) +  ( SUMPRODUCT( ((Adders!$D$13:$D$101)=$E216)*((Adders!$E$13:$E$101)=$F216)*(Adders!I$13:I$101)) + VLOOKUP($H216,Adders!$B$5:$G$8,N$11,FALSE)  +  NJ!$D$2 ) * IF($D216="NJ",1.07,1))/$L$10, CHOOSE($M$10,$L$9,$M$9) )</f>
        <v xml:space="preserve"> 105.74 </v>
      </c>
      <c r="L216" s="173" t="str">
        <f>TEXT(   (SUMPRODUCT( ((LMPMain!$H$9:$H$1000)=$E216)*((LMPMain!$J$9:$J$1000)=$F216)*((LMPMain!$O$9:$O$1000)=$C216)*(LMPMain!R$9:R$1000) ) +  ( SUMPRODUCT( ((Adders!$D$13:$D$101)=$E216)*((Adders!$E$13:$E$101)=$F216)*(Adders!G$13:G$101)) + VLOOKUP($H216,Adders!$B$5:$G$8,L$11,FALSE)  +  NJ!$D$2 ) * IF($D216="NJ",1.07,1))/$L$10, CHOOSE($M$10,$L$9,$M$9) )</f>
        <v xml:space="preserve"> 65.60 </v>
      </c>
      <c r="M216" s="173" t="str">
        <f>TEXT(   (SUMPRODUCT( ((LMPMain!$H$9:$H$1000)=$E216)*((LMPMain!$J$9:$J$1000)=$F216)*((LMPMain!$O$9:$O$1000)=$C216)*(LMPMain!S$9:S$1000) ) +  ( SUMPRODUCT( ((Adders!$D$13:$D$101)=$E216)*((Adders!$E$13:$E$101)=$F216)*(Adders!H$13:H$101)) + VLOOKUP($H216,Adders!$B$5:$G$8,M$11,FALSE)  +  NJ!$D$2 ) * IF($D216="NJ",1.07,1))/$L$10, CHOOSE($M$10,$L$9,$M$9) )</f>
        <v xml:space="preserve"> 66.52 </v>
      </c>
      <c r="N216" s="174" t="str">
        <f>TEXT(   (SUMPRODUCT( ((LMPMain!$H$9:$H$1000)=$E216)*((LMPMain!$J$9:$J$1000)=$F216)*((LMPMain!$O$9:$O$1000)=$C216)*(LMPMain!T$9:T$1000) ) +  ( SUMPRODUCT( ((Adders!$D$13:$D$101)=$E216)*((Adders!$E$13:$E$101)=$F216)*(Adders!I$13:I$101)) + VLOOKUP($H216,Adders!$B$5:$G$8,N$11,FALSE)  +  NJ!$D$2 ) * IF($D216="NJ",1.07,1))/$L$10, CHOOSE($M$10,$L$9,$M$9) )</f>
        <v xml:space="preserve"> 66.47 </v>
      </c>
      <c r="O216" s="112"/>
    </row>
    <row r="217" spans="2:15" x14ac:dyDescent="0.25">
      <c r="B217" s="108"/>
      <c r="C217" s="135">
        <f t="shared" si="5"/>
        <v>42370</v>
      </c>
      <c r="D217" s="136" t="s">
        <v>31</v>
      </c>
      <c r="E217" s="137" t="s">
        <v>36</v>
      </c>
      <c r="F217" s="136" t="s">
        <v>37</v>
      </c>
      <c r="G217" s="137" t="str">
        <f t="shared" si="6"/>
        <v>General L&amp;P</v>
      </c>
      <c r="H217" s="138" t="s">
        <v>690</v>
      </c>
      <c r="I217" s="176" t="str">
        <f>TEXT(   (SUMPRODUCT( ((Main!$H$9:$H$1000)=$E217)*((Main!$J$9:$J$1000)=$F217)*((Main!$O$9:$O$1000)=$C217)*(Main!R$9:R$1000) ) +  ( SUMPRODUCT( ((Adders!$D$13:$D$101)=$E217)*((Adders!$E$13:$E$101)=$F217)*(Adders!G$13:G$101)) + VLOOKUP($H217,Adders!$B$5:$G$8,L$11,FALSE)  +  NJ!$D$2 ) * IF($D217="NJ",1.07,1))/$L$10, CHOOSE($M$10,$L$9,$M$9) )</f>
        <v xml:space="preserve"> 103.47 </v>
      </c>
      <c r="J217" s="176" t="str">
        <f>TEXT(   (SUMPRODUCT( ((Main!$H$9:$H$1000)=$E217)*((Main!$J$9:$J$1000)=$F217)*((Main!$O$9:$O$1000)=$C217)*(Main!S$9:S$1000) ) +  ( SUMPRODUCT( ((Adders!$D$13:$D$101)=$E217)*((Adders!$E$13:$E$101)=$F217)*(Adders!H$13:H$101)) + VLOOKUP($H217,Adders!$B$5:$G$8,M$11,FALSE)  +  NJ!$D$2 ) * IF($D217="NJ",1.07,1))/$L$10, CHOOSE($M$10,$L$9,$M$9) )</f>
        <v xml:space="preserve"> 105.11 </v>
      </c>
      <c r="K217" s="177" t="str">
        <f>TEXT(   (SUMPRODUCT( ((Main!$H$9:$H$1000)=$E217)*((Main!$J$9:$J$1000)=$F217)*((Main!$O$9:$O$1000)=$C217)*(Main!T$9:T$1000) ) +  ( SUMPRODUCT( ((Adders!$D$13:$D$101)=$E217)*((Adders!$E$13:$E$101)=$F217)*(Adders!I$13:I$101)) + VLOOKUP($H217,Adders!$B$5:$G$8,N$11,FALSE)  +  NJ!$D$2 ) * IF($D217="NJ",1.07,1))/$L$10, CHOOSE($M$10,$L$9,$M$9) )</f>
        <v xml:space="preserve"> 104.62 </v>
      </c>
      <c r="L217" s="176" t="str">
        <f>TEXT(   (SUMPRODUCT( ((LMPMain!$H$9:$H$1000)=$E217)*((LMPMain!$J$9:$J$1000)=$F217)*((LMPMain!$O$9:$O$1000)=$C217)*(LMPMain!R$9:R$1000) ) +  ( SUMPRODUCT( ((Adders!$D$13:$D$101)=$E217)*((Adders!$E$13:$E$101)=$F217)*(Adders!G$13:G$101)) + VLOOKUP($H217,Adders!$B$5:$G$8,L$11,FALSE)  +  NJ!$D$2 ) * IF($D217="NJ",1.07,1))/$L$10, CHOOSE($M$10,$L$9,$M$9) )</f>
        <v xml:space="preserve"> 64.48 </v>
      </c>
      <c r="M217" s="176" t="str">
        <f>TEXT(   (SUMPRODUCT( ((LMPMain!$H$9:$H$1000)=$E217)*((LMPMain!$J$9:$J$1000)=$F217)*((LMPMain!$O$9:$O$1000)=$C217)*(LMPMain!S$9:S$1000) ) +  ( SUMPRODUCT( ((Adders!$D$13:$D$101)=$E217)*((Adders!$E$13:$E$101)=$F217)*(Adders!H$13:H$101)) + VLOOKUP($H217,Adders!$B$5:$G$8,M$11,FALSE)  +  NJ!$D$2 ) * IF($D217="NJ",1.07,1))/$L$10, CHOOSE($M$10,$L$9,$M$9) )</f>
        <v xml:space="preserve"> 65.39 </v>
      </c>
      <c r="N217" s="177" t="str">
        <f>TEXT(   (SUMPRODUCT( ((LMPMain!$H$9:$H$1000)=$E217)*((LMPMain!$J$9:$J$1000)=$F217)*((LMPMain!$O$9:$O$1000)=$C217)*(LMPMain!T$9:T$1000) ) +  ( SUMPRODUCT( ((Adders!$D$13:$D$101)=$E217)*((Adders!$E$13:$E$101)=$F217)*(Adders!I$13:I$101)) + VLOOKUP($H217,Adders!$B$5:$G$8,N$11,FALSE)  +  NJ!$D$2 ) * IF($D217="NJ",1.07,1))/$L$10, CHOOSE($M$10,$L$9,$M$9) )</f>
        <v xml:space="preserve"> 65.35 </v>
      </c>
      <c r="O217" s="112"/>
    </row>
    <row r="218" spans="2:15" x14ac:dyDescent="0.25">
      <c r="B218" s="108"/>
      <c r="C218" s="127">
        <f t="shared" si="5"/>
        <v>42401</v>
      </c>
      <c r="D218" s="128" t="s">
        <v>31</v>
      </c>
      <c r="E218" s="129" t="s">
        <v>36</v>
      </c>
      <c r="F218" s="128" t="s">
        <v>37</v>
      </c>
      <c r="G218" s="129" t="str">
        <f t="shared" si="6"/>
        <v>General L&amp;P</v>
      </c>
      <c r="H218" s="130" t="s">
        <v>61</v>
      </c>
      <c r="I218" s="178" t="str">
        <f>TEXT(   (SUMPRODUCT( ((Main!$H$9:$H$1000)=$E218)*((Main!$J$9:$J$1000)=$F218)*((Main!$O$9:$O$1000)=$C218)*(Main!R$9:R$1000) ) +  ( SUMPRODUCT( ((Adders!$D$13:$D$101)=$E218)*((Adders!$E$13:$E$101)=$F218)*(Adders!G$13:G$101)) + VLOOKUP($H218,Adders!$B$5:$G$8,L$11,FALSE)  +  NJ!$D$2 ) * IF($D218="NJ",1.07,1))/$L$10, CHOOSE($M$10,$L$9,$M$9) )</f>
        <v xml:space="preserve"> 106.51 </v>
      </c>
      <c r="J218" s="178" t="str">
        <f>TEXT(   (SUMPRODUCT( ((Main!$H$9:$H$1000)=$E218)*((Main!$J$9:$J$1000)=$F218)*((Main!$O$9:$O$1000)=$C218)*(Main!S$9:S$1000) ) +  ( SUMPRODUCT( ((Adders!$D$13:$D$101)=$E218)*((Adders!$E$13:$E$101)=$F218)*(Adders!H$13:H$101)) + VLOOKUP($H218,Adders!$B$5:$G$8,M$11,FALSE)  +  NJ!$D$2 ) * IF($D218="NJ",1.07,1))/$L$10, CHOOSE($M$10,$L$9,$M$9) )</f>
        <v xml:space="preserve"> 107.31 </v>
      </c>
      <c r="K218" s="179" t="str">
        <f>TEXT(   (SUMPRODUCT( ((Main!$H$9:$H$1000)=$E218)*((Main!$J$9:$J$1000)=$F218)*((Main!$O$9:$O$1000)=$C218)*(Main!T$9:T$1000) ) +  ( SUMPRODUCT( ((Adders!$D$13:$D$101)=$E218)*((Adders!$E$13:$E$101)=$F218)*(Adders!I$13:I$101)) + VLOOKUP($H218,Adders!$B$5:$G$8,N$11,FALSE)  +  NJ!$D$2 ) * IF($D218="NJ",1.07,1))/$L$10, CHOOSE($M$10,$L$9,$M$9) )</f>
        <v xml:space="preserve"> 107.75 </v>
      </c>
      <c r="L218" s="178" t="str">
        <f>TEXT(   (SUMPRODUCT( ((LMPMain!$H$9:$H$1000)=$E218)*((LMPMain!$J$9:$J$1000)=$F218)*((LMPMain!$O$9:$O$1000)=$C218)*(LMPMain!R$9:R$1000) ) +  ( SUMPRODUCT( ((Adders!$D$13:$D$101)=$E218)*((Adders!$E$13:$E$101)=$F218)*(Adders!G$13:G$101)) + VLOOKUP($H218,Adders!$B$5:$G$8,L$11,FALSE)  +  NJ!$D$2 ) * IF($D218="NJ",1.07,1))/$L$10, CHOOSE($M$10,$L$9,$M$9) )</f>
        <v xml:space="preserve"> 67.47 </v>
      </c>
      <c r="M218" s="178" t="str">
        <f>TEXT(   (SUMPRODUCT( ((LMPMain!$H$9:$H$1000)=$E218)*((LMPMain!$J$9:$J$1000)=$F218)*((LMPMain!$O$9:$O$1000)=$C218)*(LMPMain!S$9:S$1000) ) +  ( SUMPRODUCT( ((Adders!$D$13:$D$101)=$E218)*((Adders!$E$13:$E$101)=$F218)*(Adders!H$13:H$101)) + VLOOKUP($H218,Adders!$B$5:$G$8,M$11,FALSE)  +  NJ!$D$2 ) * IF($D218="NJ",1.07,1))/$L$10, CHOOSE($M$10,$L$9,$M$9) )</f>
        <v xml:space="preserve"> 67.79 </v>
      </c>
      <c r="N218" s="179" t="str">
        <f>TEXT(   (SUMPRODUCT( ((LMPMain!$H$9:$H$1000)=$E218)*((LMPMain!$J$9:$J$1000)=$F218)*((LMPMain!$O$9:$O$1000)=$C218)*(LMPMain!T$9:T$1000) ) +  ( SUMPRODUCT( ((Adders!$D$13:$D$101)=$E218)*((Adders!$E$13:$E$101)=$F218)*(Adders!I$13:I$101)) + VLOOKUP($H218,Adders!$B$5:$G$8,N$11,FALSE)  +  NJ!$D$2 ) * IF($D218="NJ",1.07,1))/$L$10, CHOOSE($M$10,$L$9,$M$9) )</f>
        <v xml:space="preserve"> 68.31 </v>
      </c>
      <c r="O218" s="112"/>
    </row>
    <row r="219" spans="2:15" x14ac:dyDescent="0.25">
      <c r="B219" s="108"/>
      <c r="C219" s="131">
        <f t="shared" si="5"/>
        <v>42401</v>
      </c>
      <c r="D219" s="132" t="s">
        <v>31</v>
      </c>
      <c r="E219" s="133" t="s">
        <v>36</v>
      </c>
      <c r="F219" s="132" t="s">
        <v>37</v>
      </c>
      <c r="G219" s="133" t="str">
        <f t="shared" si="6"/>
        <v>General L&amp;P</v>
      </c>
      <c r="H219" s="134" t="s">
        <v>62</v>
      </c>
      <c r="I219" s="173" t="str">
        <f>TEXT(   (SUMPRODUCT( ((Main!$H$9:$H$1000)=$E219)*((Main!$J$9:$J$1000)=$F219)*((Main!$O$9:$O$1000)=$C219)*(Main!R$9:R$1000) ) +  ( SUMPRODUCT( ((Adders!$D$13:$D$101)=$E219)*((Adders!$E$13:$E$101)=$F219)*(Adders!G$13:G$101)) + VLOOKUP($H219,Adders!$B$5:$G$8,L$11,FALSE)  +  NJ!$D$2 ) * IF($D219="NJ",1.07,1))/$L$10, CHOOSE($M$10,$L$9,$M$9) )</f>
        <v xml:space="preserve"> 104.80 </v>
      </c>
      <c r="J219" s="173" t="str">
        <f>TEXT(   (SUMPRODUCT( ((Main!$H$9:$H$1000)=$E219)*((Main!$J$9:$J$1000)=$F219)*((Main!$O$9:$O$1000)=$C219)*(Main!S$9:S$1000) ) +  ( SUMPRODUCT( ((Adders!$D$13:$D$101)=$E219)*((Adders!$E$13:$E$101)=$F219)*(Adders!H$13:H$101)) + VLOOKUP($H219,Adders!$B$5:$G$8,M$11,FALSE)  +  NJ!$D$2 ) * IF($D219="NJ",1.07,1))/$L$10, CHOOSE($M$10,$L$9,$M$9) )</f>
        <v xml:space="preserve"> 105.60 </v>
      </c>
      <c r="K219" s="174" t="str">
        <f>TEXT(   (SUMPRODUCT( ((Main!$H$9:$H$1000)=$E219)*((Main!$J$9:$J$1000)=$F219)*((Main!$O$9:$O$1000)=$C219)*(Main!T$9:T$1000) ) +  ( SUMPRODUCT( ((Adders!$D$13:$D$101)=$E219)*((Adders!$E$13:$E$101)=$F219)*(Adders!I$13:I$101)) + VLOOKUP($H219,Adders!$B$5:$G$8,N$11,FALSE)  +  NJ!$D$2 ) * IF($D219="NJ",1.07,1))/$L$10, CHOOSE($M$10,$L$9,$M$9) )</f>
        <v xml:space="preserve"> 106.04 </v>
      </c>
      <c r="L219" s="173" t="str">
        <f>TEXT(   (SUMPRODUCT( ((LMPMain!$H$9:$H$1000)=$E219)*((LMPMain!$J$9:$J$1000)=$F219)*((LMPMain!$O$9:$O$1000)=$C219)*(LMPMain!R$9:R$1000) ) +  ( SUMPRODUCT( ((Adders!$D$13:$D$101)=$E219)*((Adders!$E$13:$E$101)=$F219)*(Adders!G$13:G$101)) + VLOOKUP($H219,Adders!$B$5:$G$8,L$11,FALSE)  +  NJ!$D$2 ) * IF($D219="NJ",1.07,1))/$L$10, CHOOSE($M$10,$L$9,$M$9) )</f>
        <v xml:space="preserve"> 65.75 </v>
      </c>
      <c r="M219" s="173" t="str">
        <f>TEXT(   (SUMPRODUCT( ((LMPMain!$H$9:$H$1000)=$E219)*((LMPMain!$J$9:$J$1000)=$F219)*((LMPMain!$O$9:$O$1000)=$C219)*(LMPMain!S$9:S$1000) ) +  ( SUMPRODUCT( ((Adders!$D$13:$D$101)=$E219)*((Adders!$E$13:$E$101)=$F219)*(Adders!H$13:H$101)) + VLOOKUP($H219,Adders!$B$5:$G$8,M$11,FALSE)  +  NJ!$D$2 ) * IF($D219="NJ",1.07,1))/$L$10, CHOOSE($M$10,$L$9,$M$9) )</f>
        <v xml:space="preserve"> 66.08 </v>
      </c>
      <c r="N219" s="174" t="str">
        <f>TEXT(   (SUMPRODUCT( ((LMPMain!$H$9:$H$1000)=$E219)*((LMPMain!$J$9:$J$1000)=$F219)*((LMPMain!$O$9:$O$1000)=$C219)*(LMPMain!T$9:T$1000) ) +  ( SUMPRODUCT( ((Adders!$D$13:$D$101)=$E219)*((Adders!$E$13:$E$101)=$F219)*(Adders!I$13:I$101)) + VLOOKUP($H219,Adders!$B$5:$G$8,N$11,FALSE)  +  NJ!$D$2 ) * IF($D219="NJ",1.07,1))/$L$10, CHOOSE($M$10,$L$9,$M$9) )</f>
        <v xml:space="preserve"> 66.60 </v>
      </c>
      <c r="O219" s="112"/>
    </row>
    <row r="220" spans="2:15" x14ac:dyDescent="0.25">
      <c r="B220" s="108"/>
      <c r="C220" s="135">
        <f t="shared" si="5"/>
        <v>42401</v>
      </c>
      <c r="D220" s="136" t="s">
        <v>31</v>
      </c>
      <c r="E220" s="137" t="s">
        <v>36</v>
      </c>
      <c r="F220" s="136" t="s">
        <v>37</v>
      </c>
      <c r="G220" s="137" t="str">
        <f t="shared" si="6"/>
        <v>General L&amp;P</v>
      </c>
      <c r="H220" s="138" t="s">
        <v>690</v>
      </c>
      <c r="I220" s="176" t="str">
        <f>TEXT(   (SUMPRODUCT( ((Main!$H$9:$H$1000)=$E220)*((Main!$J$9:$J$1000)=$F220)*((Main!$O$9:$O$1000)=$C220)*(Main!R$9:R$1000) ) +  ( SUMPRODUCT( ((Adders!$D$13:$D$101)=$E220)*((Adders!$E$13:$E$101)=$F220)*(Adders!G$13:G$101)) + VLOOKUP($H220,Adders!$B$5:$G$8,L$11,FALSE)  +  NJ!$D$2 ) * IF($D220="NJ",1.07,1))/$L$10, CHOOSE($M$10,$L$9,$M$9) )</f>
        <v xml:space="preserve"> 103.68 </v>
      </c>
      <c r="J220" s="176" t="str">
        <f>TEXT(   (SUMPRODUCT( ((Main!$H$9:$H$1000)=$E220)*((Main!$J$9:$J$1000)=$F220)*((Main!$O$9:$O$1000)=$C220)*(Main!S$9:S$1000) ) +  ( SUMPRODUCT( ((Adders!$D$13:$D$101)=$E220)*((Adders!$E$13:$E$101)=$F220)*(Adders!H$13:H$101)) + VLOOKUP($H220,Adders!$B$5:$G$8,M$11,FALSE)  +  NJ!$D$2 ) * IF($D220="NJ",1.07,1))/$L$10, CHOOSE($M$10,$L$9,$M$9) )</f>
        <v xml:space="preserve"> 104.48 </v>
      </c>
      <c r="K220" s="177" t="str">
        <f>TEXT(   (SUMPRODUCT( ((Main!$H$9:$H$1000)=$E220)*((Main!$J$9:$J$1000)=$F220)*((Main!$O$9:$O$1000)=$C220)*(Main!T$9:T$1000) ) +  ( SUMPRODUCT( ((Adders!$D$13:$D$101)=$E220)*((Adders!$E$13:$E$101)=$F220)*(Adders!I$13:I$101)) + VLOOKUP($H220,Adders!$B$5:$G$8,N$11,FALSE)  +  NJ!$D$2 ) * IF($D220="NJ",1.07,1))/$L$10, CHOOSE($M$10,$L$9,$M$9) )</f>
        <v xml:space="preserve"> 104.92 </v>
      </c>
      <c r="L220" s="176" t="str">
        <f>TEXT(   (SUMPRODUCT( ((LMPMain!$H$9:$H$1000)=$E220)*((LMPMain!$J$9:$J$1000)=$F220)*((LMPMain!$O$9:$O$1000)=$C220)*(LMPMain!R$9:R$1000) ) +  ( SUMPRODUCT( ((Adders!$D$13:$D$101)=$E220)*((Adders!$E$13:$E$101)=$F220)*(Adders!G$13:G$101)) + VLOOKUP($H220,Adders!$B$5:$G$8,L$11,FALSE)  +  NJ!$D$2 ) * IF($D220="NJ",1.07,1))/$L$10, CHOOSE($M$10,$L$9,$M$9) )</f>
        <v xml:space="preserve"> 64.63 </v>
      </c>
      <c r="M220" s="176" t="str">
        <f>TEXT(   (SUMPRODUCT( ((LMPMain!$H$9:$H$1000)=$E220)*((LMPMain!$J$9:$J$1000)=$F220)*((LMPMain!$O$9:$O$1000)=$C220)*(LMPMain!S$9:S$1000) ) +  ( SUMPRODUCT( ((Adders!$D$13:$D$101)=$E220)*((Adders!$E$13:$E$101)=$F220)*(Adders!H$13:H$101)) + VLOOKUP($H220,Adders!$B$5:$G$8,M$11,FALSE)  +  NJ!$D$2 ) * IF($D220="NJ",1.07,1))/$L$10, CHOOSE($M$10,$L$9,$M$9) )</f>
        <v xml:space="preserve"> 64.96 </v>
      </c>
      <c r="N220" s="177" t="str">
        <f>TEXT(   (SUMPRODUCT( ((LMPMain!$H$9:$H$1000)=$E220)*((LMPMain!$J$9:$J$1000)=$F220)*((LMPMain!$O$9:$O$1000)=$C220)*(LMPMain!T$9:T$1000) ) +  ( SUMPRODUCT( ((Adders!$D$13:$D$101)=$E220)*((Adders!$E$13:$E$101)=$F220)*(Adders!I$13:I$101)) + VLOOKUP($H220,Adders!$B$5:$G$8,N$11,FALSE)  +  NJ!$D$2 ) * IF($D220="NJ",1.07,1))/$L$10, CHOOSE($M$10,$L$9,$M$9) )</f>
        <v xml:space="preserve"> 65.48 </v>
      </c>
      <c r="O220" s="112"/>
    </row>
    <row r="221" spans="2:15" x14ac:dyDescent="0.25">
      <c r="B221" s="108"/>
      <c r="C221" s="127">
        <f t="shared" si="5"/>
        <v>42430</v>
      </c>
      <c r="D221" s="128" t="s">
        <v>31</v>
      </c>
      <c r="E221" s="129" t="s">
        <v>36</v>
      </c>
      <c r="F221" s="128" t="s">
        <v>37</v>
      </c>
      <c r="G221" s="129" t="str">
        <f t="shared" si="6"/>
        <v>General L&amp;P</v>
      </c>
      <c r="H221" s="130" t="s">
        <v>61</v>
      </c>
      <c r="I221" s="178" t="str">
        <f>TEXT(   (SUMPRODUCT( ((Main!$H$9:$H$1000)=$E221)*((Main!$J$9:$J$1000)=$F221)*((Main!$O$9:$O$1000)=$C221)*(Main!R$9:R$1000) ) +  ( SUMPRODUCT( ((Adders!$D$13:$D$101)=$E221)*((Adders!$E$13:$E$101)=$F221)*(Adders!G$13:G$101)) + VLOOKUP($H221,Adders!$B$5:$G$8,L$11,FALSE)  +  NJ!$D$2 ) * IF($D221="NJ",1.07,1))/$L$10, CHOOSE($M$10,$L$9,$M$9) )</f>
        <v xml:space="preserve"> 106.63 </v>
      </c>
      <c r="J221" s="178" t="str">
        <f>TEXT(   (SUMPRODUCT( ((Main!$H$9:$H$1000)=$E221)*((Main!$J$9:$J$1000)=$F221)*((Main!$O$9:$O$1000)=$C221)*(Main!S$9:S$1000) ) +  ( SUMPRODUCT( ((Adders!$D$13:$D$101)=$E221)*((Adders!$E$13:$E$101)=$F221)*(Adders!H$13:H$101)) + VLOOKUP($H221,Adders!$B$5:$G$8,M$11,FALSE)  +  NJ!$D$2 ) * IF($D221="NJ",1.07,1))/$L$10, CHOOSE($M$10,$L$9,$M$9) )</f>
        <v xml:space="preserve"> 106.82 </v>
      </c>
      <c r="K221" s="179" t="str">
        <f>TEXT(   (SUMPRODUCT( ((Main!$H$9:$H$1000)=$E221)*((Main!$J$9:$J$1000)=$F221)*((Main!$O$9:$O$1000)=$C221)*(Main!T$9:T$1000) ) +  ( SUMPRODUCT( ((Adders!$D$13:$D$101)=$E221)*((Adders!$E$13:$E$101)=$F221)*(Adders!I$13:I$101)) + VLOOKUP($H221,Adders!$B$5:$G$8,N$11,FALSE)  +  NJ!$D$2 ) * IF($D221="NJ",1.07,1))/$L$10, CHOOSE($M$10,$L$9,$M$9) )</f>
        <v xml:space="preserve"> 108.00 </v>
      </c>
      <c r="L221" s="178" t="str">
        <f>TEXT(   (SUMPRODUCT( ((LMPMain!$H$9:$H$1000)=$E221)*((LMPMain!$J$9:$J$1000)=$F221)*((LMPMain!$O$9:$O$1000)=$C221)*(LMPMain!R$9:R$1000) ) +  ( SUMPRODUCT( ((Adders!$D$13:$D$101)=$E221)*((Adders!$E$13:$E$101)=$F221)*(Adders!G$13:G$101)) + VLOOKUP($H221,Adders!$B$5:$G$8,L$11,FALSE)  +  NJ!$D$2 ) * IF($D221="NJ",1.07,1))/$L$10, CHOOSE($M$10,$L$9,$M$9) )</f>
        <v xml:space="preserve"> 67.65 </v>
      </c>
      <c r="M221" s="178" t="str">
        <f>TEXT(   (SUMPRODUCT( ((LMPMain!$H$9:$H$1000)=$E221)*((LMPMain!$J$9:$J$1000)=$F221)*((LMPMain!$O$9:$O$1000)=$C221)*(LMPMain!S$9:S$1000) ) +  ( SUMPRODUCT( ((Adders!$D$13:$D$101)=$E221)*((Adders!$E$13:$E$101)=$F221)*(Adders!H$13:H$101)) + VLOOKUP($H221,Adders!$B$5:$G$8,M$11,FALSE)  +  NJ!$D$2 ) * IF($D221="NJ",1.07,1))/$L$10, CHOOSE($M$10,$L$9,$M$9) )</f>
        <v xml:space="preserve"> 67.48 </v>
      </c>
      <c r="N221" s="179" t="str">
        <f>TEXT(   (SUMPRODUCT( ((LMPMain!$H$9:$H$1000)=$E221)*((LMPMain!$J$9:$J$1000)=$F221)*((LMPMain!$O$9:$O$1000)=$C221)*(LMPMain!T$9:T$1000) ) +  ( SUMPRODUCT( ((Adders!$D$13:$D$101)=$E221)*((Adders!$E$13:$E$101)=$F221)*(Adders!I$13:I$101)) + VLOOKUP($H221,Adders!$B$5:$G$8,N$11,FALSE)  +  NJ!$D$2 ) * IF($D221="NJ",1.07,1))/$L$10, CHOOSE($M$10,$L$9,$M$9) )</f>
        <v xml:space="preserve"> 68.47 </v>
      </c>
      <c r="O221" s="112"/>
    </row>
    <row r="222" spans="2:15" x14ac:dyDescent="0.25">
      <c r="B222" s="108"/>
      <c r="C222" s="131">
        <f t="shared" si="5"/>
        <v>42430</v>
      </c>
      <c r="D222" s="132" t="s">
        <v>31</v>
      </c>
      <c r="E222" s="133" t="s">
        <v>36</v>
      </c>
      <c r="F222" s="132" t="s">
        <v>37</v>
      </c>
      <c r="G222" s="133" t="str">
        <f t="shared" si="6"/>
        <v>General L&amp;P</v>
      </c>
      <c r="H222" s="134" t="s">
        <v>62</v>
      </c>
      <c r="I222" s="173" t="str">
        <f>TEXT(   (SUMPRODUCT( ((Main!$H$9:$H$1000)=$E222)*((Main!$J$9:$J$1000)=$F222)*((Main!$O$9:$O$1000)=$C222)*(Main!R$9:R$1000) ) +  ( SUMPRODUCT( ((Adders!$D$13:$D$101)=$E222)*((Adders!$E$13:$E$101)=$F222)*(Adders!G$13:G$101)) + VLOOKUP($H222,Adders!$B$5:$G$8,L$11,FALSE)  +  NJ!$D$2 ) * IF($D222="NJ",1.07,1))/$L$10, CHOOSE($M$10,$L$9,$M$9) )</f>
        <v xml:space="preserve"> 104.92 </v>
      </c>
      <c r="J222" s="173" t="str">
        <f>TEXT(   (SUMPRODUCT( ((Main!$H$9:$H$1000)=$E222)*((Main!$J$9:$J$1000)=$F222)*((Main!$O$9:$O$1000)=$C222)*(Main!S$9:S$1000) ) +  ( SUMPRODUCT( ((Adders!$D$13:$D$101)=$E222)*((Adders!$E$13:$E$101)=$F222)*(Adders!H$13:H$101)) + VLOOKUP($H222,Adders!$B$5:$G$8,M$11,FALSE)  +  NJ!$D$2 ) * IF($D222="NJ",1.07,1))/$L$10, CHOOSE($M$10,$L$9,$M$9) )</f>
        <v xml:space="preserve"> 105.11 </v>
      </c>
      <c r="K222" s="174" t="str">
        <f>TEXT(   (SUMPRODUCT( ((Main!$H$9:$H$1000)=$E222)*((Main!$J$9:$J$1000)=$F222)*((Main!$O$9:$O$1000)=$C222)*(Main!T$9:T$1000) ) +  ( SUMPRODUCT( ((Adders!$D$13:$D$101)=$E222)*((Adders!$E$13:$E$101)=$F222)*(Adders!I$13:I$101)) + VLOOKUP($H222,Adders!$B$5:$G$8,N$11,FALSE)  +  NJ!$D$2 ) * IF($D222="NJ",1.07,1))/$L$10, CHOOSE($M$10,$L$9,$M$9) )</f>
        <v xml:space="preserve"> 106.29 </v>
      </c>
      <c r="L222" s="173" t="str">
        <f>TEXT(   (SUMPRODUCT( ((LMPMain!$H$9:$H$1000)=$E222)*((LMPMain!$J$9:$J$1000)=$F222)*((LMPMain!$O$9:$O$1000)=$C222)*(LMPMain!R$9:R$1000) ) +  ( SUMPRODUCT( ((Adders!$D$13:$D$101)=$E222)*((Adders!$E$13:$E$101)=$F222)*(Adders!G$13:G$101)) + VLOOKUP($H222,Adders!$B$5:$G$8,L$11,FALSE)  +  NJ!$D$2 ) * IF($D222="NJ",1.07,1))/$L$10, CHOOSE($M$10,$L$9,$M$9) )</f>
        <v xml:space="preserve"> 65.94 </v>
      </c>
      <c r="M222" s="173" t="str">
        <f>TEXT(   (SUMPRODUCT( ((LMPMain!$H$9:$H$1000)=$E222)*((LMPMain!$J$9:$J$1000)=$F222)*((LMPMain!$O$9:$O$1000)=$C222)*(LMPMain!S$9:S$1000) ) +  ( SUMPRODUCT( ((Adders!$D$13:$D$101)=$E222)*((Adders!$E$13:$E$101)=$F222)*(Adders!H$13:H$101)) + VLOOKUP($H222,Adders!$B$5:$G$8,M$11,FALSE)  +  NJ!$D$2 ) * IF($D222="NJ",1.07,1))/$L$10, CHOOSE($M$10,$L$9,$M$9) )</f>
        <v xml:space="preserve"> 65.77 </v>
      </c>
      <c r="N222" s="174" t="str">
        <f>TEXT(   (SUMPRODUCT( ((LMPMain!$H$9:$H$1000)=$E222)*((LMPMain!$J$9:$J$1000)=$F222)*((LMPMain!$O$9:$O$1000)=$C222)*(LMPMain!T$9:T$1000) ) +  ( SUMPRODUCT( ((Adders!$D$13:$D$101)=$E222)*((Adders!$E$13:$E$101)=$F222)*(Adders!I$13:I$101)) + VLOOKUP($H222,Adders!$B$5:$G$8,N$11,FALSE)  +  NJ!$D$2 ) * IF($D222="NJ",1.07,1))/$L$10, CHOOSE($M$10,$L$9,$M$9) )</f>
        <v xml:space="preserve"> 66.75 </v>
      </c>
      <c r="O222" s="112"/>
    </row>
    <row r="223" spans="2:15" x14ac:dyDescent="0.25">
      <c r="B223" s="108"/>
      <c r="C223" s="135">
        <f t="shared" si="5"/>
        <v>42430</v>
      </c>
      <c r="D223" s="136" t="s">
        <v>31</v>
      </c>
      <c r="E223" s="137" t="s">
        <v>36</v>
      </c>
      <c r="F223" s="136" t="s">
        <v>37</v>
      </c>
      <c r="G223" s="137" t="str">
        <f t="shared" si="6"/>
        <v>General L&amp;P</v>
      </c>
      <c r="H223" s="138" t="s">
        <v>690</v>
      </c>
      <c r="I223" s="176" t="str">
        <f>TEXT(   (SUMPRODUCT( ((Main!$H$9:$H$1000)=$E223)*((Main!$J$9:$J$1000)=$F223)*((Main!$O$9:$O$1000)=$C223)*(Main!R$9:R$1000) ) +  ( SUMPRODUCT( ((Adders!$D$13:$D$101)=$E223)*((Adders!$E$13:$E$101)=$F223)*(Adders!G$13:G$101)) + VLOOKUP($H223,Adders!$B$5:$G$8,L$11,FALSE)  +  NJ!$D$2 ) * IF($D223="NJ",1.07,1))/$L$10, CHOOSE($M$10,$L$9,$M$9) )</f>
        <v xml:space="preserve"> 103.80 </v>
      </c>
      <c r="J223" s="176" t="str">
        <f>TEXT(   (SUMPRODUCT( ((Main!$H$9:$H$1000)=$E223)*((Main!$J$9:$J$1000)=$F223)*((Main!$O$9:$O$1000)=$C223)*(Main!S$9:S$1000) ) +  ( SUMPRODUCT( ((Adders!$D$13:$D$101)=$E223)*((Adders!$E$13:$E$101)=$F223)*(Adders!H$13:H$101)) + VLOOKUP($H223,Adders!$B$5:$G$8,M$11,FALSE)  +  NJ!$D$2 ) * IF($D223="NJ",1.07,1))/$L$10, CHOOSE($M$10,$L$9,$M$9) )</f>
        <v xml:space="preserve"> 103.99 </v>
      </c>
      <c r="K223" s="177" t="str">
        <f>TEXT(   (SUMPRODUCT( ((Main!$H$9:$H$1000)=$E223)*((Main!$J$9:$J$1000)=$F223)*((Main!$O$9:$O$1000)=$C223)*(Main!T$9:T$1000) ) +  ( SUMPRODUCT( ((Adders!$D$13:$D$101)=$E223)*((Adders!$E$13:$E$101)=$F223)*(Adders!I$13:I$101)) + VLOOKUP($H223,Adders!$B$5:$G$8,N$11,FALSE)  +  NJ!$D$2 ) * IF($D223="NJ",1.07,1))/$L$10, CHOOSE($M$10,$L$9,$M$9) )</f>
        <v xml:space="preserve"> 105.17 </v>
      </c>
      <c r="L223" s="176" t="str">
        <f>TEXT(   (SUMPRODUCT( ((LMPMain!$H$9:$H$1000)=$E223)*((LMPMain!$J$9:$J$1000)=$F223)*((LMPMain!$O$9:$O$1000)=$C223)*(LMPMain!R$9:R$1000) ) +  ( SUMPRODUCT( ((Adders!$D$13:$D$101)=$E223)*((Adders!$E$13:$E$101)=$F223)*(Adders!G$13:G$101)) + VLOOKUP($H223,Adders!$B$5:$G$8,L$11,FALSE)  +  NJ!$D$2 ) * IF($D223="NJ",1.07,1))/$L$10, CHOOSE($M$10,$L$9,$M$9) )</f>
        <v xml:space="preserve"> 64.82 </v>
      </c>
      <c r="M223" s="176" t="str">
        <f>TEXT(   (SUMPRODUCT( ((LMPMain!$H$9:$H$1000)=$E223)*((LMPMain!$J$9:$J$1000)=$F223)*((LMPMain!$O$9:$O$1000)=$C223)*(LMPMain!S$9:S$1000) ) +  ( SUMPRODUCT( ((Adders!$D$13:$D$101)=$E223)*((Adders!$E$13:$E$101)=$F223)*(Adders!H$13:H$101)) + VLOOKUP($H223,Adders!$B$5:$G$8,M$11,FALSE)  +  NJ!$D$2 ) * IF($D223="NJ",1.07,1))/$L$10, CHOOSE($M$10,$L$9,$M$9) )</f>
        <v xml:space="preserve"> 64.64 </v>
      </c>
      <c r="N223" s="177" t="str">
        <f>TEXT(   (SUMPRODUCT( ((LMPMain!$H$9:$H$1000)=$E223)*((LMPMain!$J$9:$J$1000)=$F223)*((LMPMain!$O$9:$O$1000)=$C223)*(LMPMain!T$9:T$1000) ) +  ( SUMPRODUCT( ((Adders!$D$13:$D$101)=$E223)*((Adders!$E$13:$E$101)=$F223)*(Adders!I$13:I$101)) + VLOOKUP($H223,Adders!$B$5:$G$8,N$11,FALSE)  +  NJ!$D$2 ) * IF($D223="NJ",1.07,1))/$L$10, CHOOSE($M$10,$L$9,$M$9) )</f>
        <v xml:space="preserve"> 65.63 </v>
      </c>
      <c r="O223" s="112"/>
    </row>
    <row r="224" spans="2:15" x14ac:dyDescent="0.25">
      <c r="B224" s="108"/>
      <c r="C224" s="127">
        <f t="shared" si="5"/>
        <v>42461</v>
      </c>
      <c r="D224" s="128" t="s">
        <v>31</v>
      </c>
      <c r="E224" s="129" t="s">
        <v>36</v>
      </c>
      <c r="F224" s="128" t="s">
        <v>37</v>
      </c>
      <c r="G224" s="129" t="str">
        <f t="shared" si="6"/>
        <v>General L&amp;P</v>
      </c>
      <c r="H224" s="130" t="s">
        <v>61</v>
      </c>
      <c r="I224" s="178" t="str">
        <f>TEXT(   (SUMPRODUCT( ((Main!$H$9:$H$1000)=$E224)*((Main!$J$9:$J$1000)=$F224)*((Main!$O$9:$O$1000)=$C224)*(Main!R$9:R$1000) ) +  ( SUMPRODUCT( ((Adders!$D$13:$D$101)=$E224)*((Adders!$E$13:$E$101)=$F224)*(Adders!G$13:G$101)) + VLOOKUP($H224,Adders!$B$5:$G$8,L$11,FALSE)  +  NJ!$D$2 ) * IF($D224="NJ",1.07,1))/$L$10, CHOOSE($M$10,$L$9,$M$9) )</f>
        <v xml:space="preserve"> 106.88 </v>
      </c>
      <c r="J224" s="178" t="str">
        <f>TEXT(   (SUMPRODUCT( ((Main!$H$9:$H$1000)=$E224)*((Main!$J$9:$J$1000)=$F224)*((Main!$O$9:$O$1000)=$C224)*(Main!S$9:S$1000) ) +  ( SUMPRODUCT( ((Adders!$D$13:$D$101)=$E224)*((Adders!$E$13:$E$101)=$F224)*(Adders!H$13:H$101)) + VLOOKUP($H224,Adders!$B$5:$G$8,M$11,FALSE)  +  NJ!$D$2 ) * IF($D224="NJ",1.07,1))/$L$10, CHOOSE($M$10,$L$9,$M$9) )</f>
        <v xml:space="preserve"> 106.43 </v>
      </c>
      <c r="K224" s="179" t="str">
        <f>TEXT(   (SUMPRODUCT( ((Main!$H$9:$H$1000)=$E224)*((Main!$J$9:$J$1000)=$F224)*((Main!$O$9:$O$1000)=$C224)*(Main!T$9:T$1000) ) +  ( SUMPRODUCT( ((Adders!$D$13:$D$101)=$E224)*((Adders!$E$13:$E$101)=$F224)*(Adders!I$13:I$101)) + VLOOKUP($H224,Adders!$B$5:$G$8,N$11,FALSE)  +  NJ!$D$2 ) * IF($D224="NJ",1.07,1))/$L$10, CHOOSE($M$10,$L$9,$M$9) )</f>
        <v xml:space="preserve"> 108.12 </v>
      </c>
      <c r="L224" s="178" t="str">
        <f>TEXT(   (SUMPRODUCT( ((LMPMain!$H$9:$H$1000)=$E224)*((LMPMain!$J$9:$J$1000)=$F224)*((LMPMain!$O$9:$O$1000)=$C224)*(LMPMain!R$9:R$1000) ) +  ( SUMPRODUCT( ((Adders!$D$13:$D$101)=$E224)*((Adders!$E$13:$E$101)=$F224)*(Adders!G$13:G$101)) + VLOOKUP($H224,Adders!$B$5:$G$8,L$11,FALSE)  +  NJ!$D$2 ) * IF($D224="NJ",1.07,1))/$L$10, CHOOSE($M$10,$L$9,$M$9) )</f>
        <v xml:space="preserve"> 67.91 </v>
      </c>
      <c r="M224" s="178" t="str">
        <f>TEXT(   (SUMPRODUCT( ((LMPMain!$H$9:$H$1000)=$E224)*((LMPMain!$J$9:$J$1000)=$F224)*((LMPMain!$O$9:$O$1000)=$C224)*(LMPMain!S$9:S$1000) ) +  ( SUMPRODUCT( ((Adders!$D$13:$D$101)=$E224)*((Adders!$E$13:$E$101)=$F224)*(Adders!H$13:H$101)) + VLOOKUP($H224,Adders!$B$5:$G$8,M$11,FALSE)  +  NJ!$D$2 ) * IF($D224="NJ",1.07,1))/$L$10, CHOOSE($M$10,$L$9,$M$9) )</f>
        <v xml:space="preserve"> 67.38 </v>
      </c>
      <c r="N224" s="179" t="str">
        <f>TEXT(   (SUMPRODUCT( ((LMPMain!$H$9:$H$1000)=$E224)*((LMPMain!$J$9:$J$1000)=$F224)*((LMPMain!$O$9:$O$1000)=$C224)*(LMPMain!T$9:T$1000) ) +  ( SUMPRODUCT( ((Adders!$D$13:$D$101)=$E224)*((Adders!$E$13:$E$101)=$F224)*(Adders!I$13:I$101)) + VLOOKUP($H224,Adders!$B$5:$G$8,N$11,FALSE)  +  NJ!$D$2 ) * IF($D224="NJ",1.07,1))/$L$10, CHOOSE($M$10,$L$9,$M$9) )</f>
        <v xml:space="preserve"> 68.65 </v>
      </c>
      <c r="O224" s="112"/>
    </row>
    <row r="225" spans="2:15" x14ac:dyDescent="0.25">
      <c r="B225" s="108"/>
      <c r="C225" s="131">
        <f t="shared" si="5"/>
        <v>42461</v>
      </c>
      <c r="D225" s="132" t="s">
        <v>31</v>
      </c>
      <c r="E225" s="133" t="s">
        <v>36</v>
      </c>
      <c r="F225" s="132" t="s">
        <v>37</v>
      </c>
      <c r="G225" s="133" t="str">
        <f t="shared" si="6"/>
        <v>General L&amp;P</v>
      </c>
      <c r="H225" s="134" t="s">
        <v>62</v>
      </c>
      <c r="I225" s="173" t="str">
        <f>TEXT(   (SUMPRODUCT( ((Main!$H$9:$H$1000)=$E225)*((Main!$J$9:$J$1000)=$F225)*((Main!$O$9:$O$1000)=$C225)*(Main!R$9:R$1000) ) +  ( SUMPRODUCT( ((Adders!$D$13:$D$101)=$E225)*((Adders!$E$13:$E$101)=$F225)*(Adders!G$13:G$101)) + VLOOKUP($H225,Adders!$B$5:$G$8,L$11,FALSE)  +  NJ!$D$2 ) * IF($D225="NJ",1.07,1))/$L$10, CHOOSE($M$10,$L$9,$M$9) )</f>
        <v xml:space="preserve"> 105.17 </v>
      </c>
      <c r="J225" s="173" t="str">
        <f>TEXT(   (SUMPRODUCT( ((Main!$H$9:$H$1000)=$E225)*((Main!$J$9:$J$1000)=$F225)*((Main!$O$9:$O$1000)=$C225)*(Main!S$9:S$1000) ) +  ( SUMPRODUCT( ((Adders!$D$13:$D$101)=$E225)*((Adders!$E$13:$E$101)=$F225)*(Adders!H$13:H$101)) + VLOOKUP($H225,Adders!$B$5:$G$8,M$11,FALSE)  +  NJ!$D$2 ) * IF($D225="NJ",1.07,1))/$L$10, CHOOSE($M$10,$L$9,$M$9) )</f>
        <v xml:space="preserve"> 104.72 </v>
      </c>
      <c r="K225" s="174" t="str">
        <f>TEXT(   (SUMPRODUCT( ((Main!$H$9:$H$1000)=$E225)*((Main!$J$9:$J$1000)=$F225)*((Main!$O$9:$O$1000)=$C225)*(Main!T$9:T$1000) ) +  ( SUMPRODUCT( ((Adders!$D$13:$D$101)=$E225)*((Adders!$E$13:$E$101)=$F225)*(Adders!I$13:I$101)) + VLOOKUP($H225,Adders!$B$5:$G$8,N$11,FALSE)  +  NJ!$D$2 ) * IF($D225="NJ",1.07,1))/$L$10, CHOOSE($M$10,$L$9,$M$9) )</f>
        <v xml:space="preserve"> 106.41 </v>
      </c>
      <c r="L225" s="173" t="str">
        <f>TEXT(   (SUMPRODUCT( ((LMPMain!$H$9:$H$1000)=$E225)*((LMPMain!$J$9:$J$1000)=$F225)*((LMPMain!$O$9:$O$1000)=$C225)*(LMPMain!R$9:R$1000) ) +  ( SUMPRODUCT( ((Adders!$D$13:$D$101)=$E225)*((Adders!$E$13:$E$101)=$F225)*(Adders!G$13:G$101)) + VLOOKUP($H225,Adders!$B$5:$G$8,L$11,FALSE)  +  NJ!$D$2 ) * IF($D225="NJ",1.07,1))/$L$10, CHOOSE($M$10,$L$9,$M$9) )</f>
        <v xml:space="preserve"> 66.20 </v>
      </c>
      <c r="M225" s="173" t="str">
        <f>TEXT(   (SUMPRODUCT( ((LMPMain!$H$9:$H$1000)=$E225)*((LMPMain!$J$9:$J$1000)=$F225)*((LMPMain!$O$9:$O$1000)=$C225)*(LMPMain!S$9:S$1000) ) +  ( SUMPRODUCT( ((Adders!$D$13:$D$101)=$E225)*((Adders!$E$13:$E$101)=$F225)*(Adders!H$13:H$101)) + VLOOKUP($H225,Adders!$B$5:$G$8,M$11,FALSE)  +  NJ!$D$2 ) * IF($D225="NJ",1.07,1))/$L$10, CHOOSE($M$10,$L$9,$M$9) )</f>
        <v xml:space="preserve"> 65.67 </v>
      </c>
      <c r="N225" s="174" t="str">
        <f>TEXT(   (SUMPRODUCT( ((LMPMain!$H$9:$H$1000)=$E225)*((LMPMain!$J$9:$J$1000)=$F225)*((LMPMain!$O$9:$O$1000)=$C225)*(LMPMain!T$9:T$1000) ) +  ( SUMPRODUCT( ((Adders!$D$13:$D$101)=$E225)*((Adders!$E$13:$E$101)=$F225)*(Adders!I$13:I$101)) + VLOOKUP($H225,Adders!$B$5:$G$8,N$11,FALSE)  +  NJ!$D$2 ) * IF($D225="NJ",1.07,1))/$L$10, CHOOSE($M$10,$L$9,$M$9) )</f>
        <v xml:space="preserve"> 66.94 </v>
      </c>
      <c r="O225" s="112"/>
    </row>
    <row r="226" spans="2:15" x14ac:dyDescent="0.25">
      <c r="B226" s="108"/>
      <c r="C226" s="135">
        <f t="shared" si="5"/>
        <v>42461</v>
      </c>
      <c r="D226" s="136" t="s">
        <v>31</v>
      </c>
      <c r="E226" s="137" t="s">
        <v>36</v>
      </c>
      <c r="F226" s="136" t="s">
        <v>37</v>
      </c>
      <c r="G226" s="137" t="str">
        <f t="shared" si="6"/>
        <v>General L&amp;P</v>
      </c>
      <c r="H226" s="138" t="s">
        <v>690</v>
      </c>
      <c r="I226" s="176" t="str">
        <f>TEXT(   (SUMPRODUCT( ((Main!$H$9:$H$1000)=$E226)*((Main!$J$9:$J$1000)=$F226)*((Main!$O$9:$O$1000)=$C226)*(Main!R$9:R$1000) ) +  ( SUMPRODUCT( ((Adders!$D$13:$D$101)=$E226)*((Adders!$E$13:$E$101)=$F226)*(Adders!G$13:G$101)) + VLOOKUP($H226,Adders!$B$5:$G$8,L$11,FALSE)  +  NJ!$D$2 ) * IF($D226="NJ",1.07,1))/$L$10, CHOOSE($M$10,$L$9,$M$9) )</f>
        <v xml:space="preserve"> 104.05 </v>
      </c>
      <c r="J226" s="176" t="str">
        <f>TEXT(   (SUMPRODUCT( ((Main!$H$9:$H$1000)=$E226)*((Main!$J$9:$J$1000)=$F226)*((Main!$O$9:$O$1000)=$C226)*(Main!S$9:S$1000) ) +  ( SUMPRODUCT( ((Adders!$D$13:$D$101)=$E226)*((Adders!$E$13:$E$101)=$F226)*(Adders!H$13:H$101)) + VLOOKUP($H226,Adders!$B$5:$G$8,M$11,FALSE)  +  NJ!$D$2 ) * IF($D226="NJ",1.07,1))/$L$10, CHOOSE($M$10,$L$9,$M$9) )</f>
        <v xml:space="preserve"> 103.60 </v>
      </c>
      <c r="K226" s="177" t="str">
        <f>TEXT(   (SUMPRODUCT( ((Main!$H$9:$H$1000)=$E226)*((Main!$J$9:$J$1000)=$F226)*((Main!$O$9:$O$1000)=$C226)*(Main!T$9:T$1000) ) +  ( SUMPRODUCT( ((Adders!$D$13:$D$101)=$E226)*((Adders!$E$13:$E$101)=$F226)*(Adders!I$13:I$101)) + VLOOKUP($H226,Adders!$B$5:$G$8,N$11,FALSE)  +  NJ!$D$2 ) * IF($D226="NJ",1.07,1))/$L$10, CHOOSE($M$10,$L$9,$M$9) )</f>
        <v xml:space="preserve"> 105.29 </v>
      </c>
      <c r="L226" s="176" t="str">
        <f>TEXT(   (SUMPRODUCT( ((LMPMain!$H$9:$H$1000)=$E226)*((LMPMain!$J$9:$J$1000)=$F226)*((LMPMain!$O$9:$O$1000)=$C226)*(LMPMain!R$9:R$1000) ) +  ( SUMPRODUCT( ((Adders!$D$13:$D$101)=$E226)*((Adders!$E$13:$E$101)=$F226)*(Adders!G$13:G$101)) + VLOOKUP($H226,Adders!$B$5:$G$8,L$11,FALSE)  +  NJ!$D$2 ) * IF($D226="NJ",1.07,1))/$L$10, CHOOSE($M$10,$L$9,$M$9) )</f>
        <v xml:space="preserve"> 65.08 </v>
      </c>
      <c r="M226" s="176" t="str">
        <f>TEXT(   (SUMPRODUCT( ((LMPMain!$H$9:$H$1000)=$E226)*((LMPMain!$J$9:$J$1000)=$F226)*((LMPMain!$O$9:$O$1000)=$C226)*(LMPMain!S$9:S$1000) ) +  ( SUMPRODUCT( ((Adders!$D$13:$D$101)=$E226)*((Adders!$E$13:$E$101)=$F226)*(Adders!H$13:H$101)) + VLOOKUP($H226,Adders!$B$5:$G$8,M$11,FALSE)  +  NJ!$D$2 ) * IF($D226="NJ",1.07,1))/$L$10, CHOOSE($M$10,$L$9,$M$9) )</f>
        <v xml:space="preserve"> 64.55 </v>
      </c>
      <c r="N226" s="177" t="str">
        <f>TEXT(   (SUMPRODUCT( ((LMPMain!$H$9:$H$1000)=$E226)*((LMPMain!$J$9:$J$1000)=$F226)*((LMPMain!$O$9:$O$1000)=$C226)*(LMPMain!T$9:T$1000) ) +  ( SUMPRODUCT( ((Adders!$D$13:$D$101)=$E226)*((Adders!$E$13:$E$101)=$F226)*(Adders!I$13:I$101)) + VLOOKUP($H226,Adders!$B$5:$G$8,N$11,FALSE)  +  NJ!$D$2 ) * IF($D226="NJ",1.07,1))/$L$10, CHOOSE($M$10,$L$9,$M$9) )</f>
        <v xml:space="preserve"> 65.81 </v>
      </c>
      <c r="O226" s="112"/>
    </row>
    <row r="227" spans="2:15" x14ac:dyDescent="0.25">
      <c r="B227" s="108"/>
      <c r="C227" s="127">
        <f t="shared" si="5"/>
        <v>42491</v>
      </c>
      <c r="D227" s="128" t="s">
        <v>31</v>
      </c>
      <c r="E227" s="129" t="s">
        <v>36</v>
      </c>
      <c r="F227" s="128" t="s">
        <v>37</v>
      </c>
      <c r="G227" s="129" t="str">
        <f t="shared" si="6"/>
        <v>General L&amp;P</v>
      </c>
      <c r="H227" s="130" t="s">
        <v>61</v>
      </c>
      <c r="I227" s="178" t="str">
        <f>TEXT(   (SUMPRODUCT( ((Main!$H$9:$H$1000)=$E227)*((Main!$J$9:$J$1000)=$F227)*((Main!$O$9:$O$1000)=$C227)*(Main!R$9:R$1000) ) +  ( SUMPRODUCT( ((Adders!$D$13:$D$101)=$E227)*((Adders!$E$13:$E$101)=$F227)*(Adders!G$13:G$101)) + VLOOKUP($H227,Adders!$B$5:$G$8,L$11,FALSE)  +  NJ!$D$2 ) * IF($D227="NJ",1.07,1))/$L$10, CHOOSE($M$10,$L$9,$M$9) )</f>
        <v xml:space="preserve"> 107.10 </v>
      </c>
      <c r="J227" s="178" t="str">
        <f>TEXT(   (SUMPRODUCT( ((Main!$H$9:$H$1000)=$E227)*((Main!$J$9:$J$1000)=$F227)*((Main!$O$9:$O$1000)=$C227)*(Main!S$9:S$1000) ) +  ( SUMPRODUCT( ((Adders!$D$13:$D$101)=$E227)*((Adders!$E$13:$E$101)=$F227)*(Adders!H$13:H$101)) + VLOOKUP($H227,Adders!$B$5:$G$8,M$11,FALSE)  +  NJ!$D$2 ) * IF($D227="NJ",1.07,1))/$L$10, CHOOSE($M$10,$L$9,$M$9) )</f>
        <v xml:space="preserve"> 106.53 </v>
      </c>
      <c r="K227" s="179" t="str">
        <f>TEXT(   (SUMPRODUCT( ((Main!$H$9:$H$1000)=$E227)*((Main!$J$9:$J$1000)=$F227)*((Main!$O$9:$O$1000)=$C227)*(Main!T$9:T$1000) ) +  ( SUMPRODUCT( ((Adders!$D$13:$D$101)=$E227)*((Adders!$E$13:$E$101)=$F227)*(Adders!I$13:I$101)) + VLOOKUP($H227,Adders!$B$5:$G$8,N$11,FALSE)  +  NJ!$D$2 ) * IF($D227="NJ",1.07,1))/$L$10, CHOOSE($M$10,$L$9,$M$9) )</f>
        <v xml:space="preserve"> 108.33 </v>
      </c>
      <c r="L227" s="178" t="str">
        <f>TEXT(   (SUMPRODUCT( ((LMPMain!$H$9:$H$1000)=$E227)*((LMPMain!$J$9:$J$1000)=$F227)*((LMPMain!$O$9:$O$1000)=$C227)*(LMPMain!R$9:R$1000) ) +  ( SUMPRODUCT( ((Adders!$D$13:$D$101)=$E227)*((Adders!$E$13:$E$101)=$F227)*(Adders!G$13:G$101)) + VLOOKUP($H227,Adders!$B$5:$G$8,L$11,FALSE)  +  NJ!$D$2 ) * IF($D227="NJ",1.07,1))/$L$10, CHOOSE($M$10,$L$9,$M$9) )</f>
        <v xml:space="preserve"> 68.19 </v>
      </c>
      <c r="M227" s="178" t="str">
        <f>TEXT(   (SUMPRODUCT( ((LMPMain!$H$9:$H$1000)=$E227)*((LMPMain!$J$9:$J$1000)=$F227)*((LMPMain!$O$9:$O$1000)=$C227)*(LMPMain!S$9:S$1000) ) +  ( SUMPRODUCT( ((Adders!$D$13:$D$101)=$E227)*((Adders!$E$13:$E$101)=$F227)*(Adders!H$13:H$101)) + VLOOKUP($H227,Adders!$B$5:$G$8,M$11,FALSE)  +  NJ!$D$2 ) * IF($D227="NJ",1.07,1))/$L$10, CHOOSE($M$10,$L$9,$M$9) )</f>
        <v xml:space="preserve"> 67.62 </v>
      </c>
      <c r="N227" s="179" t="str">
        <f>TEXT(   (SUMPRODUCT( ((LMPMain!$H$9:$H$1000)=$E227)*((LMPMain!$J$9:$J$1000)=$F227)*((LMPMain!$O$9:$O$1000)=$C227)*(LMPMain!T$9:T$1000) ) +  ( SUMPRODUCT( ((Adders!$D$13:$D$101)=$E227)*((Adders!$E$13:$E$101)=$F227)*(Adders!I$13:I$101)) + VLOOKUP($H227,Adders!$B$5:$G$8,N$11,FALSE)  +  NJ!$D$2 ) * IF($D227="NJ",1.07,1))/$L$10, CHOOSE($M$10,$L$9,$M$9) )</f>
        <v xml:space="preserve"> 68.83 </v>
      </c>
      <c r="O227" s="112"/>
    </row>
    <row r="228" spans="2:15" x14ac:dyDescent="0.25">
      <c r="B228" s="108"/>
      <c r="C228" s="131">
        <f t="shared" si="5"/>
        <v>42491</v>
      </c>
      <c r="D228" s="132" t="s">
        <v>31</v>
      </c>
      <c r="E228" s="133" t="s">
        <v>36</v>
      </c>
      <c r="F228" s="132" t="s">
        <v>37</v>
      </c>
      <c r="G228" s="133" t="str">
        <f t="shared" si="6"/>
        <v>General L&amp;P</v>
      </c>
      <c r="H228" s="134" t="s">
        <v>62</v>
      </c>
      <c r="I228" s="173" t="str">
        <f>TEXT(   (SUMPRODUCT( ((Main!$H$9:$H$1000)=$E228)*((Main!$J$9:$J$1000)=$F228)*((Main!$O$9:$O$1000)=$C228)*(Main!R$9:R$1000) ) +  ( SUMPRODUCT( ((Adders!$D$13:$D$101)=$E228)*((Adders!$E$13:$E$101)=$F228)*(Adders!G$13:G$101)) + VLOOKUP($H228,Adders!$B$5:$G$8,L$11,FALSE)  +  NJ!$D$2 ) * IF($D228="NJ",1.07,1))/$L$10, CHOOSE($M$10,$L$9,$M$9) )</f>
        <v xml:space="preserve"> 105.39 </v>
      </c>
      <c r="J228" s="173" t="str">
        <f>TEXT(   (SUMPRODUCT( ((Main!$H$9:$H$1000)=$E228)*((Main!$J$9:$J$1000)=$F228)*((Main!$O$9:$O$1000)=$C228)*(Main!S$9:S$1000) ) +  ( SUMPRODUCT( ((Adders!$D$13:$D$101)=$E228)*((Adders!$E$13:$E$101)=$F228)*(Adders!H$13:H$101)) + VLOOKUP($H228,Adders!$B$5:$G$8,M$11,FALSE)  +  NJ!$D$2 ) * IF($D228="NJ",1.07,1))/$L$10, CHOOSE($M$10,$L$9,$M$9) )</f>
        <v xml:space="preserve"> 104.82 </v>
      </c>
      <c r="K228" s="174" t="str">
        <f>TEXT(   (SUMPRODUCT( ((Main!$H$9:$H$1000)=$E228)*((Main!$J$9:$J$1000)=$F228)*((Main!$O$9:$O$1000)=$C228)*(Main!T$9:T$1000) ) +  ( SUMPRODUCT( ((Adders!$D$13:$D$101)=$E228)*((Adders!$E$13:$E$101)=$F228)*(Adders!I$13:I$101)) + VLOOKUP($H228,Adders!$B$5:$G$8,N$11,FALSE)  +  NJ!$D$2 ) * IF($D228="NJ",1.07,1))/$L$10, CHOOSE($M$10,$L$9,$M$9) )</f>
        <v xml:space="preserve"> 106.62 </v>
      </c>
      <c r="L228" s="173" t="str">
        <f>TEXT(   (SUMPRODUCT( ((LMPMain!$H$9:$H$1000)=$E228)*((LMPMain!$J$9:$J$1000)=$F228)*((LMPMain!$O$9:$O$1000)=$C228)*(LMPMain!R$9:R$1000) ) +  ( SUMPRODUCT( ((Adders!$D$13:$D$101)=$E228)*((Adders!$E$13:$E$101)=$F228)*(Adders!G$13:G$101)) + VLOOKUP($H228,Adders!$B$5:$G$8,L$11,FALSE)  +  NJ!$D$2 ) * IF($D228="NJ",1.07,1))/$L$10, CHOOSE($M$10,$L$9,$M$9) )</f>
        <v xml:space="preserve"> 66.48 </v>
      </c>
      <c r="M228" s="173" t="str">
        <f>TEXT(   (SUMPRODUCT( ((LMPMain!$H$9:$H$1000)=$E228)*((LMPMain!$J$9:$J$1000)=$F228)*((LMPMain!$O$9:$O$1000)=$C228)*(LMPMain!S$9:S$1000) ) +  ( SUMPRODUCT( ((Adders!$D$13:$D$101)=$E228)*((Adders!$E$13:$E$101)=$F228)*(Adders!H$13:H$101)) + VLOOKUP($H228,Adders!$B$5:$G$8,M$11,FALSE)  +  NJ!$D$2 ) * IF($D228="NJ",1.07,1))/$L$10, CHOOSE($M$10,$L$9,$M$9) )</f>
        <v xml:space="preserve"> 65.90 </v>
      </c>
      <c r="N228" s="174" t="str">
        <f>TEXT(   (SUMPRODUCT( ((LMPMain!$H$9:$H$1000)=$E228)*((LMPMain!$J$9:$J$1000)=$F228)*((LMPMain!$O$9:$O$1000)=$C228)*(LMPMain!T$9:T$1000) ) +  ( SUMPRODUCT( ((Adders!$D$13:$D$101)=$E228)*((Adders!$E$13:$E$101)=$F228)*(Adders!I$13:I$101)) + VLOOKUP($H228,Adders!$B$5:$G$8,N$11,FALSE)  +  NJ!$D$2 ) * IF($D228="NJ",1.07,1))/$L$10, CHOOSE($M$10,$L$9,$M$9) )</f>
        <v xml:space="preserve"> 67.12 </v>
      </c>
      <c r="O228" s="112"/>
    </row>
    <row r="229" spans="2:15" x14ac:dyDescent="0.25">
      <c r="B229" s="108"/>
      <c r="C229" s="135">
        <f t="shared" si="5"/>
        <v>42491</v>
      </c>
      <c r="D229" s="136" t="s">
        <v>31</v>
      </c>
      <c r="E229" s="137" t="s">
        <v>36</v>
      </c>
      <c r="F229" s="136" t="s">
        <v>37</v>
      </c>
      <c r="G229" s="137" t="str">
        <f t="shared" si="6"/>
        <v>General L&amp;P</v>
      </c>
      <c r="H229" s="138" t="s">
        <v>690</v>
      </c>
      <c r="I229" s="176" t="str">
        <f>TEXT(   (SUMPRODUCT( ((Main!$H$9:$H$1000)=$E229)*((Main!$J$9:$J$1000)=$F229)*((Main!$O$9:$O$1000)=$C229)*(Main!R$9:R$1000) ) +  ( SUMPRODUCT( ((Adders!$D$13:$D$101)=$E229)*((Adders!$E$13:$E$101)=$F229)*(Adders!G$13:G$101)) + VLOOKUP($H229,Adders!$B$5:$G$8,L$11,FALSE)  +  NJ!$D$2 ) * IF($D229="NJ",1.07,1))/$L$10, CHOOSE($M$10,$L$9,$M$9) )</f>
        <v xml:space="preserve"> 104.27 </v>
      </c>
      <c r="J229" s="176" t="str">
        <f>TEXT(   (SUMPRODUCT( ((Main!$H$9:$H$1000)=$E229)*((Main!$J$9:$J$1000)=$F229)*((Main!$O$9:$O$1000)=$C229)*(Main!S$9:S$1000) ) +  ( SUMPRODUCT( ((Adders!$D$13:$D$101)=$E229)*((Adders!$E$13:$E$101)=$F229)*(Adders!H$13:H$101)) + VLOOKUP($H229,Adders!$B$5:$G$8,M$11,FALSE)  +  NJ!$D$2 ) * IF($D229="NJ",1.07,1))/$L$10, CHOOSE($M$10,$L$9,$M$9) )</f>
        <v xml:space="preserve"> 103.70 </v>
      </c>
      <c r="K229" s="177" t="str">
        <f>TEXT(   (SUMPRODUCT( ((Main!$H$9:$H$1000)=$E229)*((Main!$J$9:$J$1000)=$F229)*((Main!$O$9:$O$1000)=$C229)*(Main!T$9:T$1000) ) +  ( SUMPRODUCT( ((Adders!$D$13:$D$101)=$E229)*((Adders!$E$13:$E$101)=$F229)*(Adders!I$13:I$101)) + VLOOKUP($H229,Adders!$B$5:$G$8,N$11,FALSE)  +  NJ!$D$2 ) * IF($D229="NJ",1.07,1))/$L$10, CHOOSE($M$10,$L$9,$M$9) )</f>
        <v xml:space="preserve"> 105.50 </v>
      </c>
      <c r="L229" s="176" t="str">
        <f>TEXT(   (SUMPRODUCT( ((LMPMain!$H$9:$H$1000)=$E229)*((LMPMain!$J$9:$J$1000)=$F229)*((LMPMain!$O$9:$O$1000)=$C229)*(LMPMain!R$9:R$1000) ) +  ( SUMPRODUCT( ((Adders!$D$13:$D$101)=$E229)*((Adders!$E$13:$E$101)=$F229)*(Adders!G$13:G$101)) + VLOOKUP($H229,Adders!$B$5:$G$8,L$11,FALSE)  +  NJ!$D$2 ) * IF($D229="NJ",1.07,1))/$L$10, CHOOSE($M$10,$L$9,$M$9) )</f>
        <v xml:space="preserve"> 65.35 </v>
      </c>
      <c r="M229" s="176" t="str">
        <f>TEXT(   (SUMPRODUCT( ((LMPMain!$H$9:$H$1000)=$E229)*((LMPMain!$J$9:$J$1000)=$F229)*((LMPMain!$O$9:$O$1000)=$C229)*(LMPMain!S$9:S$1000) ) +  ( SUMPRODUCT( ((Adders!$D$13:$D$101)=$E229)*((Adders!$E$13:$E$101)=$F229)*(Adders!H$13:H$101)) + VLOOKUP($H229,Adders!$B$5:$G$8,M$11,FALSE)  +  NJ!$D$2 ) * IF($D229="NJ",1.07,1))/$L$10, CHOOSE($M$10,$L$9,$M$9) )</f>
        <v xml:space="preserve"> 64.78 </v>
      </c>
      <c r="N229" s="177" t="str">
        <f>TEXT(   (SUMPRODUCT( ((LMPMain!$H$9:$H$1000)=$E229)*((LMPMain!$J$9:$J$1000)=$F229)*((LMPMain!$O$9:$O$1000)=$C229)*(LMPMain!T$9:T$1000) ) +  ( SUMPRODUCT( ((Adders!$D$13:$D$101)=$E229)*((Adders!$E$13:$E$101)=$F229)*(Adders!I$13:I$101)) + VLOOKUP($H229,Adders!$B$5:$G$8,N$11,FALSE)  +  NJ!$D$2 ) * IF($D229="NJ",1.07,1))/$L$10, CHOOSE($M$10,$L$9,$M$9) )</f>
        <v xml:space="preserve"> 66.00 </v>
      </c>
      <c r="O229" s="112"/>
    </row>
    <row r="230" spans="2:15" x14ac:dyDescent="0.25">
      <c r="B230" s="108"/>
      <c r="C230" s="127">
        <f t="shared" si="5"/>
        <v>42156</v>
      </c>
      <c r="D230" s="128" t="s">
        <v>31</v>
      </c>
      <c r="E230" s="129" t="s">
        <v>36</v>
      </c>
      <c r="F230" s="128" t="s">
        <v>38</v>
      </c>
      <c r="G230" s="129" t="str">
        <f>VLOOKUP(SUMPRODUCT( ((LMPMain!$H$9:$H$1000)=$E230)*((LMPMain!$J$9:$J$1000)=$F230)*((LMPMain!$O$9:$O$1000)=$C230)*(LMPMain!A$9:A$1000)),LMPMain!$A$9:$K$1000,11,FALSE)</f>
        <v>Large P&amp;L</v>
      </c>
      <c r="H230" s="130" t="s">
        <v>61</v>
      </c>
      <c r="I230" s="178" t="str">
        <f>TEXT(   (SUMPRODUCT( ((Main!$H$9:$H$1000)=$E230)*((Main!$J$9:$J$1000)=$F230)*((Main!$O$9:$O$1000)=$C230)*(Main!R$9:R$1000) ) +  ( SUMPRODUCT( ((Adders!$D$13:$D$101)=$E230)*((Adders!$E$13:$E$101)=$F230)*(Adders!G$13:G$101)) + VLOOKUP($H230,Adders!$B$5:$G$8,L$11,FALSE)  +  NJ!$D$2 ) * IF($D230="NJ",1.07,1))/$L$10, CHOOSE($M$10,$L$9,$M$9) )</f>
        <v xml:space="preserve"> 102.70 </v>
      </c>
      <c r="J230" s="178" t="str">
        <f>TEXT(   (SUMPRODUCT( ((Main!$H$9:$H$1000)=$E230)*((Main!$J$9:$J$1000)=$F230)*((Main!$O$9:$O$1000)=$C230)*(Main!S$9:S$1000) ) +  ( SUMPRODUCT( ((Adders!$D$13:$D$101)=$E230)*((Adders!$E$13:$E$101)=$F230)*(Adders!H$13:H$101)) + VLOOKUP($H230,Adders!$B$5:$G$8,M$11,FALSE)  +  NJ!$D$2 ) * IF($D230="NJ",1.07,1))/$L$10, CHOOSE($M$10,$L$9,$M$9) )</f>
        <v xml:space="preserve"> 102.27 </v>
      </c>
      <c r="K230" s="179" t="str">
        <f>TEXT(   (SUMPRODUCT( ((Main!$H$9:$H$1000)=$E230)*((Main!$J$9:$J$1000)=$F230)*((Main!$O$9:$O$1000)=$C230)*(Main!T$9:T$1000) ) +  ( SUMPRODUCT( ((Adders!$D$13:$D$101)=$E230)*((Adders!$E$13:$E$101)=$F230)*(Adders!I$13:I$101)) + VLOOKUP($H230,Adders!$B$5:$G$8,N$11,FALSE)  +  NJ!$D$2 ) * IF($D230="NJ",1.07,1))/$L$10, CHOOSE($M$10,$L$9,$M$9) )</f>
        <v xml:space="preserve"> 104.18 </v>
      </c>
      <c r="L230" s="178" t="str">
        <f>TEXT(   (SUMPRODUCT( ((LMPMain!$H$9:$H$1000)=$E230)*((LMPMain!$J$9:$J$1000)=$F230)*((LMPMain!$O$9:$O$1000)=$C230)*(LMPMain!R$9:R$1000) ) +  ( SUMPRODUCT( ((Adders!$D$13:$D$101)=$E230)*((Adders!$E$13:$E$101)=$F230)*(Adders!G$13:G$101)) + VLOOKUP($H230,Adders!$B$5:$G$8,L$11,FALSE)  +  NJ!$D$2 ) * IF($D230="NJ",1.07,1))/$L$10, CHOOSE($M$10,$L$9,$M$9) )</f>
        <v xml:space="preserve"> 64.46 </v>
      </c>
      <c r="M230" s="178" t="str">
        <f>TEXT(   (SUMPRODUCT( ((LMPMain!$H$9:$H$1000)=$E230)*((LMPMain!$J$9:$J$1000)=$F230)*((LMPMain!$O$9:$O$1000)=$C230)*(LMPMain!S$9:S$1000) ) +  ( SUMPRODUCT( ((Adders!$D$13:$D$101)=$E230)*((Adders!$E$13:$E$101)=$F230)*(Adders!H$13:H$101)) + VLOOKUP($H230,Adders!$B$5:$G$8,M$11,FALSE)  +  NJ!$D$2 ) * IF($D230="NJ",1.07,1))/$L$10, CHOOSE($M$10,$L$9,$M$9) )</f>
        <v xml:space="preserve"> 64.78 </v>
      </c>
      <c r="N230" s="179" t="str">
        <f>TEXT(   (SUMPRODUCT( ((LMPMain!$H$9:$H$1000)=$E230)*((LMPMain!$J$9:$J$1000)=$F230)*((LMPMain!$O$9:$O$1000)=$C230)*(LMPMain!T$9:T$1000) ) +  ( SUMPRODUCT( ((Adders!$D$13:$D$101)=$E230)*((Adders!$E$13:$E$101)=$F230)*(Adders!I$13:I$101)) + VLOOKUP($H230,Adders!$B$5:$G$8,N$11,FALSE)  +  NJ!$D$2 ) * IF($D230="NJ",1.07,1))/$L$10, CHOOSE($M$10,$L$9,$M$9) )</f>
        <v xml:space="preserve"> 66.03 </v>
      </c>
      <c r="O230" s="112"/>
    </row>
    <row r="231" spans="2:15" x14ac:dyDescent="0.25">
      <c r="B231" s="108"/>
      <c r="C231" s="131">
        <f t="shared" si="5"/>
        <v>42156</v>
      </c>
      <c r="D231" s="132" t="s">
        <v>31</v>
      </c>
      <c r="E231" s="133" t="s">
        <v>36</v>
      </c>
      <c r="F231" s="132" t="s">
        <v>38</v>
      </c>
      <c r="G231" s="133" t="str">
        <f>G230</f>
        <v>Large P&amp;L</v>
      </c>
      <c r="H231" s="134" t="s">
        <v>62</v>
      </c>
      <c r="I231" s="173" t="str">
        <f>TEXT(   (SUMPRODUCT( ((Main!$H$9:$H$1000)=$E231)*((Main!$J$9:$J$1000)=$F231)*((Main!$O$9:$O$1000)=$C231)*(Main!R$9:R$1000) ) +  ( SUMPRODUCT( ((Adders!$D$13:$D$101)=$E231)*((Adders!$E$13:$E$101)=$F231)*(Adders!G$13:G$101)) + VLOOKUP($H231,Adders!$B$5:$G$8,L$11,FALSE)  +  NJ!$D$2 ) * IF($D231="NJ",1.07,1))/$L$10, CHOOSE($M$10,$L$9,$M$9) )</f>
        <v xml:space="preserve"> 100.99 </v>
      </c>
      <c r="J231" s="173" t="str">
        <f>TEXT(   (SUMPRODUCT( ((Main!$H$9:$H$1000)=$E231)*((Main!$J$9:$J$1000)=$F231)*((Main!$O$9:$O$1000)=$C231)*(Main!S$9:S$1000) ) +  ( SUMPRODUCT( ((Adders!$D$13:$D$101)=$E231)*((Adders!$E$13:$E$101)=$F231)*(Adders!H$13:H$101)) + VLOOKUP($H231,Adders!$B$5:$G$8,M$11,FALSE)  +  NJ!$D$2 ) * IF($D231="NJ",1.07,1))/$L$10, CHOOSE($M$10,$L$9,$M$9) )</f>
        <v xml:space="preserve"> 100.56 </v>
      </c>
      <c r="K231" s="174" t="str">
        <f>TEXT(   (SUMPRODUCT( ((Main!$H$9:$H$1000)=$E231)*((Main!$J$9:$J$1000)=$F231)*((Main!$O$9:$O$1000)=$C231)*(Main!T$9:T$1000) ) +  ( SUMPRODUCT( ((Adders!$D$13:$D$101)=$E231)*((Adders!$E$13:$E$101)=$F231)*(Adders!I$13:I$101)) + VLOOKUP($H231,Adders!$B$5:$G$8,N$11,FALSE)  +  NJ!$D$2 ) * IF($D231="NJ",1.07,1))/$L$10, CHOOSE($M$10,$L$9,$M$9) )</f>
        <v xml:space="preserve"> 102.47 </v>
      </c>
      <c r="L231" s="173" t="str">
        <f>TEXT(   (SUMPRODUCT( ((LMPMain!$H$9:$H$1000)=$E231)*((LMPMain!$J$9:$J$1000)=$F231)*((LMPMain!$O$9:$O$1000)=$C231)*(LMPMain!R$9:R$1000) ) +  ( SUMPRODUCT( ((Adders!$D$13:$D$101)=$E231)*((Adders!$E$13:$E$101)=$F231)*(Adders!G$13:G$101)) + VLOOKUP($H231,Adders!$B$5:$G$8,L$11,FALSE)  +  NJ!$D$2 ) * IF($D231="NJ",1.07,1))/$L$10, CHOOSE($M$10,$L$9,$M$9) )</f>
        <v xml:space="preserve"> 62.75 </v>
      </c>
      <c r="M231" s="173" t="str">
        <f>TEXT(   (SUMPRODUCT( ((LMPMain!$H$9:$H$1000)=$E231)*((LMPMain!$J$9:$J$1000)=$F231)*((LMPMain!$O$9:$O$1000)=$C231)*(LMPMain!S$9:S$1000) ) +  ( SUMPRODUCT( ((Adders!$D$13:$D$101)=$E231)*((Adders!$E$13:$E$101)=$F231)*(Adders!H$13:H$101)) + VLOOKUP($H231,Adders!$B$5:$G$8,M$11,FALSE)  +  NJ!$D$2 ) * IF($D231="NJ",1.07,1))/$L$10, CHOOSE($M$10,$L$9,$M$9) )</f>
        <v xml:space="preserve"> 63.06 </v>
      </c>
      <c r="N231" s="174" t="str">
        <f>TEXT(   (SUMPRODUCT( ((LMPMain!$H$9:$H$1000)=$E231)*((LMPMain!$J$9:$J$1000)=$F231)*((LMPMain!$O$9:$O$1000)=$C231)*(LMPMain!T$9:T$1000) ) +  ( SUMPRODUCT( ((Adders!$D$13:$D$101)=$E231)*((Adders!$E$13:$E$101)=$F231)*(Adders!I$13:I$101)) + VLOOKUP($H231,Adders!$B$5:$G$8,N$11,FALSE)  +  NJ!$D$2 ) * IF($D231="NJ",1.07,1))/$L$10, CHOOSE($M$10,$L$9,$M$9) )</f>
        <v xml:space="preserve"> 64.32 </v>
      </c>
      <c r="O231" s="112"/>
    </row>
    <row r="232" spans="2:15" x14ac:dyDescent="0.25">
      <c r="B232" s="108"/>
      <c r="C232" s="135">
        <f t="shared" si="5"/>
        <v>42156</v>
      </c>
      <c r="D232" s="136" t="s">
        <v>31</v>
      </c>
      <c r="E232" s="137" t="s">
        <v>36</v>
      </c>
      <c r="F232" s="136" t="s">
        <v>38</v>
      </c>
      <c r="G232" s="137" t="str">
        <f>G231</f>
        <v>Large P&amp;L</v>
      </c>
      <c r="H232" s="138" t="s">
        <v>690</v>
      </c>
      <c r="I232" s="176" t="str">
        <f>TEXT(   (SUMPRODUCT( ((Main!$H$9:$H$1000)=$E232)*((Main!$J$9:$J$1000)=$F232)*((Main!$O$9:$O$1000)=$C232)*(Main!R$9:R$1000) ) +  ( SUMPRODUCT( ((Adders!$D$13:$D$101)=$E232)*((Adders!$E$13:$E$101)=$F232)*(Adders!G$13:G$101)) + VLOOKUP($H232,Adders!$B$5:$G$8,L$11,FALSE)  +  NJ!$D$2 ) * IF($D232="NJ",1.07,1))/$L$10, CHOOSE($M$10,$L$9,$M$9) )</f>
        <v xml:space="preserve"> 99.87 </v>
      </c>
      <c r="J232" s="176" t="str">
        <f>TEXT(   (SUMPRODUCT( ((Main!$H$9:$H$1000)=$E232)*((Main!$J$9:$J$1000)=$F232)*((Main!$O$9:$O$1000)=$C232)*(Main!S$9:S$1000) ) +  ( SUMPRODUCT( ((Adders!$D$13:$D$101)=$E232)*((Adders!$E$13:$E$101)=$F232)*(Adders!H$13:H$101)) + VLOOKUP($H232,Adders!$B$5:$G$8,M$11,FALSE)  +  NJ!$D$2 ) * IF($D232="NJ",1.07,1))/$L$10, CHOOSE($M$10,$L$9,$M$9) )</f>
        <v xml:space="preserve"> 99.44 </v>
      </c>
      <c r="K232" s="177" t="str">
        <f>TEXT(   (SUMPRODUCT( ((Main!$H$9:$H$1000)=$E232)*((Main!$J$9:$J$1000)=$F232)*((Main!$O$9:$O$1000)=$C232)*(Main!T$9:T$1000) ) +  ( SUMPRODUCT( ((Adders!$D$13:$D$101)=$E232)*((Adders!$E$13:$E$101)=$F232)*(Adders!I$13:I$101)) + VLOOKUP($H232,Adders!$B$5:$G$8,N$11,FALSE)  +  NJ!$D$2 ) * IF($D232="NJ",1.07,1))/$L$10, CHOOSE($M$10,$L$9,$M$9) )</f>
        <v xml:space="preserve"> 101.35 </v>
      </c>
      <c r="L232" s="176" t="str">
        <f>TEXT(   (SUMPRODUCT( ((LMPMain!$H$9:$H$1000)=$E232)*((LMPMain!$J$9:$J$1000)=$F232)*((LMPMain!$O$9:$O$1000)=$C232)*(LMPMain!R$9:R$1000) ) +  ( SUMPRODUCT( ((Adders!$D$13:$D$101)=$E232)*((Adders!$E$13:$E$101)=$F232)*(Adders!G$13:G$101)) + VLOOKUP($H232,Adders!$B$5:$G$8,L$11,FALSE)  +  NJ!$D$2 ) * IF($D232="NJ",1.07,1))/$L$10, CHOOSE($M$10,$L$9,$M$9) )</f>
        <v xml:space="preserve"> 61.63 </v>
      </c>
      <c r="M232" s="176" t="str">
        <f>TEXT(   (SUMPRODUCT( ((LMPMain!$H$9:$H$1000)=$E232)*((LMPMain!$J$9:$J$1000)=$F232)*((LMPMain!$O$9:$O$1000)=$C232)*(LMPMain!S$9:S$1000) ) +  ( SUMPRODUCT( ((Adders!$D$13:$D$101)=$E232)*((Adders!$E$13:$E$101)=$F232)*(Adders!H$13:H$101)) + VLOOKUP($H232,Adders!$B$5:$G$8,M$11,FALSE)  +  NJ!$D$2 ) * IF($D232="NJ",1.07,1))/$L$10, CHOOSE($M$10,$L$9,$M$9) )</f>
        <v xml:space="preserve"> 61.94 </v>
      </c>
      <c r="N232" s="177" t="str">
        <f>TEXT(   (SUMPRODUCT( ((LMPMain!$H$9:$H$1000)=$E232)*((LMPMain!$J$9:$J$1000)=$F232)*((LMPMain!$O$9:$O$1000)=$C232)*(LMPMain!T$9:T$1000) ) +  ( SUMPRODUCT( ((Adders!$D$13:$D$101)=$E232)*((Adders!$E$13:$E$101)=$F232)*(Adders!I$13:I$101)) + VLOOKUP($H232,Adders!$B$5:$G$8,N$11,FALSE)  +  NJ!$D$2 ) * IF($D232="NJ",1.07,1))/$L$10, CHOOSE($M$10,$L$9,$M$9) )</f>
        <v xml:space="preserve"> 63.20 </v>
      </c>
      <c r="O232" s="112"/>
    </row>
    <row r="233" spans="2:15" x14ac:dyDescent="0.25">
      <c r="B233" s="108"/>
      <c r="C233" s="127">
        <f t="shared" si="5"/>
        <v>42186</v>
      </c>
      <c r="D233" s="128" t="s">
        <v>31</v>
      </c>
      <c r="E233" s="129" t="s">
        <v>36</v>
      </c>
      <c r="F233" s="128" t="s">
        <v>38</v>
      </c>
      <c r="G233" s="129" t="str">
        <f t="shared" si="6"/>
        <v>Large P&amp;L</v>
      </c>
      <c r="H233" s="130" t="s">
        <v>61</v>
      </c>
      <c r="I233" s="178" t="str">
        <f>TEXT(   (SUMPRODUCT( ((Main!$H$9:$H$1000)=$E233)*((Main!$J$9:$J$1000)=$F233)*((Main!$O$9:$O$1000)=$C233)*(Main!R$9:R$1000) ) +  ( SUMPRODUCT( ((Adders!$D$13:$D$101)=$E233)*((Adders!$E$13:$E$101)=$F233)*(Adders!G$13:G$101)) + VLOOKUP($H233,Adders!$B$5:$G$8,L$11,FALSE)  +  NJ!$D$2 ) * IF($D233="NJ",1.07,1))/$L$10, CHOOSE($M$10,$L$9,$M$9) )</f>
        <v xml:space="preserve"> 103.15 </v>
      </c>
      <c r="J233" s="178" t="str">
        <f>TEXT(   (SUMPRODUCT( ((Main!$H$9:$H$1000)=$E233)*((Main!$J$9:$J$1000)=$F233)*((Main!$O$9:$O$1000)=$C233)*(Main!S$9:S$1000) ) +  ( SUMPRODUCT( ((Adders!$D$13:$D$101)=$E233)*((Adders!$E$13:$E$101)=$F233)*(Adders!H$13:H$101)) + VLOOKUP($H233,Adders!$B$5:$G$8,M$11,FALSE)  +  NJ!$D$2 ) * IF($D233="NJ",1.07,1))/$L$10, CHOOSE($M$10,$L$9,$M$9) )</f>
        <v xml:space="preserve"> 102.76 </v>
      </c>
      <c r="K233" s="179" t="str">
        <f>TEXT(   (SUMPRODUCT( ((Main!$H$9:$H$1000)=$E233)*((Main!$J$9:$J$1000)=$F233)*((Main!$O$9:$O$1000)=$C233)*(Main!T$9:T$1000) ) +  ( SUMPRODUCT( ((Adders!$D$13:$D$101)=$E233)*((Adders!$E$13:$E$101)=$F233)*(Adders!I$13:I$101)) + VLOOKUP($H233,Adders!$B$5:$G$8,N$11,FALSE)  +  NJ!$D$2 ) * IF($D233="NJ",1.07,1))/$L$10, CHOOSE($M$10,$L$9,$M$9) )</f>
        <v xml:space="preserve"> 104.43 </v>
      </c>
      <c r="L233" s="178" t="str">
        <f>TEXT(   (SUMPRODUCT( ((LMPMain!$H$9:$H$1000)=$E233)*((LMPMain!$J$9:$J$1000)=$F233)*((LMPMain!$O$9:$O$1000)=$C233)*(LMPMain!R$9:R$1000) ) +  ( SUMPRODUCT( ((Adders!$D$13:$D$101)=$E233)*((Adders!$E$13:$E$101)=$F233)*(Adders!G$13:G$101)) + VLOOKUP($H233,Adders!$B$5:$G$8,L$11,FALSE)  +  NJ!$D$2 ) * IF($D233="NJ",1.07,1))/$L$10, CHOOSE($M$10,$L$9,$M$9) )</f>
        <v xml:space="preserve"> 64.75 </v>
      </c>
      <c r="M233" s="178" t="str">
        <f>TEXT(   (SUMPRODUCT( ((LMPMain!$H$9:$H$1000)=$E233)*((LMPMain!$J$9:$J$1000)=$F233)*((LMPMain!$O$9:$O$1000)=$C233)*(LMPMain!S$9:S$1000) ) +  ( SUMPRODUCT( ((Adders!$D$13:$D$101)=$E233)*((Adders!$E$13:$E$101)=$F233)*(Adders!H$13:H$101)) + VLOOKUP($H233,Adders!$B$5:$G$8,M$11,FALSE)  +  NJ!$D$2 ) * IF($D233="NJ",1.07,1))/$L$10, CHOOSE($M$10,$L$9,$M$9) )</f>
        <v xml:space="preserve"> 65.36 </v>
      </c>
      <c r="N233" s="179" t="str">
        <f>TEXT(   (SUMPRODUCT( ((LMPMain!$H$9:$H$1000)=$E233)*((LMPMain!$J$9:$J$1000)=$F233)*((LMPMain!$O$9:$O$1000)=$C233)*(LMPMain!T$9:T$1000) ) +  ( SUMPRODUCT( ((Adders!$D$13:$D$101)=$E233)*((Adders!$E$13:$E$101)=$F233)*(Adders!I$13:I$101)) + VLOOKUP($H233,Adders!$B$5:$G$8,N$11,FALSE)  +  NJ!$D$2 ) * IF($D233="NJ",1.07,1))/$L$10, CHOOSE($M$10,$L$9,$M$9) )</f>
        <v xml:space="preserve"> 66.23 </v>
      </c>
      <c r="O233" s="112"/>
    </row>
    <row r="234" spans="2:15" x14ac:dyDescent="0.25">
      <c r="B234" s="108"/>
      <c r="C234" s="131">
        <f t="shared" si="5"/>
        <v>42186</v>
      </c>
      <c r="D234" s="132" t="s">
        <v>31</v>
      </c>
      <c r="E234" s="133" t="s">
        <v>36</v>
      </c>
      <c r="F234" s="132" t="s">
        <v>38</v>
      </c>
      <c r="G234" s="133" t="str">
        <f t="shared" si="6"/>
        <v>Large P&amp;L</v>
      </c>
      <c r="H234" s="134" t="s">
        <v>62</v>
      </c>
      <c r="I234" s="173" t="str">
        <f>TEXT(   (SUMPRODUCT( ((Main!$H$9:$H$1000)=$E234)*((Main!$J$9:$J$1000)=$F234)*((Main!$O$9:$O$1000)=$C234)*(Main!R$9:R$1000) ) +  ( SUMPRODUCT( ((Adders!$D$13:$D$101)=$E234)*((Adders!$E$13:$E$101)=$F234)*(Adders!G$13:G$101)) + VLOOKUP($H234,Adders!$B$5:$G$8,L$11,FALSE)  +  NJ!$D$2 ) * IF($D234="NJ",1.07,1))/$L$10, CHOOSE($M$10,$L$9,$M$9) )</f>
        <v xml:space="preserve"> 101.44 </v>
      </c>
      <c r="J234" s="173" t="str">
        <f>TEXT(   (SUMPRODUCT( ((Main!$H$9:$H$1000)=$E234)*((Main!$J$9:$J$1000)=$F234)*((Main!$O$9:$O$1000)=$C234)*(Main!S$9:S$1000) ) +  ( SUMPRODUCT( ((Adders!$D$13:$D$101)=$E234)*((Adders!$E$13:$E$101)=$F234)*(Adders!H$13:H$101)) + VLOOKUP($H234,Adders!$B$5:$G$8,M$11,FALSE)  +  NJ!$D$2 ) * IF($D234="NJ",1.07,1))/$L$10, CHOOSE($M$10,$L$9,$M$9) )</f>
        <v xml:space="preserve"> 101.05 </v>
      </c>
      <c r="K234" s="174" t="str">
        <f>TEXT(   (SUMPRODUCT( ((Main!$H$9:$H$1000)=$E234)*((Main!$J$9:$J$1000)=$F234)*((Main!$O$9:$O$1000)=$C234)*(Main!T$9:T$1000) ) +  ( SUMPRODUCT( ((Adders!$D$13:$D$101)=$E234)*((Adders!$E$13:$E$101)=$F234)*(Adders!I$13:I$101)) + VLOOKUP($H234,Adders!$B$5:$G$8,N$11,FALSE)  +  NJ!$D$2 ) * IF($D234="NJ",1.07,1))/$L$10, CHOOSE($M$10,$L$9,$M$9) )</f>
        <v xml:space="preserve"> 102.72 </v>
      </c>
      <c r="L234" s="173" t="str">
        <f>TEXT(   (SUMPRODUCT( ((LMPMain!$H$9:$H$1000)=$E234)*((LMPMain!$J$9:$J$1000)=$F234)*((LMPMain!$O$9:$O$1000)=$C234)*(LMPMain!R$9:R$1000) ) +  ( SUMPRODUCT( ((Adders!$D$13:$D$101)=$E234)*((Adders!$E$13:$E$101)=$F234)*(Adders!G$13:G$101)) + VLOOKUP($H234,Adders!$B$5:$G$8,L$11,FALSE)  +  NJ!$D$2 ) * IF($D234="NJ",1.07,1))/$L$10, CHOOSE($M$10,$L$9,$M$9) )</f>
        <v xml:space="preserve"> 63.03 </v>
      </c>
      <c r="M234" s="173" t="str">
        <f>TEXT(   (SUMPRODUCT( ((LMPMain!$H$9:$H$1000)=$E234)*((LMPMain!$J$9:$J$1000)=$F234)*((LMPMain!$O$9:$O$1000)=$C234)*(LMPMain!S$9:S$1000) ) +  ( SUMPRODUCT( ((Adders!$D$13:$D$101)=$E234)*((Adders!$E$13:$E$101)=$F234)*(Adders!H$13:H$101)) + VLOOKUP($H234,Adders!$B$5:$G$8,M$11,FALSE)  +  NJ!$D$2 ) * IF($D234="NJ",1.07,1))/$L$10, CHOOSE($M$10,$L$9,$M$9) )</f>
        <v xml:space="preserve"> 63.64 </v>
      </c>
      <c r="N234" s="174" t="str">
        <f>TEXT(   (SUMPRODUCT( ((LMPMain!$H$9:$H$1000)=$E234)*((LMPMain!$J$9:$J$1000)=$F234)*((LMPMain!$O$9:$O$1000)=$C234)*(LMPMain!T$9:T$1000) ) +  ( SUMPRODUCT( ((Adders!$D$13:$D$101)=$E234)*((Adders!$E$13:$E$101)=$F234)*(Adders!I$13:I$101)) + VLOOKUP($H234,Adders!$B$5:$G$8,N$11,FALSE)  +  NJ!$D$2 ) * IF($D234="NJ",1.07,1))/$L$10, CHOOSE($M$10,$L$9,$M$9) )</f>
        <v xml:space="preserve"> 64.52 </v>
      </c>
      <c r="O234" s="112"/>
    </row>
    <row r="235" spans="2:15" x14ac:dyDescent="0.25">
      <c r="B235" s="108"/>
      <c r="C235" s="135">
        <f t="shared" si="5"/>
        <v>42186</v>
      </c>
      <c r="D235" s="136" t="s">
        <v>31</v>
      </c>
      <c r="E235" s="137" t="s">
        <v>36</v>
      </c>
      <c r="F235" s="136" t="s">
        <v>38</v>
      </c>
      <c r="G235" s="137" t="str">
        <f t="shared" si="6"/>
        <v>Large P&amp;L</v>
      </c>
      <c r="H235" s="138" t="s">
        <v>690</v>
      </c>
      <c r="I235" s="176" t="str">
        <f>TEXT(   (SUMPRODUCT( ((Main!$H$9:$H$1000)=$E235)*((Main!$J$9:$J$1000)=$F235)*((Main!$O$9:$O$1000)=$C235)*(Main!R$9:R$1000) ) +  ( SUMPRODUCT( ((Adders!$D$13:$D$101)=$E235)*((Adders!$E$13:$E$101)=$F235)*(Adders!G$13:G$101)) + VLOOKUP($H235,Adders!$B$5:$G$8,L$11,FALSE)  +  NJ!$D$2 ) * IF($D235="NJ",1.07,1))/$L$10, CHOOSE($M$10,$L$9,$M$9) )</f>
        <v xml:space="preserve"> 100.32 </v>
      </c>
      <c r="J235" s="176" t="str">
        <f>TEXT(   (SUMPRODUCT( ((Main!$H$9:$H$1000)=$E235)*((Main!$J$9:$J$1000)=$F235)*((Main!$O$9:$O$1000)=$C235)*(Main!S$9:S$1000) ) +  ( SUMPRODUCT( ((Adders!$D$13:$D$101)=$E235)*((Adders!$E$13:$E$101)=$F235)*(Adders!H$13:H$101)) + VLOOKUP($H235,Adders!$B$5:$G$8,M$11,FALSE)  +  NJ!$D$2 ) * IF($D235="NJ",1.07,1))/$L$10, CHOOSE($M$10,$L$9,$M$9) )</f>
        <v xml:space="preserve"> 99.93 </v>
      </c>
      <c r="K235" s="177" t="str">
        <f>TEXT(   (SUMPRODUCT( ((Main!$H$9:$H$1000)=$E235)*((Main!$J$9:$J$1000)=$F235)*((Main!$O$9:$O$1000)=$C235)*(Main!T$9:T$1000) ) +  ( SUMPRODUCT( ((Adders!$D$13:$D$101)=$E235)*((Adders!$E$13:$E$101)=$F235)*(Adders!I$13:I$101)) + VLOOKUP($H235,Adders!$B$5:$G$8,N$11,FALSE)  +  NJ!$D$2 ) * IF($D235="NJ",1.07,1))/$L$10, CHOOSE($M$10,$L$9,$M$9) )</f>
        <v xml:space="preserve"> 101.60 </v>
      </c>
      <c r="L235" s="176" t="str">
        <f>TEXT(   (SUMPRODUCT( ((LMPMain!$H$9:$H$1000)=$E235)*((LMPMain!$J$9:$J$1000)=$F235)*((LMPMain!$O$9:$O$1000)=$C235)*(LMPMain!R$9:R$1000) ) +  ( SUMPRODUCT( ((Adders!$D$13:$D$101)=$E235)*((Adders!$E$13:$E$101)=$F235)*(Adders!G$13:G$101)) + VLOOKUP($H235,Adders!$B$5:$G$8,L$11,FALSE)  +  NJ!$D$2 ) * IF($D235="NJ",1.07,1))/$L$10, CHOOSE($M$10,$L$9,$M$9) )</f>
        <v xml:space="preserve"> 61.91 </v>
      </c>
      <c r="M235" s="176" t="str">
        <f>TEXT(   (SUMPRODUCT( ((LMPMain!$H$9:$H$1000)=$E235)*((LMPMain!$J$9:$J$1000)=$F235)*((LMPMain!$O$9:$O$1000)=$C235)*(LMPMain!S$9:S$1000) ) +  ( SUMPRODUCT( ((Adders!$D$13:$D$101)=$E235)*((Adders!$E$13:$E$101)=$F235)*(Adders!H$13:H$101)) + VLOOKUP($H235,Adders!$B$5:$G$8,M$11,FALSE)  +  NJ!$D$2 ) * IF($D235="NJ",1.07,1))/$L$10, CHOOSE($M$10,$L$9,$M$9) )</f>
        <v xml:space="preserve"> 62.52 </v>
      </c>
      <c r="N235" s="177" t="str">
        <f>TEXT(   (SUMPRODUCT( ((LMPMain!$H$9:$H$1000)=$E235)*((LMPMain!$J$9:$J$1000)=$F235)*((LMPMain!$O$9:$O$1000)=$C235)*(LMPMain!T$9:T$1000) ) +  ( SUMPRODUCT( ((Adders!$D$13:$D$101)=$E235)*((Adders!$E$13:$E$101)=$F235)*(Adders!I$13:I$101)) + VLOOKUP($H235,Adders!$B$5:$G$8,N$11,FALSE)  +  NJ!$D$2 ) * IF($D235="NJ",1.07,1))/$L$10, CHOOSE($M$10,$L$9,$M$9) )</f>
        <v xml:space="preserve"> 63.40 </v>
      </c>
      <c r="O235" s="112"/>
    </row>
    <row r="236" spans="2:15" x14ac:dyDescent="0.25">
      <c r="B236" s="108"/>
      <c r="C236" s="127">
        <f t="shared" si="5"/>
        <v>42217</v>
      </c>
      <c r="D236" s="128" t="s">
        <v>31</v>
      </c>
      <c r="E236" s="129" t="s">
        <v>36</v>
      </c>
      <c r="F236" s="128" t="s">
        <v>38</v>
      </c>
      <c r="G236" s="129" t="str">
        <f t="shared" si="6"/>
        <v>Large P&amp;L</v>
      </c>
      <c r="H236" s="130" t="s">
        <v>61</v>
      </c>
      <c r="I236" s="178" t="str">
        <f>TEXT(   (SUMPRODUCT( ((Main!$H$9:$H$1000)=$E236)*((Main!$J$9:$J$1000)=$F236)*((Main!$O$9:$O$1000)=$C236)*(Main!R$9:R$1000) ) +  ( SUMPRODUCT( ((Adders!$D$13:$D$101)=$E236)*((Adders!$E$13:$E$101)=$F236)*(Adders!G$13:G$101)) + VLOOKUP($H236,Adders!$B$5:$G$8,L$11,FALSE)  +  NJ!$D$2 ) * IF($D236="NJ",1.07,1))/$L$10, CHOOSE($M$10,$L$9,$M$9) )</f>
        <v xml:space="preserve"> 103.28 </v>
      </c>
      <c r="J236" s="178" t="str">
        <f>TEXT(   (SUMPRODUCT( ((Main!$H$9:$H$1000)=$E236)*((Main!$J$9:$J$1000)=$F236)*((Main!$O$9:$O$1000)=$C236)*(Main!S$9:S$1000) ) +  ( SUMPRODUCT( ((Adders!$D$13:$D$101)=$E236)*((Adders!$E$13:$E$101)=$F236)*(Adders!H$13:H$101)) + VLOOKUP($H236,Adders!$B$5:$G$8,M$11,FALSE)  +  NJ!$D$2 ) * IF($D236="NJ",1.07,1))/$L$10, CHOOSE($M$10,$L$9,$M$9) )</f>
        <v xml:space="preserve"> 104.00 </v>
      </c>
      <c r="K236" s="179" t="str">
        <f>TEXT(   (SUMPRODUCT( ((Main!$H$9:$H$1000)=$E236)*((Main!$J$9:$J$1000)=$F236)*((Main!$O$9:$O$1000)=$C236)*(Main!T$9:T$1000) ) +  ( SUMPRODUCT( ((Adders!$D$13:$D$101)=$E236)*((Adders!$E$13:$E$101)=$F236)*(Adders!I$13:I$101)) + VLOOKUP($H236,Adders!$B$5:$G$8,N$11,FALSE)  +  NJ!$D$2 ) * IF($D236="NJ",1.07,1))/$L$10, CHOOSE($M$10,$L$9,$M$9) )</f>
        <v xml:space="preserve"> 104.70 </v>
      </c>
      <c r="L236" s="178" t="str">
        <f>TEXT(   (SUMPRODUCT( ((LMPMain!$H$9:$H$1000)=$E236)*((LMPMain!$J$9:$J$1000)=$F236)*((LMPMain!$O$9:$O$1000)=$C236)*(LMPMain!R$9:R$1000) ) +  ( SUMPRODUCT( ((Adders!$D$13:$D$101)=$E236)*((Adders!$E$13:$E$101)=$F236)*(Adders!G$13:G$101)) + VLOOKUP($H236,Adders!$B$5:$G$8,L$11,FALSE)  +  NJ!$D$2 ) * IF($D236="NJ",1.07,1))/$L$10, CHOOSE($M$10,$L$9,$M$9) )</f>
        <v xml:space="preserve"> 65.08 </v>
      </c>
      <c r="M236" s="178" t="str">
        <f>TEXT(   (SUMPRODUCT( ((LMPMain!$H$9:$H$1000)=$E236)*((LMPMain!$J$9:$J$1000)=$F236)*((LMPMain!$O$9:$O$1000)=$C236)*(LMPMain!S$9:S$1000) ) +  ( SUMPRODUCT( ((Adders!$D$13:$D$101)=$E236)*((Adders!$E$13:$E$101)=$F236)*(Adders!H$13:H$101)) + VLOOKUP($H236,Adders!$B$5:$G$8,M$11,FALSE)  +  NJ!$D$2 ) * IF($D236="NJ",1.07,1))/$L$10, CHOOSE($M$10,$L$9,$M$9) )</f>
        <v xml:space="preserve"> 66.20 </v>
      </c>
      <c r="N236" s="179" t="str">
        <f>TEXT(   (SUMPRODUCT( ((LMPMain!$H$9:$H$1000)=$E236)*((LMPMain!$J$9:$J$1000)=$F236)*((LMPMain!$O$9:$O$1000)=$C236)*(LMPMain!T$9:T$1000) ) +  ( SUMPRODUCT( ((Adders!$D$13:$D$101)=$E236)*((Adders!$E$13:$E$101)=$F236)*(Adders!I$13:I$101)) + VLOOKUP($H236,Adders!$B$5:$G$8,N$11,FALSE)  +  NJ!$D$2 ) * IF($D236="NJ",1.07,1))/$L$10, CHOOSE($M$10,$L$9,$M$9) )</f>
        <v xml:space="preserve"> 66.48 </v>
      </c>
      <c r="O236" s="112"/>
    </row>
    <row r="237" spans="2:15" x14ac:dyDescent="0.25">
      <c r="B237" s="108"/>
      <c r="C237" s="131">
        <f t="shared" si="5"/>
        <v>42217</v>
      </c>
      <c r="D237" s="132" t="s">
        <v>31</v>
      </c>
      <c r="E237" s="133" t="s">
        <v>36</v>
      </c>
      <c r="F237" s="132" t="s">
        <v>38</v>
      </c>
      <c r="G237" s="133" t="str">
        <f t="shared" si="6"/>
        <v>Large P&amp;L</v>
      </c>
      <c r="H237" s="134" t="s">
        <v>62</v>
      </c>
      <c r="I237" s="173" t="str">
        <f>TEXT(   (SUMPRODUCT( ((Main!$H$9:$H$1000)=$E237)*((Main!$J$9:$J$1000)=$F237)*((Main!$O$9:$O$1000)=$C237)*(Main!R$9:R$1000) ) +  ( SUMPRODUCT( ((Adders!$D$13:$D$101)=$E237)*((Adders!$E$13:$E$101)=$F237)*(Adders!G$13:G$101)) + VLOOKUP($H237,Adders!$B$5:$G$8,L$11,FALSE)  +  NJ!$D$2 ) * IF($D237="NJ",1.07,1))/$L$10, CHOOSE($M$10,$L$9,$M$9) )</f>
        <v xml:space="preserve"> 101.57 </v>
      </c>
      <c r="J237" s="173" t="str">
        <f>TEXT(   (SUMPRODUCT( ((Main!$H$9:$H$1000)=$E237)*((Main!$J$9:$J$1000)=$F237)*((Main!$O$9:$O$1000)=$C237)*(Main!S$9:S$1000) ) +  ( SUMPRODUCT( ((Adders!$D$13:$D$101)=$E237)*((Adders!$E$13:$E$101)=$F237)*(Adders!H$13:H$101)) + VLOOKUP($H237,Adders!$B$5:$G$8,M$11,FALSE)  +  NJ!$D$2 ) * IF($D237="NJ",1.07,1))/$L$10, CHOOSE($M$10,$L$9,$M$9) )</f>
        <v xml:space="preserve"> 102.29 </v>
      </c>
      <c r="K237" s="174" t="str">
        <f>TEXT(   (SUMPRODUCT( ((Main!$H$9:$H$1000)=$E237)*((Main!$J$9:$J$1000)=$F237)*((Main!$O$9:$O$1000)=$C237)*(Main!T$9:T$1000) ) +  ( SUMPRODUCT( ((Adders!$D$13:$D$101)=$E237)*((Adders!$E$13:$E$101)=$F237)*(Adders!I$13:I$101)) + VLOOKUP($H237,Adders!$B$5:$G$8,N$11,FALSE)  +  NJ!$D$2 ) * IF($D237="NJ",1.07,1))/$L$10, CHOOSE($M$10,$L$9,$M$9) )</f>
        <v xml:space="preserve"> 102.99 </v>
      </c>
      <c r="L237" s="173" t="str">
        <f>TEXT(   (SUMPRODUCT( ((LMPMain!$H$9:$H$1000)=$E237)*((LMPMain!$J$9:$J$1000)=$F237)*((LMPMain!$O$9:$O$1000)=$C237)*(LMPMain!R$9:R$1000) ) +  ( SUMPRODUCT( ((Adders!$D$13:$D$101)=$E237)*((Adders!$E$13:$E$101)=$F237)*(Adders!G$13:G$101)) + VLOOKUP($H237,Adders!$B$5:$G$8,L$11,FALSE)  +  NJ!$D$2 ) * IF($D237="NJ",1.07,1))/$L$10, CHOOSE($M$10,$L$9,$M$9) )</f>
        <v xml:space="preserve"> 63.37 </v>
      </c>
      <c r="M237" s="173" t="str">
        <f>TEXT(   (SUMPRODUCT( ((LMPMain!$H$9:$H$1000)=$E237)*((LMPMain!$J$9:$J$1000)=$F237)*((LMPMain!$O$9:$O$1000)=$C237)*(LMPMain!S$9:S$1000) ) +  ( SUMPRODUCT( ((Adders!$D$13:$D$101)=$E237)*((Adders!$E$13:$E$101)=$F237)*(Adders!H$13:H$101)) + VLOOKUP($H237,Adders!$B$5:$G$8,M$11,FALSE)  +  NJ!$D$2 ) * IF($D237="NJ",1.07,1))/$L$10, CHOOSE($M$10,$L$9,$M$9) )</f>
        <v xml:space="preserve"> 64.49 </v>
      </c>
      <c r="N237" s="174" t="str">
        <f>TEXT(   (SUMPRODUCT( ((LMPMain!$H$9:$H$1000)=$E237)*((LMPMain!$J$9:$J$1000)=$F237)*((LMPMain!$O$9:$O$1000)=$C237)*(LMPMain!T$9:T$1000) ) +  ( SUMPRODUCT( ((Adders!$D$13:$D$101)=$E237)*((Adders!$E$13:$E$101)=$F237)*(Adders!I$13:I$101)) + VLOOKUP($H237,Adders!$B$5:$G$8,N$11,FALSE)  +  NJ!$D$2 ) * IF($D237="NJ",1.07,1))/$L$10, CHOOSE($M$10,$L$9,$M$9) )</f>
        <v xml:space="preserve"> 64.77 </v>
      </c>
      <c r="O237" s="112"/>
    </row>
    <row r="238" spans="2:15" x14ac:dyDescent="0.25">
      <c r="B238" s="108"/>
      <c r="C238" s="135">
        <f t="shared" si="5"/>
        <v>42217</v>
      </c>
      <c r="D238" s="136" t="s">
        <v>31</v>
      </c>
      <c r="E238" s="137" t="s">
        <v>36</v>
      </c>
      <c r="F238" s="136" t="s">
        <v>38</v>
      </c>
      <c r="G238" s="137" t="str">
        <f t="shared" si="6"/>
        <v>Large P&amp;L</v>
      </c>
      <c r="H238" s="138" t="s">
        <v>690</v>
      </c>
      <c r="I238" s="176" t="str">
        <f>TEXT(   (SUMPRODUCT( ((Main!$H$9:$H$1000)=$E238)*((Main!$J$9:$J$1000)=$F238)*((Main!$O$9:$O$1000)=$C238)*(Main!R$9:R$1000) ) +  ( SUMPRODUCT( ((Adders!$D$13:$D$101)=$E238)*((Adders!$E$13:$E$101)=$F238)*(Adders!G$13:G$101)) + VLOOKUP($H238,Adders!$B$5:$G$8,L$11,FALSE)  +  NJ!$D$2 ) * IF($D238="NJ",1.07,1))/$L$10, CHOOSE($M$10,$L$9,$M$9) )</f>
        <v xml:space="preserve"> 100.45 </v>
      </c>
      <c r="J238" s="176" t="str">
        <f>TEXT(   (SUMPRODUCT( ((Main!$H$9:$H$1000)=$E238)*((Main!$J$9:$J$1000)=$F238)*((Main!$O$9:$O$1000)=$C238)*(Main!S$9:S$1000) ) +  ( SUMPRODUCT( ((Adders!$D$13:$D$101)=$E238)*((Adders!$E$13:$E$101)=$F238)*(Adders!H$13:H$101)) + VLOOKUP($H238,Adders!$B$5:$G$8,M$11,FALSE)  +  NJ!$D$2 ) * IF($D238="NJ",1.07,1))/$L$10, CHOOSE($M$10,$L$9,$M$9) )</f>
        <v xml:space="preserve"> 101.17 </v>
      </c>
      <c r="K238" s="177" t="str">
        <f>TEXT(   (SUMPRODUCT( ((Main!$H$9:$H$1000)=$E238)*((Main!$J$9:$J$1000)=$F238)*((Main!$O$9:$O$1000)=$C238)*(Main!T$9:T$1000) ) +  ( SUMPRODUCT( ((Adders!$D$13:$D$101)=$E238)*((Adders!$E$13:$E$101)=$F238)*(Adders!I$13:I$101)) + VLOOKUP($H238,Adders!$B$5:$G$8,N$11,FALSE)  +  NJ!$D$2 ) * IF($D238="NJ",1.07,1))/$L$10, CHOOSE($M$10,$L$9,$M$9) )</f>
        <v xml:space="preserve"> 101.87 </v>
      </c>
      <c r="L238" s="176" t="str">
        <f>TEXT(   (SUMPRODUCT( ((LMPMain!$H$9:$H$1000)=$E238)*((LMPMain!$J$9:$J$1000)=$F238)*((LMPMain!$O$9:$O$1000)=$C238)*(LMPMain!R$9:R$1000) ) +  ( SUMPRODUCT( ((Adders!$D$13:$D$101)=$E238)*((Adders!$E$13:$E$101)=$F238)*(Adders!G$13:G$101)) + VLOOKUP($H238,Adders!$B$5:$G$8,L$11,FALSE)  +  NJ!$D$2 ) * IF($D238="NJ",1.07,1))/$L$10, CHOOSE($M$10,$L$9,$M$9) )</f>
        <v xml:space="preserve"> 62.25 </v>
      </c>
      <c r="M238" s="176" t="str">
        <f>TEXT(   (SUMPRODUCT( ((LMPMain!$H$9:$H$1000)=$E238)*((LMPMain!$J$9:$J$1000)=$F238)*((LMPMain!$O$9:$O$1000)=$C238)*(LMPMain!S$9:S$1000) ) +  ( SUMPRODUCT( ((Adders!$D$13:$D$101)=$E238)*((Adders!$E$13:$E$101)=$F238)*(Adders!H$13:H$101)) + VLOOKUP($H238,Adders!$B$5:$G$8,M$11,FALSE)  +  NJ!$D$2 ) * IF($D238="NJ",1.07,1))/$L$10, CHOOSE($M$10,$L$9,$M$9) )</f>
        <v xml:space="preserve"> 63.37 </v>
      </c>
      <c r="N238" s="177" t="str">
        <f>TEXT(   (SUMPRODUCT( ((LMPMain!$H$9:$H$1000)=$E238)*((LMPMain!$J$9:$J$1000)=$F238)*((LMPMain!$O$9:$O$1000)=$C238)*(LMPMain!T$9:T$1000) ) +  ( SUMPRODUCT( ((Adders!$D$13:$D$101)=$E238)*((Adders!$E$13:$E$101)=$F238)*(Adders!I$13:I$101)) + VLOOKUP($H238,Adders!$B$5:$G$8,N$11,FALSE)  +  NJ!$D$2 ) * IF($D238="NJ",1.07,1))/$L$10, CHOOSE($M$10,$L$9,$M$9) )</f>
        <v xml:space="preserve"> 63.65 </v>
      </c>
      <c r="O238" s="112"/>
    </row>
    <row r="239" spans="2:15" x14ac:dyDescent="0.25">
      <c r="B239" s="108"/>
      <c r="C239" s="127">
        <f t="shared" si="5"/>
        <v>42248</v>
      </c>
      <c r="D239" s="128" t="s">
        <v>31</v>
      </c>
      <c r="E239" s="129" t="s">
        <v>36</v>
      </c>
      <c r="F239" s="128" t="s">
        <v>38</v>
      </c>
      <c r="G239" s="129" t="str">
        <f t="shared" si="6"/>
        <v>Large P&amp;L</v>
      </c>
      <c r="H239" s="130" t="s">
        <v>61</v>
      </c>
      <c r="I239" s="178" t="str">
        <f>TEXT(   (SUMPRODUCT( ((Main!$H$9:$H$1000)=$E239)*((Main!$J$9:$J$1000)=$F239)*((Main!$O$9:$O$1000)=$C239)*(Main!R$9:R$1000) ) +  ( SUMPRODUCT( ((Adders!$D$13:$D$101)=$E239)*((Adders!$E$13:$E$101)=$F239)*(Adders!G$13:G$101)) + VLOOKUP($H239,Adders!$B$5:$G$8,L$11,FALSE)  +  NJ!$D$2 ) * IF($D239="NJ",1.07,1))/$L$10, CHOOSE($M$10,$L$9,$M$9) )</f>
        <v xml:space="preserve"> 103.65 </v>
      </c>
      <c r="J239" s="178" t="str">
        <f>TEXT(   (SUMPRODUCT( ((Main!$H$9:$H$1000)=$E239)*((Main!$J$9:$J$1000)=$F239)*((Main!$O$9:$O$1000)=$C239)*(Main!S$9:S$1000) ) +  ( SUMPRODUCT( ((Adders!$D$13:$D$101)=$E239)*((Adders!$E$13:$E$101)=$F239)*(Adders!H$13:H$101)) + VLOOKUP($H239,Adders!$B$5:$G$8,M$11,FALSE)  +  NJ!$D$2 ) * IF($D239="NJ",1.07,1))/$L$10, CHOOSE($M$10,$L$9,$M$9) )</f>
        <v xml:space="preserve"> 105.13 </v>
      </c>
      <c r="K239" s="179" t="str">
        <f>TEXT(   (SUMPRODUCT( ((Main!$H$9:$H$1000)=$E239)*((Main!$J$9:$J$1000)=$F239)*((Main!$O$9:$O$1000)=$C239)*(Main!T$9:T$1000) ) +  ( SUMPRODUCT( ((Adders!$D$13:$D$101)=$E239)*((Adders!$E$13:$E$101)=$F239)*(Adders!I$13:I$101)) + VLOOKUP($H239,Adders!$B$5:$G$8,N$11,FALSE)  +  NJ!$D$2 ) * IF($D239="NJ",1.07,1))/$L$10, CHOOSE($M$10,$L$9,$M$9) )</f>
        <v xml:space="preserve"> 104.98 </v>
      </c>
      <c r="L239" s="178" t="str">
        <f>TEXT(   (SUMPRODUCT( ((LMPMain!$H$9:$H$1000)=$E239)*((LMPMain!$J$9:$J$1000)=$F239)*((LMPMain!$O$9:$O$1000)=$C239)*(LMPMain!R$9:R$1000) ) +  ( SUMPRODUCT( ((Adders!$D$13:$D$101)=$E239)*((Adders!$E$13:$E$101)=$F239)*(Adders!G$13:G$101)) + VLOOKUP($H239,Adders!$B$5:$G$8,L$11,FALSE)  +  NJ!$D$2 ) * IF($D239="NJ",1.07,1))/$L$10, CHOOSE($M$10,$L$9,$M$9) )</f>
        <v xml:space="preserve"> 65.35 </v>
      </c>
      <c r="M239" s="178" t="str">
        <f>TEXT(   (SUMPRODUCT( ((LMPMain!$H$9:$H$1000)=$E239)*((LMPMain!$J$9:$J$1000)=$F239)*((LMPMain!$O$9:$O$1000)=$C239)*(LMPMain!S$9:S$1000) ) +  ( SUMPRODUCT( ((Adders!$D$13:$D$101)=$E239)*((Adders!$E$13:$E$101)=$F239)*(Adders!H$13:H$101)) + VLOOKUP($H239,Adders!$B$5:$G$8,M$11,FALSE)  +  NJ!$D$2 ) * IF($D239="NJ",1.07,1))/$L$10, CHOOSE($M$10,$L$9,$M$9) )</f>
        <v xml:space="preserve"> 66.77 </v>
      </c>
      <c r="N239" s="179" t="str">
        <f>TEXT(   (SUMPRODUCT( ((LMPMain!$H$9:$H$1000)=$E239)*((LMPMain!$J$9:$J$1000)=$F239)*((LMPMain!$O$9:$O$1000)=$C239)*(LMPMain!T$9:T$1000) ) +  ( SUMPRODUCT( ((Adders!$D$13:$D$101)=$E239)*((Adders!$E$13:$E$101)=$F239)*(Adders!I$13:I$101)) + VLOOKUP($H239,Adders!$B$5:$G$8,N$11,FALSE)  +  NJ!$D$2 ) * IF($D239="NJ",1.07,1))/$L$10, CHOOSE($M$10,$L$9,$M$9) )</f>
        <v xml:space="preserve"> 66.55 </v>
      </c>
      <c r="O239" s="112"/>
    </row>
    <row r="240" spans="2:15" x14ac:dyDescent="0.25">
      <c r="B240" s="108"/>
      <c r="C240" s="131">
        <f t="shared" si="5"/>
        <v>42248</v>
      </c>
      <c r="D240" s="132" t="s">
        <v>31</v>
      </c>
      <c r="E240" s="133" t="s">
        <v>36</v>
      </c>
      <c r="F240" s="132" t="s">
        <v>38</v>
      </c>
      <c r="G240" s="133" t="str">
        <f t="shared" si="6"/>
        <v>Large P&amp;L</v>
      </c>
      <c r="H240" s="134" t="s">
        <v>62</v>
      </c>
      <c r="I240" s="173" t="str">
        <f>TEXT(   (SUMPRODUCT( ((Main!$H$9:$H$1000)=$E240)*((Main!$J$9:$J$1000)=$F240)*((Main!$O$9:$O$1000)=$C240)*(Main!R$9:R$1000) ) +  ( SUMPRODUCT( ((Adders!$D$13:$D$101)=$E240)*((Adders!$E$13:$E$101)=$F240)*(Adders!G$13:G$101)) + VLOOKUP($H240,Adders!$B$5:$G$8,L$11,FALSE)  +  NJ!$D$2 ) * IF($D240="NJ",1.07,1))/$L$10, CHOOSE($M$10,$L$9,$M$9) )</f>
        <v xml:space="preserve"> 101.94 </v>
      </c>
      <c r="J240" s="173" t="str">
        <f>TEXT(   (SUMPRODUCT( ((Main!$H$9:$H$1000)=$E240)*((Main!$J$9:$J$1000)=$F240)*((Main!$O$9:$O$1000)=$C240)*(Main!S$9:S$1000) ) +  ( SUMPRODUCT( ((Adders!$D$13:$D$101)=$E240)*((Adders!$E$13:$E$101)=$F240)*(Adders!H$13:H$101)) + VLOOKUP($H240,Adders!$B$5:$G$8,M$11,FALSE)  +  NJ!$D$2 ) * IF($D240="NJ",1.07,1))/$L$10, CHOOSE($M$10,$L$9,$M$9) )</f>
        <v xml:space="preserve"> 103.42 </v>
      </c>
      <c r="K240" s="174" t="str">
        <f>TEXT(   (SUMPRODUCT( ((Main!$H$9:$H$1000)=$E240)*((Main!$J$9:$J$1000)=$F240)*((Main!$O$9:$O$1000)=$C240)*(Main!T$9:T$1000) ) +  ( SUMPRODUCT( ((Adders!$D$13:$D$101)=$E240)*((Adders!$E$13:$E$101)=$F240)*(Adders!I$13:I$101)) + VLOOKUP($H240,Adders!$B$5:$G$8,N$11,FALSE)  +  NJ!$D$2 ) * IF($D240="NJ",1.07,1))/$L$10, CHOOSE($M$10,$L$9,$M$9) )</f>
        <v xml:space="preserve"> 103.27 </v>
      </c>
      <c r="L240" s="173" t="str">
        <f>TEXT(   (SUMPRODUCT( ((LMPMain!$H$9:$H$1000)=$E240)*((LMPMain!$J$9:$J$1000)=$F240)*((LMPMain!$O$9:$O$1000)=$C240)*(LMPMain!R$9:R$1000) ) +  ( SUMPRODUCT( ((Adders!$D$13:$D$101)=$E240)*((Adders!$E$13:$E$101)=$F240)*(Adders!G$13:G$101)) + VLOOKUP($H240,Adders!$B$5:$G$8,L$11,FALSE)  +  NJ!$D$2 ) * IF($D240="NJ",1.07,1))/$L$10, CHOOSE($M$10,$L$9,$M$9) )</f>
        <v xml:space="preserve"> 63.63 </v>
      </c>
      <c r="M240" s="173" t="str">
        <f>TEXT(   (SUMPRODUCT( ((LMPMain!$H$9:$H$1000)=$E240)*((LMPMain!$J$9:$J$1000)=$F240)*((LMPMain!$O$9:$O$1000)=$C240)*(LMPMain!S$9:S$1000) ) +  ( SUMPRODUCT( ((Adders!$D$13:$D$101)=$E240)*((Adders!$E$13:$E$101)=$F240)*(Adders!H$13:H$101)) + VLOOKUP($H240,Adders!$B$5:$G$8,M$11,FALSE)  +  NJ!$D$2 ) * IF($D240="NJ",1.07,1))/$L$10, CHOOSE($M$10,$L$9,$M$9) )</f>
        <v xml:space="preserve"> 65.06 </v>
      </c>
      <c r="N240" s="174" t="str">
        <f>TEXT(   (SUMPRODUCT( ((LMPMain!$H$9:$H$1000)=$E240)*((LMPMain!$J$9:$J$1000)=$F240)*((LMPMain!$O$9:$O$1000)=$C240)*(LMPMain!T$9:T$1000) ) +  ( SUMPRODUCT( ((Adders!$D$13:$D$101)=$E240)*((Adders!$E$13:$E$101)=$F240)*(Adders!I$13:I$101)) + VLOOKUP($H240,Adders!$B$5:$G$8,N$11,FALSE)  +  NJ!$D$2 ) * IF($D240="NJ",1.07,1))/$L$10, CHOOSE($M$10,$L$9,$M$9) )</f>
        <v xml:space="preserve"> 64.84 </v>
      </c>
      <c r="O240" s="112"/>
    </row>
    <row r="241" spans="2:15" x14ac:dyDescent="0.25">
      <c r="B241" s="108"/>
      <c r="C241" s="135">
        <f t="shared" si="5"/>
        <v>42248</v>
      </c>
      <c r="D241" s="136" t="s">
        <v>31</v>
      </c>
      <c r="E241" s="137" t="s">
        <v>36</v>
      </c>
      <c r="F241" s="136" t="s">
        <v>38</v>
      </c>
      <c r="G241" s="137" t="str">
        <f t="shared" si="6"/>
        <v>Large P&amp;L</v>
      </c>
      <c r="H241" s="138" t="s">
        <v>690</v>
      </c>
      <c r="I241" s="176" t="str">
        <f>TEXT(   (SUMPRODUCT( ((Main!$H$9:$H$1000)=$E241)*((Main!$J$9:$J$1000)=$F241)*((Main!$O$9:$O$1000)=$C241)*(Main!R$9:R$1000) ) +  ( SUMPRODUCT( ((Adders!$D$13:$D$101)=$E241)*((Adders!$E$13:$E$101)=$F241)*(Adders!G$13:G$101)) + VLOOKUP($H241,Adders!$B$5:$G$8,L$11,FALSE)  +  NJ!$D$2 ) * IF($D241="NJ",1.07,1))/$L$10, CHOOSE($M$10,$L$9,$M$9) )</f>
        <v xml:space="preserve"> 100.82 </v>
      </c>
      <c r="J241" s="176" t="str">
        <f>TEXT(   (SUMPRODUCT( ((Main!$H$9:$H$1000)=$E241)*((Main!$J$9:$J$1000)=$F241)*((Main!$O$9:$O$1000)=$C241)*(Main!S$9:S$1000) ) +  ( SUMPRODUCT( ((Adders!$D$13:$D$101)=$E241)*((Adders!$E$13:$E$101)=$F241)*(Adders!H$13:H$101)) + VLOOKUP($H241,Adders!$B$5:$G$8,M$11,FALSE)  +  NJ!$D$2 ) * IF($D241="NJ",1.07,1))/$L$10, CHOOSE($M$10,$L$9,$M$9) )</f>
        <v xml:space="preserve"> 102.30 </v>
      </c>
      <c r="K241" s="177" t="str">
        <f>TEXT(   (SUMPRODUCT( ((Main!$H$9:$H$1000)=$E241)*((Main!$J$9:$J$1000)=$F241)*((Main!$O$9:$O$1000)=$C241)*(Main!T$9:T$1000) ) +  ( SUMPRODUCT( ((Adders!$D$13:$D$101)=$E241)*((Adders!$E$13:$E$101)=$F241)*(Adders!I$13:I$101)) + VLOOKUP($H241,Adders!$B$5:$G$8,N$11,FALSE)  +  NJ!$D$2 ) * IF($D241="NJ",1.07,1))/$L$10, CHOOSE($M$10,$L$9,$M$9) )</f>
        <v xml:space="preserve"> 102.15 </v>
      </c>
      <c r="L241" s="176" t="str">
        <f>TEXT(   (SUMPRODUCT( ((LMPMain!$H$9:$H$1000)=$E241)*((LMPMain!$J$9:$J$1000)=$F241)*((LMPMain!$O$9:$O$1000)=$C241)*(LMPMain!R$9:R$1000) ) +  ( SUMPRODUCT( ((Adders!$D$13:$D$101)=$E241)*((Adders!$E$13:$E$101)=$F241)*(Adders!G$13:G$101)) + VLOOKUP($H241,Adders!$B$5:$G$8,L$11,FALSE)  +  NJ!$D$2 ) * IF($D241="NJ",1.07,1))/$L$10, CHOOSE($M$10,$L$9,$M$9) )</f>
        <v xml:space="preserve"> 62.51 </v>
      </c>
      <c r="M241" s="176" t="str">
        <f>TEXT(   (SUMPRODUCT( ((LMPMain!$H$9:$H$1000)=$E241)*((LMPMain!$J$9:$J$1000)=$F241)*((LMPMain!$O$9:$O$1000)=$C241)*(LMPMain!S$9:S$1000) ) +  ( SUMPRODUCT( ((Adders!$D$13:$D$101)=$E241)*((Adders!$E$13:$E$101)=$F241)*(Adders!H$13:H$101)) + VLOOKUP($H241,Adders!$B$5:$G$8,M$11,FALSE)  +  NJ!$D$2 ) * IF($D241="NJ",1.07,1))/$L$10, CHOOSE($M$10,$L$9,$M$9) )</f>
        <v xml:space="preserve"> 63.94 </v>
      </c>
      <c r="N241" s="177" t="str">
        <f>TEXT(   (SUMPRODUCT( ((LMPMain!$H$9:$H$1000)=$E241)*((LMPMain!$J$9:$J$1000)=$F241)*((LMPMain!$O$9:$O$1000)=$C241)*(LMPMain!T$9:T$1000) ) +  ( SUMPRODUCT( ((Adders!$D$13:$D$101)=$E241)*((Adders!$E$13:$E$101)=$F241)*(Adders!I$13:I$101)) + VLOOKUP($H241,Adders!$B$5:$G$8,N$11,FALSE)  +  NJ!$D$2 ) * IF($D241="NJ",1.07,1))/$L$10, CHOOSE($M$10,$L$9,$M$9) )</f>
        <v xml:space="preserve"> 63.72 </v>
      </c>
      <c r="O241" s="112"/>
    </row>
    <row r="242" spans="2:15" x14ac:dyDescent="0.25">
      <c r="B242" s="108"/>
      <c r="C242" s="127">
        <f t="shared" si="5"/>
        <v>42278</v>
      </c>
      <c r="D242" s="128" t="s">
        <v>31</v>
      </c>
      <c r="E242" s="129" t="s">
        <v>36</v>
      </c>
      <c r="F242" s="128" t="s">
        <v>38</v>
      </c>
      <c r="G242" s="129" t="str">
        <f t="shared" si="6"/>
        <v>Large P&amp;L</v>
      </c>
      <c r="H242" s="130" t="s">
        <v>61</v>
      </c>
      <c r="I242" s="178" t="str">
        <f>TEXT(   (SUMPRODUCT( ((Main!$H$9:$H$1000)=$E242)*((Main!$J$9:$J$1000)=$F242)*((Main!$O$9:$O$1000)=$C242)*(Main!R$9:R$1000) ) +  ( SUMPRODUCT( ((Adders!$D$13:$D$101)=$E242)*((Adders!$E$13:$E$101)=$F242)*(Adders!G$13:G$101)) + VLOOKUP($H242,Adders!$B$5:$G$8,L$11,FALSE)  +  NJ!$D$2 ) * IF($D242="NJ",1.07,1))/$L$10, CHOOSE($M$10,$L$9,$M$9) )</f>
        <v xml:space="preserve"> 103.94 </v>
      </c>
      <c r="J242" s="178" t="str">
        <f>TEXT(   (SUMPRODUCT( ((Main!$H$9:$H$1000)=$E242)*((Main!$J$9:$J$1000)=$F242)*((Main!$O$9:$O$1000)=$C242)*(Main!S$9:S$1000) ) +  ( SUMPRODUCT( ((Adders!$D$13:$D$101)=$E242)*((Adders!$E$13:$E$101)=$F242)*(Adders!H$13:H$101)) + VLOOKUP($H242,Adders!$B$5:$G$8,M$11,FALSE)  +  NJ!$D$2 ) * IF($D242="NJ",1.07,1))/$L$10, CHOOSE($M$10,$L$9,$M$9) )</f>
        <v xml:space="preserve"> 105.93 </v>
      </c>
      <c r="K242" s="179" t="str">
        <f>TEXT(   (SUMPRODUCT( ((Main!$H$9:$H$1000)=$E242)*((Main!$J$9:$J$1000)=$F242)*((Main!$O$9:$O$1000)=$C242)*(Main!T$9:T$1000) ) +  ( SUMPRODUCT( ((Adders!$D$13:$D$101)=$E242)*((Adders!$E$13:$E$101)=$F242)*(Adders!I$13:I$101)) + VLOOKUP($H242,Adders!$B$5:$G$8,N$11,FALSE)  +  NJ!$D$2 ) * IF($D242="NJ",1.07,1))/$L$10, CHOOSE($M$10,$L$9,$M$9) )</f>
        <v xml:space="preserve"> 105.18 </v>
      </c>
      <c r="L242" s="178" t="str">
        <f>TEXT(   (SUMPRODUCT( ((LMPMain!$H$9:$H$1000)=$E242)*((LMPMain!$J$9:$J$1000)=$F242)*((LMPMain!$O$9:$O$1000)=$C242)*(LMPMain!R$9:R$1000) ) +  ( SUMPRODUCT( ((Adders!$D$13:$D$101)=$E242)*((Adders!$E$13:$E$101)=$F242)*(Adders!G$13:G$101)) + VLOOKUP($H242,Adders!$B$5:$G$8,L$11,FALSE)  +  NJ!$D$2 ) * IF($D242="NJ",1.07,1))/$L$10, CHOOSE($M$10,$L$9,$M$9) )</f>
        <v xml:space="preserve"> 65.65 </v>
      </c>
      <c r="M242" s="178" t="str">
        <f>TEXT(   (SUMPRODUCT( ((LMPMain!$H$9:$H$1000)=$E242)*((LMPMain!$J$9:$J$1000)=$F242)*((LMPMain!$O$9:$O$1000)=$C242)*(LMPMain!S$9:S$1000) ) +  ( SUMPRODUCT( ((Adders!$D$13:$D$101)=$E242)*((Adders!$E$13:$E$101)=$F242)*(Adders!H$13:H$101)) + VLOOKUP($H242,Adders!$B$5:$G$8,M$11,FALSE)  +  NJ!$D$2 ) * IF($D242="NJ",1.07,1))/$L$10, CHOOSE($M$10,$L$9,$M$9) )</f>
        <v xml:space="preserve"> 67.26 </v>
      </c>
      <c r="N242" s="179" t="str">
        <f>TEXT(   (SUMPRODUCT( ((LMPMain!$H$9:$H$1000)=$E242)*((LMPMain!$J$9:$J$1000)=$F242)*((LMPMain!$O$9:$O$1000)=$C242)*(LMPMain!T$9:T$1000) ) +  ( SUMPRODUCT( ((Adders!$D$13:$D$101)=$E242)*((Adders!$E$13:$E$101)=$F242)*(Adders!I$13:I$101)) + VLOOKUP($H242,Adders!$B$5:$G$8,N$11,FALSE)  +  NJ!$D$2 ) * IF($D242="NJ",1.07,1))/$L$10, CHOOSE($M$10,$L$9,$M$9) )</f>
        <v xml:space="preserve"> 66.75 </v>
      </c>
      <c r="O242" s="112"/>
    </row>
    <row r="243" spans="2:15" x14ac:dyDescent="0.25">
      <c r="B243" s="108"/>
      <c r="C243" s="131">
        <f t="shared" ref="C243:C265" si="7">C207</f>
        <v>42278</v>
      </c>
      <c r="D243" s="132" t="s">
        <v>31</v>
      </c>
      <c r="E243" s="133" t="s">
        <v>36</v>
      </c>
      <c r="F243" s="132" t="s">
        <v>38</v>
      </c>
      <c r="G243" s="133" t="str">
        <f t="shared" ref="G243:G265" si="8">G242</f>
        <v>Large P&amp;L</v>
      </c>
      <c r="H243" s="134" t="s">
        <v>62</v>
      </c>
      <c r="I243" s="173" t="str">
        <f>TEXT(   (SUMPRODUCT( ((Main!$H$9:$H$1000)=$E243)*((Main!$J$9:$J$1000)=$F243)*((Main!$O$9:$O$1000)=$C243)*(Main!R$9:R$1000) ) +  ( SUMPRODUCT( ((Adders!$D$13:$D$101)=$E243)*((Adders!$E$13:$E$101)=$F243)*(Adders!G$13:G$101)) + VLOOKUP($H243,Adders!$B$5:$G$8,L$11,FALSE)  +  NJ!$D$2 ) * IF($D243="NJ",1.07,1))/$L$10, CHOOSE($M$10,$L$9,$M$9) )</f>
        <v xml:space="preserve"> 102.23 </v>
      </c>
      <c r="J243" s="173" t="str">
        <f>TEXT(   (SUMPRODUCT( ((Main!$H$9:$H$1000)=$E243)*((Main!$J$9:$J$1000)=$F243)*((Main!$O$9:$O$1000)=$C243)*(Main!S$9:S$1000) ) +  ( SUMPRODUCT( ((Adders!$D$13:$D$101)=$E243)*((Adders!$E$13:$E$101)=$F243)*(Adders!H$13:H$101)) + VLOOKUP($H243,Adders!$B$5:$G$8,M$11,FALSE)  +  NJ!$D$2 ) * IF($D243="NJ",1.07,1))/$L$10, CHOOSE($M$10,$L$9,$M$9) )</f>
        <v xml:space="preserve"> 104.22 </v>
      </c>
      <c r="K243" s="174" t="str">
        <f>TEXT(   (SUMPRODUCT( ((Main!$H$9:$H$1000)=$E243)*((Main!$J$9:$J$1000)=$F243)*((Main!$O$9:$O$1000)=$C243)*(Main!T$9:T$1000) ) +  ( SUMPRODUCT( ((Adders!$D$13:$D$101)=$E243)*((Adders!$E$13:$E$101)=$F243)*(Adders!I$13:I$101)) + VLOOKUP($H243,Adders!$B$5:$G$8,N$11,FALSE)  +  NJ!$D$2 ) * IF($D243="NJ",1.07,1))/$L$10, CHOOSE($M$10,$L$9,$M$9) )</f>
        <v xml:space="preserve"> 103.47 </v>
      </c>
      <c r="L243" s="173" t="str">
        <f>TEXT(   (SUMPRODUCT( ((LMPMain!$H$9:$H$1000)=$E243)*((LMPMain!$J$9:$J$1000)=$F243)*((LMPMain!$O$9:$O$1000)=$C243)*(LMPMain!R$9:R$1000) ) +  ( SUMPRODUCT( ((Adders!$D$13:$D$101)=$E243)*((Adders!$E$13:$E$101)=$F243)*(Adders!G$13:G$101)) + VLOOKUP($H243,Adders!$B$5:$G$8,L$11,FALSE)  +  NJ!$D$2 ) * IF($D243="NJ",1.07,1))/$L$10, CHOOSE($M$10,$L$9,$M$9) )</f>
        <v xml:space="preserve"> 63.93 </v>
      </c>
      <c r="M243" s="173" t="str">
        <f>TEXT(   (SUMPRODUCT( ((LMPMain!$H$9:$H$1000)=$E243)*((LMPMain!$J$9:$J$1000)=$F243)*((LMPMain!$O$9:$O$1000)=$C243)*(LMPMain!S$9:S$1000) ) +  ( SUMPRODUCT( ((Adders!$D$13:$D$101)=$E243)*((Adders!$E$13:$E$101)=$F243)*(Adders!H$13:H$101)) + VLOOKUP($H243,Adders!$B$5:$G$8,M$11,FALSE)  +  NJ!$D$2 ) * IF($D243="NJ",1.07,1))/$L$10, CHOOSE($M$10,$L$9,$M$9) )</f>
        <v xml:space="preserve"> 65.55 </v>
      </c>
      <c r="N243" s="174" t="str">
        <f>TEXT(   (SUMPRODUCT( ((LMPMain!$H$9:$H$1000)=$E243)*((LMPMain!$J$9:$J$1000)=$F243)*((LMPMain!$O$9:$O$1000)=$C243)*(LMPMain!T$9:T$1000) ) +  ( SUMPRODUCT( ((Adders!$D$13:$D$101)=$E243)*((Adders!$E$13:$E$101)=$F243)*(Adders!I$13:I$101)) + VLOOKUP($H243,Adders!$B$5:$G$8,N$11,FALSE)  +  NJ!$D$2 ) * IF($D243="NJ",1.07,1))/$L$10, CHOOSE($M$10,$L$9,$M$9) )</f>
        <v xml:space="preserve"> 65.04 </v>
      </c>
      <c r="O243" s="112"/>
    </row>
    <row r="244" spans="2:15" x14ac:dyDescent="0.25">
      <c r="B244" s="108"/>
      <c r="C244" s="135">
        <f t="shared" si="7"/>
        <v>42278</v>
      </c>
      <c r="D244" s="136" t="s">
        <v>31</v>
      </c>
      <c r="E244" s="137" t="s">
        <v>36</v>
      </c>
      <c r="F244" s="136" t="s">
        <v>38</v>
      </c>
      <c r="G244" s="137" t="str">
        <f t="shared" si="8"/>
        <v>Large P&amp;L</v>
      </c>
      <c r="H244" s="138" t="s">
        <v>690</v>
      </c>
      <c r="I244" s="176" t="str">
        <f>TEXT(   (SUMPRODUCT( ((Main!$H$9:$H$1000)=$E244)*((Main!$J$9:$J$1000)=$F244)*((Main!$O$9:$O$1000)=$C244)*(Main!R$9:R$1000) ) +  ( SUMPRODUCT( ((Adders!$D$13:$D$101)=$E244)*((Adders!$E$13:$E$101)=$F244)*(Adders!G$13:G$101)) + VLOOKUP($H244,Adders!$B$5:$G$8,L$11,FALSE)  +  NJ!$D$2 ) * IF($D244="NJ",1.07,1))/$L$10, CHOOSE($M$10,$L$9,$M$9) )</f>
        <v xml:space="preserve"> 101.11 </v>
      </c>
      <c r="J244" s="176" t="str">
        <f>TEXT(   (SUMPRODUCT( ((Main!$H$9:$H$1000)=$E244)*((Main!$J$9:$J$1000)=$F244)*((Main!$O$9:$O$1000)=$C244)*(Main!S$9:S$1000) ) +  ( SUMPRODUCT( ((Adders!$D$13:$D$101)=$E244)*((Adders!$E$13:$E$101)=$F244)*(Adders!H$13:H$101)) + VLOOKUP($H244,Adders!$B$5:$G$8,M$11,FALSE)  +  NJ!$D$2 ) * IF($D244="NJ",1.07,1))/$L$10, CHOOSE($M$10,$L$9,$M$9) )</f>
        <v xml:space="preserve"> 103.10 </v>
      </c>
      <c r="K244" s="177" t="str">
        <f>TEXT(   (SUMPRODUCT( ((Main!$H$9:$H$1000)=$E244)*((Main!$J$9:$J$1000)=$F244)*((Main!$O$9:$O$1000)=$C244)*(Main!T$9:T$1000) ) +  ( SUMPRODUCT( ((Adders!$D$13:$D$101)=$E244)*((Adders!$E$13:$E$101)=$F244)*(Adders!I$13:I$101)) + VLOOKUP($H244,Adders!$B$5:$G$8,N$11,FALSE)  +  NJ!$D$2 ) * IF($D244="NJ",1.07,1))/$L$10, CHOOSE($M$10,$L$9,$M$9) )</f>
        <v xml:space="preserve"> 102.35 </v>
      </c>
      <c r="L244" s="176" t="str">
        <f>TEXT(   (SUMPRODUCT( ((LMPMain!$H$9:$H$1000)=$E244)*((LMPMain!$J$9:$J$1000)=$F244)*((LMPMain!$O$9:$O$1000)=$C244)*(LMPMain!R$9:R$1000) ) +  ( SUMPRODUCT( ((Adders!$D$13:$D$101)=$E244)*((Adders!$E$13:$E$101)=$F244)*(Adders!G$13:G$101)) + VLOOKUP($H244,Adders!$B$5:$G$8,L$11,FALSE)  +  NJ!$D$2 ) * IF($D244="NJ",1.07,1))/$L$10, CHOOSE($M$10,$L$9,$M$9) )</f>
        <v xml:space="preserve"> 62.81 </v>
      </c>
      <c r="M244" s="176" t="str">
        <f>TEXT(   (SUMPRODUCT( ((LMPMain!$H$9:$H$1000)=$E244)*((LMPMain!$J$9:$J$1000)=$F244)*((LMPMain!$O$9:$O$1000)=$C244)*(LMPMain!S$9:S$1000) ) +  ( SUMPRODUCT( ((Adders!$D$13:$D$101)=$E244)*((Adders!$E$13:$E$101)=$F244)*(Adders!H$13:H$101)) + VLOOKUP($H244,Adders!$B$5:$G$8,M$11,FALSE)  +  NJ!$D$2 ) * IF($D244="NJ",1.07,1))/$L$10, CHOOSE($M$10,$L$9,$M$9) )</f>
        <v xml:space="preserve"> 64.43 </v>
      </c>
      <c r="N244" s="177" t="str">
        <f>TEXT(   (SUMPRODUCT( ((LMPMain!$H$9:$H$1000)=$E244)*((LMPMain!$J$9:$J$1000)=$F244)*((LMPMain!$O$9:$O$1000)=$C244)*(LMPMain!T$9:T$1000) ) +  ( SUMPRODUCT( ((Adders!$D$13:$D$101)=$E244)*((Adders!$E$13:$E$101)=$F244)*(Adders!I$13:I$101)) + VLOOKUP($H244,Adders!$B$5:$G$8,N$11,FALSE)  +  NJ!$D$2 ) * IF($D244="NJ",1.07,1))/$L$10, CHOOSE($M$10,$L$9,$M$9) )</f>
        <v xml:space="preserve"> 63.92 </v>
      </c>
      <c r="O244" s="112"/>
    </row>
    <row r="245" spans="2:15" x14ac:dyDescent="0.25">
      <c r="B245" s="108"/>
      <c r="C245" s="127">
        <f t="shared" si="7"/>
        <v>42309</v>
      </c>
      <c r="D245" s="128" t="s">
        <v>31</v>
      </c>
      <c r="E245" s="129" t="s">
        <v>36</v>
      </c>
      <c r="F245" s="128" t="s">
        <v>38</v>
      </c>
      <c r="G245" s="129" t="str">
        <f t="shared" si="8"/>
        <v>Large P&amp;L</v>
      </c>
      <c r="H245" s="130" t="s">
        <v>61</v>
      </c>
      <c r="I245" s="178" t="str">
        <f>TEXT(   (SUMPRODUCT( ((Main!$H$9:$H$1000)=$E245)*((Main!$J$9:$J$1000)=$F245)*((Main!$O$9:$O$1000)=$C245)*(Main!R$9:R$1000) ) +  ( SUMPRODUCT( ((Adders!$D$13:$D$101)=$E245)*((Adders!$E$13:$E$101)=$F245)*(Adders!G$13:G$101)) + VLOOKUP($H245,Adders!$B$5:$G$8,L$11,FALSE)  +  NJ!$D$2 ) * IF($D245="NJ",1.07,1))/$L$10, CHOOSE($M$10,$L$9,$M$9) )</f>
        <v xml:space="preserve"> 104.26 </v>
      </c>
      <c r="J245" s="178" t="str">
        <f>TEXT(   (SUMPRODUCT( ((Main!$H$9:$H$1000)=$E245)*((Main!$J$9:$J$1000)=$F245)*((Main!$O$9:$O$1000)=$C245)*(Main!S$9:S$1000) ) +  ( SUMPRODUCT( ((Adders!$D$13:$D$101)=$E245)*((Adders!$E$13:$E$101)=$F245)*(Adders!H$13:H$101)) + VLOOKUP($H245,Adders!$B$5:$G$8,M$11,FALSE)  +  NJ!$D$2 ) * IF($D245="NJ",1.07,1))/$L$10, CHOOSE($M$10,$L$9,$M$9) )</f>
        <v xml:space="preserve"> 106.26 </v>
      </c>
      <c r="K245" s="179" t="str">
        <f>TEXT(   (SUMPRODUCT( ((Main!$H$9:$H$1000)=$E245)*((Main!$J$9:$J$1000)=$F245)*((Main!$O$9:$O$1000)=$C245)*(Main!T$9:T$1000) ) +  ( SUMPRODUCT( ((Adders!$D$13:$D$101)=$E245)*((Adders!$E$13:$E$101)=$F245)*(Adders!I$13:I$101)) + VLOOKUP($H245,Adders!$B$5:$G$8,N$11,FALSE)  +  NJ!$D$2 ) * IF($D245="NJ",1.07,1))/$L$10, CHOOSE($M$10,$L$9,$M$9) )</f>
        <v xml:space="preserve"> 105.41 </v>
      </c>
      <c r="L245" s="178" t="str">
        <f>TEXT(   (SUMPRODUCT( ((LMPMain!$H$9:$H$1000)=$E245)*((LMPMain!$J$9:$J$1000)=$F245)*((LMPMain!$O$9:$O$1000)=$C245)*(LMPMain!R$9:R$1000) ) +  ( SUMPRODUCT( ((Adders!$D$13:$D$101)=$E245)*((Adders!$E$13:$E$101)=$F245)*(Adders!G$13:G$101)) + VLOOKUP($H245,Adders!$B$5:$G$8,L$11,FALSE)  +  NJ!$D$2 ) * IF($D245="NJ",1.07,1))/$L$10, CHOOSE($M$10,$L$9,$M$9) )</f>
        <v xml:space="preserve"> 65.99 </v>
      </c>
      <c r="M245" s="178" t="str">
        <f>TEXT(   (SUMPRODUCT( ((LMPMain!$H$9:$H$1000)=$E245)*((LMPMain!$J$9:$J$1000)=$F245)*((LMPMain!$O$9:$O$1000)=$C245)*(LMPMain!S$9:S$1000) ) +  ( SUMPRODUCT( ((Adders!$D$13:$D$101)=$E245)*((Adders!$E$13:$E$101)=$F245)*(Adders!H$13:H$101)) + VLOOKUP($H245,Adders!$B$5:$G$8,M$11,FALSE)  +  NJ!$D$2 ) * IF($D245="NJ",1.07,1))/$L$10, CHOOSE($M$10,$L$9,$M$9) )</f>
        <v xml:space="preserve"> 67.46 </v>
      </c>
      <c r="N245" s="179" t="str">
        <f>TEXT(   (SUMPRODUCT( ((LMPMain!$H$9:$H$1000)=$E245)*((LMPMain!$J$9:$J$1000)=$F245)*((LMPMain!$O$9:$O$1000)=$C245)*(LMPMain!T$9:T$1000) ) +  ( SUMPRODUCT( ((Adders!$D$13:$D$101)=$E245)*((Adders!$E$13:$E$101)=$F245)*(Adders!I$13:I$101)) + VLOOKUP($H245,Adders!$B$5:$G$8,N$11,FALSE)  +  NJ!$D$2 ) * IF($D245="NJ",1.07,1))/$L$10, CHOOSE($M$10,$L$9,$M$9) )</f>
        <v xml:space="preserve"> 66.97 </v>
      </c>
      <c r="O245" s="112"/>
    </row>
    <row r="246" spans="2:15" x14ac:dyDescent="0.25">
      <c r="B246" s="108"/>
      <c r="C246" s="131">
        <f t="shared" si="7"/>
        <v>42309</v>
      </c>
      <c r="D246" s="132" t="s">
        <v>31</v>
      </c>
      <c r="E246" s="133" t="s">
        <v>36</v>
      </c>
      <c r="F246" s="132" t="s">
        <v>38</v>
      </c>
      <c r="G246" s="133" t="str">
        <f t="shared" si="8"/>
        <v>Large P&amp;L</v>
      </c>
      <c r="H246" s="134" t="s">
        <v>62</v>
      </c>
      <c r="I246" s="173" t="str">
        <f>TEXT(   (SUMPRODUCT( ((Main!$H$9:$H$1000)=$E246)*((Main!$J$9:$J$1000)=$F246)*((Main!$O$9:$O$1000)=$C246)*(Main!R$9:R$1000) ) +  ( SUMPRODUCT( ((Adders!$D$13:$D$101)=$E246)*((Adders!$E$13:$E$101)=$F246)*(Adders!G$13:G$101)) + VLOOKUP($H246,Adders!$B$5:$G$8,L$11,FALSE)  +  NJ!$D$2 ) * IF($D246="NJ",1.07,1))/$L$10, CHOOSE($M$10,$L$9,$M$9) )</f>
        <v xml:space="preserve"> 102.55 </v>
      </c>
      <c r="J246" s="173" t="str">
        <f>TEXT(   (SUMPRODUCT( ((Main!$H$9:$H$1000)=$E246)*((Main!$J$9:$J$1000)=$F246)*((Main!$O$9:$O$1000)=$C246)*(Main!S$9:S$1000) ) +  ( SUMPRODUCT( ((Adders!$D$13:$D$101)=$E246)*((Adders!$E$13:$E$101)=$F246)*(Adders!H$13:H$101)) + VLOOKUP($H246,Adders!$B$5:$G$8,M$11,FALSE)  +  NJ!$D$2 ) * IF($D246="NJ",1.07,1))/$L$10, CHOOSE($M$10,$L$9,$M$9) )</f>
        <v xml:space="preserve"> 104.55 </v>
      </c>
      <c r="K246" s="174" t="str">
        <f>TEXT(   (SUMPRODUCT( ((Main!$H$9:$H$1000)=$E246)*((Main!$J$9:$J$1000)=$F246)*((Main!$O$9:$O$1000)=$C246)*(Main!T$9:T$1000) ) +  ( SUMPRODUCT( ((Adders!$D$13:$D$101)=$E246)*((Adders!$E$13:$E$101)=$F246)*(Adders!I$13:I$101)) + VLOOKUP($H246,Adders!$B$5:$G$8,N$11,FALSE)  +  NJ!$D$2 ) * IF($D246="NJ",1.07,1))/$L$10, CHOOSE($M$10,$L$9,$M$9) )</f>
        <v xml:space="preserve"> 103.70 </v>
      </c>
      <c r="L246" s="173" t="str">
        <f>TEXT(   (SUMPRODUCT( ((LMPMain!$H$9:$H$1000)=$E246)*((LMPMain!$J$9:$J$1000)=$F246)*((LMPMain!$O$9:$O$1000)=$C246)*(LMPMain!R$9:R$1000) ) +  ( SUMPRODUCT( ((Adders!$D$13:$D$101)=$E246)*((Adders!$E$13:$E$101)=$F246)*(Adders!G$13:G$101)) + VLOOKUP($H246,Adders!$B$5:$G$8,L$11,FALSE)  +  NJ!$D$2 ) * IF($D246="NJ",1.07,1))/$L$10, CHOOSE($M$10,$L$9,$M$9) )</f>
        <v xml:space="preserve"> 64.28 </v>
      </c>
      <c r="M246" s="173" t="str">
        <f>TEXT(   (SUMPRODUCT( ((LMPMain!$H$9:$H$1000)=$E246)*((LMPMain!$J$9:$J$1000)=$F246)*((LMPMain!$O$9:$O$1000)=$C246)*(LMPMain!S$9:S$1000) ) +  ( SUMPRODUCT( ((Adders!$D$13:$D$101)=$E246)*((Adders!$E$13:$E$101)=$F246)*(Adders!H$13:H$101)) + VLOOKUP($H246,Adders!$B$5:$G$8,M$11,FALSE)  +  NJ!$D$2 ) * IF($D246="NJ",1.07,1))/$L$10, CHOOSE($M$10,$L$9,$M$9) )</f>
        <v xml:space="preserve"> 65.74 </v>
      </c>
      <c r="N246" s="174" t="str">
        <f>TEXT(   (SUMPRODUCT( ((LMPMain!$H$9:$H$1000)=$E246)*((LMPMain!$J$9:$J$1000)=$F246)*((LMPMain!$O$9:$O$1000)=$C246)*(LMPMain!T$9:T$1000) ) +  ( SUMPRODUCT( ((Adders!$D$13:$D$101)=$E246)*((Adders!$E$13:$E$101)=$F246)*(Adders!I$13:I$101)) + VLOOKUP($H246,Adders!$B$5:$G$8,N$11,FALSE)  +  NJ!$D$2 ) * IF($D246="NJ",1.07,1))/$L$10, CHOOSE($M$10,$L$9,$M$9) )</f>
        <v xml:space="preserve"> 65.25 </v>
      </c>
      <c r="O246" s="112"/>
    </row>
    <row r="247" spans="2:15" x14ac:dyDescent="0.25">
      <c r="B247" s="108"/>
      <c r="C247" s="135">
        <f t="shared" si="7"/>
        <v>42309</v>
      </c>
      <c r="D247" s="136" t="s">
        <v>31</v>
      </c>
      <c r="E247" s="137" t="s">
        <v>36</v>
      </c>
      <c r="F247" s="136" t="s">
        <v>38</v>
      </c>
      <c r="G247" s="137" t="str">
        <f t="shared" si="8"/>
        <v>Large P&amp;L</v>
      </c>
      <c r="H247" s="138" t="s">
        <v>690</v>
      </c>
      <c r="I247" s="176" t="str">
        <f>TEXT(   (SUMPRODUCT( ((Main!$H$9:$H$1000)=$E247)*((Main!$J$9:$J$1000)=$F247)*((Main!$O$9:$O$1000)=$C247)*(Main!R$9:R$1000) ) +  ( SUMPRODUCT( ((Adders!$D$13:$D$101)=$E247)*((Adders!$E$13:$E$101)=$F247)*(Adders!G$13:G$101)) + VLOOKUP($H247,Adders!$B$5:$G$8,L$11,FALSE)  +  NJ!$D$2 ) * IF($D247="NJ",1.07,1))/$L$10, CHOOSE($M$10,$L$9,$M$9) )</f>
        <v xml:space="preserve"> 101.43 </v>
      </c>
      <c r="J247" s="176" t="str">
        <f>TEXT(   (SUMPRODUCT( ((Main!$H$9:$H$1000)=$E247)*((Main!$J$9:$J$1000)=$F247)*((Main!$O$9:$O$1000)=$C247)*(Main!S$9:S$1000) ) +  ( SUMPRODUCT( ((Adders!$D$13:$D$101)=$E247)*((Adders!$E$13:$E$101)=$F247)*(Adders!H$13:H$101)) + VLOOKUP($H247,Adders!$B$5:$G$8,M$11,FALSE)  +  NJ!$D$2 ) * IF($D247="NJ",1.07,1))/$L$10, CHOOSE($M$10,$L$9,$M$9) )</f>
        <v xml:space="preserve"> 103.43 </v>
      </c>
      <c r="K247" s="177" t="str">
        <f>TEXT(   (SUMPRODUCT( ((Main!$H$9:$H$1000)=$E247)*((Main!$J$9:$J$1000)=$F247)*((Main!$O$9:$O$1000)=$C247)*(Main!T$9:T$1000) ) +  ( SUMPRODUCT( ((Adders!$D$13:$D$101)=$E247)*((Adders!$E$13:$E$101)=$F247)*(Adders!I$13:I$101)) + VLOOKUP($H247,Adders!$B$5:$G$8,N$11,FALSE)  +  NJ!$D$2 ) * IF($D247="NJ",1.07,1))/$L$10, CHOOSE($M$10,$L$9,$M$9) )</f>
        <v xml:space="preserve"> 102.58 </v>
      </c>
      <c r="L247" s="176" t="str">
        <f>TEXT(   (SUMPRODUCT( ((LMPMain!$H$9:$H$1000)=$E247)*((LMPMain!$J$9:$J$1000)=$F247)*((LMPMain!$O$9:$O$1000)=$C247)*(LMPMain!R$9:R$1000) ) +  ( SUMPRODUCT( ((Adders!$D$13:$D$101)=$E247)*((Adders!$E$13:$E$101)=$F247)*(Adders!G$13:G$101)) + VLOOKUP($H247,Adders!$B$5:$G$8,L$11,FALSE)  +  NJ!$D$2 ) * IF($D247="NJ",1.07,1))/$L$10, CHOOSE($M$10,$L$9,$M$9) )</f>
        <v xml:space="preserve"> 63.15 </v>
      </c>
      <c r="M247" s="176" t="str">
        <f>TEXT(   (SUMPRODUCT( ((LMPMain!$H$9:$H$1000)=$E247)*((LMPMain!$J$9:$J$1000)=$F247)*((LMPMain!$O$9:$O$1000)=$C247)*(LMPMain!S$9:S$1000) ) +  ( SUMPRODUCT( ((Adders!$D$13:$D$101)=$E247)*((Adders!$E$13:$E$101)=$F247)*(Adders!H$13:H$101)) + VLOOKUP($H247,Adders!$B$5:$G$8,M$11,FALSE)  +  NJ!$D$2 ) * IF($D247="NJ",1.07,1))/$L$10, CHOOSE($M$10,$L$9,$M$9) )</f>
        <v xml:space="preserve"> 64.62 </v>
      </c>
      <c r="N247" s="177" t="str">
        <f>TEXT(   (SUMPRODUCT( ((LMPMain!$H$9:$H$1000)=$E247)*((LMPMain!$J$9:$J$1000)=$F247)*((LMPMain!$O$9:$O$1000)=$C247)*(LMPMain!T$9:T$1000) ) +  ( SUMPRODUCT( ((Adders!$D$13:$D$101)=$E247)*((Adders!$E$13:$E$101)=$F247)*(Adders!I$13:I$101)) + VLOOKUP($H247,Adders!$B$5:$G$8,N$11,FALSE)  +  NJ!$D$2 ) * IF($D247="NJ",1.07,1))/$L$10, CHOOSE($M$10,$L$9,$M$9) )</f>
        <v xml:space="preserve"> 64.13 </v>
      </c>
      <c r="O247" s="112"/>
    </row>
    <row r="248" spans="2:15" x14ac:dyDescent="0.25">
      <c r="B248" s="108"/>
      <c r="C248" s="127">
        <f t="shared" si="7"/>
        <v>42339</v>
      </c>
      <c r="D248" s="128" t="s">
        <v>31</v>
      </c>
      <c r="E248" s="129" t="s">
        <v>36</v>
      </c>
      <c r="F248" s="128" t="s">
        <v>38</v>
      </c>
      <c r="G248" s="129" t="str">
        <f t="shared" si="8"/>
        <v>Large P&amp;L</v>
      </c>
      <c r="H248" s="130" t="s">
        <v>61</v>
      </c>
      <c r="I248" s="178" t="str">
        <f>TEXT(   (SUMPRODUCT( ((Main!$H$9:$H$1000)=$E248)*((Main!$J$9:$J$1000)=$F248)*((Main!$O$9:$O$1000)=$C248)*(Main!R$9:R$1000) ) +  ( SUMPRODUCT( ((Adders!$D$13:$D$101)=$E248)*((Adders!$E$13:$E$101)=$F248)*(Adders!G$13:G$101)) + VLOOKUP($H248,Adders!$B$5:$G$8,L$11,FALSE)  +  NJ!$D$2 ) * IF($D248="NJ",1.07,1))/$L$10, CHOOSE($M$10,$L$9,$M$9) )</f>
        <v xml:space="preserve"> 104.53 </v>
      </c>
      <c r="J248" s="178" t="str">
        <f>TEXT(   (SUMPRODUCT( ((Main!$H$9:$H$1000)=$E248)*((Main!$J$9:$J$1000)=$F248)*((Main!$O$9:$O$1000)=$C248)*(Main!S$9:S$1000) ) +  ( SUMPRODUCT( ((Adders!$D$13:$D$101)=$E248)*((Adders!$E$13:$E$101)=$F248)*(Adders!H$13:H$101)) + VLOOKUP($H248,Adders!$B$5:$G$8,M$11,FALSE)  +  NJ!$D$2 ) * IF($D248="NJ",1.07,1))/$L$10, CHOOSE($M$10,$L$9,$M$9) )</f>
        <v xml:space="preserve"> 106.38 </v>
      </c>
      <c r="K248" s="179" t="str">
        <f>TEXT(   (SUMPRODUCT( ((Main!$H$9:$H$1000)=$E248)*((Main!$J$9:$J$1000)=$F248)*((Main!$O$9:$O$1000)=$C248)*(Main!T$9:T$1000) ) +  ( SUMPRODUCT( ((Adders!$D$13:$D$101)=$E248)*((Adders!$E$13:$E$101)=$F248)*(Adders!I$13:I$101)) + VLOOKUP($H248,Adders!$B$5:$G$8,N$11,FALSE)  +  NJ!$D$2 ) * IF($D248="NJ",1.07,1))/$L$10, CHOOSE($M$10,$L$9,$M$9) )</f>
        <v xml:space="preserve"> 105.61 </v>
      </c>
      <c r="L248" s="178" t="str">
        <f>TEXT(   (SUMPRODUCT( ((LMPMain!$H$9:$H$1000)=$E248)*((LMPMain!$J$9:$J$1000)=$F248)*((LMPMain!$O$9:$O$1000)=$C248)*(LMPMain!R$9:R$1000) ) +  ( SUMPRODUCT( ((Adders!$D$13:$D$101)=$E248)*((Adders!$E$13:$E$101)=$F248)*(Adders!G$13:G$101)) + VLOOKUP($H248,Adders!$B$5:$G$8,L$11,FALSE)  +  NJ!$D$2 ) * IF($D248="NJ",1.07,1))/$L$10, CHOOSE($M$10,$L$9,$M$9) )</f>
        <v xml:space="preserve"> 66.21 </v>
      </c>
      <c r="M248" s="178" t="str">
        <f>TEXT(   (SUMPRODUCT( ((LMPMain!$H$9:$H$1000)=$E248)*((LMPMain!$J$9:$J$1000)=$F248)*((LMPMain!$O$9:$O$1000)=$C248)*(LMPMain!S$9:S$1000) ) +  ( SUMPRODUCT( ((Adders!$D$13:$D$101)=$E248)*((Adders!$E$13:$E$101)=$F248)*(Adders!H$13:H$101)) + VLOOKUP($H248,Adders!$B$5:$G$8,M$11,FALSE)  +  NJ!$D$2 ) * IF($D248="NJ",1.07,1))/$L$10, CHOOSE($M$10,$L$9,$M$9) )</f>
        <v xml:space="preserve"> 67.45 </v>
      </c>
      <c r="N248" s="179" t="str">
        <f>TEXT(   (SUMPRODUCT( ((LMPMain!$H$9:$H$1000)=$E248)*((LMPMain!$J$9:$J$1000)=$F248)*((LMPMain!$O$9:$O$1000)=$C248)*(LMPMain!T$9:T$1000) ) +  ( SUMPRODUCT( ((Adders!$D$13:$D$101)=$E248)*((Adders!$E$13:$E$101)=$F248)*(Adders!I$13:I$101)) + VLOOKUP($H248,Adders!$B$5:$G$8,N$11,FALSE)  +  NJ!$D$2 ) * IF($D248="NJ",1.07,1))/$L$10, CHOOSE($M$10,$L$9,$M$9) )</f>
        <v xml:space="preserve"> 67.13 </v>
      </c>
      <c r="O248" s="112"/>
    </row>
    <row r="249" spans="2:15" x14ac:dyDescent="0.25">
      <c r="B249" s="108"/>
      <c r="C249" s="131">
        <f t="shared" si="7"/>
        <v>42339</v>
      </c>
      <c r="D249" s="132" t="s">
        <v>31</v>
      </c>
      <c r="E249" s="133" t="s">
        <v>36</v>
      </c>
      <c r="F249" s="132" t="s">
        <v>38</v>
      </c>
      <c r="G249" s="133" t="str">
        <f t="shared" si="8"/>
        <v>Large P&amp;L</v>
      </c>
      <c r="H249" s="134" t="s">
        <v>62</v>
      </c>
      <c r="I249" s="173" t="str">
        <f>TEXT(   (SUMPRODUCT( ((Main!$H$9:$H$1000)=$E249)*((Main!$J$9:$J$1000)=$F249)*((Main!$O$9:$O$1000)=$C249)*(Main!R$9:R$1000) ) +  ( SUMPRODUCT( ((Adders!$D$13:$D$101)=$E249)*((Adders!$E$13:$E$101)=$F249)*(Adders!G$13:G$101)) + VLOOKUP($H249,Adders!$B$5:$G$8,L$11,FALSE)  +  NJ!$D$2 ) * IF($D249="NJ",1.07,1))/$L$10, CHOOSE($M$10,$L$9,$M$9) )</f>
        <v xml:space="preserve"> 102.82 </v>
      </c>
      <c r="J249" s="173" t="str">
        <f>TEXT(   (SUMPRODUCT( ((Main!$H$9:$H$1000)=$E249)*((Main!$J$9:$J$1000)=$F249)*((Main!$O$9:$O$1000)=$C249)*(Main!S$9:S$1000) ) +  ( SUMPRODUCT( ((Adders!$D$13:$D$101)=$E249)*((Adders!$E$13:$E$101)=$F249)*(Adders!H$13:H$101)) + VLOOKUP($H249,Adders!$B$5:$G$8,M$11,FALSE)  +  NJ!$D$2 ) * IF($D249="NJ",1.07,1))/$L$10, CHOOSE($M$10,$L$9,$M$9) )</f>
        <v xml:space="preserve"> 104.67 </v>
      </c>
      <c r="K249" s="174" t="str">
        <f>TEXT(   (SUMPRODUCT( ((Main!$H$9:$H$1000)=$E249)*((Main!$J$9:$J$1000)=$F249)*((Main!$O$9:$O$1000)=$C249)*(Main!T$9:T$1000) ) +  ( SUMPRODUCT( ((Adders!$D$13:$D$101)=$E249)*((Adders!$E$13:$E$101)=$F249)*(Adders!I$13:I$101)) + VLOOKUP($H249,Adders!$B$5:$G$8,N$11,FALSE)  +  NJ!$D$2 ) * IF($D249="NJ",1.07,1))/$L$10, CHOOSE($M$10,$L$9,$M$9) )</f>
        <v xml:space="preserve"> 103.90 </v>
      </c>
      <c r="L249" s="173" t="str">
        <f>TEXT(   (SUMPRODUCT( ((LMPMain!$H$9:$H$1000)=$E249)*((LMPMain!$J$9:$J$1000)=$F249)*((LMPMain!$O$9:$O$1000)=$C249)*(LMPMain!R$9:R$1000) ) +  ( SUMPRODUCT( ((Adders!$D$13:$D$101)=$E249)*((Adders!$E$13:$E$101)=$F249)*(Adders!G$13:G$101)) + VLOOKUP($H249,Adders!$B$5:$G$8,L$11,FALSE)  +  NJ!$D$2 ) * IF($D249="NJ",1.07,1))/$L$10, CHOOSE($M$10,$L$9,$M$9) )</f>
        <v xml:space="preserve"> 64.50 </v>
      </c>
      <c r="M249" s="173" t="str">
        <f>TEXT(   (SUMPRODUCT( ((LMPMain!$H$9:$H$1000)=$E249)*((LMPMain!$J$9:$J$1000)=$F249)*((LMPMain!$O$9:$O$1000)=$C249)*(LMPMain!S$9:S$1000) ) +  ( SUMPRODUCT( ((Adders!$D$13:$D$101)=$E249)*((Adders!$E$13:$E$101)=$F249)*(Adders!H$13:H$101)) + VLOOKUP($H249,Adders!$B$5:$G$8,M$11,FALSE)  +  NJ!$D$2 ) * IF($D249="NJ",1.07,1))/$L$10, CHOOSE($M$10,$L$9,$M$9) )</f>
        <v xml:space="preserve"> 65.74 </v>
      </c>
      <c r="N249" s="174" t="str">
        <f>TEXT(   (SUMPRODUCT( ((LMPMain!$H$9:$H$1000)=$E249)*((LMPMain!$J$9:$J$1000)=$F249)*((LMPMain!$O$9:$O$1000)=$C249)*(LMPMain!T$9:T$1000) ) +  ( SUMPRODUCT( ((Adders!$D$13:$D$101)=$E249)*((Adders!$E$13:$E$101)=$F249)*(Adders!I$13:I$101)) + VLOOKUP($H249,Adders!$B$5:$G$8,N$11,FALSE)  +  NJ!$D$2 ) * IF($D249="NJ",1.07,1))/$L$10, CHOOSE($M$10,$L$9,$M$9) )</f>
        <v xml:space="preserve"> 65.42 </v>
      </c>
      <c r="O249" s="112"/>
    </row>
    <row r="250" spans="2:15" x14ac:dyDescent="0.25">
      <c r="B250" s="108"/>
      <c r="C250" s="135">
        <f t="shared" si="7"/>
        <v>42339</v>
      </c>
      <c r="D250" s="136" t="s">
        <v>31</v>
      </c>
      <c r="E250" s="137" t="s">
        <v>36</v>
      </c>
      <c r="F250" s="136" t="s">
        <v>38</v>
      </c>
      <c r="G250" s="137" t="str">
        <f t="shared" si="8"/>
        <v>Large P&amp;L</v>
      </c>
      <c r="H250" s="138" t="s">
        <v>690</v>
      </c>
      <c r="I250" s="176" t="str">
        <f>TEXT(   (SUMPRODUCT( ((Main!$H$9:$H$1000)=$E250)*((Main!$J$9:$J$1000)=$F250)*((Main!$O$9:$O$1000)=$C250)*(Main!R$9:R$1000) ) +  ( SUMPRODUCT( ((Adders!$D$13:$D$101)=$E250)*((Adders!$E$13:$E$101)=$F250)*(Adders!G$13:G$101)) + VLOOKUP($H250,Adders!$B$5:$G$8,L$11,FALSE)  +  NJ!$D$2 ) * IF($D250="NJ",1.07,1))/$L$10, CHOOSE($M$10,$L$9,$M$9) )</f>
        <v xml:space="preserve"> 101.70 </v>
      </c>
      <c r="J250" s="176" t="str">
        <f>TEXT(   (SUMPRODUCT( ((Main!$H$9:$H$1000)=$E250)*((Main!$J$9:$J$1000)=$F250)*((Main!$O$9:$O$1000)=$C250)*(Main!S$9:S$1000) ) +  ( SUMPRODUCT( ((Adders!$D$13:$D$101)=$E250)*((Adders!$E$13:$E$101)=$F250)*(Adders!H$13:H$101)) + VLOOKUP($H250,Adders!$B$5:$G$8,M$11,FALSE)  +  NJ!$D$2 ) * IF($D250="NJ",1.07,1))/$L$10, CHOOSE($M$10,$L$9,$M$9) )</f>
        <v xml:space="preserve"> 103.55 </v>
      </c>
      <c r="K250" s="177" t="str">
        <f>TEXT(   (SUMPRODUCT( ((Main!$H$9:$H$1000)=$E250)*((Main!$J$9:$J$1000)=$F250)*((Main!$O$9:$O$1000)=$C250)*(Main!T$9:T$1000) ) +  ( SUMPRODUCT( ((Adders!$D$13:$D$101)=$E250)*((Adders!$E$13:$E$101)=$F250)*(Adders!I$13:I$101)) + VLOOKUP($H250,Adders!$B$5:$G$8,N$11,FALSE)  +  NJ!$D$2 ) * IF($D250="NJ",1.07,1))/$L$10, CHOOSE($M$10,$L$9,$M$9) )</f>
        <v xml:space="preserve"> 102.78 </v>
      </c>
      <c r="L250" s="176" t="str">
        <f>TEXT(   (SUMPRODUCT( ((LMPMain!$H$9:$H$1000)=$E250)*((LMPMain!$J$9:$J$1000)=$F250)*((LMPMain!$O$9:$O$1000)=$C250)*(LMPMain!R$9:R$1000) ) +  ( SUMPRODUCT( ((Adders!$D$13:$D$101)=$E250)*((Adders!$E$13:$E$101)=$F250)*(Adders!G$13:G$101)) + VLOOKUP($H250,Adders!$B$5:$G$8,L$11,FALSE)  +  NJ!$D$2 ) * IF($D250="NJ",1.07,1))/$L$10, CHOOSE($M$10,$L$9,$M$9) )</f>
        <v xml:space="preserve"> 63.38 </v>
      </c>
      <c r="M250" s="176" t="str">
        <f>TEXT(   (SUMPRODUCT( ((LMPMain!$H$9:$H$1000)=$E250)*((LMPMain!$J$9:$J$1000)=$F250)*((LMPMain!$O$9:$O$1000)=$C250)*(LMPMain!S$9:S$1000) ) +  ( SUMPRODUCT( ((Adders!$D$13:$D$101)=$E250)*((Adders!$E$13:$E$101)=$F250)*(Adders!H$13:H$101)) + VLOOKUP($H250,Adders!$B$5:$G$8,M$11,FALSE)  +  NJ!$D$2 ) * IF($D250="NJ",1.07,1))/$L$10, CHOOSE($M$10,$L$9,$M$9) )</f>
        <v xml:space="preserve"> 64.61 </v>
      </c>
      <c r="N250" s="177" t="str">
        <f>TEXT(   (SUMPRODUCT( ((LMPMain!$H$9:$H$1000)=$E250)*((LMPMain!$J$9:$J$1000)=$F250)*((LMPMain!$O$9:$O$1000)=$C250)*(LMPMain!T$9:T$1000) ) +  ( SUMPRODUCT( ((Adders!$D$13:$D$101)=$E250)*((Adders!$E$13:$E$101)=$F250)*(Adders!I$13:I$101)) + VLOOKUP($H250,Adders!$B$5:$G$8,N$11,FALSE)  +  NJ!$D$2 ) * IF($D250="NJ",1.07,1))/$L$10, CHOOSE($M$10,$L$9,$M$9) )</f>
        <v xml:space="preserve"> 64.29 </v>
      </c>
      <c r="O250" s="112"/>
    </row>
    <row r="251" spans="2:15" x14ac:dyDescent="0.25">
      <c r="B251" s="108"/>
      <c r="C251" s="127">
        <f t="shared" si="7"/>
        <v>42370</v>
      </c>
      <c r="D251" s="128" t="s">
        <v>31</v>
      </c>
      <c r="E251" s="129" t="s">
        <v>36</v>
      </c>
      <c r="F251" s="128" t="s">
        <v>38</v>
      </c>
      <c r="G251" s="129" t="str">
        <f t="shared" si="8"/>
        <v>Large P&amp;L</v>
      </c>
      <c r="H251" s="130" t="s">
        <v>61</v>
      </c>
      <c r="I251" s="178" t="str">
        <f>TEXT(   (SUMPRODUCT( ((Main!$H$9:$H$1000)=$E251)*((Main!$J$9:$J$1000)=$F251)*((Main!$O$9:$O$1000)=$C251)*(Main!R$9:R$1000) ) +  ( SUMPRODUCT( ((Adders!$D$13:$D$101)=$E251)*((Adders!$E$13:$E$101)=$F251)*(Adders!G$13:G$101)) + VLOOKUP($H251,Adders!$B$5:$G$8,L$11,FALSE)  +  NJ!$D$2 ) * IF($D251="NJ",1.07,1))/$L$10, CHOOSE($M$10,$L$9,$M$9) )</f>
        <v xml:space="preserve"> 104.67 </v>
      </c>
      <c r="J251" s="178" t="str">
        <f>TEXT(   (SUMPRODUCT( ((Main!$H$9:$H$1000)=$E251)*((Main!$J$9:$J$1000)=$F251)*((Main!$O$9:$O$1000)=$C251)*(Main!S$9:S$1000) ) +  ( SUMPRODUCT( ((Adders!$D$13:$D$101)=$E251)*((Adders!$E$13:$E$101)=$F251)*(Adders!H$13:H$101)) + VLOOKUP($H251,Adders!$B$5:$G$8,M$11,FALSE)  +  NJ!$D$2 ) * IF($D251="NJ",1.07,1))/$L$10, CHOOSE($M$10,$L$9,$M$9) )</f>
        <v xml:space="preserve"> 106.29 </v>
      </c>
      <c r="K251" s="179" t="str">
        <f>TEXT(   (SUMPRODUCT( ((Main!$H$9:$H$1000)=$E251)*((Main!$J$9:$J$1000)=$F251)*((Main!$O$9:$O$1000)=$C251)*(Main!T$9:T$1000) ) +  ( SUMPRODUCT( ((Adders!$D$13:$D$101)=$E251)*((Adders!$E$13:$E$101)=$F251)*(Adders!I$13:I$101)) + VLOOKUP($H251,Adders!$B$5:$G$8,N$11,FALSE)  +  NJ!$D$2 ) * IF($D251="NJ",1.07,1))/$L$10, CHOOSE($M$10,$L$9,$M$9) )</f>
        <v xml:space="preserve"> 105.73 </v>
      </c>
      <c r="L251" s="178" t="str">
        <f>TEXT(   (SUMPRODUCT( ((LMPMain!$H$9:$H$1000)=$E251)*((LMPMain!$J$9:$J$1000)=$F251)*((LMPMain!$O$9:$O$1000)=$C251)*(LMPMain!R$9:R$1000) ) +  ( SUMPRODUCT( ((Adders!$D$13:$D$101)=$E251)*((Adders!$E$13:$E$101)=$F251)*(Adders!G$13:G$101)) + VLOOKUP($H251,Adders!$B$5:$G$8,L$11,FALSE)  +  NJ!$D$2 ) * IF($D251="NJ",1.07,1))/$L$10, CHOOSE($M$10,$L$9,$M$9) )</f>
        <v xml:space="preserve"> 66.54 </v>
      </c>
      <c r="M251" s="178" t="str">
        <f>TEXT(   (SUMPRODUCT( ((LMPMain!$H$9:$H$1000)=$E251)*((LMPMain!$J$9:$J$1000)=$F251)*((LMPMain!$O$9:$O$1000)=$C251)*(LMPMain!S$9:S$1000) ) +  ( SUMPRODUCT( ((Adders!$D$13:$D$101)=$E251)*((Adders!$E$13:$E$101)=$F251)*(Adders!H$13:H$101)) + VLOOKUP($H251,Adders!$B$5:$G$8,M$11,FALSE)  +  NJ!$D$2 ) * IF($D251="NJ",1.07,1))/$L$10, CHOOSE($M$10,$L$9,$M$9) )</f>
        <v xml:space="preserve"> 67.33 </v>
      </c>
      <c r="N251" s="179" t="str">
        <f>TEXT(   (SUMPRODUCT( ((LMPMain!$H$9:$H$1000)=$E251)*((LMPMain!$J$9:$J$1000)=$F251)*((LMPMain!$O$9:$O$1000)=$C251)*(LMPMain!T$9:T$1000) ) +  ( SUMPRODUCT( ((Adders!$D$13:$D$101)=$E251)*((Adders!$E$13:$E$101)=$F251)*(Adders!I$13:I$101)) + VLOOKUP($H251,Adders!$B$5:$G$8,N$11,FALSE)  +  NJ!$D$2 ) * IF($D251="NJ",1.07,1))/$L$10, CHOOSE($M$10,$L$9,$M$9) )</f>
        <v xml:space="preserve"> 67.35 </v>
      </c>
      <c r="O251" s="112"/>
    </row>
    <row r="252" spans="2:15" x14ac:dyDescent="0.25">
      <c r="B252" s="108"/>
      <c r="C252" s="131">
        <f t="shared" si="7"/>
        <v>42370</v>
      </c>
      <c r="D252" s="132" t="s">
        <v>31</v>
      </c>
      <c r="E252" s="133" t="s">
        <v>36</v>
      </c>
      <c r="F252" s="132" t="s">
        <v>38</v>
      </c>
      <c r="G252" s="133" t="str">
        <f t="shared" si="8"/>
        <v>Large P&amp;L</v>
      </c>
      <c r="H252" s="134" t="s">
        <v>62</v>
      </c>
      <c r="I252" s="173" t="str">
        <f>TEXT(   (SUMPRODUCT( ((Main!$H$9:$H$1000)=$E252)*((Main!$J$9:$J$1000)=$F252)*((Main!$O$9:$O$1000)=$C252)*(Main!R$9:R$1000) ) +  ( SUMPRODUCT( ((Adders!$D$13:$D$101)=$E252)*((Adders!$E$13:$E$101)=$F252)*(Adders!G$13:G$101)) + VLOOKUP($H252,Adders!$B$5:$G$8,L$11,FALSE)  +  NJ!$D$2 ) * IF($D252="NJ",1.07,1))/$L$10, CHOOSE($M$10,$L$9,$M$9) )</f>
        <v xml:space="preserve"> 102.96 </v>
      </c>
      <c r="J252" s="173" t="str">
        <f>TEXT(   (SUMPRODUCT( ((Main!$H$9:$H$1000)=$E252)*((Main!$J$9:$J$1000)=$F252)*((Main!$O$9:$O$1000)=$C252)*(Main!S$9:S$1000) ) +  ( SUMPRODUCT( ((Adders!$D$13:$D$101)=$E252)*((Adders!$E$13:$E$101)=$F252)*(Adders!H$13:H$101)) + VLOOKUP($H252,Adders!$B$5:$G$8,M$11,FALSE)  +  NJ!$D$2 ) * IF($D252="NJ",1.07,1))/$L$10, CHOOSE($M$10,$L$9,$M$9) )</f>
        <v xml:space="preserve"> 104.58 </v>
      </c>
      <c r="K252" s="174" t="str">
        <f>TEXT(   (SUMPRODUCT( ((Main!$H$9:$H$1000)=$E252)*((Main!$J$9:$J$1000)=$F252)*((Main!$O$9:$O$1000)=$C252)*(Main!T$9:T$1000) ) +  ( SUMPRODUCT( ((Adders!$D$13:$D$101)=$E252)*((Adders!$E$13:$E$101)=$F252)*(Adders!I$13:I$101)) + VLOOKUP($H252,Adders!$B$5:$G$8,N$11,FALSE)  +  NJ!$D$2 ) * IF($D252="NJ",1.07,1))/$L$10, CHOOSE($M$10,$L$9,$M$9) )</f>
        <v xml:space="preserve"> 104.02 </v>
      </c>
      <c r="L252" s="173" t="str">
        <f>TEXT(   (SUMPRODUCT( ((LMPMain!$H$9:$H$1000)=$E252)*((LMPMain!$J$9:$J$1000)=$F252)*((LMPMain!$O$9:$O$1000)=$C252)*(LMPMain!R$9:R$1000) ) +  ( SUMPRODUCT( ((Adders!$D$13:$D$101)=$E252)*((Adders!$E$13:$E$101)=$F252)*(Adders!G$13:G$101)) + VLOOKUP($H252,Adders!$B$5:$G$8,L$11,FALSE)  +  NJ!$D$2 ) * IF($D252="NJ",1.07,1))/$L$10, CHOOSE($M$10,$L$9,$M$9) )</f>
        <v xml:space="preserve"> 64.83 </v>
      </c>
      <c r="M252" s="173" t="str">
        <f>TEXT(   (SUMPRODUCT( ((LMPMain!$H$9:$H$1000)=$E252)*((LMPMain!$J$9:$J$1000)=$F252)*((LMPMain!$O$9:$O$1000)=$C252)*(LMPMain!S$9:S$1000) ) +  ( SUMPRODUCT( ((Adders!$D$13:$D$101)=$E252)*((Adders!$E$13:$E$101)=$F252)*(Adders!H$13:H$101)) + VLOOKUP($H252,Adders!$B$5:$G$8,M$11,FALSE)  +  NJ!$D$2 ) * IF($D252="NJ",1.07,1))/$L$10, CHOOSE($M$10,$L$9,$M$9) )</f>
        <v xml:space="preserve"> 65.62 </v>
      </c>
      <c r="N252" s="174" t="str">
        <f>TEXT(   (SUMPRODUCT( ((LMPMain!$H$9:$H$1000)=$E252)*((LMPMain!$J$9:$J$1000)=$F252)*((LMPMain!$O$9:$O$1000)=$C252)*(LMPMain!T$9:T$1000) ) +  ( SUMPRODUCT( ((Adders!$D$13:$D$101)=$E252)*((Adders!$E$13:$E$101)=$F252)*(Adders!I$13:I$101)) + VLOOKUP($H252,Adders!$B$5:$G$8,N$11,FALSE)  +  NJ!$D$2 ) * IF($D252="NJ",1.07,1))/$L$10, CHOOSE($M$10,$L$9,$M$9) )</f>
        <v xml:space="preserve"> 65.63 </v>
      </c>
      <c r="O252" s="112"/>
    </row>
    <row r="253" spans="2:15" x14ac:dyDescent="0.25">
      <c r="B253" s="108"/>
      <c r="C253" s="135">
        <f t="shared" si="7"/>
        <v>42370</v>
      </c>
      <c r="D253" s="136" t="s">
        <v>31</v>
      </c>
      <c r="E253" s="137" t="s">
        <v>36</v>
      </c>
      <c r="F253" s="136" t="s">
        <v>38</v>
      </c>
      <c r="G253" s="137" t="str">
        <f t="shared" si="8"/>
        <v>Large P&amp;L</v>
      </c>
      <c r="H253" s="138" t="s">
        <v>690</v>
      </c>
      <c r="I253" s="176" t="str">
        <f>TEXT(   (SUMPRODUCT( ((Main!$H$9:$H$1000)=$E253)*((Main!$J$9:$J$1000)=$F253)*((Main!$O$9:$O$1000)=$C253)*(Main!R$9:R$1000) ) +  ( SUMPRODUCT( ((Adders!$D$13:$D$101)=$E253)*((Adders!$E$13:$E$101)=$F253)*(Adders!G$13:G$101)) + VLOOKUP($H253,Adders!$B$5:$G$8,L$11,FALSE)  +  NJ!$D$2 ) * IF($D253="NJ",1.07,1))/$L$10, CHOOSE($M$10,$L$9,$M$9) )</f>
        <v xml:space="preserve"> 101.84 </v>
      </c>
      <c r="J253" s="176" t="str">
        <f>TEXT(   (SUMPRODUCT( ((Main!$H$9:$H$1000)=$E253)*((Main!$J$9:$J$1000)=$F253)*((Main!$O$9:$O$1000)=$C253)*(Main!S$9:S$1000) ) +  ( SUMPRODUCT( ((Adders!$D$13:$D$101)=$E253)*((Adders!$E$13:$E$101)=$F253)*(Adders!H$13:H$101)) + VLOOKUP($H253,Adders!$B$5:$G$8,M$11,FALSE)  +  NJ!$D$2 ) * IF($D253="NJ",1.07,1))/$L$10, CHOOSE($M$10,$L$9,$M$9) )</f>
        <v xml:space="preserve"> 103.46 </v>
      </c>
      <c r="K253" s="177" t="str">
        <f>TEXT(   (SUMPRODUCT( ((Main!$H$9:$H$1000)=$E253)*((Main!$J$9:$J$1000)=$F253)*((Main!$O$9:$O$1000)=$C253)*(Main!T$9:T$1000) ) +  ( SUMPRODUCT( ((Adders!$D$13:$D$101)=$E253)*((Adders!$E$13:$E$101)=$F253)*(Adders!I$13:I$101)) + VLOOKUP($H253,Adders!$B$5:$G$8,N$11,FALSE)  +  NJ!$D$2 ) * IF($D253="NJ",1.07,1))/$L$10, CHOOSE($M$10,$L$9,$M$9) )</f>
        <v xml:space="preserve"> 102.90 </v>
      </c>
      <c r="L253" s="176" t="str">
        <f>TEXT(   (SUMPRODUCT( ((LMPMain!$H$9:$H$1000)=$E253)*((LMPMain!$J$9:$J$1000)=$F253)*((LMPMain!$O$9:$O$1000)=$C253)*(LMPMain!R$9:R$1000) ) +  ( SUMPRODUCT( ((Adders!$D$13:$D$101)=$E253)*((Adders!$E$13:$E$101)=$F253)*(Adders!G$13:G$101)) + VLOOKUP($H253,Adders!$B$5:$G$8,L$11,FALSE)  +  NJ!$D$2 ) * IF($D253="NJ",1.07,1))/$L$10, CHOOSE($M$10,$L$9,$M$9) )</f>
        <v xml:space="preserve"> 63.70 </v>
      </c>
      <c r="M253" s="176" t="str">
        <f>TEXT(   (SUMPRODUCT( ((LMPMain!$H$9:$H$1000)=$E253)*((LMPMain!$J$9:$J$1000)=$F253)*((LMPMain!$O$9:$O$1000)=$C253)*(LMPMain!S$9:S$1000) ) +  ( SUMPRODUCT( ((Adders!$D$13:$D$101)=$E253)*((Adders!$E$13:$E$101)=$F253)*(Adders!H$13:H$101)) + VLOOKUP($H253,Adders!$B$5:$G$8,M$11,FALSE)  +  NJ!$D$2 ) * IF($D253="NJ",1.07,1))/$L$10, CHOOSE($M$10,$L$9,$M$9) )</f>
        <v xml:space="preserve"> 64.50 </v>
      </c>
      <c r="N253" s="177" t="str">
        <f>TEXT(   (SUMPRODUCT( ((LMPMain!$H$9:$H$1000)=$E253)*((LMPMain!$J$9:$J$1000)=$F253)*((LMPMain!$O$9:$O$1000)=$C253)*(LMPMain!T$9:T$1000) ) +  ( SUMPRODUCT( ((Adders!$D$13:$D$101)=$E253)*((Adders!$E$13:$E$101)=$F253)*(Adders!I$13:I$101)) + VLOOKUP($H253,Adders!$B$5:$G$8,N$11,FALSE)  +  NJ!$D$2 ) * IF($D253="NJ",1.07,1))/$L$10, CHOOSE($M$10,$L$9,$M$9) )</f>
        <v xml:space="preserve"> 64.51 </v>
      </c>
      <c r="O253" s="112"/>
    </row>
    <row r="254" spans="2:15" x14ac:dyDescent="0.25">
      <c r="B254" s="108"/>
      <c r="C254" s="127">
        <f t="shared" si="7"/>
        <v>42401</v>
      </c>
      <c r="D254" s="128" t="s">
        <v>31</v>
      </c>
      <c r="E254" s="129" t="s">
        <v>36</v>
      </c>
      <c r="F254" s="128" t="s">
        <v>38</v>
      </c>
      <c r="G254" s="129" t="str">
        <f t="shared" si="8"/>
        <v>Large P&amp;L</v>
      </c>
      <c r="H254" s="130" t="s">
        <v>61</v>
      </c>
      <c r="I254" s="178" t="str">
        <f>TEXT(   (SUMPRODUCT( ((Main!$H$9:$H$1000)=$E254)*((Main!$J$9:$J$1000)=$F254)*((Main!$O$9:$O$1000)=$C254)*(Main!R$9:R$1000) ) +  ( SUMPRODUCT( ((Adders!$D$13:$D$101)=$E254)*((Adders!$E$13:$E$101)=$F254)*(Adders!G$13:G$101)) + VLOOKUP($H254,Adders!$B$5:$G$8,L$11,FALSE)  +  NJ!$D$2 ) * IF($D254="NJ",1.07,1))/$L$10, CHOOSE($M$10,$L$9,$M$9) )</f>
        <v xml:space="preserve"> 104.86 </v>
      </c>
      <c r="J254" s="178" t="str">
        <f>TEXT(   (SUMPRODUCT( ((Main!$H$9:$H$1000)=$E254)*((Main!$J$9:$J$1000)=$F254)*((Main!$O$9:$O$1000)=$C254)*(Main!S$9:S$1000) ) +  ( SUMPRODUCT( ((Adders!$D$13:$D$101)=$E254)*((Adders!$E$13:$E$101)=$F254)*(Adders!H$13:H$101)) + VLOOKUP($H254,Adders!$B$5:$G$8,M$11,FALSE)  +  NJ!$D$2 ) * IF($D254="NJ",1.07,1))/$L$10, CHOOSE($M$10,$L$9,$M$9) )</f>
        <v xml:space="preserve"> 105.52 </v>
      </c>
      <c r="K254" s="179" t="str">
        <f>TEXT(   (SUMPRODUCT( ((Main!$H$9:$H$1000)=$E254)*((Main!$J$9:$J$1000)=$F254)*((Main!$O$9:$O$1000)=$C254)*(Main!T$9:T$1000) ) +  ( SUMPRODUCT( ((Adders!$D$13:$D$101)=$E254)*((Adders!$E$13:$E$101)=$F254)*(Adders!I$13:I$101)) + VLOOKUP($H254,Adders!$B$5:$G$8,N$11,FALSE)  +  NJ!$D$2 ) * IF($D254="NJ",1.07,1))/$L$10, CHOOSE($M$10,$L$9,$M$9) )</f>
        <v xml:space="preserve"> 106.03 </v>
      </c>
      <c r="L254" s="178" t="str">
        <f>TEXT(   (SUMPRODUCT( ((LMPMain!$H$9:$H$1000)=$E254)*((LMPMain!$J$9:$J$1000)=$F254)*((LMPMain!$O$9:$O$1000)=$C254)*(LMPMain!R$9:R$1000) ) +  ( SUMPRODUCT( ((Adders!$D$13:$D$101)=$E254)*((Adders!$E$13:$E$101)=$F254)*(Adders!G$13:G$101)) + VLOOKUP($H254,Adders!$B$5:$G$8,L$11,FALSE)  +  NJ!$D$2 ) * IF($D254="NJ",1.07,1))/$L$10, CHOOSE($M$10,$L$9,$M$9) )</f>
        <v xml:space="preserve"> 66.68 </v>
      </c>
      <c r="M254" s="178" t="str">
        <f>TEXT(   (SUMPRODUCT( ((LMPMain!$H$9:$H$1000)=$E254)*((LMPMain!$J$9:$J$1000)=$F254)*((LMPMain!$O$9:$O$1000)=$C254)*(LMPMain!S$9:S$1000) ) +  ( SUMPRODUCT( ((Adders!$D$13:$D$101)=$E254)*((Adders!$E$13:$E$101)=$F254)*(Adders!H$13:H$101)) + VLOOKUP($H254,Adders!$B$5:$G$8,M$11,FALSE)  +  NJ!$D$2 ) * IF($D254="NJ",1.07,1))/$L$10, CHOOSE($M$10,$L$9,$M$9) )</f>
        <v xml:space="preserve"> 66.90 </v>
      </c>
      <c r="N254" s="179" t="str">
        <f>TEXT(   (SUMPRODUCT( ((LMPMain!$H$9:$H$1000)=$E254)*((LMPMain!$J$9:$J$1000)=$F254)*((LMPMain!$O$9:$O$1000)=$C254)*(LMPMain!T$9:T$1000) ) +  ( SUMPRODUCT( ((Adders!$D$13:$D$101)=$E254)*((Adders!$E$13:$E$101)=$F254)*(Adders!I$13:I$101)) + VLOOKUP($H254,Adders!$B$5:$G$8,N$11,FALSE)  +  NJ!$D$2 ) * IF($D254="NJ",1.07,1))/$L$10, CHOOSE($M$10,$L$9,$M$9) )</f>
        <v xml:space="preserve"> 67.47 </v>
      </c>
      <c r="O254" s="112"/>
    </row>
    <row r="255" spans="2:15" x14ac:dyDescent="0.25">
      <c r="B255" s="108"/>
      <c r="C255" s="131">
        <f t="shared" si="7"/>
        <v>42401</v>
      </c>
      <c r="D255" s="132" t="s">
        <v>31</v>
      </c>
      <c r="E255" s="133" t="s">
        <v>36</v>
      </c>
      <c r="F255" s="132" t="s">
        <v>38</v>
      </c>
      <c r="G255" s="133" t="str">
        <f t="shared" si="8"/>
        <v>Large P&amp;L</v>
      </c>
      <c r="H255" s="134" t="s">
        <v>62</v>
      </c>
      <c r="I255" s="173" t="str">
        <f>TEXT(   (SUMPRODUCT( ((Main!$H$9:$H$1000)=$E255)*((Main!$J$9:$J$1000)=$F255)*((Main!$O$9:$O$1000)=$C255)*(Main!R$9:R$1000) ) +  ( SUMPRODUCT( ((Adders!$D$13:$D$101)=$E255)*((Adders!$E$13:$E$101)=$F255)*(Adders!G$13:G$101)) + VLOOKUP($H255,Adders!$B$5:$G$8,L$11,FALSE)  +  NJ!$D$2 ) * IF($D255="NJ",1.07,1))/$L$10, CHOOSE($M$10,$L$9,$M$9) )</f>
        <v xml:space="preserve"> 103.15 </v>
      </c>
      <c r="J255" s="173" t="str">
        <f>TEXT(   (SUMPRODUCT( ((Main!$H$9:$H$1000)=$E255)*((Main!$J$9:$J$1000)=$F255)*((Main!$O$9:$O$1000)=$C255)*(Main!S$9:S$1000) ) +  ( SUMPRODUCT( ((Adders!$D$13:$D$101)=$E255)*((Adders!$E$13:$E$101)=$F255)*(Adders!H$13:H$101)) + VLOOKUP($H255,Adders!$B$5:$G$8,M$11,FALSE)  +  NJ!$D$2 ) * IF($D255="NJ",1.07,1))/$L$10, CHOOSE($M$10,$L$9,$M$9) )</f>
        <v xml:space="preserve"> 103.81 </v>
      </c>
      <c r="K255" s="174" t="str">
        <f>TEXT(   (SUMPRODUCT( ((Main!$H$9:$H$1000)=$E255)*((Main!$J$9:$J$1000)=$F255)*((Main!$O$9:$O$1000)=$C255)*(Main!T$9:T$1000) ) +  ( SUMPRODUCT( ((Adders!$D$13:$D$101)=$E255)*((Adders!$E$13:$E$101)=$F255)*(Adders!I$13:I$101)) + VLOOKUP($H255,Adders!$B$5:$G$8,N$11,FALSE)  +  NJ!$D$2 ) * IF($D255="NJ",1.07,1))/$L$10, CHOOSE($M$10,$L$9,$M$9) )</f>
        <v xml:space="preserve"> 104.32 </v>
      </c>
      <c r="L255" s="173" t="str">
        <f>TEXT(   (SUMPRODUCT( ((LMPMain!$H$9:$H$1000)=$E255)*((LMPMain!$J$9:$J$1000)=$F255)*((LMPMain!$O$9:$O$1000)=$C255)*(LMPMain!R$9:R$1000) ) +  ( SUMPRODUCT( ((Adders!$D$13:$D$101)=$E255)*((Adders!$E$13:$E$101)=$F255)*(Adders!G$13:G$101)) + VLOOKUP($H255,Adders!$B$5:$G$8,L$11,FALSE)  +  NJ!$D$2 ) * IF($D255="NJ",1.07,1))/$L$10, CHOOSE($M$10,$L$9,$M$9) )</f>
        <v xml:space="preserve"> 64.97 </v>
      </c>
      <c r="M255" s="173" t="str">
        <f>TEXT(   (SUMPRODUCT( ((LMPMain!$H$9:$H$1000)=$E255)*((LMPMain!$J$9:$J$1000)=$F255)*((LMPMain!$O$9:$O$1000)=$C255)*(LMPMain!S$9:S$1000) ) +  ( SUMPRODUCT( ((Adders!$D$13:$D$101)=$E255)*((Adders!$E$13:$E$101)=$F255)*(Adders!H$13:H$101)) + VLOOKUP($H255,Adders!$B$5:$G$8,M$11,FALSE)  +  NJ!$D$2 ) * IF($D255="NJ",1.07,1))/$L$10, CHOOSE($M$10,$L$9,$M$9) )</f>
        <v xml:space="preserve"> 65.18 </v>
      </c>
      <c r="N255" s="174" t="str">
        <f>TEXT(   (SUMPRODUCT( ((LMPMain!$H$9:$H$1000)=$E255)*((LMPMain!$J$9:$J$1000)=$F255)*((LMPMain!$O$9:$O$1000)=$C255)*(LMPMain!T$9:T$1000) ) +  ( SUMPRODUCT( ((Adders!$D$13:$D$101)=$E255)*((Adders!$E$13:$E$101)=$F255)*(Adders!I$13:I$101)) + VLOOKUP($H255,Adders!$B$5:$G$8,N$11,FALSE)  +  NJ!$D$2 ) * IF($D255="NJ",1.07,1))/$L$10, CHOOSE($M$10,$L$9,$M$9) )</f>
        <v xml:space="preserve"> 65.75 </v>
      </c>
      <c r="O255" s="112"/>
    </row>
    <row r="256" spans="2:15" x14ac:dyDescent="0.25">
      <c r="B256" s="108"/>
      <c r="C256" s="135">
        <f t="shared" si="7"/>
        <v>42401</v>
      </c>
      <c r="D256" s="136" t="s">
        <v>31</v>
      </c>
      <c r="E256" s="137" t="s">
        <v>36</v>
      </c>
      <c r="F256" s="136" t="s">
        <v>38</v>
      </c>
      <c r="G256" s="137" t="str">
        <f t="shared" si="8"/>
        <v>Large P&amp;L</v>
      </c>
      <c r="H256" s="138" t="s">
        <v>690</v>
      </c>
      <c r="I256" s="176" t="str">
        <f>TEXT(   (SUMPRODUCT( ((Main!$H$9:$H$1000)=$E256)*((Main!$J$9:$J$1000)=$F256)*((Main!$O$9:$O$1000)=$C256)*(Main!R$9:R$1000) ) +  ( SUMPRODUCT( ((Adders!$D$13:$D$101)=$E256)*((Adders!$E$13:$E$101)=$F256)*(Adders!G$13:G$101)) + VLOOKUP($H256,Adders!$B$5:$G$8,L$11,FALSE)  +  NJ!$D$2 ) * IF($D256="NJ",1.07,1))/$L$10, CHOOSE($M$10,$L$9,$M$9) )</f>
        <v xml:space="preserve"> 102.03 </v>
      </c>
      <c r="J256" s="176" t="str">
        <f>TEXT(   (SUMPRODUCT( ((Main!$H$9:$H$1000)=$E256)*((Main!$J$9:$J$1000)=$F256)*((Main!$O$9:$O$1000)=$C256)*(Main!S$9:S$1000) ) +  ( SUMPRODUCT( ((Adders!$D$13:$D$101)=$E256)*((Adders!$E$13:$E$101)=$F256)*(Adders!H$13:H$101)) + VLOOKUP($H256,Adders!$B$5:$G$8,M$11,FALSE)  +  NJ!$D$2 ) * IF($D256="NJ",1.07,1))/$L$10, CHOOSE($M$10,$L$9,$M$9) )</f>
        <v xml:space="preserve"> 102.69 </v>
      </c>
      <c r="K256" s="177" t="str">
        <f>TEXT(   (SUMPRODUCT( ((Main!$H$9:$H$1000)=$E256)*((Main!$J$9:$J$1000)=$F256)*((Main!$O$9:$O$1000)=$C256)*(Main!T$9:T$1000) ) +  ( SUMPRODUCT( ((Adders!$D$13:$D$101)=$E256)*((Adders!$E$13:$E$101)=$F256)*(Adders!I$13:I$101)) + VLOOKUP($H256,Adders!$B$5:$G$8,N$11,FALSE)  +  NJ!$D$2 ) * IF($D256="NJ",1.07,1))/$L$10, CHOOSE($M$10,$L$9,$M$9) )</f>
        <v xml:space="preserve"> 103.20 </v>
      </c>
      <c r="L256" s="176" t="str">
        <f>TEXT(   (SUMPRODUCT( ((LMPMain!$H$9:$H$1000)=$E256)*((LMPMain!$J$9:$J$1000)=$F256)*((LMPMain!$O$9:$O$1000)=$C256)*(LMPMain!R$9:R$1000) ) +  ( SUMPRODUCT( ((Adders!$D$13:$D$101)=$E256)*((Adders!$E$13:$E$101)=$F256)*(Adders!G$13:G$101)) + VLOOKUP($H256,Adders!$B$5:$G$8,L$11,FALSE)  +  NJ!$D$2 ) * IF($D256="NJ",1.07,1))/$L$10, CHOOSE($M$10,$L$9,$M$9) )</f>
        <v xml:space="preserve"> 63.85 </v>
      </c>
      <c r="M256" s="176" t="str">
        <f>TEXT(   (SUMPRODUCT( ((LMPMain!$H$9:$H$1000)=$E256)*((LMPMain!$J$9:$J$1000)=$F256)*((LMPMain!$O$9:$O$1000)=$C256)*(LMPMain!S$9:S$1000) ) +  ( SUMPRODUCT( ((Adders!$D$13:$D$101)=$E256)*((Adders!$E$13:$E$101)=$F256)*(Adders!H$13:H$101)) + VLOOKUP($H256,Adders!$B$5:$G$8,M$11,FALSE)  +  NJ!$D$2 ) * IF($D256="NJ",1.07,1))/$L$10, CHOOSE($M$10,$L$9,$M$9) )</f>
        <v xml:space="preserve"> 64.06 </v>
      </c>
      <c r="N256" s="177" t="str">
        <f>TEXT(   (SUMPRODUCT( ((LMPMain!$H$9:$H$1000)=$E256)*((LMPMain!$J$9:$J$1000)=$F256)*((LMPMain!$O$9:$O$1000)=$C256)*(LMPMain!T$9:T$1000) ) +  ( SUMPRODUCT( ((Adders!$D$13:$D$101)=$E256)*((Adders!$E$13:$E$101)=$F256)*(Adders!I$13:I$101)) + VLOOKUP($H256,Adders!$B$5:$G$8,N$11,FALSE)  +  NJ!$D$2 ) * IF($D256="NJ",1.07,1))/$L$10, CHOOSE($M$10,$L$9,$M$9) )</f>
        <v xml:space="preserve"> 64.63 </v>
      </c>
      <c r="O256" s="112"/>
    </row>
    <row r="257" spans="2:15" x14ac:dyDescent="0.25">
      <c r="B257" s="108"/>
      <c r="C257" s="127">
        <f t="shared" si="7"/>
        <v>42430</v>
      </c>
      <c r="D257" s="128" t="s">
        <v>31</v>
      </c>
      <c r="E257" s="129" t="s">
        <v>36</v>
      </c>
      <c r="F257" s="128" t="s">
        <v>38</v>
      </c>
      <c r="G257" s="129" t="str">
        <f t="shared" si="8"/>
        <v>Large P&amp;L</v>
      </c>
      <c r="H257" s="130" t="s">
        <v>61</v>
      </c>
      <c r="I257" s="178" t="str">
        <f>TEXT(   (SUMPRODUCT( ((Main!$H$9:$H$1000)=$E257)*((Main!$J$9:$J$1000)=$F257)*((Main!$O$9:$O$1000)=$C257)*(Main!R$9:R$1000) ) +  ( SUMPRODUCT( ((Adders!$D$13:$D$101)=$E257)*((Adders!$E$13:$E$101)=$F257)*(Adders!G$13:G$101)) + VLOOKUP($H257,Adders!$B$5:$G$8,L$11,FALSE)  +  NJ!$D$2 ) * IF($D257="NJ",1.07,1))/$L$10, CHOOSE($M$10,$L$9,$M$9) )</f>
        <v xml:space="preserve"> 105.03 </v>
      </c>
      <c r="J257" s="178" t="str">
        <f>TEXT(   (SUMPRODUCT( ((Main!$H$9:$H$1000)=$E257)*((Main!$J$9:$J$1000)=$F257)*((Main!$O$9:$O$1000)=$C257)*(Main!S$9:S$1000) ) +  ( SUMPRODUCT( ((Adders!$D$13:$D$101)=$E257)*((Adders!$E$13:$E$101)=$F257)*(Adders!H$13:H$101)) + VLOOKUP($H257,Adders!$B$5:$G$8,M$11,FALSE)  +  NJ!$D$2 ) * IF($D257="NJ",1.07,1))/$L$10, CHOOSE($M$10,$L$9,$M$9) )</f>
        <v xml:space="preserve"> 104.87 </v>
      </c>
      <c r="K257" s="179" t="str">
        <f>TEXT(   (SUMPRODUCT( ((Main!$H$9:$H$1000)=$E257)*((Main!$J$9:$J$1000)=$F257)*((Main!$O$9:$O$1000)=$C257)*(Main!T$9:T$1000) ) +  ( SUMPRODUCT( ((Adders!$D$13:$D$101)=$E257)*((Adders!$E$13:$E$101)=$F257)*(Adders!I$13:I$101)) + VLOOKUP($H257,Adders!$B$5:$G$8,N$11,FALSE)  +  NJ!$D$2 ) * IF($D257="NJ",1.07,1))/$L$10, CHOOSE($M$10,$L$9,$M$9) )</f>
        <v xml:space="preserve"> 106.29 </v>
      </c>
      <c r="L257" s="178" t="str">
        <f>TEXT(   (SUMPRODUCT( ((LMPMain!$H$9:$H$1000)=$E257)*((LMPMain!$J$9:$J$1000)=$F257)*((LMPMain!$O$9:$O$1000)=$C257)*(LMPMain!R$9:R$1000) ) +  ( SUMPRODUCT( ((Adders!$D$13:$D$101)=$E257)*((Adders!$E$13:$E$101)=$F257)*(Adders!G$13:G$101)) + VLOOKUP($H257,Adders!$B$5:$G$8,L$11,FALSE)  +  NJ!$D$2 ) * IF($D257="NJ",1.07,1))/$L$10, CHOOSE($M$10,$L$9,$M$9) )</f>
        <v xml:space="preserve"> 66.89 </v>
      </c>
      <c r="M257" s="178" t="str">
        <f>TEXT(   (SUMPRODUCT( ((LMPMain!$H$9:$H$1000)=$E257)*((LMPMain!$J$9:$J$1000)=$F257)*((LMPMain!$O$9:$O$1000)=$C257)*(LMPMain!S$9:S$1000) ) +  ( SUMPRODUCT( ((Adders!$D$13:$D$101)=$E257)*((Adders!$E$13:$E$101)=$F257)*(Adders!H$13:H$101)) + VLOOKUP($H257,Adders!$B$5:$G$8,M$11,FALSE)  +  NJ!$D$2 ) * IF($D257="NJ",1.07,1))/$L$10, CHOOSE($M$10,$L$9,$M$9) )</f>
        <v xml:space="preserve"> 66.56 </v>
      </c>
      <c r="N257" s="179" t="str">
        <f>TEXT(   (SUMPRODUCT( ((LMPMain!$H$9:$H$1000)=$E257)*((LMPMain!$J$9:$J$1000)=$F257)*((LMPMain!$O$9:$O$1000)=$C257)*(LMPMain!T$9:T$1000) ) +  ( SUMPRODUCT( ((Adders!$D$13:$D$101)=$E257)*((Adders!$E$13:$E$101)=$F257)*(Adders!I$13:I$101)) + VLOOKUP($H257,Adders!$B$5:$G$8,N$11,FALSE)  +  NJ!$D$2 ) * IF($D257="NJ",1.07,1))/$L$10, CHOOSE($M$10,$L$9,$M$9) )</f>
        <v xml:space="preserve"> 67.63 </v>
      </c>
      <c r="O257" s="112"/>
    </row>
    <row r="258" spans="2:15" x14ac:dyDescent="0.25">
      <c r="B258" s="108"/>
      <c r="C258" s="131">
        <f t="shared" si="7"/>
        <v>42430</v>
      </c>
      <c r="D258" s="132" t="s">
        <v>31</v>
      </c>
      <c r="E258" s="133" t="s">
        <v>36</v>
      </c>
      <c r="F258" s="132" t="s">
        <v>38</v>
      </c>
      <c r="G258" s="133" t="str">
        <f t="shared" si="8"/>
        <v>Large P&amp;L</v>
      </c>
      <c r="H258" s="134" t="s">
        <v>62</v>
      </c>
      <c r="I258" s="173" t="str">
        <f>TEXT(   (SUMPRODUCT( ((Main!$H$9:$H$1000)=$E258)*((Main!$J$9:$J$1000)=$F258)*((Main!$O$9:$O$1000)=$C258)*(Main!R$9:R$1000) ) +  ( SUMPRODUCT( ((Adders!$D$13:$D$101)=$E258)*((Adders!$E$13:$E$101)=$F258)*(Adders!G$13:G$101)) + VLOOKUP($H258,Adders!$B$5:$G$8,L$11,FALSE)  +  NJ!$D$2 ) * IF($D258="NJ",1.07,1))/$L$10, CHOOSE($M$10,$L$9,$M$9) )</f>
        <v xml:space="preserve"> 103.32 </v>
      </c>
      <c r="J258" s="173" t="str">
        <f>TEXT(   (SUMPRODUCT( ((Main!$H$9:$H$1000)=$E258)*((Main!$J$9:$J$1000)=$F258)*((Main!$O$9:$O$1000)=$C258)*(Main!S$9:S$1000) ) +  ( SUMPRODUCT( ((Adders!$D$13:$D$101)=$E258)*((Adders!$E$13:$E$101)=$F258)*(Adders!H$13:H$101)) + VLOOKUP($H258,Adders!$B$5:$G$8,M$11,FALSE)  +  NJ!$D$2 ) * IF($D258="NJ",1.07,1))/$L$10, CHOOSE($M$10,$L$9,$M$9) )</f>
        <v xml:space="preserve"> 103.16 </v>
      </c>
      <c r="K258" s="174" t="str">
        <f>TEXT(   (SUMPRODUCT( ((Main!$H$9:$H$1000)=$E258)*((Main!$J$9:$J$1000)=$F258)*((Main!$O$9:$O$1000)=$C258)*(Main!T$9:T$1000) ) +  ( SUMPRODUCT( ((Adders!$D$13:$D$101)=$E258)*((Adders!$E$13:$E$101)=$F258)*(Adders!I$13:I$101)) + VLOOKUP($H258,Adders!$B$5:$G$8,N$11,FALSE)  +  NJ!$D$2 ) * IF($D258="NJ",1.07,1))/$L$10, CHOOSE($M$10,$L$9,$M$9) )</f>
        <v xml:space="preserve"> 104.58 </v>
      </c>
      <c r="L258" s="173" t="str">
        <f>TEXT(   (SUMPRODUCT( ((LMPMain!$H$9:$H$1000)=$E258)*((LMPMain!$J$9:$J$1000)=$F258)*((LMPMain!$O$9:$O$1000)=$C258)*(LMPMain!R$9:R$1000) ) +  ( SUMPRODUCT( ((Adders!$D$13:$D$101)=$E258)*((Adders!$E$13:$E$101)=$F258)*(Adders!G$13:G$101)) + VLOOKUP($H258,Adders!$B$5:$G$8,L$11,FALSE)  +  NJ!$D$2 ) * IF($D258="NJ",1.07,1))/$L$10, CHOOSE($M$10,$L$9,$M$9) )</f>
        <v xml:space="preserve"> 65.17 </v>
      </c>
      <c r="M258" s="173" t="str">
        <f>TEXT(   (SUMPRODUCT( ((LMPMain!$H$9:$H$1000)=$E258)*((LMPMain!$J$9:$J$1000)=$F258)*((LMPMain!$O$9:$O$1000)=$C258)*(LMPMain!S$9:S$1000) ) +  ( SUMPRODUCT( ((Adders!$D$13:$D$101)=$E258)*((Adders!$E$13:$E$101)=$F258)*(Adders!H$13:H$101)) + VLOOKUP($H258,Adders!$B$5:$G$8,M$11,FALSE)  +  NJ!$D$2 ) * IF($D258="NJ",1.07,1))/$L$10, CHOOSE($M$10,$L$9,$M$9) )</f>
        <v xml:space="preserve"> 64.84 </v>
      </c>
      <c r="N258" s="174" t="str">
        <f>TEXT(   (SUMPRODUCT( ((LMPMain!$H$9:$H$1000)=$E258)*((LMPMain!$J$9:$J$1000)=$F258)*((LMPMain!$O$9:$O$1000)=$C258)*(LMPMain!T$9:T$1000) ) +  ( SUMPRODUCT( ((Adders!$D$13:$D$101)=$E258)*((Adders!$E$13:$E$101)=$F258)*(Adders!I$13:I$101)) + VLOOKUP($H258,Adders!$B$5:$G$8,N$11,FALSE)  +  NJ!$D$2 ) * IF($D258="NJ",1.07,1))/$L$10, CHOOSE($M$10,$L$9,$M$9) )</f>
        <v xml:space="preserve"> 65.92 </v>
      </c>
      <c r="O258" s="112"/>
    </row>
    <row r="259" spans="2:15" x14ac:dyDescent="0.25">
      <c r="B259" s="108"/>
      <c r="C259" s="135">
        <f t="shared" si="7"/>
        <v>42430</v>
      </c>
      <c r="D259" s="136" t="s">
        <v>31</v>
      </c>
      <c r="E259" s="137" t="s">
        <v>36</v>
      </c>
      <c r="F259" s="136" t="s">
        <v>38</v>
      </c>
      <c r="G259" s="137" t="str">
        <f t="shared" si="8"/>
        <v>Large P&amp;L</v>
      </c>
      <c r="H259" s="138" t="s">
        <v>690</v>
      </c>
      <c r="I259" s="176" t="str">
        <f>TEXT(   (SUMPRODUCT( ((Main!$H$9:$H$1000)=$E259)*((Main!$J$9:$J$1000)=$F259)*((Main!$O$9:$O$1000)=$C259)*(Main!R$9:R$1000) ) +  ( SUMPRODUCT( ((Adders!$D$13:$D$101)=$E259)*((Adders!$E$13:$E$101)=$F259)*(Adders!G$13:G$101)) + VLOOKUP($H259,Adders!$B$5:$G$8,L$11,FALSE)  +  NJ!$D$2 ) * IF($D259="NJ",1.07,1))/$L$10, CHOOSE($M$10,$L$9,$M$9) )</f>
        <v xml:space="preserve"> 102.20 </v>
      </c>
      <c r="J259" s="176" t="str">
        <f>TEXT(   (SUMPRODUCT( ((Main!$H$9:$H$1000)=$E259)*((Main!$J$9:$J$1000)=$F259)*((Main!$O$9:$O$1000)=$C259)*(Main!S$9:S$1000) ) +  ( SUMPRODUCT( ((Adders!$D$13:$D$101)=$E259)*((Adders!$E$13:$E$101)=$F259)*(Adders!H$13:H$101)) + VLOOKUP($H259,Adders!$B$5:$G$8,M$11,FALSE)  +  NJ!$D$2 ) * IF($D259="NJ",1.07,1))/$L$10, CHOOSE($M$10,$L$9,$M$9) )</f>
        <v xml:space="preserve"> 102.04 </v>
      </c>
      <c r="K259" s="177" t="str">
        <f>TEXT(   (SUMPRODUCT( ((Main!$H$9:$H$1000)=$E259)*((Main!$J$9:$J$1000)=$F259)*((Main!$O$9:$O$1000)=$C259)*(Main!T$9:T$1000) ) +  ( SUMPRODUCT( ((Adders!$D$13:$D$101)=$E259)*((Adders!$E$13:$E$101)=$F259)*(Adders!I$13:I$101)) + VLOOKUP($H259,Adders!$B$5:$G$8,N$11,FALSE)  +  NJ!$D$2 ) * IF($D259="NJ",1.07,1))/$L$10, CHOOSE($M$10,$L$9,$M$9) )</f>
        <v xml:space="preserve"> 103.46 </v>
      </c>
      <c r="L259" s="176" t="str">
        <f>TEXT(   (SUMPRODUCT( ((LMPMain!$H$9:$H$1000)=$E259)*((LMPMain!$J$9:$J$1000)=$F259)*((LMPMain!$O$9:$O$1000)=$C259)*(LMPMain!R$9:R$1000) ) +  ( SUMPRODUCT( ((Adders!$D$13:$D$101)=$E259)*((Adders!$E$13:$E$101)=$F259)*(Adders!G$13:G$101)) + VLOOKUP($H259,Adders!$B$5:$G$8,L$11,FALSE)  +  NJ!$D$2 ) * IF($D259="NJ",1.07,1))/$L$10, CHOOSE($M$10,$L$9,$M$9) )</f>
        <v xml:space="preserve"> 64.05 </v>
      </c>
      <c r="M259" s="176" t="str">
        <f>TEXT(   (SUMPRODUCT( ((LMPMain!$H$9:$H$1000)=$E259)*((LMPMain!$J$9:$J$1000)=$F259)*((LMPMain!$O$9:$O$1000)=$C259)*(LMPMain!S$9:S$1000) ) +  ( SUMPRODUCT( ((Adders!$D$13:$D$101)=$E259)*((Adders!$E$13:$E$101)=$F259)*(Adders!H$13:H$101)) + VLOOKUP($H259,Adders!$B$5:$G$8,M$11,FALSE)  +  NJ!$D$2 ) * IF($D259="NJ",1.07,1))/$L$10, CHOOSE($M$10,$L$9,$M$9) )</f>
        <v xml:space="preserve"> 63.72 </v>
      </c>
      <c r="N259" s="177" t="str">
        <f>TEXT(   (SUMPRODUCT( ((LMPMain!$H$9:$H$1000)=$E259)*((LMPMain!$J$9:$J$1000)=$F259)*((LMPMain!$O$9:$O$1000)=$C259)*(LMPMain!T$9:T$1000) ) +  ( SUMPRODUCT( ((Adders!$D$13:$D$101)=$E259)*((Adders!$E$13:$E$101)=$F259)*(Adders!I$13:I$101)) + VLOOKUP($H259,Adders!$B$5:$G$8,N$11,FALSE)  +  NJ!$D$2 ) * IF($D259="NJ",1.07,1))/$L$10, CHOOSE($M$10,$L$9,$M$9) )</f>
        <v xml:space="preserve"> 64.79 </v>
      </c>
      <c r="O259" s="112"/>
    </row>
    <row r="260" spans="2:15" x14ac:dyDescent="0.25">
      <c r="B260" s="108"/>
      <c r="C260" s="127">
        <f t="shared" si="7"/>
        <v>42461</v>
      </c>
      <c r="D260" s="128" t="s">
        <v>31</v>
      </c>
      <c r="E260" s="129" t="s">
        <v>36</v>
      </c>
      <c r="F260" s="128" t="s">
        <v>38</v>
      </c>
      <c r="G260" s="129" t="str">
        <f t="shared" si="8"/>
        <v>Large P&amp;L</v>
      </c>
      <c r="H260" s="130" t="s">
        <v>61</v>
      </c>
      <c r="I260" s="178" t="str">
        <f>TEXT(   (SUMPRODUCT( ((Main!$H$9:$H$1000)=$E260)*((Main!$J$9:$J$1000)=$F260)*((Main!$O$9:$O$1000)=$C260)*(Main!R$9:R$1000) ) +  ( SUMPRODUCT( ((Adders!$D$13:$D$101)=$E260)*((Adders!$E$13:$E$101)=$F260)*(Adders!G$13:G$101)) + VLOOKUP($H260,Adders!$B$5:$G$8,L$11,FALSE)  +  NJ!$D$2 ) * IF($D260="NJ",1.07,1))/$L$10, CHOOSE($M$10,$L$9,$M$9) )</f>
        <v xml:space="preserve"> 105.28 </v>
      </c>
      <c r="J260" s="178" t="str">
        <f>TEXT(   (SUMPRODUCT( ((Main!$H$9:$H$1000)=$E260)*((Main!$J$9:$J$1000)=$F260)*((Main!$O$9:$O$1000)=$C260)*(Main!S$9:S$1000) ) +  ( SUMPRODUCT( ((Adders!$D$13:$D$101)=$E260)*((Adders!$E$13:$E$101)=$F260)*(Adders!H$13:H$101)) + VLOOKUP($H260,Adders!$B$5:$G$8,M$11,FALSE)  +  NJ!$D$2 ) * IF($D260="NJ",1.07,1))/$L$10, CHOOSE($M$10,$L$9,$M$9) )</f>
        <v xml:space="preserve"> 104.52 </v>
      </c>
      <c r="K260" s="179" t="str">
        <f>TEXT(   (SUMPRODUCT( ((Main!$H$9:$H$1000)=$E260)*((Main!$J$9:$J$1000)=$F260)*((Main!$O$9:$O$1000)=$C260)*(Main!T$9:T$1000) ) +  ( SUMPRODUCT( ((Adders!$D$13:$D$101)=$E260)*((Adders!$E$13:$E$101)=$F260)*(Adders!I$13:I$101)) + VLOOKUP($H260,Adders!$B$5:$G$8,N$11,FALSE)  +  NJ!$D$2 ) * IF($D260="NJ",1.07,1))/$L$10, CHOOSE($M$10,$L$9,$M$9) )</f>
        <v xml:space="preserve"> 106.42 </v>
      </c>
      <c r="L260" s="178" t="str">
        <f>TEXT(   (SUMPRODUCT( ((LMPMain!$H$9:$H$1000)=$E260)*((LMPMain!$J$9:$J$1000)=$F260)*((LMPMain!$O$9:$O$1000)=$C260)*(LMPMain!R$9:R$1000) ) +  ( SUMPRODUCT( ((Adders!$D$13:$D$101)=$E260)*((Adders!$E$13:$E$101)=$F260)*(Adders!G$13:G$101)) + VLOOKUP($H260,Adders!$B$5:$G$8,L$11,FALSE)  +  NJ!$D$2 ) * IF($D260="NJ",1.07,1))/$L$10, CHOOSE($M$10,$L$9,$M$9) )</f>
        <v xml:space="preserve"> 67.15 </v>
      </c>
      <c r="M260" s="178" t="str">
        <f>TEXT(   (SUMPRODUCT( ((LMPMain!$H$9:$H$1000)=$E260)*((LMPMain!$J$9:$J$1000)=$F260)*((LMPMain!$O$9:$O$1000)=$C260)*(LMPMain!S$9:S$1000) ) +  ( SUMPRODUCT( ((Adders!$D$13:$D$101)=$E260)*((Adders!$E$13:$E$101)=$F260)*(Adders!H$13:H$101)) + VLOOKUP($H260,Adders!$B$5:$G$8,M$11,FALSE)  +  NJ!$D$2 ) * IF($D260="NJ",1.07,1))/$L$10, CHOOSE($M$10,$L$9,$M$9) )</f>
        <v xml:space="preserve"> 66.52 </v>
      </c>
      <c r="N260" s="179" t="str">
        <f>TEXT(   (SUMPRODUCT( ((LMPMain!$H$9:$H$1000)=$E260)*((LMPMain!$J$9:$J$1000)=$F260)*((LMPMain!$O$9:$O$1000)=$C260)*(LMPMain!T$9:T$1000) ) +  ( SUMPRODUCT( ((Adders!$D$13:$D$101)=$E260)*((Adders!$E$13:$E$101)=$F260)*(Adders!I$13:I$101)) + VLOOKUP($H260,Adders!$B$5:$G$8,N$11,FALSE)  +  NJ!$D$2 ) * IF($D260="NJ",1.07,1))/$L$10, CHOOSE($M$10,$L$9,$M$9) )</f>
        <v xml:space="preserve"> 67.82 </v>
      </c>
      <c r="O260" s="112"/>
    </row>
    <row r="261" spans="2:15" x14ac:dyDescent="0.25">
      <c r="B261" s="108"/>
      <c r="C261" s="131">
        <f t="shared" si="7"/>
        <v>42461</v>
      </c>
      <c r="D261" s="132" t="s">
        <v>31</v>
      </c>
      <c r="E261" s="133" t="s">
        <v>36</v>
      </c>
      <c r="F261" s="132" t="s">
        <v>38</v>
      </c>
      <c r="G261" s="133" t="str">
        <f t="shared" si="8"/>
        <v>Large P&amp;L</v>
      </c>
      <c r="H261" s="134" t="s">
        <v>62</v>
      </c>
      <c r="I261" s="173" t="str">
        <f>TEXT(   (SUMPRODUCT( ((Main!$H$9:$H$1000)=$E261)*((Main!$J$9:$J$1000)=$F261)*((Main!$O$9:$O$1000)=$C261)*(Main!R$9:R$1000) ) +  ( SUMPRODUCT( ((Adders!$D$13:$D$101)=$E261)*((Adders!$E$13:$E$101)=$F261)*(Adders!G$13:G$101)) + VLOOKUP($H261,Adders!$B$5:$G$8,L$11,FALSE)  +  NJ!$D$2 ) * IF($D261="NJ",1.07,1))/$L$10, CHOOSE($M$10,$L$9,$M$9) )</f>
        <v xml:space="preserve"> 103.57 </v>
      </c>
      <c r="J261" s="173" t="str">
        <f>TEXT(   (SUMPRODUCT( ((Main!$H$9:$H$1000)=$E261)*((Main!$J$9:$J$1000)=$F261)*((Main!$O$9:$O$1000)=$C261)*(Main!S$9:S$1000) ) +  ( SUMPRODUCT( ((Adders!$D$13:$D$101)=$E261)*((Adders!$E$13:$E$101)=$F261)*(Adders!H$13:H$101)) + VLOOKUP($H261,Adders!$B$5:$G$8,M$11,FALSE)  +  NJ!$D$2 ) * IF($D261="NJ",1.07,1))/$L$10, CHOOSE($M$10,$L$9,$M$9) )</f>
        <v xml:space="preserve"> 102.81 </v>
      </c>
      <c r="K261" s="174" t="str">
        <f>TEXT(   (SUMPRODUCT( ((Main!$H$9:$H$1000)=$E261)*((Main!$J$9:$J$1000)=$F261)*((Main!$O$9:$O$1000)=$C261)*(Main!T$9:T$1000) ) +  ( SUMPRODUCT( ((Adders!$D$13:$D$101)=$E261)*((Adders!$E$13:$E$101)=$F261)*(Adders!I$13:I$101)) + VLOOKUP($H261,Adders!$B$5:$G$8,N$11,FALSE)  +  NJ!$D$2 ) * IF($D261="NJ",1.07,1))/$L$10, CHOOSE($M$10,$L$9,$M$9) )</f>
        <v xml:space="preserve"> 104.71 </v>
      </c>
      <c r="L261" s="173" t="str">
        <f>TEXT(   (SUMPRODUCT( ((LMPMain!$H$9:$H$1000)=$E261)*((LMPMain!$J$9:$J$1000)=$F261)*((LMPMain!$O$9:$O$1000)=$C261)*(LMPMain!R$9:R$1000) ) +  ( SUMPRODUCT( ((Adders!$D$13:$D$101)=$E261)*((Adders!$E$13:$E$101)=$F261)*(Adders!G$13:G$101)) + VLOOKUP($H261,Adders!$B$5:$G$8,L$11,FALSE)  +  NJ!$D$2 ) * IF($D261="NJ",1.07,1))/$L$10, CHOOSE($M$10,$L$9,$M$9) )</f>
        <v xml:space="preserve"> 65.44 </v>
      </c>
      <c r="M261" s="173" t="str">
        <f>TEXT(   (SUMPRODUCT( ((LMPMain!$H$9:$H$1000)=$E261)*((LMPMain!$J$9:$J$1000)=$F261)*((LMPMain!$O$9:$O$1000)=$C261)*(LMPMain!S$9:S$1000) ) +  ( SUMPRODUCT( ((Adders!$D$13:$D$101)=$E261)*((Adders!$E$13:$E$101)=$F261)*(Adders!H$13:H$101)) + VLOOKUP($H261,Adders!$B$5:$G$8,M$11,FALSE)  +  NJ!$D$2 ) * IF($D261="NJ",1.07,1))/$L$10, CHOOSE($M$10,$L$9,$M$9) )</f>
        <v xml:space="preserve"> 64.81 </v>
      </c>
      <c r="N261" s="174" t="str">
        <f>TEXT(   (SUMPRODUCT( ((LMPMain!$H$9:$H$1000)=$E261)*((LMPMain!$J$9:$J$1000)=$F261)*((LMPMain!$O$9:$O$1000)=$C261)*(LMPMain!T$9:T$1000) ) +  ( SUMPRODUCT( ((Adders!$D$13:$D$101)=$E261)*((Adders!$E$13:$E$101)=$F261)*(Adders!I$13:I$101)) + VLOOKUP($H261,Adders!$B$5:$G$8,N$11,FALSE)  +  NJ!$D$2 ) * IF($D261="NJ",1.07,1))/$L$10, CHOOSE($M$10,$L$9,$M$9) )</f>
        <v xml:space="preserve"> 66.11 </v>
      </c>
      <c r="O261" s="112"/>
    </row>
    <row r="262" spans="2:15" x14ac:dyDescent="0.25">
      <c r="B262" s="108"/>
      <c r="C262" s="135">
        <f t="shared" si="7"/>
        <v>42461</v>
      </c>
      <c r="D262" s="136" t="s">
        <v>31</v>
      </c>
      <c r="E262" s="137" t="s">
        <v>36</v>
      </c>
      <c r="F262" s="136" t="s">
        <v>38</v>
      </c>
      <c r="G262" s="137" t="str">
        <f t="shared" si="8"/>
        <v>Large P&amp;L</v>
      </c>
      <c r="H262" s="138" t="s">
        <v>690</v>
      </c>
      <c r="I262" s="176" t="str">
        <f>TEXT(   (SUMPRODUCT( ((Main!$H$9:$H$1000)=$E262)*((Main!$J$9:$J$1000)=$F262)*((Main!$O$9:$O$1000)=$C262)*(Main!R$9:R$1000) ) +  ( SUMPRODUCT( ((Adders!$D$13:$D$101)=$E262)*((Adders!$E$13:$E$101)=$F262)*(Adders!G$13:G$101)) + VLOOKUP($H262,Adders!$B$5:$G$8,L$11,FALSE)  +  NJ!$D$2 ) * IF($D262="NJ",1.07,1))/$L$10, CHOOSE($M$10,$L$9,$M$9) )</f>
        <v xml:space="preserve"> 102.45 </v>
      </c>
      <c r="J262" s="176" t="str">
        <f>TEXT(   (SUMPRODUCT( ((Main!$H$9:$H$1000)=$E262)*((Main!$J$9:$J$1000)=$F262)*((Main!$O$9:$O$1000)=$C262)*(Main!S$9:S$1000) ) +  ( SUMPRODUCT( ((Adders!$D$13:$D$101)=$E262)*((Adders!$E$13:$E$101)=$F262)*(Adders!H$13:H$101)) + VLOOKUP($H262,Adders!$B$5:$G$8,M$11,FALSE)  +  NJ!$D$2 ) * IF($D262="NJ",1.07,1))/$L$10, CHOOSE($M$10,$L$9,$M$9) )</f>
        <v xml:space="preserve"> 101.69 </v>
      </c>
      <c r="K262" s="177" t="str">
        <f>TEXT(   (SUMPRODUCT( ((Main!$H$9:$H$1000)=$E262)*((Main!$J$9:$J$1000)=$F262)*((Main!$O$9:$O$1000)=$C262)*(Main!T$9:T$1000) ) +  ( SUMPRODUCT( ((Adders!$D$13:$D$101)=$E262)*((Adders!$E$13:$E$101)=$F262)*(Adders!I$13:I$101)) + VLOOKUP($H262,Adders!$B$5:$G$8,N$11,FALSE)  +  NJ!$D$2 ) * IF($D262="NJ",1.07,1))/$L$10, CHOOSE($M$10,$L$9,$M$9) )</f>
        <v xml:space="preserve"> 103.59 </v>
      </c>
      <c r="L262" s="176" t="str">
        <f>TEXT(   (SUMPRODUCT( ((LMPMain!$H$9:$H$1000)=$E262)*((LMPMain!$J$9:$J$1000)=$F262)*((LMPMain!$O$9:$O$1000)=$C262)*(LMPMain!R$9:R$1000) ) +  ( SUMPRODUCT( ((Adders!$D$13:$D$101)=$E262)*((Adders!$E$13:$E$101)=$F262)*(Adders!G$13:G$101)) + VLOOKUP($H262,Adders!$B$5:$G$8,L$11,FALSE)  +  NJ!$D$2 ) * IF($D262="NJ",1.07,1))/$L$10, CHOOSE($M$10,$L$9,$M$9) )</f>
        <v xml:space="preserve"> 64.32 </v>
      </c>
      <c r="M262" s="176" t="str">
        <f>TEXT(   (SUMPRODUCT( ((LMPMain!$H$9:$H$1000)=$E262)*((LMPMain!$J$9:$J$1000)=$F262)*((LMPMain!$O$9:$O$1000)=$C262)*(LMPMain!S$9:S$1000) ) +  ( SUMPRODUCT( ((Adders!$D$13:$D$101)=$E262)*((Adders!$E$13:$E$101)=$F262)*(Adders!H$13:H$101)) + VLOOKUP($H262,Adders!$B$5:$G$8,M$11,FALSE)  +  NJ!$D$2 ) * IF($D262="NJ",1.07,1))/$L$10, CHOOSE($M$10,$L$9,$M$9) )</f>
        <v xml:space="preserve"> 63.68 </v>
      </c>
      <c r="N262" s="177" t="str">
        <f>TEXT(   (SUMPRODUCT( ((LMPMain!$H$9:$H$1000)=$E262)*((LMPMain!$J$9:$J$1000)=$F262)*((LMPMain!$O$9:$O$1000)=$C262)*(LMPMain!T$9:T$1000) ) +  ( SUMPRODUCT( ((Adders!$D$13:$D$101)=$E262)*((Adders!$E$13:$E$101)=$F262)*(Adders!I$13:I$101)) + VLOOKUP($H262,Adders!$B$5:$G$8,N$11,FALSE)  +  NJ!$D$2 ) * IF($D262="NJ",1.07,1))/$L$10, CHOOSE($M$10,$L$9,$M$9) )</f>
        <v xml:space="preserve"> 64.98 </v>
      </c>
      <c r="O262" s="112"/>
    </row>
    <row r="263" spans="2:15" x14ac:dyDescent="0.25">
      <c r="B263" s="108"/>
      <c r="C263" s="127">
        <f t="shared" si="7"/>
        <v>42491</v>
      </c>
      <c r="D263" s="128" t="s">
        <v>31</v>
      </c>
      <c r="E263" s="129" t="s">
        <v>36</v>
      </c>
      <c r="F263" s="128" t="s">
        <v>38</v>
      </c>
      <c r="G263" s="129" t="str">
        <f t="shared" si="8"/>
        <v>Large P&amp;L</v>
      </c>
      <c r="H263" s="130" t="s">
        <v>61</v>
      </c>
      <c r="I263" s="178" t="str">
        <f>TEXT(   (SUMPRODUCT( ((Main!$H$9:$H$1000)=$E263)*((Main!$J$9:$J$1000)=$F263)*((Main!$O$9:$O$1000)=$C263)*(Main!R$9:R$1000) ) +  ( SUMPRODUCT( ((Adders!$D$13:$D$101)=$E263)*((Adders!$E$13:$E$101)=$F263)*(Adders!G$13:G$101)) + VLOOKUP($H263,Adders!$B$5:$G$8,L$11,FALSE)  +  NJ!$D$2 ) * IF($D263="NJ",1.07,1))/$L$10, CHOOSE($M$10,$L$9,$M$9) )</f>
        <v xml:space="preserve"> 105.51 </v>
      </c>
      <c r="J263" s="178" t="str">
        <f>TEXT(   (SUMPRODUCT( ((Main!$H$9:$H$1000)=$E263)*((Main!$J$9:$J$1000)=$F263)*((Main!$O$9:$O$1000)=$C263)*(Main!S$9:S$1000) ) +  ( SUMPRODUCT( ((Adders!$D$13:$D$101)=$E263)*((Adders!$E$13:$E$101)=$F263)*(Adders!H$13:H$101)) + VLOOKUP($H263,Adders!$B$5:$G$8,M$11,FALSE)  +  NJ!$D$2 ) * IF($D263="NJ",1.07,1))/$L$10, CHOOSE($M$10,$L$9,$M$9) )</f>
        <v xml:space="preserve"> 104.66 </v>
      </c>
      <c r="K263" s="179" t="str">
        <f>TEXT(   (SUMPRODUCT( ((Main!$H$9:$H$1000)=$E263)*((Main!$J$9:$J$1000)=$F263)*((Main!$O$9:$O$1000)=$C263)*(Main!T$9:T$1000) ) +  ( SUMPRODUCT( ((Adders!$D$13:$D$101)=$E263)*((Adders!$E$13:$E$101)=$F263)*(Adders!I$13:I$101)) + VLOOKUP($H263,Adders!$B$5:$G$8,N$11,FALSE)  +  NJ!$D$2 ) * IF($D263="NJ",1.07,1))/$L$10, CHOOSE($M$10,$L$9,$M$9) )</f>
        <v xml:space="preserve"> 106.62 </v>
      </c>
      <c r="L263" s="178" t="str">
        <f>TEXT(   (SUMPRODUCT( ((LMPMain!$H$9:$H$1000)=$E263)*((LMPMain!$J$9:$J$1000)=$F263)*((LMPMain!$O$9:$O$1000)=$C263)*(LMPMain!R$9:R$1000) ) +  ( SUMPRODUCT( ((Adders!$D$13:$D$101)=$E263)*((Adders!$E$13:$E$101)=$F263)*(Adders!G$13:G$101)) + VLOOKUP($H263,Adders!$B$5:$G$8,L$11,FALSE)  +  NJ!$D$2 ) * IF($D263="NJ",1.07,1))/$L$10, CHOOSE($M$10,$L$9,$M$9) )</f>
        <v xml:space="preserve"> 67.43 </v>
      </c>
      <c r="M263" s="178" t="str">
        <f>TEXT(   (SUMPRODUCT( ((LMPMain!$H$9:$H$1000)=$E263)*((LMPMain!$J$9:$J$1000)=$F263)*((LMPMain!$O$9:$O$1000)=$C263)*(LMPMain!S$9:S$1000) ) +  ( SUMPRODUCT( ((Adders!$D$13:$D$101)=$E263)*((Adders!$E$13:$E$101)=$F263)*(Adders!H$13:H$101)) + VLOOKUP($H263,Adders!$B$5:$G$8,M$11,FALSE)  +  NJ!$D$2 ) * IF($D263="NJ",1.07,1))/$L$10, CHOOSE($M$10,$L$9,$M$9) )</f>
        <v xml:space="preserve"> 66.80 </v>
      </c>
      <c r="N263" s="179" t="str">
        <f>TEXT(   (SUMPRODUCT( ((LMPMain!$H$9:$H$1000)=$E263)*((LMPMain!$J$9:$J$1000)=$F263)*((LMPMain!$O$9:$O$1000)=$C263)*(LMPMain!T$9:T$1000) ) +  ( SUMPRODUCT( ((Adders!$D$13:$D$101)=$E263)*((Adders!$E$13:$E$101)=$F263)*(Adders!I$13:I$101)) + VLOOKUP($H263,Adders!$B$5:$G$8,N$11,FALSE)  +  NJ!$D$2 ) * IF($D263="NJ",1.07,1))/$L$10, CHOOSE($M$10,$L$9,$M$9) )</f>
        <v xml:space="preserve"> 68.00 </v>
      </c>
      <c r="O263" s="112"/>
    </row>
    <row r="264" spans="2:15" x14ac:dyDescent="0.25">
      <c r="B264" s="108"/>
      <c r="C264" s="131">
        <f t="shared" si="7"/>
        <v>42491</v>
      </c>
      <c r="D264" s="132" t="s">
        <v>31</v>
      </c>
      <c r="E264" s="133" t="s">
        <v>36</v>
      </c>
      <c r="F264" s="132" t="s">
        <v>38</v>
      </c>
      <c r="G264" s="133" t="str">
        <f t="shared" si="8"/>
        <v>Large P&amp;L</v>
      </c>
      <c r="H264" s="134" t="s">
        <v>62</v>
      </c>
      <c r="I264" s="173" t="str">
        <f>TEXT(   (SUMPRODUCT( ((Main!$H$9:$H$1000)=$E264)*((Main!$J$9:$J$1000)=$F264)*((Main!$O$9:$O$1000)=$C264)*(Main!R$9:R$1000) ) +  ( SUMPRODUCT( ((Adders!$D$13:$D$101)=$E264)*((Adders!$E$13:$E$101)=$F264)*(Adders!G$13:G$101)) + VLOOKUP($H264,Adders!$B$5:$G$8,L$11,FALSE)  +  NJ!$D$2 ) * IF($D264="NJ",1.07,1))/$L$10, CHOOSE($M$10,$L$9,$M$9) )</f>
        <v xml:space="preserve"> 103.80 </v>
      </c>
      <c r="J264" s="173" t="str">
        <f>TEXT(   (SUMPRODUCT( ((Main!$H$9:$H$1000)=$E264)*((Main!$J$9:$J$1000)=$F264)*((Main!$O$9:$O$1000)=$C264)*(Main!S$9:S$1000) ) +  ( SUMPRODUCT( ((Adders!$D$13:$D$101)=$E264)*((Adders!$E$13:$E$101)=$F264)*(Adders!H$13:H$101)) + VLOOKUP($H264,Adders!$B$5:$G$8,M$11,FALSE)  +  NJ!$D$2 ) * IF($D264="NJ",1.07,1))/$L$10, CHOOSE($M$10,$L$9,$M$9) )</f>
        <v xml:space="preserve"> 102.95 </v>
      </c>
      <c r="K264" s="174" t="str">
        <f>TEXT(   (SUMPRODUCT( ((Main!$H$9:$H$1000)=$E264)*((Main!$J$9:$J$1000)=$F264)*((Main!$O$9:$O$1000)=$C264)*(Main!T$9:T$1000) ) +  ( SUMPRODUCT( ((Adders!$D$13:$D$101)=$E264)*((Adders!$E$13:$E$101)=$F264)*(Adders!I$13:I$101)) + VLOOKUP($H264,Adders!$B$5:$G$8,N$11,FALSE)  +  NJ!$D$2 ) * IF($D264="NJ",1.07,1))/$L$10, CHOOSE($M$10,$L$9,$M$9) )</f>
        <v xml:space="preserve"> 104.91 </v>
      </c>
      <c r="L264" s="173" t="str">
        <f>TEXT(   (SUMPRODUCT( ((LMPMain!$H$9:$H$1000)=$E264)*((LMPMain!$J$9:$J$1000)=$F264)*((LMPMain!$O$9:$O$1000)=$C264)*(LMPMain!R$9:R$1000) ) +  ( SUMPRODUCT( ((Adders!$D$13:$D$101)=$E264)*((Adders!$E$13:$E$101)=$F264)*(Adders!G$13:G$101)) + VLOOKUP($H264,Adders!$B$5:$G$8,L$11,FALSE)  +  NJ!$D$2 ) * IF($D264="NJ",1.07,1))/$L$10, CHOOSE($M$10,$L$9,$M$9) )</f>
        <v xml:space="preserve"> 65.72 </v>
      </c>
      <c r="M264" s="173" t="str">
        <f>TEXT(   (SUMPRODUCT( ((LMPMain!$H$9:$H$1000)=$E264)*((LMPMain!$J$9:$J$1000)=$F264)*((LMPMain!$O$9:$O$1000)=$C264)*(LMPMain!S$9:S$1000) ) +  ( SUMPRODUCT( ((Adders!$D$13:$D$101)=$E264)*((Adders!$E$13:$E$101)=$F264)*(Adders!H$13:H$101)) + VLOOKUP($H264,Adders!$B$5:$G$8,M$11,FALSE)  +  NJ!$D$2 ) * IF($D264="NJ",1.07,1))/$L$10, CHOOSE($M$10,$L$9,$M$9) )</f>
        <v xml:space="preserve"> 65.09 </v>
      </c>
      <c r="N264" s="174" t="str">
        <f>TEXT(   (SUMPRODUCT( ((LMPMain!$H$9:$H$1000)=$E264)*((LMPMain!$J$9:$J$1000)=$F264)*((LMPMain!$O$9:$O$1000)=$C264)*(LMPMain!T$9:T$1000) ) +  ( SUMPRODUCT( ((Adders!$D$13:$D$101)=$E264)*((Adders!$E$13:$E$101)=$F264)*(Adders!I$13:I$101)) + VLOOKUP($H264,Adders!$B$5:$G$8,N$11,FALSE)  +  NJ!$D$2 ) * IF($D264="NJ",1.07,1))/$L$10, CHOOSE($M$10,$L$9,$M$9) )</f>
        <v xml:space="preserve"> 66.29 </v>
      </c>
      <c r="O264" s="112"/>
    </row>
    <row r="265" spans="2:15" ht="15.75" thickBot="1" x14ac:dyDescent="0.3">
      <c r="B265" s="108"/>
      <c r="C265" s="135">
        <f t="shared" si="7"/>
        <v>42491</v>
      </c>
      <c r="D265" s="136" t="s">
        <v>31</v>
      </c>
      <c r="E265" s="137" t="s">
        <v>36</v>
      </c>
      <c r="F265" s="136" t="s">
        <v>38</v>
      </c>
      <c r="G265" s="137" t="str">
        <f t="shared" si="8"/>
        <v>Large P&amp;L</v>
      </c>
      <c r="H265" s="138" t="s">
        <v>690</v>
      </c>
      <c r="I265" s="176" t="str">
        <f>TEXT(   (SUMPRODUCT( ((Main!$H$9:$H$1000)=$E265)*((Main!$J$9:$J$1000)=$F265)*((Main!$O$9:$O$1000)=$C265)*(Main!R$9:R$1000) ) +  ( SUMPRODUCT( ((Adders!$D$13:$D$101)=$E265)*((Adders!$E$13:$E$101)=$F265)*(Adders!G$13:G$101)) + VLOOKUP($H265,Adders!$B$5:$G$8,L$11,FALSE)  +  NJ!$D$2 ) * IF($D265="NJ",1.07,1))/$L$10, CHOOSE($M$10,$L$9,$M$9) )</f>
        <v xml:space="preserve"> 102.68 </v>
      </c>
      <c r="J265" s="176" t="str">
        <f>TEXT(   (SUMPRODUCT( ((Main!$H$9:$H$1000)=$E265)*((Main!$J$9:$J$1000)=$F265)*((Main!$O$9:$O$1000)=$C265)*(Main!S$9:S$1000) ) +  ( SUMPRODUCT( ((Adders!$D$13:$D$101)=$E265)*((Adders!$E$13:$E$101)=$F265)*(Adders!H$13:H$101)) + VLOOKUP($H265,Adders!$B$5:$G$8,M$11,FALSE)  +  NJ!$D$2 ) * IF($D265="NJ",1.07,1))/$L$10, CHOOSE($M$10,$L$9,$M$9) )</f>
        <v xml:space="preserve"> 101.83 </v>
      </c>
      <c r="K265" s="203" t="str">
        <f>TEXT(   (SUMPRODUCT( ((Main!$H$9:$H$1000)=$E265)*((Main!$J$9:$J$1000)=$F265)*((Main!$O$9:$O$1000)=$C265)*(Main!T$9:T$1000) ) +  ( SUMPRODUCT( ((Adders!$D$13:$D$101)=$E265)*((Adders!$E$13:$E$101)=$F265)*(Adders!I$13:I$101)) + VLOOKUP($H265,Adders!$B$5:$G$8,N$11,FALSE)  +  NJ!$D$2 ) * IF($D265="NJ",1.07,1))/$L$10, CHOOSE($M$10,$L$9,$M$9) )</f>
        <v xml:space="preserve"> 103.79 </v>
      </c>
      <c r="L265" s="176" t="str">
        <f>TEXT(   (SUMPRODUCT( ((LMPMain!$H$9:$H$1000)=$E265)*((LMPMain!$J$9:$J$1000)=$F265)*((LMPMain!$O$9:$O$1000)=$C265)*(LMPMain!R$9:R$1000) ) +  ( SUMPRODUCT( ((Adders!$D$13:$D$101)=$E265)*((Adders!$E$13:$E$101)=$F265)*(Adders!G$13:G$101)) + VLOOKUP($H265,Adders!$B$5:$G$8,L$11,FALSE)  +  NJ!$D$2 ) * IF($D265="NJ",1.07,1))/$L$10, CHOOSE($M$10,$L$9,$M$9) )</f>
        <v xml:space="preserve"> 64.60 </v>
      </c>
      <c r="M265" s="176" t="str">
        <f>TEXT(   (SUMPRODUCT( ((LMPMain!$H$9:$H$1000)=$E265)*((LMPMain!$J$9:$J$1000)=$F265)*((LMPMain!$O$9:$O$1000)=$C265)*(LMPMain!S$9:S$1000) ) +  ( SUMPRODUCT( ((Adders!$D$13:$D$101)=$E265)*((Adders!$E$13:$E$101)=$F265)*(Adders!H$13:H$101)) + VLOOKUP($H265,Adders!$B$5:$G$8,M$11,FALSE)  +  NJ!$D$2 ) * IF($D265="NJ",1.07,1))/$L$10, CHOOSE($M$10,$L$9,$M$9) )</f>
        <v xml:space="preserve"> 63.96 </v>
      </c>
      <c r="N265" s="203" t="str">
        <f>TEXT(   (SUMPRODUCT( ((LMPMain!$H$9:$H$1000)=$E265)*((LMPMain!$J$9:$J$1000)=$F265)*((LMPMain!$O$9:$O$1000)=$C265)*(LMPMain!T$9:T$1000) ) +  ( SUMPRODUCT( ((Adders!$D$13:$D$101)=$E265)*((Adders!$E$13:$E$101)=$F265)*(Adders!I$13:I$101)) + VLOOKUP($H265,Adders!$B$5:$G$8,N$11,FALSE)  +  NJ!$D$2 ) * IF($D265="NJ",1.07,1))/$L$10, CHOOSE($M$10,$L$9,$M$9) )</f>
        <v xml:space="preserve"> 65.16 </v>
      </c>
      <c r="O265" s="112"/>
    </row>
    <row r="266" spans="2:15" s="2" customFormat="1" ht="7.5" customHeight="1" thickBot="1" x14ac:dyDescent="0.2">
      <c r="B266" s="5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7"/>
    </row>
    <row r="267" spans="2:15" s="2" customFormat="1" ht="15.75" x14ac:dyDescent="0.25">
      <c r="B267" s="5"/>
      <c r="C267" s="165" t="s">
        <v>739</v>
      </c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4"/>
      <c r="O267" s="7"/>
    </row>
    <row r="268" spans="2:15" s="2" customFormat="1" ht="10.5" x14ac:dyDescent="0.15">
      <c r="B268" s="5"/>
      <c r="C268" s="5" t="s">
        <v>740</v>
      </c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7"/>
      <c r="O268" s="7"/>
    </row>
    <row r="269" spans="2:15" s="2" customFormat="1" ht="10.5" x14ac:dyDescent="0.15">
      <c r="B269" s="5"/>
      <c r="C269" s="5" t="s">
        <v>741</v>
      </c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7"/>
      <c r="O269" s="7"/>
    </row>
    <row r="270" spans="2:15" s="2" customFormat="1" ht="10.5" x14ac:dyDescent="0.15">
      <c r="B270" s="5"/>
      <c r="C270" s="5" t="s">
        <v>742</v>
      </c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7"/>
      <c r="O270" s="7"/>
    </row>
    <row r="271" spans="2:15" s="2" customFormat="1" ht="10.5" x14ac:dyDescent="0.15">
      <c r="B271" s="5"/>
      <c r="C271" s="5" t="s">
        <v>743</v>
      </c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7"/>
      <c r="O271" s="7"/>
    </row>
    <row r="272" spans="2:15" s="2" customFormat="1" ht="10.5" x14ac:dyDescent="0.15">
      <c r="B272" s="5"/>
      <c r="C272" s="5" t="s">
        <v>744</v>
      </c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7"/>
      <c r="O272" s="7"/>
    </row>
    <row r="273" spans="2:15" s="2" customFormat="1" ht="10.5" x14ac:dyDescent="0.15">
      <c r="B273" s="5"/>
      <c r="C273" s="5" t="s">
        <v>745</v>
      </c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7"/>
      <c r="O273" s="7"/>
    </row>
    <row r="274" spans="2:15" s="2" customFormat="1" ht="11.25" thickBot="1" x14ac:dyDescent="0.2">
      <c r="B274" s="5"/>
      <c r="C274" s="5" t="s">
        <v>746</v>
      </c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7"/>
      <c r="O274" s="7"/>
    </row>
    <row r="275" spans="2:15" s="2" customFormat="1" ht="15.75" thickBot="1" x14ac:dyDescent="0.3">
      <c r="B275" s="5"/>
      <c r="C275" s="8" t="s">
        <v>19</v>
      </c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10"/>
      <c r="O275" s="7"/>
    </row>
    <row r="276" spans="2:15" ht="15.75" thickBot="1" x14ac:dyDescent="0.3">
      <c r="B276" s="139"/>
      <c r="C276" s="140"/>
      <c r="D276" s="140"/>
      <c r="E276" s="140"/>
      <c r="F276" s="140"/>
      <c r="G276" s="140"/>
      <c r="H276" s="140"/>
      <c r="I276" s="140"/>
      <c r="J276" s="140"/>
      <c r="K276" s="140"/>
      <c r="L276" s="140"/>
      <c r="M276" s="140"/>
      <c r="N276" s="140"/>
      <c r="O276" s="141"/>
    </row>
  </sheetData>
  <sheetProtection algorithmName="SHA-512" hashValue="ygFN11OPOavLMdQmEXjjpj8uPMRKEpeple8GL8965mB0B4Uyqk1DtpDrtU+ns4IS3OKoxKkgb+RcaWAL4a0Dsg==" saltValue="DZfJ9yaQzALJLKtCc+JETw==" spinCount="100000" sheet="1" scenarios="1" autoFilter="0"/>
  <autoFilter ref="C13:H13"/>
  <mergeCells count="3">
    <mergeCell ref="C6:F7"/>
    <mergeCell ref="C8:C9"/>
    <mergeCell ref="M2:N2"/>
  </mergeCells>
  <dataValidations disablePrompts="1" count="2">
    <dataValidation type="list" allowBlank="1" showInputMessage="1" showErrorMessage="1" sqref="M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45" right="0.45" top="0.5" bottom="0.5" header="0.3" footer="0.3"/>
  <pageSetup scale="67" fitToHeight="6" orientation="portrait" r:id="rId1"/>
  <headerFooter>
    <oddFooter>Page &amp;P of &amp;N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-0.499984740745262"/>
    <pageSetUpPr fitToPage="1"/>
  </sheetPr>
  <dimension ref="B1:O312"/>
  <sheetViews>
    <sheetView showGridLines="0" zoomScale="70" zoomScaleNormal="70" workbookViewId="0">
      <pane ySplit="13" topLeftCell="A98" activePane="bottomLeft" state="frozen"/>
      <selection activeCell="A2" sqref="A2:F2"/>
      <selection pane="bottomLeft" activeCell="G10" sqref="G10"/>
    </sheetView>
  </sheetViews>
  <sheetFormatPr defaultRowHeight="15" x14ac:dyDescent="0.25"/>
  <cols>
    <col min="1" max="1" width="3.83203125" style="100" customWidth="1"/>
    <col min="2" max="2" width="2.5" style="100" customWidth="1"/>
    <col min="3" max="3" width="25.33203125" style="100" customWidth="1"/>
    <col min="4" max="5" width="14.5" style="100" customWidth="1"/>
    <col min="6" max="6" width="39.33203125" style="100" customWidth="1"/>
    <col min="7" max="7" width="26.5" style="100" customWidth="1"/>
    <col min="8" max="8" width="20.33203125" style="100" customWidth="1"/>
    <col min="9" max="9" width="11.5" style="100" customWidth="1"/>
    <col min="10" max="10" width="11.33203125" style="100" customWidth="1"/>
    <col min="11" max="11" width="12.83203125" style="100" customWidth="1"/>
    <col min="12" max="13" width="11.5" style="100" customWidth="1"/>
    <col min="14" max="14" width="13" style="100" customWidth="1"/>
    <col min="15" max="15" width="2.5" style="100" customWidth="1"/>
    <col min="16" max="16" width="3.83203125" style="100" customWidth="1"/>
    <col min="17" max="16384" width="9.33203125" style="100"/>
  </cols>
  <sheetData>
    <row r="1" spans="2:15" ht="5.25" customHeight="1" x14ac:dyDescent="0.25"/>
    <row r="2" spans="2:15" s="101" customFormat="1" ht="18.75" x14ac:dyDescent="0.3">
      <c r="C2" s="102" t="s">
        <v>56</v>
      </c>
      <c r="D2" s="11">
        <v>0</v>
      </c>
      <c r="E2" s="103" t="s">
        <v>98</v>
      </c>
      <c r="M2" s="216" t="s">
        <v>691</v>
      </c>
      <c r="N2" s="217"/>
      <c r="O2" s="103" t="s">
        <v>98</v>
      </c>
    </row>
    <row r="3" spans="2:15" ht="5.25" customHeight="1" thickBot="1" x14ac:dyDescent="0.3">
      <c r="B3" s="104"/>
    </row>
    <row r="4" spans="2:15" ht="5.25" customHeight="1" x14ac:dyDescent="0.25">
      <c r="B4" s="105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7"/>
    </row>
    <row r="5" spans="2:15" ht="26.25" x14ac:dyDescent="0.4">
      <c r="B5" s="108"/>
      <c r="C5" s="169"/>
      <c r="D5" s="169"/>
      <c r="E5" s="169"/>
      <c r="F5" s="169"/>
      <c r="G5" s="110"/>
      <c r="H5" s="110"/>
      <c r="I5" s="110"/>
      <c r="J5" s="110"/>
      <c r="K5" s="110"/>
      <c r="L5" s="110"/>
      <c r="M5" s="111"/>
      <c r="N5" s="111"/>
      <c r="O5" s="112"/>
    </row>
    <row r="6" spans="2:15" ht="11.25" customHeight="1" x14ac:dyDescent="0.25">
      <c r="B6" s="108"/>
      <c r="C6" s="215" t="s">
        <v>747</v>
      </c>
      <c r="D6" s="215"/>
      <c r="E6" s="215"/>
      <c r="F6" s="215"/>
      <c r="G6" s="110"/>
      <c r="H6" s="110"/>
      <c r="I6" s="110"/>
      <c r="J6" s="110"/>
      <c r="K6" s="110"/>
      <c r="L6" s="110"/>
      <c r="M6" s="111"/>
      <c r="N6" s="111"/>
      <c r="O6" s="112"/>
    </row>
    <row r="7" spans="2:15" ht="11.25" customHeight="1" x14ac:dyDescent="0.25">
      <c r="B7" s="108"/>
      <c r="C7" s="215"/>
      <c r="D7" s="215"/>
      <c r="E7" s="215"/>
      <c r="F7" s="215"/>
      <c r="G7" s="113"/>
      <c r="H7" s="113"/>
      <c r="I7" s="113"/>
      <c r="J7" s="113"/>
      <c r="K7" s="113"/>
      <c r="L7" s="113"/>
      <c r="M7" s="111"/>
      <c r="N7" s="111"/>
      <c r="O7" s="112"/>
    </row>
    <row r="8" spans="2:15" x14ac:dyDescent="0.25">
      <c r="B8" s="108"/>
      <c r="C8" s="214">
        <f>Main!$K$2</f>
        <v>42129</v>
      </c>
      <c r="D8" s="111"/>
      <c r="E8" s="110"/>
      <c r="F8" s="113"/>
      <c r="G8" s="113"/>
      <c r="H8" s="113"/>
      <c r="I8" s="113"/>
      <c r="J8" s="113"/>
      <c r="K8" s="113"/>
      <c r="L8" s="113"/>
      <c r="M8" s="111"/>
      <c r="N8" s="111"/>
      <c r="O8" s="112"/>
    </row>
    <row r="9" spans="2:15" ht="10.5" customHeight="1" x14ac:dyDescent="0.25">
      <c r="B9" s="108"/>
      <c r="C9" s="214"/>
      <c r="D9" s="116"/>
      <c r="E9" s="116"/>
      <c r="F9" s="113"/>
      <c r="G9" s="113"/>
      <c r="H9" s="113"/>
      <c r="I9" s="113"/>
      <c r="J9" s="113"/>
      <c r="K9" s="113"/>
      <c r="L9" s="117" t="s">
        <v>101</v>
      </c>
      <c r="M9" s="118" t="s">
        <v>102</v>
      </c>
      <c r="N9" s="111"/>
      <c r="O9" s="112"/>
    </row>
    <row r="10" spans="2:15" ht="18" x14ac:dyDescent="0.25">
      <c r="B10" s="108"/>
      <c r="C10" s="114" t="s">
        <v>0</v>
      </c>
      <c r="D10" s="116"/>
      <c r="E10" s="116"/>
      <c r="F10" s="113"/>
      <c r="G10" s="113"/>
      <c r="H10" s="120">
        <v>6</v>
      </c>
      <c r="I10" s="120"/>
      <c r="J10" s="120"/>
      <c r="K10" s="120"/>
      <c r="L10" s="120">
        <f>IF(MD!M2="Prices in $/kWh",1000,1)</f>
        <v>1</v>
      </c>
      <c r="M10" s="121">
        <f>IF(MD!M2="Prices in $/kWh",2,1)</f>
        <v>1</v>
      </c>
      <c r="N10" s="121"/>
      <c r="O10" s="112"/>
    </row>
    <row r="11" spans="2:15" ht="10.5" customHeight="1" thickBot="1" x14ac:dyDescent="0.3">
      <c r="B11" s="108"/>
      <c r="C11" s="111"/>
      <c r="D11" s="111"/>
      <c r="E11" s="111"/>
      <c r="F11" s="113"/>
      <c r="G11" s="113"/>
      <c r="H11" s="121"/>
      <c r="I11" s="121"/>
      <c r="J11" s="121"/>
      <c r="K11" s="121"/>
      <c r="L11" s="121">
        <v>3</v>
      </c>
      <c r="M11" s="121">
        <v>4</v>
      </c>
      <c r="N11" s="121">
        <v>5</v>
      </c>
      <c r="O11" s="112"/>
    </row>
    <row r="12" spans="2:15" ht="18.75" thickBot="1" x14ac:dyDescent="0.3">
      <c r="B12" s="108"/>
      <c r="C12" s="114" t="s">
        <v>54</v>
      </c>
      <c r="D12" s="111"/>
      <c r="E12" s="111"/>
      <c r="F12" s="111"/>
      <c r="G12" s="111"/>
      <c r="H12" s="111"/>
      <c r="I12" s="193" t="str">
        <f>IF(MD!M2="Prices in $/kWh","Contract Term (months) - $/kWh","Contract Term (months) - $/MWh")</f>
        <v>Contract Term (months) - $/MWh</v>
      </c>
      <c r="J12" s="194"/>
      <c r="K12" s="194"/>
      <c r="L12" s="195" t="str">
        <f>IF(MD!M2="Prices in $/kWh","Contract Term (months) - $/kWh","Contract Term (months) - $/MWh")</f>
        <v>Contract Term (months) - $/MWh</v>
      </c>
      <c r="M12" s="196"/>
      <c r="N12" s="197"/>
      <c r="O12" s="112"/>
    </row>
    <row r="13" spans="2:15" ht="25.5" customHeight="1" x14ac:dyDescent="0.25">
      <c r="B13" s="108"/>
      <c r="C13" s="124" t="s">
        <v>1</v>
      </c>
      <c r="D13" s="124" t="s">
        <v>2</v>
      </c>
      <c r="E13" s="124" t="s">
        <v>3</v>
      </c>
      <c r="F13" s="124" t="s">
        <v>4</v>
      </c>
      <c r="G13" s="124" t="s">
        <v>95</v>
      </c>
      <c r="H13" s="124" t="s">
        <v>57</v>
      </c>
      <c r="I13" s="125" t="s">
        <v>58</v>
      </c>
      <c r="J13" s="125" t="s">
        <v>59</v>
      </c>
      <c r="K13" s="126" t="s">
        <v>60</v>
      </c>
      <c r="L13" s="198" t="s">
        <v>58</v>
      </c>
      <c r="M13" s="125" t="s">
        <v>59</v>
      </c>
      <c r="N13" s="126" t="s">
        <v>60</v>
      </c>
      <c r="O13" s="112"/>
    </row>
    <row r="14" spans="2:15" x14ac:dyDescent="0.25">
      <c r="B14" s="108"/>
      <c r="C14" s="127">
        <f>Main!K5</f>
        <v>42156</v>
      </c>
      <c r="D14" s="128" t="s">
        <v>39</v>
      </c>
      <c r="E14" s="129" t="s">
        <v>40</v>
      </c>
      <c r="F14" s="128" t="s">
        <v>42</v>
      </c>
      <c r="G14" s="129" t="str">
        <f>VLOOKUP(SUMPRODUCT( ((LMPMain!$H$9:$H$1000)=$E14)*((LMPMain!$J$9:$J$1000)=$F14)*((LMPMain!$O$9:$O$1000)=$C14)*(LMPMain!A$9:A$1000)),LMPMain!$A$9:$K$1000,11,FALSE)</f>
        <v>General Service Large</v>
      </c>
      <c r="H14" s="130" t="s">
        <v>61</v>
      </c>
      <c r="I14" s="178" t="str">
        <f>TEXT(   (SUMPRODUCT( ((Main!$H$9:$H$1000)=$E14)*((Main!$J$9:$J$1000)=$F14)*((Main!$O$9:$O$1000)=$C14)*(Main!R$9:R$1000) ) +  ( SUMPRODUCT( ((Adders!$D$13:$D$101)=$E14)*((Adders!$E$13:$E$101)=$F14)*(Adders!G$13:G$101)) + VLOOKUP($H14,Adders!$B$5:$G$8,L$11,FALSE)  +  MD!$D$2 ) * IF($D14="NJ",1.07,1))/$L$10, CHOOSE($M$10,$L$9,$M$9) )</f>
        <v xml:space="preserve"> 87.20 </v>
      </c>
      <c r="J14" s="178" t="str">
        <f>TEXT(   (SUMPRODUCT( ((Main!$H$9:$H$1000)=$E14)*((Main!$J$9:$J$1000)=$F14)*((Main!$O$9:$O$1000)=$C14)*(Main!S$9:S$1000) ) +  ( SUMPRODUCT( ((Adders!$D$13:$D$101)=$E14)*((Adders!$E$13:$E$101)=$F14)*(Adders!H$13:H$101)) + VLOOKUP($H14,Adders!$B$5:$G$8,M$11,FALSE)  +  MD!$D$2 ) * IF($D14="NJ",1.07,1))/$L$10, CHOOSE($M$10,$L$9,$M$9) )</f>
        <v xml:space="preserve"> 84.37 </v>
      </c>
      <c r="K14" s="179" t="str">
        <f>TEXT(   (SUMPRODUCT( ((Main!$H$9:$H$1000)=$E14)*((Main!$J$9:$J$1000)=$F14)*((Main!$O$9:$O$1000)=$C14)*(Main!T$9:T$1000) ) +  ( SUMPRODUCT( ((Adders!$D$13:$D$101)=$E14)*((Adders!$E$13:$E$101)=$F14)*(Adders!I$13:I$101)) + VLOOKUP($H14,Adders!$B$5:$G$8,$N$11,FALSE)  +  MD!$D$2 ) * IF($D14="NJ",1.07,1))/$L$10, CHOOSE($M$10,$L$9,$M$9) )</f>
        <v xml:space="preserve"> 85.02 </v>
      </c>
      <c r="L14" s="178" t="str">
        <f>TEXT(   (SUMPRODUCT( ((LMPMain!$H$9:$H$1000)=$E14)*((LMPMain!$J$9:$J$1000)=$F14)*((LMPMain!$O$9:$O$1000)=$C14)*(LMPMain!R$9:R$1000) ) +  ( SUMPRODUCT( ((Adders!$D$13:$D$101)=$E14)*((Adders!$E$13:$E$101)=$F14)*(Adders!G$13:G$101)) + VLOOKUP($H14,Adders!$B$5:$G$8,L$11,FALSE)  +  NJ!$D$2 ) * IF($D14="NJ",1.07,1))/$L$10, CHOOSE($M$10,$L$9,$M$9) )</f>
        <v xml:space="preserve"> 39.99 </v>
      </c>
      <c r="M14" s="178" t="str">
        <f>TEXT(   (SUMPRODUCT( ((LMPMain!$H$9:$H$1000)=$E14)*((LMPMain!$J$9:$J$1000)=$F14)*((LMPMain!$O$9:$O$1000)=$C14)*(LMPMain!S$9:S$1000) ) +  ( SUMPRODUCT( ((Adders!$D$13:$D$101)=$E14)*((Adders!$E$13:$E$101)=$F14)*(Adders!H$13:H$101)) + VLOOKUP($H14,Adders!$B$5:$G$8,M$11,FALSE)  +  NJ!$D$2 ) * IF($D14="NJ",1.07,1))/$L$10, CHOOSE($M$10,$L$9,$M$9) )</f>
        <v xml:space="preserve"> 38.03 </v>
      </c>
      <c r="N14" s="179" t="str">
        <f>TEXT(   (SUMPRODUCT( ((LMPMain!$H$9:$H$1000)=$E14)*((LMPMain!$J$9:$J$1000)=$F14)*((LMPMain!$O$9:$O$1000)=$C14)*(LMPMain!T$9:T$1000) ) +  ( SUMPRODUCT( ((Adders!$D$13:$D$101)=$E14)*((Adders!$E$13:$E$101)=$F14)*(Adders!I$13:I$101)) + VLOOKUP($H14,Adders!$B$5:$G$8,N$11,FALSE)  +  NJ!$D$2 ) * IF($D14="NJ",1.07,1))/$L$10, CHOOSE($M$10,$L$9,$M$9) )</f>
        <v xml:space="preserve"> 37.99 </v>
      </c>
      <c r="O14" s="112"/>
    </row>
    <row r="15" spans="2:15" x14ac:dyDescent="0.25">
      <c r="B15" s="108"/>
      <c r="C15" s="131">
        <f>+C14</f>
        <v>42156</v>
      </c>
      <c r="D15" s="132" t="s">
        <v>39</v>
      </c>
      <c r="E15" s="133" t="s">
        <v>40</v>
      </c>
      <c r="F15" s="132" t="s">
        <v>42</v>
      </c>
      <c r="G15" s="133" t="str">
        <f>G14</f>
        <v>General Service Large</v>
      </c>
      <c r="H15" s="134" t="s">
        <v>62</v>
      </c>
      <c r="I15" s="173" t="str">
        <f>TEXT(   (SUMPRODUCT( ((Main!$H$9:$H$1000)=$E15)*((Main!$J$9:$J$1000)=$F15)*((Main!$O$9:$O$1000)=$C15)*(Main!R$9:R$1000) ) +  ( SUMPRODUCT( ((Adders!$D$13:$D$101)=$E15)*((Adders!$E$13:$E$101)=$F15)*(Adders!G$13:G$101)) + VLOOKUP($H15,Adders!$B$5:$G$8,L$11,FALSE)  +  MD!$D$2 ) * IF($D15="NJ",1.07,1))/$L$10, CHOOSE($M$10,$L$9,$M$9) )</f>
        <v xml:space="preserve"> 85.60 </v>
      </c>
      <c r="J15" s="173" t="str">
        <f>TEXT(   (SUMPRODUCT( ((Main!$H$9:$H$1000)=$E15)*((Main!$J$9:$J$1000)=$F15)*((Main!$O$9:$O$1000)=$C15)*(Main!S$9:S$1000) ) +  ( SUMPRODUCT( ((Adders!$D$13:$D$101)=$E15)*((Adders!$E$13:$E$101)=$F15)*(Adders!H$13:H$101)) + VLOOKUP($H15,Adders!$B$5:$G$8,M$11,FALSE)  +  MD!$D$2 ) * IF($D15="NJ",1.07,1))/$L$10, CHOOSE($M$10,$L$9,$M$9) )</f>
        <v xml:space="preserve"> 82.77 </v>
      </c>
      <c r="K15" s="174" t="str">
        <f>TEXT(   (SUMPRODUCT( ((Main!$H$9:$H$1000)=$E15)*((Main!$J$9:$J$1000)=$F15)*((Main!$O$9:$O$1000)=$C15)*(Main!T$9:T$1000) ) +  ( SUMPRODUCT( ((Adders!$D$13:$D$101)=$E15)*((Adders!$E$13:$E$101)=$F15)*(Adders!I$13:I$101)) + VLOOKUP($H15,Adders!$B$5:$G$8,$N$11,FALSE)  +  MD!$D$2 ) * IF($D15="NJ",1.07,1))/$L$10, CHOOSE($M$10,$L$9,$M$9) )</f>
        <v xml:space="preserve"> 83.42 </v>
      </c>
      <c r="L15" s="173" t="str">
        <f>TEXT(   (SUMPRODUCT( ((LMPMain!$H$9:$H$1000)=$E15)*((LMPMain!$J$9:$J$1000)=$F15)*((LMPMain!$O$9:$O$1000)=$C15)*(LMPMain!R$9:R$1000) ) +  ( SUMPRODUCT( ((Adders!$D$13:$D$101)=$E15)*((Adders!$E$13:$E$101)=$F15)*(Adders!G$13:G$101)) + VLOOKUP($H15,Adders!$B$5:$G$8,L$11,FALSE)  +  NJ!$D$2 ) * IF($D15="NJ",1.07,1))/$L$10, CHOOSE($M$10,$L$9,$M$9) )</f>
        <v xml:space="preserve"> 38.39 </v>
      </c>
      <c r="M15" s="173" t="str">
        <f>TEXT(   (SUMPRODUCT( ((LMPMain!$H$9:$H$1000)=$E15)*((LMPMain!$J$9:$J$1000)=$F15)*((LMPMain!$O$9:$O$1000)=$C15)*(LMPMain!S$9:S$1000) ) +  ( SUMPRODUCT( ((Adders!$D$13:$D$101)=$E15)*((Adders!$E$13:$E$101)=$F15)*(Adders!H$13:H$101)) + VLOOKUP($H15,Adders!$B$5:$G$8,M$11,FALSE)  +  NJ!$D$2 ) * IF($D15="NJ",1.07,1))/$L$10, CHOOSE($M$10,$L$9,$M$9) )</f>
        <v xml:space="preserve"> 36.43 </v>
      </c>
      <c r="N15" s="174" t="str">
        <f>TEXT(   (SUMPRODUCT( ((LMPMain!$H$9:$H$1000)=$E15)*((LMPMain!$J$9:$J$1000)=$F15)*((LMPMain!$O$9:$O$1000)=$C15)*(LMPMain!T$9:T$1000) ) +  ( SUMPRODUCT( ((Adders!$D$13:$D$101)=$E15)*((Adders!$E$13:$E$101)=$F15)*(Adders!I$13:I$101)) + VLOOKUP($H15,Adders!$B$5:$G$8,N$11,FALSE)  +  NJ!$D$2 ) * IF($D15="NJ",1.07,1))/$L$10, CHOOSE($M$10,$L$9,$M$9) )</f>
        <v xml:space="preserve"> 36.39 </v>
      </c>
      <c r="O15" s="112"/>
    </row>
    <row r="16" spans="2:15" x14ac:dyDescent="0.25">
      <c r="B16" s="108"/>
      <c r="C16" s="135">
        <f>+C15</f>
        <v>42156</v>
      </c>
      <c r="D16" s="136" t="s">
        <v>39</v>
      </c>
      <c r="E16" s="137" t="s">
        <v>40</v>
      </c>
      <c r="F16" s="136" t="s">
        <v>42</v>
      </c>
      <c r="G16" s="137" t="str">
        <f>G15</f>
        <v>General Service Large</v>
      </c>
      <c r="H16" s="138" t="s">
        <v>690</v>
      </c>
      <c r="I16" s="176" t="str">
        <f>TEXT(   (SUMPRODUCT( ((Main!$H$9:$H$1000)=$E16)*((Main!$J$9:$J$1000)=$F16)*((Main!$O$9:$O$1000)=$C16)*(Main!R$9:R$1000) ) +  ( SUMPRODUCT( ((Adders!$D$13:$D$101)=$E16)*((Adders!$E$13:$E$101)=$F16)*(Adders!G$13:G$101)) + VLOOKUP($H16,Adders!$B$5:$G$8,L$11,FALSE)  +  MD!$D$2 ) * IF($D16="NJ",1.07,1))/$L$10, CHOOSE($M$10,$L$9,$M$9) )</f>
        <v xml:space="preserve"> 84.55 </v>
      </c>
      <c r="J16" s="176" t="str">
        <f>TEXT(   (SUMPRODUCT( ((Main!$H$9:$H$1000)=$E16)*((Main!$J$9:$J$1000)=$F16)*((Main!$O$9:$O$1000)=$C16)*(Main!S$9:S$1000) ) +  ( SUMPRODUCT( ((Adders!$D$13:$D$101)=$E16)*((Adders!$E$13:$E$101)=$F16)*(Adders!H$13:H$101)) + VLOOKUP($H16,Adders!$B$5:$G$8,M$11,FALSE)  +  MD!$D$2 ) * IF($D16="NJ",1.07,1))/$L$10, CHOOSE($M$10,$L$9,$M$9) )</f>
        <v xml:space="preserve"> 81.72 </v>
      </c>
      <c r="K16" s="177" t="str">
        <f>TEXT(   (SUMPRODUCT( ((Main!$H$9:$H$1000)=$E16)*((Main!$J$9:$J$1000)=$F16)*((Main!$O$9:$O$1000)=$C16)*(Main!T$9:T$1000) ) +  ( SUMPRODUCT( ((Adders!$D$13:$D$101)=$E16)*((Adders!$E$13:$E$101)=$F16)*(Adders!I$13:I$101)) + VLOOKUP($H16,Adders!$B$5:$G$8,$N$11,FALSE)  +  MD!$D$2 ) * IF($D16="NJ",1.07,1))/$L$10, CHOOSE($M$10,$L$9,$M$9) )</f>
        <v xml:space="preserve"> 82.37 </v>
      </c>
      <c r="L16" s="176" t="str">
        <f>TEXT(   (SUMPRODUCT( ((LMPMain!$H$9:$H$1000)=$E16)*((LMPMain!$J$9:$J$1000)=$F16)*((LMPMain!$O$9:$O$1000)=$C16)*(LMPMain!R$9:R$1000) ) +  ( SUMPRODUCT( ((Adders!$D$13:$D$101)=$E16)*((Adders!$E$13:$E$101)=$F16)*(Adders!G$13:G$101)) + VLOOKUP($H16,Adders!$B$5:$G$8,L$11,FALSE)  +  NJ!$D$2 ) * IF($D16="NJ",1.07,1))/$L$10, CHOOSE($M$10,$L$9,$M$9) )</f>
        <v xml:space="preserve"> 37.34 </v>
      </c>
      <c r="M16" s="176" t="str">
        <f>TEXT(   (SUMPRODUCT( ((LMPMain!$H$9:$H$1000)=$E16)*((LMPMain!$J$9:$J$1000)=$F16)*((LMPMain!$O$9:$O$1000)=$C16)*(LMPMain!S$9:S$1000) ) +  ( SUMPRODUCT( ((Adders!$D$13:$D$101)=$E16)*((Adders!$E$13:$E$101)=$F16)*(Adders!H$13:H$101)) + VLOOKUP($H16,Adders!$B$5:$G$8,M$11,FALSE)  +  NJ!$D$2 ) * IF($D16="NJ",1.07,1))/$L$10, CHOOSE($M$10,$L$9,$M$9) )</f>
        <v xml:space="preserve"> 35.38 </v>
      </c>
      <c r="N16" s="177" t="str">
        <f>TEXT(   (SUMPRODUCT( ((LMPMain!$H$9:$H$1000)=$E16)*((LMPMain!$J$9:$J$1000)=$F16)*((LMPMain!$O$9:$O$1000)=$C16)*(LMPMain!T$9:T$1000) ) +  ( SUMPRODUCT( ((Adders!$D$13:$D$101)=$E16)*((Adders!$E$13:$E$101)=$F16)*(Adders!I$13:I$101)) + VLOOKUP($H16,Adders!$B$5:$G$8,N$11,FALSE)  +  NJ!$D$2 ) * IF($D16="NJ",1.07,1))/$L$10, CHOOSE($M$10,$L$9,$M$9) )</f>
        <v xml:space="preserve"> 35.34 </v>
      </c>
      <c r="O16" s="112"/>
    </row>
    <row r="17" spans="2:15" x14ac:dyDescent="0.25">
      <c r="B17" s="108"/>
      <c r="C17" s="127">
        <f>DATE(YEAR(C16),MONTH(C16)+1,0)+1</f>
        <v>42186</v>
      </c>
      <c r="D17" s="128" t="s">
        <v>39</v>
      </c>
      <c r="E17" s="129" t="s">
        <v>40</v>
      </c>
      <c r="F17" s="128" t="s">
        <v>42</v>
      </c>
      <c r="G17" s="129" t="str">
        <f t="shared" ref="G17:G49" si="0">G16</f>
        <v>General Service Large</v>
      </c>
      <c r="H17" s="130" t="s">
        <v>61</v>
      </c>
      <c r="I17" s="178" t="str">
        <f>TEXT(   (SUMPRODUCT( ((Main!$H$9:$H$1000)=$E17)*((Main!$J$9:$J$1000)=$F17)*((Main!$O$9:$O$1000)=$C17)*(Main!R$9:R$1000) ) +  ( SUMPRODUCT( ((Adders!$D$13:$D$101)=$E17)*((Adders!$E$13:$E$101)=$F17)*(Adders!G$13:G$101)) + VLOOKUP($H17,Adders!$B$5:$G$8,L$11,FALSE)  +  MD!$D$2 ) * IF($D17="NJ",1.07,1))/$L$10, CHOOSE($M$10,$L$9,$M$9) )</f>
        <v xml:space="preserve"> 86.87 </v>
      </c>
      <c r="J17" s="178" t="str">
        <f>TEXT(   (SUMPRODUCT( ((Main!$H$9:$H$1000)=$E17)*((Main!$J$9:$J$1000)=$F17)*((Main!$O$9:$O$1000)=$C17)*(Main!S$9:S$1000) ) +  ( SUMPRODUCT( ((Adders!$D$13:$D$101)=$E17)*((Adders!$E$13:$E$101)=$F17)*(Adders!H$13:H$101)) + VLOOKUP($H17,Adders!$B$5:$G$8,M$11,FALSE)  +  MD!$D$2 ) * IF($D17="NJ",1.07,1))/$L$10, CHOOSE($M$10,$L$9,$M$9) )</f>
        <v xml:space="preserve"> 84.20 </v>
      </c>
      <c r="K17" s="179" t="str">
        <f>TEXT(   (SUMPRODUCT( ((Main!$H$9:$H$1000)=$E17)*((Main!$J$9:$J$1000)=$F17)*((Main!$O$9:$O$1000)=$C17)*(Main!T$9:T$1000) ) +  ( SUMPRODUCT( ((Adders!$D$13:$D$101)=$E17)*((Adders!$E$13:$E$101)=$F17)*(Adders!I$13:I$101)) + VLOOKUP($H17,Adders!$B$5:$G$8,$N$11,FALSE)  +  MD!$D$2 ) * IF($D17="NJ",1.07,1))/$L$10, CHOOSE($M$10,$L$9,$M$9) )</f>
        <v xml:space="preserve"> 84.88 </v>
      </c>
      <c r="L17" s="178" t="str">
        <f>TEXT(   (SUMPRODUCT( ((LMPMain!$H$9:$H$1000)=$E17)*((LMPMain!$J$9:$J$1000)=$F17)*((LMPMain!$O$9:$O$1000)=$C17)*(LMPMain!R$9:R$1000) ) +  ( SUMPRODUCT( ((Adders!$D$13:$D$101)=$E17)*((Adders!$E$13:$E$101)=$F17)*(Adders!G$13:G$101)) + VLOOKUP($H17,Adders!$B$5:$G$8,L$11,FALSE)  +  NJ!$D$2 ) * IF($D17="NJ",1.07,1))/$L$10, CHOOSE($M$10,$L$9,$M$9) )</f>
        <v xml:space="preserve"> 39.68 </v>
      </c>
      <c r="M17" s="178" t="str">
        <f>TEXT(   (SUMPRODUCT( ((LMPMain!$H$9:$H$1000)=$E17)*((LMPMain!$J$9:$J$1000)=$F17)*((LMPMain!$O$9:$O$1000)=$C17)*(LMPMain!S$9:S$1000) ) +  ( SUMPRODUCT( ((Adders!$D$13:$D$101)=$E17)*((Adders!$E$13:$E$101)=$F17)*(Adders!H$13:H$101)) + VLOOKUP($H17,Adders!$B$5:$G$8,M$11,FALSE)  +  NJ!$D$2 ) * IF($D17="NJ",1.07,1))/$L$10, CHOOSE($M$10,$L$9,$M$9) )</f>
        <v xml:space="preserve"> 37.97 </v>
      </c>
      <c r="N17" s="179" t="str">
        <f>TEXT(   (SUMPRODUCT( ((LMPMain!$H$9:$H$1000)=$E17)*((LMPMain!$J$9:$J$1000)=$F17)*((LMPMain!$O$9:$O$1000)=$C17)*(LMPMain!T$9:T$1000) ) +  ( SUMPRODUCT( ((Adders!$D$13:$D$101)=$E17)*((Adders!$E$13:$E$101)=$F17)*(Adders!I$13:I$101)) + VLOOKUP($H17,Adders!$B$5:$G$8,N$11,FALSE)  +  NJ!$D$2 ) * IF($D17="NJ",1.07,1))/$L$10, CHOOSE($M$10,$L$9,$M$9) )</f>
        <v xml:space="preserve"> 37.85 </v>
      </c>
      <c r="O17" s="112"/>
    </row>
    <row r="18" spans="2:15" x14ac:dyDescent="0.25">
      <c r="B18" s="108"/>
      <c r="C18" s="131">
        <f>+C17</f>
        <v>42186</v>
      </c>
      <c r="D18" s="132" t="s">
        <v>39</v>
      </c>
      <c r="E18" s="133" t="s">
        <v>40</v>
      </c>
      <c r="F18" s="132" t="s">
        <v>42</v>
      </c>
      <c r="G18" s="133" t="str">
        <f t="shared" si="0"/>
        <v>General Service Large</v>
      </c>
      <c r="H18" s="134" t="s">
        <v>62</v>
      </c>
      <c r="I18" s="173" t="str">
        <f>TEXT(   (SUMPRODUCT( ((Main!$H$9:$H$1000)=$E18)*((Main!$J$9:$J$1000)=$F18)*((Main!$O$9:$O$1000)=$C18)*(Main!R$9:R$1000) ) +  ( SUMPRODUCT( ((Adders!$D$13:$D$101)=$E18)*((Adders!$E$13:$E$101)=$F18)*(Adders!G$13:G$101)) + VLOOKUP($H18,Adders!$B$5:$G$8,L$11,FALSE)  +  MD!$D$2 ) * IF($D18="NJ",1.07,1))/$L$10, CHOOSE($M$10,$L$9,$M$9) )</f>
        <v xml:space="preserve"> 85.27 </v>
      </c>
      <c r="J18" s="173" t="str">
        <f>TEXT(   (SUMPRODUCT( ((Main!$H$9:$H$1000)=$E18)*((Main!$J$9:$J$1000)=$F18)*((Main!$O$9:$O$1000)=$C18)*(Main!S$9:S$1000) ) +  ( SUMPRODUCT( ((Adders!$D$13:$D$101)=$E18)*((Adders!$E$13:$E$101)=$F18)*(Adders!H$13:H$101)) + VLOOKUP($H18,Adders!$B$5:$G$8,M$11,FALSE)  +  MD!$D$2 ) * IF($D18="NJ",1.07,1))/$L$10, CHOOSE($M$10,$L$9,$M$9) )</f>
        <v xml:space="preserve"> 82.60 </v>
      </c>
      <c r="K18" s="174" t="str">
        <f>TEXT(   (SUMPRODUCT( ((Main!$H$9:$H$1000)=$E18)*((Main!$J$9:$J$1000)=$F18)*((Main!$O$9:$O$1000)=$C18)*(Main!T$9:T$1000) ) +  ( SUMPRODUCT( ((Adders!$D$13:$D$101)=$E18)*((Adders!$E$13:$E$101)=$F18)*(Adders!I$13:I$101)) + VLOOKUP($H18,Adders!$B$5:$G$8,$N$11,FALSE)  +  MD!$D$2 ) * IF($D18="NJ",1.07,1))/$L$10, CHOOSE($M$10,$L$9,$M$9) )</f>
        <v xml:space="preserve"> 83.28 </v>
      </c>
      <c r="L18" s="173" t="str">
        <f>TEXT(   (SUMPRODUCT( ((LMPMain!$H$9:$H$1000)=$E18)*((LMPMain!$J$9:$J$1000)=$F18)*((LMPMain!$O$9:$O$1000)=$C18)*(LMPMain!R$9:R$1000) ) +  ( SUMPRODUCT( ((Adders!$D$13:$D$101)=$E18)*((Adders!$E$13:$E$101)=$F18)*(Adders!G$13:G$101)) + VLOOKUP($H18,Adders!$B$5:$G$8,L$11,FALSE)  +  NJ!$D$2 ) * IF($D18="NJ",1.07,1))/$L$10, CHOOSE($M$10,$L$9,$M$9) )</f>
        <v xml:space="preserve"> 38.08 </v>
      </c>
      <c r="M18" s="173" t="str">
        <f>TEXT(   (SUMPRODUCT( ((LMPMain!$H$9:$H$1000)=$E18)*((LMPMain!$J$9:$J$1000)=$F18)*((LMPMain!$O$9:$O$1000)=$C18)*(LMPMain!S$9:S$1000) ) +  ( SUMPRODUCT( ((Adders!$D$13:$D$101)=$E18)*((Adders!$E$13:$E$101)=$F18)*(Adders!H$13:H$101)) + VLOOKUP($H18,Adders!$B$5:$G$8,M$11,FALSE)  +  NJ!$D$2 ) * IF($D18="NJ",1.07,1))/$L$10, CHOOSE($M$10,$L$9,$M$9) )</f>
        <v xml:space="preserve"> 36.37 </v>
      </c>
      <c r="N18" s="174" t="str">
        <f>TEXT(   (SUMPRODUCT( ((LMPMain!$H$9:$H$1000)=$E18)*((LMPMain!$J$9:$J$1000)=$F18)*((LMPMain!$O$9:$O$1000)=$C18)*(LMPMain!T$9:T$1000) ) +  ( SUMPRODUCT( ((Adders!$D$13:$D$101)=$E18)*((Adders!$E$13:$E$101)=$F18)*(Adders!I$13:I$101)) + VLOOKUP($H18,Adders!$B$5:$G$8,N$11,FALSE)  +  NJ!$D$2 ) * IF($D18="NJ",1.07,1))/$L$10, CHOOSE($M$10,$L$9,$M$9) )</f>
        <v xml:space="preserve"> 36.25 </v>
      </c>
      <c r="O18" s="112"/>
    </row>
    <row r="19" spans="2:15" x14ac:dyDescent="0.25">
      <c r="B19" s="108"/>
      <c r="C19" s="135">
        <f>+C18</f>
        <v>42186</v>
      </c>
      <c r="D19" s="136" t="s">
        <v>39</v>
      </c>
      <c r="E19" s="137" t="s">
        <v>40</v>
      </c>
      <c r="F19" s="136" t="s">
        <v>42</v>
      </c>
      <c r="G19" s="137" t="str">
        <f t="shared" si="0"/>
        <v>General Service Large</v>
      </c>
      <c r="H19" s="138" t="s">
        <v>690</v>
      </c>
      <c r="I19" s="176" t="str">
        <f>TEXT(   (SUMPRODUCT( ((Main!$H$9:$H$1000)=$E19)*((Main!$J$9:$J$1000)=$F19)*((Main!$O$9:$O$1000)=$C19)*(Main!R$9:R$1000) ) +  ( SUMPRODUCT( ((Adders!$D$13:$D$101)=$E19)*((Adders!$E$13:$E$101)=$F19)*(Adders!G$13:G$101)) + VLOOKUP($H19,Adders!$B$5:$G$8,L$11,FALSE)  +  MD!$D$2 ) * IF($D19="NJ",1.07,1))/$L$10, CHOOSE($M$10,$L$9,$M$9) )</f>
        <v xml:space="preserve"> 84.22 </v>
      </c>
      <c r="J19" s="176" t="str">
        <f>TEXT(   (SUMPRODUCT( ((Main!$H$9:$H$1000)=$E19)*((Main!$J$9:$J$1000)=$F19)*((Main!$O$9:$O$1000)=$C19)*(Main!S$9:S$1000) ) +  ( SUMPRODUCT( ((Adders!$D$13:$D$101)=$E19)*((Adders!$E$13:$E$101)=$F19)*(Adders!H$13:H$101)) + VLOOKUP($H19,Adders!$B$5:$G$8,M$11,FALSE)  +  MD!$D$2 ) * IF($D19="NJ",1.07,1))/$L$10, CHOOSE($M$10,$L$9,$M$9) )</f>
        <v xml:space="preserve"> 81.55 </v>
      </c>
      <c r="K19" s="177" t="str">
        <f>TEXT(   (SUMPRODUCT( ((Main!$H$9:$H$1000)=$E19)*((Main!$J$9:$J$1000)=$F19)*((Main!$O$9:$O$1000)=$C19)*(Main!T$9:T$1000) ) +  ( SUMPRODUCT( ((Adders!$D$13:$D$101)=$E19)*((Adders!$E$13:$E$101)=$F19)*(Adders!I$13:I$101)) + VLOOKUP($H19,Adders!$B$5:$G$8,$N$11,FALSE)  +  MD!$D$2 ) * IF($D19="NJ",1.07,1))/$L$10, CHOOSE($M$10,$L$9,$M$9) )</f>
        <v xml:space="preserve"> 82.23 </v>
      </c>
      <c r="L19" s="176" t="str">
        <f>TEXT(   (SUMPRODUCT( ((LMPMain!$H$9:$H$1000)=$E19)*((LMPMain!$J$9:$J$1000)=$F19)*((LMPMain!$O$9:$O$1000)=$C19)*(LMPMain!R$9:R$1000) ) +  ( SUMPRODUCT( ((Adders!$D$13:$D$101)=$E19)*((Adders!$E$13:$E$101)=$F19)*(Adders!G$13:G$101)) + VLOOKUP($H19,Adders!$B$5:$G$8,L$11,FALSE)  +  NJ!$D$2 ) * IF($D19="NJ",1.07,1))/$L$10, CHOOSE($M$10,$L$9,$M$9) )</f>
        <v xml:space="preserve"> 37.03 </v>
      </c>
      <c r="M19" s="176" t="str">
        <f>TEXT(   (SUMPRODUCT( ((LMPMain!$H$9:$H$1000)=$E19)*((LMPMain!$J$9:$J$1000)=$F19)*((LMPMain!$O$9:$O$1000)=$C19)*(LMPMain!S$9:S$1000) ) +  ( SUMPRODUCT( ((Adders!$D$13:$D$101)=$E19)*((Adders!$E$13:$E$101)=$F19)*(Adders!H$13:H$101)) + VLOOKUP($H19,Adders!$B$5:$G$8,M$11,FALSE)  +  NJ!$D$2 ) * IF($D19="NJ",1.07,1))/$L$10, CHOOSE($M$10,$L$9,$M$9) )</f>
        <v xml:space="preserve"> 35.32 </v>
      </c>
      <c r="N19" s="177" t="str">
        <f>TEXT(   (SUMPRODUCT( ((LMPMain!$H$9:$H$1000)=$E19)*((LMPMain!$J$9:$J$1000)=$F19)*((LMPMain!$O$9:$O$1000)=$C19)*(LMPMain!T$9:T$1000) ) +  ( SUMPRODUCT( ((Adders!$D$13:$D$101)=$E19)*((Adders!$E$13:$E$101)=$F19)*(Adders!I$13:I$101)) + VLOOKUP($H19,Adders!$B$5:$G$8,N$11,FALSE)  +  NJ!$D$2 ) * IF($D19="NJ",1.07,1))/$L$10, CHOOSE($M$10,$L$9,$M$9) )</f>
        <v xml:space="preserve"> 35.20 </v>
      </c>
      <c r="O19" s="112"/>
    </row>
    <row r="20" spans="2:15" x14ac:dyDescent="0.25">
      <c r="B20" s="108"/>
      <c r="C20" s="127">
        <f>DATE(YEAR(C19),MONTH(C19)+1,0)+1</f>
        <v>42217</v>
      </c>
      <c r="D20" s="128" t="s">
        <v>39</v>
      </c>
      <c r="E20" s="129" t="s">
        <v>40</v>
      </c>
      <c r="F20" s="128" t="s">
        <v>42</v>
      </c>
      <c r="G20" s="129" t="str">
        <f t="shared" si="0"/>
        <v>General Service Large</v>
      </c>
      <c r="H20" s="130" t="s">
        <v>61</v>
      </c>
      <c r="I20" s="178" t="str">
        <f>TEXT(   (SUMPRODUCT( ((Main!$H$9:$H$1000)=$E20)*((Main!$J$9:$J$1000)=$F20)*((Main!$O$9:$O$1000)=$C20)*(Main!R$9:R$1000) ) +  ( SUMPRODUCT( ((Adders!$D$13:$D$101)=$E20)*((Adders!$E$13:$E$101)=$F20)*(Adders!G$13:G$101)) + VLOOKUP($H20,Adders!$B$5:$G$8,L$11,FALSE)  +  MD!$D$2 ) * IF($D20="NJ",1.07,1))/$L$10, CHOOSE($M$10,$L$9,$M$9) )</f>
        <v xml:space="preserve"> 86.33 </v>
      </c>
      <c r="J20" s="178" t="str">
        <f>TEXT(   (SUMPRODUCT( ((Main!$H$9:$H$1000)=$E20)*((Main!$J$9:$J$1000)=$F20)*((Main!$O$9:$O$1000)=$C20)*(Main!S$9:S$1000) ) +  ( SUMPRODUCT( ((Adders!$D$13:$D$101)=$E20)*((Adders!$E$13:$E$101)=$F20)*(Adders!H$13:H$101)) + VLOOKUP($H20,Adders!$B$5:$G$8,M$11,FALSE)  +  MD!$D$2 ) * IF($D20="NJ",1.07,1))/$L$10, CHOOSE($M$10,$L$9,$M$9) )</f>
        <v xml:space="preserve"> 84.66 </v>
      </c>
      <c r="K20" s="179" t="str">
        <f>TEXT(   (SUMPRODUCT( ((Main!$H$9:$H$1000)=$E20)*((Main!$J$9:$J$1000)=$F20)*((Main!$O$9:$O$1000)=$C20)*(Main!T$9:T$1000) ) +  ( SUMPRODUCT( ((Adders!$D$13:$D$101)=$E20)*((Adders!$E$13:$E$101)=$F20)*(Adders!I$13:I$101)) + VLOOKUP($H20,Adders!$B$5:$G$8,$N$11,FALSE)  +  MD!$D$2 ) * IF($D20="NJ",1.07,1))/$L$10, CHOOSE($M$10,$L$9,$M$9) )</f>
        <v xml:space="preserve"> 84.75 </v>
      </c>
      <c r="L20" s="178" t="str">
        <f>TEXT(   (SUMPRODUCT( ((LMPMain!$H$9:$H$1000)=$E20)*((LMPMain!$J$9:$J$1000)=$F20)*((LMPMain!$O$9:$O$1000)=$C20)*(LMPMain!R$9:R$1000) ) +  ( SUMPRODUCT( ((Adders!$D$13:$D$101)=$E20)*((Adders!$E$13:$E$101)=$F20)*(Adders!G$13:G$101)) + VLOOKUP($H20,Adders!$B$5:$G$8,L$11,FALSE)  +  NJ!$D$2 ) * IF($D20="NJ",1.07,1))/$L$10, CHOOSE($M$10,$L$9,$M$9) )</f>
        <v xml:space="preserve"> 39.39 </v>
      </c>
      <c r="M20" s="178" t="str">
        <f>TEXT(   (SUMPRODUCT( ((LMPMain!$H$9:$H$1000)=$E20)*((LMPMain!$J$9:$J$1000)=$F20)*((LMPMain!$O$9:$O$1000)=$C20)*(LMPMain!S$9:S$1000) ) +  ( SUMPRODUCT( ((Adders!$D$13:$D$101)=$E20)*((Adders!$E$13:$E$101)=$F20)*(Adders!H$13:H$101)) + VLOOKUP($H20,Adders!$B$5:$G$8,M$11,FALSE)  +  NJ!$D$2 ) * IF($D20="NJ",1.07,1))/$L$10, CHOOSE($M$10,$L$9,$M$9) )</f>
        <v xml:space="preserve"> 38.08 </v>
      </c>
      <c r="N20" s="179" t="str">
        <f>TEXT(   (SUMPRODUCT( ((LMPMain!$H$9:$H$1000)=$E20)*((LMPMain!$J$9:$J$1000)=$F20)*((LMPMain!$O$9:$O$1000)=$C20)*(LMPMain!T$9:T$1000) ) +  ( SUMPRODUCT( ((Adders!$D$13:$D$101)=$E20)*((Adders!$E$13:$E$101)=$F20)*(Adders!I$13:I$101)) + VLOOKUP($H20,Adders!$B$5:$G$8,N$11,FALSE)  +  NJ!$D$2 ) * IF($D20="NJ",1.07,1))/$L$10, CHOOSE($M$10,$L$9,$M$9) )</f>
        <v xml:space="preserve"> 37.74 </v>
      </c>
      <c r="O20" s="112"/>
    </row>
    <row r="21" spans="2:15" x14ac:dyDescent="0.25">
      <c r="B21" s="108"/>
      <c r="C21" s="131">
        <f>+C20</f>
        <v>42217</v>
      </c>
      <c r="D21" s="132" t="s">
        <v>39</v>
      </c>
      <c r="E21" s="133" t="s">
        <v>40</v>
      </c>
      <c r="F21" s="132" t="s">
        <v>42</v>
      </c>
      <c r="G21" s="133" t="str">
        <f t="shared" si="0"/>
        <v>General Service Large</v>
      </c>
      <c r="H21" s="134" t="s">
        <v>62</v>
      </c>
      <c r="I21" s="173" t="str">
        <f>TEXT(   (SUMPRODUCT( ((Main!$H$9:$H$1000)=$E21)*((Main!$J$9:$J$1000)=$F21)*((Main!$O$9:$O$1000)=$C21)*(Main!R$9:R$1000) ) +  ( SUMPRODUCT( ((Adders!$D$13:$D$101)=$E21)*((Adders!$E$13:$E$101)=$F21)*(Adders!G$13:G$101)) + VLOOKUP($H21,Adders!$B$5:$G$8,L$11,FALSE)  +  MD!$D$2 ) * IF($D21="NJ",1.07,1))/$L$10, CHOOSE($M$10,$L$9,$M$9) )</f>
        <v xml:space="preserve"> 84.73 </v>
      </c>
      <c r="J21" s="173" t="str">
        <f>TEXT(   (SUMPRODUCT( ((Main!$H$9:$H$1000)=$E21)*((Main!$J$9:$J$1000)=$F21)*((Main!$O$9:$O$1000)=$C21)*(Main!S$9:S$1000) ) +  ( SUMPRODUCT( ((Adders!$D$13:$D$101)=$E21)*((Adders!$E$13:$E$101)=$F21)*(Adders!H$13:H$101)) + VLOOKUP($H21,Adders!$B$5:$G$8,M$11,FALSE)  +  MD!$D$2 ) * IF($D21="NJ",1.07,1))/$L$10, CHOOSE($M$10,$L$9,$M$9) )</f>
        <v xml:space="preserve"> 83.06 </v>
      </c>
      <c r="K21" s="174" t="str">
        <f>TEXT(   (SUMPRODUCT( ((Main!$H$9:$H$1000)=$E21)*((Main!$J$9:$J$1000)=$F21)*((Main!$O$9:$O$1000)=$C21)*(Main!T$9:T$1000) ) +  ( SUMPRODUCT( ((Adders!$D$13:$D$101)=$E21)*((Adders!$E$13:$E$101)=$F21)*(Adders!I$13:I$101)) + VLOOKUP($H21,Adders!$B$5:$G$8,$N$11,FALSE)  +  MD!$D$2 ) * IF($D21="NJ",1.07,1))/$L$10, CHOOSE($M$10,$L$9,$M$9) )</f>
        <v xml:space="preserve"> 83.15 </v>
      </c>
      <c r="L21" s="173" t="str">
        <f>TEXT(   (SUMPRODUCT( ((LMPMain!$H$9:$H$1000)=$E21)*((LMPMain!$J$9:$J$1000)=$F21)*((LMPMain!$O$9:$O$1000)=$C21)*(LMPMain!R$9:R$1000) ) +  ( SUMPRODUCT( ((Adders!$D$13:$D$101)=$E21)*((Adders!$E$13:$E$101)=$F21)*(Adders!G$13:G$101)) + VLOOKUP($H21,Adders!$B$5:$G$8,L$11,FALSE)  +  NJ!$D$2 ) * IF($D21="NJ",1.07,1))/$L$10, CHOOSE($M$10,$L$9,$M$9) )</f>
        <v xml:space="preserve"> 37.79 </v>
      </c>
      <c r="M21" s="173" t="str">
        <f>TEXT(   (SUMPRODUCT( ((LMPMain!$H$9:$H$1000)=$E21)*((LMPMain!$J$9:$J$1000)=$F21)*((LMPMain!$O$9:$O$1000)=$C21)*(LMPMain!S$9:S$1000) ) +  ( SUMPRODUCT( ((Adders!$D$13:$D$101)=$E21)*((Adders!$E$13:$E$101)=$F21)*(Adders!H$13:H$101)) + VLOOKUP($H21,Adders!$B$5:$G$8,M$11,FALSE)  +  NJ!$D$2 ) * IF($D21="NJ",1.07,1))/$L$10, CHOOSE($M$10,$L$9,$M$9) )</f>
        <v xml:space="preserve"> 36.48 </v>
      </c>
      <c r="N21" s="174" t="str">
        <f>TEXT(   (SUMPRODUCT( ((LMPMain!$H$9:$H$1000)=$E21)*((LMPMain!$J$9:$J$1000)=$F21)*((LMPMain!$O$9:$O$1000)=$C21)*(LMPMain!T$9:T$1000) ) +  ( SUMPRODUCT( ((Adders!$D$13:$D$101)=$E21)*((Adders!$E$13:$E$101)=$F21)*(Adders!I$13:I$101)) + VLOOKUP($H21,Adders!$B$5:$G$8,N$11,FALSE)  +  NJ!$D$2 ) * IF($D21="NJ",1.07,1))/$L$10, CHOOSE($M$10,$L$9,$M$9) )</f>
        <v xml:space="preserve"> 36.14 </v>
      </c>
      <c r="O21" s="112"/>
    </row>
    <row r="22" spans="2:15" x14ac:dyDescent="0.25">
      <c r="B22" s="108"/>
      <c r="C22" s="135">
        <f>+C21</f>
        <v>42217</v>
      </c>
      <c r="D22" s="136" t="s">
        <v>39</v>
      </c>
      <c r="E22" s="137" t="s">
        <v>40</v>
      </c>
      <c r="F22" s="136" t="s">
        <v>42</v>
      </c>
      <c r="G22" s="137" t="str">
        <f t="shared" si="0"/>
        <v>General Service Large</v>
      </c>
      <c r="H22" s="138" t="s">
        <v>690</v>
      </c>
      <c r="I22" s="176" t="str">
        <f>TEXT(   (SUMPRODUCT( ((Main!$H$9:$H$1000)=$E22)*((Main!$J$9:$J$1000)=$F22)*((Main!$O$9:$O$1000)=$C22)*(Main!R$9:R$1000) ) +  ( SUMPRODUCT( ((Adders!$D$13:$D$101)=$E22)*((Adders!$E$13:$E$101)=$F22)*(Adders!G$13:G$101)) + VLOOKUP($H22,Adders!$B$5:$G$8,L$11,FALSE)  +  MD!$D$2 ) * IF($D22="NJ",1.07,1))/$L$10, CHOOSE($M$10,$L$9,$M$9) )</f>
        <v xml:space="preserve"> 83.68 </v>
      </c>
      <c r="J22" s="176" t="str">
        <f>TEXT(   (SUMPRODUCT( ((Main!$H$9:$H$1000)=$E22)*((Main!$J$9:$J$1000)=$F22)*((Main!$O$9:$O$1000)=$C22)*(Main!S$9:S$1000) ) +  ( SUMPRODUCT( ((Adders!$D$13:$D$101)=$E22)*((Adders!$E$13:$E$101)=$F22)*(Adders!H$13:H$101)) + VLOOKUP($H22,Adders!$B$5:$G$8,M$11,FALSE)  +  MD!$D$2 ) * IF($D22="NJ",1.07,1))/$L$10, CHOOSE($M$10,$L$9,$M$9) )</f>
        <v xml:space="preserve"> 82.01 </v>
      </c>
      <c r="K22" s="177" t="str">
        <f>TEXT(   (SUMPRODUCT( ((Main!$H$9:$H$1000)=$E22)*((Main!$J$9:$J$1000)=$F22)*((Main!$O$9:$O$1000)=$C22)*(Main!T$9:T$1000) ) +  ( SUMPRODUCT( ((Adders!$D$13:$D$101)=$E22)*((Adders!$E$13:$E$101)=$F22)*(Adders!I$13:I$101)) + VLOOKUP($H22,Adders!$B$5:$G$8,$N$11,FALSE)  +  MD!$D$2 ) * IF($D22="NJ",1.07,1))/$L$10, CHOOSE($M$10,$L$9,$M$9) )</f>
        <v xml:space="preserve"> 82.10 </v>
      </c>
      <c r="L22" s="176" t="str">
        <f>TEXT(   (SUMPRODUCT( ((LMPMain!$H$9:$H$1000)=$E22)*((LMPMain!$J$9:$J$1000)=$F22)*((LMPMain!$O$9:$O$1000)=$C22)*(LMPMain!R$9:R$1000) ) +  ( SUMPRODUCT( ((Adders!$D$13:$D$101)=$E22)*((Adders!$E$13:$E$101)=$F22)*(Adders!G$13:G$101)) + VLOOKUP($H22,Adders!$B$5:$G$8,L$11,FALSE)  +  NJ!$D$2 ) * IF($D22="NJ",1.07,1))/$L$10, CHOOSE($M$10,$L$9,$M$9) )</f>
        <v xml:space="preserve"> 36.74 </v>
      </c>
      <c r="M22" s="176" t="str">
        <f>TEXT(   (SUMPRODUCT( ((LMPMain!$H$9:$H$1000)=$E22)*((LMPMain!$J$9:$J$1000)=$F22)*((LMPMain!$O$9:$O$1000)=$C22)*(LMPMain!S$9:S$1000) ) +  ( SUMPRODUCT( ((Adders!$D$13:$D$101)=$E22)*((Adders!$E$13:$E$101)=$F22)*(Adders!H$13:H$101)) + VLOOKUP($H22,Adders!$B$5:$G$8,M$11,FALSE)  +  NJ!$D$2 ) * IF($D22="NJ",1.07,1))/$L$10, CHOOSE($M$10,$L$9,$M$9) )</f>
        <v xml:space="preserve"> 35.43 </v>
      </c>
      <c r="N22" s="177" t="str">
        <f>TEXT(   (SUMPRODUCT( ((LMPMain!$H$9:$H$1000)=$E22)*((LMPMain!$J$9:$J$1000)=$F22)*((LMPMain!$O$9:$O$1000)=$C22)*(LMPMain!T$9:T$1000) ) +  ( SUMPRODUCT( ((Adders!$D$13:$D$101)=$E22)*((Adders!$E$13:$E$101)=$F22)*(Adders!I$13:I$101)) + VLOOKUP($H22,Adders!$B$5:$G$8,N$11,FALSE)  +  NJ!$D$2 ) * IF($D22="NJ",1.07,1))/$L$10, CHOOSE($M$10,$L$9,$M$9) )</f>
        <v xml:space="preserve"> 35.09 </v>
      </c>
      <c r="O22" s="112"/>
    </row>
    <row r="23" spans="2:15" x14ac:dyDescent="0.25">
      <c r="B23" s="108"/>
      <c r="C23" s="127">
        <f>DATE(YEAR(C22),MONTH(C22)+1,0)+1</f>
        <v>42248</v>
      </c>
      <c r="D23" s="128" t="s">
        <v>39</v>
      </c>
      <c r="E23" s="129" t="s">
        <v>40</v>
      </c>
      <c r="F23" s="128" t="s">
        <v>42</v>
      </c>
      <c r="G23" s="129" t="str">
        <f t="shared" si="0"/>
        <v>General Service Large</v>
      </c>
      <c r="H23" s="130" t="s">
        <v>61</v>
      </c>
      <c r="I23" s="178" t="str">
        <f>TEXT(   (SUMPRODUCT( ((Main!$H$9:$H$1000)=$E23)*((Main!$J$9:$J$1000)=$F23)*((Main!$O$9:$O$1000)=$C23)*(Main!R$9:R$1000) ) +  ( SUMPRODUCT( ((Adders!$D$13:$D$101)=$E23)*((Adders!$E$13:$E$101)=$F23)*(Adders!G$13:G$101)) + VLOOKUP($H23,Adders!$B$5:$G$8,L$11,FALSE)  +  MD!$D$2 ) * IF($D23="NJ",1.07,1))/$L$10, CHOOSE($M$10,$L$9,$M$9) )</f>
        <v xml:space="preserve"> 85.98 </v>
      </c>
      <c r="J23" s="178" t="str">
        <f>TEXT(   (SUMPRODUCT( ((Main!$H$9:$H$1000)=$E23)*((Main!$J$9:$J$1000)=$F23)*((Main!$O$9:$O$1000)=$C23)*(Main!S$9:S$1000) ) +  ( SUMPRODUCT( ((Adders!$D$13:$D$101)=$E23)*((Adders!$E$13:$E$101)=$F23)*(Adders!H$13:H$101)) + VLOOKUP($H23,Adders!$B$5:$G$8,M$11,FALSE)  +  MD!$D$2 ) * IF($D23="NJ",1.07,1))/$L$10, CHOOSE($M$10,$L$9,$M$9) )</f>
        <v xml:space="preserve"> 85.19 </v>
      </c>
      <c r="K23" s="179" t="str">
        <f>TEXT(   (SUMPRODUCT( ((Main!$H$9:$H$1000)=$E23)*((Main!$J$9:$J$1000)=$F23)*((Main!$O$9:$O$1000)=$C23)*(Main!T$9:T$1000) ) +  ( SUMPRODUCT( ((Adders!$D$13:$D$101)=$E23)*((Adders!$E$13:$E$101)=$F23)*(Adders!I$13:I$101)) + VLOOKUP($H23,Adders!$B$5:$G$8,$N$11,FALSE)  +  MD!$D$2 ) * IF($D23="NJ",1.07,1))/$L$10, CHOOSE($M$10,$L$9,$M$9) )</f>
        <v xml:space="preserve"> 84.71 </v>
      </c>
      <c r="L23" s="178" t="str">
        <f>TEXT(   (SUMPRODUCT( ((LMPMain!$H$9:$H$1000)=$E23)*((LMPMain!$J$9:$J$1000)=$F23)*((LMPMain!$O$9:$O$1000)=$C23)*(LMPMain!R$9:R$1000) ) +  ( SUMPRODUCT( ((Adders!$D$13:$D$101)=$E23)*((Adders!$E$13:$E$101)=$F23)*(Adders!G$13:G$101)) + VLOOKUP($H23,Adders!$B$5:$G$8,L$11,FALSE)  +  NJ!$D$2 ) * IF($D23="NJ",1.07,1))/$L$10, CHOOSE($M$10,$L$9,$M$9) )</f>
        <v xml:space="preserve"> 39.06 </v>
      </c>
      <c r="M23" s="178" t="str">
        <f>TEXT(   (SUMPRODUCT( ((LMPMain!$H$9:$H$1000)=$E23)*((LMPMain!$J$9:$J$1000)=$F23)*((LMPMain!$O$9:$O$1000)=$C23)*(LMPMain!S$9:S$1000) ) +  ( SUMPRODUCT( ((Adders!$D$13:$D$101)=$E23)*((Adders!$E$13:$E$101)=$F23)*(Adders!H$13:H$101)) + VLOOKUP($H23,Adders!$B$5:$G$8,M$11,FALSE)  +  NJ!$D$2 ) * IF($D23="NJ",1.07,1))/$L$10, CHOOSE($M$10,$L$9,$M$9) )</f>
        <v xml:space="preserve"> 38.22 </v>
      </c>
      <c r="N23" s="179" t="str">
        <f>TEXT(   (SUMPRODUCT( ((LMPMain!$H$9:$H$1000)=$E23)*((LMPMain!$J$9:$J$1000)=$F23)*((LMPMain!$O$9:$O$1000)=$C23)*(LMPMain!T$9:T$1000) ) +  ( SUMPRODUCT( ((Adders!$D$13:$D$101)=$E23)*((Adders!$E$13:$E$101)=$F23)*(Adders!I$13:I$101)) + VLOOKUP($H23,Adders!$B$5:$G$8,N$11,FALSE)  +  NJ!$D$2 ) * IF($D23="NJ",1.07,1))/$L$10, CHOOSE($M$10,$L$9,$M$9) )</f>
        <v xml:space="preserve"> 37.61 </v>
      </c>
      <c r="O23" s="112"/>
    </row>
    <row r="24" spans="2:15" x14ac:dyDescent="0.25">
      <c r="B24" s="108"/>
      <c r="C24" s="131">
        <f>+C23</f>
        <v>42248</v>
      </c>
      <c r="D24" s="132" t="s">
        <v>39</v>
      </c>
      <c r="E24" s="133" t="s">
        <v>40</v>
      </c>
      <c r="F24" s="132" t="s">
        <v>42</v>
      </c>
      <c r="G24" s="133" t="str">
        <f t="shared" si="0"/>
        <v>General Service Large</v>
      </c>
      <c r="H24" s="134" t="s">
        <v>62</v>
      </c>
      <c r="I24" s="173" t="str">
        <f>TEXT(   (SUMPRODUCT( ((Main!$H$9:$H$1000)=$E24)*((Main!$J$9:$J$1000)=$F24)*((Main!$O$9:$O$1000)=$C24)*(Main!R$9:R$1000) ) +  ( SUMPRODUCT( ((Adders!$D$13:$D$101)=$E24)*((Adders!$E$13:$E$101)=$F24)*(Adders!G$13:G$101)) + VLOOKUP($H24,Adders!$B$5:$G$8,L$11,FALSE)  +  MD!$D$2 ) * IF($D24="NJ",1.07,1))/$L$10, CHOOSE($M$10,$L$9,$M$9) )</f>
        <v xml:space="preserve"> 84.38 </v>
      </c>
      <c r="J24" s="173" t="str">
        <f>TEXT(   (SUMPRODUCT( ((Main!$H$9:$H$1000)=$E24)*((Main!$J$9:$J$1000)=$F24)*((Main!$O$9:$O$1000)=$C24)*(Main!S$9:S$1000) ) +  ( SUMPRODUCT( ((Adders!$D$13:$D$101)=$E24)*((Adders!$E$13:$E$101)=$F24)*(Adders!H$13:H$101)) + VLOOKUP($H24,Adders!$B$5:$G$8,M$11,FALSE)  +  MD!$D$2 ) * IF($D24="NJ",1.07,1))/$L$10, CHOOSE($M$10,$L$9,$M$9) )</f>
        <v xml:space="preserve"> 83.59 </v>
      </c>
      <c r="K24" s="174" t="str">
        <f>TEXT(   (SUMPRODUCT( ((Main!$H$9:$H$1000)=$E24)*((Main!$J$9:$J$1000)=$F24)*((Main!$O$9:$O$1000)=$C24)*(Main!T$9:T$1000) ) +  ( SUMPRODUCT( ((Adders!$D$13:$D$101)=$E24)*((Adders!$E$13:$E$101)=$F24)*(Adders!I$13:I$101)) + VLOOKUP($H24,Adders!$B$5:$G$8,$N$11,FALSE)  +  MD!$D$2 ) * IF($D24="NJ",1.07,1))/$L$10, CHOOSE($M$10,$L$9,$M$9) )</f>
        <v xml:space="preserve"> 83.11 </v>
      </c>
      <c r="L24" s="173" t="str">
        <f>TEXT(   (SUMPRODUCT( ((LMPMain!$H$9:$H$1000)=$E24)*((LMPMain!$J$9:$J$1000)=$F24)*((LMPMain!$O$9:$O$1000)=$C24)*(LMPMain!R$9:R$1000) ) +  ( SUMPRODUCT( ((Adders!$D$13:$D$101)=$E24)*((Adders!$E$13:$E$101)=$F24)*(Adders!G$13:G$101)) + VLOOKUP($H24,Adders!$B$5:$G$8,L$11,FALSE)  +  NJ!$D$2 ) * IF($D24="NJ",1.07,1))/$L$10, CHOOSE($M$10,$L$9,$M$9) )</f>
        <v xml:space="preserve"> 37.46 </v>
      </c>
      <c r="M24" s="173" t="str">
        <f>TEXT(   (SUMPRODUCT( ((LMPMain!$H$9:$H$1000)=$E24)*((LMPMain!$J$9:$J$1000)=$F24)*((LMPMain!$O$9:$O$1000)=$C24)*(LMPMain!S$9:S$1000) ) +  ( SUMPRODUCT( ((Adders!$D$13:$D$101)=$E24)*((Adders!$E$13:$E$101)=$F24)*(Adders!H$13:H$101)) + VLOOKUP($H24,Adders!$B$5:$G$8,M$11,FALSE)  +  NJ!$D$2 ) * IF($D24="NJ",1.07,1))/$L$10, CHOOSE($M$10,$L$9,$M$9) )</f>
        <v xml:space="preserve"> 36.62 </v>
      </c>
      <c r="N24" s="174" t="str">
        <f>TEXT(   (SUMPRODUCT( ((LMPMain!$H$9:$H$1000)=$E24)*((LMPMain!$J$9:$J$1000)=$F24)*((LMPMain!$O$9:$O$1000)=$C24)*(LMPMain!T$9:T$1000) ) +  ( SUMPRODUCT( ((Adders!$D$13:$D$101)=$E24)*((Adders!$E$13:$E$101)=$F24)*(Adders!I$13:I$101)) + VLOOKUP($H24,Adders!$B$5:$G$8,N$11,FALSE)  +  NJ!$D$2 ) * IF($D24="NJ",1.07,1))/$L$10, CHOOSE($M$10,$L$9,$M$9) )</f>
        <v xml:space="preserve"> 36.01 </v>
      </c>
      <c r="O24" s="112"/>
    </row>
    <row r="25" spans="2:15" x14ac:dyDescent="0.25">
      <c r="B25" s="108"/>
      <c r="C25" s="135">
        <f>+C24</f>
        <v>42248</v>
      </c>
      <c r="D25" s="136" t="s">
        <v>39</v>
      </c>
      <c r="E25" s="137" t="s">
        <v>40</v>
      </c>
      <c r="F25" s="136" t="s">
        <v>42</v>
      </c>
      <c r="G25" s="137" t="str">
        <f t="shared" si="0"/>
        <v>General Service Large</v>
      </c>
      <c r="H25" s="138" t="s">
        <v>690</v>
      </c>
      <c r="I25" s="176" t="str">
        <f>TEXT(   (SUMPRODUCT( ((Main!$H$9:$H$1000)=$E25)*((Main!$J$9:$J$1000)=$F25)*((Main!$O$9:$O$1000)=$C25)*(Main!R$9:R$1000) ) +  ( SUMPRODUCT( ((Adders!$D$13:$D$101)=$E25)*((Adders!$E$13:$E$101)=$F25)*(Adders!G$13:G$101)) + VLOOKUP($H25,Adders!$B$5:$G$8,L$11,FALSE)  +  MD!$D$2 ) * IF($D25="NJ",1.07,1))/$L$10, CHOOSE($M$10,$L$9,$M$9) )</f>
        <v xml:space="preserve"> 83.33 </v>
      </c>
      <c r="J25" s="176" t="str">
        <f>TEXT(   (SUMPRODUCT( ((Main!$H$9:$H$1000)=$E25)*((Main!$J$9:$J$1000)=$F25)*((Main!$O$9:$O$1000)=$C25)*(Main!S$9:S$1000) ) +  ( SUMPRODUCT( ((Adders!$D$13:$D$101)=$E25)*((Adders!$E$13:$E$101)=$F25)*(Adders!H$13:H$101)) + VLOOKUP($H25,Adders!$B$5:$G$8,M$11,FALSE)  +  MD!$D$2 ) * IF($D25="NJ",1.07,1))/$L$10, CHOOSE($M$10,$L$9,$M$9) )</f>
        <v xml:space="preserve"> 82.54 </v>
      </c>
      <c r="K25" s="177" t="str">
        <f>TEXT(   (SUMPRODUCT( ((Main!$H$9:$H$1000)=$E25)*((Main!$J$9:$J$1000)=$F25)*((Main!$O$9:$O$1000)=$C25)*(Main!T$9:T$1000) ) +  ( SUMPRODUCT( ((Adders!$D$13:$D$101)=$E25)*((Adders!$E$13:$E$101)=$F25)*(Adders!I$13:I$101)) + VLOOKUP($H25,Adders!$B$5:$G$8,$N$11,FALSE)  +  MD!$D$2 ) * IF($D25="NJ",1.07,1))/$L$10, CHOOSE($M$10,$L$9,$M$9) )</f>
        <v xml:space="preserve"> 82.06 </v>
      </c>
      <c r="L25" s="176" t="str">
        <f>TEXT(   (SUMPRODUCT( ((LMPMain!$H$9:$H$1000)=$E25)*((LMPMain!$J$9:$J$1000)=$F25)*((LMPMain!$O$9:$O$1000)=$C25)*(LMPMain!R$9:R$1000) ) +  ( SUMPRODUCT( ((Adders!$D$13:$D$101)=$E25)*((Adders!$E$13:$E$101)=$F25)*(Adders!G$13:G$101)) + VLOOKUP($H25,Adders!$B$5:$G$8,L$11,FALSE)  +  NJ!$D$2 ) * IF($D25="NJ",1.07,1))/$L$10, CHOOSE($M$10,$L$9,$M$9) )</f>
        <v xml:space="preserve"> 36.41 </v>
      </c>
      <c r="M25" s="176" t="str">
        <f>TEXT(   (SUMPRODUCT( ((LMPMain!$H$9:$H$1000)=$E25)*((LMPMain!$J$9:$J$1000)=$F25)*((LMPMain!$O$9:$O$1000)=$C25)*(LMPMain!S$9:S$1000) ) +  ( SUMPRODUCT( ((Adders!$D$13:$D$101)=$E25)*((Adders!$E$13:$E$101)=$F25)*(Adders!H$13:H$101)) + VLOOKUP($H25,Adders!$B$5:$G$8,M$11,FALSE)  +  NJ!$D$2 ) * IF($D25="NJ",1.07,1))/$L$10, CHOOSE($M$10,$L$9,$M$9) )</f>
        <v xml:space="preserve"> 35.57 </v>
      </c>
      <c r="N25" s="177" t="str">
        <f>TEXT(   (SUMPRODUCT( ((LMPMain!$H$9:$H$1000)=$E25)*((LMPMain!$J$9:$J$1000)=$F25)*((LMPMain!$O$9:$O$1000)=$C25)*(LMPMain!T$9:T$1000) ) +  ( SUMPRODUCT( ((Adders!$D$13:$D$101)=$E25)*((Adders!$E$13:$E$101)=$F25)*(Adders!I$13:I$101)) + VLOOKUP($H25,Adders!$B$5:$G$8,N$11,FALSE)  +  NJ!$D$2 ) * IF($D25="NJ",1.07,1))/$L$10, CHOOSE($M$10,$L$9,$M$9) )</f>
        <v xml:space="preserve"> 34.96 </v>
      </c>
      <c r="O25" s="112"/>
    </row>
    <row r="26" spans="2:15" x14ac:dyDescent="0.25">
      <c r="B26" s="108"/>
      <c r="C26" s="127">
        <f>DATE(YEAR(C25),MONTH(C25)+1,0)+1</f>
        <v>42278</v>
      </c>
      <c r="D26" s="128" t="s">
        <v>39</v>
      </c>
      <c r="E26" s="129" t="s">
        <v>40</v>
      </c>
      <c r="F26" s="128" t="s">
        <v>42</v>
      </c>
      <c r="G26" s="129" t="str">
        <f t="shared" si="0"/>
        <v>General Service Large</v>
      </c>
      <c r="H26" s="130" t="s">
        <v>61</v>
      </c>
      <c r="I26" s="178" t="str">
        <f>TEXT(   (SUMPRODUCT( ((Main!$H$9:$H$1000)=$E26)*((Main!$J$9:$J$1000)=$F26)*((Main!$O$9:$O$1000)=$C26)*(Main!R$9:R$1000) ) +  ( SUMPRODUCT( ((Adders!$D$13:$D$101)=$E26)*((Adders!$E$13:$E$101)=$F26)*(Adders!G$13:G$101)) + VLOOKUP($H26,Adders!$B$5:$G$8,L$11,FALSE)  +  MD!$D$2 ) * IF($D26="NJ",1.07,1))/$L$10, CHOOSE($M$10,$L$9,$M$9) )</f>
        <v xml:space="preserve"> 85.59 </v>
      </c>
      <c r="J26" s="178" t="str">
        <f>TEXT(   (SUMPRODUCT( ((Main!$H$9:$H$1000)=$E26)*((Main!$J$9:$J$1000)=$F26)*((Main!$O$9:$O$1000)=$C26)*(Main!S$9:S$1000) ) +  ( SUMPRODUCT( ((Adders!$D$13:$D$101)=$E26)*((Adders!$E$13:$E$101)=$F26)*(Adders!H$13:H$101)) + VLOOKUP($H26,Adders!$B$5:$G$8,M$11,FALSE)  +  MD!$D$2 ) * IF($D26="NJ",1.07,1))/$L$10, CHOOSE($M$10,$L$9,$M$9) )</f>
        <v xml:space="preserve"> 85.61 </v>
      </c>
      <c r="K26" s="179" t="str">
        <f>TEXT(   (SUMPRODUCT( ((Main!$H$9:$H$1000)=$E26)*((Main!$J$9:$J$1000)=$F26)*((Main!$O$9:$O$1000)=$C26)*(Main!T$9:T$1000) ) +  ( SUMPRODUCT( ((Adders!$D$13:$D$101)=$E26)*((Adders!$E$13:$E$101)=$F26)*(Adders!I$13:I$101)) + VLOOKUP($H26,Adders!$B$5:$G$8,$N$11,FALSE)  +  MD!$D$2 ) * IF($D26="NJ",1.07,1))/$L$10, CHOOSE($M$10,$L$9,$M$9) )</f>
        <v xml:space="preserve"> 84.54 </v>
      </c>
      <c r="L26" s="178" t="str">
        <f>TEXT(   (SUMPRODUCT( ((LMPMain!$H$9:$H$1000)=$E26)*((LMPMain!$J$9:$J$1000)=$F26)*((LMPMain!$O$9:$O$1000)=$C26)*(LMPMain!R$9:R$1000) ) +  ( SUMPRODUCT( ((Adders!$D$13:$D$101)=$E26)*((Adders!$E$13:$E$101)=$F26)*(Adders!G$13:G$101)) + VLOOKUP($H26,Adders!$B$5:$G$8,L$11,FALSE)  +  NJ!$D$2 ) * IF($D26="NJ",1.07,1))/$L$10, CHOOSE($M$10,$L$9,$M$9) )</f>
        <v xml:space="preserve"> 38.76 </v>
      </c>
      <c r="M26" s="178" t="str">
        <f>TEXT(   (SUMPRODUCT( ((LMPMain!$H$9:$H$1000)=$E26)*((LMPMain!$J$9:$J$1000)=$F26)*((LMPMain!$O$9:$O$1000)=$C26)*(LMPMain!S$9:S$1000) ) +  ( SUMPRODUCT( ((Adders!$D$13:$D$101)=$E26)*((Adders!$E$13:$E$101)=$F26)*(Adders!H$13:H$101)) + VLOOKUP($H26,Adders!$B$5:$G$8,M$11,FALSE)  +  NJ!$D$2 ) * IF($D26="NJ",1.07,1))/$L$10, CHOOSE($M$10,$L$9,$M$9) )</f>
        <v xml:space="preserve"> 38.32 </v>
      </c>
      <c r="N26" s="179" t="str">
        <f>TEXT(   (SUMPRODUCT( ((LMPMain!$H$9:$H$1000)=$E26)*((LMPMain!$J$9:$J$1000)=$F26)*((LMPMain!$O$9:$O$1000)=$C26)*(LMPMain!T$9:T$1000) ) +  ( SUMPRODUCT( ((Adders!$D$13:$D$101)=$E26)*((Adders!$E$13:$E$101)=$F26)*(Adders!I$13:I$101)) + VLOOKUP($H26,Adders!$B$5:$G$8,N$11,FALSE)  +  NJ!$D$2 ) * IF($D26="NJ",1.07,1))/$L$10, CHOOSE($M$10,$L$9,$M$9) )</f>
        <v xml:space="preserve"> 37.48 </v>
      </c>
      <c r="O26" s="112"/>
    </row>
    <row r="27" spans="2:15" x14ac:dyDescent="0.25">
      <c r="B27" s="108"/>
      <c r="C27" s="131">
        <f>+C26</f>
        <v>42278</v>
      </c>
      <c r="D27" s="132" t="s">
        <v>39</v>
      </c>
      <c r="E27" s="133" t="s">
        <v>40</v>
      </c>
      <c r="F27" s="132" t="s">
        <v>42</v>
      </c>
      <c r="G27" s="133" t="str">
        <f t="shared" si="0"/>
        <v>General Service Large</v>
      </c>
      <c r="H27" s="134" t="s">
        <v>62</v>
      </c>
      <c r="I27" s="173" t="str">
        <f>TEXT(   (SUMPRODUCT( ((Main!$H$9:$H$1000)=$E27)*((Main!$J$9:$J$1000)=$F27)*((Main!$O$9:$O$1000)=$C27)*(Main!R$9:R$1000) ) +  ( SUMPRODUCT( ((Adders!$D$13:$D$101)=$E27)*((Adders!$E$13:$E$101)=$F27)*(Adders!G$13:G$101)) + VLOOKUP($H27,Adders!$B$5:$G$8,L$11,FALSE)  +  MD!$D$2 ) * IF($D27="NJ",1.07,1))/$L$10, CHOOSE($M$10,$L$9,$M$9) )</f>
        <v xml:space="preserve"> 83.99 </v>
      </c>
      <c r="J27" s="173" t="str">
        <f>TEXT(   (SUMPRODUCT( ((Main!$H$9:$H$1000)=$E27)*((Main!$J$9:$J$1000)=$F27)*((Main!$O$9:$O$1000)=$C27)*(Main!S$9:S$1000) ) +  ( SUMPRODUCT( ((Adders!$D$13:$D$101)=$E27)*((Adders!$E$13:$E$101)=$F27)*(Adders!H$13:H$101)) + VLOOKUP($H27,Adders!$B$5:$G$8,M$11,FALSE)  +  MD!$D$2 ) * IF($D27="NJ",1.07,1))/$L$10, CHOOSE($M$10,$L$9,$M$9) )</f>
        <v xml:space="preserve"> 84.01 </v>
      </c>
      <c r="K27" s="174" t="str">
        <f>TEXT(   (SUMPRODUCT( ((Main!$H$9:$H$1000)=$E27)*((Main!$J$9:$J$1000)=$F27)*((Main!$O$9:$O$1000)=$C27)*(Main!T$9:T$1000) ) +  ( SUMPRODUCT( ((Adders!$D$13:$D$101)=$E27)*((Adders!$E$13:$E$101)=$F27)*(Adders!I$13:I$101)) + VLOOKUP($H27,Adders!$B$5:$G$8,$N$11,FALSE)  +  MD!$D$2 ) * IF($D27="NJ",1.07,1))/$L$10, CHOOSE($M$10,$L$9,$M$9) )</f>
        <v xml:space="preserve"> 82.94 </v>
      </c>
      <c r="L27" s="173" t="str">
        <f>TEXT(   (SUMPRODUCT( ((LMPMain!$H$9:$H$1000)=$E27)*((LMPMain!$J$9:$J$1000)=$F27)*((LMPMain!$O$9:$O$1000)=$C27)*(LMPMain!R$9:R$1000) ) +  ( SUMPRODUCT( ((Adders!$D$13:$D$101)=$E27)*((Adders!$E$13:$E$101)=$F27)*(Adders!G$13:G$101)) + VLOOKUP($H27,Adders!$B$5:$G$8,L$11,FALSE)  +  NJ!$D$2 ) * IF($D27="NJ",1.07,1))/$L$10, CHOOSE($M$10,$L$9,$M$9) )</f>
        <v xml:space="preserve"> 37.16 </v>
      </c>
      <c r="M27" s="173" t="str">
        <f>TEXT(   (SUMPRODUCT( ((LMPMain!$H$9:$H$1000)=$E27)*((LMPMain!$J$9:$J$1000)=$F27)*((LMPMain!$O$9:$O$1000)=$C27)*(LMPMain!S$9:S$1000) ) +  ( SUMPRODUCT( ((Adders!$D$13:$D$101)=$E27)*((Adders!$E$13:$E$101)=$F27)*(Adders!H$13:H$101)) + VLOOKUP($H27,Adders!$B$5:$G$8,M$11,FALSE)  +  NJ!$D$2 ) * IF($D27="NJ",1.07,1))/$L$10, CHOOSE($M$10,$L$9,$M$9) )</f>
        <v xml:space="preserve"> 36.72 </v>
      </c>
      <c r="N27" s="174" t="str">
        <f>TEXT(   (SUMPRODUCT( ((LMPMain!$H$9:$H$1000)=$E27)*((LMPMain!$J$9:$J$1000)=$F27)*((LMPMain!$O$9:$O$1000)=$C27)*(LMPMain!T$9:T$1000) ) +  ( SUMPRODUCT( ((Adders!$D$13:$D$101)=$E27)*((Adders!$E$13:$E$101)=$F27)*(Adders!I$13:I$101)) + VLOOKUP($H27,Adders!$B$5:$G$8,N$11,FALSE)  +  NJ!$D$2 ) * IF($D27="NJ",1.07,1))/$L$10, CHOOSE($M$10,$L$9,$M$9) )</f>
        <v xml:space="preserve"> 35.88 </v>
      </c>
      <c r="O27" s="112"/>
    </row>
    <row r="28" spans="2:15" x14ac:dyDescent="0.25">
      <c r="B28" s="108"/>
      <c r="C28" s="135">
        <f>+C27</f>
        <v>42278</v>
      </c>
      <c r="D28" s="136" t="s">
        <v>39</v>
      </c>
      <c r="E28" s="137" t="s">
        <v>40</v>
      </c>
      <c r="F28" s="136" t="s">
        <v>42</v>
      </c>
      <c r="G28" s="137" t="str">
        <f t="shared" si="0"/>
        <v>General Service Large</v>
      </c>
      <c r="H28" s="138" t="s">
        <v>690</v>
      </c>
      <c r="I28" s="176" t="str">
        <f>TEXT(   (SUMPRODUCT( ((Main!$H$9:$H$1000)=$E28)*((Main!$J$9:$J$1000)=$F28)*((Main!$O$9:$O$1000)=$C28)*(Main!R$9:R$1000) ) +  ( SUMPRODUCT( ((Adders!$D$13:$D$101)=$E28)*((Adders!$E$13:$E$101)=$F28)*(Adders!G$13:G$101)) + VLOOKUP($H28,Adders!$B$5:$G$8,L$11,FALSE)  +  MD!$D$2 ) * IF($D28="NJ",1.07,1))/$L$10, CHOOSE($M$10,$L$9,$M$9) )</f>
        <v xml:space="preserve"> 82.94 </v>
      </c>
      <c r="J28" s="176" t="str">
        <f>TEXT(   (SUMPRODUCT( ((Main!$H$9:$H$1000)=$E28)*((Main!$J$9:$J$1000)=$F28)*((Main!$O$9:$O$1000)=$C28)*(Main!S$9:S$1000) ) +  ( SUMPRODUCT( ((Adders!$D$13:$D$101)=$E28)*((Adders!$E$13:$E$101)=$F28)*(Adders!H$13:H$101)) + VLOOKUP($H28,Adders!$B$5:$G$8,M$11,FALSE)  +  MD!$D$2 ) * IF($D28="NJ",1.07,1))/$L$10, CHOOSE($M$10,$L$9,$M$9) )</f>
        <v xml:space="preserve"> 82.96 </v>
      </c>
      <c r="K28" s="177" t="str">
        <f>TEXT(   (SUMPRODUCT( ((Main!$H$9:$H$1000)=$E28)*((Main!$J$9:$J$1000)=$F28)*((Main!$O$9:$O$1000)=$C28)*(Main!T$9:T$1000) ) +  ( SUMPRODUCT( ((Adders!$D$13:$D$101)=$E28)*((Adders!$E$13:$E$101)=$F28)*(Adders!I$13:I$101)) + VLOOKUP($H28,Adders!$B$5:$G$8,$N$11,FALSE)  +  MD!$D$2 ) * IF($D28="NJ",1.07,1))/$L$10, CHOOSE($M$10,$L$9,$M$9) )</f>
        <v xml:space="preserve"> 81.89 </v>
      </c>
      <c r="L28" s="176" t="str">
        <f>TEXT(   (SUMPRODUCT( ((LMPMain!$H$9:$H$1000)=$E28)*((LMPMain!$J$9:$J$1000)=$F28)*((LMPMain!$O$9:$O$1000)=$C28)*(LMPMain!R$9:R$1000) ) +  ( SUMPRODUCT( ((Adders!$D$13:$D$101)=$E28)*((Adders!$E$13:$E$101)=$F28)*(Adders!G$13:G$101)) + VLOOKUP($H28,Adders!$B$5:$G$8,L$11,FALSE)  +  NJ!$D$2 ) * IF($D28="NJ",1.07,1))/$L$10, CHOOSE($M$10,$L$9,$M$9) )</f>
        <v xml:space="preserve"> 36.11 </v>
      </c>
      <c r="M28" s="176" t="str">
        <f>TEXT(   (SUMPRODUCT( ((LMPMain!$H$9:$H$1000)=$E28)*((LMPMain!$J$9:$J$1000)=$F28)*((LMPMain!$O$9:$O$1000)=$C28)*(LMPMain!S$9:S$1000) ) +  ( SUMPRODUCT( ((Adders!$D$13:$D$101)=$E28)*((Adders!$E$13:$E$101)=$F28)*(Adders!H$13:H$101)) + VLOOKUP($H28,Adders!$B$5:$G$8,M$11,FALSE)  +  NJ!$D$2 ) * IF($D28="NJ",1.07,1))/$L$10, CHOOSE($M$10,$L$9,$M$9) )</f>
        <v xml:space="preserve"> 35.67 </v>
      </c>
      <c r="N28" s="177" t="str">
        <f>TEXT(   (SUMPRODUCT( ((LMPMain!$H$9:$H$1000)=$E28)*((LMPMain!$J$9:$J$1000)=$F28)*((LMPMain!$O$9:$O$1000)=$C28)*(LMPMain!T$9:T$1000) ) +  ( SUMPRODUCT( ((Adders!$D$13:$D$101)=$E28)*((Adders!$E$13:$E$101)=$F28)*(Adders!I$13:I$101)) + VLOOKUP($H28,Adders!$B$5:$G$8,N$11,FALSE)  +  NJ!$D$2 ) * IF($D28="NJ",1.07,1))/$L$10, CHOOSE($M$10,$L$9,$M$9) )</f>
        <v xml:space="preserve"> 34.83 </v>
      </c>
      <c r="O28" s="112"/>
    </row>
    <row r="29" spans="2:15" x14ac:dyDescent="0.25">
      <c r="B29" s="108"/>
      <c r="C29" s="127">
        <f>DATE(YEAR(C28),MONTH(C28)+1,0)+1</f>
        <v>42309</v>
      </c>
      <c r="D29" s="128" t="s">
        <v>39</v>
      </c>
      <c r="E29" s="129" t="s">
        <v>40</v>
      </c>
      <c r="F29" s="128" t="s">
        <v>42</v>
      </c>
      <c r="G29" s="129" t="str">
        <f t="shared" si="0"/>
        <v>General Service Large</v>
      </c>
      <c r="H29" s="130" t="s">
        <v>61</v>
      </c>
      <c r="I29" s="178" t="str">
        <f>TEXT(   (SUMPRODUCT( ((Main!$H$9:$H$1000)=$E29)*((Main!$J$9:$J$1000)=$F29)*((Main!$O$9:$O$1000)=$C29)*(Main!R$9:R$1000) ) +  ( SUMPRODUCT( ((Adders!$D$13:$D$101)=$E29)*((Adders!$E$13:$E$101)=$F29)*(Adders!G$13:G$101)) + VLOOKUP($H29,Adders!$B$5:$G$8,L$11,FALSE)  +  MD!$D$2 ) * IF($D29="NJ",1.07,1))/$L$10, CHOOSE($M$10,$L$9,$M$9) )</f>
        <v xml:space="preserve"> 85.26 </v>
      </c>
      <c r="J29" s="178" t="str">
        <f>TEXT(   (SUMPRODUCT( ((Main!$H$9:$H$1000)=$E29)*((Main!$J$9:$J$1000)=$F29)*((Main!$O$9:$O$1000)=$C29)*(Main!S$9:S$1000) ) +  ( SUMPRODUCT( ((Adders!$D$13:$D$101)=$E29)*((Adders!$E$13:$E$101)=$F29)*(Adders!H$13:H$101)) + VLOOKUP($H29,Adders!$B$5:$G$8,M$11,FALSE)  +  MD!$D$2 ) * IF($D29="NJ",1.07,1))/$L$10, CHOOSE($M$10,$L$9,$M$9) )</f>
        <v xml:space="preserve"> 85.79 </v>
      </c>
      <c r="K29" s="179" t="str">
        <f>TEXT(   (SUMPRODUCT( ((Main!$H$9:$H$1000)=$E29)*((Main!$J$9:$J$1000)=$F29)*((Main!$O$9:$O$1000)=$C29)*(Main!T$9:T$1000) ) +  ( SUMPRODUCT( ((Adders!$D$13:$D$101)=$E29)*((Adders!$E$13:$E$101)=$F29)*(Adders!I$13:I$101)) + VLOOKUP($H29,Adders!$B$5:$G$8,$N$11,FALSE)  +  MD!$D$2 ) * IF($D29="NJ",1.07,1))/$L$10, CHOOSE($M$10,$L$9,$M$9) )</f>
        <v xml:space="preserve"> 84.43 </v>
      </c>
      <c r="L29" s="178" t="str">
        <f>TEXT(   (SUMPRODUCT( ((LMPMain!$H$9:$H$1000)=$E29)*((LMPMain!$J$9:$J$1000)=$F29)*((LMPMain!$O$9:$O$1000)=$C29)*(LMPMain!R$9:R$1000) ) +  ( SUMPRODUCT( ((Adders!$D$13:$D$101)=$E29)*((Adders!$E$13:$E$101)=$F29)*(Adders!G$13:G$101)) + VLOOKUP($H29,Adders!$B$5:$G$8,L$11,FALSE)  +  NJ!$D$2 ) * IF($D29="NJ",1.07,1))/$L$10, CHOOSE($M$10,$L$9,$M$9) )</f>
        <v xml:space="preserve"> 38.46 </v>
      </c>
      <c r="M29" s="178" t="str">
        <f>TEXT(   (SUMPRODUCT( ((LMPMain!$H$9:$H$1000)=$E29)*((LMPMain!$J$9:$J$1000)=$F29)*((LMPMain!$O$9:$O$1000)=$C29)*(LMPMain!S$9:S$1000) ) +  ( SUMPRODUCT( ((Adders!$D$13:$D$101)=$E29)*((Adders!$E$13:$E$101)=$F29)*(Adders!H$13:H$101)) + VLOOKUP($H29,Adders!$B$5:$G$8,M$11,FALSE)  +  NJ!$D$2 ) * IF($D29="NJ",1.07,1))/$L$10, CHOOSE($M$10,$L$9,$M$9) )</f>
        <v xml:space="preserve"> 38.29 </v>
      </c>
      <c r="N29" s="179" t="str">
        <f>TEXT(   (SUMPRODUCT( ((LMPMain!$H$9:$H$1000)=$E29)*((LMPMain!$J$9:$J$1000)=$F29)*((LMPMain!$O$9:$O$1000)=$C29)*(LMPMain!T$9:T$1000) ) +  ( SUMPRODUCT( ((Adders!$D$13:$D$101)=$E29)*((Adders!$E$13:$E$101)=$F29)*(Adders!I$13:I$101)) + VLOOKUP($H29,Adders!$B$5:$G$8,N$11,FALSE)  +  NJ!$D$2 ) * IF($D29="NJ",1.07,1))/$L$10, CHOOSE($M$10,$L$9,$M$9) )</f>
        <v xml:space="preserve"> 37.35 </v>
      </c>
      <c r="O29" s="112"/>
    </row>
    <row r="30" spans="2:15" x14ac:dyDescent="0.25">
      <c r="B30" s="108"/>
      <c r="C30" s="131">
        <f>+C29</f>
        <v>42309</v>
      </c>
      <c r="D30" s="132" t="s">
        <v>39</v>
      </c>
      <c r="E30" s="133" t="s">
        <v>40</v>
      </c>
      <c r="F30" s="132" t="s">
        <v>42</v>
      </c>
      <c r="G30" s="133" t="str">
        <f t="shared" si="0"/>
        <v>General Service Large</v>
      </c>
      <c r="H30" s="134" t="s">
        <v>62</v>
      </c>
      <c r="I30" s="173" t="str">
        <f>TEXT(   (SUMPRODUCT( ((Main!$H$9:$H$1000)=$E30)*((Main!$J$9:$J$1000)=$F30)*((Main!$O$9:$O$1000)=$C30)*(Main!R$9:R$1000) ) +  ( SUMPRODUCT( ((Adders!$D$13:$D$101)=$E30)*((Adders!$E$13:$E$101)=$F30)*(Adders!G$13:G$101)) + VLOOKUP($H30,Adders!$B$5:$G$8,L$11,FALSE)  +  MD!$D$2 ) * IF($D30="NJ",1.07,1))/$L$10, CHOOSE($M$10,$L$9,$M$9) )</f>
        <v xml:space="preserve"> 83.66 </v>
      </c>
      <c r="J30" s="173" t="str">
        <f>TEXT(   (SUMPRODUCT( ((Main!$H$9:$H$1000)=$E30)*((Main!$J$9:$J$1000)=$F30)*((Main!$O$9:$O$1000)=$C30)*(Main!S$9:S$1000) ) +  ( SUMPRODUCT( ((Adders!$D$13:$D$101)=$E30)*((Adders!$E$13:$E$101)=$F30)*(Adders!H$13:H$101)) + VLOOKUP($H30,Adders!$B$5:$G$8,M$11,FALSE)  +  MD!$D$2 ) * IF($D30="NJ",1.07,1))/$L$10, CHOOSE($M$10,$L$9,$M$9) )</f>
        <v xml:space="preserve"> 84.19 </v>
      </c>
      <c r="K30" s="174" t="str">
        <f>TEXT(   (SUMPRODUCT( ((Main!$H$9:$H$1000)=$E30)*((Main!$J$9:$J$1000)=$F30)*((Main!$O$9:$O$1000)=$C30)*(Main!T$9:T$1000) ) +  ( SUMPRODUCT( ((Adders!$D$13:$D$101)=$E30)*((Adders!$E$13:$E$101)=$F30)*(Adders!I$13:I$101)) + VLOOKUP($H30,Adders!$B$5:$G$8,$N$11,FALSE)  +  MD!$D$2 ) * IF($D30="NJ",1.07,1))/$L$10, CHOOSE($M$10,$L$9,$M$9) )</f>
        <v xml:space="preserve"> 82.83 </v>
      </c>
      <c r="L30" s="173" t="str">
        <f>TEXT(   (SUMPRODUCT( ((LMPMain!$H$9:$H$1000)=$E30)*((LMPMain!$J$9:$J$1000)=$F30)*((LMPMain!$O$9:$O$1000)=$C30)*(LMPMain!R$9:R$1000) ) +  ( SUMPRODUCT( ((Adders!$D$13:$D$101)=$E30)*((Adders!$E$13:$E$101)=$F30)*(Adders!G$13:G$101)) + VLOOKUP($H30,Adders!$B$5:$G$8,L$11,FALSE)  +  NJ!$D$2 ) * IF($D30="NJ",1.07,1))/$L$10, CHOOSE($M$10,$L$9,$M$9) )</f>
        <v xml:space="preserve"> 36.86 </v>
      </c>
      <c r="M30" s="173" t="str">
        <f>TEXT(   (SUMPRODUCT( ((LMPMain!$H$9:$H$1000)=$E30)*((LMPMain!$J$9:$J$1000)=$F30)*((LMPMain!$O$9:$O$1000)=$C30)*(LMPMain!S$9:S$1000) ) +  ( SUMPRODUCT( ((Adders!$D$13:$D$101)=$E30)*((Adders!$E$13:$E$101)=$F30)*(Adders!H$13:H$101)) + VLOOKUP($H30,Adders!$B$5:$G$8,M$11,FALSE)  +  NJ!$D$2 ) * IF($D30="NJ",1.07,1))/$L$10, CHOOSE($M$10,$L$9,$M$9) )</f>
        <v xml:space="preserve"> 36.69 </v>
      </c>
      <c r="N30" s="174" t="str">
        <f>TEXT(   (SUMPRODUCT( ((LMPMain!$H$9:$H$1000)=$E30)*((LMPMain!$J$9:$J$1000)=$F30)*((LMPMain!$O$9:$O$1000)=$C30)*(LMPMain!T$9:T$1000) ) +  ( SUMPRODUCT( ((Adders!$D$13:$D$101)=$E30)*((Adders!$E$13:$E$101)=$F30)*(Adders!I$13:I$101)) + VLOOKUP($H30,Adders!$B$5:$G$8,N$11,FALSE)  +  NJ!$D$2 ) * IF($D30="NJ",1.07,1))/$L$10, CHOOSE($M$10,$L$9,$M$9) )</f>
        <v xml:space="preserve"> 35.75 </v>
      </c>
      <c r="O30" s="112"/>
    </row>
    <row r="31" spans="2:15" x14ac:dyDescent="0.25">
      <c r="B31" s="108"/>
      <c r="C31" s="135">
        <f>+C30</f>
        <v>42309</v>
      </c>
      <c r="D31" s="136" t="s">
        <v>39</v>
      </c>
      <c r="E31" s="137" t="s">
        <v>40</v>
      </c>
      <c r="F31" s="136" t="s">
        <v>42</v>
      </c>
      <c r="G31" s="137" t="str">
        <f t="shared" si="0"/>
        <v>General Service Large</v>
      </c>
      <c r="H31" s="138" t="s">
        <v>690</v>
      </c>
      <c r="I31" s="176" t="str">
        <f>TEXT(   (SUMPRODUCT( ((Main!$H$9:$H$1000)=$E31)*((Main!$J$9:$J$1000)=$F31)*((Main!$O$9:$O$1000)=$C31)*(Main!R$9:R$1000) ) +  ( SUMPRODUCT( ((Adders!$D$13:$D$101)=$E31)*((Adders!$E$13:$E$101)=$F31)*(Adders!G$13:G$101)) + VLOOKUP($H31,Adders!$B$5:$G$8,L$11,FALSE)  +  MD!$D$2 ) * IF($D31="NJ",1.07,1))/$L$10, CHOOSE($M$10,$L$9,$M$9) )</f>
        <v xml:space="preserve"> 82.61 </v>
      </c>
      <c r="J31" s="176" t="str">
        <f>TEXT(   (SUMPRODUCT( ((Main!$H$9:$H$1000)=$E31)*((Main!$J$9:$J$1000)=$F31)*((Main!$O$9:$O$1000)=$C31)*(Main!S$9:S$1000) ) +  ( SUMPRODUCT( ((Adders!$D$13:$D$101)=$E31)*((Adders!$E$13:$E$101)=$F31)*(Adders!H$13:H$101)) + VLOOKUP($H31,Adders!$B$5:$G$8,M$11,FALSE)  +  MD!$D$2 ) * IF($D31="NJ",1.07,1))/$L$10, CHOOSE($M$10,$L$9,$M$9) )</f>
        <v xml:space="preserve"> 83.14 </v>
      </c>
      <c r="K31" s="177" t="str">
        <f>TEXT(   (SUMPRODUCT( ((Main!$H$9:$H$1000)=$E31)*((Main!$J$9:$J$1000)=$F31)*((Main!$O$9:$O$1000)=$C31)*(Main!T$9:T$1000) ) +  ( SUMPRODUCT( ((Adders!$D$13:$D$101)=$E31)*((Adders!$E$13:$E$101)=$F31)*(Adders!I$13:I$101)) + VLOOKUP($H31,Adders!$B$5:$G$8,$N$11,FALSE)  +  MD!$D$2 ) * IF($D31="NJ",1.07,1))/$L$10, CHOOSE($M$10,$L$9,$M$9) )</f>
        <v xml:space="preserve"> 81.78 </v>
      </c>
      <c r="L31" s="176" t="str">
        <f>TEXT(   (SUMPRODUCT( ((LMPMain!$H$9:$H$1000)=$E31)*((LMPMain!$J$9:$J$1000)=$F31)*((LMPMain!$O$9:$O$1000)=$C31)*(LMPMain!R$9:R$1000) ) +  ( SUMPRODUCT( ((Adders!$D$13:$D$101)=$E31)*((Adders!$E$13:$E$101)=$F31)*(Adders!G$13:G$101)) + VLOOKUP($H31,Adders!$B$5:$G$8,L$11,FALSE)  +  NJ!$D$2 ) * IF($D31="NJ",1.07,1))/$L$10, CHOOSE($M$10,$L$9,$M$9) )</f>
        <v xml:space="preserve"> 35.81 </v>
      </c>
      <c r="M31" s="176" t="str">
        <f>TEXT(   (SUMPRODUCT( ((LMPMain!$H$9:$H$1000)=$E31)*((LMPMain!$J$9:$J$1000)=$F31)*((LMPMain!$O$9:$O$1000)=$C31)*(LMPMain!S$9:S$1000) ) +  ( SUMPRODUCT( ((Adders!$D$13:$D$101)=$E31)*((Adders!$E$13:$E$101)=$F31)*(Adders!H$13:H$101)) + VLOOKUP($H31,Adders!$B$5:$G$8,M$11,FALSE)  +  NJ!$D$2 ) * IF($D31="NJ",1.07,1))/$L$10, CHOOSE($M$10,$L$9,$M$9) )</f>
        <v xml:space="preserve"> 35.64 </v>
      </c>
      <c r="N31" s="177" t="str">
        <f>TEXT(   (SUMPRODUCT( ((LMPMain!$H$9:$H$1000)=$E31)*((LMPMain!$J$9:$J$1000)=$F31)*((LMPMain!$O$9:$O$1000)=$C31)*(LMPMain!T$9:T$1000) ) +  ( SUMPRODUCT( ((Adders!$D$13:$D$101)=$E31)*((Adders!$E$13:$E$101)=$F31)*(Adders!I$13:I$101)) + VLOOKUP($H31,Adders!$B$5:$G$8,N$11,FALSE)  +  NJ!$D$2 ) * IF($D31="NJ",1.07,1))/$L$10, CHOOSE($M$10,$L$9,$M$9) )</f>
        <v xml:space="preserve"> 34.70 </v>
      </c>
      <c r="O31" s="112"/>
    </row>
    <row r="32" spans="2:15" x14ac:dyDescent="0.25">
      <c r="B32" s="108"/>
      <c r="C32" s="127">
        <f>DATE(YEAR(C31),MONTH(C31)+1,0)+1</f>
        <v>42339</v>
      </c>
      <c r="D32" s="128" t="s">
        <v>39</v>
      </c>
      <c r="E32" s="129" t="s">
        <v>40</v>
      </c>
      <c r="F32" s="128" t="s">
        <v>42</v>
      </c>
      <c r="G32" s="129" t="str">
        <f t="shared" si="0"/>
        <v>General Service Large</v>
      </c>
      <c r="H32" s="130" t="s">
        <v>61</v>
      </c>
      <c r="I32" s="178" t="str">
        <f>TEXT(   (SUMPRODUCT( ((Main!$H$9:$H$1000)=$E32)*((Main!$J$9:$J$1000)=$F32)*((Main!$O$9:$O$1000)=$C32)*(Main!R$9:R$1000) ) +  ( SUMPRODUCT( ((Adders!$D$13:$D$101)=$E32)*((Adders!$E$13:$E$101)=$F32)*(Adders!G$13:G$101)) + VLOOKUP($H32,Adders!$B$5:$G$8,L$11,FALSE)  +  MD!$D$2 ) * IF($D32="NJ",1.07,1))/$L$10, CHOOSE($M$10,$L$9,$M$9) )</f>
        <v xml:space="preserve"> 84.95 </v>
      </c>
      <c r="J32" s="178" t="str">
        <f>TEXT(   (SUMPRODUCT( ((Main!$H$9:$H$1000)=$E32)*((Main!$J$9:$J$1000)=$F32)*((Main!$O$9:$O$1000)=$C32)*(Main!S$9:S$1000) ) +  ( SUMPRODUCT( ((Adders!$D$13:$D$101)=$E32)*((Adders!$E$13:$E$101)=$F32)*(Adders!H$13:H$101)) + VLOOKUP($H32,Adders!$B$5:$G$8,M$11,FALSE)  +  MD!$D$2 ) * IF($D32="NJ",1.07,1))/$L$10, CHOOSE($M$10,$L$9,$M$9) )</f>
        <v xml:space="preserve"> 85.65 </v>
      </c>
      <c r="K32" s="179" t="str">
        <f>TEXT(   (SUMPRODUCT( ((Main!$H$9:$H$1000)=$E32)*((Main!$J$9:$J$1000)=$F32)*((Main!$O$9:$O$1000)=$C32)*(Main!T$9:T$1000) ) +  ( SUMPRODUCT( ((Adders!$D$13:$D$101)=$E32)*((Adders!$E$13:$E$101)=$F32)*(Adders!I$13:I$101)) + VLOOKUP($H32,Adders!$B$5:$G$8,$N$11,FALSE)  +  MD!$D$2 ) * IF($D32="NJ",1.07,1))/$L$10, CHOOSE($M$10,$L$9,$M$9) )</f>
        <v xml:space="preserve"> 84.29 </v>
      </c>
      <c r="L32" s="178" t="str">
        <f>TEXT(   (SUMPRODUCT( ((LMPMain!$H$9:$H$1000)=$E32)*((LMPMain!$J$9:$J$1000)=$F32)*((LMPMain!$O$9:$O$1000)=$C32)*(LMPMain!R$9:R$1000) ) +  ( SUMPRODUCT( ((Adders!$D$13:$D$101)=$E32)*((Adders!$E$13:$E$101)=$F32)*(Adders!G$13:G$101)) + VLOOKUP($H32,Adders!$B$5:$G$8,L$11,FALSE)  +  NJ!$D$2 ) * IF($D32="NJ",1.07,1))/$L$10, CHOOSE($M$10,$L$9,$M$9) )</f>
        <v xml:space="preserve"> 38.12 </v>
      </c>
      <c r="M32" s="178" t="str">
        <f>TEXT(   (SUMPRODUCT( ((LMPMain!$H$9:$H$1000)=$E32)*((LMPMain!$J$9:$J$1000)=$F32)*((LMPMain!$O$9:$O$1000)=$C32)*(LMPMain!S$9:S$1000) ) +  ( SUMPRODUCT( ((Adders!$D$13:$D$101)=$E32)*((Adders!$E$13:$E$101)=$F32)*(Adders!H$13:H$101)) + VLOOKUP($H32,Adders!$B$5:$G$8,M$11,FALSE)  +  NJ!$D$2 ) * IF($D32="NJ",1.07,1))/$L$10, CHOOSE($M$10,$L$9,$M$9) )</f>
        <v xml:space="preserve"> 38.04 </v>
      </c>
      <c r="N32" s="179" t="str">
        <f>TEXT(   (SUMPRODUCT( ((LMPMain!$H$9:$H$1000)=$E32)*((LMPMain!$J$9:$J$1000)=$F32)*((LMPMain!$O$9:$O$1000)=$C32)*(LMPMain!T$9:T$1000) ) +  ( SUMPRODUCT( ((Adders!$D$13:$D$101)=$E32)*((Adders!$E$13:$E$101)=$F32)*(Adders!I$13:I$101)) + VLOOKUP($H32,Adders!$B$5:$G$8,N$11,FALSE)  +  NJ!$D$2 ) * IF($D32="NJ",1.07,1))/$L$10, CHOOSE($M$10,$L$9,$M$9) )</f>
        <v xml:space="preserve"> 37.19 </v>
      </c>
      <c r="O32" s="112"/>
    </row>
    <row r="33" spans="2:15" x14ac:dyDescent="0.25">
      <c r="B33" s="108"/>
      <c r="C33" s="131">
        <f>+C32</f>
        <v>42339</v>
      </c>
      <c r="D33" s="132" t="s">
        <v>39</v>
      </c>
      <c r="E33" s="133" t="s">
        <v>40</v>
      </c>
      <c r="F33" s="132" t="s">
        <v>42</v>
      </c>
      <c r="G33" s="133" t="str">
        <f t="shared" si="0"/>
        <v>General Service Large</v>
      </c>
      <c r="H33" s="134" t="s">
        <v>62</v>
      </c>
      <c r="I33" s="173" t="str">
        <f>TEXT(   (SUMPRODUCT( ((Main!$H$9:$H$1000)=$E33)*((Main!$J$9:$J$1000)=$F33)*((Main!$O$9:$O$1000)=$C33)*(Main!R$9:R$1000) ) +  ( SUMPRODUCT( ((Adders!$D$13:$D$101)=$E33)*((Adders!$E$13:$E$101)=$F33)*(Adders!G$13:G$101)) + VLOOKUP($H33,Adders!$B$5:$G$8,L$11,FALSE)  +  MD!$D$2 ) * IF($D33="NJ",1.07,1))/$L$10, CHOOSE($M$10,$L$9,$M$9) )</f>
        <v xml:space="preserve"> 83.35 </v>
      </c>
      <c r="J33" s="173" t="str">
        <f>TEXT(   (SUMPRODUCT( ((Main!$H$9:$H$1000)=$E33)*((Main!$J$9:$J$1000)=$F33)*((Main!$O$9:$O$1000)=$C33)*(Main!S$9:S$1000) ) +  ( SUMPRODUCT( ((Adders!$D$13:$D$101)=$E33)*((Adders!$E$13:$E$101)=$F33)*(Adders!H$13:H$101)) + VLOOKUP($H33,Adders!$B$5:$G$8,M$11,FALSE)  +  MD!$D$2 ) * IF($D33="NJ",1.07,1))/$L$10, CHOOSE($M$10,$L$9,$M$9) )</f>
        <v xml:space="preserve"> 84.05 </v>
      </c>
      <c r="K33" s="174" t="str">
        <f>TEXT(   (SUMPRODUCT( ((Main!$H$9:$H$1000)=$E33)*((Main!$J$9:$J$1000)=$F33)*((Main!$O$9:$O$1000)=$C33)*(Main!T$9:T$1000) ) +  ( SUMPRODUCT( ((Adders!$D$13:$D$101)=$E33)*((Adders!$E$13:$E$101)=$F33)*(Adders!I$13:I$101)) + VLOOKUP($H33,Adders!$B$5:$G$8,$N$11,FALSE)  +  MD!$D$2 ) * IF($D33="NJ",1.07,1))/$L$10, CHOOSE($M$10,$L$9,$M$9) )</f>
        <v xml:space="preserve"> 82.69 </v>
      </c>
      <c r="L33" s="173" t="str">
        <f>TEXT(   (SUMPRODUCT( ((LMPMain!$H$9:$H$1000)=$E33)*((LMPMain!$J$9:$J$1000)=$F33)*((LMPMain!$O$9:$O$1000)=$C33)*(LMPMain!R$9:R$1000) ) +  ( SUMPRODUCT( ((Adders!$D$13:$D$101)=$E33)*((Adders!$E$13:$E$101)=$F33)*(Adders!G$13:G$101)) + VLOOKUP($H33,Adders!$B$5:$G$8,L$11,FALSE)  +  NJ!$D$2 ) * IF($D33="NJ",1.07,1))/$L$10, CHOOSE($M$10,$L$9,$M$9) )</f>
        <v xml:space="preserve"> 36.52 </v>
      </c>
      <c r="M33" s="173" t="str">
        <f>TEXT(   (SUMPRODUCT( ((LMPMain!$H$9:$H$1000)=$E33)*((LMPMain!$J$9:$J$1000)=$F33)*((LMPMain!$O$9:$O$1000)=$C33)*(LMPMain!S$9:S$1000) ) +  ( SUMPRODUCT( ((Adders!$D$13:$D$101)=$E33)*((Adders!$E$13:$E$101)=$F33)*(Adders!H$13:H$101)) + VLOOKUP($H33,Adders!$B$5:$G$8,M$11,FALSE)  +  NJ!$D$2 ) * IF($D33="NJ",1.07,1))/$L$10, CHOOSE($M$10,$L$9,$M$9) )</f>
        <v xml:space="preserve"> 36.44 </v>
      </c>
      <c r="N33" s="174" t="str">
        <f>TEXT(   (SUMPRODUCT( ((LMPMain!$H$9:$H$1000)=$E33)*((LMPMain!$J$9:$J$1000)=$F33)*((LMPMain!$O$9:$O$1000)=$C33)*(LMPMain!T$9:T$1000) ) +  ( SUMPRODUCT( ((Adders!$D$13:$D$101)=$E33)*((Adders!$E$13:$E$101)=$F33)*(Adders!I$13:I$101)) + VLOOKUP($H33,Adders!$B$5:$G$8,N$11,FALSE)  +  NJ!$D$2 ) * IF($D33="NJ",1.07,1))/$L$10, CHOOSE($M$10,$L$9,$M$9) )</f>
        <v xml:space="preserve"> 35.59 </v>
      </c>
      <c r="O33" s="112"/>
    </row>
    <row r="34" spans="2:15" x14ac:dyDescent="0.25">
      <c r="B34" s="108"/>
      <c r="C34" s="135">
        <f>+C33</f>
        <v>42339</v>
      </c>
      <c r="D34" s="136" t="s">
        <v>39</v>
      </c>
      <c r="E34" s="137" t="s">
        <v>40</v>
      </c>
      <c r="F34" s="136" t="s">
        <v>42</v>
      </c>
      <c r="G34" s="137" t="str">
        <f t="shared" si="0"/>
        <v>General Service Large</v>
      </c>
      <c r="H34" s="138" t="s">
        <v>690</v>
      </c>
      <c r="I34" s="176" t="str">
        <f>TEXT(   (SUMPRODUCT( ((Main!$H$9:$H$1000)=$E34)*((Main!$J$9:$J$1000)=$F34)*((Main!$O$9:$O$1000)=$C34)*(Main!R$9:R$1000) ) +  ( SUMPRODUCT( ((Adders!$D$13:$D$101)=$E34)*((Adders!$E$13:$E$101)=$F34)*(Adders!G$13:G$101)) + VLOOKUP($H34,Adders!$B$5:$G$8,L$11,FALSE)  +  MD!$D$2 ) * IF($D34="NJ",1.07,1))/$L$10, CHOOSE($M$10,$L$9,$M$9) )</f>
        <v xml:space="preserve"> 82.30 </v>
      </c>
      <c r="J34" s="176" t="str">
        <f>TEXT(   (SUMPRODUCT( ((Main!$H$9:$H$1000)=$E34)*((Main!$J$9:$J$1000)=$F34)*((Main!$O$9:$O$1000)=$C34)*(Main!S$9:S$1000) ) +  ( SUMPRODUCT( ((Adders!$D$13:$D$101)=$E34)*((Adders!$E$13:$E$101)=$F34)*(Adders!H$13:H$101)) + VLOOKUP($H34,Adders!$B$5:$G$8,M$11,FALSE)  +  MD!$D$2 ) * IF($D34="NJ",1.07,1))/$L$10, CHOOSE($M$10,$L$9,$M$9) )</f>
        <v xml:space="preserve"> 83.00 </v>
      </c>
      <c r="K34" s="177" t="str">
        <f>TEXT(   (SUMPRODUCT( ((Main!$H$9:$H$1000)=$E34)*((Main!$J$9:$J$1000)=$F34)*((Main!$O$9:$O$1000)=$C34)*(Main!T$9:T$1000) ) +  ( SUMPRODUCT( ((Adders!$D$13:$D$101)=$E34)*((Adders!$E$13:$E$101)=$F34)*(Adders!I$13:I$101)) + VLOOKUP($H34,Adders!$B$5:$G$8,$N$11,FALSE)  +  MD!$D$2 ) * IF($D34="NJ",1.07,1))/$L$10, CHOOSE($M$10,$L$9,$M$9) )</f>
        <v xml:space="preserve"> 81.64 </v>
      </c>
      <c r="L34" s="176" t="str">
        <f>TEXT(   (SUMPRODUCT( ((LMPMain!$H$9:$H$1000)=$E34)*((LMPMain!$J$9:$J$1000)=$F34)*((LMPMain!$O$9:$O$1000)=$C34)*(LMPMain!R$9:R$1000) ) +  ( SUMPRODUCT( ((Adders!$D$13:$D$101)=$E34)*((Adders!$E$13:$E$101)=$F34)*(Adders!G$13:G$101)) + VLOOKUP($H34,Adders!$B$5:$G$8,L$11,FALSE)  +  NJ!$D$2 ) * IF($D34="NJ",1.07,1))/$L$10, CHOOSE($M$10,$L$9,$M$9) )</f>
        <v xml:space="preserve"> 35.47 </v>
      </c>
      <c r="M34" s="176" t="str">
        <f>TEXT(   (SUMPRODUCT( ((LMPMain!$H$9:$H$1000)=$E34)*((LMPMain!$J$9:$J$1000)=$F34)*((LMPMain!$O$9:$O$1000)=$C34)*(LMPMain!S$9:S$1000) ) +  ( SUMPRODUCT( ((Adders!$D$13:$D$101)=$E34)*((Adders!$E$13:$E$101)=$F34)*(Adders!H$13:H$101)) + VLOOKUP($H34,Adders!$B$5:$G$8,M$11,FALSE)  +  NJ!$D$2 ) * IF($D34="NJ",1.07,1))/$L$10, CHOOSE($M$10,$L$9,$M$9) )</f>
        <v xml:space="preserve"> 35.39 </v>
      </c>
      <c r="N34" s="177" t="str">
        <f>TEXT(   (SUMPRODUCT( ((LMPMain!$H$9:$H$1000)=$E34)*((LMPMain!$J$9:$J$1000)=$F34)*((LMPMain!$O$9:$O$1000)=$C34)*(LMPMain!T$9:T$1000) ) +  ( SUMPRODUCT( ((Adders!$D$13:$D$101)=$E34)*((Adders!$E$13:$E$101)=$F34)*(Adders!I$13:I$101)) + VLOOKUP($H34,Adders!$B$5:$G$8,N$11,FALSE)  +  NJ!$D$2 ) * IF($D34="NJ",1.07,1))/$L$10, CHOOSE($M$10,$L$9,$M$9) )</f>
        <v xml:space="preserve"> 34.54 </v>
      </c>
      <c r="O34" s="112"/>
    </row>
    <row r="35" spans="2:15" x14ac:dyDescent="0.25">
      <c r="B35" s="108"/>
      <c r="C35" s="127">
        <f>DATE(YEAR(C34),MONTH(C34)+1,0)+1</f>
        <v>42370</v>
      </c>
      <c r="D35" s="128" t="s">
        <v>39</v>
      </c>
      <c r="E35" s="129" t="s">
        <v>40</v>
      </c>
      <c r="F35" s="128" t="s">
        <v>42</v>
      </c>
      <c r="G35" s="129" t="str">
        <f t="shared" si="0"/>
        <v>General Service Large</v>
      </c>
      <c r="H35" s="130" t="s">
        <v>61</v>
      </c>
      <c r="I35" s="178" t="str">
        <f>TEXT(   (SUMPRODUCT( ((Main!$H$9:$H$1000)=$E35)*((Main!$J$9:$J$1000)=$F35)*((Main!$O$9:$O$1000)=$C35)*(Main!R$9:R$1000) ) +  ( SUMPRODUCT( ((Adders!$D$13:$D$101)=$E35)*((Adders!$E$13:$E$101)=$F35)*(Adders!G$13:G$101)) + VLOOKUP($H35,Adders!$B$5:$G$8,L$11,FALSE)  +  MD!$D$2 ) * IF($D35="NJ",1.07,1))/$L$10, CHOOSE($M$10,$L$9,$M$9) )</f>
        <v xml:space="preserve"> 84.39 </v>
      </c>
      <c r="J35" s="178" t="str">
        <f>TEXT(   (SUMPRODUCT( ((Main!$H$9:$H$1000)=$E35)*((Main!$J$9:$J$1000)=$F35)*((Main!$O$9:$O$1000)=$C35)*(Main!S$9:S$1000) ) +  ( SUMPRODUCT( ((Adders!$D$13:$D$101)=$E35)*((Adders!$E$13:$E$101)=$F35)*(Adders!H$13:H$101)) + VLOOKUP($H35,Adders!$B$5:$G$8,M$11,FALSE)  +  MD!$D$2 ) * IF($D35="NJ",1.07,1))/$L$10, CHOOSE($M$10,$L$9,$M$9) )</f>
        <v xml:space="preserve"> 85.25 </v>
      </c>
      <c r="K35" s="179" t="str">
        <f>TEXT(   (SUMPRODUCT( ((Main!$H$9:$H$1000)=$E35)*((Main!$J$9:$J$1000)=$F35)*((Main!$O$9:$O$1000)=$C35)*(Main!T$9:T$1000) ) +  ( SUMPRODUCT( ((Adders!$D$13:$D$101)=$E35)*((Adders!$E$13:$E$101)=$F35)*(Adders!I$13:I$101)) + VLOOKUP($H35,Adders!$B$5:$G$8,$N$11,FALSE)  +  MD!$D$2 ) * IF($D35="NJ",1.07,1))/$L$10, CHOOSE($M$10,$L$9,$M$9) )</f>
        <v xml:space="preserve"> 84.03 </v>
      </c>
      <c r="L35" s="178" t="str">
        <f>TEXT(   (SUMPRODUCT( ((LMPMain!$H$9:$H$1000)=$E35)*((LMPMain!$J$9:$J$1000)=$F35)*((LMPMain!$O$9:$O$1000)=$C35)*(LMPMain!R$9:R$1000) ) +  ( SUMPRODUCT( ((Adders!$D$13:$D$101)=$E35)*((Adders!$E$13:$E$101)=$F35)*(Adders!G$13:G$101)) + VLOOKUP($H35,Adders!$B$5:$G$8,L$11,FALSE)  +  NJ!$D$2 ) * IF($D35="NJ",1.07,1))/$L$10, CHOOSE($M$10,$L$9,$M$9) )</f>
        <v xml:space="preserve"> 37.80 </v>
      </c>
      <c r="M35" s="178" t="str">
        <f>TEXT(   (SUMPRODUCT( ((LMPMain!$H$9:$H$1000)=$E35)*((LMPMain!$J$9:$J$1000)=$F35)*((LMPMain!$O$9:$O$1000)=$C35)*(LMPMain!S$9:S$1000) ) +  ( SUMPRODUCT( ((Adders!$D$13:$D$101)=$E35)*((Adders!$E$13:$E$101)=$F35)*(Adders!H$13:H$101)) + VLOOKUP($H35,Adders!$B$5:$G$8,M$11,FALSE)  +  NJ!$D$2 ) * IF($D35="NJ",1.07,1))/$L$10, CHOOSE($M$10,$L$9,$M$9) )</f>
        <v xml:space="preserve"> 37.70 </v>
      </c>
      <c r="N35" s="179" t="str">
        <f>TEXT(   (SUMPRODUCT( ((LMPMain!$H$9:$H$1000)=$E35)*((LMPMain!$J$9:$J$1000)=$F35)*((LMPMain!$O$9:$O$1000)=$C35)*(LMPMain!T$9:T$1000) ) +  ( SUMPRODUCT( ((Adders!$D$13:$D$101)=$E35)*((Adders!$E$13:$E$101)=$F35)*(Adders!I$13:I$101)) + VLOOKUP($H35,Adders!$B$5:$G$8,N$11,FALSE)  +  NJ!$D$2 ) * IF($D35="NJ",1.07,1))/$L$10, CHOOSE($M$10,$L$9,$M$9) )</f>
        <v xml:space="preserve"> 37.05 </v>
      </c>
      <c r="O35" s="112"/>
    </row>
    <row r="36" spans="2:15" x14ac:dyDescent="0.25">
      <c r="B36" s="108"/>
      <c r="C36" s="131">
        <f>+C35</f>
        <v>42370</v>
      </c>
      <c r="D36" s="132" t="s">
        <v>39</v>
      </c>
      <c r="E36" s="133" t="s">
        <v>40</v>
      </c>
      <c r="F36" s="132" t="s">
        <v>42</v>
      </c>
      <c r="G36" s="133" t="str">
        <f t="shared" si="0"/>
        <v>General Service Large</v>
      </c>
      <c r="H36" s="134" t="s">
        <v>62</v>
      </c>
      <c r="I36" s="173" t="str">
        <f>TEXT(   (SUMPRODUCT( ((Main!$H$9:$H$1000)=$E36)*((Main!$J$9:$J$1000)=$F36)*((Main!$O$9:$O$1000)=$C36)*(Main!R$9:R$1000) ) +  ( SUMPRODUCT( ((Adders!$D$13:$D$101)=$E36)*((Adders!$E$13:$E$101)=$F36)*(Adders!G$13:G$101)) + VLOOKUP($H36,Adders!$B$5:$G$8,L$11,FALSE)  +  MD!$D$2 ) * IF($D36="NJ",1.07,1))/$L$10, CHOOSE($M$10,$L$9,$M$9) )</f>
        <v xml:space="preserve"> 82.79 </v>
      </c>
      <c r="J36" s="173" t="str">
        <f>TEXT(   (SUMPRODUCT( ((Main!$H$9:$H$1000)=$E36)*((Main!$J$9:$J$1000)=$F36)*((Main!$O$9:$O$1000)=$C36)*(Main!S$9:S$1000) ) +  ( SUMPRODUCT( ((Adders!$D$13:$D$101)=$E36)*((Adders!$E$13:$E$101)=$F36)*(Adders!H$13:H$101)) + VLOOKUP($H36,Adders!$B$5:$G$8,M$11,FALSE)  +  MD!$D$2 ) * IF($D36="NJ",1.07,1))/$L$10, CHOOSE($M$10,$L$9,$M$9) )</f>
        <v xml:space="preserve"> 83.65 </v>
      </c>
      <c r="K36" s="174" t="str">
        <f>TEXT(   (SUMPRODUCT( ((Main!$H$9:$H$1000)=$E36)*((Main!$J$9:$J$1000)=$F36)*((Main!$O$9:$O$1000)=$C36)*(Main!T$9:T$1000) ) +  ( SUMPRODUCT( ((Adders!$D$13:$D$101)=$E36)*((Adders!$E$13:$E$101)=$F36)*(Adders!I$13:I$101)) + VLOOKUP($H36,Adders!$B$5:$G$8,$N$11,FALSE)  +  MD!$D$2 ) * IF($D36="NJ",1.07,1))/$L$10, CHOOSE($M$10,$L$9,$M$9) )</f>
        <v xml:space="preserve"> 82.43 </v>
      </c>
      <c r="L36" s="173" t="str">
        <f>TEXT(   (SUMPRODUCT( ((LMPMain!$H$9:$H$1000)=$E36)*((LMPMain!$J$9:$J$1000)=$F36)*((LMPMain!$O$9:$O$1000)=$C36)*(LMPMain!R$9:R$1000) ) +  ( SUMPRODUCT( ((Adders!$D$13:$D$101)=$E36)*((Adders!$E$13:$E$101)=$F36)*(Adders!G$13:G$101)) + VLOOKUP($H36,Adders!$B$5:$G$8,L$11,FALSE)  +  NJ!$D$2 ) * IF($D36="NJ",1.07,1))/$L$10, CHOOSE($M$10,$L$9,$M$9) )</f>
        <v xml:space="preserve"> 36.20 </v>
      </c>
      <c r="M36" s="173" t="str">
        <f>TEXT(   (SUMPRODUCT( ((LMPMain!$H$9:$H$1000)=$E36)*((LMPMain!$J$9:$J$1000)=$F36)*((LMPMain!$O$9:$O$1000)=$C36)*(LMPMain!S$9:S$1000) ) +  ( SUMPRODUCT( ((Adders!$D$13:$D$101)=$E36)*((Adders!$E$13:$E$101)=$F36)*(Adders!H$13:H$101)) + VLOOKUP($H36,Adders!$B$5:$G$8,M$11,FALSE)  +  NJ!$D$2 ) * IF($D36="NJ",1.07,1))/$L$10, CHOOSE($M$10,$L$9,$M$9) )</f>
        <v xml:space="preserve"> 36.10 </v>
      </c>
      <c r="N36" s="174" t="str">
        <f>TEXT(   (SUMPRODUCT( ((LMPMain!$H$9:$H$1000)=$E36)*((LMPMain!$J$9:$J$1000)=$F36)*((LMPMain!$O$9:$O$1000)=$C36)*(LMPMain!T$9:T$1000) ) +  ( SUMPRODUCT( ((Adders!$D$13:$D$101)=$E36)*((Adders!$E$13:$E$101)=$F36)*(Adders!I$13:I$101)) + VLOOKUP($H36,Adders!$B$5:$G$8,N$11,FALSE)  +  NJ!$D$2 ) * IF($D36="NJ",1.07,1))/$L$10, CHOOSE($M$10,$L$9,$M$9) )</f>
        <v xml:space="preserve"> 35.45 </v>
      </c>
      <c r="O36" s="112"/>
    </row>
    <row r="37" spans="2:15" x14ac:dyDescent="0.25">
      <c r="B37" s="108"/>
      <c r="C37" s="135">
        <f>+C36</f>
        <v>42370</v>
      </c>
      <c r="D37" s="136" t="s">
        <v>39</v>
      </c>
      <c r="E37" s="137" t="s">
        <v>40</v>
      </c>
      <c r="F37" s="136" t="s">
        <v>42</v>
      </c>
      <c r="G37" s="137" t="str">
        <f t="shared" si="0"/>
        <v>General Service Large</v>
      </c>
      <c r="H37" s="138" t="s">
        <v>690</v>
      </c>
      <c r="I37" s="176" t="str">
        <f>TEXT(   (SUMPRODUCT( ((Main!$H$9:$H$1000)=$E37)*((Main!$J$9:$J$1000)=$F37)*((Main!$O$9:$O$1000)=$C37)*(Main!R$9:R$1000) ) +  ( SUMPRODUCT( ((Adders!$D$13:$D$101)=$E37)*((Adders!$E$13:$E$101)=$F37)*(Adders!G$13:G$101)) + VLOOKUP($H37,Adders!$B$5:$G$8,L$11,FALSE)  +  MD!$D$2 ) * IF($D37="NJ",1.07,1))/$L$10, CHOOSE($M$10,$L$9,$M$9) )</f>
        <v xml:space="preserve"> 81.74 </v>
      </c>
      <c r="J37" s="176" t="str">
        <f>TEXT(   (SUMPRODUCT( ((Main!$H$9:$H$1000)=$E37)*((Main!$J$9:$J$1000)=$F37)*((Main!$O$9:$O$1000)=$C37)*(Main!S$9:S$1000) ) +  ( SUMPRODUCT( ((Adders!$D$13:$D$101)=$E37)*((Adders!$E$13:$E$101)=$F37)*(Adders!H$13:H$101)) + VLOOKUP($H37,Adders!$B$5:$G$8,M$11,FALSE)  +  MD!$D$2 ) * IF($D37="NJ",1.07,1))/$L$10, CHOOSE($M$10,$L$9,$M$9) )</f>
        <v xml:space="preserve"> 82.60 </v>
      </c>
      <c r="K37" s="177" t="str">
        <f>TEXT(   (SUMPRODUCT( ((Main!$H$9:$H$1000)=$E37)*((Main!$J$9:$J$1000)=$F37)*((Main!$O$9:$O$1000)=$C37)*(Main!T$9:T$1000) ) +  ( SUMPRODUCT( ((Adders!$D$13:$D$101)=$E37)*((Adders!$E$13:$E$101)=$F37)*(Adders!I$13:I$101)) + VLOOKUP($H37,Adders!$B$5:$G$8,$N$11,FALSE)  +  MD!$D$2 ) * IF($D37="NJ",1.07,1))/$L$10, CHOOSE($M$10,$L$9,$M$9) )</f>
        <v xml:space="preserve"> 81.38 </v>
      </c>
      <c r="L37" s="176" t="str">
        <f>TEXT(   (SUMPRODUCT( ((LMPMain!$H$9:$H$1000)=$E37)*((LMPMain!$J$9:$J$1000)=$F37)*((LMPMain!$O$9:$O$1000)=$C37)*(LMPMain!R$9:R$1000) ) +  ( SUMPRODUCT( ((Adders!$D$13:$D$101)=$E37)*((Adders!$E$13:$E$101)=$F37)*(Adders!G$13:G$101)) + VLOOKUP($H37,Adders!$B$5:$G$8,L$11,FALSE)  +  NJ!$D$2 ) * IF($D37="NJ",1.07,1))/$L$10, CHOOSE($M$10,$L$9,$M$9) )</f>
        <v xml:space="preserve"> 35.15 </v>
      </c>
      <c r="M37" s="176" t="str">
        <f>TEXT(   (SUMPRODUCT( ((LMPMain!$H$9:$H$1000)=$E37)*((LMPMain!$J$9:$J$1000)=$F37)*((LMPMain!$O$9:$O$1000)=$C37)*(LMPMain!S$9:S$1000) ) +  ( SUMPRODUCT( ((Adders!$D$13:$D$101)=$E37)*((Adders!$E$13:$E$101)=$F37)*(Adders!H$13:H$101)) + VLOOKUP($H37,Adders!$B$5:$G$8,M$11,FALSE)  +  NJ!$D$2 ) * IF($D37="NJ",1.07,1))/$L$10, CHOOSE($M$10,$L$9,$M$9) )</f>
        <v xml:space="preserve"> 35.05 </v>
      </c>
      <c r="N37" s="177" t="str">
        <f>TEXT(   (SUMPRODUCT( ((LMPMain!$H$9:$H$1000)=$E37)*((LMPMain!$J$9:$J$1000)=$F37)*((LMPMain!$O$9:$O$1000)=$C37)*(LMPMain!T$9:T$1000) ) +  ( SUMPRODUCT( ((Adders!$D$13:$D$101)=$E37)*((Adders!$E$13:$E$101)=$F37)*(Adders!I$13:I$101)) + VLOOKUP($H37,Adders!$B$5:$G$8,N$11,FALSE)  +  NJ!$D$2 ) * IF($D37="NJ",1.07,1))/$L$10, CHOOSE($M$10,$L$9,$M$9) )</f>
        <v xml:space="preserve"> 34.40 </v>
      </c>
      <c r="O37" s="112"/>
    </row>
    <row r="38" spans="2:15" x14ac:dyDescent="0.25">
      <c r="B38" s="108"/>
      <c r="C38" s="127">
        <f>DATE(YEAR(C37),MONTH(C37)+1,0)+1</f>
        <v>42401</v>
      </c>
      <c r="D38" s="128" t="s">
        <v>39</v>
      </c>
      <c r="E38" s="129" t="s">
        <v>40</v>
      </c>
      <c r="F38" s="128" t="s">
        <v>42</v>
      </c>
      <c r="G38" s="129" t="str">
        <f t="shared" si="0"/>
        <v>General Service Large</v>
      </c>
      <c r="H38" s="130" t="s">
        <v>61</v>
      </c>
      <c r="I38" s="178" t="str">
        <f>TEXT(   (SUMPRODUCT( ((Main!$H$9:$H$1000)=$E38)*((Main!$J$9:$J$1000)=$F38)*((Main!$O$9:$O$1000)=$C38)*(Main!R$9:R$1000) ) +  ( SUMPRODUCT( ((Adders!$D$13:$D$101)=$E38)*((Adders!$E$13:$E$101)=$F38)*(Adders!G$13:G$101)) + VLOOKUP($H38,Adders!$B$5:$G$8,L$11,FALSE)  +  MD!$D$2 ) * IF($D38="NJ",1.07,1))/$L$10, CHOOSE($M$10,$L$9,$M$9) )</f>
        <v xml:space="preserve"> 84.16 </v>
      </c>
      <c r="J38" s="178" t="str">
        <f>TEXT(   (SUMPRODUCT( ((Main!$H$9:$H$1000)=$E38)*((Main!$J$9:$J$1000)=$F38)*((Main!$O$9:$O$1000)=$C38)*(Main!S$9:S$1000) ) +  ( SUMPRODUCT( ((Adders!$D$13:$D$101)=$E38)*((Adders!$E$13:$E$101)=$F38)*(Adders!H$13:H$101)) + VLOOKUP($H38,Adders!$B$5:$G$8,M$11,FALSE)  +  MD!$D$2 ) * IF($D38="NJ",1.07,1))/$L$10, CHOOSE($M$10,$L$9,$M$9) )</f>
        <v xml:space="preserve"> 84.45 </v>
      </c>
      <c r="K38" s="179" t="str">
        <f>TEXT(   (SUMPRODUCT( ((Main!$H$9:$H$1000)=$E38)*((Main!$J$9:$J$1000)=$F38)*((Main!$O$9:$O$1000)=$C38)*(Main!T$9:T$1000) ) +  ( SUMPRODUCT( ((Adders!$D$13:$D$101)=$E38)*((Adders!$E$13:$E$101)=$F38)*(Adders!I$13:I$101)) + VLOOKUP($H38,Adders!$B$5:$G$8,$N$11,FALSE)  +  MD!$D$2 ) * IF($D38="NJ",1.07,1))/$L$10, CHOOSE($M$10,$L$9,$M$9) )</f>
        <v xml:space="preserve"> 84.04 </v>
      </c>
      <c r="L38" s="178" t="str">
        <f>TEXT(   (SUMPRODUCT( ((LMPMain!$H$9:$H$1000)=$E38)*((LMPMain!$J$9:$J$1000)=$F38)*((LMPMain!$O$9:$O$1000)=$C38)*(LMPMain!R$9:R$1000) ) +  ( SUMPRODUCT( ((Adders!$D$13:$D$101)=$E38)*((Adders!$E$13:$E$101)=$F38)*(Adders!G$13:G$101)) + VLOOKUP($H38,Adders!$B$5:$G$8,L$11,FALSE)  +  NJ!$D$2 ) * IF($D38="NJ",1.07,1))/$L$10, CHOOSE($M$10,$L$9,$M$9) )</f>
        <v xml:space="preserve"> 37.42 </v>
      </c>
      <c r="M38" s="178" t="str">
        <f>TEXT(   (SUMPRODUCT( ((LMPMain!$H$9:$H$1000)=$E38)*((LMPMain!$J$9:$J$1000)=$F38)*((LMPMain!$O$9:$O$1000)=$C38)*(LMPMain!S$9:S$1000) ) +  ( SUMPRODUCT( ((Adders!$D$13:$D$101)=$E38)*((Adders!$E$13:$E$101)=$F38)*(Adders!H$13:H$101)) + VLOOKUP($H38,Adders!$B$5:$G$8,M$11,FALSE)  +  NJ!$D$2 ) * IF($D38="NJ",1.07,1))/$L$10, CHOOSE($M$10,$L$9,$M$9) )</f>
        <v xml:space="preserve"> 37.18 </v>
      </c>
      <c r="N38" s="179" t="str">
        <f>TEXT(   (SUMPRODUCT( ((LMPMain!$H$9:$H$1000)=$E38)*((LMPMain!$J$9:$J$1000)=$F38)*((LMPMain!$O$9:$O$1000)=$C38)*(LMPMain!T$9:T$1000) ) +  ( SUMPRODUCT( ((Adders!$D$13:$D$101)=$E38)*((Adders!$E$13:$E$101)=$F38)*(Adders!I$13:I$101)) + VLOOKUP($H38,Adders!$B$5:$G$8,N$11,FALSE)  +  NJ!$D$2 ) * IF($D38="NJ",1.07,1))/$L$10, CHOOSE($M$10,$L$9,$M$9) )</f>
        <v xml:space="preserve"> 36.91 </v>
      </c>
      <c r="O38" s="112"/>
    </row>
    <row r="39" spans="2:15" x14ac:dyDescent="0.25">
      <c r="B39" s="108"/>
      <c r="C39" s="131">
        <f>+C38</f>
        <v>42401</v>
      </c>
      <c r="D39" s="132" t="s">
        <v>39</v>
      </c>
      <c r="E39" s="133" t="s">
        <v>40</v>
      </c>
      <c r="F39" s="132" t="s">
        <v>42</v>
      </c>
      <c r="G39" s="133" t="str">
        <f t="shared" si="0"/>
        <v>General Service Large</v>
      </c>
      <c r="H39" s="134" t="s">
        <v>62</v>
      </c>
      <c r="I39" s="173" t="str">
        <f>TEXT(   (SUMPRODUCT( ((Main!$H$9:$H$1000)=$E39)*((Main!$J$9:$J$1000)=$F39)*((Main!$O$9:$O$1000)=$C39)*(Main!R$9:R$1000) ) +  ( SUMPRODUCT( ((Adders!$D$13:$D$101)=$E39)*((Adders!$E$13:$E$101)=$F39)*(Adders!G$13:G$101)) + VLOOKUP($H39,Adders!$B$5:$G$8,L$11,FALSE)  +  MD!$D$2 ) * IF($D39="NJ",1.07,1))/$L$10, CHOOSE($M$10,$L$9,$M$9) )</f>
        <v xml:space="preserve"> 82.56 </v>
      </c>
      <c r="J39" s="173" t="str">
        <f>TEXT(   (SUMPRODUCT( ((Main!$H$9:$H$1000)=$E39)*((Main!$J$9:$J$1000)=$F39)*((Main!$O$9:$O$1000)=$C39)*(Main!S$9:S$1000) ) +  ( SUMPRODUCT( ((Adders!$D$13:$D$101)=$E39)*((Adders!$E$13:$E$101)=$F39)*(Adders!H$13:H$101)) + VLOOKUP($H39,Adders!$B$5:$G$8,M$11,FALSE)  +  MD!$D$2 ) * IF($D39="NJ",1.07,1))/$L$10, CHOOSE($M$10,$L$9,$M$9) )</f>
        <v xml:space="preserve"> 82.85 </v>
      </c>
      <c r="K39" s="174" t="str">
        <f>TEXT(   (SUMPRODUCT( ((Main!$H$9:$H$1000)=$E39)*((Main!$J$9:$J$1000)=$F39)*((Main!$O$9:$O$1000)=$C39)*(Main!T$9:T$1000) ) +  ( SUMPRODUCT( ((Adders!$D$13:$D$101)=$E39)*((Adders!$E$13:$E$101)=$F39)*(Adders!I$13:I$101)) + VLOOKUP($H39,Adders!$B$5:$G$8,$N$11,FALSE)  +  MD!$D$2 ) * IF($D39="NJ",1.07,1))/$L$10, CHOOSE($M$10,$L$9,$M$9) )</f>
        <v xml:space="preserve"> 82.44 </v>
      </c>
      <c r="L39" s="173" t="str">
        <f>TEXT(   (SUMPRODUCT( ((LMPMain!$H$9:$H$1000)=$E39)*((LMPMain!$J$9:$J$1000)=$F39)*((LMPMain!$O$9:$O$1000)=$C39)*(LMPMain!R$9:R$1000) ) +  ( SUMPRODUCT( ((Adders!$D$13:$D$101)=$E39)*((Adders!$E$13:$E$101)=$F39)*(Adders!G$13:G$101)) + VLOOKUP($H39,Adders!$B$5:$G$8,L$11,FALSE)  +  NJ!$D$2 ) * IF($D39="NJ",1.07,1))/$L$10, CHOOSE($M$10,$L$9,$M$9) )</f>
        <v xml:space="preserve"> 35.82 </v>
      </c>
      <c r="M39" s="173" t="str">
        <f>TEXT(   (SUMPRODUCT( ((LMPMain!$H$9:$H$1000)=$E39)*((LMPMain!$J$9:$J$1000)=$F39)*((LMPMain!$O$9:$O$1000)=$C39)*(LMPMain!S$9:S$1000) ) +  ( SUMPRODUCT( ((Adders!$D$13:$D$101)=$E39)*((Adders!$E$13:$E$101)=$F39)*(Adders!H$13:H$101)) + VLOOKUP($H39,Adders!$B$5:$G$8,M$11,FALSE)  +  NJ!$D$2 ) * IF($D39="NJ",1.07,1))/$L$10, CHOOSE($M$10,$L$9,$M$9) )</f>
        <v xml:space="preserve"> 35.58 </v>
      </c>
      <c r="N39" s="174" t="str">
        <f>TEXT(   (SUMPRODUCT( ((LMPMain!$H$9:$H$1000)=$E39)*((LMPMain!$J$9:$J$1000)=$F39)*((LMPMain!$O$9:$O$1000)=$C39)*(LMPMain!T$9:T$1000) ) +  ( SUMPRODUCT( ((Adders!$D$13:$D$101)=$E39)*((Adders!$E$13:$E$101)=$F39)*(Adders!I$13:I$101)) + VLOOKUP($H39,Adders!$B$5:$G$8,N$11,FALSE)  +  NJ!$D$2 ) * IF($D39="NJ",1.07,1))/$L$10, CHOOSE($M$10,$L$9,$M$9) )</f>
        <v xml:space="preserve"> 35.31 </v>
      </c>
      <c r="O39" s="112"/>
    </row>
    <row r="40" spans="2:15" x14ac:dyDescent="0.25">
      <c r="B40" s="108"/>
      <c r="C40" s="135">
        <f>+C39</f>
        <v>42401</v>
      </c>
      <c r="D40" s="136" t="s">
        <v>39</v>
      </c>
      <c r="E40" s="137" t="s">
        <v>40</v>
      </c>
      <c r="F40" s="136" t="s">
        <v>42</v>
      </c>
      <c r="G40" s="137" t="str">
        <f t="shared" si="0"/>
        <v>General Service Large</v>
      </c>
      <c r="H40" s="138" t="s">
        <v>690</v>
      </c>
      <c r="I40" s="176" t="str">
        <f>TEXT(   (SUMPRODUCT( ((Main!$H$9:$H$1000)=$E40)*((Main!$J$9:$J$1000)=$F40)*((Main!$O$9:$O$1000)=$C40)*(Main!R$9:R$1000) ) +  ( SUMPRODUCT( ((Adders!$D$13:$D$101)=$E40)*((Adders!$E$13:$E$101)=$F40)*(Adders!G$13:G$101)) + VLOOKUP($H40,Adders!$B$5:$G$8,L$11,FALSE)  +  MD!$D$2 ) * IF($D40="NJ",1.07,1))/$L$10, CHOOSE($M$10,$L$9,$M$9) )</f>
        <v xml:space="preserve"> 81.51 </v>
      </c>
      <c r="J40" s="176" t="str">
        <f>TEXT(   (SUMPRODUCT( ((Main!$H$9:$H$1000)=$E40)*((Main!$J$9:$J$1000)=$F40)*((Main!$O$9:$O$1000)=$C40)*(Main!S$9:S$1000) ) +  ( SUMPRODUCT( ((Adders!$D$13:$D$101)=$E40)*((Adders!$E$13:$E$101)=$F40)*(Adders!H$13:H$101)) + VLOOKUP($H40,Adders!$B$5:$G$8,M$11,FALSE)  +  MD!$D$2 ) * IF($D40="NJ",1.07,1))/$L$10, CHOOSE($M$10,$L$9,$M$9) )</f>
        <v xml:space="preserve"> 81.80 </v>
      </c>
      <c r="K40" s="177" t="str">
        <f>TEXT(   (SUMPRODUCT( ((Main!$H$9:$H$1000)=$E40)*((Main!$J$9:$J$1000)=$F40)*((Main!$O$9:$O$1000)=$C40)*(Main!T$9:T$1000) ) +  ( SUMPRODUCT( ((Adders!$D$13:$D$101)=$E40)*((Adders!$E$13:$E$101)=$F40)*(Adders!I$13:I$101)) + VLOOKUP($H40,Adders!$B$5:$G$8,$N$11,FALSE)  +  MD!$D$2 ) * IF($D40="NJ",1.07,1))/$L$10, CHOOSE($M$10,$L$9,$M$9) )</f>
        <v xml:space="preserve"> 81.39 </v>
      </c>
      <c r="L40" s="176" t="str">
        <f>TEXT(   (SUMPRODUCT( ((LMPMain!$H$9:$H$1000)=$E40)*((LMPMain!$J$9:$J$1000)=$F40)*((LMPMain!$O$9:$O$1000)=$C40)*(LMPMain!R$9:R$1000) ) +  ( SUMPRODUCT( ((Adders!$D$13:$D$101)=$E40)*((Adders!$E$13:$E$101)=$F40)*(Adders!G$13:G$101)) + VLOOKUP($H40,Adders!$B$5:$G$8,L$11,FALSE)  +  NJ!$D$2 ) * IF($D40="NJ",1.07,1))/$L$10, CHOOSE($M$10,$L$9,$M$9) )</f>
        <v xml:space="preserve"> 34.77 </v>
      </c>
      <c r="M40" s="176" t="str">
        <f>TEXT(   (SUMPRODUCT( ((LMPMain!$H$9:$H$1000)=$E40)*((LMPMain!$J$9:$J$1000)=$F40)*((LMPMain!$O$9:$O$1000)=$C40)*(LMPMain!S$9:S$1000) ) +  ( SUMPRODUCT( ((Adders!$D$13:$D$101)=$E40)*((Adders!$E$13:$E$101)=$F40)*(Adders!H$13:H$101)) + VLOOKUP($H40,Adders!$B$5:$G$8,M$11,FALSE)  +  NJ!$D$2 ) * IF($D40="NJ",1.07,1))/$L$10, CHOOSE($M$10,$L$9,$M$9) )</f>
        <v xml:space="preserve"> 34.53 </v>
      </c>
      <c r="N40" s="177" t="str">
        <f>TEXT(   (SUMPRODUCT( ((LMPMain!$H$9:$H$1000)=$E40)*((LMPMain!$J$9:$J$1000)=$F40)*((LMPMain!$O$9:$O$1000)=$C40)*(LMPMain!T$9:T$1000) ) +  ( SUMPRODUCT( ((Adders!$D$13:$D$101)=$E40)*((Adders!$E$13:$E$101)=$F40)*(Adders!I$13:I$101)) + VLOOKUP($H40,Adders!$B$5:$G$8,N$11,FALSE)  +  NJ!$D$2 ) * IF($D40="NJ",1.07,1))/$L$10, CHOOSE($M$10,$L$9,$M$9) )</f>
        <v xml:space="preserve"> 34.26 </v>
      </c>
      <c r="O40" s="112"/>
    </row>
    <row r="41" spans="2:15" x14ac:dyDescent="0.25">
      <c r="B41" s="108"/>
      <c r="C41" s="127">
        <f>DATE(YEAR(C40),MONTH(C40)+1,0)+1</f>
        <v>42430</v>
      </c>
      <c r="D41" s="128" t="s">
        <v>39</v>
      </c>
      <c r="E41" s="129" t="s">
        <v>40</v>
      </c>
      <c r="F41" s="128" t="s">
        <v>42</v>
      </c>
      <c r="G41" s="129" t="str">
        <f t="shared" si="0"/>
        <v>General Service Large</v>
      </c>
      <c r="H41" s="130" t="s">
        <v>61</v>
      </c>
      <c r="I41" s="178" t="str">
        <f>TEXT(   (SUMPRODUCT( ((Main!$H$9:$H$1000)=$E41)*((Main!$J$9:$J$1000)=$F41)*((Main!$O$9:$O$1000)=$C41)*(Main!R$9:R$1000) ) +  ( SUMPRODUCT( ((Adders!$D$13:$D$101)=$E41)*((Adders!$E$13:$E$101)=$F41)*(Adders!G$13:G$101)) + VLOOKUP($H41,Adders!$B$5:$G$8,L$11,FALSE)  +  MD!$D$2 ) * IF($D41="NJ",1.07,1))/$L$10, CHOOSE($M$10,$L$9,$M$9) )</f>
        <v xml:space="preserve"> 83.88 </v>
      </c>
      <c r="J41" s="178" t="str">
        <f>TEXT(   (SUMPRODUCT( ((Main!$H$9:$H$1000)=$E41)*((Main!$J$9:$J$1000)=$F41)*((Main!$O$9:$O$1000)=$C41)*(Main!S$9:S$1000) ) +  ( SUMPRODUCT( ((Adders!$D$13:$D$101)=$E41)*((Adders!$E$13:$E$101)=$F41)*(Adders!H$13:H$101)) + VLOOKUP($H41,Adders!$B$5:$G$8,M$11,FALSE)  +  MD!$D$2 ) * IF($D41="NJ",1.07,1))/$L$10, CHOOSE($M$10,$L$9,$M$9) )</f>
        <v xml:space="preserve"> 83.69 </v>
      </c>
      <c r="K41" s="179" t="str">
        <f>TEXT(   (SUMPRODUCT( ((Main!$H$9:$H$1000)=$E41)*((Main!$J$9:$J$1000)=$F41)*((Main!$O$9:$O$1000)=$C41)*(Main!T$9:T$1000) ) +  ( SUMPRODUCT( ((Adders!$D$13:$D$101)=$E41)*((Adders!$E$13:$E$101)=$F41)*(Adders!I$13:I$101)) + VLOOKUP($H41,Adders!$B$5:$G$8,$N$11,FALSE)  +  MD!$D$2 ) * IF($D41="NJ",1.07,1))/$L$10, CHOOSE($M$10,$L$9,$M$9) )</f>
        <v xml:space="preserve"> 84.05 </v>
      </c>
      <c r="L41" s="178" t="str">
        <f>TEXT(   (SUMPRODUCT( ((LMPMain!$H$9:$H$1000)=$E41)*((LMPMain!$J$9:$J$1000)=$F41)*((LMPMain!$O$9:$O$1000)=$C41)*(LMPMain!R$9:R$1000) ) +  ( SUMPRODUCT( ((Adders!$D$13:$D$101)=$E41)*((Adders!$E$13:$E$101)=$F41)*(Adders!G$13:G$101)) + VLOOKUP($H41,Adders!$B$5:$G$8,L$11,FALSE)  +  NJ!$D$2 ) * IF($D41="NJ",1.07,1))/$L$10, CHOOSE($M$10,$L$9,$M$9) )</f>
        <v xml:space="preserve"> 37.07 </v>
      </c>
      <c r="M41" s="178" t="str">
        <f>TEXT(   (SUMPRODUCT( ((LMPMain!$H$9:$H$1000)=$E41)*((LMPMain!$J$9:$J$1000)=$F41)*((LMPMain!$O$9:$O$1000)=$C41)*(LMPMain!S$9:S$1000) ) +  ( SUMPRODUCT( ((Adders!$D$13:$D$101)=$E41)*((Adders!$E$13:$E$101)=$F41)*(Adders!H$13:H$101)) + VLOOKUP($H41,Adders!$B$5:$G$8,M$11,FALSE)  +  NJ!$D$2 ) * IF($D41="NJ",1.07,1))/$L$10, CHOOSE($M$10,$L$9,$M$9) )</f>
        <v xml:space="preserve"> 36.65 </v>
      </c>
      <c r="N41" s="179" t="str">
        <f>TEXT(   (SUMPRODUCT( ((LMPMain!$H$9:$H$1000)=$E41)*((LMPMain!$J$9:$J$1000)=$F41)*((LMPMain!$O$9:$O$1000)=$C41)*(LMPMain!T$9:T$1000) ) +  ( SUMPRODUCT( ((Adders!$D$13:$D$101)=$E41)*((Adders!$E$13:$E$101)=$F41)*(Adders!I$13:I$101)) + VLOOKUP($H41,Adders!$B$5:$G$8,N$11,FALSE)  +  NJ!$D$2 ) * IF($D41="NJ",1.07,1))/$L$10, CHOOSE($M$10,$L$9,$M$9) )</f>
        <v xml:space="preserve"> 36.80 </v>
      </c>
      <c r="O41" s="112"/>
    </row>
    <row r="42" spans="2:15" x14ac:dyDescent="0.25">
      <c r="B42" s="108"/>
      <c r="C42" s="131">
        <f>+C41</f>
        <v>42430</v>
      </c>
      <c r="D42" s="132" t="s">
        <v>39</v>
      </c>
      <c r="E42" s="133" t="s">
        <v>40</v>
      </c>
      <c r="F42" s="132" t="s">
        <v>42</v>
      </c>
      <c r="G42" s="133" t="str">
        <f t="shared" si="0"/>
        <v>General Service Large</v>
      </c>
      <c r="H42" s="134" t="s">
        <v>62</v>
      </c>
      <c r="I42" s="173" t="str">
        <f>TEXT(   (SUMPRODUCT( ((Main!$H$9:$H$1000)=$E42)*((Main!$J$9:$J$1000)=$F42)*((Main!$O$9:$O$1000)=$C42)*(Main!R$9:R$1000) ) +  ( SUMPRODUCT( ((Adders!$D$13:$D$101)=$E42)*((Adders!$E$13:$E$101)=$F42)*(Adders!G$13:G$101)) + VLOOKUP($H42,Adders!$B$5:$G$8,L$11,FALSE)  +  MD!$D$2 ) * IF($D42="NJ",1.07,1))/$L$10, CHOOSE($M$10,$L$9,$M$9) )</f>
        <v xml:space="preserve"> 82.28 </v>
      </c>
      <c r="J42" s="173" t="str">
        <f>TEXT(   (SUMPRODUCT( ((Main!$H$9:$H$1000)=$E42)*((Main!$J$9:$J$1000)=$F42)*((Main!$O$9:$O$1000)=$C42)*(Main!S$9:S$1000) ) +  ( SUMPRODUCT( ((Adders!$D$13:$D$101)=$E42)*((Adders!$E$13:$E$101)=$F42)*(Adders!H$13:H$101)) + VLOOKUP($H42,Adders!$B$5:$G$8,M$11,FALSE)  +  MD!$D$2 ) * IF($D42="NJ",1.07,1))/$L$10, CHOOSE($M$10,$L$9,$M$9) )</f>
        <v xml:space="preserve"> 82.09 </v>
      </c>
      <c r="K42" s="174" t="str">
        <f>TEXT(   (SUMPRODUCT( ((Main!$H$9:$H$1000)=$E42)*((Main!$J$9:$J$1000)=$F42)*((Main!$O$9:$O$1000)=$C42)*(Main!T$9:T$1000) ) +  ( SUMPRODUCT( ((Adders!$D$13:$D$101)=$E42)*((Adders!$E$13:$E$101)=$F42)*(Adders!I$13:I$101)) + VLOOKUP($H42,Adders!$B$5:$G$8,$N$11,FALSE)  +  MD!$D$2 ) * IF($D42="NJ",1.07,1))/$L$10, CHOOSE($M$10,$L$9,$M$9) )</f>
        <v xml:space="preserve"> 82.45 </v>
      </c>
      <c r="L42" s="173" t="str">
        <f>TEXT(   (SUMPRODUCT( ((LMPMain!$H$9:$H$1000)=$E42)*((LMPMain!$J$9:$J$1000)=$F42)*((LMPMain!$O$9:$O$1000)=$C42)*(LMPMain!R$9:R$1000) ) +  ( SUMPRODUCT( ((Adders!$D$13:$D$101)=$E42)*((Adders!$E$13:$E$101)=$F42)*(Adders!G$13:G$101)) + VLOOKUP($H42,Adders!$B$5:$G$8,L$11,FALSE)  +  NJ!$D$2 ) * IF($D42="NJ",1.07,1))/$L$10, CHOOSE($M$10,$L$9,$M$9) )</f>
        <v xml:space="preserve"> 35.47 </v>
      </c>
      <c r="M42" s="173" t="str">
        <f>TEXT(   (SUMPRODUCT( ((LMPMain!$H$9:$H$1000)=$E42)*((LMPMain!$J$9:$J$1000)=$F42)*((LMPMain!$O$9:$O$1000)=$C42)*(LMPMain!S$9:S$1000) ) +  ( SUMPRODUCT( ((Adders!$D$13:$D$101)=$E42)*((Adders!$E$13:$E$101)=$F42)*(Adders!H$13:H$101)) + VLOOKUP($H42,Adders!$B$5:$G$8,M$11,FALSE)  +  NJ!$D$2 ) * IF($D42="NJ",1.07,1))/$L$10, CHOOSE($M$10,$L$9,$M$9) )</f>
        <v xml:space="preserve"> 35.05 </v>
      </c>
      <c r="N42" s="174" t="str">
        <f>TEXT(   (SUMPRODUCT( ((LMPMain!$H$9:$H$1000)=$E42)*((LMPMain!$J$9:$J$1000)=$F42)*((LMPMain!$O$9:$O$1000)=$C42)*(LMPMain!T$9:T$1000) ) +  ( SUMPRODUCT( ((Adders!$D$13:$D$101)=$E42)*((Adders!$E$13:$E$101)=$F42)*(Adders!I$13:I$101)) + VLOOKUP($H42,Adders!$B$5:$G$8,N$11,FALSE)  +  NJ!$D$2 ) * IF($D42="NJ",1.07,1))/$L$10, CHOOSE($M$10,$L$9,$M$9) )</f>
        <v xml:space="preserve"> 35.20 </v>
      </c>
      <c r="O42" s="112"/>
    </row>
    <row r="43" spans="2:15" x14ac:dyDescent="0.25">
      <c r="B43" s="108"/>
      <c r="C43" s="135">
        <f>+C42</f>
        <v>42430</v>
      </c>
      <c r="D43" s="136" t="s">
        <v>39</v>
      </c>
      <c r="E43" s="137" t="s">
        <v>40</v>
      </c>
      <c r="F43" s="136" t="s">
        <v>42</v>
      </c>
      <c r="G43" s="137" t="str">
        <f t="shared" si="0"/>
        <v>General Service Large</v>
      </c>
      <c r="H43" s="138" t="s">
        <v>690</v>
      </c>
      <c r="I43" s="176" t="str">
        <f>TEXT(   (SUMPRODUCT( ((Main!$H$9:$H$1000)=$E43)*((Main!$J$9:$J$1000)=$F43)*((Main!$O$9:$O$1000)=$C43)*(Main!R$9:R$1000) ) +  ( SUMPRODUCT( ((Adders!$D$13:$D$101)=$E43)*((Adders!$E$13:$E$101)=$F43)*(Adders!G$13:G$101)) + VLOOKUP($H43,Adders!$B$5:$G$8,L$11,FALSE)  +  MD!$D$2 ) * IF($D43="NJ",1.07,1))/$L$10, CHOOSE($M$10,$L$9,$M$9) )</f>
        <v xml:space="preserve"> 81.23 </v>
      </c>
      <c r="J43" s="176" t="str">
        <f>TEXT(   (SUMPRODUCT( ((Main!$H$9:$H$1000)=$E43)*((Main!$J$9:$J$1000)=$F43)*((Main!$O$9:$O$1000)=$C43)*(Main!S$9:S$1000) ) +  ( SUMPRODUCT( ((Adders!$D$13:$D$101)=$E43)*((Adders!$E$13:$E$101)=$F43)*(Adders!H$13:H$101)) + VLOOKUP($H43,Adders!$B$5:$G$8,M$11,FALSE)  +  MD!$D$2 ) * IF($D43="NJ",1.07,1))/$L$10, CHOOSE($M$10,$L$9,$M$9) )</f>
        <v xml:space="preserve"> 81.04 </v>
      </c>
      <c r="K43" s="177" t="str">
        <f>TEXT(   (SUMPRODUCT( ((Main!$H$9:$H$1000)=$E43)*((Main!$J$9:$J$1000)=$F43)*((Main!$O$9:$O$1000)=$C43)*(Main!T$9:T$1000) ) +  ( SUMPRODUCT( ((Adders!$D$13:$D$101)=$E43)*((Adders!$E$13:$E$101)=$F43)*(Adders!I$13:I$101)) + VLOOKUP($H43,Adders!$B$5:$G$8,$N$11,FALSE)  +  MD!$D$2 ) * IF($D43="NJ",1.07,1))/$L$10, CHOOSE($M$10,$L$9,$M$9) )</f>
        <v xml:space="preserve"> 81.40 </v>
      </c>
      <c r="L43" s="176" t="str">
        <f>TEXT(   (SUMPRODUCT( ((LMPMain!$H$9:$H$1000)=$E43)*((LMPMain!$J$9:$J$1000)=$F43)*((LMPMain!$O$9:$O$1000)=$C43)*(LMPMain!R$9:R$1000) ) +  ( SUMPRODUCT( ((Adders!$D$13:$D$101)=$E43)*((Adders!$E$13:$E$101)=$F43)*(Adders!G$13:G$101)) + VLOOKUP($H43,Adders!$B$5:$G$8,L$11,FALSE)  +  NJ!$D$2 ) * IF($D43="NJ",1.07,1))/$L$10, CHOOSE($M$10,$L$9,$M$9) )</f>
        <v xml:space="preserve"> 34.42 </v>
      </c>
      <c r="M43" s="176" t="str">
        <f>TEXT(   (SUMPRODUCT( ((LMPMain!$H$9:$H$1000)=$E43)*((LMPMain!$J$9:$J$1000)=$F43)*((LMPMain!$O$9:$O$1000)=$C43)*(LMPMain!S$9:S$1000) ) +  ( SUMPRODUCT( ((Adders!$D$13:$D$101)=$E43)*((Adders!$E$13:$E$101)=$F43)*(Adders!H$13:H$101)) + VLOOKUP($H43,Adders!$B$5:$G$8,M$11,FALSE)  +  NJ!$D$2 ) * IF($D43="NJ",1.07,1))/$L$10, CHOOSE($M$10,$L$9,$M$9) )</f>
        <v xml:space="preserve"> 34.00 </v>
      </c>
      <c r="N43" s="177" t="str">
        <f>TEXT(   (SUMPRODUCT( ((LMPMain!$H$9:$H$1000)=$E43)*((LMPMain!$J$9:$J$1000)=$F43)*((LMPMain!$O$9:$O$1000)=$C43)*(LMPMain!T$9:T$1000) ) +  ( SUMPRODUCT( ((Adders!$D$13:$D$101)=$E43)*((Adders!$E$13:$E$101)=$F43)*(Adders!I$13:I$101)) + VLOOKUP($H43,Adders!$B$5:$G$8,N$11,FALSE)  +  NJ!$D$2 ) * IF($D43="NJ",1.07,1))/$L$10, CHOOSE($M$10,$L$9,$M$9) )</f>
        <v xml:space="preserve"> 34.15 </v>
      </c>
      <c r="O43" s="112"/>
    </row>
    <row r="44" spans="2:15" x14ac:dyDescent="0.25">
      <c r="B44" s="108"/>
      <c r="C44" s="127">
        <f>DATE(YEAR(C43),MONTH(C43)+1,0)+1</f>
        <v>42461</v>
      </c>
      <c r="D44" s="128" t="s">
        <v>39</v>
      </c>
      <c r="E44" s="129" t="s">
        <v>40</v>
      </c>
      <c r="F44" s="128" t="s">
        <v>42</v>
      </c>
      <c r="G44" s="129" t="str">
        <f t="shared" si="0"/>
        <v>General Service Large</v>
      </c>
      <c r="H44" s="130" t="s">
        <v>61</v>
      </c>
      <c r="I44" s="178" t="str">
        <f>TEXT(   (SUMPRODUCT( ((Main!$H$9:$H$1000)=$E44)*((Main!$J$9:$J$1000)=$F44)*((Main!$O$9:$O$1000)=$C44)*(Main!R$9:R$1000) ) +  ( SUMPRODUCT( ((Adders!$D$13:$D$101)=$E44)*((Adders!$E$13:$E$101)=$F44)*(Adders!G$13:G$101)) + VLOOKUP($H44,Adders!$B$5:$G$8,L$11,FALSE)  +  MD!$D$2 ) * IF($D44="NJ",1.07,1))/$L$10, CHOOSE($M$10,$L$9,$M$9) )</f>
        <v xml:space="preserve"> 83.57 </v>
      </c>
      <c r="J44" s="178" t="str">
        <f>TEXT(   (SUMPRODUCT( ((Main!$H$9:$H$1000)=$E44)*((Main!$J$9:$J$1000)=$F44)*((Main!$O$9:$O$1000)=$C44)*(Main!S$9:S$1000) ) +  ( SUMPRODUCT( ((Adders!$D$13:$D$101)=$E44)*((Adders!$E$13:$E$101)=$F44)*(Adders!H$13:H$101)) + VLOOKUP($H44,Adders!$B$5:$G$8,M$11,FALSE)  +  MD!$D$2 ) * IF($D44="NJ",1.07,1))/$L$10, CHOOSE($M$10,$L$9,$M$9) )</f>
        <v xml:space="preserve"> 82.87 </v>
      </c>
      <c r="K44" s="179" t="str">
        <f>TEXT(   (SUMPRODUCT( ((Main!$H$9:$H$1000)=$E44)*((Main!$J$9:$J$1000)=$F44)*((Main!$O$9:$O$1000)=$C44)*(Main!T$9:T$1000) ) +  ( SUMPRODUCT( ((Adders!$D$13:$D$101)=$E44)*((Adders!$E$13:$E$101)=$F44)*(Adders!I$13:I$101)) + VLOOKUP($H44,Adders!$B$5:$G$8,$N$11,FALSE)  +  MD!$D$2 ) * IF($D44="NJ",1.07,1))/$L$10, CHOOSE($M$10,$L$9,$M$9) )</f>
        <v xml:space="preserve"> 83.89 </v>
      </c>
      <c r="L44" s="178" t="str">
        <f>TEXT(   (SUMPRODUCT( ((LMPMain!$H$9:$H$1000)=$E44)*((LMPMain!$J$9:$J$1000)=$F44)*((LMPMain!$O$9:$O$1000)=$C44)*(LMPMain!R$9:R$1000) ) +  ( SUMPRODUCT( ((Adders!$D$13:$D$101)=$E44)*((Adders!$E$13:$E$101)=$F44)*(Adders!G$13:G$101)) + VLOOKUP($H44,Adders!$B$5:$G$8,L$11,FALSE)  +  NJ!$D$2 ) * IF($D44="NJ",1.07,1))/$L$10, CHOOSE($M$10,$L$9,$M$9) )</f>
        <v xml:space="preserve"> 36.72 </v>
      </c>
      <c r="M44" s="178" t="str">
        <f>TEXT(   (SUMPRODUCT( ((LMPMain!$H$9:$H$1000)=$E44)*((LMPMain!$J$9:$J$1000)=$F44)*((LMPMain!$O$9:$O$1000)=$C44)*(LMPMain!S$9:S$1000) ) +  ( SUMPRODUCT( ((Adders!$D$13:$D$101)=$E44)*((Adders!$E$13:$E$101)=$F44)*(Adders!H$13:H$101)) + VLOOKUP($H44,Adders!$B$5:$G$8,M$11,FALSE)  +  NJ!$D$2 ) * IF($D44="NJ",1.07,1))/$L$10, CHOOSE($M$10,$L$9,$M$9) )</f>
        <v xml:space="preserve"> 36.18 </v>
      </c>
      <c r="N44" s="179" t="str">
        <f>TEXT(   (SUMPRODUCT( ((LMPMain!$H$9:$H$1000)=$E44)*((LMPMain!$J$9:$J$1000)=$F44)*((LMPMain!$O$9:$O$1000)=$C44)*(LMPMain!T$9:T$1000) ) +  ( SUMPRODUCT( ((Adders!$D$13:$D$101)=$E44)*((Adders!$E$13:$E$101)=$F44)*(Adders!I$13:I$101)) + VLOOKUP($H44,Adders!$B$5:$G$8,N$11,FALSE)  +  NJ!$D$2 ) * IF($D44="NJ",1.07,1))/$L$10, CHOOSE($M$10,$L$9,$M$9) )</f>
        <v xml:space="preserve"> 36.67 </v>
      </c>
      <c r="O44" s="112"/>
    </row>
    <row r="45" spans="2:15" x14ac:dyDescent="0.25">
      <c r="B45" s="108"/>
      <c r="C45" s="131">
        <f>+C44</f>
        <v>42461</v>
      </c>
      <c r="D45" s="132" t="s">
        <v>39</v>
      </c>
      <c r="E45" s="133" t="s">
        <v>40</v>
      </c>
      <c r="F45" s="132" t="s">
        <v>42</v>
      </c>
      <c r="G45" s="133" t="str">
        <f t="shared" si="0"/>
        <v>General Service Large</v>
      </c>
      <c r="H45" s="134" t="s">
        <v>62</v>
      </c>
      <c r="I45" s="173" t="str">
        <f>TEXT(   (SUMPRODUCT( ((Main!$H$9:$H$1000)=$E45)*((Main!$J$9:$J$1000)=$F45)*((Main!$O$9:$O$1000)=$C45)*(Main!R$9:R$1000) ) +  ( SUMPRODUCT( ((Adders!$D$13:$D$101)=$E45)*((Adders!$E$13:$E$101)=$F45)*(Adders!G$13:G$101)) + VLOOKUP($H45,Adders!$B$5:$G$8,L$11,FALSE)  +  MD!$D$2 ) * IF($D45="NJ",1.07,1))/$L$10, CHOOSE($M$10,$L$9,$M$9) )</f>
        <v xml:space="preserve"> 81.97 </v>
      </c>
      <c r="J45" s="173" t="str">
        <f>TEXT(   (SUMPRODUCT( ((Main!$H$9:$H$1000)=$E45)*((Main!$J$9:$J$1000)=$F45)*((Main!$O$9:$O$1000)=$C45)*(Main!S$9:S$1000) ) +  ( SUMPRODUCT( ((Adders!$D$13:$D$101)=$E45)*((Adders!$E$13:$E$101)=$F45)*(Adders!H$13:H$101)) + VLOOKUP($H45,Adders!$B$5:$G$8,M$11,FALSE)  +  MD!$D$2 ) * IF($D45="NJ",1.07,1))/$L$10, CHOOSE($M$10,$L$9,$M$9) )</f>
        <v xml:space="preserve"> 81.27 </v>
      </c>
      <c r="K45" s="174" t="str">
        <f>TEXT(   (SUMPRODUCT( ((Main!$H$9:$H$1000)=$E45)*((Main!$J$9:$J$1000)=$F45)*((Main!$O$9:$O$1000)=$C45)*(Main!T$9:T$1000) ) +  ( SUMPRODUCT( ((Adders!$D$13:$D$101)=$E45)*((Adders!$E$13:$E$101)=$F45)*(Adders!I$13:I$101)) + VLOOKUP($H45,Adders!$B$5:$G$8,$N$11,FALSE)  +  MD!$D$2 ) * IF($D45="NJ",1.07,1))/$L$10, CHOOSE($M$10,$L$9,$M$9) )</f>
        <v xml:space="preserve"> 82.29 </v>
      </c>
      <c r="L45" s="173" t="str">
        <f>TEXT(   (SUMPRODUCT( ((LMPMain!$H$9:$H$1000)=$E45)*((LMPMain!$J$9:$J$1000)=$F45)*((LMPMain!$O$9:$O$1000)=$C45)*(LMPMain!R$9:R$1000) ) +  ( SUMPRODUCT( ((Adders!$D$13:$D$101)=$E45)*((Adders!$E$13:$E$101)=$F45)*(Adders!G$13:G$101)) + VLOOKUP($H45,Adders!$B$5:$G$8,L$11,FALSE)  +  NJ!$D$2 ) * IF($D45="NJ",1.07,1))/$L$10, CHOOSE($M$10,$L$9,$M$9) )</f>
        <v xml:space="preserve"> 35.12 </v>
      </c>
      <c r="M45" s="173" t="str">
        <f>TEXT(   (SUMPRODUCT( ((LMPMain!$H$9:$H$1000)=$E45)*((LMPMain!$J$9:$J$1000)=$F45)*((LMPMain!$O$9:$O$1000)=$C45)*(LMPMain!S$9:S$1000) ) +  ( SUMPRODUCT( ((Adders!$D$13:$D$101)=$E45)*((Adders!$E$13:$E$101)=$F45)*(Adders!H$13:H$101)) + VLOOKUP($H45,Adders!$B$5:$G$8,M$11,FALSE)  +  NJ!$D$2 ) * IF($D45="NJ",1.07,1))/$L$10, CHOOSE($M$10,$L$9,$M$9) )</f>
        <v xml:space="preserve"> 34.58 </v>
      </c>
      <c r="N45" s="174" t="str">
        <f>TEXT(   (SUMPRODUCT( ((LMPMain!$H$9:$H$1000)=$E45)*((LMPMain!$J$9:$J$1000)=$F45)*((LMPMain!$O$9:$O$1000)=$C45)*(LMPMain!T$9:T$1000) ) +  ( SUMPRODUCT( ((Adders!$D$13:$D$101)=$E45)*((Adders!$E$13:$E$101)=$F45)*(Adders!I$13:I$101)) + VLOOKUP($H45,Adders!$B$5:$G$8,N$11,FALSE)  +  NJ!$D$2 ) * IF($D45="NJ",1.07,1))/$L$10, CHOOSE($M$10,$L$9,$M$9) )</f>
        <v xml:space="preserve"> 35.07 </v>
      </c>
      <c r="O45" s="112"/>
    </row>
    <row r="46" spans="2:15" x14ac:dyDescent="0.25">
      <c r="B46" s="108"/>
      <c r="C46" s="135">
        <f>+C45</f>
        <v>42461</v>
      </c>
      <c r="D46" s="136" t="s">
        <v>39</v>
      </c>
      <c r="E46" s="137" t="s">
        <v>40</v>
      </c>
      <c r="F46" s="136" t="s">
        <v>42</v>
      </c>
      <c r="G46" s="137" t="str">
        <f t="shared" si="0"/>
        <v>General Service Large</v>
      </c>
      <c r="H46" s="138" t="s">
        <v>690</v>
      </c>
      <c r="I46" s="176" t="str">
        <f>TEXT(   (SUMPRODUCT( ((Main!$H$9:$H$1000)=$E46)*((Main!$J$9:$J$1000)=$F46)*((Main!$O$9:$O$1000)=$C46)*(Main!R$9:R$1000) ) +  ( SUMPRODUCT( ((Adders!$D$13:$D$101)=$E46)*((Adders!$E$13:$E$101)=$F46)*(Adders!G$13:G$101)) + VLOOKUP($H46,Adders!$B$5:$G$8,L$11,FALSE)  +  MD!$D$2 ) * IF($D46="NJ",1.07,1))/$L$10, CHOOSE($M$10,$L$9,$M$9) )</f>
        <v xml:space="preserve"> 80.92 </v>
      </c>
      <c r="J46" s="176" t="str">
        <f>TEXT(   (SUMPRODUCT( ((Main!$H$9:$H$1000)=$E46)*((Main!$J$9:$J$1000)=$F46)*((Main!$O$9:$O$1000)=$C46)*(Main!S$9:S$1000) ) +  ( SUMPRODUCT( ((Adders!$D$13:$D$101)=$E46)*((Adders!$E$13:$E$101)=$F46)*(Adders!H$13:H$101)) + VLOOKUP($H46,Adders!$B$5:$G$8,M$11,FALSE)  +  MD!$D$2 ) * IF($D46="NJ",1.07,1))/$L$10, CHOOSE($M$10,$L$9,$M$9) )</f>
        <v xml:space="preserve"> 80.22 </v>
      </c>
      <c r="K46" s="177" t="str">
        <f>TEXT(   (SUMPRODUCT( ((Main!$H$9:$H$1000)=$E46)*((Main!$J$9:$J$1000)=$F46)*((Main!$O$9:$O$1000)=$C46)*(Main!T$9:T$1000) ) +  ( SUMPRODUCT( ((Adders!$D$13:$D$101)=$E46)*((Adders!$E$13:$E$101)=$F46)*(Adders!I$13:I$101)) + VLOOKUP($H46,Adders!$B$5:$G$8,$N$11,FALSE)  +  MD!$D$2 ) * IF($D46="NJ",1.07,1))/$L$10, CHOOSE($M$10,$L$9,$M$9) )</f>
        <v xml:space="preserve"> 81.24 </v>
      </c>
      <c r="L46" s="176" t="str">
        <f>TEXT(   (SUMPRODUCT( ((LMPMain!$H$9:$H$1000)=$E46)*((LMPMain!$J$9:$J$1000)=$F46)*((LMPMain!$O$9:$O$1000)=$C46)*(LMPMain!R$9:R$1000) ) +  ( SUMPRODUCT( ((Adders!$D$13:$D$101)=$E46)*((Adders!$E$13:$E$101)=$F46)*(Adders!G$13:G$101)) + VLOOKUP($H46,Adders!$B$5:$G$8,L$11,FALSE)  +  NJ!$D$2 ) * IF($D46="NJ",1.07,1))/$L$10, CHOOSE($M$10,$L$9,$M$9) )</f>
        <v xml:space="preserve"> 34.07 </v>
      </c>
      <c r="M46" s="176" t="str">
        <f>TEXT(   (SUMPRODUCT( ((LMPMain!$H$9:$H$1000)=$E46)*((LMPMain!$J$9:$J$1000)=$F46)*((LMPMain!$O$9:$O$1000)=$C46)*(LMPMain!S$9:S$1000) ) +  ( SUMPRODUCT( ((Adders!$D$13:$D$101)=$E46)*((Adders!$E$13:$E$101)=$F46)*(Adders!H$13:H$101)) + VLOOKUP($H46,Adders!$B$5:$G$8,M$11,FALSE)  +  NJ!$D$2 ) * IF($D46="NJ",1.07,1))/$L$10, CHOOSE($M$10,$L$9,$M$9) )</f>
        <v xml:space="preserve"> 33.53 </v>
      </c>
      <c r="N46" s="177" t="str">
        <f>TEXT(   (SUMPRODUCT( ((LMPMain!$H$9:$H$1000)=$E46)*((LMPMain!$J$9:$J$1000)=$F46)*((LMPMain!$O$9:$O$1000)=$C46)*(LMPMain!T$9:T$1000) ) +  ( SUMPRODUCT( ((Adders!$D$13:$D$101)=$E46)*((Adders!$E$13:$E$101)=$F46)*(Adders!I$13:I$101)) + VLOOKUP($H46,Adders!$B$5:$G$8,N$11,FALSE)  +  NJ!$D$2 ) * IF($D46="NJ",1.07,1))/$L$10, CHOOSE($M$10,$L$9,$M$9) )</f>
        <v xml:space="preserve"> 34.02 </v>
      </c>
      <c r="O46" s="112"/>
    </row>
    <row r="47" spans="2:15" x14ac:dyDescent="0.25">
      <c r="B47" s="108"/>
      <c r="C47" s="127">
        <f>DATE(YEAR(C46),MONTH(C46)+1,0)+1</f>
        <v>42491</v>
      </c>
      <c r="D47" s="128" t="s">
        <v>39</v>
      </c>
      <c r="E47" s="129" t="s">
        <v>40</v>
      </c>
      <c r="F47" s="128" t="s">
        <v>42</v>
      </c>
      <c r="G47" s="129" t="str">
        <f t="shared" si="0"/>
        <v>General Service Large</v>
      </c>
      <c r="H47" s="130" t="s">
        <v>61</v>
      </c>
      <c r="I47" s="178" t="str">
        <f>TEXT(   (SUMPRODUCT( ((Main!$H$9:$H$1000)=$E47)*((Main!$J$9:$J$1000)=$F47)*((Main!$O$9:$O$1000)=$C47)*(Main!R$9:R$1000) ) +  ( SUMPRODUCT( ((Adders!$D$13:$D$101)=$E47)*((Adders!$E$13:$E$101)=$F47)*(Adders!G$13:G$101)) + VLOOKUP($H47,Adders!$B$5:$G$8,L$11,FALSE)  +  MD!$D$2 ) * IF($D47="NJ",1.07,1))/$L$10, CHOOSE($M$10,$L$9,$M$9) )</f>
        <v xml:space="preserve"> 83.21 </v>
      </c>
      <c r="J47" s="178" t="str">
        <f>TEXT(   (SUMPRODUCT( ((Main!$H$9:$H$1000)=$E47)*((Main!$J$9:$J$1000)=$F47)*((Main!$O$9:$O$1000)=$C47)*(Main!S$9:S$1000) ) +  ( SUMPRODUCT( ((Adders!$D$13:$D$101)=$E47)*((Adders!$E$13:$E$101)=$F47)*(Adders!H$13:H$101)) + VLOOKUP($H47,Adders!$B$5:$G$8,M$11,FALSE)  +  MD!$D$2 ) * IF($D47="NJ",1.07,1))/$L$10, CHOOSE($M$10,$L$9,$M$9) )</f>
        <v xml:space="preserve"> 82.35 </v>
      </c>
      <c r="K47" s="179" t="str">
        <f>TEXT(   (SUMPRODUCT( ((Main!$H$9:$H$1000)=$E47)*((Main!$J$9:$J$1000)=$F47)*((Main!$O$9:$O$1000)=$C47)*(Main!T$9:T$1000) ) +  ( SUMPRODUCT( ((Adders!$D$13:$D$101)=$E47)*((Adders!$E$13:$E$101)=$F47)*(Adders!I$13:I$101)) + VLOOKUP($H47,Adders!$B$5:$G$8,$N$11,FALSE)  +  MD!$D$2 ) * IF($D47="NJ",1.07,1))/$L$10, CHOOSE($M$10,$L$9,$M$9) )</f>
        <v xml:space="preserve"> 83.79 </v>
      </c>
      <c r="L47" s="178" t="str">
        <f>TEXT(   (SUMPRODUCT( ((LMPMain!$H$9:$H$1000)=$E47)*((LMPMain!$J$9:$J$1000)=$F47)*((LMPMain!$O$9:$O$1000)=$C47)*(LMPMain!R$9:R$1000) ) +  ( SUMPRODUCT( ((Adders!$D$13:$D$101)=$E47)*((Adders!$E$13:$E$101)=$F47)*(Adders!G$13:G$101)) + VLOOKUP($H47,Adders!$B$5:$G$8,L$11,FALSE)  +  NJ!$D$2 ) * IF($D47="NJ",1.07,1))/$L$10, CHOOSE($M$10,$L$9,$M$9) )</f>
        <v xml:space="preserve"> 36.37 </v>
      </c>
      <c r="M47" s="178" t="str">
        <f>TEXT(   (SUMPRODUCT( ((LMPMain!$H$9:$H$1000)=$E47)*((LMPMain!$J$9:$J$1000)=$F47)*((LMPMain!$O$9:$O$1000)=$C47)*(LMPMain!S$9:S$1000) ) +  ( SUMPRODUCT( ((Adders!$D$13:$D$101)=$E47)*((Adders!$E$13:$E$101)=$F47)*(Adders!H$13:H$101)) + VLOOKUP($H47,Adders!$B$5:$G$8,M$11,FALSE)  +  NJ!$D$2 ) * IF($D47="NJ",1.07,1))/$L$10, CHOOSE($M$10,$L$9,$M$9) )</f>
        <v xml:space="preserve"> 35.83 </v>
      </c>
      <c r="N47" s="179" t="str">
        <f>TEXT(   (SUMPRODUCT( ((LMPMain!$H$9:$H$1000)=$E47)*((LMPMain!$J$9:$J$1000)=$F47)*((LMPMain!$O$9:$O$1000)=$C47)*(LMPMain!T$9:T$1000) ) +  ( SUMPRODUCT( ((Adders!$D$13:$D$101)=$E47)*((Adders!$E$13:$E$101)=$F47)*(Adders!I$13:I$101)) + VLOOKUP($H47,Adders!$B$5:$G$8,N$11,FALSE)  +  NJ!$D$2 ) * IF($D47="NJ",1.07,1))/$L$10, CHOOSE($M$10,$L$9,$M$9) )</f>
        <v xml:space="preserve"> 36.54 </v>
      </c>
      <c r="O47" s="112"/>
    </row>
    <row r="48" spans="2:15" x14ac:dyDescent="0.25">
      <c r="B48" s="108"/>
      <c r="C48" s="131">
        <f>+C47</f>
        <v>42491</v>
      </c>
      <c r="D48" s="132" t="s">
        <v>39</v>
      </c>
      <c r="E48" s="133" t="s">
        <v>40</v>
      </c>
      <c r="F48" s="132" t="s">
        <v>42</v>
      </c>
      <c r="G48" s="133" t="str">
        <f t="shared" si="0"/>
        <v>General Service Large</v>
      </c>
      <c r="H48" s="134" t="s">
        <v>62</v>
      </c>
      <c r="I48" s="173" t="str">
        <f>TEXT(   (SUMPRODUCT( ((Main!$H$9:$H$1000)=$E48)*((Main!$J$9:$J$1000)=$F48)*((Main!$O$9:$O$1000)=$C48)*(Main!R$9:R$1000) ) +  ( SUMPRODUCT( ((Adders!$D$13:$D$101)=$E48)*((Adders!$E$13:$E$101)=$F48)*(Adders!G$13:G$101)) + VLOOKUP($H48,Adders!$B$5:$G$8,L$11,FALSE)  +  MD!$D$2 ) * IF($D48="NJ",1.07,1))/$L$10, CHOOSE($M$10,$L$9,$M$9) )</f>
        <v xml:space="preserve"> 81.61 </v>
      </c>
      <c r="J48" s="173" t="str">
        <f>TEXT(   (SUMPRODUCT( ((Main!$H$9:$H$1000)=$E48)*((Main!$J$9:$J$1000)=$F48)*((Main!$O$9:$O$1000)=$C48)*(Main!S$9:S$1000) ) +  ( SUMPRODUCT( ((Adders!$D$13:$D$101)=$E48)*((Adders!$E$13:$E$101)=$F48)*(Adders!H$13:H$101)) + VLOOKUP($H48,Adders!$B$5:$G$8,M$11,FALSE)  +  MD!$D$2 ) * IF($D48="NJ",1.07,1))/$L$10, CHOOSE($M$10,$L$9,$M$9) )</f>
        <v xml:space="preserve"> 80.75 </v>
      </c>
      <c r="K48" s="174" t="str">
        <f>TEXT(   (SUMPRODUCT( ((Main!$H$9:$H$1000)=$E48)*((Main!$J$9:$J$1000)=$F48)*((Main!$O$9:$O$1000)=$C48)*(Main!T$9:T$1000) ) +  ( SUMPRODUCT( ((Adders!$D$13:$D$101)=$E48)*((Adders!$E$13:$E$101)=$F48)*(Adders!I$13:I$101)) + VLOOKUP($H48,Adders!$B$5:$G$8,$N$11,FALSE)  +  MD!$D$2 ) * IF($D48="NJ",1.07,1))/$L$10, CHOOSE($M$10,$L$9,$M$9) )</f>
        <v xml:space="preserve"> 82.19 </v>
      </c>
      <c r="L48" s="173" t="str">
        <f>TEXT(   (SUMPRODUCT( ((LMPMain!$H$9:$H$1000)=$E48)*((LMPMain!$J$9:$J$1000)=$F48)*((LMPMain!$O$9:$O$1000)=$C48)*(LMPMain!R$9:R$1000) ) +  ( SUMPRODUCT( ((Adders!$D$13:$D$101)=$E48)*((Adders!$E$13:$E$101)=$F48)*(Adders!G$13:G$101)) + VLOOKUP($H48,Adders!$B$5:$G$8,L$11,FALSE)  +  NJ!$D$2 ) * IF($D48="NJ",1.07,1))/$L$10, CHOOSE($M$10,$L$9,$M$9) )</f>
        <v xml:space="preserve"> 34.77 </v>
      </c>
      <c r="M48" s="173" t="str">
        <f>TEXT(   (SUMPRODUCT( ((LMPMain!$H$9:$H$1000)=$E48)*((LMPMain!$J$9:$J$1000)=$F48)*((LMPMain!$O$9:$O$1000)=$C48)*(LMPMain!S$9:S$1000) ) +  ( SUMPRODUCT( ((Adders!$D$13:$D$101)=$E48)*((Adders!$E$13:$E$101)=$F48)*(Adders!H$13:H$101)) + VLOOKUP($H48,Adders!$B$5:$G$8,M$11,FALSE)  +  NJ!$D$2 ) * IF($D48="NJ",1.07,1))/$L$10, CHOOSE($M$10,$L$9,$M$9) )</f>
        <v xml:space="preserve"> 34.23 </v>
      </c>
      <c r="N48" s="174" t="str">
        <f>TEXT(   (SUMPRODUCT( ((LMPMain!$H$9:$H$1000)=$E48)*((LMPMain!$J$9:$J$1000)=$F48)*((LMPMain!$O$9:$O$1000)=$C48)*(LMPMain!T$9:T$1000) ) +  ( SUMPRODUCT( ((Adders!$D$13:$D$101)=$E48)*((Adders!$E$13:$E$101)=$F48)*(Adders!I$13:I$101)) + VLOOKUP($H48,Adders!$B$5:$G$8,N$11,FALSE)  +  NJ!$D$2 ) * IF($D48="NJ",1.07,1))/$L$10, CHOOSE($M$10,$L$9,$M$9) )</f>
        <v xml:space="preserve"> 34.94 </v>
      </c>
      <c r="O48" s="112"/>
    </row>
    <row r="49" spans="2:15" x14ac:dyDescent="0.25">
      <c r="B49" s="108"/>
      <c r="C49" s="135">
        <f>+C48</f>
        <v>42491</v>
      </c>
      <c r="D49" s="136" t="s">
        <v>39</v>
      </c>
      <c r="E49" s="137" t="s">
        <v>40</v>
      </c>
      <c r="F49" s="136" t="s">
        <v>42</v>
      </c>
      <c r="G49" s="137" t="str">
        <f t="shared" si="0"/>
        <v>General Service Large</v>
      </c>
      <c r="H49" s="138" t="s">
        <v>690</v>
      </c>
      <c r="I49" s="176" t="str">
        <f>TEXT(   (SUMPRODUCT( ((Main!$H$9:$H$1000)=$E49)*((Main!$J$9:$J$1000)=$F49)*((Main!$O$9:$O$1000)=$C49)*(Main!R$9:R$1000) ) +  ( SUMPRODUCT( ((Adders!$D$13:$D$101)=$E49)*((Adders!$E$13:$E$101)=$F49)*(Adders!G$13:G$101)) + VLOOKUP($H49,Adders!$B$5:$G$8,L$11,FALSE)  +  MD!$D$2 ) * IF($D49="NJ",1.07,1))/$L$10, CHOOSE($M$10,$L$9,$M$9) )</f>
        <v xml:space="preserve"> 80.56 </v>
      </c>
      <c r="J49" s="176" t="str">
        <f>TEXT(   (SUMPRODUCT( ((Main!$H$9:$H$1000)=$E49)*((Main!$J$9:$J$1000)=$F49)*((Main!$O$9:$O$1000)=$C49)*(Main!S$9:S$1000) ) +  ( SUMPRODUCT( ((Adders!$D$13:$D$101)=$E49)*((Adders!$E$13:$E$101)=$F49)*(Adders!H$13:H$101)) + VLOOKUP($H49,Adders!$B$5:$G$8,M$11,FALSE)  +  MD!$D$2 ) * IF($D49="NJ",1.07,1))/$L$10, CHOOSE($M$10,$L$9,$M$9) )</f>
        <v xml:space="preserve"> 79.70 </v>
      </c>
      <c r="K49" s="177" t="str">
        <f>TEXT(   (SUMPRODUCT( ((Main!$H$9:$H$1000)=$E49)*((Main!$J$9:$J$1000)=$F49)*((Main!$O$9:$O$1000)=$C49)*(Main!T$9:T$1000) ) +  ( SUMPRODUCT( ((Adders!$D$13:$D$101)=$E49)*((Adders!$E$13:$E$101)=$F49)*(Adders!I$13:I$101)) + VLOOKUP($H49,Adders!$B$5:$G$8,$N$11,FALSE)  +  MD!$D$2 ) * IF($D49="NJ",1.07,1))/$L$10, CHOOSE($M$10,$L$9,$M$9) )</f>
        <v xml:space="preserve"> 81.14 </v>
      </c>
      <c r="L49" s="176" t="str">
        <f>TEXT(   (SUMPRODUCT( ((LMPMain!$H$9:$H$1000)=$E49)*((LMPMain!$J$9:$J$1000)=$F49)*((LMPMain!$O$9:$O$1000)=$C49)*(LMPMain!R$9:R$1000) ) +  ( SUMPRODUCT( ((Adders!$D$13:$D$101)=$E49)*((Adders!$E$13:$E$101)=$F49)*(Adders!G$13:G$101)) + VLOOKUP($H49,Adders!$B$5:$G$8,L$11,FALSE)  +  NJ!$D$2 ) * IF($D49="NJ",1.07,1))/$L$10, CHOOSE($M$10,$L$9,$M$9) )</f>
        <v xml:space="preserve"> 33.72 </v>
      </c>
      <c r="M49" s="176" t="str">
        <f>TEXT(   (SUMPRODUCT( ((LMPMain!$H$9:$H$1000)=$E49)*((LMPMain!$J$9:$J$1000)=$F49)*((LMPMain!$O$9:$O$1000)=$C49)*(LMPMain!S$9:S$1000) ) +  ( SUMPRODUCT( ((Adders!$D$13:$D$101)=$E49)*((Adders!$E$13:$E$101)=$F49)*(Adders!H$13:H$101)) + VLOOKUP($H49,Adders!$B$5:$G$8,M$11,FALSE)  +  NJ!$D$2 ) * IF($D49="NJ",1.07,1))/$L$10, CHOOSE($M$10,$L$9,$M$9) )</f>
        <v xml:space="preserve"> 33.18 </v>
      </c>
      <c r="N49" s="177" t="str">
        <f>TEXT(   (SUMPRODUCT( ((LMPMain!$H$9:$H$1000)=$E49)*((LMPMain!$J$9:$J$1000)=$F49)*((LMPMain!$O$9:$O$1000)=$C49)*(LMPMain!T$9:T$1000) ) +  ( SUMPRODUCT( ((Adders!$D$13:$D$101)=$E49)*((Adders!$E$13:$E$101)=$F49)*(Adders!I$13:I$101)) + VLOOKUP($H49,Adders!$B$5:$G$8,N$11,FALSE)  +  NJ!$D$2 ) * IF($D49="NJ",1.07,1))/$L$10, CHOOSE($M$10,$L$9,$M$9) )</f>
        <v xml:space="preserve"> 33.89 </v>
      </c>
      <c r="O49" s="112"/>
    </row>
    <row r="50" spans="2:15" x14ac:dyDescent="0.25">
      <c r="B50" s="108"/>
      <c r="C50" s="127">
        <f>C14</f>
        <v>42156</v>
      </c>
      <c r="D50" s="128" t="s">
        <v>39</v>
      </c>
      <c r="E50" s="129" t="s">
        <v>40</v>
      </c>
      <c r="F50" s="128" t="s">
        <v>41</v>
      </c>
      <c r="G50" s="129" t="str">
        <f>VLOOKUP(SUMPRODUCT( ((LMPMain!$H$9:$H$1000)=$E50)*((LMPMain!$J$9:$J$1000)=$F50)*((LMPMain!$O$9:$O$1000)=$C50)*(LMPMain!A$9:A$1000)),LMPMain!$A$9:$K$1000,11,FALSE)</f>
        <v>General Service Medium</v>
      </c>
      <c r="H50" s="130" t="s">
        <v>61</v>
      </c>
      <c r="I50" s="178" t="str">
        <f>TEXT(   (SUMPRODUCT( ((Main!$H$9:$H$1000)=$E50)*((Main!$J$9:$J$1000)=$F50)*((Main!$O$9:$O$1000)=$C50)*(Main!R$9:R$1000) ) +  ( SUMPRODUCT( ((Adders!$D$13:$D$101)=$E50)*((Adders!$E$13:$E$101)=$F50)*(Adders!G$13:G$101)) + VLOOKUP($H50,Adders!$B$5:$G$8,L$11,FALSE)  +  MD!$D$2 ) * IF($D50="NJ",1.07,1))/$L$10, CHOOSE($M$10,$L$9,$M$9) )</f>
        <v xml:space="preserve"> 88.07 </v>
      </c>
      <c r="J50" s="178" t="str">
        <f>TEXT(   (SUMPRODUCT( ((Main!$H$9:$H$1000)=$E50)*((Main!$J$9:$J$1000)=$F50)*((Main!$O$9:$O$1000)=$C50)*(Main!S$9:S$1000) ) +  ( SUMPRODUCT( ((Adders!$D$13:$D$101)=$E50)*((Adders!$E$13:$E$101)=$F50)*(Adders!H$13:H$101)) + VLOOKUP($H50,Adders!$B$5:$G$8,M$11,FALSE)  +  MD!$D$2 ) * IF($D50="NJ",1.07,1))/$L$10, CHOOSE($M$10,$L$9,$M$9) )</f>
        <v xml:space="preserve"> 85.64 </v>
      </c>
      <c r="K50" s="179" t="str">
        <f>TEXT(   (SUMPRODUCT( ((Main!$H$9:$H$1000)=$E50)*((Main!$J$9:$J$1000)=$F50)*((Main!$O$9:$O$1000)=$C50)*(Main!T$9:T$1000) ) +  ( SUMPRODUCT( ((Adders!$D$13:$D$101)=$E50)*((Adders!$E$13:$E$101)=$F50)*(Adders!I$13:I$101)) + VLOOKUP($H50,Adders!$B$5:$G$8,$N$11,FALSE)  +  MD!$D$2 ) * IF($D50="NJ",1.07,1))/$L$10, CHOOSE($M$10,$L$9,$M$9) )</f>
        <v xml:space="preserve"> 85.89 </v>
      </c>
      <c r="L50" s="178" t="str">
        <f>TEXT(   (SUMPRODUCT( ((LMPMain!$H$9:$H$1000)=$E50)*((LMPMain!$J$9:$J$1000)=$F50)*((LMPMain!$O$9:$O$1000)=$C50)*(LMPMain!R$9:R$1000) ) +  ( SUMPRODUCT( ((Adders!$D$13:$D$101)=$E50)*((Adders!$E$13:$E$101)=$F50)*(Adders!G$13:G$101)) + VLOOKUP($H50,Adders!$B$5:$G$8,L$11,FALSE)  +  NJ!$D$2 ) * IF($D50="NJ",1.07,1))/$L$10, CHOOSE($M$10,$L$9,$M$9) )</f>
        <v xml:space="preserve"> 40.08 </v>
      </c>
      <c r="M50" s="178" t="str">
        <f>TEXT(   (SUMPRODUCT( ((LMPMain!$H$9:$H$1000)=$E50)*((LMPMain!$J$9:$J$1000)=$F50)*((LMPMain!$O$9:$O$1000)=$C50)*(LMPMain!S$9:S$1000) ) +  ( SUMPRODUCT( ((Adders!$D$13:$D$101)=$E50)*((Adders!$E$13:$E$101)=$F50)*(Adders!H$13:H$101)) + VLOOKUP($H50,Adders!$B$5:$G$8,M$11,FALSE)  +  NJ!$D$2 ) * IF($D50="NJ",1.07,1))/$L$10, CHOOSE($M$10,$L$9,$M$9) )</f>
        <v xml:space="preserve"> 38.45 </v>
      </c>
      <c r="N50" s="179" t="str">
        <f>TEXT(   (SUMPRODUCT( ((LMPMain!$H$9:$H$1000)=$E50)*((LMPMain!$J$9:$J$1000)=$F50)*((LMPMain!$O$9:$O$1000)=$C50)*(LMPMain!T$9:T$1000) ) +  ( SUMPRODUCT( ((Adders!$D$13:$D$101)=$E50)*((Adders!$E$13:$E$101)=$F50)*(Adders!I$13:I$101)) + VLOOKUP($H50,Adders!$B$5:$G$8,N$11,FALSE)  +  NJ!$D$2 ) * IF($D50="NJ",1.07,1))/$L$10, CHOOSE($M$10,$L$9,$M$9) )</f>
        <v xml:space="preserve"> 38.07 </v>
      </c>
      <c r="O50" s="112"/>
    </row>
    <row r="51" spans="2:15" x14ac:dyDescent="0.25">
      <c r="B51" s="108"/>
      <c r="C51" s="131">
        <f t="shared" ref="C51:C114" si="1">C15</f>
        <v>42156</v>
      </c>
      <c r="D51" s="132" t="s">
        <v>39</v>
      </c>
      <c r="E51" s="133" t="s">
        <v>40</v>
      </c>
      <c r="F51" s="132" t="s">
        <v>41</v>
      </c>
      <c r="G51" s="133" t="str">
        <f t="shared" ref="G51:G114" si="2">G50</f>
        <v>General Service Medium</v>
      </c>
      <c r="H51" s="134" t="s">
        <v>62</v>
      </c>
      <c r="I51" s="173" t="str">
        <f>TEXT(   (SUMPRODUCT( ((Main!$H$9:$H$1000)=$E51)*((Main!$J$9:$J$1000)=$F51)*((Main!$O$9:$O$1000)=$C51)*(Main!R$9:R$1000) ) +  ( SUMPRODUCT( ((Adders!$D$13:$D$101)=$E51)*((Adders!$E$13:$E$101)=$F51)*(Adders!G$13:G$101)) + VLOOKUP($H51,Adders!$B$5:$G$8,L$11,FALSE)  +  MD!$D$2 ) * IF($D51="NJ",1.07,1))/$L$10, CHOOSE($M$10,$L$9,$M$9) )</f>
        <v xml:space="preserve"> 86.47 </v>
      </c>
      <c r="J51" s="173" t="str">
        <f>TEXT(   (SUMPRODUCT( ((Main!$H$9:$H$1000)=$E51)*((Main!$J$9:$J$1000)=$F51)*((Main!$O$9:$O$1000)=$C51)*(Main!S$9:S$1000) ) +  ( SUMPRODUCT( ((Adders!$D$13:$D$101)=$E51)*((Adders!$E$13:$E$101)=$F51)*(Adders!H$13:H$101)) + VLOOKUP($H51,Adders!$B$5:$G$8,M$11,FALSE)  +  MD!$D$2 ) * IF($D51="NJ",1.07,1))/$L$10, CHOOSE($M$10,$L$9,$M$9) )</f>
        <v xml:space="preserve"> 84.04 </v>
      </c>
      <c r="K51" s="174" t="str">
        <f>TEXT(   (SUMPRODUCT( ((Main!$H$9:$H$1000)=$E51)*((Main!$J$9:$J$1000)=$F51)*((Main!$O$9:$O$1000)=$C51)*(Main!T$9:T$1000) ) +  ( SUMPRODUCT( ((Adders!$D$13:$D$101)=$E51)*((Adders!$E$13:$E$101)=$F51)*(Adders!I$13:I$101)) + VLOOKUP($H51,Adders!$B$5:$G$8,$N$11,FALSE)  +  MD!$D$2 ) * IF($D51="NJ",1.07,1))/$L$10, CHOOSE($M$10,$L$9,$M$9) )</f>
        <v xml:space="preserve"> 84.29 </v>
      </c>
      <c r="L51" s="173" t="str">
        <f>TEXT(   (SUMPRODUCT( ((LMPMain!$H$9:$H$1000)=$E51)*((LMPMain!$J$9:$J$1000)=$F51)*((LMPMain!$O$9:$O$1000)=$C51)*(LMPMain!R$9:R$1000) ) +  ( SUMPRODUCT( ((Adders!$D$13:$D$101)=$E51)*((Adders!$E$13:$E$101)=$F51)*(Adders!G$13:G$101)) + VLOOKUP($H51,Adders!$B$5:$G$8,L$11,FALSE)  +  NJ!$D$2 ) * IF($D51="NJ",1.07,1))/$L$10, CHOOSE($M$10,$L$9,$M$9) )</f>
        <v xml:space="preserve"> 38.48 </v>
      </c>
      <c r="M51" s="173" t="str">
        <f>TEXT(   (SUMPRODUCT( ((LMPMain!$H$9:$H$1000)=$E51)*((LMPMain!$J$9:$J$1000)=$F51)*((LMPMain!$O$9:$O$1000)=$C51)*(LMPMain!S$9:S$1000) ) +  ( SUMPRODUCT( ((Adders!$D$13:$D$101)=$E51)*((Adders!$E$13:$E$101)=$F51)*(Adders!H$13:H$101)) + VLOOKUP($H51,Adders!$B$5:$G$8,M$11,FALSE)  +  NJ!$D$2 ) * IF($D51="NJ",1.07,1))/$L$10, CHOOSE($M$10,$L$9,$M$9) )</f>
        <v xml:space="preserve"> 36.85 </v>
      </c>
      <c r="N51" s="174" t="str">
        <f>TEXT(   (SUMPRODUCT( ((LMPMain!$H$9:$H$1000)=$E51)*((LMPMain!$J$9:$J$1000)=$F51)*((LMPMain!$O$9:$O$1000)=$C51)*(LMPMain!T$9:T$1000) ) +  ( SUMPRODUCT( ((Adders!$D$13:$D$101)=$E51)*((Adders!$E$13:$E$101)=$F51)*(Adders!I$13:I$101)) + VLOOKUP($H51,Adders!$B$5:$G$8,N$11,FALSE)  +  NJ!$D$2 ) * IF($D51="NJ",1.07,1))/$L$10, CHOOSE($M$10,$L$9,$M$9) )</f>
        <v xml:space="preserve"> 36.47 </v>
      </c>
      <c r="O51" s="112"/>
    </row>
    <row r="52" spans="2:15" x14ac:dyDescent="0.25">
      <c r="B52" s="108"/>
      <c r="C52" s="135">
        <f t="shared" si="1"/>
        <v>42156</v>
      </c>
      <c r="D52" s="136" t="s">
        <v>39</v>
      </c>
      <c r="E52" s="137" t="s">
        <v>40</v>
      </c>
      <c r="F52" s="136" t="s">
        <v>41</v>
      </c>
      <c r="G52" s="137" t="str">
        <f t="shared" si="2"/>
        <v>General Service Medium</v>
      </c>
      <c r="H52" s="138" t="s">
        <v>690</v>
      </c>
      <c r="I52" s="176" t="str">
        <f>TEXT(   (SUMPRODUCT( ((Main!$H$9:$H$1000)=$E52)*((Main!$J$9:$J$1000)=$F52)*((Main!$O$9:$O$1000)=$C52)*(Main!R$9:R$1000) ) +  ( SUMPRODUCT( ((Adders!$D$13:$D$101)=$E52)*((Adders!$E$13:$E$101)=$F52)*(Adders!G$13:G$101)) + VLOOKUP($H52,Adders!$B$5:$G$8,L$11,FALSE)  +  MD!$D$2 ) * IF($D52="NJ",1.07,1))/$L$10, CHOOSE($M$10,$L$9,$M$9) )</f>
        <v xml:space="preserve"> 85.42 </v>
      </c>
      <c r="J52" s="176" t="str">
        <f>TEXT(   (SUMPRODUCT( ((Main!$H$9:$H$1000)=$E52)*((Main!$J$9:$J$1000)=$F52)*((Main!$O$9:$O$1000)=$C52)*(Main!S$9:S$1000) ) +  ( SUMPRODUCT( ((Adders!$D$13:$D$101)=$E52)*((Adders!$E$13:$E$101)=$F52)*(Adders!H$13:H$101)) + VLOOKUP($H52,Adders!$B$5:$G$8,M$11,FALSE)  +  MD!$D$2 ) * IF($D52="NJ",1.07,1))/$L$10, CHOOSE($M$10,$L$9,$M$9) )</f>
        <v xml:space="preserve"> 82.99 </v>
      </c>
      <c r="K52" s="177" t="str">
        <f>TEXT(   (SUMPRODUCT( ((Main!$H$9:$H$1000)=$E52)*((Main!$J$9:$J$1000)=$F52)*((Main!$O$9:$O$1000)=$C52)*(Main!T$9:T$1000) ) +  ( SUMPRODUCT( ((Adders!$D$13:$D$101)=$E52)*((Adders!$E$13:$E$101)=$F52)*(Adders!I$13:I$101)) + VLOOKUP($H52,Adders!$B$5:$G$8,$N$11,FALSE)  +  MD!$D$2 ) * IF($D52="NJ",1.07,1))/$L$10, CHOOSE($M$10,$L$9,$M$9) )</f>
        <v xml:space="preserve"> 83.24 </v>
      </c>
      <c r="L52" s="176" t="str">
        <f>TEXT(   (SUMPRODUCT( ((LMPMain!$H$9:$H$1000)=$E52)*((LMPMain!$J$9:$J$1000)=$F52)*((LMPMain!$O$9:$O$1000)=$C52)*(LMPMain!R$9:R$1000) ) +  ( SUMPRODUCT( ((Adders!$D$13:$D$101)=$E52)*((Adders!$E$13:$E$101)=$F52)*(Adders!G$13:G$101)) + VLOOKUP($H52,Adders!$B$5:$G$8,L$11,FALSE)  +  NJ!$D$2 ) * IF($D52="NJ",1.07,1))/$L$10, CHOOSE($M$10,$L$9,$M$9) )</f>
        <v xml:space="preserve"> 37.43 </v>
      </c>
      <c r="M52" s="176" t="str">
        <f>TEXT(   (SUMPRODUCT( ((LMPMain!$H$9:$H$1000)=$E52)*((LMPMain!$J$9:$J$1000)=$F52)*((LMPMain!$O$9:$O$1000)=$C52)*(LMPMain!S$9:S$1000) ) +  ( SUMPRODUCT( ((Adders!$D$13:$D$101)=$E52)*((Adders!$E$13:$E$101)=$F52)*(Adders!H$13:H$101)) + VLOOKUP($H52,Adders!$B$5:$G$8,M$11,FALSE)  +  NJ!$D$2 ) * IF($D52="NJ",1.07,1))/$L$10, CHOOSE($M$10,$L$9,$M$9) )</f>
        <v xml:space="preserve"> 35.80 </v>
      </c>
      <c r="N52" s="177" t="str">
        <f>TEXT(   (SUMPRODUCT( ((LMPMain!$H$9:$H$1000)=$E52)*((LMPMain!$J$9:$J$1000)=$F52)*((LMPMain!$O$9:$O$1000)=$C52)*(LMPMain!T$9:T$1000) ) +  ( SUMPRODUCT( ((Adders!$D$13:$D$101)=$E52)*((Adders!$E$13:$E$101)=$F52)*(Adders!I$13:I$101)) + VLOOKUP($H52,Adders!$B$5:$G$8,N$11,FALSE)  +  NJ!$D$2 ) * IF($D52="NJ",1.07,1))/$L$10, CHOOSE($M$10,$L$9,$M$9) )</f>
        <v xml:space="preserve"> 35.42 </v>
      </c>
      <c r="O52" s="112"/>
    </row>
    <row r="53" spans="2:15" x14ac:dyDescent="0.25">
      <c r="B53" s="108"/>
      <c r="C53" s="127">
        <f t="shared" si="1"/>
        <v>42186</v>
      </c>
      <c r="D53" s="128" t="s">
        <v>39</v>
      </c>
      <c r="E53" s="129" t="s">
        <v>40</v>
      </c>
      <c r="F53" s="128" t="s">
        <v>41</v>
      </c>
      <c r="G53" s="129" t="str">
        <f t="shared" si="2"/>
        <v>General Service Medium</v>
      </c>
      <c r="H53" s="130" t="s">
        <v>61</v>
      </c>
      <c r="I53" s="178" t="str">
        <f>TEXT(   (SUMPRODUCT( ((Main!$H$9:$H$1000)=$E53)*((Main!$J$9:$J$1000)=$F53)*((Main!$O$9:$O$1000)=$C53)*(Main!R$9:R$1000) ) +  ( SUMPRODUCT( ((Adders!$D$13:$D$101)=$E53)*((Adders!$E$13:$E$101)=$F53)*(Adders!G$13:G$101)) + VLOOKUP($H53,Adders!$B$5:$G$8,L$11,FALSE)  +  MD!$D$2 ) * IF($D53="NJ",1.07,1))/$L$10, CHOOSE($M$10,$L$9,$M$9) )</f>
        <v xml:space="preserve"> 87.74 </v>
      </c>
      <c r="J53" s="178" t="str">
        <f>TEXT(   (SUMPRODUCT( ((Main!$H$9:$H$1000)=$E53)*((Main!$J$9:$J$1000)=$F53)*((Main!$O$9:$O$1000)=$C53)*(Main!S$9:S$1000) ) +  ( SUMPRODUCT( ((Adders!$D$13:$D$101)=$E53)*((Adders!$E$13:$E$101)=$F53)*(Adders!H$13:H$101)) + VLOOKUP($H53,Adders!$B$5:$G$8,M$11,FALSE)  +  MD!$D$2 ) * IF($D53="NJ",1.07,1))/$L$10, CHOOSE($M$10,$L$9,$M$9) )</f>
        <v xml:space="preserve"> 85.26 </v>
      </c>
      <c r="K53" s="179" t="str">
        <f>TEXT(   (SUMPRODUCT( ((Main!$H$9:$H$1000)=$E53)*((Main!$J$9:$J$1000)=$F53)*((Main!$O$9:$O$1000)=$C53)*(Main!T$9:T$1000) ) +  ( SUMPRODUCT( ((Adders!$D$13:$D$101)=$E53)*((Adders!$E$13:$E$101)=$F53)*(Adders!I$13:I$101)) + VLOOKUP($H53,Adders!$B$5:$G$8,$N$11,FALSE)  +  MD!$D$2 ) * IF($D53="NJ",1.07,1))/$L$10, CHOOSE($M$10,$L$9,$M$9) )</f>
        <v xml:space="preserve"> 85.75 </v>
      </c>
      <c r="L53" s="178" t="str">
        <f>TEXT(   (SUMPRODUCT( ((LMPMain!$H$9:$H$1000)=$E53)*((LMPMain!$J$9:$J$1000)=$F53)*((LMPMain!$O$9:$O$1000)=$C53)*(LMPMain!R$9:R$1000) ) +  ( SUMPRODUCT( ((Adders!$D$13:$D$101)=$E53)*((Adders!$E$13:$E$101)=$F53)*(Adders!G$13:G$101)) + VLOOKUP($H53,Adders!$B$5:$G$8,L$11,FALSE)  +  NJ!$D$2 ) * IF($D53="NJ",1.07,1))/$L$10, CHOOSE($M$10,$L$9,$M$9) )</f>
        <v xml:space="preserve"> 39.76 </v>
      </c>
      <c r="M53" s="178" t="str">
        <f>TEXT(   (SUMPRODUCT( ((LMPMain!$H$9:$H$1000)=$E53)*((LMPMain!$J$9:$J$1000)=$F53)*((LMPMain!$O$9:$O$1000)=$C53)*(LMPMain!S$9:S$1000) ) +  ( SUMPRODUCT( ((Adders!$D$13:$D$101)=$E53)*((Adders!$E$13:$E$101)=$F53)*(Adders!H$13:H$101)) + VLOOKUP($H53,Adders!$B$5:$G$8,M$11,FALSE)  +  NJ!$D$2 ) * IF($D53="NJ",1.07,1))/$L$10, CHOOSE($M$10,$L$9,$M$9) )</f>
        <v xml:space="preserve"> 38.27 </v>
      </c>
      <c r="N53" s="179" t="str">
        <f>TEXT(   (SUMPRODUCT( ((LMPMain!$H$9:$H$1000)=$E53)*((LMPMain!$J$9:$J$1000)=$F53)*((LMPMain!$O$9:$O$1000)=$C53)*(LMPMain!T$9:T$1000) ) +  ( SUMPRODUCT( ((Adders!$D$13:$D$101)=$E53)*((Adders!$E$13:$E$101)=$F53)*(Adders!I$13:I$101)) + VLOOKUP($H53,Adders!$B$5:$G$8,N$11,FALSE)  +  NJ!$D$2 ) * IF($D53="NJ",1.07,1))/$L$10, CHOOSE($M$10,$L$9,$M$9) )</f>
        <v xml:space="preserve"> 37.92 </v>
      </c>
      <c r="O53" s="112"/>
    </row>
    <row r="54" spans="2:15" x14ac:dyDescent="0.25">
      <c r="B54" s="108"/>
      <c r="C54" s="131">
        <f t="shared" si="1"/>
        <v>42186</v>
      </c>
      <c r="D54" s="132" t="s">
        <v>39</v>
      </c>
      <c r="E54" s="133" t="s">
        <v>40</v>
      </c>
      <c r="F54" s="132" t="s">
        <v>41</v>
      </c>
      <c r="G54" s="133" t="str">
        <f t="shared" si="2"/>
        <v>General Service Medium</v>
      </c>
      <c r="H54" s="134" t="s">
        <v>62</v>
      </c>
      <c r="I54" s="173" t="str">
        <f>TEXT(   (SUMPRODUCT( ((Main!$H$9:$H$1000)=$E54)*((Main!$J$9:$J$1000)=$F54)*((Main!$O$9:$O$1000)=$C54)*(Main!R$9:R$1000) ) +  ( SUMPRODUCT( ((Adders!$D$13:$D$101)=$E54)*((Adders!$E$13:$E$101)=$F54)*(Adders!G$13:G$101)) + VLOOKUP($H54,Adders!$B$5:$G$8,L$11,FALSE)  +  MD!$D$2 ) * IF($D54="NJ",1.07,1))/$L$10, CHOOSE($M$10,$L$9,$M$9) )</f>
        <v xml:space="preserve"> 86.14 </v>
      </c>
      <c r="J54" s="173" t="str">
        <f>TEXT(   (SUMPRODUCT( ((Main!$H$9:$H$1000)=$E54)*((Main!$J$9:$J$1000)=$F54)*((Main!$O$9:$O$1000)=$C54)*(Main!S$9:S$1000) ) +  ( SUMPRODUCT( ((Adders!$D$13:$D$101)=$E54)*((Adders!$E$13:$E$101)=$F54)*(Adders!H$13:H$101)) + VLOOKUP($H54,Adders!$B$5:$G$8,M$11,FALSE)  +  MD!$D$2 ) * IF($D54="NJ",1.07,1))/$L$10, CHOOSE($M$10,$L$9,$M$9) )</f>
        <v xml:space="preserve"> 83.66 </v>
      </c>
      <c r="K54" s="174" t="str">
        <f>TEXT(   (SUMPRODUCT( ((Main!$H$9:$H$1000)=$E54)*((Main!$J$9:$J$1000)=$F54)*((Main!$O$9:$O$1000)=$C54)*(Main!T$9:T$1000) ) +  ( SUMPRODUCT( ((Adders!$D$13:$D$101)=$E54)*((Adders!$E$13:$E$101)=$F54)*(Adders!I$13:I$101)) + VLOOKUP($H54,Adders!$B$5:$G$8,$N$11,FALSE)  +  MD!$D$2 ) * IF($D54="NJ",1.07,1))/$L$10, CHOOSE($M$10,$L$9,$M$9) )</f>
        <v xml:space="preserve"> 84.15 </v>
      </c>
      <c r="L54" s="173" t="str">
        <f>TEXT(   (SUMPRODUCT( ((LMPMain!$H$9:$H$1000)=$E54)*((LMPMain!$J$9:$J$1000)=$F54)*((LMPMain!$O$9:$O$1000)=$C54)*(LMPMain!R$9:R$1000) ) +  ( SUMPRODUCT( ((Adders!$D$13:$D$101)=$E54)*((Adders!$E$13:$E$101)=$F54)*(Adders!G$13:G$101)) + VLOOKUP($H54,Adders!$B$5:$G$8,L$11,FALSE)  +  NJ!$D$2 ) * IF($D54="NJ",1.07,1))/$L$10, CHOOSE($M$10,$L$9,$M$9) )</f>
        <v xml:space="preserve"> 38.16 </v>
      </c>
      <c r="M54" s="173" t="str">
        <f>TEXT(   (SUMPRODUCT( ((LMPMain!$H$9:$H$1000)=$E54)*((LMPMain!$J$9:$J$1000)=$F54)*((LMPMain!$O$9:$O$1000)=$C54)*(LMPMain!S$9:S$1000) ) +  ( SUMPRODUCT( ((Adders!$D$13:$D$101)=$E54)*((Adders!$E$13:$E$101)=$F54)*(Adders!H$13:H$101)) + VLOOKUP($H54,Adders!$B$5:$G$8,M$11,FALSE)  +  NJ!$D$2 ) * IF($D54="NJ",1.07,1))/$L$10, CHOOSE($M$10,$L$9,$M$9) )</f>
        <v xml:space="preserve"> 36.67 </v>
      </c>
      <c r="N54" s="174" t="str">
        <f>TEXT(   (SUMPRODUCT( ((LMPMain!$H$9:$H$1000)=$E54)*((LMPMain!$J$9:$J$1000)=$F54)*((LMPMain!$O$9:$O$1000)=$C54)*(LMPMain!T$9:T$1000) ) +  ( SUMPRODUCT( ((Adders!$D$13:$D$101)=$E54)*((Adders!$E$13:$E$101)=$F54)*(Adders!I$13:I$101)) + VLOOKUP($H54,Adders!$B$5:$G$8,N$11,FALSE)  +  NJ!$D$2 ) * IF($D54="NJ",1.07,1))/$L$10, CHOOSE($M$10,$L$9,$M$9) )</f>
        <v xml:space="preserve"> 36.32 </v>
      </c>
      <c r="O54" s="112"/>
    </row>
    <row r="55" spans="2:15" x14ac:dyDescent="0.25">
      <c r="B55" s="108"/>
      <c r="C55" s="135">
        <f t="shared" si="1"/>
        <v>42186</v>
      </c>
      <c r="D55" s="136" t="s">
        <v>39</v>
      </c>
      <c r="E55" s="137" t="s">
        <v>40</v>
      </c>
      <c r="F55" s="136" t="s">
        <v>41</v>
      </c>
      <c r="G55" s="137" t="str">
        <f t="shared" si="2"/>
        <v>General Service Medium</v>
      </c>
      <c r="H55" s="138" t="s">
        <v>690</v>
      </c>
      <c r="I55" s="176" t="str">
        <f>TEXT(   (SUMPRODUCT( ((Main!$H$9:$H$1000)=$E55)*((Main!$J$9:$J$1000)=$F55)*((Main!$O$9:$O$1000)=$C55)*(Main!R$9:R$1000) ) +  ( SUMPRODUCT( ((Adders!$D$13:$D$101)=$E55)*((Adders!$E$13:$E$101)=$F55)*(Adders!G$13:G$101)) + VLOOKUP($H55,Adders!$B$5:$G$8,L$11,FALSE)  +  MD!$D$2 ) * IF($D55="NJ",1.07,1))/$L$10, CHOOSE($M$10,$L$9,$M$9) )</f>
        <v xml:space="preserve"> 85.09 </v>
      </c>
      <c r="J55" s="176" t="str">
        <f>TEXT(   (SUMPRODUCT( ((Main!$H$9:$H$1000)=$E55)*((Main!$J$9:$J$1000)=$F55)*((Main!$O$9:$O$1000)=$C55)*(Main!S$9:S$1000) ) +  ( SUMPRODUCT( ((Adders!$D$13:$D$101)=$E55)*((Adders!$E$13:$E$101)=$F55)*(Adders!H$13:H$101)) + VLOOKUP($H55,Adders!$B$5:$G$8,M$11,FALSE)  +  MD!$D$2 ) * IF($D55="NJ",1.07,1))/$L$10, CHOOSE($M$10,$L$9,$M$9) )</f>
        <v xml:space="preserve"> 82.61 </v>
      </c>
      <c r="K55" s="177" t="str">
        <f>TEXT(   (SUMPRODUCT( ((Main!$H$9:$H$1000)=$E55)*((Main!$J$9:$J$1000)=$F55)*((Main!$O$9:$O$1000)=$C55)*(Main!T$9:T$1000) ) +  ( SUMPRODUCT( ((Adders!$D$13:$D$101)=$E55)*((Adders!$E$13:$E$101)=$F55)*(Adders!I$13:I$101)) + VLOOKUP($H55,Adders!$B$5:$G$8,$N$11,FALSE)  +  MD!$D$2 ) * IF($D55="NJ",1.07,1))/$L$10, CHOOSE($M$10,$L$9,$M$9) )</f>
        <v xml:space="preserve"> 83.10 </v>
      </c>
      <c r="L55" s="176" t="str">
        <f>TEXT(   (SUMPRODUCT( ((LMPMain!$H$9:$H$1000)=$E55)*((LMPMain!$J$9:$J$1000)=$F55)*((LMPMain!$O$9:$O$1000)=$C55)*(LMPMain!R$9:R$1000) ) +  ( SUMPRODUCT( ((Adders!$D$13:$D$101)=$E55)*((Adders!$E$13:$E$101)=$F55)*(Adders!G$13:G$101)) + VLOOKUP($H55,Adders!$B$5:$G$8,L$11,FALSE)  +  NJ!$D$2 ) * IF($D55="NJ",1.07,1))/$L$10, CHOOSE($M$10,$L$9,$M$9) )</f>
        <v xml:space="preserve"> 37.11 </v>
      </c>
      <c r="M55" s="176" t="str">
        <f>TEXT(   (SUMPRODUCT( ((LMPMain!$H$9:$H$1000)=$E55)*((LMPMain!$J$9:$J$1000)=$F55)*((LMPMain!$O$9:$O$1000)=$C55)*(LMPMain!S$9:S$1000) ) +  ( SUMPRODUCT( ((Adders!$D$13:$D$101)=$E55)*((Adders!$E$13:$E$101)=$F55)*(Adders!H$13:H$101)) + VLOOKUP($H55,Adders!$B$5:$G$8,M$11,FALSE)  +  NJ!$D$2 ) * IF($D55="NJ",1.07,1))/$L$10, CHOOSE($M$10,$L$9,$M$9) )</f>
        <v xml:space="preserve"> 35.62 </v>
      </c>
      <c r="N55" s="177" t="str">
        <f>TEXT(   (SUMPRODUCT( ((LMPMain!$H$9:$H$1000)=$E55)*((LMPMain!$J$9:$J$1000)=$F55)*((LMPMain!$O$9:$O$1000)=$C55)*(LMPMain!T$9:T$1000) ) +  ( SUMPRODUCT( ((Adders!$D$13:$D$101)=$E55)*((Adders!$E$13:$E$101)=$F55)*(Adders!I$13:I$101)) + VLOOKUP($H55,Adders!$B$5:$G$8,N$11,FALSE)  +  NJ!$D$2 ) * IF($D55="NJ",1.07,1))/$L$10, CHOOSE($M$10,$L$9,$M$9) )</f>
        <v xml:space="preserve"> 35.27 </v>
      </c>
      <c r="O55" s="112"/>
    </row>
    <row r="56" spans="2:15" x14ac:dyDescent="0.25">
      <c r="B56" s="108"/>
      <c r="C56" s="127">
        <f t="shared" si="1"/>
        <v>42217</v>
      </c>
      <c r="D56" s="128" t="s">
        <v>39</v>
      </c>
      <c r="E56" s="129" t="s">
        <v>40</v>
      </c>
      <c r="F56" s="128" t="s">
        <v>41</v>
      </c>
      <c r="G56" s="129" t="str">
        <f t="shared" si="2"/>
        <v>General Service Medium</v>
      </c>
      <c r="H56" s="130" t="s">
        <v>61</v>
      </c>
      <c r="I56" s="178" t="str">
        <f>TEXT(   (SUMPRODUCT( ((Main!$H$9:$H$1000)=$E56)*((Main!$J$9:$J$1000)=$F56)*((Main!$O$9:$O$1000)=$C56)*(Main!R$9:R$1000) ) +  ( SUMPRODUCT( ((Adders!$D$13:$D$101)=$E56)*((Adders!$E$13:$E$101)=$F56)*(Adders!G$13:G$101)) + VLOOKUP($H56,Adders!$B$5:$G$8,L$11,FALSE)  +  MD!$D$2 ) * IF($D56="NJ",1.07,1))/$L$10, CHOOSE($M$10,$L$9,$M$9) )</f>
        <v xml:space="preserve"> 87.18 </v>
      </c>
      <c r="J56" s="178" t="str">
        <f>TEXT(   (SUMPRODUCT( ((Main!$H$9:$H$1000)=$E56)*((Main!$J$9:$J$1000)=$F56)*((Main!$O$9:$O$1000)=$C56)*(Main!S$9:S$1000) ) +  ( SUMPRODUCT( ((Adders!$D$13:$D$101)=$E56)*((Adders!$E$13:$E$101)=$F56)*(Adders!H$13:H$101)) + VLOOKUP($H56,Adders!$B$5:$G$8,M$11,FALSE)  +  MD!$D$2 ) * IF($D56="NJ",1.07,1))/$L$10, CHOOSE($M$10,$L$9,$M$9) )</f>
        <v xml:space="preserve"> 85.60 </v>
      </c>
      <c r="K56" s="179" t="str">
        <f>TEXT(   (SUMPRODUCT( ((Main!$H$9:$H$1000)=$E56)*((Main!$J$9:$J$1000)=$F56)*((Main!$O$9:$O$1000)=$C56)*(Main!T$9:T$1000) ) +  ( SUMPRODUCT( ((Adders!$D$13:$D$101)=$E56)*((Adders!$E$13:$E$101)=$F56)*(Adders!I$13:I$101)) + VLOOKUP($H56,Adders!$B$5:$G$8,$N$11,FALSE)  +  MD!$D$2 ) * IF($D56="NJ",1.07,1))/$L$10, CHOOSE($M$10,$L$9,$M$9) )</f>
        <v xml:space="preserve"> 85.61 </v>
      </c>
      <c r="L56" s="178" t="str">
        <f>TEXT(   (SUMPRODUCT( ((LMPMain!$H$9:$H$1000)=$E56)*((LMPMain!$J$9:$J$1000)=$F56)*((LMPMain!$O$9:$O$1000)=$C56)*(LMPMain!R$9:R$1000) ) +  ( SUMPRODUCT( ((Adders!$D$13:$D$101)=$E56)*((Adders!$E$13:$E$101)=$F56)*(Adders!G$13:G$101)) + VLOOKUP($H56,Adders!$B$5:$G$8,L$11,FALSE)  +  NJ!$D$2 ) * IF($D56="NJ",1.07,1))/$L$10, CHOOSE($M$10,$L$9,$M$9) )</f>
        <v xml:space="preserve"> 39.46 </v>
      </c>
      <c r="M56" s="178" t="str">
        <f>TEXT(   (SUMPRODUCT( ((LMPMain!$H$9:$H$1000)=$E56)*((LMPMain!$J$9:$J$1000)=$F56)*((LMPMain!$O$9:$O$1000)=$C56)*(LMPMain!S$9:S$1000) ) +  ( SUMPRODUCT( ((Adders!$D$13:$D$101)=$E56)*((Adders!$E$13:$E$101)=$F56)*(Adders!H$13:H$101)) + VLOOKUP($H56,Adders!$B$5:$G$8,M$11,FALSE)  +  NJ!$D$2 ) * IF($D56="NJ",1.07,1))/$L$10, CHOOSE($M$10,$L$9,$M$9) )</f>
        <v xml:space="preserve"> 38.22 </v>
      </c>
      <c r="N56" s="179" t="str">
        <f>TEXT(   (SUMPRODUCT( ((LMPMain!$H$9:$H$1000)=$E56)*((LMPMain!$J$9:$J$1000)=$F56)*((LMPMain!$O$9:$O$1000)=$C56)*(LMPMain!T$9:T$1000) ) +  ( SUMPRODUCT( ((Adders!$D$13:$D$101)=$E56)*((Adders!$E$13:$E$101)=$F56)*(Adders!I$13:I$101)) + VLOOKUP($H56,Adders!$B$5:$G$8,N$11,FALSE)  +  NJ!$D$2 ) * IF($D56="NJ",1.07,1))/$L$10, CHOOSE($M$10,$L$9,$M$9) )</f>
        <v xml:space="preserve"> 37.81 </v>
      </c>
      <c r="O56" s="112"/>
    </row>
    <row r="57" spans="2:15" x14ac:dyDescent="0.25">
      <c r="B57" s="108"/>
      <c r="C57" s="131">
        <f t="shared" si="1"/>
        <v>42217</v>
      </c>
      <c r="D57" s="132" t="s">
        <v>39</v>
      </c>
      <c r="E57" s="133" t="s">
        <v>40</v>
      </c>
      <c r="F57" s="132" t="s">
        <v>41</v>
      </c>
      <c r="G57" s="133" t="str">
        <f t="shared" si="2"/>
        <v>General Service Medium</v>
      </c>
      <c r="H57" s="134" t="s">
        <v>62</v>
      </c>
      <c r="I57" s="173" t="str">
        <f>TEXT(   (SUMPRODUCT( ((Main!$H$9:$H$1000)=$E57)*((Main!$J$9:$J$1000)=$F57)*((Main!$O$9:$O$1000)=$C57)*(Main!R$9:R$1000) ) +  ( SUMPRODUCT( ((Adders!$D$13:$D$101)=$E57)*((Adders!$E$13:$E$101)=$F57)*(Adders!G$13:G$101)) + VLOOKUP($H57,Adders!$B$5:$G$8,L$11,FALSE)  +  MD!$D$2 ) * IF($D57="NJ",1.07,1))/$L$10, CHOOSE($M$10,$L$9,$M$9) )</f>
        <v xml:space="preserve"> 85.58 </v>
      </c>
      <c r="J57" s="173" t="str">
        <f>TEXT(   (SUMPRODUCT( ((Main!$H$9:$H$1000)=$E57)*((Main!$J$9:$J$1000)=$F57)*((Main!$O$9:$O$1000)=$C57)*(Main!S$9:S$1000) ) +  ( SUMPRODUCT( ((Adders!$D$13:$D$101)=$E57)*((Adders!$E$13:$E$101)=$F57)*(Adders!H$13:H$101)) + VLOOKUP($H57,Adders!$B$5:$G$8,M$11,FALSE)  +  MD!$D$2 ) * IF($D57="NJ",1.07,1))/$L$10, CHOOSE($M$10,$L$9,$M$9) )</f>
        <v xml:space="preserve"> 84.00 </v>
      </c>
      <c r="K57" s="174" t="str">
        <f>TEXT(   (SUMPRODUCT( ((Main!$H$9:$H$1000)=$E57)*((Main!$J$9:$J$1000)=$F57)*((Main!$O$9:$O$1000)=$C57)*(Main!T$9:T$1000) ) +  ( SUMPRODUCT( ((Adders!$D$13:$D$101)=$E57)*((Adders!$E$13:$E$101)=$F57)*(Adders!I$13:I$101)) + VLOOKUP($H57,Adders!$B$5:$G$8,$N$11,FALSE)  +  MD!$D$2 ) * IF($D57="NJ",1.07,1))/$L$10, CHOOSE($M$10,$L$9,$M$9) )</f>
        <v xml:space="preserve"> 84.01 </v>
      </c>
      <c r="L57" s="173" t="str">
        <f>TEXT(   (SUMPRODUCT( ((LMPMain!$H$9:$H$1000)=$E57)*((LMPMain!$J$9:$J$1000)=$F57)*((LMPMain!$O$9:$O$1000)=$C57)*(LMPMain!R$9:R$1000) ) +  ( SUMPRODUCT( ((Adders!$D$13:$D$101)=$E57)*((Adders!$E$13:$E$101)=$F57)*(Adders!G$13:G$101)) + VLOOKUP($H57,Adders!$B$5:$G$8,L$11,FALSE)  +  NJ!$D$2 ) * IF($D57="NJ",1.07,1))/$L$10, CHOOSE($M$10,$L$9,$M$9) )</f>
        <v xml:space="preserve"> 37.86 </v>
      </c>
      <c r="M57" s="173" t="str">
        <f>TEXT(   (SUMPRODUCT( ((LMPMain!$H$9:$H$1000)=$E57)*((LMPMain!$J$9:$J$1000)=$F57)*((LMPMain!$O$9:$O$1000)=$C57)*(LMPMain!S$9:S$1000) ) +  ( SUMPRODUCT( ((Adders!$D$13:$D$101)=$E57)*((Adders!$E$13:$E$101)=$F57)*(Adders!H$13:H$101)) + VLOOKUP($H57,Adders!$B$5:$G$8,M$11,FALSE)  +  NJ!$D$2 ) * IF($D57="NJ",1.07,1))/$L$10, CHOOSE($M$10,$L$9,$M$9) )</f>
        <v xml:space="preserve"> 36.62 </v>
      </c>
      <c r="N57" s="174" t="str">
        <f>TEXT(   (SUMPRODUCT( ((LMPMain!$H$9:$H$1000)=$E57)*((LMPMain!$J$9:$J$1000)=$F57)*((LMPMain!$O$9:$O$1000)=$C57)*(LMPMain!T$9:T$1000) ) +  ( SUMPRODUCT( ((Adders!$D$13:$D$101)=$E57)*((Adders!$E$13:$E$101)=$F57)*(Adders!I$13:I$101)) + VLOOKUP($H57,Adders!$B$5:$G$8,N$11,FALSE)  +  NJ!$D$2 ) * IF($D57="NJ",1.07,1))/$L$10, CHOOSE($M$10,$L$9,$M$9) )</f>
        <v xml:space="preserve"> 36.21 </v>
      </c>
      <c r="O57" s="112"/>
    </row>
    <row r="58" spans="2:15" x14ac:dyDescent="0.25">
      <c r="B58" s="108"/>
      <c r="C58" s="135">
        <f t="shared" si="1"/>
        <v>42217</v>
      </c>
      <c r="D58" s="136" t="s">
        <v>39</v>
      </c>
      <c r="E58" s="137" t="s">
        <v>40</v>
      </c>
      <c r="F58" s="136" t="s">
        <v>41</v>
      </c>
      <c r="G58" s="137" t="str">
        <f t="shared" si="2"/>
        <v>General Service Medium</v>
      </c>
      <c r="H58" s="138" t="s">
        <v>690</v>
      </c>
      <c r="I58" s="176" t="str">
        <f>TEXT(   (SUMPRODUCT( ((Main!$H$9:$H$1000)=$E58)*((Main!$J$9:$J$1000)=$F58)*((Main!$O$9:$O$1000)=$C58)*(Main!R$9:R$1000) ) +  ( SUMPRODUCT( ((Adders!$D$13:$D$101)=$E58)*((Adders!$E$13:$E$101)=$F58)*(Adders!G$13:G$101)) + VLOOKUP($H58,Adders!$B$5:$G$8,L$11,FALSE)  +  MD!$D$2 ) * IF($D58="NJ",1.07,1))/$L$10, CHOOSE($M$10,$L$9,$M$9) )</f>
        <v xml:space="preserve"> 84.53 </v>
      </c>
      <c r="J58" s="176" t="str">
        <f>TEXT(   (SUMPRODUCT( ((Main!$H$9:$H$1000)=$E58)*((Main!$J$9:$J$1000)=$F58)*((Main!$O$9:$O$1000)=$C58)*(Main!S$9:S$1000) ) +  ( SUMPRODUCT( ((Adders!$D$13:$D$101)=$E58)*((Adders!$E$13:$E$101)=$F58)*(Adders!H$13:H$101)) + VLOOKUP($H58,Adders!$B$5:$G$8,M$11,FALSE)  +  MD!$D$2 ) * IF($D58="NJ",1.07,1))/$L$10, CHOOSE($M$10,$L$9,$M$9) )</f>
        <v xml:space="preserve"> 82.95 </v>
      </c>
      <c r="K58" s="177" t="str">
        <f>TEXT(   (SUMPRODUCT( ((Main!$H$9:$H$1000)=$E58)*((Main!$J$9:$J$1000)=$F58)*((Main!$O$9:$O$1000)=$C58)*(Main!T$9:T$1000) ) +  ( SUMPRODUCT( ((Adders!$D$13:$D$101)=$E58)*((Adders!$E$13:$E$101)=$F58)*(Adders!I$13:I$101)) + VLOOKUP($H58,Adders!$B$5:$G$8,$N$11,FALSE)  +  MD!$D$2 ) * IF($D58="NJ",1.07,1))/$L$10, CHOOSE($M$10,$L$9,$M$9) )</f>
        <v xml:space="preserve"> 82.96 </v>
      </c>
      <c r="L58" s="176" t="str">
        <f>TEXT(   (SUMPRODUCT( ((LMPMain!$H$9:$H$1000)=$E58)*((LMPMain!$J$9:$J$1000)=$F58)*((LMPMain!$O$9:$O$1000)=$C58)*(LMPMain!R$9:R$1000) ) +  ( SUMPRODUCT( ((Adders!$D$13:$D$101)=$E58)*((Adders!$E$13:$E$101)=$F58)*(Adders!G$13:G$101)) + VLOOKUP($H58,Adders!$B$5:$G$8,L$11,FALSE)  +  NJ!$D$2 ) * IF($D58="NJ",1.07,1))/$L$10, CHOOSE($M$10,$L$9,$M$9) )</f>
        <v xml:space="preserve"> 36.81 </v>
      </c>
      <c r="M58" s="176" t="str">
        <f>TEXT(   (SUMPRODUCT( ((LMPMain!$H$9:$H$1000)=$E58)*((LMPMain!$J$9:$J$1000)=$F58)*((LMPMain!$O$9:$O$1000)=$C58)*(LMPMain!S$9:S$1000) ) +  ( SUMPRODUCT( ((Adders!$D$13:$D$101)=$E58)*((Adders!$E$13:$E$101)=$F58)*(Adders!H$13:H$101)) + VLOOKUP($H58,Adders!$B$5:$G$8,M$11,FALSE)  +  NJ!$D$2 ) * IF($D58="NJ",1.07,1))/$L$10, CHOOSE($M$10,$L$9,$M$9) )</f>
        <v xml:space="preserve"> 35.57 </v>
      </c>
      <c r="N58" s="177" t="str">
        <f>TEXT(   (SUMPRODUCT( ((LMPMain!$H$9:$H$1000)=$E58)*((LMPMain!$J$9:$J$1000)=$F58)*((LMPMain!$O$9:$O$1000)=$C58)*(LMPMain!T$9:T$1000) ) +  ( SUMPRODUCT( ((Adders!$D$13:$D$101)=$E58)*((Adders!$E$13:$E$101)=$F58)*(Adders!I$13:I$101)) + VLOOKUP($H58,Adders!$B$5:$G$8,N$11,FALSE)  +  NJ!$D$2 ) * IF($D58="NJ",1.07,1))/$L$10, CHOOSE($M$10,$L$9,$M$9) )</f>
        <v xml:space="preserve"> 35.16 </v>
      </c>
      <c r="O58" s="112"/>
    </row>
    <row r="59" spans="2:15" x14ac:dyDescent="0.25">
      <c r="B59" s="108"/>
      <c r="C59" s="127">
        <f t="shared" si="1"/>
        <v>42248</v>
      </c>
      <c r="D59" s="128" t="s">
        <v>39</v>
      </c>
      <c r="E59" s="129" t="s">
        <v>40</v>
      </c>
      <c r="F59" s="128" t="s">
        <v>41</v>
      </c>
      <c r="G59" s="129" t="str">
        <f t="shared" si="2"/>
        <v>General Service Medium</v>
      </c>
      <c r="H59" s="130" t="s">
        <v>61</v>
      </c>
      <c r="I59" s="178" t="str">
        <f>TEXT(   (SUMPRODUCT( ((Main!$H$9:$H$1000)=$E59)*((Main!$J$9:$J$1000)=$F59)*((Main!$O$9:$O$1000)=$C59)*(Main!R$9:R$1000) ) +  ( SUMPRODUCT( ((Adders!$D$13:$D$101)=$E59)*((Adders!$E$13:$E$101)=$F59)*(Adders!G$13:G$101)) + VLOOKUP($H59,Adders!$B$5:$G$8,L$11,FALSE)  +  MD!$D$2 ) * IF($D59="NJ",1.07,1))/$L$10, CHOOSE($M$10,$L$9,$M$9) )</f>
        <v xml:space="preserve"> 86.84 </v>
      </c>
      <c r="J59" s="178" t="str">
        <f>TEXT(   (SUMPRODUCT( ((Main!$H$9:$H$1000)=$E59)*((Main!$J$9:$J$1000)=$F59)*((Main!$O$9:$O$1000)=$C59)*(Main!S$9:S$1000) ) +  ( SUMPRODUCT( ((Adders!$D$13:$D$101)=$E59)*((Adders!$E$13:$E$101)=$F59)*(Adders!H$13:H$101)) + VLOOKUP($H59,Adders!$B$5:$G$8,M$11,FALSE)  +  MD!$D$2 ) * IF($D59="NJ",1.07,1))/$L$10, CHOOSE($M$10,$L$9,$M$9) )</f>
        <v xml:space="preserve"> 85.97 </v>
      </c>
      <c r="K59" s="179" t="str">
        <f>TEXT(   (SUMPRODUCT( ((Main!$H$9:$H$1000)=$E59)*((Main!$J$9:$J$1000)=$F59)*((Main!$O$9:$O$1000)=$C59)*(Main!T$9:T$1000) ) +  ( SUMPRODUCT( ((Adders!$D$13:$D$101)=$E59)*((Adders!$E$13:$E$101)=$F59)*(Adders!I$13:I$101)) + VLOOKUP($H59,Adders!$B$5:$G$8,$N$11,FALSE)  +  MD!$D$2 ) * IF($D59="NJ",1.07,1))/$L$10, CHOOSE($M$10,$L$9,$M$9) )</f>
        <v xml:space="preserve"> 85.58 </v>
      </c>
      <c r="L59" s="178" t="str">
        <f>TEXT(   (SUMPRODUCT( ((LMPMain!$H$9:$H$1000)=$E59)*((LMPMain!$J$9:$J$1000)=$F59)*((LMPMain!$O$9:$O$1000)=$C59)*(LMPMain!R$9:R$1000) ) +  ( SUMPRODUCT( ((Adders!$D$13:$D$101)=$E59)*((Adders!$E$13:$E$101)=$F59)*(Adders!G$13:G$101)) + VLOOKUP($H59,Adders!$B$5:$G$8,L$11,FALSE)  +  NJ!$D$2 ) * IF($D59="NJ",1.07,1))/$L$10, CHOOSE($M$10,$L$9,$M$9) )</f>
        <v xml:space="preserve"> 39.13 </v>
      </c>
      <c r="M59" s="178" t="str">
        <f>TEXT(   (SUMPRODUCT( ((LMPMain!$H$9:$H$1000)=$E59)*((LMPMain!$J$9:$J$1000)=$F59)*((LMPMain!$O$9:$O$1000)=$C59)*(LMPMain!S$9:S$1000) ) +  ( SUMPRODUCT( ((Adders!$D$13:$D$101)=$E59)*((Adders!$E$13:$E$101)=$F59)*(Adders!H$13:H$101)) + VLOOKUP($H59,Adders!$B$5:$G$8,M$11,FALSE)  +  NJ!$D$2 ) * IF($D59="NJ",1.07,1))/$L$10, CHOOSE($M$10,$L$9,$M$9) )</f>
        <v xml:space="preserve"> 38.20 </v>
      </c>
      <c r="N59" s="179" t="str">
        <f>TEXT(   (SUMPRODUCT( ((LMPMain!$H$9:$H$1000)=$E59)*((LMPMain!$J$9:$J$1000)=$F59)*((LMPMain!$O$9:$O$1000)=$C59)*(LMPMain!T$9:T$1000) ) +  ( SUMPRODUCT( ((Adders!$D$13:$D$101)=$E59)*((Adders!$E$13:$E$101)=$F59)*(Adders!I$13:I$101)) + VLOOKUP($H59,Adders!$B$5:$G$8,N$11,FALSE)  +  NJ!$D$2 ) * IF($D59="NJ",1.07,1))/$L$10, CHOOSE($M$10,$L$9,$M$9) )</f>
        <v xml:space="preserve"> 37.68 </v>
      </c>
      <c r="O59" s="112"/>
    </row>
    <row r="60" spans="2:15" x14ac:dyDescent="0.25">
      <c r="B60" s="108"/>
      <c r="C60" s="131">
        <f t="shared" si="1"/>
        <v>42248</v>
      </c>
      <c r="D60" s="132" t="s">
        <v>39</v>
      </c>
      <c r="E60" s="133" t="s">
        <v>40</v>
      </c>
      <c r="F60" s="132" t="s">
        <v>41</v>
      </c>
      <c r="G60" s="133" t="str">
        <f t="shared" si="2"/>
        <v>General Service Medium</v>
      </c>
      <c r="H60" s="134" t="s">
        <v>62</v>
      </c>
      <c r="I60" s="173" t="str">
        <f>TEXT(   (SUMPRODUCT( ((Main!$H$9:$H$1000)=$E60)*((Main!$J$9:$J$1000)=$F60)*((Main!$O$9:$O$1000)=$C60)*(Main!R$9:R$1000) ) +  ( SUMPRODUCT( ((Adders!$D$13:$D$101)=$E60)*((Adders!$E$13:$E$101)=$F60)*(Adders!G$13:G$101)) + VLOOKUP($H60,Adders!$B$5:$G$8,L$11,FALSE)  +  MD!$D$2 ) * IF($D60="NJ",1.07,1))/$L$10, CHOOSE($M$10,$L$9,$M$9) )</f>
        <v xml:space="preserve"> 85.24 </v>
      </c>
      <c r="J60" s="173" t="str">
        <f>TEXT(   (SUMPRODUCT( ((Main!$H$9:$H$1000)=$E60)*((Main!$J$9:$J$1000)=$F60)*((Main!$O$9:$O$1000)=$C60)*(Main!S$9:S$1000) ) +  ( SUMPRODUCT( ((Adders!$D$13:$D$101)=$E60)*((Adders!$E$13:$E$101)=$F60)*(Adders!H$13:H$101)) + VLOOKUP($H60,Adders!$B$5:$G$8,M$11,FALSE)  +  MD!$D$2 ) * IF($D60="NJ",1.07,1))/$L$10, CHOOSE($M$10,$L$9,$M$9) )</f>
        <v xml:space="preserve"> 84.37 </v>
      </c>
      <c r="K60" s="174" t="str">
        <f>TEXT(   (SUMPRODUCT( ((Main!$H$9:$H$1000)=$E60)*((Main!$J$9:$J$1000)=$F60)*((Main!$O$9:$O$1000)=$C60)*(Main!T$9:T$1000) ) +  ( SUMPRODUCT( ((Adders!$D$13:$D$101)=$E60)*((Adders!$E$13:$E$101)=$F60)*(Adders!I$13:I$101)) + VLOOKUP($H60,Adders!$B$5:$G$8,$N$11,FALSE)  +  MD!$D$2 ) * IF($D60="NJ",1.07,1))/$L$10, CHOOSE($M$10,$L$9,$M$9) )</f>
        <v xml:space="preserve"> 83.98 </v>
      </c>
      <c r="L60" s="173" t="str">
        <f>TEXT(   (SUMPRODUCT( ((LMPMain!$H$9:$H$1000)=$E60)*((LMPMain!$J$9:$J$1000)=$F60)*((LMPMain!$O$9:$O$1000)=$C60)*(LMPMain!R$9:R$1000) ) +  ( SUMPRODUCT( ((Adders!$D$13:$D$101)=$E60)*((Adders!$E$13:$E$101)=$F60)*(Adders!G$13:G$101)) + VLOOKUP($H60,Adders!$B$5:$G$8,L$11,FALSE)  +  NJ!$D$2 ) * IF($D60="NJ",1.07,1))/$L$10, CHOOSE($M$10,$L$9,$M$9) )</f>
        <v xml:space="preserve"> 37.53 </v>
      </c>
      <c r="M60" s="173" t="str">
        <f>TEXT(   (SUMPRODUCT( ((LMPMain!$H$9:$H$1000)=$E60)*((LMPMain!$J$9:$J$1000)=$F60)*((LMPMain!$O$9:$O$1000)=$C60)*(LMPMain!S$9:S$1000) ) +  ( SUMPRODUCT( ((Adders!$D$13:$D$101)=$E60)*((Adders!$E$13:$E$101)=$F60)*(Adders!H$13:H$101)) + VLOOKUP($H60,Adders!$B$5:$G$8,M$11,FALSE)  +  NJ!$D$2 ) * IF($D60="NJ",1.07,1))/$L$10, CHOOSE($M$10,$L$9,$M$9) )</f>
        <v xml:space="preserve"> 36.60 </v>
      </c>
      <c r="N60" s="174" t="str">
        <f>TEXT(   (SUMPRODUCT( ((LMPMain!$H$9:$H$1000)=$E60)*((LMPMain!$J$9:$J$1000)=$F60)*((LMPMain!$O$9:$O$1000)=$C60)*(LMPMain!T$9:T$1000) ) +  ( SUMPRODUCT( ((Adders!$D$13:$D$101)=$E60)*((Adders!$E$13:$E$101)=$F60)*(Adders!I$13:I$101)) + VLOOKUP($H60,Adders!$B$5:$G$8,N$11,FALSE)  +  NJ!$D$2 ) * IF($D60="NJ",1.07,1))/$L$10, CHOOSE($M$10,$L$9,$M$9) )</f>
        <v xml:space="preserve"> 36.08 </v>
      </c>
      <c r="O60" s="112"/>
    </row>
    <row r="61" spans="2:15" x14ac:dyDescent="0.25">
      <c r="B61" s="108"/>
      <c r="C61" s="135">
        <f t="shared" si="1"/>
        <v>42248</v>
      </c>
      <c r="D61" s="136" t="s">
        <v>39</v>
      </c>
      <c r="E61" s="137" t="s">
        <v>40</v>
      </c>
      <c r="F61" s="136" t="s">
        <v>41</v>
      </c>
      <c r="G61" s="137" t="str">
        <f t="shared" si="2"/>
        <v>General Service Medium</v>
      </c>
      <c r="H61" s="138" t="s">
        <v>690</v>
      </c>
      <c r="I61" s="176" t="str">
        <f>TEXT(   (SUMPRODUCT( ((Main!$H$9:$H$1000)=$E61)*((Main!$J$9:$J$1000)=$F61)*((Main!$O$9:$O$1000)=$C61)*(Main!R$9:R$1000) ) +  ( SUMPRODUCT( ((Adders!$D$13:$D$101)=$E61)*((Adders!$E$13:$E$101)=$F61)*(Adders!G$13:G$101)) + VLOOKUP($H61,Adders!$B$5:$G$8,L$11,FALSE)  +  MD!$D$2 ) * IF($D61="NJ",1.07,1))/$L$10, CHOOSE($M$10,$L$9,$M$9) )</f>
        <v xml:space="preserve"> 84.19 </v>
      </c>
      <c r="J61" s="176" t="str">
        <f>TEXT(   (SUMPRODUCT( ((Main!$H$9:$H$1000)=$E61)*((Main!$J$9:$J$1000)=$F61)*((Main!$O$9:$O$1000)=$C61)*(Main!S$9:S$1000) ) +  ( SUMPRODUCT( ((Adders!$D$13:$D$101)=$E61)*((Adders!$E$13:$E$101)=$F61)*(Adders!H$13:H$101)) + VLOOKUP($H61,Adders!$B$5:$G$8,M$11,FALSE)  +  MD!$D$2 ) * IF($D61="NJ",1.07,1))/$L$10, CHOOSE($M$10,$L$9,$M$9) )</f>
        <v xml:space="preserve"> 83.32 </v>
      </c>
      <c r="K61" s="177" t="str">
        <f>TEXT(   (SUMPRODUCT( ((Main!$H$9:$H$1000)=$E61)*((Main!$J$9:$J$1000)=$F61)*((Main!$O$9:$O$1000)=$C61)*(Main!T$9:T$1000) ) +  ( SUMPRODUCT( ((Adders!$D$13:$D$101)=$E61)*((Adders!$E$13:$E$101)=$F61)*(Adders!I$13:I$101)) + VLOOKUP($H61,Adders!$B$5:$G$8,$N$11,FALSE)  +  MD!$D$2 ) * IF($D61="NJ",1.07,1))/$L$10, CHOOSE($M$10,$L$9,$M$9) )</f>
        <v xml:space="preserve"> 82.93 </v>
      </c>
      <c r="L61" s="176" t="str">
        <f>TEXT(   (SUMPRODUCT( ((LMPMain!$H$9:$H$1000)=$E61)*((LMPMain!$J$9:$J$1000)=$F61)*((LMPMain!$O$9:$O$1000)=$C61)*(LMPMain!R$9:R$1000) ) +  ( SUMPRODUCT( ((Adders!$D$13:$D$101)=$E61)*((Adders!$E$13:$E$101)=$F61)*(Adders!G$13:G$101)) + VLOOKUP($H61,Adders!$B$5:$G$8,L$11,FALSE)  +  NJ!$D$2 ) * IF($D61="NJ",1.07,1))/$L$10, CHOOSE($M$10,$L$9,$M$9) )</f>
        <v xml:space="preserve"> 36.48 </v>
      </c>
      <c r="M61" s="176" t="str">
        <f>TEXT(   (SUMPRODUCT( ((LMPMain!$H$9:$H$1000)=$E61)*((LMPMain!$J$9:$J$1000)=$F61)*((LMPMain!$O$9:$O$1000)=$C61)*(LMPMain!S$9:S$1000) ) +  ( SUMPRODUCT( ((Adders!$D$13:$D$101)=$E61)*((Adders!$E$13:$E$101)=$F61)*(Adders!H$13:H$101)) + VLOOKUP($H61,Adders!$B$5:$G$8,M$11,FALSE)  +  NJ!$D$2 ) * IF($D61="NJ",1.07,1))/$L$10, CHOOSE($M$10,$L$9,$M$9) )</f>
        <v xml:space="preserve"> 35.55 </v>
      </c>
      <c r="N61" s="177" t="str">
        <f>TEXT(   (SUMPRODUCT( ((LMPMain!$H$9:$H$1000)=$E61)*((LMPMain!$J$9:$J$1000)=$F61)*((LMPMain!$O$9:$O$1000)=$C61)*(LMPMain!T$9:T$1000) ) +  ( SUMPRODUCT( ((Adders!$D$13:$D$101)=$E61)*((Adders!$E$13:$E$101)=$F61)*(Adders!I$13:I$101)) + VLOOKUP($H61,Adders!$B$5:$G$8,N$11,FALSE)  +  NJ!$D$2 ) * IF($D61="NJ",1.07,1))/$L$10, CHOOSE($M$10,$L$9,$M$9) )</f>
        <v xml:space="preserve"> 35.03 </v>
      </c>
      <c r="O61" s="112"/>
    </row>
    <row r="62" spans="2:15" x14ac:dyDescent="0.25">
      <c r="B62" s="108"/>
      <c r="C62" s="127">
        <f t="shared" si="1"/>
        <v>42278</v>
      </c>
      <c r="D62" s="128" t="s">
        <v>39</v>
      </c>
      <c r="E62" s="129" t="s">
        <v>40</v>
      </c>
      <c r="F62" s="128" t="s">
        <v>41</v>
      </c>
      <c r="G62" s="129" t="str">
        <f t="shared" si="2"/>
        <v>General Service Medium</v>
      </c>
      <c r="H62" s="130" t="s">
        <v>61</v>
      </c>
      <c r="I62" s="178" t="str">
        <f>TEXT(   (SUMPRODUCT( ((Main!$H$9:$H$1000)=$E62)*((Main!$J$9:$J$1000)=$F62)*((Main!$O$9:$O$1000)=$C62)*(Main!R$9:R$1000) ) +  ( SUMPRODUCT( ((Adders!$D$13:$D$101)=$E62)*((Adders!$E$13:$E$101)=$F62)*(Adders!G$13:G$101)) + VLOOKUP($H62,Adders!$B$5:$G$8,L$11,FALSE)  +  MD!$D$2 ) * IF($D62="NJ",1.07,1))/$L$10, CHOOSE($M$10,$L$9,$M$9) )</f>
        <v xml:space="preserve"> 86.46 </v>
      </c>
      <c r="J62" s="178" t="str">
        <f>TEXT(   (SUMPRODUCT( ((Main!$H$9:$H$1000)=$E62)*((Main!$J$9:$J$1000)=$F62)*((Main!$O$9:$O$1000)=$C62)*(Main!S$9:S$1000) ) +  ( SUMPRODUCT( ((Adders!$D$13:$D$101)=$E62)*((Adders!$E$13:$E$101)=$F62)*(Adders!H$13:H$101)) + VLOOKUP($H62,Adders!$B$5:$G$8,M$11,FALSE)  +  MD!$D$2 ) * IF($D62="NJ",1.07,1))/$L$10, CHOOSE($M$10,$L$9,$M$9) )</f>
        <v xml:space="preserve"> 86.21 </v>
      </c>
      <c r="K62" s="179" t="str">
        <f>TEXT(   (SUMPRODUCT( ((Main!$H$9:$H$1000)=$E62)*((Main!$J$9:$J$1000)=$F62)*((Main!$O$9:$O$1000)=$C62)*(Main!T$9:T$1000) ) +  ( SUMPRODUCT( ((Adders!$D$13:$D$101)=$E62)*((Adders!$E$13:$E$101)=$F62)*(Adders!I$13:I$101)) + VLOOKUP($H62,Adders!$B$5:$G$8,$N$11,FALSE)  +  MD!$D$2 ) * IF($D62="NJ",1.07,1))/$L$10, CHOOSE($M$10,$L$9,$M$9) )</f>
        <v xml:space="preserve"> 85.41 </v>
      </c>
      <c r="L62" s="178" t="str">
        <f>TEXT(   (SUMPRODUCT( ((LMPMain!$H$9:$H$1000)=$E62)*((LMPMain!$J$9:$J$1000)=$F62)*((LMPMain!$O$9:$O$1000)=$C62)*(LMPMain!R$9:R$1000) ) +  ( SUMPRODUCT( ((Adders!$D$13:$D$101)=$E62)*((Adders!$E$13:$E$101)=$F62)*(Adders!G$13:G$101)) + VLOOKUP($H62,Adders!$B$5:$G$8,L$11,FALSE)  +  NJ!$D$2 ) * IF($D62="NJ",1.07,1))/$L$10, CHOOSE($M$10,$L$9,$M$9) )</f>
        <v xml:space="preserve"> 38.83 </v>
      </c>
      <c r="M62" s="178" t="str">
        <f>TEXT(   (SUMPRODUCT( ((LMPMain!$H$9:$H$1000)=$E62)*((LMPMain!$J$9:$J$1000)=$F62)*((LMPMain!$O$9:$O$1000)=$C62)*(LMPMain!S$9:S$1000) ) +  ( SUMPRODUCT( ((Adders!$D$13:$D$101)=$E62)*((Adders!$E$13:$E$101)=$F62)*(Adders!H$13:H$101)) + VLOOKUP($H62,Adders!$B$5:$G$8,M$11,FALSE)  +  NJ!$D$2 ) * IF($D62="NJ",1.07,1))/$L$10, CHOOSE($M$10,$L$9,$M$9) )</f>
        <v xml:space="preserve"> 38.17 </v>
      </c>
      <c r="N62" s="179" t="str">
        <f>TEXT(   (SUMPRODUCT( ((LMPMain!$H$9:$H$1000)=$E62)*((LMPMain!$J$9:$J$1000)=$F62)*((LMPMain!$O$9:$O$1000)=$C62)*(LMPMain!T$9:T$1000) ) +  ( SUMPRODUCT( ((Adders!$D$13:$D$101)=$E62)*((Adders!$E$13:$E$101)=$F62)*(Adders!I$13:I$101)) + VLOOKUP($H62,Adders!$B$5:$G$8,N$11,FALSE)  +  NJ!$D$2 ) * IF($D62="NJ",1.07,1))/$L$10, CHOOSE($M$10,$L$9,$M$9) )</f>
        <v xml:space="preserve"> 37.55 </v>
      </c>
      <c r="O62" s="112"/>
    </row>
    <row r="63" spans="2:15" x14ac:dyDescent="0.25">
      <c r="B63" s="108"/>
      <c r="C63" s="131">
        <f t="shared" si="1"/>
        <v>42278</v>
      </c>
      <c r="D63" s="132" t="s">
        <v>39</v>
      </c>
      <c r="E63" s="133" t="s">
        <v>40</v>
      </c>
      <c r="F63" s="132" t="s">
        <v>41</v>
      </c>
      <c r="G63" s="133" t="str">
        <f t="shared" si="2"/>
        <v>General Service Medium</v>
      </c>
      <c r="H63" s="134" t="s">
        <v>62</v>
      </c>
      <c r="I63" s="173" t="str">
        <f>TEXT(   (SUMPRODUCT( ((Main!$H$9:$H$1000)=$E63)*((Main!$J$9:$J$1000)=$F63)*((Main!$O$9:$O$1000)=$C63)*(Main!R$9:R$1000) ) +  ( SUMPRODUCT( ((Adders!$D$13:$D$101)=$E63)*((Adders!$E$13:$E$101)=$F63)*(Adders!G$13:G$101)) + VLOOKUP($H63,Adders!$B$5:$G$8,L$11,FALSE)  +  MD!$D$2 ) * IF($D63="NJ",1.07,1))/$L$10, CHOOSE($M$10,$L$9,$M$9) )</f>
        <v xml:space="preserve"> 84.86 </v>
      </c>
      <c r="J63" s="173" t="str">
        <f>TEXT(   (SUMPRODUCT( ((Main!$H$9:$H$1000)=$E63)*((Main!$J$9:$J$1000)=$F63)*((Main!$O$9:$O$1000)=$C63)*(Main!S$9:S$1000) ) +  ( SUMPRODUCT( ((Adders!$D$13:$D$101)=$E63)*((Adders!$E$13:$E$101)=$F63)*(Adders!H$13:H$101)) + VLOOKUP($H63,Adders!$B$5:$G$8,M$11,FALSE)  +  MD!$D$2 ) * IF($D63="NJ",1.07,1))/$L$10, CHOOSE($M$10,$L$9,$M$9) )</f>
        <v xml:space="preserve"> 84.61 </v>
      </c>
      <c r="K63" s="174" t="str">
        <f>TEXT(   (SUMPRODUCT( ((Main!$H$9:$H$1000)=$E63)*((Main!$J$9:$J$1000)=$F63)*((Main!$O$9:$O$1000)=$C63)*(Main!T$9:T$1000) ) +  ( SUMPRODUCT( ((Adders!$D$13:$D$101)=$E63)*((Adders!$E$13:$E$101)=$F63)*(Adders!I$13:I$101)) + VLOOKUP($H63,Adders!$B$5:$G$8,$N$11,FALSE)  +  MD!$D$2 ) * IF($D63="NJ",1.07,1))/$L$10, CHOOSE($M$10,$L$9,$M$9) )</f>
        <v xml:space="preserve"> 83.81 </v>
      </c>
      <c r="L63" s="173" t="str">
        <f>TEXT(   (SUMPRODUCT( ((LMPMain!$H$9:$H$1000)=$E63)*((LMPMain!$J$9:$J$1000)=$F63)*((LMPMain!$O$9:$O$1000)=$C63)*(LMPMain!R$9:R$1000) ) +  ( SUMPRODUCT( ((Adders!$D$13:$D$101)=$E63)*((Adders!$E$13:$E$101)=$F63)*(Adders!G$13:G$101)) + VLOOKUP($H63,Adders!$B$5:$G$8,L$11,FALSE)  +  NJ!$D$2 ) * IF($D63="NJ",1.07,1))/$L$10, CHOOSE($M$10,$L$9,$M$9) )</f>
        <v xml:space="preserve"> 37.23 </v>
      </c>
      <c r="M63" s="173" t="str">
        <f>TEXT(   (SUMPRODUCT( ((LMPMain!$H$9:$H$1000)=$E63)*((LMPMain!$J$9:$J$1000)=$F63)*((LMPMain!$O$9:$O$1000)=$C63)*(LMPMain!S$9:S$1000) ) +  ( SUMPRODUCT( ((Adders!$D$13:$D$101)=$E63)*((Adders!$E$13:$E$101)=$F63)*(Adders!H$13:H$101)) + VLOOKUP($H63,Adders!$B$5:$G$8,M$11,FALSE)  +  NJ!$D$2 ) * IF($D63="NJ",1.07,1))/$L$10, CHOOSE($M$10,$L$9,$M$9) )</f>
        <v xml:space="preserve"> 36.57 </v>
      </c>
      <c r="N63" s="174" t="str">
        <f>TEXT(   (SUMPRODUCT( ((LMPMain!$H$9:$H$1000)=$E63)*((LMPMain!$J$9:$J$1000)=$F63)*((LMPMain!$O$9:$O$1000)=$C63)*(LMPMain!T$9:T$1000) ) +  ( SUMPRODUCT( ((Adders!$D$13:$D$101)=$E63)*((Adders!$E$13:$E$101)=$F63)*(Adders!I$13:I$101)) + VLOOKUP($H63,Adders!$B$5:$G$8,N$11,FALSE)  +  NJ!$D$2 ) * IF($D63="NJ",1.07,1))/$L$10, CHOOSE($M$10,$L$9,$M$9) )</f>
        <v xml:space="preserve"> 35.95 </v>
      </c>
      <c r="O63" s="112"/>
    </row>
    <row r="64" spans="2:15" x14ac:dyDescent="0.25">
      <c r="B64" s="108"/>
      <c r="C64" s="135">
        <f t="shared" si="1"/>
        <v>42278</v>
      </c>
      <c r="D64" s="136" t="s">
        <v>39</v>
      </c>
      <c r="E64" s="137" t="s">
        <v>40</v>
      </c>
      <c r="F64" s="136" t="s">
        <v>41</v>
      </c>
      <c r="G64" s="137" t="str">
        <f t="shared" si="2"/>
        <v>General Service Medium</v>
      </c>
      <c r="H64" s="138" t="s">
        <v>690</v>
      </c>
      <c r="I64" s="176" t="str">
        <f>TEXT(   (SUMPRODUCT( ((Main!$H$9:$H$1000)=$E64)*((Main!$J$9:$J$1000)=$F64)*((Main!$O$9:$O$1000)=$C64)*(Main!R$9:R$1000) ) +  ( SUMPRODUCT( ((Adders!$D$13:$D$101)=$E64)*((Adders!$E$13:$E$101)=$F64)*(Adders!G$13:G$101)) + VLOOKUP($H64,Adders!$B$5:$G$8,L$11,FALSE)  +  MD!$D$2 ) * IF($D64="NJ",1.07,1))/$L$10, CHOOSE($M$10,$L$9,$M$9) )</f>
        <v xml:space="preserve"> 83.81 </v>
      </c>
      <c r="J64" s="176" t="str">
        <f>TEXT(   (SUMPRODUCT( ((Main!$H$9:$H$1000)=$E64)*((Main!$J$9:$J$1000)=$F64)*((Main!$O$9:$O$1000)=$C64)*(Main!S$9:S$1000) ) +  ( SUMPRODUCT( ((Adders!$D$13:$D$101)=$E64)*((Adders!$E$13:$E$101)=$F64)*(Adders!H$13:H$101)) + VLOOKUP($H64,Adders!$B$5:$G$8,M$11,FALSE)  +  MD!$D$2 ) * IF($D64="NJ",1.07,1))/$L$10, CHOOSE($M$10,$L$9,$M$9) )</f>
        <v xml:space="preserve"> 83.56 </v>
      </c>
      <c r="K64" s="177" t="str">
        <f>TEXT(   (SUMPRODUCT( ((Main!$H$9:$H$1000)=$E64)*((Main!$J$9:$J$1000)=$F64)*((Main!$O$9:$O$1000)=$C64)*(Main!T$9:T$1000) ) +  ( SUMPRODUCT( ((Adders!$D$13:$D$101)=$E64)*((Adders!$E$13:$E$101)=$F64)*(Adders!I$13:I$101)) + VLOOKUP($H64,Adders!$B$5:$G$8,$N$11,FALSE)  +  MD!$D$2 ) * IF($D64="NJ",1.07,1))/$L$10, CHOOSE($M$10,$L$9,$M$9) )</f>
        <v xml:space="preserve"> 82.76 </v>
      </c>
      <c r="L64" s="176" t="str">
        <f>TEXT(   (SUMPRODUCT( ((LMPMain!$H$9:$H$1000)=$E64)*((LMPMain!$J$9:$J$1000)=$F64)*((LMPMain!$O$9:$O$1000)=$C64)*(LMPMain!R$9:R$1000) ) +  ( SUMPRODUCT( ((Adders!$D$13:$D$101)=$E64)*((Adders!$E$13:$E$101)=$F64)*(Adders!G$13:G$101)) + VLOOKUP($H64,Adders!$B$5:$G$8,L$11,FALSE)  +  NJ!$D$2 ) * IF($D64="NJ",1.07,1))/$L$10, CHOOSE($M$10,$L$9,$M$9) )</f>
        <v xml:space="preserve"> 36.18 </v>
      </c>
      <c r="M64" s="176" t="str">
        <f>TEXT(   (SUMPRODUCT( ((LMPMain!$H$9:$H$1000)=$E64)*((LMPMain!$J$9:$J$1000)=$F64)*((LMPMain!$O$9:$O$1000)=$C64)*(LMPMain!S$9:S$1000) ) +  ( SUMPRODUCT( ((Adders!$D$13:$D$101)=$E64)*((Adders!$E$13:$E$101)=$F64)*(Adders!H$13:H$101)) + VLOOKUP($H64,Adders!$B$5:$G$8,M$11,FALSE)  +  NJ!$D$2 ) * IF($D64="NJ",1.07,1))/$L$10, CHOOSE($M$10,$L$9,$M$9) )</f>
        <v xml:space="preserve"> 35.52 </v>
      </c>
      <c r="N64" s="177" t="str">
        <f>TEXT(   (SUMPRODUCT( ((LMPMain!$H$9:$H$1000)=$E64)*((LMPMain!$J$9:$J$1000)=$F64)*((LMPMain!$O$9:$O$1000)=$C64)*(LMPMain!T$9:T$1000) ) +  ( SUMPRODUCT( ((Adders!$D$13:$D$101)=$E64)*((Adders!$E$13:$E$101)=$F64)*(Adders!I$13:I$101)) + VLOOKUP($H64,Adders!$B$5:$G$8,N$11,FALSE)  +  NJ!$D$2 ) * IF($D64="NJ",1.07,1))/$L$10, CHOOSE($M$10,$L$9,$M$9) )</f>
        <v xml:space="preserve"> 34.90 </v>
      </c>
      <c r="O64" s="112"/>
    </row>
    <row r="65" spans="2:15" x14ac:dyDescent="0.25">
      <c r="B65" s="108"/>
      <c r="C65" s="127">
        <f t="shared" si="1"/>
        <v>42309</v>
      </c>
      <c r="D65" s="128" t="s">
        <v>39</v>
      </c>
      <c r="E65" s="129" t="s">
        <v>40</v>
      </c>
      <c r="F65" s="128" t="s">
        <v>41</v>
      </c>
      <c r="G65" s="129" t="str">
        <f t="shared" si="2"/>
        <v>General Service Medium</v>
      </c>
      <c r="H65" s="130" t="s">
        <v>61</v>
      </c>
      <c r="I65" s="178" t="str">
        <f>TEXT(   (SUMPRODUCT( ((Main!$H$9:$H$1000)=$E65)*((Main!$J$9:$J$1000)=$F65)*((Main!$O$9:$O$1000)=$C65)*(Main!R$9:R$1000) ) +  ( SUMPRODUCT( ((Adders!$D$13:$D$101)=$E65)*((Adders!$E$13:$E$101)=$F65)*(Adders!G$13:G$101)) + VLOOKUP($H65,Adders!$B$5:$G$8,L$11,FALSE)  +  MD!$D$2 ) * IF($D65="NJ",1.07,1))/$L$10, CHOOSE($M$10,$L$9,$M$9) )</f>
        <v xml:space="preserve"> 86.13 </v>
      </c>
      <c r="J65" s="178" t="str">
        <f>TEXT(   (SUMPRODUCT( ((Main!$H$9:$H$1000)=$E65)*((Main!$J$9:$J$1000)=$F65)*((Main!$O$9:$O$1000)=$C65)*(Main!S$9:S$1000) ) +  ( SUMPRODUCT( ((Adders!$D$13:$D$101)=$E65)*((Adders!$E$13:$E$101)=$F65)*(Adders!H$13:H$101)) + VLOOKUP($H65,Adders!$B$5:$G$8,M$11,FALSE)  +  MD!$D$2 ) * IF($D65="NJ",1.07,1))/$L$10, CHOOSE($M$10,$L$9,$M$9) )</f>
        <v xml:space="preserve"> 86.18 </v>
      </c>
      <c r="K65" s="179" t="str">
        <f>TEXT(   (SUMPRODUCT( ((Main!$H$9:$H$1000)=$E65)*((Main!$J$9:$J$1000)=$F65)*((Main!$O$9:$O$1000)=$C65)*(Main!T$9:T$1000) ) +  ( SUMPRODUCT( ((Adders!$D$13:$D$101)=$E65)*((Adders!$E$13:$E$101)=$F65)*(Adders!I$13:I$101)) + VLOOKUP($H65,Adders!$B$5:$G$8,$N$11,FALSE)  +  MD!$D$2 ) * IF($D65="NJ",1.07,1))/$L$10, CHOOSE($M$10,$L$9,$M$9) )</f>
        <v xml:space="preserve"> 85.30 </v>
      </c>
      <c r="L65" s="178" t="str">
        <f>TEXT(   (SUMPRODUCT( ((LMPMain!$H$9:$H$1000)=$E65)*((LMPMain!$J$9:$J$1000)=$F65)*((LMPMain!$O$9:$O$1000)=$C65)*(LMPMain!R$9:R$1000) ) +  ( SUMPRODUCT( ((Adders!$D$13:$D$101)=$E65)*((Adders!$E$13:$E$101)=$F65)*(Adders!G$13:G$101)) + VLOOKUP($H65,Adders!$B$5:$G$8,L$11,FALSE)  +  NJ!$D$2 ) * IF($D65="NJ",1.07,1))/$L$10, CHOOSE($M$10,$L$9,$M$9) )</f>
        <v xml:space="preserve"> 38.53 </v>
      </c>
      <c r="M65" s="178" t="str">
        <f>TEXT(   (SUMPRODUCT( ((LMPMain!$H$9:$H$1000)=$E65)*((LMPMain!$J$9:$J$1000)=$F65)*((LMPMain!$O$9:$O$1000)=$C65)*(LMPMain!S$9:S$1000) ) +  ( SUMPRODUCT( ((Adders!$D$13:$D$101)=$E65)*((Adders!$E$13:$E$101)=$F65)*(Adders!H$13:H$101)) + VLOOKUP($H65,Adders!$B$5:$G$8,M$11,FALSE)  +  NJ!$D$2 ) * IF($D65="NJ",1.07,1))/$L$10, CHOOSE($M$10,$L$9,$M$9) )</f>
        <v xml:space="preserve"> 37.98 </v>
      </c>
      <c r="N65" s="179" t="str">
        <f>TEXT(   (SUMPRODUCT( ((LMPMain!$H$9:$H$1000)=$E65)*((LMPMain!$J$9:$J$1000)=$F65)*((LMPMain!$O$9:$O$1000)=$C65)*(LMPMain!T$9:T$1000) ) +  ( SUMPRODUCT( ((Adders!$D$13:$D$101)=$E65)*((Adders!$E$13:$E$101)=$F65)*(Adders!I$13:I$101)) + VLOOKUP($H65,Adders!$B$5:$G$8,N$11,FALSE)  +  NJ!$D$2 ) * IF($D65="NJ",1.07,1))/$L$10, CHOOSE($M$10,$L$9,$M$9) )</f>
        <v xml:space="preserve"> 37.42 </v>
      </c>
      <c r="O65" s="112"/>
    </row>
    <row r="66" spans="2:15" x14ac:dyDescent="0.25">
      <c r="B66" s="108"/>
      <c r="C66" s="131">
        <f t="shared" si="1"/>
        <v>42309</v>
      </c>
      <c r="D66" s="132" t="s">
        <v>39</v>
      </c>
      <c r="E66" s="133" t="s">
        <v>40</v>
      </c>
      <c r="F66" s="132" t="s">
        <v>41</v>
      </c>
      <c r="G66" s="133" t="str">
        <f t="shared" si="2"/>
        <v>General Service Medium</v>
      </c>
      <c r="H66" s="134" t="s">
        <v>62</v>
      </c>
      <c r="I66" s="173" t="str">
        <f>TEXT(   (SUMPRODUCT( ((Main!$H$9:$H$1000)=$E66)*((Main!$J$9:$J$1000)=$F66)*((Main!$O$9:$O$1000)=$C66)*(Main!R$9:R$1000) ) +  ( SUMPRODUCT( ((Adders!$D$13:$D$101)=$E66)*((Adders!$E$13:$E$101)=$F66)*(Adders!G$13:G$101)) + VLOOKUP($H66,Adders!$B$5:$G$8,L$11,FALSE)  +  MD!$D$2 ) * IF($D66="NJ",1.07,1))/$L$10, CHOOSE($M$10,$L$9,$M$9) )</f>
        <v xml:space="preserve"> 84.53 </v>
      </c>
      <c r="J66" s="173" t="str">
        <f>TEXT(   (SUMPRODUCT( ((Main!$H$9:$H$1000)=$E66)*((Main!$J$9:$J$1000)=$F66)*((Main!$O$9:$O$1000)=$C66)*(Main!S$9:S$1000) ) +  ( SUMPRODUCT( ((Adders!$D$13:$D$101)=$E66)*((Adders!$E$13:$E$101)=$F66)*(Adders!H$13:H$101)) + VLOOKUP($H66,Adders!$B$5:$G$8,M$11,FALSE)  +  MD!$D$2 ) * IF($D66="NJ",1.07,1))/$L$10, CHOOSE($M$10,$L$9,$M$9) )</f>
        <v xml:space="preserve"> 84.58 </v>
      </c>
      <c r="K66" s="174" t="str">
        <f>TEXT(   (SUMPRODUCT( ((Main!$H$9:$H$1000)=$E66)*((Main!$J$9:$J$1000)=$F66)*((Main!$O$9:$O$1000)=$C66)*(Main!T$9:T$1000) ) +  ( SUMPRODUCT( ((Adders!$D$13:$D$101)=$E66)*((Adders!$E$13:$E$101)=$F66)*(Adders!I$13:I$101)) + VLOOKUP($H66,Adders!$B$5:$G$8,$N$11,FALSE)  +  MD!$D$2 ) * IF($D66="NJ",1.07,1))/$L$10, CHOOSE($M$10,$L$9,$M$9) )</f>
        <v xml:space="preserve"> 83.70 </v>
      </c>
      <c r="L66" s="173" t="str">
        <f>TEXT(   (SUMPRODUCT( ((LMPMain!$H$9:$H$1000)=$E66)*((LMPMain!$J$9:$J$1000)=$F66)*((LMPMain!$O$9:$O$1000)=$C66)*(LMPMain!R$9:R$1000) ) +  ( SUMPRODUCT( ((Adders!$D$13:$D$101)=$E66)*((Adders!$E$13:$E$101)=$F66)*(Adders!G$13:G$101)) + VLOOKUP($H66,Adders!$B$5:$G$8,L$11,FALSE)  +  NJ!$D$2 ) * IF($D66="NJ",1.07,1))/$L$10, CHOOSE($M$10,$L$9,$M$9) )</f>
        <v xml:space="preserve"> 36.93 </v>
      </c>
      <c r="M66" s="173" t="str">
        <f>TEXT(   (SUMPRODUCT( ((LMPMain!$H$9:$H$1000)=$E66)*((LMPMain!$J$9:$J$1000)=$F66)*((LMPMain!$O$9:$O$1000)=$C66)*(LMPMain!S$9:S$1000) ) +  ( SUMPRODUCT( ((Adders!$D$13:$D$101)=$E66)*((Adders!$E$13:$E$101)=$F66)*(Adders!H$13:H$101)) + VLOOKUP($H66,Adders!$B$5:$G$8,M$11,FALSE)  +  NJ!$D$2 ) * IF($D66="NJ",1.07,1))/$L$10, CHOOSE($M$10,$L$9,$M$9) )</f>
        <v xml:space="preserve"> 36.38 </v>
      </c>
      <c r="N66" s="174" t="str">
        <f>TEXT(   (SUMPRODUCT( ((LMPMain!$H$9:$H$1000)=$E66)*((LMPMain!$J$9:$J$1000)=$F66)*((LMPMain!$O$9:$O$1000)=$C66)*(LMPMain!T$9:T$1000) ) +  ( SUMPRODUCT( ((Adders!$D$13:$D$101)=$E66)*((Adders!$E$13:$E$101)=$F66)*(Adders!I$13:I$101)) + VLOOKUP($H66,Adders!$B$5:$G$8,N$11,FALSE)  +  NJ!$D$2 ) * IF($D66="NJ",1.07,1))/$L$10, CHOOSE($M$10,$L$9,$M$9) )</f>
        <v xml:space="preserve"> 35.82 </v>
      </c>
      <c r="O66" s="112"/>
    </row>
    <row r="67" spans="2:15" x14ac:dyDescent="0.25">
      <c r="B67" s="108"/>
      <c r="C67" s="135">
        <f t="shared" si="1"/>
        <v>42309</v>
      </c>
      <c r="D67" s="136" t="s">
        <v>39</v>
      </c>
      <c r="E67" s="137" t="s">
        <v>40</v>
      </c>
      <c r="F67" s="136" t="s">
        <v>41</v>
      </c>
      <c r="G67" s="137" t="str">
        <f t="shared" si="2"/>
        <v>General Service Medium</v>
      </c>
      <c r="H67" s="138" t="s">
        <v>690</v>
      </c>
      <c r="I67" s="176" t="str">
        <f>TEXT(   (SUMPRODUCT( ((Main!$H$9:$H$1000)=$E67)*((Main!$J$9:$J$1000)=$F67)*((Main!$O$9:$O$1000)=$C67)*(Main!R$9:R$1000) ) +  ( SUMPRODUCT( ((Adders!$D$13:$D$101)=$E67)*((Adders!$E$13:$E$101)=$F67)*(Adders!G$13:G$101)) + VLOOKUP($H67,Adders!$B$5:$G$8,L$11,FALSE)  +  MD!$D$2 ) * IF($D67="NJ",1.07,1))/$L$10, CHOOSE($M$10,$L$9,$M$9) )</f>
        <v xml:space="preserve"> 83.48 </v>
      </c>
      <c r="J67" s="176" t="str">
        <f>TEXT(   (SUMPRODUCT( ((Main!$H$9:$H$1000)=$E67)*((Main!$J$9:$J$1000)=$F67)*((Main!$O$9:$O$1000)=$C67)*(Main!S$9:S$1000) ) +  ( SUMPRODUCT( ((Adders!$D$13:$D$101)=$E67)*((Adders!$E$13:$E$101)=$F67)*(Adders!H$13:H$101)) + VLOOKUP($H67,Adders!$B$5:$G$8,M$11,FALSE)  +  MD!$D$2 ) * IF($D67="NJ",1.07,1))/$L$10, CHOOSE($M$10,$L$9,$M$9) )</f>
        <v xml:space="preserve"> 83.53 </v>
      </c>
      <c r="K67" s="177" t="str">
        <f>TEXT(   (SUMPRODUCT( ((Main!$H$9:$H$1000)=$E67)*((Main!$J$9:$J$1000)=$F67)*((Main!$O$9:$O$1000)=$C67)*(Main!T$9:T$1000) ) +  ( SUMPRODUCT( ((Adders!$D$13:$D$101)=$E67)*((Adders!$E$13:$E$101)=$F67)*(Adders!I$13:I$101)) + VLOOKUP($H67,Adders!$B$5:$G$8,$N$11,FALSE)  +  MD!$D$2 ) * IF($D67="NJ",1.07,1))/$L$10, CHOOSE($M$10,$L$9,$M$9) )</f>
        <v xml:space="preserve"> 82.65 </v>
      </c>
      <c r="L67" s="176" t="str">
        <f>TEXT(   (SUMPRODUCT( ((LMPMain!$H$9:$H$1000)=$E67)*((LMPMain!$J$9:$J$1000)=$F67)*((LMPMain!$O$9:$O$1000)=$C67)*(LMPMain!R$9:R$1000) ) +  ( SUMPRODUCT( ((Adders!$D$13:$D$101)=$E67)*((Adders!$E$13:$E$101)=$F67)*(Adders!G$13:G$101)) + VLOOKUP($H67,Adders!$B$5:$G$8,L$11,FALSE)  +  NJ!$D$2 ) * IF($D67="NJ",1.07,1))/$L$10, CHOOSE($M$10,$L$9,$M$9) )</f>
        <v xml:space="preserve"> 35.88 </v>
      </c>
      <c r="M67" s="176" t="str">
        <f>TEXT(   (SUMPRODUCT( ((LMPMain!$H$9:$H$1000)=$E67)*((LMPMain!$J$9:$J$1000)=$F67)*((LMPMain!$O$9:$O$1000)=$C67)*(LMPMain!S$9:S$1000) ) +  ( SUMPRODUCT( ((Adders!$D$13:$D$101)=$E67)*((Adders!$E$13:$E$101)=$F67)*(Adders!H$13:H$101)) + VLOOKUP($H67,Adders!$B$5:$G$8,M$11,FALSE)  +  NJ!$D$2 ) * IF($D67="NJ",1.07,1))/$L$10, CHOOSE($M$10,$L$9,$M$9) )</f>
        <v xml:space="preserve"> 35.33 </v>
      </c>
      <c r="N67" s="177" t="str">
        <f>TEXT(   (SUMPRODUCT( ((LMPMain!$H$9:$H$1000)=$E67)*((LMPMain!$J$9:$J$1000)=$F67)*((LMPMain!$O$9:$O$1000)=$C67)*(LMPMain!T$9:T$1000) ) +  ( SUMPRODUCT( ((Adders!$D$13:$D$101)=$E67)*((Adders!$E$13:$E$101)=$F67)*(Adders!I$13:I$101)) + VLOOKUP($H67,Adders!$B$5:$G$8,N$11,FALSE)  +  NJ!$D$2 ) * IF($D67="NJ",1.07,1))/$L$10, CHOOSE($M$10,$L$9,$M$9) )</f>
        <v xml:space="preserve"> 34.77 </v>
      </c>
      <c r="O67" s="112"/>
    </row>
    <row r="68" spans="2:15" x14ac:dyDescent="0.25">
      <c r="B68" s="108"/>
      <c r="C68" s="127">
        <f t="shared" si="1"/>
        <v>42339</v>
      </c>
      <c r="D68" s="128" t="s">
        <v>39</v>
      </c>
      <c r="E68" s="129" t="s">
        <v>40</v>
      </c>
      <c r="F68" s="128" t="s">
        <v>41</v>
      </c>
      <c r="G68" s="129" t="str">
        <f t="shared" si="2"/>
        <v>General Service Medium</v>
      </c>
      <c r="H68" s="130" t="s">
        <v>61</v>
      </c>
      <c r="I68" s="178" t="str">
        <f>TEXT(   (SUMPRODUCT( ((Main!$H$9:$H$1000)=$E68)*((Main!$J$9:$J$1000)=$F68)*((Main!$O$9:$O$1000)=$C68)*(Main!R$9:R$1000) ) +  ( SUMPRODUCT( ((Adders!$D$13:$D$101)=$E68)*((Adders!$E$13:$E$101)=$F68)*(Adders!G$13:G$101)) + VLOOKUP($H68,Adders!$B$5:$G$8,L$11,FALSE)  +  MD!$D$2 ) * IF($D68="NJ",1.07,1))/$L$10, CHOOSE($M$10,$L$9,$M$9) )</f>
        <v xml:space="preserve"> 85.80 </v>
      </c>
      <c r="J68" s="178" t="str">
        <f>TEXT(   (SUMPRODUCT( ((Main!$H$9:$H$1000)=$E68)*((Main!$J$9:$J$1000)=$F68)*((Main!$O$9:$O$1000)=$C68)*(Main!S$9:S$1000) ) +  ( SUMPRODUCT( ((Adders!$D$13:$D$101)=$E68)*((Adders!$E$13:$E$101)=$F68)*(Adders!H$13:H$101)) + VLOOKUP($H68,Adders!$B$5:$G$8,M$11,FALSE)  +  MD!$D$2 ) * IF($D68="NJ",1.07,1))/$L$10, CHOOSE($M$10,$L$9,$M$9) )</f>
        <v xml:space="preserve"> 86.08 </v>
      </c>
      <c r="K68" s="179" t="str">
        <f>TEXT(   (SUMPRODUCT( ((Main!$H$9:$H$1000)=$E68)*((Main!$J$9:$J$1000)=$F68)*((Main!$O$9:$O$1000)=$C68)*(Main!T$9:T$1000) ) +  ( SUMPRODUCT( ((Adders!$D$13:$D$101)=$E68)*((Adders!$E$13:$E$101)=$F68)*(Adders!I$13:I$101)) + VLOOKUP($H68,Adders!$B$5:$G$8,$N$11,FALSE)  +  MD!$D$2 ) * IF($D68="NJ",1.07,1))/$L$10, CHOOSE($M$10,$L$9,$M$9) )</f>
        <v xml:space="preserve"> 85.13 </v>
      </c>
      <c r="L68" s="178" t="str">
        <f>TEXT(   (SUMPRODUCT( ((LMPMain!$H$9:$H$1000)=$E68)*((LMPMain!$J$9:$J$1000)=$F68)*((LMPMain!$O$9:$O$1000)=$C68)*(LMPMain!R$9:R$1000) ) +  ( SUMPRODUCT( ((Adders!$D$13:$D$101)=$E68)*((Adders!$E$13:$E$101)=$F68)*(Adders!G$13:G$101)) + VLOOKUP($H68,Adders!$B$5:$G$8,L$11,FALSE)  +  NJ!$D$2 ) * IF($D68="NJ",1.07,1))/$L$10, CHOOSE($M$10,$L$9,$M$9) )</f>
        <v xml:space="preserve"> 38.18 </v>
      </c>
      <c r="M68" s="178" t="str">
        <f>TEXT(   (SUMPRODUCT( ((LMPMain!$H$9:$H$1000)=$E68)*((LMPMain!$J$9:$J$1000)=$F68)*((LMPMain!$O$9:$O$1000)=$C68)*(LMPMain!S$9:S$1000) ) +  ( SUMPRODUCT( ((Adders!$D$13:$D$101)=$E68)*((Adders!$E$13:$E$101)=$F68)*(Adders!H$13:H$101)) + VLOOKUP($H68,Adders!$B$5:$G$8,M$11,FALSE)  +  NJ!$D$2 ) * IF($D68="NJ",1.07,1))/$L$10, CHOOSE($M$10,$L$9,$M$9) )</f>
        <v xml:space="preserve"> 37.75 </v>
      </c>
      <c r="N68" s="179" t="str">
        <f>TEXT(   (SUMPRODUCT( ((LMPMain!$H$9:$H$1000)=$E68)*((LMPMain!$J$9:$J$1000)=$F68)*((LMPMain!$O$9:$O$1000)=$C68)*(LMPMain!T$9:T$1000) ) +  ( SUMPRODUCT( ((Adders!$D$13:$D$101)=$E68)*((Adders!$E$13:$E$101)=$F68)*(Adders!I$13:I$101)) + VLOOKUP($H68,Adders!$B$5:$G$8,N$11,FALSE)  +  NJ!$D$2 ) * IF($D68="NJ",1.07,1))/$L$10, CHOOSE($M$10,$L$9,$M$9) )</f>
        <v xml:space="preserve"> 37.24 </v>
      </c>
      <c r="O68" s="112"/>
    </row>
    <row r="69" spans="2:15" x14ac:dyDescent="0.25">
      <c r="B69" s="108"/>
      <c r="C69" s="131">
        <f t="shared" si="1"/>
        <v>42339</v>
      </c>
      <c r="D69" s="132" t="s">
        <v>39</v>
      </c>
      <c r="E69" s="133" t="s">
        <v>40</v>
      </c>
      <c r="F69" s="132" t="s">
        <v>41</v>
      </c>
      <c r="G69" s="133" t="str">
        <f t="shared" si="2"/>
        <v>General Service Medium</v>
      </c>
      <c r="H69" s="134" t="s">
        <v>62</v>
      </c>
      <c r="I69" s="173" t="str">
        <f>TEXT(   (SUMPRODUCT( ((Main!$H$9:$H$1000)=$E69)*((Main!$J$9:$J$1000)=$F69)*((Main!$O$9:$O$1000)=$C69)*(Main!R$9:R$1000) ) +  ( SUMPRODUCT( ((Adders!$D$13:$D$101)=$E69)*((Adders!$E$13:$E$101)=$F69)*(Adders!G$13:G$101)) + VLOOKUP($H69,Adders!$B$5:$G$8,L$11,FALSE)  +  MD!$D$2 ) * IF($D69="NJ",1.07,1))/$L$10, CHOOSE($M$10,$L$9,$M$9) )</f>
        <v xml:space="preserve"> 84.20 </v>
      </c>
      <c r="J69" s="173" t="str">
        <f>TEXT(   (SUMPRODUCT( ((Main!$H$9:$H$1000)=$E69)*((Main!$J$9:$J$1000)=$F69)*((Main!$O$9:$O$1000)=$C69)*(Main!S$9:S$1000) ) +  ( SUMPRODUCT( ((Adders!$D$13:$D$101)=$E69)*((Adders!$E$13:$E$101)=$F69)*(Adders!H$13:H$101)) + VLOOKUP($H69,Adders!$B$5:$G$8,M$11,FALSE)  +  MD!$D$2 ) * IF($D69="NJ",1.07,1))/$L$10, CHOOSE($M$10,$L$9,$M$9) )</f>
        <v xml:space="preserve"> 84.48 </v>
      </c>
      <c r="K69" s="174" t="str">
        <f>TEXT(   (SUMPRODUCT( ((Main!$H$9:$H$1000)=$E69)*((Main!$J$9:$J$1000)=$F69)*((Main!$O$9:$O$1000)=$C69)*(Main!T$9:T$1000) ) +  ( SUMPRODUCT( ((Adders!$D$13:$D$101)=$E69)*((Adders!$E$13:$E$101)=$F69)*(Adders!I$13:I$101)) + VLOOKUP($H69,Adders!$B$5:$G$8,$N$11,FALSE)  +  MD!$D$2 ) * IF($D69="NJ",1.07,1))/$L$10, CHOOSE($M$10,$L$9,$M$9) )</f>
        <v xml:space="preserve"> 83.53 </v>
      </c>
      <c r="L69" s="173" t="str">
        <f>TEXT(   (SUMPRODUCT( ((LMPMain!$H$9:$H$1000)=$E69)*((LMPMain!$J$9:$J$1000)=$F69)*((LMPMain!$O$9:$O$1000)=$C69)*(LMPMain!R$9:R$1000) ) +  ( SUMPRODUCT( ((Adders!$D$13:$D$101)=$E69)*((Adders!$E$13:$E$101)=$F69)*(Adders!G$13:G$101)) + VLOOKUP($H69,Adders!$B$5:$G$8,L$11,FALSE)  +  NJ!$D$2 ) * IF($D69="NJ",1.07,1))/$L$10, CHOOSE($M$10,$L$9,$M$9) )</f>
        <v xml:space="preserve"> 36.58 </v>
      </c>
      <c r="M69" s="173" t="str">
        <f>TEXT(   (SUMPRODUCT( ((LMPMain!$H$9:$H$1000)=$E69)*((LMPMain!$J$9:$J$1000)=$F69)*((LMPMain!$O$9:$O$1000)=$C69)*(LMPMain!S$9:S$1000) ) +  ( SUMPRODUCT( ((Adders!$D$13:$D$101)=$E69)*((Adders!$E$13:$E$101)=$F69)*(Adders!H$13:H$101)) + VLOOKUP($H69,Adders!$B$5:$G$8,M$11,FALSE)  +  NJ!$D$2 ) * IF($D69="NJ",1.07,1))/$L$10, CHOOSE($M$10,$L$9,$M$9) )</f>
        <v xml:space="preserve"> 36.15 </v>
      </c>
      <c r="N69" s="174" t="str">
        <f>TEXT(   (SUMPRODUCT( ((LMPMain!$H$9:$H$1000)=$E69)*((LMPMain!$J$9:$J$1000)=$F69)*((LMPMain!$O$9:$O$1000)=$C69)*(LMPMain!T$9:T$1000) ) +  ( SUMPRODUCT( ((Adders!$D$13:$D$101)=$E69)*((Adders!$E$13:$E$101)=$F69)*(Adders!I$13:I$101)) + VLOOKUP($H69,Adders!$B$5:$G$8,N$11,FALSE)  +  NJ!$D$2 ) * IF($D69="NJ",1.07,1))/$L$10, CHOOSE($M$10,$L$9,$M$9) )</f>
        <v xml:space="preserve"> 35.64 </v>
      </c>
      <c r="O69" s="112"/>
    </row>
    <row r="70" spans="2:15" x14ac:dyDescent="0.25">
      <c r="B70" s="108"/>
      <c r="C70" s="135">
        <f t="shared" si="1"/>
        <v>42339</v>
      </c>
      <c r="D70" s="136" t="s">
        <v>39</v>
      </c>
      <c r="E70" s="137" t="s">
        <v>40</v>
      </c>
      <c r="F70" s="136" t="s">
        <v>41</v>
      </c>
      <c r="G70" s="137" t="str">
        <f t="shared" si="2"/>
        <v>General Service Medium</v>
      </c>
      <c r="H70" s="138" t="s">
        <v>690</v>
      </c>
      <c r="I70" s="176" t="str">
        <f>TEXT(   (SUMPRODUCT( ((Main!$H$9:$H$1000)=$E70)*((Main!$J$9:$J$1000)=$F70)*((Main!$O$9:$O$1000)=$C70)*(Main!R$9:R$1000) ) +  ( SUMPRODUCT( ((Adders!$D$13:$D$101)=$E70)*((Adders!$E$13:$E$101)=$F70)*(Adders!G$13:G$101)) + VLOOKUP($H70,Adders!$B$5:$G$8,L$11,FALSE)  +  MD!$D$2 ) * IF($D70="NJ",1.07,1))/$L$10, CHOOSE($M$10,$L$9,$M$9) )</f>
        <v xml:space="preserve"> 83.15 </v>
      </c>
      <c r="J70" s="176" t="str">
        <f>TEXT(   (SUMPRODUCT( ((Main!$H$9:$H$1000)=$E70)*((Main!$J$9:$J$1000)=$F70)*((Main!$O$9:$O$1000)=$C70)*(Main!S$9:S$1000) ) +  ( SUMPRODUCT( ((Adders!$D$13:$D$101)=$E70)*((Adders!$E$13:$E$101)=$F70)*(Adders!H$13:H$101)) + VLOOKUP($H70,Adders!$B$5:$G$8,M$11,FALSE)  +  MD!$D$2 ) * IF($D70="NJ",1.07,1))/$L$10, CHOOSE($M$10,$L$9,$M$9) )</f>
        <v xml:space="preserve"> 83.43 </v>
      </c>
      <c r="K70" s="177" t="str">
        <f>TEXT(   (SUMPRODUCT( ((Main!$H$9:$H$1000)=$E70)*((Main!$J$9:$J$1000)=$F70)*((Main!$O$9:$O$1000)=$C70)*(Main!T$9:T$1000) ) +  ( SUMPRODUCT( ((Adders!$D$13:$D$101)=$E70)*((Adders!$E$13:$E$101)=$F70)*(Adders!I$13:I$101)) + VLOOKUP($H70,Adders!$B$5:$G$8,$N$11,FALSE)  +  MD!$D$2 ) * IF($D70="NJ",1.07,1))/$L$10, CHOOSE($M$10,$L$9,$M$9) )</f>
        <v xml:space="preserve"> 82.48 </v>
      </c>
      <c r="L70" s="176" t="str">
        <f>TEXT(   (SUMPRODUCT( ((LMPMain!$H$9:$H$1000)=$E70)*((LMPMain!$J$9:$J$1000)=$F70)*((LMPMain!$O$9:$O$1000)=$C70)*(LMPMain!R$9:R$1000) ) +  ( SUMPRODUCT( ((Adders!$D$13:$D$101)=$E70)*((Adders!$E$13:$E$101)=$F70)*(Adders!G$13:G$101)) + VLOOKUP($H70,Adders!$B$5:$G$8,L$11,FALSE)  +  NJ!$D$2 ) * IF($D70="NJ",1.07,1))/$L$10, CHOOSE($M$10,$L$9,$M$9) )</f>
        <v xml:space="preserve"> 35.53 </v>
      </c>
      <c r="M70" s="176" t="str">
        <f>TEXT(   (SUMPRODUCT( ((LMPMain!$H$9:$H$1000)=$E70)*((LMPMain!$J$9:$J$1000)=$F70)*((LMPMain!$O$9:$O$1000)=$C70)*(LMPMain!S$9:S$1000) ) +  ( SUMPRODUCT( ((Adders!$D$13:$D$101)=$E70)*((Adders!$E$13:$E$101)=$F70)*(Adders!H$13:H$101)) + VLOOKUP($H70,Adders!$B$5:$G$8,M$11,FALSE)  +  NJ!$D$2 ) * IF($D70="NJ",1.07,1))/$L$10, CHOOSE($M$10,$L$9,$M$9) )</f>
        <v xml:space="preserve"> 35.10 </v>
      </c>
      <c r="N70" s="177" t="str">
        <f>TEXT(   (SUMPRODUCT( ((LMPMain!$H$9:$H$1000)=$E70)*((LMPMain!$J$9:$J$1000)=$F70)*((LMPMain!$O$9:$O$1000)=$C70)*(LMPMain!T$9:T$1000) ) +  ( SUMPRODUCT( ((Adders!$D$13:$D$101)=$E70)*((Adders!$E$13:$E$101)=$F70)*(Adders!I$13:I$101)) + VLOOKUP($H70,Adders!$B$5:$G$8,N$11,FALSE)  +  NJ!$D$2 ) * IF($D70="NJ",1.07,1))/$L$10, CHOOSE($M$10,$L$9,$M$9) )</f>
        <v xml:space="preserve"> 34.59 </v>
      </c>
      <c r="O70" s="112"/>
    </row>
    <row r="71" spans="2:15" x14ac:dyDescent="0.25">
      <c r="B71" s="108"/>
      <c r="C71" s="127">
        <f t="shared" si="1"/>
        <v>42370</v>
      </c>
      <c r="D71" s="128" t="s">
        <v>39</v>
      </c>
      <c r="E71" s="129" t="s">
        <v>40</v>
      </c>
      <c r="F71" s="128" t="s">
        <v>41</v>
      </c>
      <c r="G71" s="129" t="str">
        <f t="shared" si="2"/>
        <v>General Service Medium</v>
      </c>
      <c r="H71" s="130" t="s">
        <v>61</v>
      </c>
      <c r="I71" s="178" t="str">
        <f>TEXT(   (SUMPRODUCT( ((Main!$H$9:$H$1000)=$E71)*((Main!$J$9:$J$1000)=$F71)*((Main!$O$9:$O$1000)=$C71)*(Main!R$9:R$1000) ) +  ( SUMPRODUCT( ((Adders!$D$13:$D$101)=$E71)*((Adders!$E$13:$E$101)=$F71)*(Adders!G$13:G$101)) + VLOOKUP($H71,Adders!$B$5:$G$8,L$11,FALSE)  +  MD!$D$2 ) * IF($D71="NJ",1.07,1))/$L$10, CHOOSE($M$10,$L$9,$M$9) )</f>
        <v xml:space="preserve"> 85.21 </v>
      </c>
      <c r="J71" s="178" t="str">
        <f>TEXT(   (SUMPRODUCT( ((Main!$H$9:$H$1000)=$E71)*((Main!$J$9:$J$1000)=$F71)*((Main!$O$9:$O$1000)=$C71)*(Main!S$9:S$1000) ) +  ( SUMPRODUCT( ((Adders!$D$13:$D$101)=$E71)*((Adders!$E$13:$E$101)=$F71)*(Adders!H$13:H$101)) + VLOOKUP($H71,Adders!$B$5:$G$8,M$11,FALSE)  +  MD!$D$2 ) * IF($D71="NJ",1.07,1))/$L$10, CHOOSE($M$10,$L$9,$M$9) )</f>
        <v xml:space="preserve"> 85.89 </v>
      </c>
      <c r="K71" s="179" t="str">
        <f>TEXT(   (SUMPRODUCT( ((Main!$H$9:$H$1000)=$E71)*((Main!$J$9:$J$1000)=$F71)*((Main!$O$9:$O$1000)=$C71)*(Main!T$9:T$1000) ) +  ( SUMPRODUCT( ((Adders!$D$13:$D$101)=$E71)*((Adders!$E$13:$E$101)=$F71)*(Adders!I$13:I$101)) + VLOOKUP($H71,Adders!$B$5:$G$8,$N$11,FALSE)  +  MD!$D$2 ) * IF($D71="NJ",1.07,1))/$L$10, CHOOSE($M$10,$L$9,$M$9) )</f>
        <v xml:space="preserve"> 84.94 </v>
      </c>
      <c r="L71" s="178" t="str">
        <f>TEXT(   (SUMPRODUCT( ((LMPMain!$H$9:$H$1000)=$E71)*((LMPMain!$J$9:$J$1000)=$F71)*((LMPMain!$O$9:$O$1000)=$C71)*(LMPMain!R$9:R$1000) ) +  ( SUMPRODUCT( ((Adders!$D$13:$D$101)=$E71)*((Adders!$E$13:$E$101)=$F71)*(Adders!G$13:G$101)) + VLOOKUP($H71,Adders!$B$5:$G$8,L$11,FALSE)  +  NJ!$D$2 ) * IF($D71="NJ",1.07,1))/$L$10, CHOOSE($M$10,$L$9,$M$9) )</f>
        <v xml:space="preserve"> 37.85 </v>
      </c>
      <c r="M71" s="178" t="str">
        <f>TEXT(   (SUMPRODUCT( ((LMPMain!$H$9:$H$1000)=$E71)*((LMPMain!$J$9:$J$1000)=$F71)*((LMPMain!$O$9:$O$1000)=$C71)*(LMPMain!S$9:S$1000) ) +  ( SUMPRODUCT( ((Adders!$D$13:$D$101)=$E71)*((Adders!$E$13:$E$101)=$F71)*(Adders!H$13:H$101)) + VLOOKUP($H71,Adders!$B$5:$G$8,M$11,FALSE)  +  NJ!$D$2 ) * IF($D71="NJ",1.07,1))/$L$10, CHOOSE($M$10,$L$9,$M$9) )</f>
        <v xml:space="preserve"> 37.52 </v>
      </c>
      <c r="N71" s="179" t="str">
        <f>TEXT(   (SUMPRODUCT( ((LMPMain!$H$9:$H$1000)=$E71)*((LMPMain!$J$9:$J$1000)=$F71)*((LMPMain!$O$9:$O$1000)=$C71)*(LMPMain!T$9:T$1000) ) +  ( SUMPRODUCT( ((Adders!$D$13:$D$101)=$E71)*((Adders!$E$13:$E$101)=$F71)*(Adders!I$13:I$101)) + VLOOKUP($H71,Adders!$B$5:$G$8,N$11,FALSE)  +  NJ!$D$2 ) * IF($D71="NJ",1.07,1))/$L$10, CHOOSE($M$10,$L$9,$M$9) )</f>
        <v xml:space="preserve"> 37.16 </v>
      </c>
      <c r="O71" s="112"/>
    </row>
    <row r="72" spans="2:15" x14ac:dyDescent="0.25">
      <c r="B72" s="108"/>
      <c r="C72" s="131">
        <f t="shared" si="1"/>
        <v>42370</v>
      </c>
      <c r="D72" s="132" t="s">
        <v>39</v>
      </c>
      <c r="E72" s="133" t="s">
        <v>40</v>
      </c>
      <c r="F72" s="132" t="s">
        <v>41</v>
      </c>
      <c r="G72" s="133" t="str">
        <f t="shared" si="2"/>
        <v>General Service Medium</v>
      </c>
      <c r="H72" s="134" t="s">
        <v>62</v>
      </c>
      <c r="I72" s="173" t="str">
        <f>TEXT(   (SUMPRODUCT( ((Main!$H$9:$H$1000)=$E72)*((Main!$J$9:$J$1000)=$F72)*((Main!$O$9:$O$1000)=$C72)*(Main!R$9:R$1000) ) +  ( SUMPRODUCT( ((Adders!$D$13:$D$101)=$E72)*((Adders!$E$13:$E$101)=$F72)*(Adders!G$13:G$101)) + VLOOKUP($H72,Adders!$B$5:$G$8,L$11,FALSE)  +  MD!$D$2 ) * IF($D72="NJ",1.07,1))/$L$10, CHOOSE($M$10,$L$9,$M$9) )</f>
        <v xml:space="preserve"> 83.61 </v>
      </c>
      <c r="J72" s="173" t="str">
        <f>TEXT(   (SUMPRODUCT( ((Main!$H$9:$H$1000)=$E72)*((Main!$J$9:$J$1000)=$F72)*((Main!$O$9:$O$1000)=$C72)*(Main!S$9:S$1000) ) +  ( SUMPRODUCT( ((Adders!$D$13:$D$101)=$E72)*((Adders!$E$13:$E$101)=$F72)*(Adders!H$13:H$101)) + VLOOKUP($H72,Adders!$B$5:$G$8,M$11,FALSE)  +  MD!$D$2 ) * IF($D72="NJ",1.07,1))/$L$10, CHOOSE($M$10,$L$9,$M$9) )</f>
        <v xml:space="preserve"> 84.29 </v>
      </c>
      <c r="K72" s="174" t="str">
        <f>TEXT(   (SUMPRODUCT( ((Main!$H$9:$H$1000)=$E72)*((Main!$J$9:$J$1000)=$F72)*((Main!$O$9:$O$1000)=$C72)*(Main!T$9:T$1000) ) +  ( SUMPRODUCT( ((Adders!$D$13:$D$101)=$E72)*((Adders!$E$13:$E$101)=$F72)*(Adders!I$13:I$101)) + VLOOKUP($H72,Adders!$B$5:$G$8,$N$11,FALSE)  +  MD!$D$2 ) * IF($D72="NJ",1.07,1))/$L$10, CHOOSE($M$10,$L$9,$M$9) )</f>
        <v xml:space="preserve"> 83.34 </v>
      </c>
      <c r="L72" s="173" t="str">
        <f>TEXT(   (SUMPRODUCT( ((LMPMain!$H$9:$H$1000)=$E72)*((LMPMain!$J$9:$J$1000)=$F72)*((LMPMain!$O$9:$O$1000)=$C72)*(LMPMain!R$9:R$1000) ) +  ( SUMPRODUCT( ((Adders!$D$13:$D$101)=$E72)*((Adders!$E$13:$E$101)=$F72)*(Adders!G$13:G$101)) + VLOOKUP($H72,Adders!$B$5:$G$8,L$11,FALSE)  +  NJ!$D$2 ) * IF($D72="NJ",1.07,1))/$L$10, CHOOSE($M$10,$L$9,$M$9) )</f>
        <v xml:space="preserve"> 36.25 </v>
      </c>
      <c r="M72" s="173" t="str">
        <f>TEXT(   (SUMPRODUCT( ((LMPMain!$H$9:$H$1000)=$E72)*((LMPMain!$J$9:$J$1000)=$F72)*((LMPMain!$O$9:$O$1000)=$C72)*(LMPMain!S$9:S$1000) ) +  ( SUMPRODUCT( ((Adders!$D$13:$D$101)=$E72)*((Adders!$E$13:$E$101)=$F72)*(Adders!H$13:H$101)) + VLOOKUP($H72,Adders!$B$5:$G$8,M$11,FALSE)  +  NJ!$D$2 ) * IF($D72="NJ",1.07,1))/$L$10, CHOOSE($M$10,$L$9,$M$9) )</f>
        <v xml:space="preserve"> 35.92 </v>
      </c>
      <c r="N72" s="174" t="str">
        <f>TEXT(   (SUMPRODUCT( ((LMPMain!$H$9:$H$1000)=$E72)*((LMPMain!$J$9:$J$1000)=$F72)*((LMPMain!$O$9:$O$1000)=$C72)*(LMPMain!T$9:T$1000) ) +  ( SUMPRODUCT( ((Adders!$D$13:$D$101)=$E72)*((Adders!$E$13:$E$101)=$F72)*(Adders!I$13:I$101)) + VLOOKUP($H72,Adders!$B$5:$G$8,N$11,FALSE)  +  NJ!$D$2 ) * IF($D72="NJ",1.07,1))/$L$10, CHOOSE($M$10,$L$9,$M$9) )</f>
        <v xml:space="preserve"> 35.56 </v>
      </c>
      <c r="O72" s="112"/>
    </row>
    <row r="73" spans="2:15" x14ac:dyDescent="0.25">
      <c r="B73" s="108"/>
      <c r="C73" s="135">
        <f t="shared" si="1"/>
        <v>42370</v>
      </c>
      <c r="D73" s="136" t="s">
        <v>39</v>
      </c>
      <c r="E73" s="137" t="s">
        <v>40</v>
      </c>
      <c r="F73" s="136" t="s">
        <v>41</v>
      </c>
      <c r="G73" s="137" t="str">
        <f t="shared" si="2"/>
        <v>General Service Medium</v>
      </c>
      <c r="H73" s="138" t="s">
        <v>690</v>
      </c>
      <c r="I73" s="176" t="str">
        <f>TEXT(   (SUMPRODUCT( ((Main!$H$9:$H$1000)=$E73)*((Main!$J$9:$J$1000)=$F73)*((Main!$O$9:$O$1000)=$C73)*(Main!R$9:R$1000) ) +  ( SUMPRODUCT( ((Adders!$D$13:$D$101)=$E73)*((Adders!$E$13:$E$101)=$F73)*(Adders!G$13:G$101)) + VLOOKUP($H73,Adders!$B$5:$G$8,L$11,FALSE)  +  MD!$D$2 ) * IF($D73="NJ",1.07,1))/$L$10, CHOOSE($M$10,$L$9,$M$9) )</f>
        <v xml:space="preserve"> 82.56 </v>
      </c>
      <c r="J73" s="176" t="str">
        <f>TEXT(   (SUMPRODUCT( ((Main!$H$9:$H$1000)=$E73)*((Main!$J$9:$J$1000)=$F73)*((Main!$O$9:$O$1000)=$C73)*(Main!S$9:S$1000) ) +  ( SUMPRODUCT( ((Adders!$D$13:$D$101)=$E73)*((Adders!$E$13:$E$101)=$F73)*(Adders!H$13:H$101)) + VLOOKUP($H73,Adders!$B$5:$G$8,M$11,FALSE)  +  MD!$D$2 ) * IF($D73="NJ",1.07,1))/$L$10, CHOOSE($M$10,$L$9,$M$9) )</f>
        <v xml:space="preserve"> 83.24 </v>
      </c>
      <c r="K73" s="177" t="str">
        <f>TEXT(   (SUMPRODUCT( ((Main!$H$9:$H$1000)=$E73)*((Main!$J$9:$J$1000)=$F73)*((Main!$O$9:$O$1000)=$C73)*(Main!T$9:T$1000) ) +  ( SUMPRODUCT( ((Adders!$D$13:$D$101)=$E73)*((Adders!$E$13:$E$101)=$F73)*(Adders!I$13:I$101)) + VLOOKUP($H73,Adders!$B$5:$G$8,$N$11,FALSE)  +  MD!$D$2 ) * IF($D73="NJ",1.07,1))/$L$10, CHOOSE($M$10,$L$9,$M$9) )</f>
        <v xml:space="preserve"> 82.29 </v>
      </c>
      <c r="L73" s="176" t="str">
        <f>TEXT(   (SUMPRODUCT( ((LMPMain!$H$9:$H$1000)=$E73)*((LMPMain!$J$9:$J$1000)=$F73)*((LMPMain!$O$9:$O$1000)=$C73)*(LMPMain!R$9:R$1000) ) +  ( SUMPRODUCT( ((Adders!$D$13:$D$101)=$E73)*((Adders!$E$13:$E$101)=$F73)*(Adders!G$13:G$101)) + VLOOKUP($H73,Adders!$B$5:$G$8,L$11,FALSE)  +  NJ!$D$2 ) * IF($D73="NJ",1.07,1))/$L$10, CHOOSE($M$10,$L$9,$M$9) )</f>
        <v xml:space="preserve"> 35.20 </v>
      </c>
      <c r="M73" s="176" t="str">
        <f>TEXT(   (SUMPRODUCT( ((LMPMain!$H$9:$H$1000)=$E73)*((LMPMain!$J$9:$J$1000)=$F73)*((LMPMain!$O$9:$O$1000)=$C73)*(LMPMain!S$9:S$1000) ) +  ( SUMPRODUCT( ((Adders!$D$13:$D$101)=$E73)*((Adders!$E$13:$E$101)=$F73)*(Adders!H$13:H$101)) + VLOOKUP($H73,Adders!$B$5:$G$8,M$11,FALSE)  +  NJ!$D$2 ) * IF($D73="NJ",1.07,1))/$L$10, CHOOSE($M$10,$L$9,$M$9) )</f>
        <v xml:space="preserve"> 34.87 </v>
      </c>
      <c r="N73" s="177" t="str">
        <f>TEXT(   (SUMPRODUCT( ((LMPMain!$H$9:$H$1000)=$E73)*((LMPMain!$J$9:$J$1000)=$F73)*((LMPMain!$O$9:$O$1000)=$C73)*(LMPMain!T$9:T$1000) ) +  ( SUMPRODUCT( ((Adders!$D$13:$D$101)=$E73)*((Adders!$E$13:$E$101)=$F73)*(Adders!I$13:I$101)) + VLOOKUP($H73,Adders!$B$5:$G$8,N$11,FALSE)  +  NJ!$D$2 ) * IF($D73="NJ",1.07,1))/$L$10, CHOOSE($M$10,$L$9,$M$9) )</f>
        <v xml:space="preserve"> 34.51 </v>
      </c>
      <c r="O73" s="112"/>
    </row>
    <row r="74" spans="2:15" x14ac:dyDescent="0.25">
      <c r="B74" s="108"/>
      <c r="C74" s="127">
        <f t="shared" si="1"/>
        <v>42401</v>
      </c>
      <c r="D74" s="128" t="s">
        <v>39</v>
      </c>
      <c r="E74" s="129" t="s">
        <v>40</v>
      </c>
      <c r="F74" s="128" t="s">
        <v>41</v>
      </c>
      <c r="G74" s="129" t="str">
        <f t="shared" si="2"/>
        <v>General Service Medium</v>
      </c>
      <c r="H74" s="130" t="s">
        <v>61</v>
      </c>
      <c r="I74" s="178" t="str">
        <f>TEXT(   (SUMPRODUCT( ((Main!$H$9:$H$1000)=$E74)*((Main!$J$9:$J$1000)=$F74)*((Main!$O$9:$O$1000)=$C74)*(Main!R$9:R$1000) ) +  ( SUMPRODUCT( ((Adders!$D$13:$D$101)=$E74)*((Adders!$E$13:$E$101)=$F74)*(Adders!G$13:G$101)) + VLOOKUP($H74,Adders!$B$5:$G$8,L$11,FALSE)  +  MD!$D$2 ) * IF($D74="NJ",1.07,1))/$L$10, CHOOSE($M$10,$L$9,$M$9) )</f>
        <v xml:space="preserve"> 85.01 </v>
      </c>
      <c r="J74" s="178" t="str">
        <f>TEXT(   (SUMPRODUCT( ((Main!$H$9:$H$1000)=$E74)*((Main!$J$9:$J$1000)=$F74)*((Main!$O$9:$O$1000)=$C74)*(Main!S$9:S$1000) ) +  ( SUMPRODUCT( ((Adders!$D$13:$D$101)=$E74)*((Adders!$E$13:$E$101)=$F74)*(Adders!H$13:H$101)) + VLOOKUP($H74,Adders!$B$5:$G$8,M$11,FALSE)  +  MD!$D$2 ) * IF($D74="NJ",1.07,1))/$L$10, CHOOSE($M$10,$L$9,$M$9) )</f>
        <v xml:space="preserve"> 85.21 </v>
      </c>
      <c r="K74" s="179" t="str">
        <f>TEXT(   (SUMPRODUCT( ((Main!$H$9:$H$1000)=$E74)*((Main!$J$9:$J$1000)=$F74)*((Main!$O$9:$O$1000)=$C74)*(Main!T$9:T$1000) ) +  ( SUMPRODUCT( ((Adders!$D$13:$D$101)=$E74)*((Adders!$E$13:$E$101)=$F74)*(Adders!I$13:I$101)) + VLOOKUP($H74,Adders!$B$5:$G$8,$N$11,FALSE)  +  MD!$D$2 ) * IF($D74="NJ",1.07,1))/$L$10, CHOOSE($M$10,$L$9,$M$9) )</f>
        <v xml:space="preserve"> 84.97 </v>
      </c>
      <c r="L74" s="178" t="str">
        <f>TEXT(   (SUMPRODUCT( ((LMPMain!$H$9:$H$1000)=$E74)*((LMPMain!$J$9:$J$1000)=$F74)*((LMPMain!$O$9:$O$1000)=$C74)*(LMPMain!R$9:R$1000) ) +  ( SUMPRODUCT( ((Adders!$D$13:$D$101)=$E74)*((Adders!$E$13:$E$101)=$F74)*(Adders!G$13:G$101)) + VLOOKUP($H74,Adders!$B$5:$G$8,L$11,FALSE)  +  NJ!$D$2 ) * IF($D74="NJ",1.07,1))/$L$10, CHOOSE($M$10,$L$9,$M$9) )</f>
        <v xml:space="preserve"> 37.48 </v>
      </c>
      <c r="M74" s="178" t="str">
        <f>TEXT(   (SUMPRODUCT( ((LMPMain!$H$9:$H$1000)=$E74)*((LMPMain!$J$9:$J$1000)=$F74)*((LMPMain!$O$9:$O$1000)=$C74)*(LMPMain!S$9:S$1000) ) +  ( SUMPRODUCT( ((Adders!$D$13:$D$101)=$E74)*((Adders!$E$13:$E$101)=$F74)*(Adders!H$13:H$101)) + VLOOKUP($H74,Adders!$B$5:$G$8,M$11,FALSE)  +  NJ!$D$2 ) * IF($D74="NJ",1.07,1))/$L$10, CHOOSE($M$10,$L$9,$M$9) )</f>
        <v xml:space="preserve"> 37.17 </v>
      </c>
      <c r="N74" s="179" t="str">
        <f>TEXT(   (SUMPRODUCT( ((LMPMain!$H$9:$H$1000)=$E74)*((LMPMain!$J$9:$J$1000)=$F74)*((LMPMain!$O$9:$O$1000)=$C74)*(LMPMain!T$9:T$1000) ) +  ( SUMPRODUCT( ((Adders!$D$13:$D$101)=$E74)*((Adders!$E$13:$E$101)=$F74)*(Adders!I$13:I$101)) + VLOOKUP($H74,Adders!$B$5:$G$8,N$11,FALSE)  +  NJ!$D$2 ) * IF($D74="NJ",1.07,1))/$L$10, CHOOSE($M$10,$L$9,$M$9) )</f>
        <v xml:space="preserve"> 37.04 </v>
      </c>
      <c r="O74" s="112"/>
    </row>
    <row r="75" spans="2:15" x14ac:dyDescent="0.25">
      <c r="B75" s="108"/>
      <c r="C75" s="131">
        <f t="shared" si="1"/>
        <v>42401</v>
      </c>
      <c r="D75" s="132" t="s">
        <v>39</v>
      </c>
      <c r="E75" s="133" t="s">
        <v>40</v>
      </c>
      <c r="F75" s="132" t="s">
        <v>41</v>
      </c>
      <c r="G75" s="133" t="str">
        <f t="shared" si="2"/>
        <v>General Service Medium</v>
      </c>
      <c r="H75" s="134" t="s">
        <v>62</v>
      </c>
      <c r="I75" s="173" t="str">
        <f>TEXT(   (SUMPRODUCT( ((Main!$H$9:$H$1000)=$E75)*((Main!$J$9:$J$1000)=$F75)*((Main!$O$9:$O$1000)=$C75)*(Main!R$9:R$1000) ) +  ( SUMPRODUCT( ((Adders!$D$13:$D$101)=$E75)*((Adders!$E$13:$E$101)=$F75)*(Adders!G$13:G$101)) + VLOOKUP($H75,Adders!$B$5:$G$8,L$11,FALSE)  +  MD!$D$2 ) * IF($D75="NJ",1.07,1))/$L$10, CHOOSE($M$10,$L$9,$M$9) )</f>
        <v xml:space="preserve"> 83.41 </v>
      </c>
      <c r="J75" s="173" t="str">
        <f>TEXT(   (SUMPRODUCT( ((Main!$H$9:$H$1000)=$E75)*((Main!$J$9:$J$1000)=$F75)*((Main!$O$9:$O$1000)=$C75)*(Main!S$9:S$1000) ) +  ( SUMPRODUCT( ((Adders!$D$13:$D$101)=$E75)*((Adders!$E$13:$E$101)=$F75)*(Adders!H$13:H$101)) + VLOOKUP($H75,Adders!$B$5:$G$8,M$11,FALSE)  +  MD!$D$2 ) * IF($D75="NJ",1.07,1))/$L$10, CHOOSE($M$10,$L$9,$M$9) )</f>
        <v xml:space="preserve"> 83.61 </v>
      </c>
      <c r="K75" s="174" t="str">
        <f>TEXT(   (SUMPRODUCT( ((Main!$H$9:$H$1000)=$E75)*((Main!$J$9:$J$1000)=$F75)*((Main!$O$9:$O$1000)=$C75)*(Main!T$9:T$1000) ) +  ( SUMPRODUCT( ((Adders!$D$13:$D$101)=$E75)*((Adders!$E$13:$E$101)=$F75)*(Adders!I$13:I$101)) + VLOOKUP($H75,Adders!$B$5:$G$8,$N$11,FALSE)  +  MD!$D$2 ) * IF($D75="NJ",1.07,1))/$L$10, CHOOSE($M$10,$L$9,$M$9) )</f>
        <v xml:space="preserve"> 83.37 </v>
      </c>
      <c r="L75" s="173" t="str">
        <f>TEXT(   (SUMPRODUCT( ((LMPMain!$H$9:$H$1000)=$E75)*((LMPMain!$J$9:$J$1000)=$F75)*((LMPMain!$O$9:$O$1000)=$C75)*(LMPMain!R$9:R$1000) ) +  ( SUMPRODUCT( ((Adders!$D$13:$D$101)=$E75)*((Adders!$E$13:$E$101)=$F75)*(Adders!G$13:G$101)) + VLOOKUP($H75,Adders!$B$5:$G$8,L$11,FALSE)  +  NJ!$D$2 ) * IF($D75="NJ",1.07,1))/$L$10, CHOOSE($M$10,$L$9,$M$9) )</f>
        <v xml:space="preserve"> 35.88 </v>
      </c>
      <c r="M75" s="173" t="str">
        <f>TEXT(   (SUMPRODUCT( ((LMPMain!$H$9:$H$1000)=$E75)*((LMPMain!$J$9:$J$1000)=$F75)*((LMPMain!$O$9:$O$1000)=$C75)*(LMPMain!S$9:S$1000) ) +  ( SUMPRODUCT( ((Adders!$D$13:$D$101)=$E75)*((Adders!$E$13:$E$101)=$F75)*(Adders!H$13:H$101)) + VLOOKUP($H75,Adders!$B$5:$G$8,M$11,FALSE)  +  NJ!$D$2 ) * IF($D75="NJ",1.07,1))/$L$10, CHOOSE($M$10,$L$9,$M$9) )</f>
        <v xml:space="preserve"> 35.57 </v>
      </c>
      <c r="N75" s="174" t="str">
        <f>TEXT(   (SUMPRODUCT( ((LMPMain!$H$9:$H$1000)=$E75)*((LMPMain!$J$9:$J$1000)=$F75)*((LMPMain!$O$9:$O$1000)=$C75)*(LMPMain!T$9:T$1000) ) +  ( SUMPRODUCT( ((Adders!$D$13:$D$101)=$E75)*((Adders!$E$13:$E$101)=$F75)*(Adders!I$13:I$101)) + VLOOKUP($H75,Adders!$B$5:$G$8,N$11,FALSE)  +  NJ!$D$2 ) * IF($D75="NJ",1.07,1))/$L$10, CHOOSE($M$10,$L$9,$M$9) )</f>
        <v xml:space="preserve"> 35.44 </v>
      </c>
      <c r="O75" s="112"/>
    </row>
    <row r="76" spans="2:15" x14ac:dyDescent="0.25">
      <c r="B76" s="108"/>
      <c r="C76" s="135">
        <f t="shared" si="1"/>
        <v>42401</v>
      </c>
      <c r="D76" s="136" t="s">
        <v>39</v>
      </c>
      <c r="E76" s="137" t="s">
        <v>40</v>
      </c>
      <c r="F76" s="136" t="s">
        <v>41</v>
      </c>
      <c r="G76" s="137" t="str">
        <f t="shared" si="2"/>
        <v>General Service Medium</v>
      </c>
      <c r="H76" s="138" t="s">
        <v>690</v>
      </c>
      <c r="I76" s="176" t="str">
        <f>TEXT(   (SUMPRODUCT( ((Main!$H$9:$H$1000)=$E76)*((Main!$J$9:$J$1000)=$F76)*((Main!$O$9:$O$1000)=$C76)*(Main!R$9:R$1000) ) +  ( SUMPRODUCT( ((Adders!$D$13:$D$101)=$E76)*((Adders!$E$13:$E$101)=$F76)*(Adders!G$13:G$101)) + VLOOKUP($H76,Adders!$B$5:$G$8,L$11,FALSE)  +  MD!$D$2 ) * IF($D76="NJ",1.07,1))/$L$10, CHOOSE($M$10,$L$9,$M$9) )</f>
        <v xml:space="preserve"> 82.36 </v>
      </c>
      <c r="J76" s="176" t="str">
        <f>TEXT(   (SUMPRODUCT( ((Main!$H$9:$H$1000)=$E76)*((Main!$J$9:$J$1000)=$F76)*((Main!$O$9:$O$1000)=$C76)*(Main!S$9:S$1000) ) +  ( SUMPRODUCT( ((Adders!$D$13:$D$101)=$E76)*((Adders!$E$13:$E$101)=$F76)*(Adders!H$13:H$101)) + VLOOKUP($H76,Adders!$B$5:$G$8,M$11,FALSE)  +  MD!$D$2 ) * IF($D76="NJ",1.07,1))/$L$10, CHOOSE($M$10,$L$9,$M$9) )</f>
        <v xml:space="preserve"> 82.56 </v>
      </c>
      <c r="K76" s="177" t="str">
        <f>TEXT(   (SUMPRODUCT( ((Main!$H$9:$H$1000)=$E76)*((Main!$J$9:$J$1000)=$F76)*((Main!$O$9:$O$1000)=$C76)*(Main!T$9:T$1000) ) +  ( SUMPRODUCT( ((Adders!$D$13:$D$101)=$E76)*((Adders!$E$13:$E$101)=$F76)*(Adders!I$13:I$101)) + VLOOKUP($H76,Adders!$B$5:$G$8,$N$11,FALSE)  +  MD!$D$2 ) * IF($D76="NJ",1.07,1))/$L$10, CHOOSE($M$10,$L$9,$M$9) )</f>
        <v xml:space="preserve"> 82.32 </v>
      </c>
      <c r="L76" s="176" t="str">
        <f>TEXT(   (SUMPRODUCT( ((LMPMain!$H$9:$H$1000)=$E76)*((LMPMain!$J$9:$J$1000)=$F76)*((LMPMain!$O$9:$O$1000)=$C76)*(LMPMain!R$9:R$1000) ) +  ( SUMPRODUCT( ((Adders!$D$13:$D$101)=$E76)*((Adders!$E$13:$E$101)=$F76)*(Adders!G$13:G$101)) + VLOOKUP($H76,Adders!$B$5:$G$8,L$11,FALSE)  +  NJ!$D$2 ) * IF($D76="NJ",1.07,1))/$L$10, CHOOSE($M$10,$L$9,$M$9) )</f>
        <v xml:space="preserve"> 34.83 </v>
      </c>
      <c r="M76" s="176" t="str">
        <f>TEXT(   (SUMPRODUCT( ((LMPMain!$H$9:$H$1000)=$E76)*((LMPMain!$J$9:$J$1000)=$F76)*((LMPMain!$O$9:$O$1000)=$C76)*(LMPMain!S$9:S$1000) ) +  ( SUMPRODUCT( ((Adders!$D$13:$D$101)=$E76)*((Adders!$E$13:$E$101)=$F76)*(Adders!H$13:H$101)) + VLOOKUP($H76,Adders!$B$5:$G$8,M$11,FALSE)  +  NJ!$D$2 ) * IF($D76="NJ",1.07,1))/$L$10, CHOOSE($M$10,$L$9,$M$9) )</f>
        <v xml:space="preserve"> 34.52 </v>
      </c>
      <c r="N76" s="177" t="str">
        <f>TEXT(   (SUMPRODUCT( ((LMPMain!$H$9:$H$1000)=$E76)*((LMPMain!$J$9:$J$1000)=$F76)*((LMPMain!$O$9:$O$1000)=$C76)*(LMPMain!T$9:T$1000) ) +  ( SUMPRODUCT( ((Adders!$D$13:$D$101)=$E76)*((Adders!$E$13:$E$101)=$F76)*(Adders!I$13:I$101)) + VLOOKUP($H76,Adders!$B$5:$G$8,N$11,FALSE)  +  NJ!$D$2 ) * IF($D76="NJ",1.07,1))/$L$10, CHOOSE($M$10,$L$9,$M$9) )</f>
        <v xml:space="preserve"> 34.39 </v>
      </c>
      <c r="O76" s="112"/>
    </row>
    <row r="77" spans="2:15" x14ac:dyDescent="0.25">
      <c r="B77" s="108"/>
      <c r="C77" s="127">
        <f t="shared" si="1"/>
        <v>42430</v>
      </c>
      <c r="D77" s="128" t="s">
        <v>39</v>
      </c>
      <c r="E77" s="129" t="s">
        <v>40</v>
      </c>
      <c r="F77" s="128" t="s">
        <v>41</v>
      </c>
      <c r="G77" s="129" t="str">
        <f t="shared" si="2"/>
        <v>General Service Medium</v>
      </c>
      <c r="H77" s="130" t="s">
        <v>61</v>
      </c>
      <c r="I77" s="178" t="str">
        <f>TEXT(   (SUMPRODUCT( ((Main!$H$9:$H$1000)=$E77)*((Main!$J$9:$J$1000)=$F77)*((Main!$O$9:$O$1000)=$C77)*(Main!R$9:R$1000) ) +  ( SUMPRODUCT( ((Adders!$D$13:$D$101)=$E77)*((Adders!$E$13:$E$101)=$F77)*(Adders!G$13:G$101)) + VLOOKUP($H77,Adders!$B$5:$G$8,L$11,FALSE)  +  MD!$D$2 ) * IF($D77="NJ",1.07,1))/$L$10, CHOOSE($M$10,$L$9,$M$9) )</f>
        <v xml:space="preserve"> 84.74 </v>
      </c>
      <c r="J77" s="178" t="str">
        <f>TEXT(   (SUMPRODUCT( ((Main!$H$9:$H$1000)=$E77)*((Main!$J$9:$J$1000)=$F77)*((Main!$O$9:$O$1000)=$C77)*(Main!S$9:S$1000) ) +  ( SUMPRODUCT( ((Adders!$D$13:$D$101)=$E77)*((Adders!$E$13:$E$101)=$F77)*(Adders!H$13:H$101)) + VLOOKUP($H77,Adders!$B$5:$G$8,M$11,FALSE)  +  MD!$D$2 ) * IF($D77="NJ",1.07,1))/$L$10, CHOOSE($M$10,$L$9,$M$9) )</f>
        <v xml:space="preserve"> 84.64 </v>
      </c>
      <c r="K77" s="179" t="str">
        <f>TEXT(   (SUMPRODUCT( ((Main!$H$9:$H$1000)=$E77)*((Main!$J$9:$J$1000)=$F77)*((Main!$O$9:$O$1000)=$C77)*(Main!T$9:T$1000) ) +  ( SUMPRODUCT( ((Adders!$D$13:$D$101)=$E77)*((Adders!$E$13:$E$101)=$F77)*(Adders!I$13:I$101)) + VLOOKUP($H77,Adders!$B$5:$G$8,$N$11,FALSE)  +  MD!$D$2 ) * IF($D77="NJ",1.07,1))/$L$10, CHOOSE($M$10,$L$9,$M$9) )</f>
        <v xml:space="preserve"> 85.01 </v>
      </c>
      <c r="L77" s="178" t="str">
        <f>TEXT(   (SUMPRODUCT( ((LMPMain!$H$9:$H$1000)=$E77)*((LMPMain!$J$9:$J$1000)=$F77)*((LMPMain!$O$9:$O$1000)=$C77)*(LMPMain!R$9:R$1000) ) +  ( SUMPRODUCT( ((Adders!$D$13:$D$101)=$E77)*((Adders!$E$13:$E$101)=$F77)*(Adders!G$13:G$101)) + VLOOKUP($H77,Adders!$B$5:$G$8,L$11,FALSE)  +  NJ!$D$2 ) * IF($D77="NJ",1.07,1))/$L$10, CHOOSE($M$10,$L$9,$M$9) )</f>
        <v xml:space="preserve"> 37.14 </v>
      </c>
      <c r="M77" s="178" t="str">
        <f>TEXT(   (SUMPRODUCT( ((LMPMain!$H$9:$H$1000)=$E77)*((LMPMain!$J$9:$J$1000)=$F77)*((LMPMain!$O$9:$O$1000)=$C77)*(LMPMain!S$9:S$1000) ) +  ( SUMPRODUCT( ((Adders!$D$13:$D$101)=$E77)*((Adders!$E$13:$E$101)=$F77)*(Adders!H$13:H$101)) + VLOOKUP($H77,Adders!$B$5:$G$8,M$11,FALSE)  +  NJ!$D$2 ) * IF($D77="NJ",1.07,1))/$L$10, CHOOSE($M$10,$L$9,$M$9) )</f>
        <v xml:space="preserve"> 36.80 </v>
      </c>
      <c r="N77" s="179" t="str">
        <f>TEXT(   (SUMPRODUCT( ((LMPMain!$H$9:$H$1000)=$E77)*((LMPMain!$J$9:$J$1000)=$F77)*((LMPMain!$O$9:$O$1000)=$C77)*(LMPMain!T$9:T$1000) ) +  ( SUMPRODUCT( ((Adders!$D$13:$D$101)=$E77)*((Adders!$E$13:$E$101)=$F77)*(Adders!I$13:I$101)) + VLOOKUP($H77,Adders!$B$5:$G$8,N$11,FALSE)  +  NJ!$D$2 ) * IF($D77="NJ",1.07,1))/$L$10, CHOOSE($M$10,$L$9,$M$9) )</f>
        <v xml:space="preserve"> 36.92 </v>
      </c>
      <c r="O77" s="112"/>
    </row>
    <row r="78" spans="2:15" x14ac:dyDescent="0.25">
      <c r="B78" s="108"/>
      <c r="C78" s="131">
        <f t="shared" si="1"/>
        <v>42430</v>
      </c>
      <c r="D78" s="132" t="s">
        <v>39</v>
      </c>
      <c r="E78" s="133" t="s">
        <v>40</v>
      </c>
      <c r="F78" s="132" t="s">
        <v>41</v>
      </c>
      <c r="G78" s="133" t="str">
        <f t="shared" si="2"/>
        <v>General Service Medium</v>
      </c>
      <c r="H78" s="134" t="s">
        <v>62</v>
      </c>
      <c r="I78" s="173" t="str">
        <f>TEXT(   (SUMPRODUCT( ((Main!$H$9:$H$1000)=$E78)*((Main!$J$9:$J$1000)=$F78)*((Main!$O$9:$O$1000)=$C78)*(Main!R$9:R$1000) ) +  ( SUMPRODUCT( ((Adders!$D$13:$D$101)=$E78)*((Adders!$E$13:$E$101)=$F78)*(Adders!G$13:G$101)) + VLOOKUP($H78,Adders!$B$5:$G$8,L$11,FALSE)  +  MD!$D$2 ) * IF($D78="NJ",1.07,1))/$L$10, CHOOSE($M$10,$L$9,$M$9) )</f>
        <v xml:space="preserve"> 83.14 </v>
      </c>
      <c r="J78" s="173" t="str">
        <f>TEXT(   (SUMPRODUCT( ((Main!$H$9:$H$1000)=$E78)*((Main!$J$9:$J$1000)=$F78)*((Main!$O$9:$O$1000)=$C78)*(Main!S$9:S$1000) ) +  ( SUMPRODUCT( ((Adders!$D$13:$D$101)=$E78)*((Adders!$E$13:$E$101)=$F78)*(Adders!H$13:H$101)) + VLOOKUP($H78,Adders!$B$5:$G$8,M$11,FALSE)  +  MD!$D$2 ) * IF($D78="NJ",1.07,1))/$L$10, CHOOSE($M$10,$L$9,$M$9) )</f>
        <v xml:space="preserve"> 83.04 </v>
      </c>
      <c r="K78" s="174" t="str">
        <f>TEXT(   (SUMPRODUCT( ((Main!$H$9:$H$1000)=$E78)*((Main!$J$9:$J$1000)=$F78)*((Main!$O$9:$O$1000)=$C78)*(Main!T$9:T$1000) ) +  ( SUMPRODUCT( ((Adders!$D$13:$D$101)=$E78)*((Adders!$E$13:$E$101)=$F78)*(Adders!I$13:I$101)) + VLOOKUP($H78,Adders!$B$5:$G$8,$N$11,FALSE)  +  MD!$D$2 ) * IF($D78="NJ",1.07,1))/$L$10, CHOOSE($M$10,$L$9,$M$9) )</f>
        <v xml:space="preserve"> 83.41 </v>
      </c>
      <c r="L78" s="173" t="str">
        <f>TEXT(   (SUMPRODUCT( ((LMPMain!$H$9:$H$1000)=$E78)*((LMPMain!$J$9:$J$1000)=$F78)*((LMPMain!$O$9:$O$1000)=$C78)*(LMPMain!R$9:R$1000) ) +  ( SUMPRODUCT( ((Adders!$D$13:$D$101)=$E78)*((Adders!$E$13:$E$101)=$F78)*(Adders!G$13:G$101)) + VLOOKUP($H78,Adders!$B$5:$G$8,L$11,FALSE)  +  NJ!$D$2 ) * IF($D78="NJ",1.07,1))/$L$10, CHOOSE($M$10,$L$9,$M$9) )</f>
        <v xml:space="preserve"> 35.54 </v>
      </c>
      <c r="M78" s="173" t="str">
        <f>TEXT(   (SUMPRODUCT( ((LMPMain!$H$9:$H$1000)=$E78)*((LMPMain!$J$9:$J$1000)=$F78)*((LMPMain!$O$9:$O$1000)=$C78)*(LMPMain!S$9:S$1000) ) +  ( SUMPRODUCT( ((Adders!$D$13:$D$101)=$E78)*((Adders!$E$13:$E$101)=$F78)*(Adders!H$13:H$101)) + VLOOKUP($H78,Adders!$B$5:$G$8,M$11,FALSE)  +  NJ!$D$2 ) * IF($D78="NJ",1.07,1))/$L$10, CHOOSE($M$10,$L$9,$M$9) )</f>
        <v xml:space="preserve"> 35.20 </v>
      </c>
      <c r="N78" s="174" t="str">
        <f>TEXT(   (SUMPRODUCT( ((LMPMain!$H$9:$H$1000)=$E78)*((LMPMain!$J$9:$J$1000)=$F78)*((LMPMain!$O$9:$O$1000)=$C78)*(LMPMain!T$9:T$1000) ) +  ( SUMPRODUCT( ((Adders!$D$13:$D$101)=$E78)*((Adders!$E$13:$E$101)=$F78)*(Adders!I$13:I$101)) + VLOOKUP($H78,Adders!$B$5:$G$8,N$11,FALSE)  +  NJ!$D$2 ) * IF($D78="NJ",1.07,1))/$L$10, CHOOSE($M$10,$L$9,$M$9) )</f>
        <v xml:space="preserve"> 35.32 </v>
      </c>
      <c r="O78" s="112"/>
    </row>
    <row r="79" spans="2:15" x14ac:dyDescent="0.25">
      <c r="B79" s="108"/>
      <c r="C79" s="135">
        <f t="shared" si="1"/>
        <v>42430</v>
      </c>
      <c r="D79" s="136" t="s">
        <v>39</v>
      </c>
      <c r="E79" s="137" t="s">
        <v>40</v>
      </c>
      <c r="F79" s="136" t="s">
        <v>41</v>
      </c>
      <c r="G79" s="137" t="str">
        <f t="shared" si="2"/>
        <v>General Service Medium</v>
      </c>
      <c r="H79" s="138" t="s">
        <v>690</v>
      </c>
      <c r="I79" s="176" t="str">
        <f>TEXT(   (SUMPRODUCT( ((Main!$H$9:$H$1000)=$E79)*((Main!$J$9:$J$1000)=$F79)*((Main!$O$9:$O$1000)=$C79)*(Main!R$9:R$1000) ) +  ( SUMPRODUCT( ((Adders!$D$13:$D$101)=$E79)*((Adders!$E$13:$E$101)=$F79)*(Adders!G$13:G$101)) + VLOOKUP($H79,Adders!$B$5:$G$8,L$11,FALSE)  +  MD!$D$2 ) * IF($D79="NJ",1.07,1))/$L$10, CHOOSE($M$10,$L$9,$M$9) )</f>
        <v xml:space="preserve"> 82.09 </v>
      </c>
      <c r="J79" s="176" t="str">
        <f>TEXT(   (SUMPRODUCT( ((Main!$H$9:$H$1000)=$E79)*((Main!$J$9:$J$1000)=$F79)*((Main!$O$9:$O$1000)=$C79)*(Main!S$9:S$1000) ) +  ( SUMPRODUCT( ((Adders!$D$13:$D$101)=$E79)*((Adders!$E$13:$E$101)=$F79)*(Adders!H$13:H$101)) + VLOOKUP($H79,Adders!$B$5:$G$8,M$11,FALSE)  +  MD!$D$2 ) * IF($D79="NJ",1.07,1))/$L$10, CHOOSE($M$10,$L$9,$M$9) )</f>
        <v xml:space="preserve"> 81.99 </v>
      </c>
      <c r="K79" s="177" t="str">
        <f>TEXT(   (SUMPRODUCT( ((Main!$H$9:$H$1000)=$E79)*((Main!$J$9:$J$1000)=$F79)*((Main!$O$9:$O$1000)=$C79)*(Main!T$9:T$1000) ) +  ( SUMPRODUCT( ((Adders!$D$13:$D$101)=$E79)*((Adders!$E$13:$E$101)=$F79)*(Adders!I$13:I$101)) + VLOOKUP($H79,Adders!$B$5:$G$8,$N$11,FALSE)  +  MD!$D$2 ) * IF($D79="NJ",1.07,1))/$L$10, CHOOSE($M$10,$L$9,$M$9) )</f>
        <v xml:space="preserve"> 82.36 </v>
      </c>
      <c r="L79" s="176" t="str">
        <f>TEXT(   (SUMPRODUCT( ((LMPMain!$H$9:$H$1000)=$E79)*((LMPMain!$J$9:$J$1000)=$F79)*((LMPMain!$O$9:$O$1000)=$C79)*(LMPMain!R$9:R$1000) ) +  ( SUMPRODUCT( ((Adders!$D$13:$D$101)=$E79)*((Adders!$E$13:$E$101)=$F79)*(Adders!G$13:G$101)) + VLOOKUP($H79,Adders!$B$5:$G$8,L$11,FALSE)  +  NJ!$D$2 ) * IF($D79="NJ",1.07,1))/$L$10, CHOOSE($M$10,$L$9,$M$9) )</f>
        <v xml:space="preserve"> 34.49 </v>
      </c>
      <c r="M79" s="176" t="str">
        <f>TEXT(   (SUMPRODUCT( ((LMPMain!$H$9:$H$1000)=$E79)*((LMPMain!$J$9:$J$1000)=$F79)*((LMPMain!$O$9:$O$1000)=$C79)*(LMPMain!S$9:S$1000) ) +  ( SUMPRODUCT( ((Adders!$D$13:$D$101)=$E79)*((Adders!$E$13:$E$101)=$F79)*(Adders!H$13:H$101)) + VLOOKUP($H79,Adders!$B$5:$G$8,M$11,FALSE)  +  NJ!$D$2 ) * IF($D79="NJ",1.07,1))/$L$10, CHOOSE($M$10,$L$9,$M$9) )</f>
        <v xml:space="preserve"> 34.15 </v>
      </c>
      <c r="N79" s="177" t="str">
        <f>TEXT(   (SUMPRODUCT( ((LMPMain!$H$9:$H$1000)=$E79)*((LMPMain!$J$9:$J$1000)=$F79)*((LMPMain!$O$9:$O$1000)=$C79)*(LMPMain!T$9:T$1000) ) +  ( SUMPRODUCT( ((Adders!$D$13:$D$101)=$E79)*((Adders!$E$13:$E$101)=$F79)*(Adders!I$13:I$101)) + VLOOKUP($H79,Adders!$B$5:$G$8,N$11,FALSE)  +  NJ!$D$2 ) * IF($D79="NJ",1.07,1))/$L$10, CHOOSE($M$10,$L$9,$M$9) )</f>
        <v xml:space="preserve"> 34.27 </v>
      </c>
      <c r="O79" s="112"/>
    </row>
    <row r="80" spans="2:15" x14ac:dyDescent="0.25">
      <c r="B80" s="108"/>
      <c r="C80" s="127">
        <f t="shared" si="1"/>
        <v>42461</v>
      </c>
      <c r="D80" s="128" t="s">
        <v>39</v>
      </c>
      <c r="E80" s="129" t="s">
        <v>40</v>
      </c>
      <c r="F80" s="128" t="s">
        <v>41</v>
      </c>
      <c r="G80" s="129" t="str">
        <f t="shared" si="2"/>
        <v>General Service Medium</v>
      </c>
      <c r="H80" s="130" t="s">
        <v>61</v>
      </c>
      <c r="I80" s="178" t="str">
        <f>TEXT(   (SUMPRODUCT( ((Main!$H$9:$H$1000)=$E80)*((Main!$J$9:$J$1000)=$F80)*((Main!$O$9:$O$1000)=$C80)*(Main!R$9:R$1000) ) +  ( SUMPRODUCT( ((Adders!$D$13:$D$101)=$E80)*((Adders!$E$13:$E$101)=$F80)*(Adders!G$13:G$101)) + VLOOKUP($H80,Adders!$B$5:$G$8,L$11,FALSE)  +  MD!$D$2 ) * IF($D80="NJ",1.07,1))/$L$10, CHOOSE($M$10,$L$9,$M$9) )</f>
        <v xml:space="preserve"> 84.44 </v>
      </c>
      <c r="J80" s="178" t="str">
        <f>TEXT(   (SUMPRODUCT( ((Main!$H$9:$H$1000)=$E80)*((Main!$J$9:$J$1000)=$F80)*((Main!$O$9:$O$1000)=$C80)*(Main!S$9:S$1000) ) +  ( SUMPRODUCT( ((Adders!$D$13:$D$101)=$E80)*((Adders!$E$13:$E$101)=$F80)*(Adders!H$13:H$101)) + VLOOKUP($H80,Adders!$B$5:$G$8,M$11,FALSE)  +  MD!$D$2 ) * IF($D80="NJ",1.07,1))/$L$10, CHOOSE($M$10,$L$9,$M$9) )</f>
        <v xml:space="preserve"> 83.98 </v>
      </c>
      <c r="K80" s="179" t="str">
        <f>TEXT(   (SUMPRODUCT( ((Main!$H$9:$H$1000)=$E80)*((Main!$J$9:$J$1000)=$F80)*((Main!$O$9:$O$1000)=$C80)*(Main!T$9:T$1000) ) +  ( SUMPRODUCT( ((Adders!$D$13:$D$101)=$E80)*((Adders!$E$13:$E$101)=$F80)*(Adders!I$13:I$101)) + VLOOKUP($H80,Adders!$B$5:$G$8,$N$11,FALSE)  +  MD!$D$2 ) * IF($D80="NJ",1.07,1))/$L$10, CHOOSE($M$10,$L$9,$M$9) )</f>
        <v xml:space="preserve"> 84.86 </v>
      </c>
      <c r="L80" s="178" t="str">
        <f>TEXT(   (SUMPRODUCT( ((LMPMain!$H$9:$H$1000)=$E80)*((LMPMain!$J$9:$J$1000)=$F80)*((LMPMain!$O$9:$O$1000)=$C80)*(LMPMain!R$9:R$1000) ) +  ( SUMPRODUCT( ((Adders!$D$13:$D$101)=$E80)*((Adders!$E$13:$E$101)=$F80)*(Adders!G$13:G$101)) + VLOOKUP($H80,Adders!$B$5:$G$8,L$11,FALSE)  +  NJ!$D$2 ) * IF($D80="NJ",1.07,1))/$L$10, CHOOSE($M$10,$L$9,$M$9) )</f>
        <v xml:space="preserve"> 36.78 </v>
      </c>
      <c r="M80" s="178" t="str">
        <f>TEXT(   (SUMPRODUCT( ((LMPMain!$H$9:$H$1000)=$E80)*((LMPMain!$J$9:$J$1000)=$F80)*((LMPMain!$O$9:$O$1000)=$C80)*(LMPMain!S$9:S$1000) ) +  ( SUMPRODUCT( ((Adders!$D$13:$D$101)=$E80)*((Adders!$E$13:$E$101)=$F80)*(Adders!H$13:H$101)) + VLOOKUP($H80,Adders!$B$5:$G$8,M$11,FALSE)  +  NJ!$D$2 ) * IF($D80="NJ",1.07,1))/$L$10, CHOOSE($M$10,$L$9,$M$9) )</f>
        <v xml:space="preserve"> 36.44 </v>
      </c>
      <c r="N80" s="179" t="str">
        <f>TEXT(   (SUMPRODUCT( ((LMPMain!$H$9:$H$1000)=$E80)*((LMPMain!$J$9:$J$1000)=$F80)*((LMPMain!$O$9:$O$1000)=$C80)*(LMPMain!T$9:T$1000) ) +  ( SUMPRODUCT( ((Adders!$D$13:$D$101)=$E80)*((Adders!$E$13:$E$101)=$F80)*(Adders!I$13:I$101)) + VLOOKUP($H80,Adders!$B$5:$G$8,N$11,FALSE)  +  NJ!$D$2 ) * IF($D80="NJ",1.07,1))/$L$10, CHOOSE($M$10,$L$9,$M$9) )</f>
        <v xml:space="preserve"> 36.80 </v>
      </c>
      <c r="O80" s="112"/>
    </row>
    <row r="81" spans="2:15" x14ac:dyDescent="0.25">
      <c r="B81" s="108"/>
      <c r="C81" s="131">
        <f t="shared" si="1"/>
        <v>42461</v>
      </c>
      <c r="D81" s="132" t="s">
        <v>39</v>
      </c>
      <c r="E81" s="133" t="s">
        <v>40</v>
      </c>
      <c r="F81" s="132" t="s">
        <v>41</v>
      </c>
      <c r="G81" s="133" t="str">
        <f t="shared" si="2"/>
        <v>General Service Medium</v>
      </c>
      <c r="H81" s="134" t="s">
        <v>62</v>
      </c>
      <c r="I81" s="173" t="str">
        <f>TEXT(   (SUMPRODUCT( ((Main!$H$9:$H$1000)=$E81)*((Main!$J$9:$J$1000)=$F81)*((Main!$O$9:$O$1000)=$C81)*(Main!R$9:R$1000) ) +  ( SUMPRODUCT( ((Adders!$D$13:$D$101)=$E81)*((Adders!$E$13:$E$101)=$F81)*(Adders!G$13:G$101)) + VLOOKUP($H81,Adders!$B$5:$G$8,L$11,FALSE)  +  MD!$D$2 ) * IF($D81="NJ",1.07,1))/$L$10, CHOOSE($M$10,$L$9,$M$9) )</f>
        <v xml:space="preserve"> 82.84 </v>
      </c>
      <c r="J81" s="173" t="str">
        <f>TEXT(   (SUMPRODUCT( ((Main!$H$9:$H$1000)=$E81)*((Main!$J$9:$J$1000)=$F81)*((Main!$O$9:$O$1000)=$C81)*(Main!S$9:S$1000) ) +  ( SUMPRODUCT( ((Adders!$D$13:$D$101)=$E81)*((Adders!$E$13:$E$101)=$F81)*(Adders!H$13:H$101)) + VLOOKUP($H81,Adders!$B$5:$G$8,M$11,FALSE)  +  MD!$D$2 ) * IF($D81="NJ",1.07,1))/$L$10, CHOOSE($M$10,$L$9,$M$9) )</f>
        <v xml:space="preserve"> 82.38 </v>
      </c>
      <c r="K81" s="174" t="str">
        <f>TEXT(   (SUMPRODUCT( ((Main!$H$9:$H$1000)=$E81)*((Main!$J$9:$J$1000)=$F81)*((Main!$O$9:$O$1000)=$C81)*(Main!T$9:T$1000) ) +  ( SUMPRODUCT( ((Adders!$D$13:$D$101)=$E81)*((Adders!$E$13:$E$101)=$F81)*(Adders!I$13:I$101)) + VLOOKUP($H81,Adders!$B$5:$G$8,$N$11,FALSE)  +  MD!$D$2 ) * IF($D81="NJ",1.07,1))/$L$10, CHOOSE($M$10,$L$9,$M$9) )</f>
        <v xml:space="preserve"> 83.26 </v>
      </c>
      <c r="L81" s="173" t="str">
        <f>TEXT(   (SUMPRODUCT( ((LMPMain!$H$9:$H$1000)=$E81)*((LMPMain!$J$9:$J$1000)=$F81)*((LMPMain!$O$9:$O$1000)=$C81)*(LMPMain!R$9:R$1000) ) +  ( SUMPRODUCT( ((Adders!$D$13:$D$101)=$E81)*((Adders!$E$13:$E$101)=$F81)*(Adders!G$13:G$101)) + VLOOKUP($H81,Adders!$B$5:$G$8,L$11,FALSE)  +  NJ!$D$2 ) * IF($D81="NJ",1.07,1))/$L$10, CHOOSE($M$10,$L$9,$M$9) )</f>
        <v xml:space="preserve"> 35.18 </v>
      </c>
      <c r="M81" s="173" t="str">
        <f>TEXT(   (SUMPRODUCT( ((LMPMain!$H$9:$H$1000)=$E81)*((LMPMain!$J$9:$J$1000)=$F81)*((LMPMain!$O$9:$O$1000)=$C81)*(LMPMain!S$9:S$1000) ) +  ( SUMPRODUCT( ((Adders!$D$13:$D$101)=$E81)*((Adders!$E$13:$E$101)=$F81)*(Adders!H$13:H$101)) + VLOOKUP($H81,Adders!$B$5:$G$8,M$11,FALSE)  +  NJ!$D$2 ) * IF($D81="NJ",1.07,1))/$L$10, CHOOSE($M$10,$L$9,$M$9) )</f>
        <v xml:space="preserve"> 34.84 </v>
      </c>
      <c r="N81" s="174" t="str">
        <f>TEXT(   (SUMPRODUCT( ((LMPMain!$H$9:$H$1000)=$E81)*((LMPMain!$J$9:$J$1000)=$F81)*((LMPMain!$O$9:$O$1000)=$C81)*(LMPMain!T$9:T$1000) ) +  ( SUMPRODUCT( ((Adders!$D$13:$D$101)=$E81)*((Adders!$E$13:$E$101)=$F81)*(Adders!I$13:I$101)) + VLOOKUP($H81,Adders!$B$5:$G$8,N$11,FALSE)  +  NJ!$D$2 ) * IF($D81="NJ",1.07,1))/$L$10, CHOOSE($M$10,$L$9,$M$9) )</f>
        <v xml:space="preserve"> 35.20 </v>
      </c>
      <c r="O81" s="112"/>
    </row>
    <row r="82" spans="2:15" x14ac:dyDescent="0.25">
      <c r="B82" s="108"/>
      <c r="C82" s="135">
        <f t="shared" si="1"/>
        <v>42461</v>
      </c>
      <c r="D82" s="136" t="s">
        <v>39</v>
      </c>
      <c r="E82" s="137" t="s">
        <v>40</v>
      </c>
      <c r="F82" s="136" t="s">
        <v>41</v>
      </c>
      <c r="G82" s="137" t="str">
        <f t="shared" si="2"/>
        <v>General Service Medium</v>
      </c>
      <c r="H82" s="138" t="s">
        <v>690</v>
      </c>
      <c r="I82" s="176" t="str">
        <f>TEXT(   (SUMPRODUCT( ((Main!$H$9:$H$1000)=$E82)*((Main!$J$9:$J$1000)=$F82)*((Main!$O$9:$O$1000)=$C82)*(Main!R$9:R$1000) ) +  ( SUMPRODUCT( ((Adders!$D$13:$D$101)=$E82)*((Adders!$E$13:$E$101)=$F82)*(Adders!G$13:G$101)) + VLOOKUP($H82,Adders!$B$5:$G$8,L$11,FALSE)  +  MD!$D$2 ) * IF($D82="NJ",1.07,1))/$L$10, CHOOSE($M$10,$L$9,$M$9) )</f>
        <v xml:space="preserve"> 81.79 </v>
      </c>
      <c r="J82" s="176" t="str">
        <f>TEXT(   (SUMPRODUCT( ((Main!$H$9:$H$1000)=$E82)*((Main!$J$9:$J$1000)=$F82)*((Main!$O$9:$O$1000)=$C82)*(Main!S$9:S$1000) ) +  ( SUMPRODUCT( ((Adders!$D$13:$D$101)=$E82)*((Adders!$E$13:$E$101)=$F82)*(Adders!H$13:H$101)) + VLOOKUP($H82,Adders!$B$5:$G$8,M$11,FALSE)  +  MD!$D$2 ) * IF($D82="NJ",1.07,1))/$L$10, CHOOSE($M$10,$L$9,$M$9) )</f>
        <v xml:space="preserve"> 81.33 </v>
      </c>
      <c r="K82" s="177" t="str">
        <f>TEXT(   (SUMPRODUCT( ((Main!$H$9:$H$1000)=$E82)*((Main!$J$9:$J$1000)=$F82)*((Main!$O$9:$O$1000)=$C82)*(Main!T$9:T$1000) ) +  ( SUMPRODUCT( ((Adders!$D$13:$D$101)=$E82)*((Adders!$E$13:$E$101)=$F82)*(Adders!I$13:I$101)) + VLOOKUP($H82,Adders!$B$5:$G$8,$N$11,FALSE)  +  MD!$D$2 ) * IF($D82="NJ",1.07,1))/$L$10, CHOOSE($M$10,$L$9,$M$9) )</f>
        <v xml:space="preserve"> 82.21 </v>
      </c>
      <c r="L82" s="176" t="str">
        <f>TEXT(   (SUMPRODUCT( ((LMPMain!$H$9:$H$1000)=$E82)*((LMPMain!$J$9:$J$1000)=$F82)*((LMPMain!$O$9:$O$1000)=$C82)*(LMPMain!R$9:R$1000) ) +  ( SUMPRODUCT( ((Adders!$D$13:$D$101)=$E82)*((Adders!$E$13:$E$101)=$F82)*(Adders!G$13:G$101)) + VLOOKUP($H82,Adders!$B$5:$G$8,L$11,FALSE)  +  NJ!$D$2 ) * IF($D82="NJ",1.07,1))/$L$10, CHOOSE($M$10,$L$9,$M$9) )</f>
        <v xml:space="preserve"> 34.13 </v>
      </c>
      <c r="M82" s="176" t="str">
        <f>TEXT(   (SUMPRODUCT( ((LMPMain!$H$9:$H$1000)=$E82)*((LMPMain!$J$9:$J$1000)=$F82)*((LMPMain!$O$9:$O$1000)=$C82)*(LMPMain!S$9:S$1000) ) +  ( SUMPRODUCT( ((Adders!$D$13:$D$101)=$E82)*((Adders!$E$13:$E$101)=$F82)*(Adders!H$13:H$101)) + VLOOKUP($H82,Adders!$B$5:$G$8,M$11,FALSE)  +  NJ!$D$2 ) * IF($D82="NJ",1.07,1))/$L$10, CHOOSE($M$10,$L$9,$M$9) )</f>
        <v xml:space="preserve"> 33.79 </v>
      </c>
      <c r="N82" s="177" t="str">
        <f>TEXT(   (SUMPRODUCT( ((LMPMain!$H$9:$H$1000)=$E82)*((LMPMain!$J$9:$J$1000)=$F82)*((LMPMain!$O$9:$O$1000)=$C82)*(LMPMain!T$9:T$1000) ) +  ( SUMPRODUCT( ((Adders!$D$13:$D$101)=$E82)*((Adders!$E$13:$E$101)=$F82)*(Adders!I$13:I$101)) + VLOOKUP($H82,Adders!$B$5:$G$8,N$11,FALSE)  +  NJ!$D$2 ) * IF($D82="NJ",1.07,1))/$L$10, CHOOSE($M$10,$L$9,$M$9) )</f>
        <v xml:space="preserve"> 34.15 </v>
      </c>
      <c r="O82" s="112"/>
    </row>
    <row r="83" spans="2:15" x14ac:dyDescent="0.25">
      <c r="B83" s="108"/>
      <c r="C83" s="127">
        <f t="shared" si="1"/>
        <v>42491</v>
      </c>
      <c r="D83" s="128" t="s">
        <v>39</v>
      </c>
      <c r="E83" s="129" t="s">
        <v>40</v>
      </c>
      <c r="F83" s="128" t="s">
        <v>41</v>
      </c>
      <c r="G83" s="129" t="str">
        <f t="shared" si="2"/>
        <v>General Service Medium</v>
      </c>
      <c r="H83" s="130" t="s">
        <v>61</v>
      </c>
      <c r="I83" s="178" t="str">
        <f>TEXT(   (SUMPRODUCT( ((Main!$H$9:$H$1000)=$E83)*((Main!$J$9:$J$1000)=$F83)*((Main!$O$9:$O$1000)=$C83)*(Main!R$9:R$1000) ) +  ( SUMPRODUCT( ((Adders!$D$13:$D$101)=$E83)*((Adders!$E$13:$E$101)=$F83)*(Adders!G$13:G$101)) + VLOOKUP($H83,Adders!$B$5:$G$8,L$11,FALSE)  +  MD!$D$2 ) * IF($D83="NJ",1.07,1))/$L$10, CHOOSE($M$10,$L$9,$M$9) )</f>
        <v xml:space="preserve"> 84.09 </v>
      </c>
      <c r="J83" s="178" t="str">
        <f>TEXT(   (SUMPRODUCT( ((Main!$H$9:$H$1000)=$E83)*((Main!$J$9:$J$1000)=$F83)*((Main!$O$9:$O$1000)=$C83)*(Main!S$9:S$1000) ) +  ( SUMPRODUCT( ((Adders!$D$13:$D$101)=$E83)*((Adders!$E$13:$E$101)=$F83)*(Adders!H$13:H$101)) + VLOOKUP($H83,Adders!$B$5:$G$8,M$11,FALSE)  +  MD!$D$2 ) * IF($D83="NJ",1.07,1))/$L$10, CHOOSE($M$10,$L$9,$M$9) )</f>
        <v xml:space="preserve"> 83.64 </v>
      </c>
      <c r="K83" s="179" t="str">
        <f>TEXT(   (SUMPRODUCT( ((Main!$H$9:$H$1000)=$E83)*((Main!$J$9:$J$1000)=$F83)*((Main!$O$9:$O$1000)=$C83)*(Main!T$9:T$1000) ) +  ( SUMPRODUCT( ((Adders!$D$13:$D$101)=$E83)*((Adders!$E$13:$E$101)=$F83)*(Adders!I$13:I$101)) + VLOOKUP($H83,Adders!$B$5:$G$8,$N$11,FALSE)  +  MD!$D$2 ) * IF($D83="NJ",1.07,1))/$L$10, CHOOSE($M$10,$L$9,$M$9) )</f>
        <v xml:space="preserve"> 84.77 </v>
      </c>
      <c r="L83" s="178" t="str">
        <f>TEXT(   (SUMPRODUCT( ((LMPMain!$H$9:$H$1000)=$E83)*((LMPMain!$J$9:$J$1000)=$F83)*((LMPMain!$O$9:$O$1000)=$C83)*(LMPMain!R$9:R$1000) ) +  ( SUMPRODUCT( ((Adders!$D$13:$D$101)=$E83)*((Adders!$E$13:$E$101)=$F83)*(Adders!G$13:G$101)) + VLOOKUP($H83,Adders!$B$5:$G$8,L$11,FALSE)  +  NJ!$D$2 ) * IF($D83="NJ",1.07,1))/$L$10, CHOOSE($M$10,$L$9,$M$9) )</f>
        <v xml:space="preserve"> 36.44 </v>
      </c>
      <c r="M83" s="178" t="str">
        <f>TEXT(   (SUMPRODUCT( ((LMPMain!$H$9:$H$1000)=$E83)*((LMPMain!$J$9:$J$1000)=$F83)*((LMPMain!$O$9:$O$1000)=$C83)*(LMPMain!S$9:S$1000) ) +  ( SUMPRODUCT( ((Adders!$D$13:$D$101)=$E83)*((Adders!$E$13:$E$101)=$F83)*(Adders!H$13:H$101)) + VLOOKUP($H83,Adders!$B$5:$G$8,M$11,FALSE)  +  NJ!$D$2 ) * IF($D83="NJ",1.07,1))/$L$10, CHOOSE($M$10,$L$9,$M$9) )</f>
        <v xml:space="preserve"> 36.23 </v>
      </c>
      <c r="N83" s="179" t="str">
        <f>TEXT(   (SUMPRODUCT( ((LMPMain!$H$9:$H$1000)=$E83)*((LMPMain!$J$9:$J$1000)=$F83)*((LMPMain!$O$9:$O$1000)=$C83)*(LMPMain!T$9:T$1000) ) +  ( SUMPRODUCT( ((Adders!$D$13:$D$101)=$E83)*((Adders!$E$13:$E$101)=$F83)*(Adders!I$13:I$101)) + VLOOKUP($H83,Adders!$B$5:$G$8,N$11,FALSE)  +  NJ!$D$2 ) * IF($D83="NJ",1.07,1))/$L$10, CHOOSE($M$10,$L$9,$M$9) )</f>
        <v xml:space="preserve"> 36.68 </v>
      </c>
      <c r="O83" s="112"/>
    </row>
    <row r="84" spans="2:15" x14ac:dyDescent="0.25">
      <c r="B84" s="108"/>
      <c r="C84" s="131">
        <f t="shared" si="1"/>
        <v>42491</v>
      </c>
      <c r="D84" s="132" t="s">
        <v>39</v>
      </c>
      <c r="E84" s="133" t="s">
        <v>40</v>
      </c>
      <c r="F84" s="132" t="s">
        <v>41</v>
      </c>
      <c r="G84" s="133" t="str">
        <f t="shared" si="2"/>
        <v>General Service Medium</v>
      </c>
      <c r="H84" s="134" t="s">
        <v>62</v>
      </c>
      <c r="I84" s="173" t="str">
        <f>TEXT(   (SUMPRODUCT( ((Main!$H$9:$H$1000)=$E84)*((Main!$J$9:$J$1000)=$F84)*((Main!$O$9:$O$1000)=$C84)*(Main!R$9:R$1000) ) +  ( SUMPRODUCT( ((Adders!$D$13:$D$101)=$E84)*((Adders!$E$13:$E$101)=$F84)*(Adders!G$13:G$101)) + VLOOKUP($H84,Adders!$B$5:$G$8,L$11,FALSE)  +  MD!$D$2 ) * IF($D84="NJ",1.07,1))/$L$10, CHOOSE($M$10,$L$9,$M$9) )</f>
        <v xml:space="preserve"> 82.49 </v>
      </c>
      <c r="J84" s="173" t="str">
        <f>TEXT(   (SUMPRODUCT( ((Main!$H$9:$H$1000)=$E84)*((Main!$J$9:$J$1000)=$F84)*((Main!$O$9:$O$1000)=$C84)*(Main!S$9:S$1000) ) +  ( SUMPRODUCT( ((Adders!$D$13:$D$101)=$E84)*((Adders!$E$13:$E$101)=$F84)*(Adders!H$13:H$101)) + VLOOKUP($H84,Adders!$B$5:$G$8,M$11,FALSE)  +  MD!$D$2 ) * IF($D84="NJ",1.07,1))/$L$10, CHOOSE($M$10,$L$9,$M$9) )</f>
        <v xml:space="preserve"> 82.04 </v>
      </c>
      <c r="K84" s="174" t="str">
        <f>TEXT(   (SUMPRODUCT( ((Main!$H$9:$H$1000)=$E84)*((Main!$J$9:$J$1000)=$F84)*((Main!$O$9:$O$1000)=$C84)*(Main!T$9:T$1000) ) +  ( SUMPRODUCT( ((Adders!$D$13:$D$101)=$E84)*((Adders!$E$13:$E$101)=$F84)*(Adders!I$13:I$101)) + VLOOKUP($H84,Adders!$B$5:$G$8,$N$11,FALSE)  +  MD!$D$2 ) * IF($D84="NJ",1.07,1))/$L$10, CHOOSE($M$10,$L$9,$M$9) )</f>
        <v xml:space="preserve"> 83.17 </v>
      </c>
      <c r="L84" s="173" t="str">
        <f>TEXT(   (SUMPRODUCT( ((LMPMain!$H$9:$H$1000)=$E84)*((LMPMain!$J$9:$J$1000)=$F84)*((LMPMain!$O$9:$O$1000)=$C84)*(LMPMain!R$9:R$1000) ) +  ( SUMPRODUCT( ((Adders!$D$13:$D$101)=$E84)*((Adders!$E$13:$E$101)=$F84)*(Adders!G$13:G$101)) + VLOOKUP($H84,Adders!$B$5:$G$8,L$11,FALSE)  +  NJ!$D$2 ) * IF($D84="NJ",1.07,1))/$L$10, CHOOSE($M$10,$L$9,$M$9) )</f>
        <v xml:space="preserve"> 34.84 </v>
      </c>
      <c r="M84" s="173" t="str">
        <f>TEXT(   (SUMPRODUCT( ((LMPMain!$H$9:$H$1000)=$E84)*((LMPMain!$J$9:$J$1000)=$F84)*((LMPMain!$O$9:$O$1000)=$C84)*(LMPMain!S$9:S$1000) ) +  ( SUMPRODUCT( ((Adders!$D$13:$D$101)=$E84)*((Adders!$E$13:$E$101)=$F84)*(Adders!H$13:H$101)) + VLOOKUP($H84,Adders!$B$5:$G$8,M$11,FALSE)  +  NJ!$D$2 ) * IF($D84="NJ",1.07,1))/$L$10, CHOOSE($M$10,$L$9,$M$9) )</f>
        <v xml:space="preserve"> 34.63 </v>
      </c>
      <c r="N84" s="174" t="str">
        <f>TEXT(   (SUMPRODUCT( ((LMPMain!$H$9:$H$1000)=$E84)*((LMPMain!$J$9:$J$1000)=$F84)*((LMPMain!$O$9:$O$1000)=$C84)*(LMPMain!T$9:T$1000) ) +  ( SUMPRODUCT( ((Adders!$D$13:$D$101)=$E84)*((Adders!$E$13:$E$101)=$F84)*(Adders!I$13:I$101)) + VLOOKUP($H84,Adders!$B$5:$G$8,N$11,FALSE)  +  NJ!$D$2 ) * IF($D84="NJ",1.07,1))/$L$10, CHOOSE($M$10,$L$9,$M$9) )</f>
        <v xml:space="preserve"> 35.08 </v>
      </c>
      <c r="O84" s="112"/>
    </row>
    <row r="85" spans="2:15" x14ac:dyDescent="0.25">
      <c r="B85" s="108"/>
      <c r="C85" s="135">
        <f t="shared" si="1"/>
        <v>42491</v>
      </c>
      <c r="D85" s="136" t="s">
        <v>39</v>
      </c>
      <c r="E85" s="137" t="s">
        <v>40</v>
      </c>
      <c r="F85" s="136" t="s">
        <v>41</v>
      </c>
      <c r="G85" s="137" t="str">
        <f t="shared" si="2"/>
        <v>General Service Medium</v>
      </c>
      <c r="H85" s="138" t="s">
        <v>690</v>
      </c>
      <c r="I85" s="176" t="str">
        <f>TEXT(   (SUMPRODUCT( ((Main!$H$9:$H$1000)=$E85)*((Main!$J$9:$J$1000)=$F85)*((Main!$O$9:$O$1000)=$C85)*(Main!R$9:R$1000) ) +  ( SUMPRODUCT( ((Adders!$D$13:$D$101)=$E85)*((Adders!$E$13:$E$101)=$F85)*(Adders!G$13:G$101)) + VLOOKUP($H85,Adders!$B$5:$G$8,L$11,FALSE)  +  MD!$D$2 ) * IF($D85="NJ",1.07,1))/$L$10, CHOOSE($M$10,$L$9,$M$9) )</f>
        <v xml:space="preserve"> 81.44 </v>
      </c>
      <c r="J85" s="176" t="str">
        <f>TEXT(   (SUMPRODUCT( ((Main!$H$9:$H$1000)=$E85)*((Main!$J$9:$J$1000)=$F85)*((Main!$O$9:$O$1000)=$C85)*(Main!S$9:S$1000) ) +  ( SUMPRODUCT( ((Adders!$D$13:$D$101)=$E85)*((Adders!$E$13:$E$101)=$F85)*(Adders!H$13:H$101)) + VLOOKUP($H85,Adders!$B$5:$G$8,M$11,FALSE)  +  MD!$D$2 ) * IF($D85="NJ",1.07,1))/$L$10, CHOOSE($M$10,$L$9,$M$9) )</f>
        <v xml:space="preserve"> 80.99 </v>
      </c>
      <c r="K85" s="177" t="str">
        <f>TEXT(   (SUMPRODUCT( ((Main!$H$9:$H$1000)=$E85)*((Main!$J$9:$J$1000)=$F85)*((Main!$O$9:$O$1000)=$C85)*(Main!T$9:T$1000) ) +  ( SUMPRODUCT( ((Adders!$D$13:$D$101)=$E85)*((Adders!$E$13:$E$101)=$F85)*(Adders!I$13:I$101)) + VLOOKUP($H85,Adders!$B$5:$G$8,$N$11,FALSE)  +  MD!$D$2 ) * IF($D85="NJ",1.07,1))/$L$10, CHOOSE($M$10,$L$9,$M$9) )</f>
        <v xml:space="preserve"> 82.12 </v>
      </c>
      <c r="L85" s="176" t="str">
        <f>TEXT(   (SUMPRODUCT( ((LMPMain!$H$9:$H$1000)=$E85)*((LMPMain!$J$9:$J$1000)=$F85)*((LMPMain!$O$9:$O$1000)=$C85)*(LMPMain!R$9:R$1000) ) +  ( SUMPRODUCT( ((Adders!$D$13:$D$101)=$E85)*((Adders!$E$13:$E$101)=$F85)*(Adders!G$13:G$101)) + VLOOKUP($H85,Adders!$B$5:$G$8,L$11,FALSE)  +  NJ!$D$2 ) * IF($D85="NJ",1.07,1))/$L$10, CHOOSE($M$10,$L$9,$M$9) )</f>
        <v xml:space="preserve"> 33.79 </v>
      </c>
      <c r="M85" s="176" t="str">
        <f>TEXT(   (SUMPRODUCT( ((LMPMain!$H$9:$H$1000)=$E85)*((LMPMain!$J$9:$J$1000)=$F85)*((LMPMain!$O$9:$O$1000)=$C85)*(LMPMain!S$9:S$1000) ) +  ( SUMPRODUCT( ((Adders!$D$13:$D$101)=$E85)*((Adders!$E$13:$E$101)=$F85)*(Adders!H$13:H$101)) + VLOOKUP($H85,Adders!$B$5:$G$8,M$11,FALSE)  +  NJ!$D$2 ) * IF($D85="NJ",1.07,1))/$L$10, CHOOSE($M$10,$L$9,$M$9) )</f>
        <v xml:space="preserve"> 33.58 </v>
      </c>
      <c r="N85" s="177" t="str">
        <f>TEXT(   (SUMPRODUCT( ((LMPMain!$H$9:$H$1000)=$E85)*((LMPMain!$J$9:$J$1000)=$F85)*((LMPMain!$O$9:$O$1000)=$C85)*(LMPMain!T$9:T$1000) ) +  ( SUMPRODUCT( ((Adders!$D$13:$D$101)=$E85)*((Adders!$E$13:$E$101)=$F85)*(Adders!I$13:I$101)) + VLOOKUP($H85,Adders!$B$5:$G$8,N$11,FALSE)  +  NJ!$D$2 ) * IF($D85="NJ",1.07,1))/$L$10, CHOOSE($M$10,$L$9,$M$9) )</f>
        <v xml:space="preserve"> 34.03 </v>
      </c>
      <c r="O85" s="112"/>
    </row>
    <row r="86" spans="2:15" x14ac:dyDescent="0.25">
      <c r="B86" s="108"/>
      <c r="C86" s="127">
        <f t="shared" si="1"/>
        <v>42156</v>
      </c>
      <c r="D86" s="128" t="s">
        <v>39</v>
      </c>
      <c r="E86" s="129" t="s">
        <v>40</v>
      </c>
      <c r="F86" s="128" t="s">
        <v>7</v>
      </c>
      <c r="G86" s="129" t="str">
        <f>VLOOKUP(SUMPRODUCT( ((LMPMain!$H$9:$H$1000)=$E86)*((LMPMain!$J$9:$J$1000)=$F86)*((LMPMain!$O$9:$O$1000)=$C86)*(LMPMain!A$9:A$1000)),LMPMain!$A$9:$K$1000,11,FALSE)</f>
        <v>General Service Small</v>
      </c>
      <c r="H86" s="130" t="s">
        <v>61</v>
      </c>
      <c r="I86" s="178" t="str">
        <f>TEXT(   (SUMPRODUCT( ((Main!$H$9:$H$1000)=$E86)*((Main!$J$9:$J$1000)=$F86)*((Main!$O$9:$O$1000)=$C86)*(Main!R$9:R$1000) ) +  ( SUMPRODUCT( ((Adders!$D$13:$D$101)=$E86)*((Adders!$E$13:$E$101)=$F86)*(Adders!G$13:G$101)) + VLOOKUP($H86,Adders!$B$5:$G$8,L$11,FALSE)  +  MD!$D$2 ) * IF($D86="NJ",1.07,1))/$L$10, CHOOSE($M$10,$L$9,$M$9) )</f>
        <v xml:space="preserve"> 86.29 </v>
      </c>
      <c r="J86" s="178" t="str">
        <f>TEXT(   (SUMPRODUCT( ((Main!$H$9:$H$1000)=$E86)*((Main!$J$9:$J$1000)=$F86)*((Main!$O$9:$O$1000)=$C86)*(Main!S$9:S$1000) ) +  ( SUMPRODUCT( ((Adders!$D$13:$D$101)=$E86)*((Adders!$E$13:$E$101)=$F86)*(Adders!H$13:H$101)) + VLOOKUP($H86,Adders!$B$5:$G$8,M$11,FALSE)  +  MD!$D$2 ) * IF($D86="NJ",1.07,1))/$L$10, CHOOSE($M$10,$L$9,$M$9) )</f>
        <v xml:space="preserve"> 83.38 </v>
      </c>
      <c r="K86" s="179" t="str">
        <f>TEXT(   (SUMPRODUCT( ((Main!$H$9:$H$1000)=$E86)*((Main!$J$9:$J$1000)=$F86)*((Main!$O$9:$O$1000)=$C86)*(Main!T$9:T$1000) ) +  ( SUMPRODUCT( ((Adders!$D$13:$D$101)=$E86)*((Adders!$E$13:$E$101)=$F86)*(Adders!I$13:I$101)) + VLOOKUP($H86,Adders!$B$5:$G$8,$N$11,FALSE)  +  MD!$D$2 ) * IF($D86="NJ",1.07,1))/$L$10, CHOOSE($M$10,$L$9,$M$9) )</f>
        <v xml:space="preserve"> 84.12 </v>
      </c>
      <c r="L86" s="178" t="str">
        <f>TEXT(   (SUMPRODUCT( ((LMPMain!$H$9:$H$1000)=$E86)*((LMPMain!$J$9:$J$1000)=$F86)*((LMPMain!$O$9:$O$1000)=$C86)*(LMPMain!R$9:R$1000) ) +  ( SUMPRODUCT( ((Adders!$D$13:$D$101)=$E86)*((Adders!$E$13:$E$101)=$F86)*(Adders!G$13:G$101)) + VLOOKUP($H86,Adders!$B$5:$G$8,L$11,FALSE)  +  NJ!$D$2 ) * IF($D86="NJ",1.07,1))/$L$10, CHOOSE($M$10,$L$9,$M$9) )</f>
        <v xml:space="preserve"> 41.05 </v>
      </c>
      <c r="M86" s="178" t="str">
        <f>TEXT(   (SUMPRODUCT( ((LMPMain!$H$9:$H$1000)=$E86)*((LMPMain!$J$9:$J$1000)=$F86)*((LMPMain!$O$9:$O$1000)=$C86)*(LMPMain!S$9:S$1000) ) +  ( SUMPRODUCT( ((Adders!$D$13:$D$101)=$E86)*((Adders!$E$13:$E$101)=$F86)*(Adders!H$13:H$101)) + VLOOKUP($H86,Adders!$B$5:$G$8,M$11,FALSE)  +  NJ!$D$2 ) * IF($D86="NJ",1.07,1))/$L$10, CHOOSE($M$10,$L$9,$M$9) )</f>
        <v xml:space="preserve"> 39.16 </v>
      </c>
      <c r="N86" s="179" t="str">
        <f>TEXT(   (SUMPRODUCT( ((LMPMain!$H$9:$H$1000)=$E86)*((LMPMain!$J$9:$J$1000)=$F86)*((LMPMain!$O$9:$O$1000)=$C86)*(LMPMain!T$9:T$1000) ) +  ( SUMPRODUCT( ((Adders!$D$13:$D$101)=$E86)*((Adders!$E$13:$E$101)=$F86)*(Adders!I$13:I$101)) + VLOOKUP($H86,Adders!$B$5:$G$8,N$11,FALSE)  +  NJ!$D$2 ) * IF($D86="NJ",1.07,1))/$L$10, CHOOSE($M$10,$L$9,$M$9) )</f>
        <v xml:space="preserve"> 39.02 </v>
      </c>
      <c r="O86" s="112"/>
    </row>
    <row r="87" spans="2:15" x14ac:dyDescent="0.25">
      <c r="B87" s="108"/>
      <c r="C87" s="131">
        <f t="shared" si="1"/>
        <v>42156</v>
      </c>
      <c r="D87" s="132" t="s">
        <v>39</v>
      </c>
      <c r="E87" s="133" t="s">
        <v>40</v>
      </c>
      <c r="F87" s="132" t="s">
        <v>7</v>
      </c>
      <c r="G87" s="133" t="str">
        <f>G86</f>
        <v>General Service Small</v>
      </c>
      <c r="H87" s="134" t="s">
        <v>62</v>
      </c>
      <c r="I87" s="173" t="str">
        <f>TEXT(   (SUMPRODUCT( ((Main!$H$9:$H$1000)=$E87)*((Main!$J$9:$J$1000)=$F87)*((Main!$O$9:$O$1000)=$C87)*(Main!R$9:R$1000) ) +  ( SUMPRODUCT( ((Adders!$D$13:$D$101)=$E87)*((Adders!$E$13:$E$101)=$F87)*(Adders!G$13:G$101)) + VLOOKUP($H87,Adders!$B$5:$G$8,L$11,FALSE)  +  MD!$D$2 ) * IF($D87="NJ",1.07,1))/$L$10, CHOOSE($M$10,$L$9,$M$9) )</f>
        <v xml:space="preserve"> 84.69 </v>
      </c>
      <c r="J87" s="173" t="str">
        <f>TEXT(   (SUMPRODUCT( ((Main!$H$9:$H$1000)=$E87)*((Main!$J$9:$J$1000)=$F87)*((Main!$O$9:$O$1000)=$C87)*(Main!S$9:S$1000) ) +  ( SUMPRODUCT( ((Adders!$D$13:$D$101)=$E87)*((Adders!$E$13:$E$101)=$F87)*(Adders!H$13:H$101)) + VLOOKUP($H87,Adders!$B$5:$G$8,M$11,FALSE)  +  MD!$D$2 ) * IF($D87="NJ",1.07,1))/$L$10, CHOOSE($M$10,$L$9,$M$9) )</f>
        <v xml:space="preserve"> 81.78 </v>
      </c>
      <c r="K87" s="174" t="str">
        <f>TEXT(   (SUMPRODUCT( ((Main!$H$9:$H$1000)=$E87)*((Main!$J$9:$J$1000)=$F87)*((Main!$O$9:$O$1000)=$C87)*(Main!T$9:T$1000) ) +  ( SUMPRODUCT( ((Adders!$D$13:$D$101)=$E87)*((Adders!$E$13:$E$101)=$F87)*(Adders!I$13:I$101)) + VLOOKUP($H87,Adders!$B$5:$G$8,$N$11,FALSE)  +  MD!$D$2 ) * IF($D87="NJ",1.07,1))/$L$10, CHOOSE($M$10,$L$9,$M$9) )</f>
        <v xml:space="preserve"> 82.52 </v>
      </c>
      <c r="L87" s="173" t="str">
        <f>TEXT(   (SUMPRODUCT( ((LMPMain!$H$9:$H$1000)=$E87)*((LMPMain!$J$9:$J$1000)=$F87)*((LMPMain!$O$9:$O$1000)=$C87)*(LMPMain!R$9:R$1000) ) +  ( SUMPRODUCT( ((Adders!$D$13:$D$101)=$E87)*((Adders!$E$13:$E$101)=$F87)*(Adders!G$13:G$101)) + VLOOKUP($H87,Adders!$B$5:$G$8,L$11,FALSE)  +  NJ!$D$2 ) * IF($D87="NJ",1.07,1))/$L$10, CHOOSE($M$10,$L$9,$M$9) )</f>
        <v xml:space="preserve"> 39.45 </v>
      </c>
      <c r="M87" s="173" t="str">
        <f>TEXT(   (SUMPRODUCT( ((LMPMain!$H$9:$H$1000)=$E87)*((LMPMain!$J$9:$J$1000)=$F87)*((LMPMain!$O$9:$O$1000)=$C87)*(LMPMain!S$9:S$1000) ) +  ( SUMPRODUCT( ((Adders!$D$13:$D$101)=$E87)*((Adders!$E$13:$E$101)=$F87)*(Adders!H$13:H$101)) + VLOOKUP($H87,Adders!$B$5:$G$8,M$11,FALSE)  +  NJ!$D$2 ) * IF($D87="NJ",1.07,1))/$L$10, CHOOSE($M$10,$L$9,$M$9) )</f>
        <v xml:space="preserve"> 37.56 </v>
      </c>
      <c r="N87" s="174" t="str">
        <f>TEXT(   (SUMPRODUCT( ((LMPMain!$H$9:$H$1000)=$E87)*((LMPMain!$J$9:$J$1000)=$F87)*((LMPMain!$O$9:$O$1000)=$C87)*(LMPMain!T$9:T$1000) ) +  ( SUMPRODUCT( ((Adders!$D$13:$D$101)=$E87)*((Adders!$E$13:$E$101)=$F87)*(Adders!I$13:I$101)) + VLOOKUP($H87,Adders!$B$5:$G$8,N$11,FALSE)  +  NJ!$D$2 ) * IF($D87="NJ",1.07,1))/$L$10, CHOOSE($M$10,$L$9,$M$9) )</f>
        <v xml:space="preserve"> 37.42 </v>
      </c>
      <c r="O87" s="112"/>
    </row>
    <row r="88" spans="2:15" x14ac:dyDescent="0.25">
      <c r="B88" s="108"/>
      <c r="C88" s="135">
        <f t="shared" si="1"/>
        <v>42156</v>
      </c>
      <c r="D88" s="136" t="s">
        <v>39</v>
      </c>
      <c r="E88" s="137" t="s">
        <v>40</v>
      </c>
      <c r="F88" s="136" t="s">
        <v>7</v>
      </c>
      <c r="G88" s="137" t="str">
        <f>G87</f>
        <v>General Service Small</v>
      </c>
      <c r="H88" s="138" t="s">
        <v>690</v>
      </c>
      <c r="I88" s="176" t="str">
        <f>TEXT(   (SUMPRODUCT( ((Main!$H$9:$H$1000)=$E88)*((Main!$J$9:$J$1000)=$F88)*((Main!$O$9:$O$1000)=$C88)*(Main!R$9:R$1000) ) +  ( SUMPRODUCT( ((Adders!$D$13:$D$101)=$E88)*((Adders!$E$13:$E$101)=$F88)*(Adders!G$13:G$101)) + VLOOKUP($H88,Adders!$B$5:$G$8,L$11,FALSE)  +  MD!$D$2 ) * IF($D88="NJ",1.07,1))/$L$10, CHOOSE($M$10,$L$9,$M$9) )</f>
        <v xml:space="preserve"> 83.64 </v>
      </c>
      <c r="J88" s="176" t="str">
        <f>TEXT(   (SUMPRODUCT( ((Main!$H$9:$H$1000)=$E88)*((Main!$J$9:$J$1000)=$F88)*((Main!$O$9:$O$1000)=$C88)*(Main!S$9:S$1000) ) +  ( SUMPRODUCT( ((Adders!$D$13:$D$101)=$E88)*((Adders!$E$13:$E$101)=$F88)*(Adders!H$13:H$101)) + VLOOKUP($H88,Adders!$B$5:$G$8,M$11,FALSE)  +  MD!$D$2 ) * IF($D88="NJ",1.07,1))/$L$10, CHOOSE($M$10,$L$9,$M$9) )</f>
        <v xml:space="preserve"> 80.73 </v>
      </c>
      <c r="K88" s="177" t="str">
        <f>TEXT(   (SUMPRODUCT( ((Main!$H$9:$H$1000)=$E88)*((Main!$J$9:$J$1000)=$F88)*((Main!$O$9:$O$1000)=$C88)*(Main!T$9:T$1000) ) +  ( SUMPRODUCT( ((Adders!$D$13:$D$101)=$E88)*((Adders!$E$13:$E$101)=$F88)*(Adders!I$13:I$101)) + VLOOKUP($H88,Adders!$B$5:$G$8,$N$11,FALSE)  +  MD!$D$2 ) * IF($D88="NJ",1.07,1))/$L$10, CHOOSE($M$10,$L$9,$M$9) )</f>
        <v xml:space="preserve"> 81.47 </v>
      </c>
      <c r="L88" s="176" t="str">
        <f>TEXT(   (SUMPRODUCT( ((LMPMain!$H$9:$H$1000)=$E88)*((LMPMain!$J$9:$J$1000)=$F88)*((LMPMain!$O$9:$O$1000)=$C88)*(LMPMain!R$9:R$1000) ) +  ( SUMPRODUCT( ((Adders!$D$13:$D$101)=$E88)*((Adders!$E$13:$E$101)=$F88)*(Adders!G$13:G$101)) + VLOOKUP($H88,Adders!$B$5:$G$8,L$11,FALSE)  +  NJ!$D$2 ) * IF($D88="NJ",1.07,1))/$L$10, CHOOSE($M$10,$L$9,$M$9) )</f>
        <v xml:space="preserve"> 38.40 </v>
      </c>
      <c r="M88" s="176" t="str">
        <f>TEXT(   (SUMPRODUCT( ((LMPMain!$H$9:$H$1000)=$E88)*((LMPMain!$J$9:$J$1000)=$F88)*((LMPMain!$O$9:$O$1000)=$C88)*(LMPMain!S$9:S$1000) ) +  ( SUMPRODUCT( ((Adders!$D$13:$D$101)=$E88)*((Adders!$E$13:$E$101)=$F88)*(Adders!H$13:H$101)) + VLOOKUP($H88,Adders!$B$5:$G$8,M$11,FALSE)  +  NJ!$D$2 ) * IF($D88="NJ",1.07,1))/$L$10, CHOOSE($M$10,$L$9,$M$9) )</f>
        <v xml:space="preserve"> 36.51 </v>
      </c>
      <c r="N88" s="177" t="str">
        <f>TEXT(   (SUMPRODUCT( ((LMPMain!$H$9:$H$1000)=$E88)*((LMPMain!$J$9:$J$1000)=$F88)*((LMPMain!$O$9:$O$1000)=$C88)*(LMPMain!T$9:T$1000) ) +  ( SUMPRODUCT( ((Adders!$D$13:$D$101)=$E88)*((Adders!$E$13:$E$101)=$F88)*(Adders!I$13:I$101)) + VLOOKUP($H88,Adders!$B$5:$G$8,N$11,FALSE)  +  NJ!$D$2 ) * IF($D88="NJ",1.07,1))/$L$10, CHOOSE($M$10,$L$9,$M$9) )</f>
        <v xml:space="preserve"> 36.37 </v>
      </c>
      <c r="O88" s="112"/>
    </row>
    <row r="89" spans="2:15" x14ac:dyDescent="0.25">
      <c r="B89" s="108"/>
      <c r="C89" s="127">
        <f t="shared" si="1"/>
        <v>42186</v>
      </c>
      <c r="D89" s="128" t="s">
        <v>39</v>
      </c>
      <c r="E89" s="129" t="s">
        <v>40</v>
      </c>
      <c r="F89" s="128" t="s">
        <v>7</v>
      </c>
      <c r="G89" s="129" t="str">
        <f t="shared" si="2"/>
        <v>General Service Small</v>
      </c>
      <c r="H89" s="130" t="s">
        <v>61</v>
      </c>
      <c r="I89" s="178" t="str">
        <f>TEXT(   (SUMPRODUCT( ((Main!$H$9:$H$1000)=$E89)*((Main!$J$9:$J$1000)=$F89)*((Main!$O$9:$O$1000)=$C89)*(Main!R$9:R$1000) ) +  ( SUMPRODUCT( ((Adders!$D$13:$D$101)=$E89)*((Adders!$E$13:$E$101)=$F89)*(Adders!G$13:G$101)) + VLOOKUP($H89,Adders!$B$5:$G$8,L$11,FALSE)  +  MD!$D$2 ) * IF($D89="NJ",1.07,1))/$L$10, CHOOSE($M$10,$L$9,$M$9) )</f>
        <v xml:space="preserve"> 85.95 </v>
      </c>
      <c r="J89" s="178" t="str">
        <f>TEXT(   (SUMPRODUCT( ((Main!$H$9:$H$1000)=$E89)*((Main!$J$9:$J$1000)=$F89)*((Main!$O$9:$O$1000)=$C89)*(Main!S$9:S$1000) ) +  ( SUMPRODUCT( ((Adders!$D$13:$D$101)=$E89)*((Adders!$E$13:$E$101)=$F89)*(Adders!H$13:H$101)) + VLOOKUP($H89,Adders!$B$5:$G$8,M$11,FALSE)  +  MD!$D$2 ) * IF($D89="NJ",1.07,1))/$L$10, CHOOSE($M$10,$L$9,$M$9) )</f>
        <v xml:space="preserve"> 83.15 </v>
      </c>
      <c r="K89" s="179" t="str">
        <f>TEXT(   (SUMPRODUCT( ((Main!$H$9:$H$1000)=$E89)*((Main!$J$9:$J$1000)=$F89)*((Main!$O$9:$O$1000)=$C89)*(Main!T$9:T$1000) ) +  ( SUMPRODUCT( ((Adders!$D$13:$D$101)=$E89)*((Adders!$E$13:$E$101)=$F89)*(Adders!I$13:I$101)) + VLOOKUP($H89,Adders!$B$5:$G$8,$N$11,FALSE)  +  MD!$D$2 ) * IF($D89="NJ",1.07,1))/$L$10, CHOOSE($M$10,$L$9,$M$9) )</f>
        <v xml:space="preserve"> 83.98 </v>
      </c>
      <c r="L89" s="178" t="str">
        <f>TEXT(   (SUMPRODUCT( ((LMPMain!$H$9:$H$1000)=$E89)*((LMPMain!$J$9:$J$1000)=$F89)*((LMPMain!$O$9:$O$1000)=$C89)*(LMPMain!R$9:R$1000) ) +  ( SUMPRODUCT( ((Adders!$D$13:$D$101)=$E89)*((Adders!$E$13:$E$101)=$F89)*(Adders!G$13:G$101)) + VLOOKUP($H89,Adders!$B$5:$G$8,L$11,FALSE)  +  NJ!$D$2 ) * IF($D89="NJ",1.07,1))/$L$10, CHOOSE($M$10,$L$9,$M$9) )</f>
        <v xml:space="preserve"> 40.71 </v>
      </c>
      <c r="M89" s="178" t="str">
        <f>TEXT(   (SUMPRODUCT( ((LMPMain!$H$9:$H$1000)=$E89)*((LMPMain!$J$9:$J$1000)=$F89)*((LMPMain!$O$9:$O$1000)=$C89)*(LMPMain!S$9:S$1000) ) +  ( SUMPRODUCT( ((Adders!$D$13:$D$101)=$E89)*((Adders!$E$13:$E$101)=$F89)*(Adders!H$13:H$101)) + VLOOKUP($H89,Adders!$B$5:$G$8,M$11,FALSE)  +  NJ!$D$2 ) * IF($D89="NJ",1.07,1))/$L$10, CHOOSE($M$10,$L$9,$M$9) )</f>
        <v xml:space="preserve"> 38.99 </v>
      </c>
      <c r="N89" s="179" t="str">
        <f>TEXT(   (SUMPRODUCT( ((LMPMain!$H$9:$H$1000)=$E89)*((LMPMain!$J$9:$J$1000)=$F89)*((LMPMain!$O$9:$O$1000)=$C89)*(LMPMain!T$9:T$1000) ) +  ( SUMPRODUCT( ((Adders!$D$13:$D$101)=$E89)*((Adders!$E$13:$E$101)=$F89)*(Adders!I$13:I$101)) + VLOOKUP($H89,Adders!$B$5:$G$8,N$11,FALSE)  +  NJ!$D$2 ) * IF($D89="NJ",1.07,1))/$L$10, CHOOSE($M$10,$L$9,$M$9) )</f>
        <v xml:space="preserve"> 38.87 </v>
      </c>
      <c r="O89" s="112"/>
    </row>
    <row r="90" spans="2:15" x14ac:dyDescent="0.25">
      <c r="B90" s="108"/>
      <c r="C90" s="131">
        <f t="shared" si="1"/>
        <v>42186</v>
      </c>
      <c r="D90" s="132" t="s">
        <v>39</v>
      </c>
      <c r="E90" s="133" t="s">
        <v>40</v>
      </c>
      <c r="F90" s="132" t="s">
        <v>7</v>
      </c>
      <c r="G90" s="133" t="str">
        <f t="shared" si="2"/>
        <v>General Service Small</v>
      </c>
      <c r="H90" s="134" t="s">
        <v>62</v>
      </c>
      <c r="I90" s="173" t="str">
        <f>TEXT(   (SUMPRODUCT( ((Main!$H$9:$H$1000)=$E90)*((Main!$J$9:$J$1000)=$F90)*((Main!$O$9:$O$1000)=$C90)*(Main!R$9:R$1000) ) +  ( SUMPRODUCT( ((Adders!$D$13:$D$101)=$E90)*((Adders!$E$13:$E$101)=$F90)*(Adders!G$13:G$101)) + VLOOKUP($H90,Adders!$B$5:$G$8,L$11,FALSE)  +  MD!$D$2 ) * IF($D90="NJ",1.07,1))/$L$10, CHOOSE($M$10,$L$9,$M$9) )</f>
        <v xml:space="preserve"> 84.35 </v>
      </c>
      <c r="J90" s="173" t="str">
        <f>TEXT(   (SUMPRODUCT( ((Main!$H$9:$H$1000)=$E90)*((Main!$J$9:$J$1000)=$F90)*((Main!$O$9:$O$1000)=$C90)*(Main!S$9:S$1000) ) +  ( SUMPRODUCT( ((Adders!$D$13:$D$101)=$E90)*((Adders!$E$13:$E$101)=$F90)*(Adders!H$13:H$101)) + VLOOKUP($H90,Adders!$B$5:$G$8,M$11,FALSE)  +  MD!$D$2 ) * IF($D90="NJ",1.07,1))/$L$10, CHOOSE($M$10,$L$9,$M$9) )</f>
        <v xml:space="preserve"> 81.55 </v>
      </c>
      <c r="K90" s="174" t="str">
        <f>TEXT(   (SUMPRODUCT( ((Main!$H$9:$H$1000)=$E90)*((Main!$J$9:$J$1000)=$F90)*((Main!$O$9:$O$1000)=$C90)*(Main!T$9:T$1000) ) +  ( SUMPRODUCT( ((Adders!$D$13:$D$101)=$E90)*((Adders!$E$13:$E$101)=$F90)*(Adders!I$13:I$101)) + VLOOKUP($H90,Adders!$B$5:$G$8,$N$11,FALSE)  +  MD!$D$2 ) * IF($D90="NJ",1.07,1))/$L$10, CHOOSE($M$10,$L$9,$M$9) )</f>
        <v xml:space="preserve"> 82.38 </v>
      </c>
      <c r="L90" s="173" t="str">
        <f>TEXT(   (SUMPRODUCT( ((LMPMain!$H$9:$H$1000)=$E90)*((LMPMain!$J$9:$J$1000)=$F90)*((LMPMain!$O$9:$O$1000)=$C90)*(LMPMain!R$9:R$1000) ) +  ( SUMPRODUCT( ((Adders!$D$13:$D$101)=$E90)*((Adders!$E$13:$E$101)=$F90)*(Adders!G$13:G$101)) + VLOOKUP($H90,Adders!$B$5:$G$8,L$11,FALSE)  +  NJ!$D$2 ) * IF($D90="NJ",1.07,1))/$L$10, CHOOSE($M$10,$L$9,$M$9) )</f>
        <v xml:space="preserve"> 39.11 </v>
      </c>
      <c r="M90" s="173" t="str">
        <f>TEXT(   (SUMPRODUCT( ((LMPMain!$H$9:$H$1000)=$E90)*((LMPMain!$J$9:$J$1000)=$F90)*((LMPMain!$O$9:$O$1000)=$C90)*(LMPMain!S$9:S$1000) ) +  ( SUMPRODUCT( ((Adders!$D$13:$D$101)=$E90)*((Adders!$E$13:$E$101)=$F90)*(Adders!H$13:H$101)) + VLOOKUP($H90,Adders!$B$5:$G$8,M$11,FALSE)  +  NJ!$D$2 ) * IF($D90="NJ",1.07,1))/$L$10, CHOOSE($M$10,$L$9,$M$9) )</f>
        <v xml:space="preserve"> 37.39 </v>
      </c>
      <c r="N90" s="174" t="str">
        <f>TEXT(   (SUMPRODUCT( ((LMPMain!$H$9:$H$1000)=$E90)*((LMPMain!$J$9:$J$1000)=$F90)*((LMPMain!$O$9:$O$1000)=$C90)*(LMPMain!T$9:T$1000) ) +  ( SUMPRODUCT( ((Adders!$D$13:$D$101)=$E90)*((Adders!$E$13:$E$101)=$F90)*(Adders!I$13:I$101)) + VLOOKUP($H90,Adders!$B$5:$G$8,N$11,FALSE)  +  NJ!$D$2 ) * IF($D90="NJ",1.07,1))/$L$10, CHOOSE($M$10,$L$9,$M$9) )</f>
        <v xml:space="preserve"> 37.27 </v>
      </c>
      <c r="O90" s="112"/>
    </row>
    <row r="91" spans="2:15" x14ac:dyDescent="0.25">
      <c r="B91" s="108"/>
      <c r="C91" s="135">
        <f t="shared" si="1"/>
        <v>42186</v>
      </c>
      <c r="D91" s="136" t="s">
        <v>39</v>
      </c>
      <c r="E91" s="137" t="s">
        <v>40</v>
      </c>
      <c r="F91" s="136" t="s">
        <v>7</v>
      </c>
      <c r="G91" s="137" t="str">
        <f t="shared" si="2"/>
        <v>General Service Small</v>
      </c>
      <c r="H91" s="138" t="s">
        <v>690</v>
      </c>
      <c r="I91" s="176" t="str">
        <f>TEXT(   (SUMPRODUCT( ((Main!$H$9:$H$1000)=$E91)*((Main!$J$9:$J$1000)=$F91)*((Main!$O$9:$O$1000)=$C91)*(Main!R$9:R$1000) ) +  ( SUMPRODUCT( ((Adders!$D$13:$D$101)=$E91)*((Adders!$E$13:$E$101)=$F91)*(Adders!G$13:G$101)) + VLOOKUP($H91,Adders!$B$5:$G$8,L$11,FALSE)  +  MD!$D$2 ) * IF($D91="NJ",1.07,1))/$L$10, CHOOSE($M$10,$L$9,$M$9) )</f>
        <v xml:space="preserve"> 83.30 </v>
      </c>
      <c r="J91" s="176" t="str">
        <f>TEXT(   (SUMPRODUCT( ((Main!$H$9:$H$1000)=$E91)*((Main!$J$9:$J$1000)=$F91)*((Main!$O$9:$O$1000)=$C91)*(Main!S$9:S$1000) ) +  ( SUMPRODUCT( ((Adders!$D$13:$D$101)=$E91)*((Adders!$E$13:$E$101)=$F91)*(Adders!H$13:H$101)) + VLOOKUP($H91,Adders!$B$5:$G$8,M$11,FALSE)  +  MD!$D$2 ) * IF($D91="NJ",1.07,1))/$L$10, CHOOSE($M$10,$L$9,$M$9) )</f>
        <v xml:space="preserve"> 80.50 </v>
      </c>
      <c r="K91" s="177" t="str">
        <f>TEXT(   (SUMPRODUCT( ((Main!$H$9:$H$1000)=$E91)*((Main!$J$9:$J$1000)=$F91)*((Main!$O$9:$O$1000)=$C91)*(Main!T$9:T$1000) ) +  ( SUMPRODUCT( ((Adders!$D$13:$D$101)=$E91)*((Adders!$E$13:$E$101)=$F91)*(Adders!I$13:I$101)) + VLOOKUP($H91,Adders!$B$5:$G$8,$N$11,FALSE)  +  MD!$D$2 ) * IF($D91="NJ",1.07,1))/$L$10, CHOOSE($M$10,$L$9,$M$9) )</f>
        <v xml:space="preserve"> 81.33 </v>
      </c>
      <c r="L91" s="176" t="str">
        <f>TEXT(   (SUMPRODUCT( ((LMPMain!$H$9:$H$1000)=$E91)*((LMPMain!$J$9:$J$1000)=$F91)*((LMPMain!$O$9:$O$1000)=$C91)*(LMPMain!R$9:R$1000) ) +  ( SUMPRODUCT( ((Adders!$D$13:$D$101)=$E91)*((Adders!$E$13:$E$101)=$F91)*(Adders!G$13:G$101)) + VLOOKUP($H91,Adders!$B$5:$G$8,L$11,FALSE)  +  NJ!$D$2 ) * IF($D91="NJ",1.07,1))/$L$10, CHOOSE($M$10,$L$9,$M$9) )</f>
        <v xml:space="preserve"> 38.06 </v>
      </c>
      <c r="M91" s="176" t="str">
        <f>TEXT(   (SUMPRODUCT( ((LMPMain!$H$9:$H$1000)=$E91)*((LMPMain!$J$9:$J$1000)=$F91)*((LMPMain!$O$9:$O$1000)=$C91)*(LMPMain!S$9:S$1000) ) +  ( SUMPRODUCT( ((Adders!$D$13:$D$101)=$E91)*((Adders!$E$13:$E$101)=$F91)*(Adders!H$13:H$101)) + VLOOKUP($H91,Adders!$B$5:$G$8,M$11,FALSE)  +  NJ!$D$2 ) * IF($D91="NJ",1.07,1))/$L$10, CHOOSE($M$10,$L$9,$M$9) )</f>
        <v xml:space="preserve"> 36.34 </v>
      </c>
      <c r="N91" s="177" t="str">
        <f>TEXT(   (SUMPRODUCT( ((LMPMain!$H$9:$H$1000)=$E91)*((LMPMain!$J$9:$J$1000)=$F91)*((LMPMain!$O$9:$O$1000)=$C91)*(LMPMain!T$9:T$1000) ) +  ( SUMPRODUCT( ((Adders!$D$13:$D$101)=$E91)*((Adders!$E$13:$E$101)=$F91)*(Adders!I$13:I$101)) + VLOOKUP($H91,Adders!$B$5:$G$8,N$11,FALSE)  +  NJ!$D$2 ) * IF($D91="NJ",1.07,1))/$L$10, CHOOSE($M$10,$L$9,$M$9) )</f>
        <v xml:space="preserve"> 36.22 </v>
      </c>
      <c r="O91" s="112"/>
    </row>
    <row r="92" spans="2:15" x14ac:dyDescent="0.25">
      <c r="B92" s="108"/>
      <c r="C92" s="127">
        <f t="shared" si="1"/>
        <v>42217</v>
      </c>
      <c r="D92" s="128" t="s">
        <v>39</v>
      </c>
      <c r="E92" s="129" t="s">
        <v>40</v>
      </c>
      <c r="F92" s="128" t="s">
        <v>7</v>
      </c>
      <c r="G92" s="129" t="str">
        <f t="shared" si="2"/>
        <v>General Service Small</v>
      </c>
      <c r="H92" s="130" t="s">
        <v>61</v>
      </c>
      <c r="I92" s="178" t="str">
        <f>TEXT(   (SUMPRODUCT( ((Main!$H$9:$H$1000)=$E92)*((Main!$J$9:$J$1000)=$F92)*((Main!$O$9:$O$1000)=$C92)*(Main!R$9:R$1000) ) +  ( SUMPRODUCT( ((Adders!$D$13:$D$101)=$E92)*((Adders!$E$13:$E$101)=$F92)*(Adders!G$13:G$101)) + VLOOKUP($H92,Adders!$B$5:$G$8,L$11,FALSE)  +  MD!$D$2 ) * IF($D92="NJ",1.07,1))/$L$10, CHOOSE($M$10,$L$9,$M$9) )</f>
        <v xml:space="preserve"> 85.42 </v>
      </c>
      <c r="J92" s="178" t="str">
        <f>TEXT(   (SUMPRODUCT( ((Main!$H$9:$H$1000)=$E92)*((Main!$J$9:$J$1000)=$F92)*((Main!$O$9:$O$1000)=$C92)*(Main!S$9:S$1000) ) +  ( SUMPRODUCT( ((Adders!$D$13:$D$101)=$E92)*((Adders!$E$13:$E$101)=$F92)*(Adders!H$13:H$101)) + VLOOKUP($H92,Adders!$B$5:$G$8,M$11,FALSE)  +  MD!$D$2 ) * IF($D92="NJ",1.07,1))/$L$10, CHOOSE($M$10,$L$9,$M$9) )</f>
        <v xml:space="preserve"> 83.74 </v>
      </c>
      <c r="K92" s="179" t="str">
        <f>TEXT(   (SUMPRODUCT( ((Main!$H$9:$H$1000)=$E92)*((Main!$J$9:$J$1000)=$F92)*((Main!$O$9:$O$1000)=$C92)*(Main!T$9:T$1000) ) +  ( SUMPRODUCT( ((Adders!$D$13:$D$101)=$E92)*((Adders!$E$13:$E$101)=$F92)*(Adders!I$13:I$101)) + VLOOKUP($H92,Adders!$B$5:$G$8,$N$11,FALSE)  +  MD!$D$2 ) * IF($D92="NJ",1.07,1))/$L$10, CHOOSE($M$10,$L$9,$M$9) )</f>
        <v xml:space="preserve"> 83.85 </v>
      </c>
      <c r="L92" s="178" t="str">
        <f>TEXT(   (SUMPRODUCT( ((LMPMain!$H$9:$H$1000)=$E92)*((LMPMain!$J$9:$J$1000)=$F92)*((LMPMain!$O$9:$O$1000)=$C92)*(LMPMain!R$9:R$1000) ) +  ( SUMPRODUCT( ((Adders!$D$13:$D$101)=$E92)*((Adders!$E$13:$E$101)=$F92)*(Adders!G$13:G$101)) + VLOOKUP($H92,Adders!$B$5:$G$8,L$11,FALSE)  +  NJ!$D$2 ) * IF($D92="NJ",1.07,1))/$L$10, CHOOSE($M$10,$L$9,$M$9) )</f>
        <v xml:space="preserve"> 40.40 </v>
      </c>
      <c r="M92" s="178" t="str">
        <f>TEXT(   (SUMPRODUCT( ((LMPMain!$H$9:$H$1000)=$E92)*((LMPMain!$J$9:$J$1000)=$F92)*((LMPMain!$O$9:$O$1000)=$C92)*(LMPMain!S$9:S$1000) ) +  ( SUMPRODUCT( ((Adders!$D$13:$D$101)=$E92)*((Adders!$E$13:$E$101)=$F92)*(Adders!H$13:H$101)) + VLOOKUP($H92,Adders!$B$5:$G$8,M$11,FALSE)  +  NJ!$D$2 ) * IF($D92="NJ",1.07,1))/$L$10, CHOOSE($M$10,$L$9,$M$9) )</f>
        <v xml:space="preserve"> 39.05 </v>
      </c>
      <c r="N92" s="179" t="str">
        <f>TEXT(   (SUMPRODUCT( ((LMPMain!$H$9:$H$1000)=$E92)*((LMPMain!$J$9:$J$1000)=$F92)*((LMPMain!$O$9:$O$1000)=$C92)*(LMPMain!T$9:T$1000) ) +  ( SUMPRODUCT( ((Adders!$D$13:$D$101)=$E92)*((Adders!$E$13:$E$101)=$F92)*(Adders!I$13:I$101)) + VLOOKUP($H92,Adders!$B$5:$G$8,N$11,FALSE)  +  NJ!$D$2 ) * IF($D92="NJ",1.07,1))/$L$10, CHOOSE($M$10,$L$9,$M$9) )</f>
        <v xml:space="preserve"> 38.75 </v>
      </c>
      <c r="O92" s="112"/>
    </row>
    <row r="93" spans="2:15" x14ac:dyDescent="0.25">
      <c r="B93" s="108"/>
      <c r="C93" s="131">
        <f t="shared" si="1"/>
        <v>42217</v>
      </c>
      <c r="D93" s="132" t="s">
        <v>39</v>
      </c>
      <c r="E93" s="133" t="s">
        <v>40</v>
      </c>
      <c r="F93" s="132" t="s">
        <v>7</v>
      </c>
      <c r="G93" s="133" t="str">
        <f t="shared" si="2"/>
        <v>General Service Small</v>
      </c>
      <c r="H93" s="134" t="s">
        <v>62</v>
      </c>
      <c r="I93" s="173" t="str">
        <f>TEXT(   (SUMPRODUCT( ((Main!$H$9:$H$1000)=$E93)*((Main!$J$9:$J$1000)=$F93)*((Main!$O$9:$O$1000)=$C93)*(Main!R$9:R$1000) ) +  ( SUMPRODUCT( ((Adders!$D$13:$D$101)=$E93)*((Adders!$E$13:$E$101)=$F93)*(Adders!G$13:G$101)) + VLOOKUP($H93,Adders!$B$5:$G$8,L$11,FALSE)  +  MD!$D$2 ) * IF($D93="NJ",1.07,1))/$L$10, CHOOSE($M$10,$L$9,$M$9) )</f>
        <v xml:space="preserve"> 83.82 </v>
      </c>
      <c r="J93" s="173" t="str">
        <f>TEXT(   (SUMPRODUCT( ((Main!$H$9:$H$1000)=$E93)*((Main!$J$9:$J$1000)=$F93)*((Main!$O$9:$O$1000)=$C93)*(Main!S$9:S$1000) ) +  ( SUMPRODUCT( ((Adders!$D$13:$D$101)=$E93)*((Adders!$E$13:$E$101)=$F93)*(Adders!H$13:H$101)) + VLOOKUP($H93,Adders!$B$5:$G$8,M$11,FALSE)  +  MD!$D$2 ) * IF($D93="NJ",1.07,1))/$L$10, CHOOSE($M$10,$L$9,$M$9) )</f>
        <v xml:space="preserve"> 82.14 </v>
      </c>
      <c r="K93" s="174" t="str">
        <f>TEXT(   (SUMPRODUCT( ((Main!$H$9:$H$1000)=$E93)*((Main!$J$9:$J$1000)=$F93)*((Main!$O$9:$O$1000)=$C93)*(Main!T$9:T$1000) ) +  ( SUMPRODUCT( ((Adders!$D$13:$D$101)=$E93)*((Adders!$E$13:$E$101)=$F93)*(Adders!I$13:I$101)) + VLOOKUP($H93,Adders!$B$5:$G$8,$N$11,FALSE)  +  MD!$D$2 ) * IF($D93="NJ",1.07,1))/$L$10, CHOOSE($M$10,$L$9,$M$9) )</f>
        <v xml:space="preserve"> 82.25 </v>
      </c>
      <c r="L93" s="173" t="str">
        <f>TEXT(   (SUMPRODUCT( ((LMPMain!$H$9:$H$1000)=$E93)*((LMPMain!$J$9:$J$1000)=$F93)*((LMPMain!$O$9:$O$1000)=$C93)*(LMPMain!R$9:R$1000) ) +  ( SUMPRODUCT( ((Adders!$D$13:$D$101)=$E93)*((Adders!$E$13:$E$101)=$F93)*(Adders!G$13:G$101)) + VLOOKUP($H93,Adders!$B$5:$G$8,L$11,FALSE)  +  NJ!$D$2 ) * IF($D93="NJ",1.07,1))/$L$10, CHOOSE($M$10,$L$9,$M$9) )</f>
        <v xml:space="preserve"> 38.80 </v>
      </c>
      <c r="M93" s="173" t="str">
        <f>TEXT(   (SUMPRODUCT( ((LMPMain!$H$9:$H$1000)=$E93)*((LMPMain!$J$9:$J$1000)=$F93)*((LMPMain!$O$9:$O$1000)=$C93)*(LMPMain!S$9:S$1000) ) +  ( SUMPRODUCT( ((Adders!$D$13:$D$101)=$E93)*((Adders!$E$13:$E$101)=$F93)*(Adders!H$13:H$101)) + VLOOKUP($H93,Adders!$B$5:$G$8,M$11,FALSE)  +  NJ!$D$2 ) * IF($D93="NJ",1.07,1))/$L$10, CHOOSE($M$10,$L$9,$M$9) )</f>
        <v xml:space="preserve"> 37.45 </v>
      </c>
      <c r="N93" s="174" t="str">
        <f>TEXT(   (SUMPRODUCT( ((LMPMain!$H$9:$H$1000)=$E93)*((LMPMain!$J$9:$J$1000)=$F93)*((LMPMain!$O$9:$O$1000)=$C93)*(LMPMain!T$9:T$1000) ) +  ( SUMPRODUCT( ((Adders!$D$13:$D$101)=$E93)*((Adders!$E$13:$E$101)=$F93)*(Adders!I$13:I$101)) + VLOOKUP($H93,Adders!$B$5:$G$8,N$11,FALSE)  +  NJ!$D$2 ) * IF($D93="NJ",1.07,1))/$L$10, CHOOSE($M$10,$L$9,$M$9) )</f>
        <v xml:space="preserve"> 37.15 </v>
      </c>
      <c r="O93" s="112"/>
    </row>
    <row r="94" spans="2:15" x14ac:dyDescent="0.25">
      <c r="B94" s="108"/>
      <c r="C94" s="135">
        <f t="shared" si="1"/>
        <v>42217</v>
      </c>
      <c r="D94" s="136" t="s">
        <v>39</v>
      </c>
      <c r="E94" s="137" t="s">
        <v>40</v>
      </c>
      <c r="F94" s="136" t="s">
        <v>7</v>
      </c>
      <c r="G94" s="137" t="str">
        <f t="shared" si="2"/>
        <v>General Service Small</v>
      </c>
      <c r="H94" s="138" t="s">
        <v>690</v>
      </c>
      <c r="I94" s="176" t="str">
        <f>TEXT(   (SUMPRODUCT( ((Main!$H$9:$H$1000)=$E94)*((Main!$J$9:$J$1000)=$F94)*((Main!$O$9:$O$1000)=$C94)*(Main!R$9:R$1000) ) +  ( SUMPRODUCT( ((Adders!$D$13:$D$101)=$E94)*((Adders!$E$13:$E$101)=$F94)*(Adders!G$13:G$101)) + VLOOKUP($H94,Adders!$B$5:$G$8,L$11,FALSE)  +  MD!$D$2 ) * IF($D94="NJ",1.07,1))/$L$10, CHOOSE($M$10,$L$9,$M$9) )</f>
        <v xml:space="preserve"> 82.77 </v>
      </c>
      <c r="J94" s="176" t="str">
        <f>TEXT(   (SUMPRODUCT( ((Main!$H$9:$H$1000)=$E94)*((Main!$J$9:$J$1000)=$F94)*((Main!$O$9:$O$1000)=$C94)*(Main!S$9:S$1000) ) +  ( SUMPRODUCT( ((Adders!$D$13:$D$101)=$E94)*((Adders!$E$13:$E$101)=$F94)*(Adders!H$13:H$101)) + VLOOKUP($H94,Adders!$B$5:$G$8,M$11,FALSE)  +  MD!$D$2 ) * IF($D94="NJ",1.07,1))/$L$10, CHOOSE($M$10,$L$9,$M$9) )</f>
        <v xml:space="preserve"> 81.09 </v>
      </c>
      <c r="K94" s="177" t="str">
        <f>TEXT(   (SUMPRODUCT( ((Main!$H$9:$H$1000)=$E94)*((Main!$J$9:$J$1000)=$F94)*((Main!$O$9:$O$1000)=$C94)*(Main!T$9:T$1000) ) +  ( SUMPRODUCT( ((Adders!$D$13:$D$101)=$E94)*((Adders!$E$13:$E$101)=$F94)*(Adders!I$13:I$101)) + VLOOKUP($H94,Adders!$B$5:$G$8,$N$11,FALSE)  +  MD!$D$2 ) * IF($D94="NJ",1.07,1))/$L$10, CHOOSE($M$10,$L$9,$M$9) )</f>
        <v xml:space="preserve"> 81.20 </v>
      </c>
      <c r="L94" s="176" t="str">
        <f>TEXT(   (SUMPRODUCT( ((LMPMain!$H$9:$H$1000)=$E94)*((LMPMain!$J$9:$J$1000)=$F94)*((LMPMain!$O$9:$O$1000)=$C94)*(LMPMain!R$9:R$1000) ) +  ( SUMPRODUCT( ((Adders!$D$13:$D$101)=$E94)*((Adders!$E$13:$E$101)=$F94)*(Adders!G$13:G$101)) + VLOOKUP($H94,Adders!$B$5:$G$8,L$11,FALSE)  +  NJ!$D$2 ) * IF($D94="NJ",1.07,1))/$L$10, CHOOSE($M$10,$L$9,$M$9) )</f>
        <v xml:space="preserve"> 37.75 </v>
      </c>
      <c r="M94" s="176" t="str">
        <f>TEXT(   (SUMPRODUCT( ((LMPMain!$H$9:$H$1000)=$E94)*((LMPMain!$J$9:$J$1000)=$F94)*((LMPMain!$O$9:$O$1000)=$C94)*(LMPMain!S$9:S$1000) ) +  ( SUMPRODUCT( ((Adders!$D$13:$D$101)=$E94)*((Adders!$E$13:$E$101)=$F94)*(Adders!H$13:H$101)) + VLOOKUP($H94,Adders!$B$5:$G$8,M$11,FALSE)  +  NJ!$D$2 ) * IF($D94="NJ",1.07,1))/$L$10, CHOOSE($M$10,$L$9,$M$9) )</f>
        <v xml:space="preserve"> 36.40 </v>
      </c>
      <c r="N94" s="177" t="str">
        <f>TEXT(   (SUMPRODUCT( ((LMPMain!$H$9:$H$1000)=$E94)*((LMPMain!$J$9:$J$1000)=$F94)*((LMPMain!$O$9:$O$1000)=$C94)*(LMPMain!T$9:T$1000) ) +  ( SUMPRODUCT( ((Adders!$D$13:$D$101)=$E94)*((Adders!$E$13:$E$101)=$F94)*(Adders!I$13:I$101)) + VLOOKUP($H94,Adders!$B$5:$G$8,N$11,FALSE)  +  NJ!$D$2 ) * IF($D94="NJ",1.07,1))/$L$10, CHOOSE($M$10,$L$9,$M$9) )</f>
        <v xml:space="preserve"> 36.10 </v>
      </c>
      <c r="O94" s="112"/>
    </row>
    <row r="95" spans="2:15" x14ac:dyDescent="0.25">
      <c r="B95" s="108"/>
      <c r="C95" s="127">
        <f t="shared" si="1"/>
        <v>42248</v>
      </c>
      <c r="D95" s="128" t="s">
        <v>39</v>
      </c>
      <c r="E95" s="129" t="s">
        <v>40</v>
      </c>
      <c r="F95" s="128" t="s">
        <v>7</v>
      </c>
      <c r="G95" s="129" t="str">
        <f t="shared" si="2"/>
        <v>General Service Small</v>
      </c>
      <c r="H95" s="130" t="s">
        <v>61</v>
      </c>
      <c r="I95" s="178" t="str">
        <f>TEXT(   (SUMPRODUCT( ((Main!$H$9:$H$1000)=$E95)*((Main!$J$9:$J$1000)=$F95)*((Main!$O$9:$O$1000)=$C95)*(Main!R$9:R$1000) ) +  ( SUMPRODUCT( ((Adders!$D$13:$D$101)=$E95)*((Adders!$E$13:$E$101)=$F95)*(Adders!G$13:G$101)) + VLOOKUP($H95,Adders!$B$5:$G$8,L$11,FALSE)  +  MD!$D$2 ) * IF($D95="NJ",1.07,1))/$L$10, CHOOSE($M$10,$L$9,$M$9) )</f>
        <v xml:space="preserve"> 85.11 </v>
      </c>
      <c r="J95" s="178" t="str">
        <f>TEXT(   (SUMPRODUCT( ((Main!$H$9:$H$1000)=$E95)*((Main!$J$9:$J$1000)=$F95)*((Main!$O$9:$O$1000)=$C95)*(Main!S$9:S$1000) ) +  ( SUMPRODUCT( ((Adders!$D$13:$D$101)=$E95)*((Adders!$E$13:$E$101)=$F95)*(Adders!H$13:H$101)) + VLOOKUP($H95,Adders!$B$5:$G$8,M$11,FALSE)  +  MD!$D$2 ) * IF($D95="NJ",1.07,1))/$L$10, CHOOSE($M$10,$L$9,$M$9) )</f>
        <v xml:space="preserve"> 84.37 </v>
      </c>
      <c r="K95" s="179" t="str">
        <f>TEXT(   (SUMPRODUCT( ((Main!$H$9:$H$1000)=$E95)*((Main!$J$9:$J$1000)=$F95)*((Main!$O$9:$O$1000)=$C95)*(Main!T$9:T$1000) ) +  ( SUMPRODUCT( ((Adders!$D$13:$D$101)=$E95)*((Adders!$E$13:$E$101)=$F95)*(Adders!I$13:I$101)) + VLOOKUP($H95,Adders!$B$5:$G$8,$N$11,FALSE)  +  MD!$D$2 ) * IF($D95="NJ",1.07,1))/$L$10, CHOOSE($M$10,$L$9,$M$9) )</f>
        <v xml:space="preserve"> 83.82 </v>
      </c>
      <c r="L95" s="178" t="str">
        <f>TEXT(   (SUMPRODUCT( ((LMPMain!$H$9:$H$1000)=$E95)*((LMPMain!$J$9:$J$1000)=$F95)*((LMPMain!$O$9:$O$1000)=$C95)*(LMPMain!R$9:R$1000) ) +  ( SUMPRODUCT( ((Adders!$D$13:$D$101)=$E95)*((Adders!$E$13:$E$101)=$F95)*(Adders!G$13:G$101)) + VLOOKUP($H95,Adders!$B$5:$G$8,L$11,FALSE)  +  NJ!$D$2 ) * IF($D95="NJ",1.07,1))/$L$10, CHOOSE($M$10,$L$9,$M$9) )</f>
        <v xml:space="preserve"> 40.08 </v>
      </c>
      <c r="M95" s="178" t="str">
        <f>TEXT(   (SUMPRODUCT( ((LMPMain!$H$9:$H$1000)=$E95)*((LMPMain!$J$9:$J$1000)=$F95)*((LMPMain!$O$9:$O$1000)=$C95)*(LMPMain!S$9:S$1000) ) +  ( SUMPRODUCT( ((Adders!$D$13:$D$101)=$E95)*((Adders!$E$13:$E$101)=$F95)*(Adders!H$13:H$101)) + VLOOKUP($H95,Adders!$B$5:$G$8,M$11,FALSE)  +  NJ!$D$2 ) * IF($D95="NJ",1.07,1))/$L$10, CHOOSE($M$10,$L$9,$M$9) )</f>
        <v xml:space="preserve"> 39.11 </v>
      </c>
      <c r="N95" s="179" t="str">
        <f>TEXT(   (SUMPRODUCT( ((LMPMain!$H$9:$H$1000)=$E95)*((LMPMain!$J$9:$J$1000)=$F95)*((LMPMain!$O$9:$O$1000)=$C95)*(LMPMain!T$9:T$1000) ) +  ( SUMPRODUCT( ((Adders!$D$13:$D$101)=$E95)*((Adders!$E$13:$E$101)=$F95)*(Adders!I$13:I$101)) + VLOOKUP($H95,Adders!$B$5:$G$8,N$11,FALSE)  +  NJ!$D$2 ) * IF($D95="NJ",1.07,1))/$L$10, CHOOSE($M$10,$L$9,$M$9) )</f>
        <v xml:space="preserve"> 38.62 </v>
      </c>
      <c r="O95" s="112"/>
    </row>
    <row r="96" spans="2:15" x14ac:dyDescent="0.25">
      <c r="B96" s="108"/>
      <c r="C96" s="131">
        <f t="shared" si="1"/>
        <v>42248</v>
      </c>
      <c r="D96" s="132" t="s">
        <v>39</v>
      </c>
      <c r="E96" s="133" t="s">
        <v>40</v>
      </c>
      <c r="F96" s="132" t="s">
        <v>7</v>
      </c>
      <c r="G96" s="133" t="str">
        <f t="shared" si="2"/>
        <v>General Service Small</v>
      </c>
      <c r="H96" s="134" t="s">
        <v>62</v>
      </c>
      <c r="I96" s="173" t="str">
        <f>TEXT(   (SUMPRODUCT( ((Main!$H$9:$H$1000)=$E96)*((Main!$J$9:$J$1000)=$F96)*((Main!$O$9:$O$1000)=$C96)*(Main!R$9:R$1000) ) +  ( SUMPRODUCT( ((Adders!$D$13:$D$101)=$E96)*((Adders!$E$13:$E$101)=$F96)*(Adders!G$13:G$101)) + VLOOKUP($H96,Adders!$B$5:$G$8,L$11,FALSE)  +  MD!$D$2 ) * IF($D96="NJ",1.07,1))/$L$10, CHOOSE($M$10,$L$9,$M$9) )</f>
        <v xml:space="preserve"> 83.51 </v>
      </c>
      <c r="J96" s="173" t="str">
        <f>TEXT(   (SUMPRODUCT( ((Main!$H$9:$H$1000)=$E96)*((Main!$J$9:$J$1000)=$F96)*((Main!$O$9:$O$1000)=$C96)*(Main!S$9:S$1000) ) +  ( SUMPRODUCT( ((Adders!$D$13:$D$101)=$E96)*((Adders!$E$13:$E$101)=$F96)*(Adders!H$13:H$101)) + VLOOKUP($H96,Adders!$B$5:$G$8,M$11,FALSE)  +  MD!$D$2 ) * IF($D96="NJ",1.07,1))/$L$10, CHOOSE($M$10,$L$9,$M$9) )</f>
        <v xml:space="preserve"> 82.77 </v>
      </c>
      <c r="K96" s="174" t="str">
        <f>TEXT(   (SUMPRODUCT( ((Main!$H$9:$H$1000)=$E96)*((Main!$J$9:$J$1000)=$F96)*((Main!$O$9:$O$1000)=$C96)*(Main!T$9:T$1000) ) +  ( SUMPRODUCT( ((Adders!$D$13:$D$101)=$E96)*((Adders!$E$13:$E$101)=$F96)*(Adders!I$13:I$101)) + VLOOKUP($H96,Adders!$B$5:$G$8,$N$11,FALSE)  +  MD!$D$2 ) * IF($D96="NJ",1.07,1))/$L$10, CHOOSE($M$10,$L$9,$M$9) )</f>
        <v xml:space="preserve"> 82.22 </v>
      </c>
      <c r="L96" s="173" t="str">
        <f>TEXT(   (SUMPRODUCT( ((LMPMain!$H$9:$H$1000)=$E96)*((LMPMain!$J$9:$J$1000)=$F96)*((LMPMain!$O$9:$O$1000)=$C96)*(LMPMain!R$9:R$1000) ) +  ( SUMPRODUCT( ((Adders!$D$13:$D$101)=$E96)*((Adders!$E$13:$E$101)=$F96)*(Adders!G$13:G$101)) + VLOOKUP($H96,Adders!$B$5:$G$8,L$11,FALSE)  +  NJ!$D$2 ) * IF($D96="NJ",1.07,1))/$L$10, CHOOSE($M$10,$L$9,$M$9) )</f>
        <v xml:space="preserve"> 38.48 </v>
      </c>
      <c r="M96" s="173" t="str">
        <f>TEXT(   (SUMPRODUCT( ((LMPMain!$H$9:$H$1000)=$E96)*((LMPMain!$J$9:$J$1000)=$F96)*((LMPMain!$O$9:$O$1000)=$C96)*(LMPMain!S$9:S$1000) ) +  ( SUMPRODUCT( ((Adders!$D$13:$D$101)=$E96)*((Adders!$E$13:$E$101)=$F96)*(Adders!H$13:H$101)) + VLOOKUP($H96,Adders!$B$5:$G$8,M$11,FALSE)  +  NJ!$D$2 ) * IF($D96="NJ",1.07,1))/$L$10, CHOOSE($M$10,$L$9,$M$9) )</f>
        <v xml:space="preserve"> 37.51 </v>
      </c>
      <c r="N96" s="174" t="str">
        <f>TEXT(   (SUMPRODUCT( ((LMPMain!$H$9:$H$1000)=$E96)*((LMPMain!$J$9:$J$1000)=$F96)*((LMPMain!$O$9:$O$1000)=$C96)*(LMPMain!T$9:T$1000) ) +  ( SUMPRODUCT( ((Adders!$D$13:$D$101)=$E96)*((Adders!$E$13:$E$101)=$F96)*(Adders!I$13:I$101)) + VLOOKUP($H96,Adders!$B$5:$G$8,N$11,FALSE)  +  NJ!$D$2 ) * IF($D96="NJ",1.07,1))/$L$10, CHOOSE($M$10,$L$9,$M$9) )</f>
        <v xml:space="preserve"> 37.02 </v>
      </c>
      <c r="O96" s="112"/>
    </row>
    <row r="97" spans="2:15" x14ac:dyDescent="0.25">
      <c r="B97" s="108"/>
      <c r="C97" s="135">
        <f t="shared" si="1"/>
        <v>42248</v>
      </c>
      <c r="D97" s="136" t="s">
        <v>39</v>
      </c>
      <c r="E97" s="137" t="s">
        <v>40</v>
      </c>
      <c r="F97" s="136" t="s">
        <v>7</v>
      </c>
      <c r="G97" s="137" t="str">
        <f t="shared" si="2"/>
        <v>General Service Small</v>
      </c>
      <c r="H97" s="138" t="s">
        <v>690</v>
      </c>
      <c r="I97" s="176" t="str">
        <f>TEXT(   (SUMPRODUCT( ((Main!$H$9:$H$1000)=$E97)*((Main!$J$9:$J$1000)=$F97)*((Main!$O$9:$O$1000)=$C97)*(Main!R$9:R$1000) ) +  ( SUMPRODUCT( ((Adders!$D$13:$D$101)=$E97)*((Adders!$E$13:$E$101)=$F97)*(Adders!G$13:G$101)) + VLOOKUP($H97,Adders!$B$5:$G$8,L$11,FALSE)  +  MD!$D$2 ) * IF($D97="NJ",1.07,1))/$L$10, CHOOSE($M$10,$L$9,$M$9) )</f>
        <v xml:space="preserve"> 82.46 </v>
      </c>
      <c r="J97" s="176" t="str">
        <f>TEXT(   (SUMPRODUCT( ((Main!$H$9:$H$1000)=$E97)*((Main!$J$9:$J$1000)=$F97)*((Main!$O$9:$O$1000)=$C97)*(Main!S$9:S$1000) ) +  ( SUMPRODUCT( ((Adders!$D$13:$D$101)=$E97)*((Adders!$E$13:$E$101)=$F97)*(Adders!H$13:H$101)) + VLOOKUP($H97,Adders!$B$5:$G$8,M$11,FALSE)  +  MD!$D$2 ) * IF($D97="NJ",1.07,1))/$L$10, CHOOSE($M$10,$L$9,$M$9) )</f>
        <v xml:space="preserve"> 81.72 </v>
      </c>
      <c r="K97" s="177" t="str">
        <f>TEXT(   (SUMPRODUCT( ((Main!$H$9:$H$1000)=$E97)*((Main!$J$9:$J$1000)=$F97)*((Main!$O$9:$O$1000)=$C97)*(Main!T$9:T$1000) ) +  ( SUMPRODUCT( ((Adders!$D$13:$D$101)=$E97)*((Adders!$E$13:$E$101)=$F97)*(Adders!I$13:I$101)) + VLOOKUP($H97,Adders!$B$5:$G$8,$N$11,FALSE)  +  MD!$D$2 ) * IF($D97="NJ",1.07,1))/$L$10, CHOOSE($M$10,$L$9,$M$9) )</f>
        <v xml:space="preserve"> 81.17 </v>
      </c>
      <c r="L97" s="176" t="str">
        <f>TEXT(   (SUMPRODUCT( ((LMPMain!$H$9:$H$1000)=$E97)*((LMPMain!$J$9:$J$1000)=$F97)*((LMPMain!$O$9:$O$1000)=$C97)*(LMPMain!R$9:R$1000) ) +  ( SUMPRODUCT( ((Adders!$D$13:$D$101)=$E97)*((Adders!$E$13:$E$101)=$F97)*(Adders!G$13:G$101)) + VLOOKUP($H97,Adders!$B$5:$G$8,L$11,FALSE)  +  NJ!$D$2 ) * IF($D97="NJ",1.07,1))/$L$10, CHOOSE($M$10,$L$9,$M$9) )</f>
        <v xml:space="preserve"> 37.43 </v>
      </c>
      <c r="M97" s="176" t="str">
        <f>TEXT(   (SUMPRODUCT( ((LMPMain!$H$9:$H$1000)=$E97)*((LMPMain!$J$9:$J$1000)=$F97)*((LMPMain!$O$9:$O$1000)=$C97)*(LMPMain!S$9:S$1000) ) +  ( SUMPRODUCT( ((Adders!$D$13:$D$101)=$E97)*((Adders!$E$13:$E$101)=$F97)*(Adders!H$13:H$101)) + VLOOKUP($H97,Adders!$B$5:$G$8,M$11,FALSE)  +  NJ!$D$2 ) * IF($D97="NJ",1.07,1))/$L$10, CHOOSE($M$10,$L$9,$M$9) )</f>
        <v xml:space="preserve"> 36.46 </v>
      </c>
      <c r="N97" s="177" t="str">
        <f>TEXT(   (SUMPRODUCT( ((LMPMain!$H$9:$H$1000)=$E97)*((LMPMain!$J$9:$J$1000)=$F97)*((LMPMain!$O$9:$O$1000)=$C97)*(LMPMain!T$9:T$1000) ) +  ( SUMPRODUCT( ((Adders!$D$13:$D$101)=$E97)*((Adders!$E$13:$E$101)=$F97)*(Adders!I$13:I$101)) + VLOOKUP($H97,Adders!$B$5:$G$8,N$11,FALSE)  +  NJ!$D$2 ) * IF($D97="NJ",1.07,1))/$L$10, CHOOSE($M$10,$L$9,$M$9) )</f>
        <v xml:space="preserve"> 35.97 </v>
      </c>
      <c r="O97" s="112"/>
    </row>
    <row r="98" spans="2:15" x14ac:dyDescent="0.25">
      <c r="B98" s="108"/>
      <c r="C98" s="127">
        <f t="shared" si="1"/>
        <v>42278</v>
      </c>
      <c r="D98" s="128" t="s">
        <v>39</v>
      </c>
      <c r="E98" s="129" t="s">
        <v>40</v>
      </c>
      <c r="F98" s="128" t="s">
        <v>7</v>
      </c>
      <c r="G98" s="129" t="str">
        <f t="shared" si="2"/>
        <v>General Service Small</v>
      </c>
      <c r="H98" s="130" t="s">
        <v>61</v>
      </c>
      <c r="I98" s="178" t="str">
        <f>TEXT(   (SUMPRODUCT( ((Main!$H$9:$H$1000)=$E98)*((Main!$J$9:$J$1000)=$F98)*((Main!$O$9:$O$1000)=$C98)*(Main!R$9:R$1000) ) +  ( SUMPRODUCT( ((Adders!$D$13:$D$101)=$E98)*((Adders!$E$13:$E$101)=$F98)*(Adders!G$13:G$101)) + VLOOKUP($H98,Adders!$B$5:$G$8,L$11,FALSE)  +  MD!$D$2 ) * IF($D98="NJ",1.07,1))/$L$10, CHOOSE($M$10,$L$9,$M$9) )</f>
        <v xml:space="preserve"> 84.72 </v>
      </c>
      <c r="J98" s="178" t="str">
        <f>TEXT(   (SUMPRODUCT( ((Main!$H$9:$H$1000)=$E98)*((Main!$J$9:$J$1000)=$F98)*((Main!$O$9:$O$1000)=$C98)*(Main!S$9:S$1000) ) +  ( SUMPRODUCT( ((Adders!$D$13:$D$101)=$E98)*((Adders!$E$13:$E$101)=$F98)*(Adders!H$13:H$101)) + VLOOKUP($H98,Adders!$B$5:$G$8,M$11,FALSE)  +  MD!$D$2 ) * IF($D98="NJ",1.07,1))/$L$10, CHOOSE($M$10,$L$9,$M$9) )</f>
        <v xml:space="preserve"> 84.75 </v>
      </c>
      <c r="K98" s="179" t="str">
        <f>TEXT(   (SUMPRODUCT( ((Main!$H$9:$H$1000)=$E98)*((Main!$J$9:$J$1000)=$F98)*((Main!$O$9:$O$1000)=$C98)*(Main!T$9:T$1000) ) +  ( SUMPRODUCT( ((Adders!$D$13:$D$101)=$E98)*((Adders!$E$13:$E$101)=$F98)*(Adders!I$13:I$101)) + VLOOKUP($H98,Adders!$B$5:$G$8,$N$11,FALSE)  +  MD!$D$2 ) * IF($D98="NJ",1.07,1))/$L$10, CHOOSE($M$10,$L$9,$M$9) )</f>
        <v xml:space="preserve"> 83.65 </v>
      </c>
      <c r="L98" s="178" t="str">
        <f>TEXT(   (SUMPRODUCT( ((LMPMain!$H$9:$H$1000)=$E98)*((LMPMain!$J$9:$J$1000)=$F98)*((LMPMain!$O$9:$O$1000)=$C98)*(LMPMain!R$9:R$1000) ) +  ( SUMPRODUCT( ((Adders!$D$13:$D$101)=$E98)*((Adders!$E$13:$E$101)=$F98)*(Adders!G$13:G$101)) + VLOOKUP($H98,Adders!$B$5:$G$8,L$11,FALSE)  +  NJ!$D$2 ) * IF($D98="NJ",1.07,1))/$L$10, CHOOSE($M$10,$L$9,$M$9) )</f>
        <v xml:space="preserve"> 39.78 </v>
      </c>
      <c r="M98" s="178" t="str">
        <f>TEXT(   (SUMPRODUCT( ((LMPMain!$H$9:$H$1000)=$E98)*((LMPMain!$J$9:$J$1000)=$F98)*((LMPMain!$O$9:$O$1000)=$C98)*(LMPMain!S$9:S$1000) ) +  ( SUMPRODUCT( ((Adders!$D$13:$D$101)=$E98)*((Adders!$E$13:$E$101)=$F98)*(Adders!H$13:H$101)) + VLOOKUP($H98,Adders!$B$5:$G$8,M$11,FALSE)  +  NJ!$D$2 ) * IF($D98="NJ",1.07,1))/$L$10, CHOOSE($M$10,$L$9,$M$9) )</f>
        <v xml:space="preserve"> 39.13 </v>
      </c>
      <c r="N98" s="179" t="str">
        <f>TEXT(   (SUMPRODUCT( ((LMPMain!$H$9:$H$1000)=$E98)*((LMPMain!$J$9:$J$1000)=$F98)*((LMPMain!$O$9:$O$1000)=$C98)*(LMPMain!T$9:T$1000) ) +  ( SUMPRODUCT( ((Adders!$D$13:$D$101)=$E98)*((Adders!$E$13:$E$101)=$F98)*(Adders!I$13:I$101)) + VLOOKUP($H98,Adders!$B$5:$G$8,N$11,FALSE)  +  NJ!$D$2 ) * IF($D98="NJ",1.07,1))/$L$10, CHOOSE($M$10,$L$9,$M$9) )</f>
        <v xml:space="preserve"> 38.49 </v>
      </c>
      <c r="O98" s="112"/>
    </row>
    <row r="99" spans="2:15" x14ac:dyDescent="0.25">
      <c r="B99" s="108"/>
      <c r="C99" s="131">
        <f t="shared" si="1"/>
        <v>42278</v>
      </c>
      <c r="D99" s="132" t="s">
        <v>39</v>
      </c>
      <c r="E99" s="133" t="s">
        <v>40</v>
      </c>
      <c r="F99" s="132" t="s">
        <v>7</v>
      </c>
      <c r="G99" s="133" t="str">
        <f t="shared" si="2"/>
        <v>General Service Small</v>
      </c>
      <c r="H99" s="134" t="s">
        <v>62</v>
      </c>
      <c r="I99" s="173" t="str">
        <f>TEXT(   (SUMPRODUCT( ((Main!$H$9:$H$1000)=$E99)*((Main!$J$9:$J$1000)=$F99)*((Main!$O$9:$O$1000)=$C99)*(Main!R$9:R$1000) ) +  ( SUMPRODUCT( ((Adders!$D$13:$D$101)=$E99)*((Adders!$E$13:$E$101)=$F99)*(Adders!G$13:G$101)) + VLOOKUP($H99,Adders!$B$5:$G$8,L$11,FALSE)  +  MD!$D$2 ) * IF($D99="NJ",1.07,1))/$L$10, CHOOSE($M$10,$L$9,$M$9) )</f>
        <v xml:space="preserve"> 83.12 </v>
      </c>
      <c r="J99" s="173" t="str">
        <f>TEXT(   (SUMPRODUCT( ((Main!$H$9:$H$1000)=$E99)*((Main!$J$9:$J$1000)=$F99)*((Main!$O$9:$O$1000)=$C99)*(Main!S$9:S$1000) ) +  ( SUMPRODUCT( ((Adders!$D$13:$D$101)=$E99)*((Adders!$E$13:$E$101)=$F99)*(Adders!H$13:H$101)) + VLOOKUP($H99,Adders!$B$5:$G$8,M$11,FALSE)  +  MD!$D$2 ) * IF($D99="NJ",1.07,1))/$L$10, CHOOSE($M$10,$L$9,$M$9) )</f>
        <v xml:space="preserve"> 83.15 </v>
      </c>
      <c r="K99" s="174" t="str">
        <f>TEXT(   (SUMPRODUCT( ((Main!$H$9:$H$1000)=$E99)*((Main!$J$9:$J$1000)=$F99)*((Main!$O$9:$O$1000)=$C99)*(Main!T$9:T$1000) ) +  ( SUMPRODUCT( ((Adders!$D$13:$D$101)=$E99)*((Adders!$E$13:$E$101)=$F99)*(Adders!I$13:I$101)) + VLOOKUP($H99,Adders!$B$5:$G$8,$N$11,FALSE)  +  MD!$D$2 ) * IF($D99="NJ",1.07,1))/$L$10, CHOOSE($M$10,$L$9,$M$9) )</f>
        <v xml:space="preserve"> 82.05 </v>
      </c>
      <c r="L99" s="173" t="str">
        <f>TEXT(   (SUMPRODUCT( ((LMPMain!$H$9:$H$1000)=$E99)*((LMPMain!$J$9:$J$1000)=$F99)*((LMPMain!$O$9:$O$1000)=$C99)*(LMPMain!R$9:R$1000) ) +  ( SUMPRODUCT( ((Adders!$D$13:$D$101)=$E99)*((Adders!$E$13:$E$101)=$F99)*(Adders!G$13:G$101)) + VLOOKUP($H99,Adders!$B$5:$G$8,L$11,FALSE)  +  NJ!$D$2 ) * IF($D99="NJ",1.07,1))/$L$10, CHOOSE($M$10,$L$9,$M$9) )</f>
        <v xml:space="preserve"> 38.18 </v>
      </c>
      <c r="M99" s="173" t="str">
        <f>TEXT(   (SUMPRODUCT( ((LMPMain!$H$9:$H$1000)=$E99)*((LMPMain!$J$9:$J$1000)=$F99)*((LMPMain!$O$9:$O$1000)=$C99)*(LMPMain!S$9:S$1000) ) +  ( SUMPRODUCT( ((Adders!$D$13:$D$101)=$E99)*((Adders!$E$13:$E$101)=$F99)*(Adders!H$13:H$101)) + VLOOKUP($H99,Adders!$B$5:$G$8,M$11,FALSE)  +  NJ!$D$2 ) * IF($D99="NJ",1.07,1))/$L$10, CHOOSE($M$10,$L$9,$M$9) )</f>
        <v xml:space="preserve"> 37.53 </v>
      </c>
      <c r="N99" s="174" t="str">
        <f>TEXT(   (SUMPRODUCT( ((LMPMain!$H$9:$H$1000)=$E99)*((LMPMain!$J$9:$J$1000)=$F99)*((LMPMain!$O$9:$O$1000)=$C99)*(LMPMain!T$9:T$1000) ) +  ( SUMPRODUCT( ((Adders!$D$13:$D$101)=$E99)*((Adders!$E$13:$E$101)=$F99)*(Adders!I$13:I$101)) + VLOOKUP($H99,Adders!$B$5:$G$8,N$11,FALSE)  +  NJ!$D$2 ) * IF($D99="NJ",1.07,1))/$L$10, CHOOSE($M$10,$L$9,$M$9) )</f>
        <v xml:space="preserve"> 36.89 </v>
      </c>
      <c r="O99" s="112"/>
    </row>
    <row r="100" spans="2:15" x14ac:dyDescent="0.25">
      <c r="B100" s="108"/>
      <c r="C100" s="135">
        <f t="shared" si="1"/>
        <v>42278</v>
      </c>
      <c r="D100" s="136" t="s">
        <v>39</v>
      </c>
      <c r="E100" s="137" t="s">
        <v>40</v>
      </c>
      <c r="F100" s="136" t="s">
        <v>7</v>
      </c>
      <c r="G100" s="137" t="str">
        <f t="shared" si="2"/>
        <v>General Service Small</v>
      </c>
      <c r="H100" s="138" t="s">
        <v>690</v>
      </c>
      <c r="I100" s="176" t="str">
        <f>TEXT(   (SUMPRODUCT( ((Main!$H$9:$H$1000)=$E100)*((Main!$J$9:$J$1000)=$F100)*((Main!$O$9:$O$1000)=$C100)*(Main!R$9:R$1000) ) +  ( SUMPRODUCT( ((Adders!$D$13:$D$101)=$E100)*((Adders!$E$13:$E$101)=$F100)*(Adders!G$13:G$101)) + VLOOKUP($H100,Adders!$B$5:$G$8,L$11,FALSE)  +  MD!$D$2 ) * IF($D100="NJ",1.07,1))/$L$10, CHOOSE($M$10,$L$9,$M$9) )</f>
        <v xml:space="preserve"> 82.07 </v>
      </c>
      <c r="J100" s="176" t="str">
        <f>TEXT(   (SUMPRODUCT( ((Main!$H$9:$H$1000)=$E100)*((Main!$J$9:$J$1000)=$F100)*((Main!$O$9:$O$1000)=$C100)*(Main!S$9:S$1000) ) +  ( SUMPRODUCT( ((Adders!$D$13:$D$101)=$E100)*((Adders!$E$13:$E$101)=$F100)*(Adders!H$13:H$101)) + VLOOKUP($H100,Adders!$B$5:$G$8,M$11,FALSE)  +  MD!$D$2 ) * IF($D100="NJ",1.07,1))/$L$10, CHOOSE($M$10,$L$9,$M$9) )</f>
        <v xml:space="preserve"> 82.10 </v>
      </c>
      <c r="K100" s="177" t="str">
        <f>TEXT(   (SUMPRODUCT( ((Main!$H$9:$H$1000)=$E100)*((Main!$J$9:$J$1000)=$F100)*((Main!$O$9:$O$1000)=$C100)*(Main!T$9:T$1000) ) +  ( SUMPRODUCT( ((Adders!$D$13:$D$101)=$E100)*((Adders!$E$13:$E$101)=$F100)*(Adders!I$13:I$101)) + VLOOKUP($H100,Adders!$B$5:$G$8,$N$11,FALSE)  +  MD!$D$2 ) * IF($D100="NJ",1.07,1))/$L$10, CHOOSE($M$10,$L$9,$M$9) )</f>
        <v xml:space="preserve"> 81.00 </v>
      </c>
      <c r="L100" s="176" t="str">
        <f>TEXT(   (SUMPRODUCT( ((LMPMain!$H$9:$H$1000)=$E100)*((LMPMain!$J$9:$J$1000)=$F100)*((LMPMain!$O$9:$O$1000)=$C100)*(LMPMain!R$9:R$1000) ) +  ( SUMPRODUCT( ((Adders!$D$13:$D$101)=$E100)*((Adders!$E$13:$E$101)=$F100)*(Adders!G$13:G$101)) + VLOOKUP($H100,Adders!$B$5:$G$8,L$11,FALSE)  +  NJ!$D$2 ) * IF($D100="NJ",1.07,1))/$L$10, CHOOSE($M$10,$L$9,$M$9) )</f>
        <v xml:space="preserve"> 37.13 </v>
      </c>
      <c r="M100" s="176" t="str">
        <f>TEXT(   (SUMPRODUCT( ((LMPMain!$H$9:$H$1000)=$E100)*((LMPMain!$J$9:$J$1000)=$F100)*((LMPMain!$O$9:$O$1000)=$C100)*(LMPMain!S$9:S$1000) ) +  ( SUMPRODUCT( ((Adders!$D$13:$D$101)=$E100)*((Adders!$E$13:$E$101)=$F100)*(Adders!H$13:H$101)) + VLOOKUP($H100,Adders!$B$5:$G$8,M$11,FALSE)  +  NJ!$D$2 ) * IF($D100="NJ",1.07,1))/$L$10, CHOOSE($M$10,$L$9,$M$9) )</f>
        <v xml:space="preserve"> 36.48 </v>
      </c>
      <c r="N100" s="177" t="str">
        <f>TEXT(   (SUMPRODUCT( ((LMPMain!$H$9:$H$1000)=$E100)*((LMPMain!$J$9:$J$1000)=$F100)*((LMPMain!$O$9:$O$1000)=$C100)*(LMPMain!T$9:T$1000) ) +  ( SUMPRODUCT( ((Adders!$D$13:$D$101)=$E100)*((Adders!$E$13:$E$101)=$F100)*(Adders!I$13:I$101)) + VLOOKUP($H100,Adders!$B$5:$G$8,N$11,FALSE)  +  NJ!$D$2 ) * IF($D100="NJ",1.07,1))/$L$10, CHOOSE($M$10,$L$9,$M$9) )</f>
        <v xml:space="preserve"> 35.84 </v>
      </c>
      <c r="O100" s="112"/>
    </row>
    <row r="101" spans="2:15" x14ac:dyDescent="0.25">
      <c r="B101" s="108"/>
      <c r="C101" s="127">
        <f t="shared" si="1"/>
        <v>42309</v>
      </c>
      <c r="D101" s="128" t="s">
        <v>39</v>
      </c>
      <c r="E101" s="129" t="s">
        <v>40</v>
      </c>
      <c r="F101" s="128" t="s">
        <v>7</v>
      </c>
      <c r="G101" s="129" t="str">
        <f t="shared" si="2"/>
        <v>General Service Small</v>
      </c>
      <c r="H101" s="130" t="s">
        <v>61</v>
      </c>
      <c r="I101" s="178" t="str">
        <f>TEXT(   (SUMPRODUCT( ((Main!$H$9:$H$1000)=$E101)*((Main!$J$9:$J$1000)=$F101)*((Main!$O$9:$O$1000)=$C101)*(Main!R$9:R$1000) ) +  ( SUMPRODUCT( ((Adders!$D$13:$D$101)=$E101)*((Adders!$E$13:$E$101)=$F101)*(Adders!G$13:G$101)) + VLOOKUP($H101,Adders!$B$5:$G$8,L$11,FALSE)  +  MD!$D$2 ) * IF($D101="NJ",1.07,1))/$L$10, CHOOSE($M$10,$L$9,$M$9) )</f>
        <v xml:space="preserve"> 84.37 </v>
      </c>
      <c r="J101" s="178" t="str">
        <f>TEXT(   (SUMPRODUCT( ((Main!$H$9:$H$1000)=$E101)*((Main!$J$9:$J$1000)=$F101)*((Main!$O$9:$O$1000)=$C101)*(Main!S$9:S$1000) ) +  ( SUMPRODUCT( ((Adders!$D$13:$D$101)=$E101)*((Adders!$E$13:$E$101)=$F101)*(Adders!H$13:H$101)) + VLOOKUP($H101,Adders!$B$5:$G$8,M$11,FALSE)  +  MD!$D$2 ) * IF($D101="NJ",1.07,1))/$L$10, CHOOSE($M$10,$L$9,$M$9) )</f>
        <v xml:space="preserve"> 84.88 </v>
      </c>
      <c r="K101" s="179" t="str">
        <f>TEXT(   (SUMPRODUCT( ((Main!$H$9:$H$1000)=$E101)*((Main!$J$9:$J$1000)=$F101)*((Main!$O$9:$O$1000)=$C101)*(Main!T$9:T$1000) ) +  ( SUMPRODUCT( ((Adders!$D$13:$D$101)=$E101)*((Adders!$E$13:$E$101)=$F101)*(Adders!I$13:I$101)) + VLOOKUP($H101,Adders!$B$5:$G$8,$N$11,FALSE)  +  MD!$D$2 ) * IF($D101="NJ",1.07,1))/$L$10, CHOOSE($M$10,$L$9,$M$9) )</f>
        <v xml:space="preserve"> 83.54 </v>
      </c>
      <c r="L101" s="178" t="str">
        <f>TEXT(   (SUMPRODUCT( ((LMPMain!$H$9:$H$1000)=$E101)*((LMPMain!$J$9:$J$1000)=$F101)*((LMPMain!$O$9:$O$1000)=$C101)*(LMPMain!R$9:R$1000) ) +  ( SUMPRODUCT( ((Adders!$D$13:$D$101)=$E101)*((Adders!$E$13:$E$101)=$F101)*(Adders!G$13:G$101)) + VLOOKUP($H101,Adders!$B$5:$G$8,L$11,FALSE)  +  NJ!$D$2 ) * IF($D101="NJ",1.07,1))/$L$10, CHOOSE($M$10,$L$9,$M$9) )</f>
        <v xml:space="preserve"> 39.46 </v>
      </c>
      <c r="M101" s="178" t="str">
        <f>TEXT(   (SUMPRODUCT( ((LMPMain!$H$9:$H$1000)=$E101)*((LMPMain!$J$9:$J$1000)=$F101)*((LMPMain!$O$9:$O$1000)=$C101)*(LMPMain!S$9:S$1000) ) +  ( SUMPRODUCT( ((Adders!$D$13:$D$101)=$E101)*((Adders!$E$13:$E$101)=$F101)*(Adders!H$13:H$101)) + VLOOKUP($H101,Adders!$B$5:$G$8,M$11,FALSE)  +  NJ!$D$2 ) * IF($D101="NJ",1.07,1))/$L$10, CHOOSE($M$10,$L$9,$M$9) )</f>
        <v xml:space="preserve"> 39.07 </v>
      </c>
      <c r="N101" s="179" t="str">
        <f>TEXT(   (SUMPRODUCT( ((LMPMain!$H$9:$H$1000)=$E101)*((LMPMain!$J$9:$J$1000)=$F101)*((LMPMain!$O$9:$O$1000)=$C101)*(LMPMain!T$9:T$1000) ) +  ( SUMPRODUCT( ((Adders!$D$13:$D$101)=$E101)*((Adders!$E$13:$E$101)=$F101)*(Adders!I$13:I$101)) + VLOOKUP($H101,Adders!$B$5:$G$8,N$11,FALSE)  +  NJ!$D$2 ) * IF($D101="NJ",1.07,1))/$L$10, CHOOSE($M$10,$L$9,$M$9) )</f>
        <v xml:space="preserve"> 38.36 </v>
      </c>
      <c r="O101" s="112"/>
    </row>
    <row r="102" spans="2:15" x14ac:dyDescent="0.25">
      <c r="B102" s="108"/>
      <c r="C102" s="131">
        <f t="shared" si="1"/>
        <v>42309</v>
      </c>
      <c r="D102" s="132" t="s">
        <v>39</v>
      </c>
      <c r="E102" s="133" t="s">
        <v>40</v>
      </c>
      <c r="F102" s="132" t="s">
        <v>7</v>
      </c>
      <c r="G102" s="133" t="str">
        <f t="shared" si="2"/>
        <v>General Service Small</v>
      </c>
      <c r="H102" s="134" t="s">
        <v>62</v>
      </c>
      <c r="I102" s="173" t="str">
        <f>TEXT(   (SUMPRODUCT( ((Main!$H$9:$H$1000)=$E102)*((Main!$J$9:$J$1000)=$F102)*((Main!$O$9:$O$1000)=$C102)*(Main!R$9:R$1000) ) +  ( SUMPRODUCT( ((Adders!$D$13:$D$101)=$E102)*((Adders!$E$13:$E$101)=$F102)*(Adders!G$13:G$101)) + VLOOKUP($H102,Adders!$B$5:$G$8,L$11,FALSE)  +  MD!$D$2 ) * IF($D102="NJ",1.07,1))/$L$10, CHOOSE($M$10,$L$9,$M$9) )</f>
        <v xml:space="preserve"> 82.77 </v>
      </c>
      <c r="J102" s="173" t="str">
        <f>TEXT(   (SUMPRODUCT( ((Main!$H$9:$H$1000)=$E102)*((Main!$J$9:$J$1000)=$F102)*((Main!$O$9:$O$1000)=$C102)*(Main!S$9:S$1000) ) +  ( SUMPRODUCT( ((Adders!$D$13:$D$101)=$E102)*((Adders!$E$13:$E$101)=$F102)*(Adders!H$13:H$101)) + VLOOKUP($H102,Adders!$B$5:$G$8,M$11,FALSE)  +  MD!$D$2 ) * IF($D102="NJ",1.07,1))/$L$10, CHOOSE($M$10,$L$9,$M$9) )</f>
        <v xml:space="preserve"> 83.28 </v>
      </c>
      <c r="K102" s="174" t="str">
        <f>TEXT(   (SUMPRODUCT( ((Main!$H$9:$H$1000)=$E102)*((Main!$J$9:$J$1000)=$F102)*((Main!$O$9:$O$1000)=$C102)*(Main!T$9:T$1000) ) +  ( SUMPRODUCT( ((Adders!$D$13:$D$101)=$E102)*((Adders!$E$13:$E$101)=$F102)*(Adders!I$13:I$101)) + VLOOKUP($H102,Adders!$B$5:$G$8,$N$11,FALSE)  +  MD!$D$2 ) * IF($D102="NJ",1.07,1))/$L$10, CHOOSE($M$10,$L$9,$M$9) )</f>
        <v xml:space="preserve"> 81.94 </v>
      </c>
      <c r="L102" s="173" t="str">
        <f>TEXT(   (SUMPRODUCT( ((LMPMain!$H$9:$H$1000)=$E102)*((LMPMain!$J$9:$J$1000)=$F102)*((LMPMain!$O$9:$O$1000)=$C102)*(LMPMain!R$9:R$1000) ) +  ( SUMPRODUCT( ((Adders!$D$13:$D$101)=$E102)*((Adders!$E$13:$E$101)=$F102)*(Adders!G$13:G$101)) + VLOOKUP($H102,Adders!$B$5:$G$8,L$11,FALSE)  +  NJ!$D$2 ) * IF($D102="NJ",1.07,1))/$L$10, CHOOSE($M$10,$L$9,$M$9) )</f>
        <v xml:space="preserve"> 37.86 </v>
      </c>
      <c r="M102" s="173" t="str">
        <f>TEXT(   (SUMPRODUCT( ((LMPMain!$H$9:$H$1000)=$E102)*((LMPMain!$J$9:$J$1000)=$F102)*((LMPMain!$O$9:$O$1000)=$C102)*(LMPMain!S$9:S$1000) ) +  ( SUMPRODUCT( ((Adders!$D$13:$D$101)=$E102)*((Adders!$E$13:$E$101)=$F102)*(Adders!H$13:H$101)) + VLOOKUP($H102,Adders!$B$5:$G$8,M$11,FALSE)  +  NJ!$D$2 ) * IF($D102="NJ",1.07,1))/$L$10, CHOOSE($M$10,$L$9,$M$9) )</f>
        <v xml:space="preserve"> 37.47 </v>
      </c>
      <c r="N102" s="174" t="str">
        <f>TEXT(   (SUMPRODUCT( ((LMPMain!$H$9:$H$1000)=$E102)*((LMPMain!$J$9:$J$1000)=$F102)*((LMPMain!$O$9:$O$1000)=$C102)*(LMPMain!T$9:T$1000) ) +  ( SUMPRODUCT( ((Adders!$D$13:$D$101)=$E102)*((Adders!$E$13:$E$101)=$F102)*(Adders!I$13:I$101)) + VLOOKUP($H102,Adders!$B$5:$G$8,N$11,FALSE)  +  NJ!$D$2 ) * IF($D102="NJ",1.07,1))/$L$10, CHOOSE($M$10,$L$9,$M$9) )</f>
        <v xml:space="preserve"> 36.76 </v>
      </c>
      <c r="O102" s="112"/>
    </row>
    <row r="103" spans="2:15" x14ac:dyDescent="0.25">
      <c r="B103" s="108"/>
      <c r="C103" s="135">
        <f t="shared" si="1"/>
        <v>42309</v>
      </c>
      <c r="D103" s="136" t="s">
        <v>39</v>
      </c>
      <c r="E103" s="137" t="s">
        <v>40</v>
      </c>
      <c r="F103" s="136" t="s">
        <v>7</v>
      </c>
      <c r="G103" s="137" t="str">
        <f t="shared" si="2"/>
        <v>General Service Small</v>
      </c>
      <c r="H103" s="138" t="s">
        <v>690</v>
      </c>
      <c r="I103" s="176" t="str">
        <f>TEXT(   (SUMPRODUCT( ((Main!$H$9:$H$1000)=$E103)*((Main!$J$9:$J$1000)=$F103)*((Main!$O$9:$O$1000)=$C103)*(Main!R$9:R$1000) ) +  ( SUMPRODUCT( ((Adders!$D$13:$D$101)=$E103)*((Adders!$E$13:$E$101)=$F103)*(Adders!G$13:G$101)) + VLOOKUP($H103,Adders!$B$5:$G$8,L$11,FALSE)  +  MD!$D$2 ) * IF($D103="NJ",1.07,1))/$L$10, CHOOSE($M$10,$L$9,$M$9) )</f>
        <v xml:space="preserve"> 81.72 </v>
      </c>
      <c r="J103" s="176" t="str">
        <f>TEXT(   (SUMPRODUCT( ((Main!$H$9:$H$1000)=$E103)*((Main!$J$9:$J$1000)=$F103)*((Main!$O$9:$O$1000)=$C103)*(Main!S$9:S$1000) ) +  ( SUMPRODUCT( ((Adders!$D$13:$D$101)=$E103)*((Adders!$E$13:$E$101)=$F103)*(Adders!H$13:H$101)) + VLOOKUP($H103,Adders!$B$5:$G$8,M$11,FALSE)  +  MD!$D$2 ) * IF($D103="NJ",1.07,1))/$L$10, CHOOSE($M$10,$L$9,$M$9) )</f>
        <v xml:space="preserve"> 82.23 </v>
      </c>
      <c r="K103" s="177" t="str">
        <f>TEXT(   (SUMPRODUCT( ((Main!$H$9:$H$1000)=$E103)*((Main!$J$9:$J$1000)=$F103)*((Main!$O$9:$O$1000)=$C103)*(Main!T$9:T$1000) ) +  ( SUMPRODUCT( ((Adders!$D$13:$D$101)=$E103)*((Adders!$E$13:$E$101)=$F103)*(Adders!I$13:I$101)) + VLOOKUP($H103,Adders!$B$5:$G$8,$N$11,FALSE)  +  MD!$D$2 ) * IF($D103="NJ",1.07,1))/$L$10, CHOOSE($M$10,$L$9,$M$9) )</f>
        <v xml:space="preserve"> 80.89 </v>
      </c>
      <c r="L103" s="176" t="str">
        <f>TEXT(   (SUMPRODUCT( ((LMPMain!$H$9:$H$1000)=$E103)*((LMPMain!$J$9:$J$1000)=$F103)*((LMPMain!$O$9:$O$1000)=$C103)*(LMPMain!R$9:R$1000) ) +  ( SUMPRODUCT( ((Adders!$D$13:$D$101)=$E103)*((Adders!$E$13:$E$101)=$F103)*(Adders!G$13:G$101)) + VLOOKUP($H103,Adders!$B$5:$G$8,L$11,FALSE)  +  NJ!$D$2 ) * IF($D103="NJ",1.07,1))/$L$10, CHOOSE($M$10,$L$9,$M$9) )</f>
        <v xml:space="preserve"> 36.81 </v>
      </c>
      <c r="M103" s="176" t="str">
        <f>TEXT(   (SUMPRODUCT( ((LMPMain!$H$9:$H$1000)=$E103)*((LMPMain!$J$9:$J$1000)=$F103)*((LMPMain!$O$9:$O$1000)=$C103)*(LMPMain!S$9:S$1000) ) +  ( SUMPRODUCT( ((Adders!$D$13:$D$101)=$E103)*((Adders!$E$13:$E$101)=$F103)*(Adders!H$13:H$101)) + VLOOKUP($H103,Adders!$B$5:$G$8,M$11,FALSE)  +  NJ!$D$2 ) * IF($D103="NJ",1.07,1))/$L$10, CHOOSE($M$10,$L$9,$M$9) )</f>
        <v xml:space="preserve"> 36.42 </v>
      </c>
      <c r="N103" s="177" t="str">
        <f>TEXT(   (SUMPRODUCT( ((LMPMain!$H$9:$H$1000)=$E103)*((LMPMain!$J$9:$J$1000)=$F103)*((LMPMain!$O$9:$O$1000)=$C103)*(LMPMain!T$9:T$1000) ) +  ( SUMPRODUCT( ((Adders!$D$13:$D$101)=$E103)*((Adders!$E$13:$E$101)=$F103)*(Adders!I$13:I$101)) + VLOOKUP($H103,Adders!$B$5:$G$8,N$11,FALSE)  +  NJ!$D$2 ) * IF($D103="NJ",1.07,1))/$L$10, CHOOSE($M$10,$L$9,$M$9) )</f>
        <v xml:space="preserve"> 35.71 </v>
      </c>
      <c r="O103" s="112"/>
    </row>
    <row r="104" spans="2:15" x14ac:dyDescent="0.25">
      <c r="B104" s="108"/>
      <c r="C104" s="127">
        <f t="shared" si="1"/>
        <v>42339</v>
      </c>
      <c r="D104" s="128" t="s">
        <v>39</v>
      </c>
      <c r="E104" s="129" t="s">
        <v>40</v>
      </c>
      <c r="F104" s="128" t="s">
        <v>7</v>
      </c>
      <c r="G104" s="129" t="str">
        <f t="shared" si="2"/>
        <v>General Service Small</v>
      </c>
      <c r="H104" s="130" t="s">
        <v>61</v>
      </c>
      <c r="I104" s="178" t="str">
        <f>TEXT(   (SUMPRODUCT( ((Main!$H$9:$H$1000)=$E104)*((Main!$J$9:$J$1000)=$F104)*((Main!$O$9:$O$1000)=$C104)*(Main!R$9:R$1000) ) +  ( SUMPRODUCT( ((Adders!$D$13:$D$101)=$E104)*((Adders!$E$13:$E$101)=$F104)*(Adders!G$13:G$101)) + VLOOKUP($H104,Adders!$B$5:$G$8,L$11,FALSE)  +  MD!$D$2 ) * IF($D104="NJ",1.07,1))/$L$10, CHOOSE($M$10,$L$9,$M$9) )</f>
        <v xml:space="preserve"> 84.07 </v>
      </c>
      <c r="J104" s="178" t="str">
        <f>TEXT(   (SUMPRODUCT( ((Main!$H$9:$H$1000)=$E104)*((Main!$J$9:$J$1000)=$F104)*((Main!$O$9:$O$1000)=$C104)*(Main!S$9:S$1000) ) +  ( SUMPRODUCT( ((Adders!$D$13:$D$101)=$E104)*((Adders!$E$13:$E$101)=$F104)*(Adders!H$13:H$101)) + VLOOKUP($H104,Adders!$B$5:$G$8,M$11,FALSE)  +  MD!$D$2 ) * IF($D104="NJ",1.07,1))/$L$10, CHOOSE($M$10,$L$9,$M$9) )</f>
        <v xml:space="preserve"> 84.85 </v>
      </c>
      <c r="K104" s="179" t="str">
        <f>TEXT(   (SUMPRODUCT( ((Main!$H$9:$H$1000)=$E104)*((Main!$J$9:$J$1000)=$F104)*((Main!$O$9:$O$1000)=$C104)*(Main!T$9:T$1000) ) +  ( SUMPRODUCT( ((Adders!$D$13:$D$101)=$E104)*((Adders!$E$13:$E$101)=$F104)*(Adders!I$13:I$101)) + VLOOKUP($H104,Adders!$B$5:$G$8,$N$11,FALSE)  +  MD!$D$2 ) * IF($D104="NJ",1.07,1))/$L$10, CHOOSE($M$10,$L$9,$M$9) )</f>
        <v xml:space="preserve"> 83.37 </v>
      </c>
      <c r="L104" s="178" t="str">
        <f>TEXT(   (SUMPRODUCT( ((LMPMain!$H$9:$H$1000)=$E104)*((LMPMain!$J$9:$J$1000)=$F104)*((LMPMain!$O$9:$O$1000)=$C104)*(LMPMain!R$9:R$1000) ) +  ( SUMPRODUCT( ((Adders!$D$13:$D$101)=$E104)*((Adders!$E$13:$E$101)=$F104)*(Adders!G$13:G$101)) + VLOOKUP($H104,Adders!$B$5:$G$8,L$11,FALSE)  +  NJ!$D$2 ) * IF($D104="NJ",1.07,1))/$L$10, CHOOSE($M$10,$L$9,$M$9) )</f>
        <v xml:space="preserve"> 39.14 </v>
      </c>
      <c r="M104" s="178" t="str">
        <f>TEXT(   (SUMPRODUCT( ((LMPMain!$H$9:$H$1000)=$E104)*((LMPMain!$J$9:$J$1000)=$F104)*((LMPMain!$O$9:$O$1000)=$C104)*(LMPMain!S$9:S$1000) ) +  ( SUMPRODUCT( ((Adders!$D$13:$D$101)=$E104)*((Adders!$E$13:$E$101)=$F104)*(Adders!H$13:H$101)) + VLOOKUP($H104,Adders!$B$5:$G$8,M$11,FALSE)  +  NJ!$D$2 ) * IF($D104="NJ",1.07,1))/$L$10, CHOOSE($M$10,$L$9,$M$9) )</f>
        <v xml:space="preserve"> 38.95 </v>
      </c>
      <c r="N104" s="179" t="str">
        <f>TEXT(   (SUMPRODUCT( ((LMPMain!$H$9:$H$1000)=$E104)*((LMPMain!$J$9:$J$1000)=$F104)*((LMPMain!$O$9:$O$1000)=$C104)*(LMPMain!T$9:T$1000) ) +  ( SUMPRODUCT( ((Adders!$D$13:$D$101)=$E104)*((Adders!$E$13:$E$101)=$F104)*(Adders!I$13:I$101)) + VLOOKUP($H104,Adders!$B$5:$G$8,N$11,FALSE)  +  NJ!$D$2 ) * IF($D104="NJ",1.07,1))/$L$10, CHOOSE($M$10,$L$9,$M$9) )</f>
        <v xml:space="preserve"> 38.17 </v>
      </c>
      <c r="O104" s="112"/>
    </row>
    <row r="105" spans="2:15" x14ac:dyDescent="0.25">
      <c r="B105" s="108"/>
      <c r="C105" s="131">
        <f t="shared" si="1"/>
        <v>42339</v>
      </c>
      <c r="D105" s="132" t="s">
        <v>39</v>
      </c>
      <c r="E105" s="133" t="s">
        <v>40</v>
      </c>
      <c r="F105" s="132" t="s">
        <v>7</v>
      </c>
      <c r="G105" s="133" t="str">
        <f t="shared" si="2"/>
        <v>General Service Small</v>
      </c>
      <c r="H105" s="134" t="s">
        <v>62</v>
      </c>
      <c r="I105" s="173" t="str">
        <f>TEXT(   (SUMPRODUCT( ((Main!$H$9:$H$1000)=$E105)*((Main!$J$9:$J$1000)=$F105)*((Main!$O$9:$O$1000)=$C105)*(Main!R$9:R$1000) ) +  ( SUMPRODUCT( ((Adders!$D$13:$D$101)=$E105)*((Adders!$E$13:$E$101)=$F105)*(Adders!G$13:G$101)) + VLOOKUP($H105,Adders!$B$5:$G$8,L$11,FALSE)  +  MD!$D$2 ) * IF($D105="NJ",1.07,1))/$L$10, CHOOSE($M$10,$L$9,$M$9) )</f>
        <v xml:space="preserve"> 82.47 </v>
      </c>
      <c r="J105" s="173" t="str">
        <f>TEXT(   (SUMPRODUCT( ((Main!$H$9:$H$1000)=$E105)*((Main!$J$9:$J$1000)=$F105)*((Main!$O$9:$O$1000)=$C105)*(Main!S$9:S$1000) ) +  ( SUMPRODUCT( ((Adders!$D$13:$D$101)=$E105)*((Adders!$E$13:$E$101)=$F105)*(Adders!H$13:H$101)) + VLOOKUP($H105,Adders!$B$5:$G$8,M$11,FALSE)  +  MD!$D$2 ) * IF($D105="NJ",1.07,1))/$L$10, CHOOSE($M$10,$L$9,$M$9) )</f>
        <v xml:space="preserve"> 83.25 </v>
      </c>
      <c r="K105" s="174" t="str">
        <f>TEXT(   (SUMPRODUCT( ((Main!$H$9:$H$1000)=$E105)*((Main!$J$9:$J$1000)=$F105)*((Main!$O$9:$O$1000)=$C105)*(Main!T$9:T$1000) ) +  ( SUMPRODUCT( ((Adders!$D$13:$D$101)=$E105)*((Adders!$E$13:$E$101)=$F105)*(Adders!I$13:I$101)) + VLOOKUP($H105,Adders!$B$5:$G$8,$N$11,FALSE)  +  MD!$D$2 ) * IF($D105="NJ",1.07,1))/$L$10, CHOOSE($M$10,$L$9,$M$9) )</f>
        <v xml:space="preserve"> 81.77 </v>
      </c>
      <c r="L105" s="173" t="str">
        <f>TEXT(   (SUMPRODUCT( ((LMPMain!$H$9:$H$1000)=$E105)*((LMPMain!$J$9:$J$1000)=$F105)*((LMPMain!$O$9:$O$1000)=$C105)*(LMPMain!R$9:R$1000) ) +  ( SUMPRODUCT( ((Adders!$D$13:$D$101)=$E105)*((Adders!$E$13:$E$101)=$F105)*(Adders!G$13:G$101)) + VLOOKUP($H105,Adders!$B$5:$G$8,L$11,FALSE)  +  NJ!$D$2 ) * IF($D105="NJ",1.07,1))/$L$10, CHOOSE($M$10,$L$9,$M$9) )</f>
        <v xml:space="preserve"> 37.54 </v>
      </c>
      <c r="M105" s="173" t="str">
        <f>TEXT(   (SUMPRODUCT( ((LMPMain!$H$9:$H$1000)=$E105)*((LMPMain!$J$9:$J$1000)=$F105)*((LMPMain!$O$9:$O$1000)=$C105)*(LMPMain!S$9:S$1000) ) +  ( SUMPRODUCT( ((Adders!$D$13:$D$101)=$E105)*((Adders!$E$13:$E$101)=$F105)*(Adders!H$13:H$101)) + VLOOKUP($H105,Adders!$B$5:$G$8,M$11,FALSE)  +  NJ!$D$2 ) * IF($D105="NJ",1.07,1))/$L$10, CHOOSE($M$10,$L$9,$M$9) )</f>
        <v xml:space="preserve"> 37.35 </v>
      </c>
      <c r="N105" s="174" t="str">
        <f>TEXT(   (SUMPRODUCT( ((LMPMain!$H$9:$H$1000)=$E105)*((LMPMain!$J$9:$J$1000)=$F105)*((LMPMain!$O$9:$O$1000)=$C105)*(LMPMain!T$9:T$1000) ) +  ( SUMPRODUCT( ((Adders!$D$13:$D$101)=$E105)*((Adders!$E$13:$E$101)=$F105)*(Adders!I$13:I$101)) + VLOOKUP($H105,Adders!$B$5:$G$8,N$11,FALSE)  +  NJ!$D$2 ) * IF($D105="NJ",1.07,1))/$L$10, CHOOSE($M$10,$L$9,$M$9) )</f>
        <v xml:space="preserve"> 36.57 </v>
      </c>
      <c r="O105" s="112"/>
    </row>
    <row r="106" spans="2:15" x14ac:dyDescent="0.25">
      <c r="B106" s="108"/>
      <c r="C106" s="135">
        <f t="shared" si="1"/>
        <v>42339</v>
      </c>
      <c r="D106" s="136" t="s">
        <v>39</v>
      </c>
      <c r="E106" s="137" t="s">
        <v>40</v>
      </c>
      <c r="F106" s="136" t="s">
        <v>7</v>
      </c>
      <c r="G106" s="137" t="str">
        <f t="shared" si="2"/>
        <v>General Service Small</v>
      </c>
      <c r="H106" s="138" t="s">
        <v>690</v>
      </c>
      <c r="I106" s="176" t="str">
        <f>TEXT(   (SUMPRODUCT( ((Main!$H$9:$H$1000)=$E106)*((Main!$J$9:$J$1000)=$F106)*((Main!$O$9:$O$1000)=$C106)*(Main!R$9:R$1000) ) +  ( SUMPRODUCT( ((Adders!$D$13:$D$101)=$E106)*((Adders!$E$13:$E$101)=$F106)*(Adders!G$13:G$101)) + VLOOKUP($H106,Adders!$B$5:$G$8,L$11,FALSE)  +  MD!$D$2 ) * IF($D106="NJ",1.07,1))/$L$10, CHOOSE($M$10,$L$9,$M$9) )</f>
        <v xml:space="preserve"> 81.42 </v>
      </c>
      <c r="J106" s="176" t="str">
        <f>TEXT(   (SUMPRODUCT( ((Main!$H$9:$H$1000)=$E106)*((Main!$J$9:$J$1000)=$F106)*((Main!$O$9:$O$1000)=$C106)*(Main!S$9:S$1000) ) +  ( SUMPRODUCT( ((Adders!$D$13:$D$101)=$E106)*((Adders!$E$13:$E$101)=$F106)*(Adders!H$13:H$101)) + VLOOKUP($H106,Adders!$B$5:$G$8,M$11,FALSE)  +  MD!$D$2 ) * IF($D106="NJ",1.07,1))/$L$10, CHOOSE($M$10,$L$9,$M$9) )</f>
        <v xml:space="preserve"> 82.20 </v>
      </c>
      <c r="K106" s="177" t="str">
        <f>TEXT(   (SUMPRODUCT( ((Main!$H$9:$H$1000)=$E106)*((Main!$J$9:$J$1000)=$F106)*((Main!$O$9:$O$1000)=$C106)*(Main!T$9:T$1000) ) +  ( SUMPRODUCT( ((Adders!$D$13:$D$101)=$E106)*((Adders!$E$13:$E$101)=$F106)*(Adders!I$13:I$101)) + VLOOKUP($H106,Adders!$B$5:$G$8,$N$11,FALSE)  +  MD!$D$2 ) * IF($D106="NJ",1.07,1))/$L$10, CHOOSE($M$10,$L$9,$M$9) )</f>
        <v xml:space="preserve"> 80.72 </v>
      </c>
      <c r="L106" s="176" t="str">
        <f>TEXT(   (SUMPRODUCT( ((LMPMain!$H$9:$H$1000)=$E106)*((LMPMain!$J$9:$J$1000)=$F106)*((LMPMain!$O$9:$O$1000)=$C106)*(LMPMain!R$9:R$1000) ) +  ( SUMPRODUCT( ((Adders!$D$13:$D$101)=$E106)*((Adders!$E$13:$E$101)=$F106)*(Adders!G$13:G$101)) + VLOOKUP($H106,Adders!$B$5:$G$8,L$11,FALSE)  +  NJ!$D$2 ) * IF($D106="NJ",1.07,1))/$L$10, CHOOSE($M$10,$L$9,$M$9) )</f>
        <v xml:space="preserve"> 36.49 </v>
      </c>
      <c r="M106" s="176" t="str">
        <f>TEXT(   (SUMPRODUCT( ((LMPMain!$H$9:$H$1000)=$E106)*((LMPMain!$J$9:$J$1000)=$F106)*((LMPMain!$O$9:$O$1000)=$C106)*(LMPMain!S$9:S$1000) ) +  ( SUMPRODUCT( ((Adders!$D$13:$D$101)=$E106)*((Adders!$E$13:$E$101)=$F106)*(Adders!H$13:H$101)) + VLOOKUP($H106,Adders!$B$5:$G$8,M$11,FALSE)  +  NJ!$D$2 ) * IF($D106="NJ",1.07,1))/$L$10, CHOOSE($M$10,$L$9,$M$9) )</f>
        <v xml:space="preserve"> 36.30 </v>
      </c>
      <c r="N106" s="177" t="str">
        <f>TEXT(   (SUMPRODUCT( ((LMPMain!$H$9:$H$1000)=$E106)*((LMPMain!$J$9:$J$1000)=$F106)*((LMPMain!$O$9:$O$1000)=$C106)*(LMPMain!T$9:T$1000) ) +  ( SUMPRODUCT( ((Adders!$D$13:$D$101)=$E106)*((Adders!$E$13:$E$101)=$F106)*(Adders!I$13:I$101)) + VLOOKUP($H106,Adders!$B$5:$G$8,N$11,FALSE)  +  NJ!$D$2 ) * IF($D106="NJ",1.07,1))/$L$10, CHOOSE($M$10,$L$9,$M$9) )</f>
        <v xml:space="preserve"> 35.52 </v>
      </c>
      <c r="O106" s="112"/>
    </row>
    <row r="107" spans="2:15" x14ac:dyDescent="0.25">
      <c r="B107" s="108"/>
      <c r="C107" s="127">
        <f t="shared" si="1"/>
        <v>42370</v>
      </c>
      <c r="D107" s="128" t="s">
        <v>39</v>
      </c>
      <c r="E107" s="129" t="s">
        <v>40</v>
      </c>
      <c r="F107" s="128" t="s">
        <v>7</v>
      </c>
      <c r="G107" s="129" t="str">
        <f t="shared" si="2"/>
        <v>General Service Small</v>
      </c>
      <c r="H107" s="130" t="s">
        <v>61</v>
      </c>
      <c r="I107" s="178" t="str">
        <f>TEXT(   (SUMPRODUCT( ((Main!$H$9:$H$1000)=$E107)*((Main!$J$9:$J$1000)=$F107)*((Main!$O$9:$O$1000)=$C107)*(Main!R$9:R$1000) ) +  ( SUMPRODUCT( ((Adders!$D$13:$D$101)=$E107)*((Adders!$E$13:$E$101)=$F107)*(Adders!G$13:G$101)) + VLOOKUP($H107,Adders!$B$5:$G$8,L$11,FALSE)  +  MD!$D$2 ) * IF($D107="NJ",1.07,1))/$L$10, CHOOSE($M$10,$L$9,$M$9) )</f>
        <v xml:space="preserve"> 83.48 </v>
      </c>
      <c r="J107" s="178" t="str">
        <f>TEXT(   (SUMPRODUCT( ((Main!$H$9:$H$1000)=$E107)*((Main!$J$9:$J$1000)=$F107)*((Main!$O$9:$O$1000)=$C107)*(Main!S$9:S$1000) ) +  ( SUMPRODUCT( ((Adders!$D$13:$D$101)=$E107)*((Adders!$E$13:$E$101)=$F107)*(Adders!H$13:H$101)) + VLOOKUP($H107,Adders!$B$5:$G$8,M$11,FALSE)  +  MD!$D$2 ) * IF($D107="NJ",1.07,1))/$L$10, CHOOSE($M$10,$L$9,$M$9) )</f>
        <v xml:space="preserve"> 84.50 </v>
      </c>
      <c r="K107" s="179" t="str">
        <f>TEXT(   (SUMPRODUCT( ((Main!$H$9:$H$1000)=$E107)*((Main!$J$9:$J$1000)=$F107)*((Main!$O$9:$O$1000)=$C107)*(Main!T$9:T$1000) ) +  ( SUMPRODUCT( ((Adders!$D$13:$D$101)=$E107)*((Adders!$E$13:$E$101)=$F107)*(Adders!I$13:I$101)) + VLOOKUP($H107,Adders!$B$5:$G$8,$N$11,FALSE)  +  MD!$D$2 ) * IF($D107="NJ",1.07,1))/$L$10, CHOOSE($M$10,$L$9,$M$9) )</f>
        <v xml:space="preserve"> 83.07 </v>
      </c>
      <c r="L107" s="178" t="str">
        <f>TEXT(   (SUMPRODUCT( ((LMPMain!$H$9:$H$1000)=$E107)*((LMPMain!$J$9:$J$1000)=$F107)*((LMPMain!$O$9:$O$1000)=$C107)*(LMPMain!R$9:R$1000) ) +  ( SUMPRODUCT( ((Adders!$D$13:$D$101)=$E107)*((Adders!$E$13:$E$101)=$F107)*(Adders!G$13:G$101)) + VLOOKUP($H107,Adders!$B$5:$G$8,L$11,FALSE)  +  NJ!$D$2 ) * IF($D107="NJ",1.07,1))/$L$10, CHOOSE($M$10,$L$9,$M$9) )</f>
        <v xml:space="preserve"> 38.80 </v>
      </c>
      <c r="M107" s="178" t="str">
        <f>TEXT(   (SUMPRODUCT( ((LMPMain!$H$9:$H$1000)=$E107)*((LMPMain!$J$9:$J$1000)=$F107)*((LMPMain!$O$9:$O$1000)=$C107)*(LMPMain!S$9:S$1000) ) +  ( SUMPRODUCT( ((Adders!$D$13:$D$101)=$E107)*((Adders!$E$13:$E$101)=$F107)*(Adders!H$13:H$101)) + VLOOKUP($H107,Adders!$B$5:$G$8,M$11,FALSE)  +  NJ!$D$2 ) * IF($D107="NJ",1.07,1))/$L$10, CHOOSE($M$10,$L$9,$M$9) )</f>
        <v xml:space="preserve"> 38.70 </v>
      </c>
      <c r="N107" s="179" t="str">
        <f>TEXT(   (SUMPRODUCT( ((LMPMain!$H$9:$H$1000)=$E107)*((LMPMain!$J$9:$J$1000)=$F107)*((LMPMain!$O$9:$O$1000)=$C107)*(LMPMain!T$9:T$1000) ) +  ( SUMPRODUCT( ((Adders!$D$13:$D$101)=$E107)*((Adders!$E$13:$E$101)=$F107)*(Adders!I$13:I$101)) + VLOOKUP($H107,Adders!$B$5:$G$8,N$11,FALSE)  +  NJ!$D$2 ) * IF($D107="NJ",1.07,1))/$L$10, CHOOSE($M$10,$L$9,$M$9) )</f>
        <v xml:space="preserve"> 37.99 </v>
      </c>
      <c r="O107" s="112"/>
    </row>
    <row r="108" spans="2:15" x14ac:dyDescent="0.25">
      <c r="B108" s="108"/>
      <c r="C108" s="131">
        <f t="shared" si="1"/>
        <v>42370</v>
      </c>
      <c r="D108" s="132" t="s">
        <v>39</v>
      </c>
      <c r="E108" s="133" t="s">
        <v>40</v>
      </c>
      <c r="F108" s="132" t="s">
        <v>7</v>
      </c>
      <c r="G108" s="133" t="str">
        <f t="shared" si="2"/>
        <v>General Service Small</v>
      </c>
      <c r="H108" s="134" t="s">
        <v>62</v>
      </c>
      <c r="I108" s="173" t="str">
        <f>TEXT(   (SUMPRODUCT( ((Main!$H$9:$H$1000)=$E108)*((Main!$J$9:$J$1000)=$F108)*((Main!$O$9:$O$1000)=$C108)*(Main!R$9:R$1000) ) +  ( SUMPRODUCT( ((Adders!$D$13:$D$101)=$E108)*((Adders!$E$13:$E$101)=$F108)*(Adders!G$13:G$101)) + VLOOKUP($H108,Adders!$B$5:$G$8,L$11,FALSE)  +  MD!$D$2 ) * IF($D108="NJ",1.07,1))/$L$10, CHOOSE($M$10,$L$9,$M$9) )</f>
        <v xml:space="preserve"> 81.88 </v>
      </c>
      <c r="J108" s="173" t="str">
        <f>TEXT(   (SUMPRODUCT( ((Main!$H$9:$H$1000)=$E108)*((Main!$J$9:$J$1000)=$F108)*((Main!$O$9:$O$1000)=$C108)*(Main!S$9:S$1000) ) +  ( SUMPRODUCT( ((Adders!$D$13:$D$101)=$E108)*((Adders!$E$13:$E$101)=$F108)*(Adders!H$13:H$101)) + VLOOKUP($H108,Adders!$B$5:$G$8,M$11,FALSE)  +  MD!$D$2 ) * IF($D108="NJ",1.07,1))/$L$10, CHOOSE($M$10,$L$9,$M$9) )</f>
        <v xml:space="preserve"> 82.90 </v>
      </c>
      <c r="K108" s="174" t="str">
        <f>TEXT(   (SUMPRODUCT( ((Main!$H$9:$H$1000)=$E108)*((Main!$J$9:$J$1000)=$F108)*((Main!$O$9:$O$1000)=$C108)*(Main!T$9:T$1000) ) +  ( SUMPRODUCT( ((Adders!$D$13:$D$101)=$E108)*((Adders!$E$13:$E$101)=$F108)*(Adders!I$13:I$101)) + VLOOKUP($H108,Adders!$B$5:$G$8,$N$11,FALSE)  +  MD!$D$2 ) * IF($D108="NJ",1.07,1))/$L$10, CHOOSE($M$10,$L$9,$M$9) )</f>
        <v xml:space="preserve"> 81.47 </v>
      </c>
      <c r="L108" s="173" t="str">
        <f>TEXT(   (SUMPRODUCT( ((LMPMain!$H$9:$H$1000)=$E108)*((LMPMain!$J$9:$J$1000)=$F108)*((LMPMain!$O$9:$O$1000)=$C108)*(LMPMain!R$9:R$1000) ) +  ( SUMPRODUCT( ((Adders!$D$13:$D$101)=$E108)*((Adders!$E$13:$E$101)=$F108)*(Adders!G$13:G$101)) + VLOOKUP($H108,Adders!$B$5:$G$8,L$11,FALSE)  +  NJ!$D$2 ) * IF($D108="NJ",1.07,1))/$L$10, CHOOSE($M$10,$L$9,$M$9) )</f>
        <v xml:space="preserve"> 37.20 </v>
      </c>
      <c r="M108" s="173" t="str">
        <f>TEXT(   (SUMPRODUCT( ((LMPMain!$H$9:$H$1000)=$E108)*((LMPMain!$J$9:$J$1000)=$F108)*((LMPMain!$O$9:$O$1000)=$C108)*(LMPMain!S$9:S$1000) ) +  ( SUMPRODUCT( ((Adders!$D$13:$D$101)=$E108)*((Adders!$E$13:$E$101)=$F108)*(Adders!H$13:H$101)) + VLOOKUP($H108,Adders!$B$5:$G$8,M$11,FALSE)  +  NJ!$D$2 ) * IF($D108="NJ",1.07,1))/$L$10, CHOOSE($M$10,$L$9,$M$9) )</f>
        <v xml:space="preserve"> 37.10 </v>
      </c>
      <c r="N108" s="174" t="str">
        <f>TEXT(   (SUMPRODUCT( ((LMPMain!$H$9:$H$1000)=$E108)*((LMPMain!$J$9:$J$1000)=$F108)*((LMPMain!$O$9:$O$1000)=$C108)*(LMPMain!T$9:T$1000) ) +  ( SUMPRODUCT( ((Adders!$D$13:$D$101)=$E108)*((Adders!$E$13:$E$101)=$F108)*(Adders!I$13:I$101)) + VLOOKUP($H108,Adders!$B$5:$G$8,N$11,FALSE)  +  NJ!$D$2 ) * IF($D108="NJ",1.07,1))/$L$10, CHOOSE($M$10,$L$9,$M$9) )</f>
        <v xml:space="preserve"> 36.39 </v>
      </c>
      <c r="O108" s="112"/>
    </row>
    <row r="109" spans="2:15" x14ac:dyDescent="0.25">
      <c r="B109" s="108"/>
      <c r="C109" s="135">
        <f t="shared" si="1"/>
        <v>42370</v>
      </c>
      <c r="D109" s="136" t="s">
        <v>39</v>
      </c>
      <c r="E109" s="137" t="s">
        <v>40</v>
      </c>
      <c r="F109" s="136" t="s">
        <v>7</v>
      </c>
      <c r="G109" s="137" t="str">
        <f t="shared" si="2"/>
        <v>General Service Small</v>
      </c>
      <c r="H109" s="138" t="s">
        <v>690</v>
      </c>
      <c r="I109" s="176" t="str">
        <f>TEXT(   (SUMPRODUCT( ((Main!$H$9:$H$1000)=$E109)*((Main!$J$9:$J$1000)=$F109)*((Main!$O$9:$O$1000)=$C109)*(Main!R$9:R$1000) ) +  ( SUMPRODUCT( ((Adders!$D$13:$D$101)=$E109)*((Adders!$E$13:$E$101)=$F109)*(Adders!G$13:G$101)) + VLOOKUP($H109,Adders!$B$5:$G$8,L$11,FALSE)  +  MD!$D$2 ) * IF($D109="NJ",1.07,1))/$L$10, CHOOSE($M$10,$L$9,$M$9) )</f>
        <v xml:space="preserve"> 80.83 </v>
      </c>
      <c r="J109" s="176" t="str">
        <f>TEXT(   (SUMPRODUCT( ((Main!$H$9:$H$1000)=$E109)*((Main!$J$9:$J$1000)=$F109)*((Main!$O$9:$O$1000)=$C109)*(Main!S$9:S$1000) ) +  ( SUMPRODUCT( ((Adders!$D$13:$D$101)=$E109)*((Adders!$E$13:$E$101)=$F109)*(Adders!H$13:H$101)) + VLOOKUP($H109,Adders!$B$5:$G$8,M$11,FALSE)  +  MD!$D$2 ) * IF($D109="NJ",1.07,1))/$L$10, CHOOSE($M$10,$L$9,$M$9) )</f>
        <v xml:space="preserve"> 81.85 </v>
      </c>
      <c r="K109" s="177" t="str">
        <f>TEXT(   (SUMPRODUCT( ((Main!$H$9:$H$1000)=$E109)*((Main!$J$9:$J$1000)=$F109)*((Main!$O$9:$O$1000)=$C109)*(Main!T$9:T$1000) ) +  ( SUMPRODUCT( ((Adders!$D$13:$D$101)=$E109)*((Adders!$E$13:$E$101)=$F109)*(Adders!I$13:I$101)) + VLOOKUP($H109,Adders!$B$5:$G$8,$N$11,FALSE)  +  MD!$D$2 ) * IF($D109="NJ",1.07,1))/$L$10, CHOOSE($M$10,$L$9,$M$9) )</f>
        <v xml:space="preserve"> 80.42 </v>
      </c>
      <c r="L109" s="176" t="str">
        <f>TEXT(   (SUMPRODUCT( ((LMPMain!$H$9:$H$1000)=$E109)*((LMPMain!$J$9:$J$1000)=$F109)*((LMPMain!$O$9:$O$1000)=$C109)*(LMPMain!R$9:R$1000) ) +  ( SUMPRODUCT( ((Adders!$D$13:$D$101)=$E109)*((Adders!$E$13:$E$101)=$F109)*(Adders!G$13:G$101)) + VLOOKUP($H109,Adders!$B$5:$G$8,L$11,FALSE)  +  NJ!$D$2 ) * IF($D109="NJ",1.07,1))/$L$10, CHOOSE($M$10,$L$9,$M$9) )</f>
        <v xml:space="preserve"> 36.15 </v>
      </c>
      <c r="M109" s="176" t="str">
        <f>TEXT(   (SUMPRODUCT( ((LMPMain!$H$9:$H$1000)=$E109)*((LMPMain!$J$9:$J$1000)=$F109)*((LMPMain!$O$9:$O$1000)=$C109)*(LMPMain!S$9:S$1000) ) +  ( SUMPRODUCT( ((Adders!$D$13:$D$101)=$E109)*((Adders!$E$13:$E$101)=$F109)*(Adders!H$13:H$101)) + VLOOKUP($H109,Adders!$B$5:$G$8,M$11,FALSE)  +  NJ!$D$2 ) * IF($D109="NJ",1.07,1))/$L$10, CHOOSE($M$10,$L$9,$M$9) )</f>
        <v xml:space="preserve"> 36.05 </v>
      </c>
      <c r="N109" s="177" t="str">
        <f>TEXT(   (SUMPRODUCT( ((LMPMain!$H$9:$H$1000)=$E109)*((LMPMain!$J$9:$J$1000)=$F109)*((LMPMain!$O$9:$O$1000)=$C109)*(LMPMain!T$9:T$1000) ) +  ( SUMPRODUCT( ((Adders!$D$13:$D$101)=$E109)*((Adders!$E$13:$E$101)=$F109)*(Adders!I$13:I$101)) + VLOOKUP($H109,Adders!$B$5:$G$8,N$11,FALSE)  +  NJ!$D$2 ) * IF($D109="NJ",1.07,1))/$L$10, CHOOSE($M$10,$L$9,$M$9) )</f>
        <v xml:space="preserve"> 35.34 </v>
      </c>
      <c r="O109" s="112"/>
    </row>
    <row r="110" spans="2:15" x14ac:dyDescent="0.25">
      <c r="B110" s="108"/>
      <c r="C110" s="127">
        <f t="shared" si="1"/>
        <v>42401</v>
      </c>
      <c r="D110" s="128" t="s">
        <v>39</v>
      </c>
      <c r="E110" s="129" t="s">
        <v>40</v>
      </c>
      <c r="F110" s="128" t="s">
        <v>7</v>
      </c>
      <c r="G110" s="129" t="str">
        <f t="shared" si="2"/>
        <v>General Service Small</v>
      </c>
      <c r="H110" s="130" t="s">
        <v>61</v>
      </c>
      <c r="I110" s="178" t="str">
        <f>TEXT(   (SUMPRODUCT( ((Main!$H$9:$H$1000)=$E110)*((Main!$J$9:$J$1000)=$F110)*((Main!$O$9:$O$1000)=$C110)*(Main!R$9:R$1000) ) +  ( SUMPRODUCT( ((Adders!$D$13:$D$101)=$E110)*((Adders!$E$13:$E$101)=$F110)*(Adders!G$13:G$101)) + VLOOKUP($H110,Adders!$B$5:$G$8,L$11,FALSE)  +  MD!$D$2 ) * IF($D110="NJ",1.07,1))/$L$10, CHOOSE($M$10,$L$9,$M$9) )</f>
        <v xml:space="preserve"> 83.26 </v>
      </c>
      <c r="J110" s="178" t="str">
        <f>TEXT(   (SUMPRODUCT( ((Main!$H$9:$H$1000)=$E110)*((Main!$J$9:$J$1000)=$F110)*((Main!$O$9:$O$1000)=$C110)*(Main!S$9:S$1000) ) +  ( SUMPRODUCT( ((Adders!$D$13:$D$101)=$E110)*((Adders!$E$13:$E$101)=$F110)*(Adders!H$13:H$101)) + VLOOKUP($H110,Adders!$B$5:$G$8,M$11,FALSE)  +  MD!$D$2 ) * IF($D110="NJ",1.07,1))/$L$10, CHOOSE($M$10,$L$9,$M$9) )</f>
        <v xml:space="preserve"> 83.55 </v>
      </c>
      <c r="K110" s="179" t="str">
        <f>TEXT(   (SUMPRODUCT( ((Main!$H$9:$H$1000)=$E110)*((Main!$J$9:$J$1000)=$F110)*((Main!$O$9:$O$1000)=$C110)*(Main!T$9:T$1000) ) +  ( SUMPRODUCT( ((Adders!$D$13:$D$101)=$E110)*((Adders!$E$13:$E$101)=$F110)*(Adders!I$13:I$101)) + VLOOKUP($H110,Adders!$B$5:$G$8,$N$11,FALSE)  +  MD!$D$2 ) * IF($D110="NJ",1.07,1))/$L$10, CHOOSE($M$10,$L$9,$M$9) )</f>
        <v xml:space="preserve"> 83.08 </v>
      </c>
      <c r="L110" s="178" t="str">
        <f>TEXT(   (SUMPRODUCT( ((LMPMain!$H$9:$H$1000)=$E110)*((LMPMain!$J$9:$J$1000)=$F110)*((LMPMain!$O$9:$O$1000)=$C110)*(LMPMain!R$9:R$1000) ) +  ( SUMPRODUCT( ((Adders!$D$13:$D$101)=$E110)*((Adders!$E$13:$E$101)=$F110)*(Adders!G$13:G$101)) + VLOOKUP($H110,Adders!$B$5:$G$8,L$11,FALSE)  +  NJ!$D$2 ) * IF($D110="NJ",1.07,1))/$L$10, CHOOSE($M$10,$L$9,$M$9) )</f>
        <v xml:space="preserve"> 38.42 </v>
      </c>
      <c r="M110" s="178" t="str">
        <f>TEXT(   (SUMPRODUCT( ((LMPMain!$H$9:$H$1000)=$E110)*((LMPMain!$J$9:$J$1000)=$F110)*((LMPMain!$O$9:$O$1000)=$C110)*(LMPMain!S$9:S$1000) ) +  ( SUMPRODUCT( ((Adders!$D$13:$D$101)=$E110)*((Adders!$E$13:$E$101)=$F110)*(Adders!H$13:H$101)) + VLOOKUP($H110,Adders!$B$5:$G$8,M$11,FALSE)  +  NJ!$D$2 ) * IF($D110="NJ",1.07,1))/$L$10, CHOOSE($M$10,$L$9,$M$9) )</f>
        <v xml:space="preserve"> 38.22 </v>
      </c>
      <c r="N110" s="179" t="str">
        <f>TEXT(   (SUMPRODUCT( ((LMPMain!$H$9:$H$1000)=$E110)*((LMPMain!$J$9:$J$1000)=$F110)*((LMPMain!$O$9:$O$1000)=$C110)*(LMPMain!T$9:T$1000) ) +  ( SUMPRODUCT( ((Adders!$D$13:$D$101)=$E110)*((Adders!$E$13:$E$101)=$F110)*(Adders!I$13:I$101)) + VLOOKUP($H110,Adders!$B$5:$G$8,N$11,FALSE)  +  NJ!$D$2 ) * IF($D110="NJ",1.07,1))/$L$10, CHOOSE($M$10,$L$9,$M$9) )</f>
        <v xml:space="preserve"> 37.87 </v>
      </c>
      <c r="O110" s="112"/>
    </row>
    <row r="111" spans="2:15" x14ac:dyDescent="0.25">
      <c r="B111" s="108"/>
      <c r="C111" s="131">
        <f t="shared" si="1"/>
        <v>42401</v>
      </c>
      <c r="D111" s="132" t="s">
        <v>39</v>
      </c>
      <c r="E111" s="133" t="s">
        <v>40</v>
      </c>
      <c r="F111" s="132" t="s">
        <v>7</v>
      </c>
      <c r="G111" s="133" t="str">
        <f t="shared" si="2"/>
        <v>General Service Small</v>
      </c>
      <c r="H111" s="134" t="s">
        <v>62</v>
      </c>
      <c r="I111" s="173" t="str">
        <f>TEXT(   (SUMPRODUCT( ((Main!$H$9:$H$1000)=$E111)*((Main!$J$9:$J$1000)=$F111)*((Main!$O$9:$O$1000)=$C111)*(Main!R$9:R$1000) ) +  ( SUMPRODUCT( ((Adders!$D$13:$D$101)=$E111)*((Adders!$E$13:$E$101)=$F111)*(Adders!G$13:G$101)) + VLOOKUP($H111,Adders!$B$5:$G$8,L$11,FALSE)  +  MD!$D$2 ) * IF($D111="NJ",1.07,1))/$L$10, CHOOSE($M$10,$L$9,$M$9) )</f>
        <v xml:space="preserve"> 81.66 </v>
      </c>
      <c r="J111" s="173" t="str">
        <f>TEXT(   (SUMPRODUCT( ((Main!$H$9:$H$1000)=$E111)*((Main!$J$9:$J$1000)=$F111)*((Main!$O$9:$O$1000)=$C111)*(Main!S$9:S$1000) ) +  ( SUMPRODUCT( ((Adders!$D$13:$D$101)=$E111)*((Adders!$E$13:$E$101)=$F111)*(Adders!H$13:H$101)) + VLOOKUP($H111,Adders!$B$5:$G$8,M$11,FALSE)  +  MD!$D$2 ) * IF($D111="NJ",1.07,1))/$L$10, CHOOSE($M$10,$L$9,$M$9) )</f>
        <v xml:space="preserve"> 81.95 </v>
      </c>
      <c r="K111" s="174" t="str">
        <f>TEXT(   (SUMPRODUCT( ((Main!$H$9:$H$1000)=$E111)*((Main!$J$9:$J$1000)=$F111)*((Main!$O$9:$O$1000)=$C111)*(Main!T$9:T$1000) ) +  ( SUMPRODUCT( ((Adders!$D$13:$D$101)=$E111)*((Adders!$E$13:$E$101)=$F111)*(Adders!I$13:I$101)) + VLOOKUP($H111,Adders!$B$5:$G$8,$N$11,FALSE)  +  MD!$D$2 ) * IF($D111="NJ",1.07,1))/$L$10, CHOOSE($M$10,$L$9,$M$9) )</f>
        <v xml:space="preserve"> 81.48 </v>
      </c>
      <c r="L111" s="173" t="str">
        <f>TEXT(   (SUMPRODUCT( ((LMPMain!$H$9:$H$1000)=$E111)*((LMPMain!$J$9:$J$1000)=$F111)*((LMPMain!$O$9:$O$1000)=$C111)*(LMPMain!R$9:R$1000) ) +  ( SUMPRODUCT( ((Adders!$D$13:$D$101)=$E111)*((Adders!$E$13:$E$101)=$F111)*(Adders!G$13:G$101)) + VLOOKUP($H111,Adders!$B$5:$G$8,L$11,FALSE)  +  NJ!$D$2 ) * IF($D111="NJ",1.07,1))/$L$10, CHOOSE($M$10,$L$9,$M$9) )</f>
        <v xml:space="preserve"> 36.82 </v>
      </c>
      <c r="M111" s="173" t="str">
        <f>TEXT(   (SUMPRODUCT( ((LMPMain!$H$9:$H$1000)=$E111)*((LMPMain!$J$9:$J$1000)=$F111)*((LMPMain!$O$9:$O$1000)=$C111)*(LMPMain!S$9:S$1000) ) +  ( SUMPRODUCT( ((Adders!$D$13:$D$101)=$E111)*((Adders!$E$13:$E$101)=$F111)*(Adders!H$13:H$101)) + VLOOKUP($H111,Adders!$B$5:$G$8,M$11,FALSE)  +  NJ!$D$2 ) * IF($D111="NJ",1.07,1))/$L$10, CHOOSE($M$10,$L$9,$M$9) )</f>
        <v xml:space="preserve"> 36.62 </v>
      </c>
      <c r="N111" s="174" t="str">
        <f>TEXT(   (SUMPRODUCT( ((LMPMain!$H$9:$H$1000)=$E111)*((LMPMain!$J$9:$J$1000)=$F111)*((LMPMain!$O$9:$O$1000)=$C111)*(LMPMain!T$9:T$1000) ) +  ( SUMPRODUCT( ((Adders!$D$13:$D$101)=$E111)*((Adders!$E$13:$E$101)=$F111)*(Adders!I$13:I$101)) + VLOOKUP($H111,Adders!$B$5:$G$8,N$11,FALSE)  +  NJ!$D$2 ) * IF($D111="NJ",1.07,1))/$L$10, CHOOSE($M$10,$L$9,$M$9) )</f>
        <v xml:space="preserve"> 36.27 </v>
      </c>
      <c r="O111" s="112"/>
    </row>
    <row r="112" spans="2:15" x14ac:dyDescent="0.25">
      <c r="B112" s="108"/>
      <c r="C112" s="135">
        <f t="shared" si="1"/>
        <v>42401</v>
      </c>
      <c r="D112" s="136" t="s">
        <v>39</v>
      </c>
      <c r="E112" s="137" t="s">
        <v>40</v>
      </c>
      <c r="F112" s="136" t="s">
        <v>7</v>
      </c>
      <c r="G112" s="137" t="str">
        <f t="shared" si="2"/>
        <v>General Service Small</v>
      </c>
      <c r="H112" s="138" t="s">
        <v>690</v>
      </c>
      <c r="I112" s="176" t="str">
        <f>TEXT(   (SUMPRODUCT( ((Main!$H$9:$H$1000)=$E112)*((Main!$J$9:$J$1000)=$F112)*((Main!$O$9:$O$1000)=$C112)*(Main!R$9:R$1000) ) +  ( SUMPRODUCT( ((Adders!$D$13:$D$101)=$E112)*((Adders!$E$13:$E$101)=$F112)*(Adders!G$13:G$101)) + VLOOKUP($H112,Adders!$B$5:$G$8,L$11,FALSE)  +  MD!$D$2 ) * IF($D112="NJ",1.07,1))/$L$10, CHOOSE($M$10,$L$9,$M$9) )</f>
        <v xml:space="preserve"> 80.61 </v>
      </c>
      <c r="J112" s="176" t="str">
        <f>TEXT(   (SUMPRODUCT( ((Main!$H$9:$H$1000)=$E112)*((Main!$J$9:$J$1000)=$F112)*((Main!$O$9:$O$1000)=$C112)*(Main!S$9:S$1000) ) +  ( SUMPRODUCT( ((Adders!$D$13:$D$101)=$E112)*((Adders!$E$13:$E$101)=$F112)*(Adders!H$13:H$101)) + VLOOKUP($H112,Adders!$B$5:$G$8,M$11,FALSE)  +  MD!$D$2 ) * IF($D112="NJ",1.07,1))/$L$10, CHOOSE($M$10,$L$9,$M$9) )</f>
        <v xml:space="preserve"> 80.90 </v>
      </c>
      <c r="K112" s="177" t="str">
        <f>TEXT(   (SUMPRODUCT( ((Main!$H$9:$H$1000)=$E112)*((Main!$J$9:$J$1000)=$F112)*((Main!$O$9:$O$1000)=$C112)*(Main!T$9:T$1000) ) +  ( SUMPRODUCT( ((Adders!$D$13:$D$101)=$E112)*((Adders!$E$13:$E$101)=$F112)*(Adders!I$13:I$101)) + VLOOKUP($H112,Adders!$B$5:$G$8,$N$11,FALSE)  +  MD!$D$2 ) * IF($D112="NJ",1.07,1))/$L$10, CHOOSE($M$10,$L$9,$M$9) )</f>
        <v xml:space="preserve"> 80.43 </v>
      </c>
      <c r="L112" s="176" t="str">
        <f>TEXT(   (SUMPRODUCT( ((LMPMain!$H$9:$H$1000)=$E112)*((LMPMain!$J$9:$J$1000)=$F112)*((LMPMain!$O$9:$O$1000)=$C112)*(LMPMain!R$9:R$1000) ) +  ( SUMPRODUCT( ((Adders!$D$13:$D$101)=$E112)*((Adders!$E$13:$E$101)=$F112)*(Adders!G$13:G$101)) + VLOOKUP($H112,Adders!$B$5:$G$8,L$11,FALSE)  +  NJ!$D$2 ) * IF($D112="NJ",1.07,1))/$L$10, CHOOSE($M$10,$L$9,$M$9) )</f>
        <v xml:space="preserve"> 35.77 </v>
      </c>
      <c r="M112" s="176" t="str">
        <f>TEXT(   (SUMPRODUCT( ((LMPMain!$H$9:$H$1000)=$E112)*((LMPMain!$J$9:$J$1000)=$F112)*((LMPMain!$O$9:$O$1000)=$C112)*(LMPMain!S$9:S$1000) ) +  ( SUMPRODUCT( ((Adders!$D$13:$D$101)=$E112)*((Adders!$E$13:$E$101)=$F112)*(Adders!H$13:H$101)) + VLOOKUP($H112,Adders!$B$5:$G$8,M$11,FALSE)  +  NJ!$D$2 ) * IF($D112="NJ",1.07,1))/$L$10, CHOOSE($M$10,$L$9,$M$9) )</f>
        <v xml:space="preserve"> 35.57 </v>
      </c>
      <c r="N112" s="177" t="str">
        <f>TEXT(   (SUMPRODUCT( ((LMPMain!$H$9:$H$1000)=$E112)*((LMPMain!$J$9:$J$1000)=$F112)*((LMPMain!$O$9:$O$1000)=$C112)*(LMPMain!T$9:T$1000) ) +  ( SUMPRODUCT( ((Adders!$D$13:$D$101)=$E112)*((Adders!$E$13:$E$101)=$F112)*(Adders!I$13:I$101)) + VLOOKUP($H112,Adders!$B$5:$G$8,N$11,FALSE)  +  NJ!$D$2 ) * IF($D112="NJ",1.07,1))/$L$10, CHOOSE($M$10,$L$9,$M$9) )</f>
        <v xml:space="preserve"> 35.22 </v>
      </c>
      <c r="O112" s="112"/>
    </row>
    <row r="113" spans="2:15" x14ac:dyDescent="0.25">
      <c r="B113" s="108"/>
      <c r="C113" s="127">
        <f t="shared" si="1"/>
        <v>42430</v>
      </c>
      <c r="D113" s="128" t="s">
        <v>39</v>
      </c>
      <c r="E113" s="129" t="s">
        <v>40</v>
      </c>
      <c r="F113" s="128" t="s">
        <v>7</v>
      </c>
      <c r="G113" s="129" t="str">
        <f t="shared" si="2"/>
        <v>General Service Small</v>
      </c>
      <c r="H113" s="130" t="s">
        <v>61</v>
      </c>
      <c r="I113" s="178" t="str">
        <f>TEXT(   (SUMPRODUCT( ((Main!$H$9:$H$1000)=$E113)*((Main!$J$9:$J$1000)=$F113)*((Main!$O$9:$O$1000)=$C113)*(Main!R$9:R$1000) ) +  ( SUMPRODUCT( ((Adders!$D$13:$D$101)=$E113)*((Adders!$E$13:$E$101)=$F113)*(Adders!G$13:G$101)) + VLOOKUP($H113,Adders!$B$5:$G$8,L$11,FALSE)  +  MD!$D$2 ) * IF($D113="NJ",1.07,1))/$L$10, CHOOSE($M$10,$L$9,$M$9) )</f>
        <v xml:space="preserve"> 82.98 </v>
      </c>
      <c r="J113" s="178" t="str">
        <f>TEXT(   (SUMPRODUCT( ((Main!$H$9:$H$1000)=$E113)*((Main!$J$9:$J$1000)=$F113)*((Main!$O$9:$O$1000)=$C113)*(Main!S$9:S$1000) ) +  ( SUMPRODUCT( ((Adders!$D$13:$D$101)=$E113)*((Adders!$E$13:$E$101)=$F113)*(Adders!H$13:H$101)) + VLOOKUP($H113,Adders!$B$5:$G$8,M$11,FALSE)  +  MD!$D$2 ) * IF($D113="NJ",1.07,1))/$L$10, CHOOSE($M$10,$L$9,$M$9) )</f>
        <v xml:space="preserve"> 82.71 </v>
      </c>
      <c r="K113" s="179" t="str">
        <f>TEXT(   (SUMPRODUCT( ((Main!$H$9:$H$1000)=$E113)*((Main!$J$9:$J$1000)=$F113)*((Main!$O$9:$O$1000)=$C113)*(Main!T$9:T$1000) ) +  ( SUMPRODUCT( ((Adders!$D$13:$D$101)=$E113)*((Adders!$E$13:$E$101)=$F113)*(Adders!I$13:I$101)) + VLOOKUP($H113,Adders!$B$5:$G$8,$N$11,FALSE)  +  MD!$D$2 ) * IF($D113="NJ",1.07,1))/$L$10, CHOOSE($M$10,$L$9,$M$9) )</f>
        <v xml:space="preserve"> 83.10 </v>
      </c>
      <c r="L113" s="178" t="str">
        <f>TEXT(   (SUMPRODUCT( ((LMPMain!$H$9:$H$1000)=$E113)*((LMPMain!$J$9:$J$1000)=$F113)*((LMPMain!$O$9:$O$1000)=$C113)*(LMPMain!R$9:R$1000) ) +  ( SUMPRODUCT( ((Adders!$D$13:$D$101)=$E113)*((Adders!$E$13:$E$101)=$F113)*(Adders!G$13:G$101)) + VLOOKUP($H113,Adders!$B$5:$G$8,L$11,FALSE)  +  NJ!$D$2 ) * IF($D113="NJ",1.07,1))/$L$10, CHOOSE($M$10,$L$9,$M$9) )</f>
        <v xml:space="preserve"> 38.08 </v>
      </c>
      <c r="M113" s="178" t="str">
        <f>TEXT(   (SUMPRODUCT( ((LMPMain!$H$9:$H$1000)=$E113)*((LMPMain!$J$9:$J$1000)=$F113)*((LMPMain!$O$9:$O$1000)=$C113)*(LMPMain!S$9:S$1000) ) +  ( SUMPRODUCT( ((Adders!$D$13:$D$101)=$E113)*((Adders!$E$13:$E$101)=$F113)*(Adders!H$13:H$101)) + VLOOKUP($H113,Adders!$B$5:$G$8,M$11,FALSE)  +  NJ!$D$2 ) * IF($D113="NJ",1.07,1))/$L$10, CHOOSE($M$10,$L$9,$M$9) )</f>
        <v xml:space="preserve"> 37.77 </v>
      </c>
      <c r="N113" s="179" t="str">
        <f>TEXT(   (SUMPRODUCT( ((LMPMain!$H$9:$H$1000)=$E113)*((LMPMain!$J$9:$J$1000)=$F113)*((LMPMain!$O$9:$O$1000)=$C113)*(LMPMain!T$9:T$1000) ) +  ( SUMPRODUCT( ((Adders!$D$13:$D$101)=$E113)*((Adders!$E$13:$E$101)=$F113)*(Adders!I$13:I$101)) + VLOOKUP($H113,Adders!$B$5:$G$8,N$11,FALSE)  +  NJ!$D$2 ) * IF($D113="NJ",1.07,1))/$L$10, CHOOSE($M$10,$L$9,$M$9) )</f>
        <v xml:space="preserve"> 37.75 </v>
      </c>
      <c r="O113" s="112"/>
    </row>
    <row r="114" spans="2:15" x14ac:dyDescent="0.25">
      <c r="B114" s="108"/>
      <c r="C114" s="131">
        <f t="shared" si="1"/>
        <v>42430</v>
      </c>
      <c r="D114" s="132" t="s">
        <v>39</v>
      </c>
      <c r="E114" s="133" t="s">
        <v>40</v>
      </c>
      <c r="F114" s="132" t="s">
        <v>7</v>
      </c>
      <c r="G114" s="133" t="str">
        <f t="shared" si="2"/>
        <v>General Service Small</v>
      </c>
      <c r="H114" s="134" t="s">
        <v>62</v>
      </c>
      <c r="I114" s="173" t="str">
        <f>TEXT(   (SUMPRODUCT( ((Main!$H$9:$H$1000)=$E114)*((Main!$J$9:$J$1000)=$F114)*((Main!$O$9:$O$1000)=$C114)*(Main!R$9:R$1000) ) +  ( SUMPRODUCT( ((Adders!$D$13:$D$101)=$E114)*((Adders!$E$13:$E$101)=$F114)*(Adders!G$13:G$101)) + VLOOKUP($H114,Adders!$B$5:$G$8,L$11,FALSE)  +  MD!$D$2 ) * IF($D114="NJ",1.07,1))/$L$10, CHOOSE($M$10,$L$9,$M$9) )</f>
        <v xml:space="preserve"> 81.38 </v>
      </c>
      <c r="J114" s="173" t="str">
        <f>TEXT(   (SUMPRODUCT( ((Main!$H$9:$H$1000)=$E114)*((Main!$J$9:$J$1000)=$F114)*((Main!$O$9:$O$1000)=$C114)*(Main!S$9:S$1000) ) +  ( SUMPRODUCT( ((Adders!$D$13:$D$101)=$E114)*((Adders!$E$13:$E$101)=$F114)*(Adders!H$13:H$101)) + VLOOKUP($H114,Adders!$B$5:$G$8,M$11,FALSE)  +  MD!$D$2 ) * IF($D114="NJ",1.07,1))/$L$10, CHOOSE($M$10,$L$9,$M$9) )</f>
        <v xml:space="preserve"> 81.11 </v>
      </c>
      <c r="K114" s="174" t="str">
        <f>TEXT(   (SUMPRODUCT( ((Main!$H$9:$H$1000)=$E114)*((Main!$J$9:$J$1000)=$F114)*((Main!$O$9:$O$1000)=$C114)*(Main!T$9:T$1000) ) +  ( SUMPRODUCT( ((Adders!$D$13:$D$101)=$E114)*((Adders!$E$13:$E$101)=$F114)*(Adders!I$13:I$101)) + VLOOKUP($H114,Adders!$B$5:$G$8,$N$11,FALSE)  +  MD!$D$2 ) * IF($D114="NJ",1.07,1))/$L$10, CHOOSE($M$10,$L$9,$M$9) )</f>
        <v xml:space="preserve"> 81.50 </v>
      </c>
      <c r="L114" s="173" t="str">
        <f>TEXT(   (SUMPRODUCT( ((LMPMain!$H$9:$H$1000)=$E114)*((LMPMain!$J$9:$J$1000)=$F114)*((LMPMain!$O$9:$O$1000)=$C114)*(LMPMain!R$9:R$1000) ) +  ( SUMPRODUCT( ((Adders!$D$13:$D$101)=$E114)*((Adders!$E$13:$E$101)=$F114)*(Adders!G$13:G$101)) + VLOOKUP($H114,Adders!$B$5:$G$8,L$11,FALSE)  +  NJ!$D$2 ) * IF($D114="NJ",1.07,1))/$L$10, CHOOSE($M$10,$L$9,$M$9) )</f>
        <v xml:space="preserve"> 36.48 </v>
      </c>
      <c r="M114" s="173" t="str">
        <f>TEXT(   (SUMPRODUCT( ((LMPMain!$H$9:$H$1000)=$E114)*((LMPMain!$J$9:$J$1000)=$F114)*((LMPMain!$O$9:$O$1000)=$C114)*(LMPMain!S$9:S$1000) ) +  ( SUMPRODUCT( ((Adders!$D$13:$D$101)=$E114)*((Adders!$E$13:$E$101)=$F114)*(Adders!H$13:H$101)) + VLOOKUP($H114,Adders!$B$5:$G$8,M$11,FALSE)  +  NJ!$D$2 ) * IF($D114="NJ",1.07,1))/$L$10, CHOOSE($M$10,$L$9,$M$9) )</f>
        <v xml:space="preserve"> 36.17 </v>
      </c>
      <c r="N114" s="174" t="str">
        <f>TEXT(   (SUMPRODUCT( ((LMPMain!$H$9:$H$1000)=$E114)*((LMPMain!$J$9:$J$1000)=$F114)*((LMPMain!$O$9:$O$1000)=$C114)*(LMPMain!T$9:T$1000) ) +  ( SUMPRODUCT( ((Adders!$D$13:$D$101)=$E114)*((Adders!$E$13:$E$101)=$F114)*(Adders!I$13:I$101)) + VLOOKUP($H114,Adders!$B$5:$G$8,N$11,FALSE)  +  NJ!$D$2 ) * IF($D114="NJ",1.07,1))/$L$10, CHOOSE($M$10,$L$9,$M$9) )</f>
        <v xml:space="preserve"> 36.15 </v>
      </c>
      <c r="O114" s="112"/>
    </row>
    <row r="115" spans="2:15" x14ac:dyDescent="0.25">
      <c r="B115" s="108"/>
      <c r="C115" s="135">
        <f t="shared" ref="C115:C178" si="3">C79</f>
        <v>42430</v>
      </c>
      <c r="D115" s="136" t="s">
        <v>39</v>
      </c>
      <c r="E115" s="137" t="s">
        <v>40</v>
      </c>
      <c r="F115" s="136" t="s">
        <v>7</v>
      </c>
      <c r="G115" s="137" t="str">
        <f t="shared" ref="G115:G178" si="4">G114</f>
        <v>General Service Small</v>
      </c>
      <c r="H115" s="138" t="s">
        <v>690</v>
      </c>
      <c r="I115" s="176" t="str">
        <f>TEXT(   (SUMPRODUCT( ((Main!$H$9:$H$1000)=$E115)*((Main!$J$9:$J$1000)=$F115)*((Main!$O$9:$O$1000)=$C115)*(Main!R$9:R$1000) ) +  ( SUMPRODUCT( ((Adders!$D$13:$D$101)=$E115)*((Adders!$E$13:$E$101)=$F115)*(Adders!G$13:G$101)) + VLOOKUP($H115,Adders!$B$5:$G$8,L$11,FALSE)  +  MD!$D$2 ) * IF($D115="NJ",1.07,1))/$L$10, CHOOSE($M$10,$L$9,$M$9) )</f>
        <v xml:space="preserve"> 80.33 </v>
      </c>
      <c r="J115" s="176" t="str">
        <f>TEXT(   (SUMPRODUCT( ((Main!$H$9:$H$1000)=$E115)*((Main!$J$9:$J$1000)=$F115)*((Main!$O$9:$O$1000)=$C115)*(Main!S$9:S$1000) ) +  ( SUMPRODUCT( ((Adders!$D$13:$D$101)=$E115)*((Adders!$E$13:$E$101)=$F115)*(Adders!H$13:H$101)) + VLOOKUP($H115,Adders!$B$5:$G$8,M$11,FALSE)  +  MD!$D$2 ) * IF($D115="NJ",1.07,1))/$L$10, CHOOSE($M$10,$L$9,$M$9) )</f>
        <v xml:space="preserve"> 80.06 </v>
      </c>
      <c r="K115" s="177" t="str">
        <f>TEXT(   (SUMPRODUCT( ((Main!$H$9:$H$1000)=$E115)*((Main!$J$9:$J$1000)=$F115)*((Main!$O$9:$O$1000)=$C115)*(Main!T$9:T$1000) ) +  ( SUMPRODUCT( ((Adders!$D$13:$D$101)=$E115)*((Adders!$E$13:$E$101)=$F115)*(Adders!I$13:I$101)) + VLOOKUP($H115,Adders!$B$5:$G$8,$N$11,FALSE)  +  MD!$D$2 ) * IF($D115="NJ",1.07,1))/$L$10, CHOOSE($M$10,$L$9,$M$9) )</f>
        <v xml:space="preserve"> 80.45 </v>
      </c>
      <c r="L115" s="176" t="str">
        <f>TEXT(   (SUMPRODUCT( ((LMPMain!$H$9:$H$1000)=$E115)*((LMPMain!$J$9:$J$1000)=$F115)*((LMPMain!$O$9:$O$1000)=$C115)*(LMPMain!R$9:R$1000) ) +  ( SUMPRODUCT( ((Adders!$D$13:$D$101)=$E115)*((Adders!$E$13:$E$101)=$F115)*(Adders!G$13:G$101)) + VLOOKUP($H115,Adders!$B$5:$G$8,L$11,FALSE)  +  NJ!$D$2 ) * IF($D115="NJ",1.07,1))/$L$10, CHOOSE($M$10,$L$9,$M$9) )</f>
        <v xml:space="preserve"> 35.43 </v>
      </c>
      <c r="M115" s="176" t="str">
        <f>TEXT(   (SUMPRODUCT( ((LMPMain!$H$9:$H$1000)=$E115)*((LMPMain!$J$9:$J$1000)=$F115)*((LMPMain!$O$9:$O$1000)=$C115)*(LMPMain!S$9:S$1000) ) +  ( SUMPRODUCT( ((Adders!$D$13:$D$101)=$E115)*((Adders!$E$13:$E$101)=$F115)*(Adders!H$13:H$101)) + VLOOKUP($H115,Adders!$B$5:$G$8,M$11,FALSE)  +  NJ!$D$2 ) * IF($D115="NJ",1.07,1))/$L$10, CHOOSE($M$10,$L$9,$M$9) )</f>
        <v xml:space="preserve"> 35.12 </v>
      </c>
      <c r="N115" s="177" t="str">
        <f>TEXT(   (SUMPRODUCT( ((LMPMain!$H$9:$H$1000)=$E115)*((LMPMain!$J$9:$J$1000)=$F115)*((LMPMain!$O$9:$O$1000)=$C115)*(LMPMain!T$9:T$1000) ) +  ( SUMPRODUCT( ((Adders!$D$13:$D$101)=$E115)*((Adders!$E$13:$E$101)=$F115)*(Adders!I$13:I$101)) + VLOOKUP($H115,Adders!$B$5:$G$8,N$11,FALSE)  +  NJ!$D$2 ) * IF($D115="NJ",1.07,1))/$L$10, CHOOSE($M$10,$L$9,$M$9) )</f>
        <v xml:space="preserve"> 35.10 </v>
      </c>
      <c r="O115" s="112"/>
    </row>
    <row r="116" spans="2:15" x14ac:dyDescent="0.25">
      <c r="B116" s="108"/>
      <c r="C116" s="127">
        <f t="shared" si="3"/>
        <v>42461</v>
      </c>
      <c r="D116" s="128" t="s">
        <v>39</v>
      </c>
      <c r="E116" s="129" t="s">
        <v>40</v>
      </c>
      <c r="F116" s="128" t="s">
        <v>7</v>
      </c>
      <c r="G116" s="129" t="str">
        <f t="shared" si="4"/>
        <v>General Service Small</v>
      </c>
      <c r="H116" s="130" t="s">
        <v>61</v>
      </c>
      <c r="I116" s="178" t="str">
        <f>TEXT(   (SUMPRODUCT( ((Main!$H$9:$H$1000)=$E116)*((Main!$J$9:$J$1000)=$F116)*((Main!$O$9:$O$1000)=$C116)*(Main!R$9:R$1000) ) +  ( SUMPRODUCT( ((Adders!$D$13:$D$101)=$E116)*((Adders!$E$13:$E$101)=$F116)*(Adders!G$13:G$101)) + VLOOKUP($H116,Adders!$B$5:$G$8,L$11,FALSE)  +  MD!$D$2 ) * IF($D116="NJ",1.07,1))/$L$10, CHOOSE($M$10,$L$9,$M$9) )</f>
        <v xml:space="preserve"> 82.67 </v>
      </c>
      <c r="J116" s="178" t="str">
        <f>TEXT(   (SUMPRODUCT( ((Main!$H$9:$H$1000)=$E116)*((Main!$J$9:$J$1000)=$F116)*((Main!$O$9:$O$1000)=$C116)*(Main!S$9:S$1000) ) +  ( SUMPRODUCT( ((Adders!$D$13:$D$101)=$E116)*((Adders!$E$13:$E$101)=$F116)*(Adders!H$13:H$101)) + VLOOKUP($H116,Adders!$B$5:$G$8,M$11,FALSE)  +  MD!$D$2 ) * IF($D116="NJ",1.07,1))/$L$10, CHOOSE($M$10,$L$9,$M$9) )</f>
        <v xml:space="preserve"> 81.93 </v>
      </c>
      <c r="K116" s="179" t="str">
        <f>TEXT(   (SUMPRODUCT( ((Main!$H$9:$H$1000)=$E116)*((Main!$J$9:$J$1000)=$F116)*((Main!$O$9:$O$1000)=$C116)*(Main!T$9:T$1000) ) +  ( SUMPRODUCT( ((Adders!$D$13:$D$101)=$E116)*((Adders!$E$13:$E$101)=$F116)*(Adders!I$13:I$101)) + VLOOKUP($H116,Adders!$B$5:$G$8,$N$11,FALSE)  +  MD!$D$2 ) * IF($D116="NJ",1.07,1))/$L$10, CHOOSE($M$10,$L$9,$M$9) )</f>
        <v xml:space="preserve"> 82.95 </v>
      </c>
      <c r="L116" s="178" t="str">
        <f>TEXT(   (SUMPRODUCT( ((LMPMain!$H$9:$H$1000)=$E116)*((LMPMain!$J$9:$J$1000)=$F116)*((LMPMain!$O$9:$O$1000)=$C116)*(LMPMain!R$9:R$1000) ) +  ( SUMPRODUCT( ((Adders!$D$13:$D$101)=$E116)*((Adders!$E$13:$E$101)=$F116)*(Adders!G$13:G$101)) + VLOOKUP($H116,Adders!$B$5:$G$8,L$11,FALSE)  +  NJ!$D$2 ) * IF($D116="NJ",1.07,1))/$L$10, CHOOSE($M$10,$L$9,$M$9) )</f>
        <v xml:space="preserve"> 37.72 </v>
      </c>
      <c r="M116" s="178" t="str">
        <f>TEXT(   (SUMPRODUCT( ((LMPMain!$H$9:$H$1000)=$E116)*((LMPMain!$J$9:$J$1000)=$F116)*((LMPMain!$O$9:$O$1000)=$C116)*(LMPMain!S$9:S$1000) ) +  ( SUMPRODUCT( ((Adders!$D$13:$D$101)=$E116)*((Adders!$E$13:$E$101)=$F116)*(Adders!H$13:H$101)) + VLOOKUP($H116,Adders!$B$5:$G$8,M$11,FALSE)  +  NJ!$D$2 ) * IF($D116="NJ",1.07,1))/$L$10, CHOOSE($M$10,$L$9,$M$9) )</f>
        <v xml:space="preserve"> 37.36 </v>
      </c>
      <c r="N116" s="179" t="str">
        <f>TEXT(   (SUMPRODUCT( ((LMPMain!$H$9:$H$1000)=$E116)*((LMPMain!$J$9:$J$1000)=$F116)*((LMPMain!$O$9:$O$1000)=$C116)*(LMPMain!T$9:T$1000) ) +  ( SUMPRODUCT( ((Adders!$D$13:$D$101)=$E116)*((Adders!$E$13:$E$101)=$F116)*(Adders!I$13:I$101)) + VLOOKUP($H116,Adders!$B$5:$G$8,N$11,FALSE)  +  NJ!$D$2 ) * IF($D116="NJ",1.07,1))/$L$10, CHOOSE($M$10,$L$9,$M$9) )</f>
        <v xml:space="preserve"> 37.62 </v>
      </c>
      <c r="O116" s="112"/>
    </row>
    <row r="117" spans="2:15" x14ac:dyDescent="0.25">
      <c r="B117" s="108"/>
      <c r="C117" s="131">
        <f t="shared" si="3"/>
        <v>42461</v>
      </c>
      <c r="D117" s="132" t="s">
        <v>39</v>
      </c>
      <c r="E117" s="133" t="s">
        <v>40</v>
      </c>
      <c r="F117" s="132" t="s">
        <v>7</v>
      </c>
      <c r="G117" s="133" t="str">
        <f t="shared" si="4"/>
        <v>General Service Small</v>
      </c>
      <c r="H117" s="134" t="s">
        <v>62</v>
      </c>
      <c r="I117" s="173" t="str">
        <f>TEXT(   (SUMPRODUCT( ((Main!$H$9:$H$1000)=$E117)*((Main!$J$9:$J$1000)=$F117)*((Main!$O$9:$O$1000)=$C117)*(Main!R$9:R$1000) ) +  ( SUMPRODUCT( ((Adders!$D$13:$D$101)=$E117)*((Adders!$E$13:$E$101)=$F117)*(Adders!G$13:G$101)) + VLOOKUP($H117,Adders!$B$5:$G$8,L$11,FALSE)  +  MD!$D$2 ) * IF($D117="NJ",1.07,1))/$L$10, CHOOSE($M$10,$L$9,$M$9) )</f>
        <v xml:space="preserve"> 81.07 </v>
      </c>
      <c r="J117" s="173" t="str">
        <f>TEXT(   (SUMPRODUCT( ((Main!$H$9:$H$1000)=$E117)*((Main!$J$9:$J$1000)=$F117)*((Main!$O$9:$O$1000)=$C117)*(Main!S$9:S$1000) ) +  ( SUMPRODUCT( ((Adders!$D$13:$D$101)=$E117)*((Adders!$E$13:$E$101)=$F117)*(Adders!H$13:H$101)) + VLOOKUP($H117,Adders!$B$5:$G$8,M$11,FALSE)  +  MD!$D$2 ) * IF($D117="NJ",1.07,1))/$L$10, CHOOSE($M$10,$L$9,$M$9) )</f>
        <v xml:space="preserve"> 80.33 </v>
      </c>
      <c r="K117" s="174" t="str">
        <f>TEXT(   (SUMPRODUCT( ((Main!$H$9:$H$1000)=$E117)*((Main!$J$9:$J$1000)=$F117)*((Main!$O$9:$O$1000)=$C117)*(Main!T$9:T$1000) ) +  ( SUMPRODUCT( ((Adders!$D$13:$D$101)=$E117)*((Adders!$E$13:$E$101)=$F117)*(Adders!I$13:I$101)) + VLOOKUP($H117,Adders!$B$5:$G$8,$N$11,FALSE)  +  MD!$D$2 ) * IF($D117="NJ",1.07,1))/$L$10, CHOOSE($M$10,$L$9,$M$9) )</f>
        <v xml:space="preserve"> 81.35 </v>
      </c>
      <c r="L117" s="173" t="str">
        <f>TEXT(   (SUMPRODUCT( ((LMPMain!$H$9:$H$1000)=$E117)*((LMPMain!$J$9:$J$1000)=$F117)*((LMPMain!$O$9:$O$1000)=$C117)*(LMPMain!R$9:R$1000) ) +  ( SUMPRODUCT( ((Adders!$D$13:$D$101)=$E117)*((Adders!$E$13:$E$101)=$F117)*(Adders!G$13:G$101)) + VLOOKUP($H117,Adders!$B$5:$G$8,L$11,FALSE)  +  NJ!$D$2 ) * IF($D117="NJ",1.07,1))/$L$10, CHOOSE($M$10,$L$9,$M$9) )</f>
        <v xml:space="preserve"> 36.12 </v>
      </c>
      <c r="M117" s="173" t="str">
        <f>TEXT(   (SUMPRODUCT( ((LMPMain!$H$9:$H$1000)=$E117)*((LMPMain!$J$9:$J$1000)=$F117)*((LMPMain!$O$9:$O$1000)=$C117)*(LMPMain!S$9:S$1000) ) +  ( SUMPRODUCT( ((Adders!$D$13:$D$101)=$E117)*((Adders!$E$13:$E$101)=$F117)*(Adders!H$13:H$101)) + VLOOKUP($H117,Adders!$B$5:$G$8,M$11,FALSE)  +  NJ!$D$2 ) * IF($D117="NJ",1.07,1))/$L$10, CHOOSE($M$10,$L$9,$M$9) )</f>
        <v xml:space="preserve"> 35.76 </v>
      </c>
      <c r="N117" s="174" t="str">
        <f>TEXT(   (SUMPRODUCT( ((LMPMain!$H$9:$H$1000)=$E117)*((LMPMain!$J$9:$J$1000)=$F117)*((LMPMain!$O$9:$O$1000)=$C117)*(LMPMain!T$9:T$1000) ) +  ( SUMPRODUCT( ((Adders!$D$13:$D$101)=$E117)*((Adders!$E$13:$E$101)=$F117)*(Adders!I$13:I$101)) + VLOOKUP($H117,Adders!$B$5:$G$8,N$11,FALSE)  +  NJ!$D$2 ) * IF($D117="NJ",1.07,1))/$L$10, CHOOSE($M$10,$L$9,$M$9) )</f>
        <v xml:space="preserve"> 36.02 </v>
      </c>
      <c r="O117" s="112"/>
    </row>
    <row r="118" spans="2:15" x14ac:dyDescent="0.25">
      <c r="B118" s="108"/>
      <c r="C118" s="135">
        <f t="shared" si="3"/>
        <v>42461</v>
      </c>
      <c r="D118" s="136" t="s">
        <v>39</v>
      </c>
      <c r="E118" s="137" t="s">
        <v>40</v>
      </c>
      <c r="F118" s="136" t="s">
        <v>7</v>
      </c>
      <c r="G118" s="137" t="str">
        <f t="shared" si="4"/>
        <v>General Service Small</v>
      </c>
      <c r="H118" s="138" t="s">
        <v>690</v>
      </c>
      <c r="I118" s="176" t="str">
        <f>TEXT(   (SUMPRODUCT( ((Main!$H$9:$H$1000)=$E118)*((Main!$J$9:$J$1000)=$F118)*((Main!$O$9:$O$1000)=$C118)*(Main!R$9:R$1000) ) +  ( SUMPRODUCT( ((Adders!$D$13:$D$101)=$E118)*((Adders!$E$13:$E$101)=$F118)*(Adders!G$13:G$101)) + VLOOKUP($H118,Adders!$B$5:$G$8,L$11,FALSE)  +  MD!$D$2 ) * IF($D118="NJ",1.07,1))/$L$10, CHOOSE($M$10,$L$9,$M$9) )</f>
        <v xml:space="preserve"> 80.02 </v>
      </c>
      <c r="J118" s="176" t="str">
        <f>TEXT(   (SUMPRODUCT( ((Main!$H$9:$H$1000)=$E118)*((Main!$J$9:$J$1000)=$F118)*((Main!$O$9:$O$1000)=$C118)*(Main!S$9:S$1000) ) +  ( SUMPRODUCT( ((Adders!$D$13:$D$101)=$E118)*((Adders!$E$13:$E$101)=$F118)*(Adders!H$13:H$101)) + VLOOKUP($H118,Adders!$B$5:$G$8,M$11,FALSE)  +  MD!$D$2 ) * IF($D118="NJ",1.07,1))/$L$10, CHOOSE($M$10,$L$9,$M$9) )</f>
        <v xml:space="preserve"> 79.28 </v>
      </c>
      <c r="K118" s="177" t="str">
        <f>TEXT(   (SUMPRODUCT( ((Main!$H$9:$H$1000)=$E118)*((Main!$J$9:$J$1000)=$F118)*((Main!$O$9:$O$1000)=$C118)*(Main!T$9:T$1000) ) +  ( SUMPRODUCT( ((Adders!$D$13:$D$101)=$E118)*((Adders!$E$13:$E$101)=$F118)*(Adders!I$13:I$101)) + VLOOKUP($H118,Adders!$B$5:$G$8,$N$11,FALSE)  +  MD!$D$2 ) * IF($D118="NJ",1.07,1))/$L$10, CHOOSE($M$10,$L$9,$M$9) )</f>
        <v xml:space="preserve"> 80.30 </v>
      </c>
      <c r="L118" s="176" t="str">
        <f>TEXT(   (SUMPRODUCT( ((LMPMain!$H$9:$H$1000)=$E118)*((LMPMain!$J$9:$J$1000)=$F118)*((LMPMain!$O$9:$O$1000)=$C118)*(LMPMain!R$9:R$1000) ) +  ( SUMPRODUCT( ((Adders!$D$13:$D$101)=$E118)*((Adders!$E$13:$E$101)=$F118)*(Adders!G$13:G$101)) + VLOOKUP($H118,Adders!$B$5:$G$8,L$11,FALSE)  +  NJ!$D$2 ) * IF($D118="NJ",1.07,1))/$L$10, CHOOSE($M$10,$L$9,$M$9) )</f>
        <v xml:space="preserve"> 35.07 </v>
      </c>
      <c r="M118" s="176" t="str">
        <f>TEXT(   (SUMPRODUCT( ((LMPMain!$H$9:$H$1000)=$E118)*((LMPMain!$J$9:$J$1000)=$F118)*((LMPMain!$O$9:$O$1000)=$C118)*(LMPMain!S$9:S$1000) ) +  ( SUMPRODUCT( ((Adders!$D$13:$D$101)=$E118)*((Adders!$E$13:$E$101)=$F118)*(Adders!H$13:H$101)) + VLOOKUP($H118,Adders!$B$5:$G$8,M$11,FALSE)  +  NJ!$D$2 ) * IF($D118="NJ",1.07,1))/$L$10, CHOOSE($M$10,$L$9,$M$9) )</f>
        <v xml:space="preserve"> 34.71 </v>
      </c>
      <c r="N118" s="177" t="str">
        <f>TEXT(   (SUMPRODUCT( ((LMPMain!$H$9:$H$1000)=$E118)*((LMPMain!$J$9:$J$1000)=$F118)*((LMPMain!$O$9:$O$1000)=$C118)*(LMPMain!T$9:T$1000) ) +  ( SUMPRODUCT( ((Adders!$D$13:$D$101)=$E118)*((Adders!$E$13:$E$101)=$F118)*(Adders!I$13:I$101)) + VLOOKUP($H118,Adders!$B$5:$G$8,N$11,FALSE)  +  NJ!$D$2 ) * IF($D118="NJ",1.07,1))/$L$10, CHOOSE($M$10,$L$9,$M$9) )</f>
        <v xml:space="preserve"> 34.97 </v>
      </c>
      <c r="O118" s="112"/>
    </row>
    <row r="119" spans="2:15" x14ac:dyDescent="0.25">
      <c r="B119" s="108"/>
      <c r="C119" s="127">
        <f t="shared" si="3"/>
        <v>42491</v>
      </c>
      <c r="D119" s="128" t="s">
        <v>39</v>
      </c>
      <c r="E119" s="129" t="s">
        <v>40</v>
      </c>
      <c r="F119" s="128" t="s">
        <v>7</v>
      </c>
      <c r="G119" s="129" t="str">
        <f t="shared" si="4"/>
        <v>General Service Small</v>
      </c>
      <c r="H119" s="130" t="s">
        <v>61</v>
      </c>
      <c r="I119" s="178" t="str">
        <f>TEXT(   (SUMPRODUCT( ((Main!$H$9:$H$1000)=$E119)*((Main!$J$9:$J$1000)=$F119)*((Main!$O$9:$O$1000)=$C119)*(Main!R$9:R$1000) ) +  ( SUMPRODUCT( ((Adders!$D$13:$D$101)=$E119)*((Adders!$E$13:$E$101)=$F119)*(Adders!G$13:G$101)) + VLOOKUP($H119,Adders!$B$5:$G$8,L$11,FALSE)  +  MD!$D$2 ) * IF($D119="NJ",1.07,1))/$L$10, CHOOSE($M$10,$L$9,$M$9) )</f>
        <v xml:space="preserve"> 82.31 </v>
      </c>
      <c r="J119" s="178" t="str">
        <f>TEXT(   (SUMPRODUCT( ((Main!$H$9:$H$1000)=$E119)*((Main!$J$9:$J$1000)=$F119)*((Main!$O$9:$O$1000)=$C119)*(Main!S$9:S$1000) ) +  ( SUMPRODUCT( ((Adders!$D$13:$D$101)=$E119)*((Adders!$E$13:$E$101)=$F119)*(Adders!H$13:H$101)) + VLOOKUP($H119,Adders!$B$5:$G$8,M$11,FALSE)  +  MD!$D$2 ) * IF($D119="NJ",1.07,1))/$L$10, CHOOSE($M$10,$L$9,$M$9) )</f>
        <v xml:space="preserve"> 81.43 </v>
      </c>
      <c r="K119" s="179" t="str">
        <f>TEXT(   (SUMPRODUCT( ((Main!$H$9:$H$1000)=$E119)*((Main!$J$9:$J$1000)=$F119)*((Main!$O$9:$O$1000)=$C119)*(Main!T$9:T$1000) ) +  ( SUMPRODUCT( ((Adders!$D$13:$D$101)=$E119)*((Adders!$E$13:$E$101)=$F119)*(Adders!I$13:I$101)) + VLOOKUP($H119,Adders!$B$5:$G$8,$N$11,FALSE)  +  MD!$D$2 ) * IF($D119="NJ",1.07,1))/$L$10, CHOOSE($M$10,$L$9,$M$9) )</f>
        <v xml:space="preserve"> 82.87 </v>
      </c>
      <c r="L119" s="178" t="str">
        <f>TEXT(   (SUMPRODUCT( ((LMPMain!$H$9:$H$1000)=$E119)*((LMPMain!$J$9:$J$1000)=$F119)*((LMPMain!$O$9:$O$1000)=$C119)*(LMPMain!R$9:R$1000) ) +  ( SUMPRODUCT( ((Adders!$D$13:$D$101)=$E119)*((Adders!$E$13:$E$101)=$F119)*(Adders!G$13:G$101)) + VLOOKUP($H119,Adders!$B$5:$G$8,L$11,FALSE)  +  NJ!$D$2 ) * IF($D119="NJ",1.07,1))/$L$10, CHOOSE($M$10,$L$9,$M$9) )</f>
        <v xml:space="preserve"> 37.37 </v>
      </c>
      <c r="M119" s="178" t="str">
        <f>TEXT(   (SUMPRODUCT( ((LMPMain!$H$9:$H$1000)=$E119)*((LMPMain!$J$9:$J$1000)=$F119)*((LMPMain!$O$9:$O$1000)=$C119)*(LMPMain!S$9:S$1000) ) +  ( SUMPRODUCT( ((Adders!$D$13:$D$101)=$E119)*((Adders!$E$13:$E$101)=$F119)*(Adders!H$13:H$101)) + VLOOKUP($H119,Adders!$B$5:$G$8,M$11,FALSE)  +  NJ!$D$2 ) * IF($D119="NJ",1.07,1))/$L$10, CHOOSE($M$10,$L$9,$M$9) )</f>
        <v xml:space="preserve"> 37.02 </v>
      </c>
      <c r="N119" s="179" t="str">
        <f>TEXT(   (SUMPRODUCT( ((LMPMain!$H$9:$H$1000)=$E119)*((LMPMain!$J$9:$J$1000)=$F119)*((LMPMain!$O$9:$O$1000)=$C119)*(LMPMain!T$9:T$1000) ) +  ( SUMPRODUCT( ((Adders!$D$13:$D$101)=$E119)*((Adders!$E$13:$E$101)=$F119)*(Adders!I$13:I$101)) + VLOOKUP($H119,Adders!$B$5:$G$8,N$11,FALSE)  +  NJ!$D$2 ) * IF($D119="NJ",1.07,1))/$L$10, CHOOSE($M$10,$L$9,$M$9) )</f>
        <v xml:space="preserve"> 37.50 </v>
      </c>
      <c r="O119" s="112"/>
    </row>
    <row r="120" spans="2:15" x14ac:dyDescent="0.25">
      <c r="B120" s="108"/>
      <c r="C120" s="131">
        <f t="shared" si="3"/>
        <v>42491</v>
      </c>
      <c r="D120" s="132" t="s">
        <v>39</v>
      </c>
      <c r="E120" s="133" t="s">
        <v>40</v>
      </c>
      <c r="F120" s="132" t="s">
        <v>7</v>
      </c>
      <c r="G120" s="133" t="str">
        <f t="shared" si="4"/>
        <v>General Service Small</v>
      </c>
      <c r="H120" s="134" t="s">
        <v>62</v>
      </c>
      <c r="I120" s="173" t="str">
        <f>TEXT(   (SUMPRODUCT( ((Main!$H$9:$H$1000)=$E120)*((Main!$J$9:$J$1000)=$F120)*((Main!$O$9:$O$1000)=$C120)*(Main!R$9:R$1000) ) +  ( SUMPRODUCT( ((Adders!$D$13:$D$101)=$E120)*((Adders!$E$13:$E$101)=$F120)*(Adders!G$13:G$101)) + VLOOKUP($H120,Adders!$B$5:$G$8,L$11,FALSE)  +  MD!$D$2 ) * IF($D120="NJ",1.07,1))/$L$10, CHOOSE($M$10,$L$9,$M$9) )</f>
        <v xml:space="preserve"> 80.71 </v>
      </c>
      <c r="J120" s="173" t="str">
        <f>TEXT(   (SUMPRODUCT( ((Main!$H$9:$H$1000)=$E120)*((Main!$J$9:$J$1000)=$F120)*((Main!$O$9:$O$1000)=$C120)*(Main!S$9:S$1000) ) +  ( SUMPRODUCT( ((Adders!$D$13:$D$101)=$E120)*((Adders!$E$13:$E$101)=$F120)*(Adders!H$13:H$101)) + VLOOKUP($H120,Adders!$B$5:$G$8,M$11,FALSE)  +  MD!$D$2 ) * IF($D120="NJ",1.07,1))/$L$10, CHOOSE($M$10,$L$9,$M$9) )</f>
        <v xml:space="preserve"> 79.83 </v>
      </c>
      <c r="K120" s="174" t="str">
        <f>TEXT(   (SUMPRODUCT( ((Main!$H$9:$H$1000)=$E120)*((Main!$J$9:$J$1000)=$F120)*((Main!$O$9:$O$1000)=$C120)*(Main!T$9:T$1000) ) +  ( SUMPRODUCT( ((Adders!$D$13:$D$101)=$E120)*((Adders!$E$13:$E$101)=$F120)*(Adders!I$13:I$101)) + VLOOKUP($H120,Adders!$B$5:$G$8,$N$11,FALSE)  +  MD!$D$2 ) * IF($D120="NJ",1.07,1))/$L$10, CHOOSE($M$10,$L$9,$M$9) )</f>
        <v xml:space="preserve"> 81.27 </v>
      </c>
      <c r="L120" s="173" t="str">
        <f>TEXT(   (SUMPRODUCT( ((LMPMain!$H$9:$H$1000)=$E120)*((LMPMain!$J$9:$J$1000)=$F120)*((LMPMain!$O$9:$O$1000)=$C120)*(LMPMain!R$9:R$1000) ) +  ( SUMPRODUCT( ((Adders!$D$13:$D$101)=$E120)*((Adders!$E$13:$E$101)=$F120)*(Adders!G$13:G$101)) + VLOOKUP($H120,Adders!$B$5:$G$8,L$11,FALSE)  +  NJ!$D$2 ) * IF($D120="NJ",1.07,1))/$L$10, CHOOSE($M$10,$L$9,$M$9) )</f>
        <v xml:space="preserve"> 35.77 </v>
      </c>
      <c r="M120" s="173" t="str">
        <f>TEXT(   (SUMPRODUCT( ((LMPMain!$H$9:$H$1000)=$E120)*((LMPMain!$J$9:$J$1000)=$F120)*((LMPMain!$O$9:$O$1000)=$C120)*(LMPMain!S$9:S$1000) ) +  ( SUMPRODUCT( ((Adders!$D$13:$D$101)=$E120)*((Adders!$E$13:$E$101)=$F120)*(Adders!H$13:H$101)) + VLOOKUP($H120,Adders!$B$5:$G$8,M$11,FALSE)  +  NJ!$D$2 ) * IF($D120="NJ",1.07,1))/$L$10, CHOOSE($M$10,$L$9,$M$9) )</f>
        <v xml:space="preserve"> 35.42 </v>
      </c>
      <c r="N120" s="174" t="str">
        <f>TEXT(   (SUMPRODUCT( ((LMPMain!$H$9:$H$1000)=$E120)*((LMPMain!$J$9:$J$1000)=$F120)*((LMPMain!$O$9:$O$1000)=$C120)*(LMPMain!T$9:T$1000) ) +  ( SUMPRODUCT( ((Adders!$D$13:$D$101)=$E120)*((Adders!$E$13:$E$101)=$F120)*(Adders!I$13:I$101)) + VLOOKUP($H120,Adders!$B$5:$G$8,N$11,FALSE)  +  NJ!$D$2 ) * IF($D120="NJ",1.07,1))/$L$10, CHOOSE($M$10,$L$9,$M$9) )</f>
        <v xml:space="preserve"> 35.90 </v>
      </c>
      <c r="O120" s="112"/>
    </row>
    <row r="121" spans="2:15" x14ac:dyDescent="0.25">
      <c r="B121" s="108"/>
      <c r="C121" s="135">
        <f t="shared" si="3"/>
        <v>42491</v>
      </c>
      <c r="D121" s="136" t="s">
        <v>39</v>
      </c>
      <c r="E121" s="137" t="s">
        <v>40</v>
      </c>
      <c r="F121" s="136" t="s">
        <v>7</v>
      </c>
      <c r="G121" s="137" t="str">
        <f t="shared" si="4"/>
        <v>General Service Small</v>
      </c>
      <c r="H121" s="138" t="s">
        <v>690</v>
      </c>
      <c r="I121" s="176" t="str">
        <f>TEXT(   (SUMPRODUCT( ((Main!$H$9:$H$1000)=$E121)*((Main!$J$9:$J$1000)=$F121)*((Main!$O$9:$O$1000)=$C121)*(Main!R$9:R$1000) ) +  ( SUMPRODUCT( ((Adders!$D$13:$D$101)=$E121)*((Adders!$E$13:$E$101)=$F121)*(Adders!G$13:G$101)) + VLOOKUP($H121,Adders!$B$5:$G$8,L$11,FALSE)  +  MD!$D$2 ) * IF($D121="NJ",1.07,1))/$L$10, CHOOSE($M$10,$L$9,$M$9) )</f>
        <v xml:space="preserve"> 79.66 </v>
      </c>
      <c r="J121" s="176" t="str">
        <f>TEXT(   (SUMPRODUCT( ((Main!$H$9:$H$1000)=$E121)*((Main!$J$9:$J$1000)=$F121)*((Main!$O$9:$O$1000)=$C121)*(Main!S$9:S$1000) ) +  ( SUMPRODUCT( ((Adders!$D$13:$D$101)=$E121)*((Adders!$E$13:$E$101)=$F121)*(Adders!H$13:H$101)) + VLOOKUP($H121,Adders!$B$5:$G$8,M$11,FALSE)  +  MD!$D$2 ) * IF($D121="NJ",1.07,1))/$L$10, CHOOSE($M$10,$L$9,$M$9) )</f>
        <v xml:space="preserve"> 78.78 </v>
      </c>
      <c r="K121" s="177" t="str">
        <f>TEXT(   (SUMPRODUCT( ((Main!$H$9:$H$1000)=$E121)*((Main!$J$9:$J$1000)=$F121)*((Main!$O$9:$O$1000)=$C121)*(Main!T$9:T$1000) ) +  ( SUMPRODUCT( ((Adders!$D$13:$D$101)=$E121)*((Adders!$E$13:$E$101)=$F121)*(Adders!I$13:I$101)) + VLOOKUP($H121,Adders!$B$5:$G$8,$N$11,FALSE)  +  MD!$D$2 ) * IF($D121="NJ",1.07,1))/$L$10, CHOOSE($M$10,$L$9,$M$9) )</f>
        <v xml:space="preserve"> 80.22 </v>
      </c>
      <c r="L121" s="176" t="str">
        <f>TEXT(   (SUMPRODUCT( ((LMPMain!$H$9:$H$1000)=$E121)*((LMPMain!$J$9:$J$1000)=$F121)*((LMPMain!$O$9:$O$1000)=$C121)*(LMPMain!R$9:R$1000) ) +  ( SUMPRODUCT( ((Adders!$D$13:$D$101)=$E121)*((Adders!$E$13:$E$101)=$F121)*(Adders!G$13:G$101)) + VLOOKUP($H121,Adders!$B$5:$G$8,L$11,FALSE)  +  NJ!$D$2 ) * IF($D121="NJ",1.07,1))/$L$10, CHOOSE($M$10,$L$9,$M$9) )</f>
        <v xml:space="preserve"> 34.72 </v>
      </c>
      <c r="M121" s="176" t="str">
        <f>TEXT(   (SUMPRODUCT( ((LMPMain!$H$9:$H$1000)=$E121)*((LMPMain!$J$9:$J$1000)=$F121)*((LMPMain!$O$9:$O$1000)=$C121)*(LMPMain!S$9:S$1000) ) +  ( SUMPRODUCT( ((Adders!$D$13:$D$101)=$E121)*((Adders!$E$13:$E$101)=$F121)*(Adders!H$13:H$101)) + VLOOKUP($H121,Adders!$B$5:$G$8,M$11,FALSE)  +  NJ!$D$2 ) * IF($D121="NJ",1.07,1))/$L$10, CHOOSE($M$10,$L$9,$M$9) )</f>
        <v xml:space="preserve"> 34.37 </v>
      </c>
      <c r="N121" s="177" t="str">
        <f>TEXT(   (SUMPRODUCT( ((LMPMain!$H$9:$H$1000)=$E121)*((LMPMain!$J$9:$J$1000)=$F121)*((LMPMain!$O$9:$O$1000)=$C121)*(LMPMain!T$9:T$1000) ) +  ( SUMPRODUCT( ((Adders!$D$13:$D$101)=$E121)*((Adders!$E$13:$E$101)=$F121)*(Adders!I$13:I$101)) + VLOOKUP($H121,Adders!$B$5:$G$8,N$11,FALSE)  +  NJ!$D$2 ) * IF($D121="NJ",1.07,1))/$L$10, CHOOSE($M$10,$L$9,$M$9) )</f>
        <v xml:space="preserve"> 34.85 </v>
      </c>
      <c r="O121" s="112"/>
    </row>
    <row r="122" spans="2:15" x14ac:dyDescent="0.25">
      <c r="B122" s="108"/>
      <c r="C122" s="127">
        <f t="shared" si="3"/>
        <v>42156</v>
      </c>
      <c r="D122" s="128" t="s">
        <v>39</v>
      </c>
      <c r="E122" s="129" t="s">
        <v>43</v>
      </c>
      <c r="F122" s="128" t="s">
        <v>7</v>
      </c>
      <c r="G122" s="129" t="str">
        <f>VLOOKUP(SUMPRODUCT( ((LMPMain!$H$9:$H$1000)=$E122)*((LMPMain!$J$9:$J$1000)=$F122)*((LMPMain!$O$9:$O$1000)=$C122)*(LMPMain!A$9:A$1000)),LMPMain!$A$9:$K$1000,11,FALSE)</f>
        <v>General Service</v>
      </c>
      <c r="H122" s="130" t="s">
        <v>61</v>
      </c>
      <c r="I122" s="178" t="str">
        <f>TEXT(   (SUMPRODUCT( ((Main!$H$9:$H$1000)=$E122)*((Main!$J$9:$J$1000)=$F122)*((Main!$O$9:$O$1000)=$C122)*(Main!R$9:R$1000) ) +  ( SUMPRODUCT( ((Adders!$D$13:$D$101)=$E122)*((Adders!$E$13:$E$101)=$F122)*(Adders!G$13:G$101)) + VLOOKUP($H122,Adders!$B$5:$G$8,L$11,FALSE)  +  MD!$D$2 ) * IF($D122="NJ",1.07,1))/$L$10, CHOOSE($M$10,$L$9,$M$9) )</f>
        <v xml:space="preserve"> 89.89 </v>
      </c>
      <c r="J122" s="178" t="str">
        <f>TEXT(   (SUMPRODUCT( ((Main!$H$9:$H$1000)=$E122)*((Main!$J$9:$J$1000)=$F122)*((Main!$O$9:$O$1000)=$C122)*(Main!S$9:S$1000) ) +  ( SUMPRODUCT( ((Adders!$D$13:$D$101)=$E122)*((Adders!$E$13:$E$101)=$F122)*(Adders!H$13:H$101)) + VLOOKUP($H122,Adders!$B$5:$G$8,M$11,FALSE)  +  MD!$D$2 ) * IF($D122="NJ",1.07,1))/$L$10, CHOOSE($M$10,$L$9,$M$9) )</f>
        <v xml:space="preserve"> 87.68 </v>
      </c>
      <c r="K122" s="179" t="str">
        <f>TEXT(   (SUMPRODUCT( ((Main!$H$9:$H$1000)=$E122)*((Main!$J$9:$J$1000)=$F122)*((Main!$O$9:$O$1000)=$C122)*(Main!T$9:T$1000) ) +  ( SUMPRODUCT( ((Adders!$D$13:$D$101)=$E122)*((Adders!$E$13:$E$101)=$F122)*(Adders!I$13:I$101)) + VLOOKUP($H122,Adders!$B$5:$G$8,$N$11,FALSE)  +  MD!$D$2 ) * IF($D122="NJ",1.07,1))/$L$10, CHOOSE($M$10,$L$9,$M$9) )</f>
        <v xml:space="preserve"> 88.07 </v>
      </c>
      <c r="L122" s="178" t="str">
        <f>TEXT(   (SUMPRODUCT( ((LMPMain!$H$9:$H$1000)=$E122)*((LMPMain!$J$9:$J$1000)=$F122)*((LMPMain!$O$9:$O$1000)=$C122)*(LMPMain!R$9:R$1000) ) +  ( SUMPRODUCT( ((Adders!$D$13:$D$101)=$E122)*((Adders!$E$13:$E$101)=$F122)*(Adders!G$13:G$101)) + VLOOKUP($H122,Adders!$B$5:$G$8,L$11,FALSE)  +  NJ!$D$2 ) * IF($D122="NJ",1.07,1))/$L$10, CHOOSE($M$10,$L$9,$M$9) )</f>
        <v xml:space="preserve"> 43.56 </v>
      </c>
      <c r="M122" s="178" t="str">
        <f>TEXT(   (SUMPRODUCT( ((LMPMain!$H$9:$H$1000)=$E122)*((LMPMain!$J$9:$J$1000)=$F122)*((LMPMain!$O$9:$O$1000)=$C122)*(LMPMain!S$9:S$1000) ) +  ( SUMPRODUCT( ((Adders!$D$13:$D$101)=$E122)*((Adders!$E$13:$E$101)=$F122)*(Adders!H$13:H$101)) + VLOOKUP($H122,Adders!$B$5:$G$8,M$11,FALSE)  +  NJ!$D$2 ) * IF($D122="NJ",1.07,1))/$L$10, CHOOSE($M$10,$L$9,$M$9) )</f>
        <v xml:space="preserve"> 41.80 </v>
      </c>
      <c r="N122" s="179" t="str">
        <f>TEXT(   (SUMPRODUCT( ((LMPMain!$H$9:$H$1000)=$E122)*((LMPMain!$J$9:$J$1000)=$F122)*((LMPMain!$O$9:$O$1000)=$C122)*(LMPMain!T$9:T$1000) ) +  ( SUMPRODUCT( ((Adders!$D$13:$D$101)=$E122)*((Adders!$E$13:$E$101)=$F122)*(Adders!I$13:I$101)) + VLOOKUP($H122,Adders!$B$5:$G$8,N$11,FALSE)  +  NJ!$D$2 ) * IF($D122="NJ",1.07,1))/$L$10, CHOOSE($M$10,$L$9,$M$9) )</f>
        <v xml:space="preserve"> 41.70 </v>
      </c>
      <c r="O122" s="112"/>
    </row>
    <row r="123" spans="2:15" x14ac:dyDescent="0.25">
      <c r="B123" s="108"/>
      <c r="C123" s="131">
        <f t="shared" si="3"/>
        <v>42156</v>
      </c>
      <c r="D123" s="132" t="s">
        <v>39</v>
      </c>
      <c r="E123" s="133" t="s">
        <v>43</v>
      </c>
      <c r="F123" s="132" t="s">
        <v>7</v>
      </c>
      <c r="G123" s="133" t="str">
        <f>G122</f>
        <v>General Service</v>
      </c>
      <c r="H123" s="134" t="s">
        <v>62</v>
      </c>
      <c r="I123" s="173" t="str">
        <f>TEXT(   (SUMPRODUCT( ((Main!$H$9:$H$1000)=$E123)*((Main!$J$9:$J$1000)=$F123)*((Main!$O$9:$O$1000)=$C123)*(Main!R$9:R$1000) ) +  ( SUMPRODUCT( ((Adders!$D$13:$D$101)=$E123)*((Adders!$E$13:$E$101)=$F123)*(Adders!G$13:G$101)) + VLOOKUP($H123,Adders!$B$5:$G$8,L$11,FALSE)  +  MD!$D$2 ) * IF($D123="NJ",1.07,1))/$L$10, CHOOSE($M$10,$L$9,$M$9) )</f>
        <v xml:space="preserve"> 88.29 </v>
      </c>
      <c r="J123" s="173" t="str">
        <f>TEXT(   (SUMPRODUCT( ((Main!$H$9:$H$1000)=$E123)*((Main!$J$9:$J$1000)=$F123)*((Main!$O$9:$O$1000)=$C123)*(Main!S$9:S$1000) ) +  ( SUMPRODUCT( ((Adders!$D$13:$D$101)=$E123)*((Adders!$E$13:$E$101)=$F123)*(Adders!H$13:H$101)) + VLOOKUP($H123,Adders!$B$5:$G$8,M$11,FALSE)  +  MD!$D$2 ) * IF($D123="NJ",1.07,1))/$L$10, CHOOSE($M$10,$L$9,$M$9) )</f>
        <v xml:space="preserve"> 86.08 </v>
      </c>
      <c r="K123" s="174" t="str">
        <f>TEXT(   (SUMPRODUCT( ((Main!$H$9:$H$1000)=$E123)*((Main!$J$9:$J$1000)=$F123)*((Main!$O$9:$O$1000)=$C123)*(Main!T$9:T$1000) ) +  ( SUMPRODUCT( ((Adders!$D$13:$D$101)=$E123)*((Adders!$E$13:$E$101)=$F123)*(Adders!I$13:I$101)) + VLOOKUP($H123,Adders!$B$5:$G$8,$N$11,FALSE)  +  MD!$D$2 ) * IF($D123="NJ",1.07,1))/$L$10, CHOOSE($M$10,$L$9,$M$9) )</f>
        <v xml:space="preserve"> 86.47 </v>
      </c>
      <c r="L123" s="173" t="str">
        <f>TEXT(   (SUMPRODUCT( ((LMPMain!$H$9:$H$1000)=$E123)*((LMPMain!$J$9:$J$1000)=$F123)*((LMPMain!$O$9:$O$1000)=$C123)*(LMPMain!R$9:R$1000) ) +  ( SUMPRODUCT( ((Adders!$D$13:$D$101)=$E123)*((Adders!$E$13:$E$101)=$F123)*(Adders!G$13:G$101)) + VLOOKUP($H123,Adders!$B$5:$G$8,L$11,FALSE)  +  NJ!$D$2 ) * IF($D123="NJ",1.07,1))/$L$10, CHOOSE($M$10,$L$9,$M$9) )</f>
        <v xml:space="preserve"> 41.96 </v>
      </c>
      <c r="M123" s="173" t="str">
        <f>TEXT(   (SUMPRODUCT( ((LMPMain!$H$9:$H$1000)=$E123)*((LMPMain!$J$9:$J$1000)=$F123)*((LMPMain!$O$9:$O$1000)=$C123)*(LMPMain!S$9:S$1000) ) +  ( SUMPRODUCT( ((Adders!$D$13:$D$101)=$E123)*((Adders!$E$13:$E$101)=$F123)*(Adders!H$13:H$101)) + VLOOKUP($H123,Adders!$B$5:$G$8,M$11,FALSE)  +  NJ!$D$2 ) * IF($D123="NJ",1.07,1))/$L$10, CHOOSE($M$10,$L$9,$M$9) )</f>
        <v xml:space="preserve"> 40.20 </v>
      </c>
      <c r="N123" s="174" t="str">
        <f>TEXT(   (SUMPRODUCT( ((LMPMain!$H$9:$H$1000)=$E123)*((LMPMain!$J$9:$J$1000)=$F123)*((LMPMain!$O$9:$O$1000)=$C123)*(LMPMain!T$9:T$1000) ) +  ( SUMPRODUCT( ((Adders!$D$13:$D$101)=$E123)*((Adders!$E$13:$E$101)=$F123)*(Adders!I$13:I$101)) + VLOOKUP($H123,Adders!$B$5:$G$8,N$11,FALSE)  +  NJ!$D$2 ) * IF($D123="NJ",1.07,1))/$L$10, CHOOSE($M$10,$L$9,$M$9) )</f>
        <v xml:space="preserve"> 40.10 </v>
      </c>
      <c r="O123" s="112"/>
    </row>
    <row r="124" spans="2:15" x14ac:dyDescent="0.25">
      <c r="B124" s="108"/>
      <c r="C124" s="135">
        <f t="shared" si="3"/>
        <v>42156</v>
      </c>
      <c r="D124" s="136" t="s">
        <v>39</v>
      </c>
      <c r="E124" s="137" t="s">
        <v>43</v>
      </c>
      <c r="F124" s="136" t="s">
        <v>7</v>
      </c>
      <c r="G124" s="137" t="str">
        <f>G123</f>
        <v>General Service</v>
      </c>
      <c r="H124" s="138" t="s">
        <v>690</v>
      </c>
      <c r="I124" s="176" t="str">
        <f>TEXT(   (SUMPRODUCT( ((Main!$H$9:$H$1000)=$E124)*((Main!$J$9:$J$1000)=$F124)*((Main!$O$9:$O$1000)=$C124)*(Main!R$9:R$1000) ) +  ( SUMPRODUCT( ((Adders!$D$13:$D$101)=$E124)*((Adders!$E$13:$E$101)=$F124)*(Adders!G$13:G$101)) + VLOOKUP($H124,Adders!$B$5:$G$8,L$11,FALSE)  +  MD!$D$2 ) * IF($D124="NJ",1.07,1))/$L$10, CHOOSE($M$10,$L$9,$M$9) )</f>
        <v xml:space="preserve"> 87.24 </v>
      </c>
      <c r="J124" s="176" t="str">
        <f>TEXT(   (SUMPRODUCT( ((Main!$H$9:$H$1000)=$E124)*((Main!$J$9:$J$1000)=$F124)*((Main!$O$9:$O$1000)=$C124)*(Main!S$9:S$1000) ) +  ( SUMPRODUCT( ((Adders!$D$13:$D$101)=$E124)*((Adders!$E$13:$E$101)=$F124)*(Adders!H$13:H$101)) + VLOOKUP($H124,Adders!$B$5:$G$8,M$11,FALSE)  +  MD!$D$2 ) * IF($D124="NJ",1.07,1))/$L$10, CHOOSE($M$10,$L$9,$M$9) )</f>
        <v xml:space="preserve"> 85.03 </v>
      </c>
      <c r="K124" s="177" t="str">
        <f>TEXT(   (SUMPRODUCT( ((Main!$H$9:$H$1000)=$E124)*((Main!$J$9:$J$1000)=$F124)*((Main!$O$9:$O$1000)=$C124)*(Main!T$9:T$1000) ) +  ( SUMPRODUCT( ((Adders!$D$13:$D$101)=$E124)*((Adders!$E$13:$E$101)=$F124)*(Adders!I$13:I$101)) + VLOOKUP($H124,Adders!$B$5:$G$8,$N$11,FALSE)  +  MD!$D$2 ) * IF($D124="NJ",1.07,1))/$L$10, CHOOSE($M$10,$L$9,$M$9) )</f>
        <v xml:space="preserve"> 85.42 </v>
      </c>
      <c r="L124" s="176" t="str">
        <f>TEXT(   (SUMPRODUCT( ((LMPMain!$H$9:$H$1000)=$E124)*((LMPMain!$J$9:$J$1000)=$F124)*((LMPMain!$O$9:$O$1000)=$C124)*(LMPMain!R$9:R$1000) ) +  ( SUMPRODUCT( ((Adders!$D$13:$D$101)=$E124)*((Adders!$E$13:$E$101)=$F124)*(Adders!G$13:G$101)) + VLOOKUP($H124,Adders!$B$5:$G$8,L$11,FALSE)  +  NJ!$D$2 ) * IF($D124="NJ",1.07,1))/$L$10, CHOOSE($M$10,$L$9,$M$9) )</f>
        <v xml:space="preserve"> 40.91 </v>
      </c>
      <c r="M124" s="176" t="str">
        <f>TEXT(   (SUMPRODUCT( ((LMPMain!$H$9:$H$1000)=$E124)*((LMPMain!$J$9:$J$1000)=$F124)*((LMPMain!$O$9:$O$1000)=$C124)*(LMPMain!S$9:S$1000) ) +  ( SUMPRODUCT( ((Adders!$D$13:$D$101)=$E124)*((Adders!$E$13:$E$101)=$F124)*(Adders!H$13:H$101)) + VLOOKUP($H124,Adders!$B$5:$G$8,M$11,FALSE)  +  NJ!$D$2 ) * IF($D124="NJ",1.07,1))/$L$10, CHOOSE($M$10,$L$9,$M$9) )</f>
        <v xml:space="preserve"> 39.15 </v>
      </c>
      <c r="N124" s="177" t="str">
        <f>TEXT(   (SUMPRODUCT( ((LMPMain!$H$9:$H$1000)=$E124)*((LMPMain!$J$9:$J$1000)=$F124)*((LMPMain!$O$9:$O$1000)=$C124)*(LMPMain!T$9:T$1000) ) +  ( SUMPRODUCT( ((Adders!$D$13:$D$101)=$E124)*((Adders!$E$13:$E$101)=$F124)*(Adders!I$13:I$101)) + VLOOKUP($H124,Adders!$B$5:$G$8,N$11,FALSE)  +  NJ!$D$2 ) * IF($D124="NJ",1.07,1))/$L$10, CHOOSE($M$10,$L$9,$M$9) )</f>
        <v xml:space="preserve"> 39.05 </v>
      </c>
      <c r="O124" s="112"/>
    </row>
    <row r="125" spans="2:15" x14ac:dyDescent="0.25">
      <c r="B125" s="108"/>
      <c r="C125" s="127">
        <f t="shared" si="3"/>
        <v>42186</v>
      </c>
      <c r="D125" s="128" t="s">
        <v>39</v>
      </c>
      <c r="E125" s="129" t="s">
        <v>43</v>
      </c>
      <c r="F125" s="128" t="s">
        <v>7</v>
      </c>
      <c r="G125" s="129" t="str">
        <f t="shared" si="4"/>
        <v>General Service</v>
      </c>
      <c r="H125" s="130" t="s">
        <v>61</v>
      </c>
      <c r="I125" s="178" t="str">
        <f>TEXT(   (SUMPRODUCT( ((Main!$H$9:$H$1000)=$E125)*((Main!$J$9:$J$1000)=$F125)*((Main!$O$9:$O$1000)=$C125)*(Main!R$9:R$1000) ) +  ( SUMPRODUCT( ((Adders!$D$13:$D$101)=$E125)*((Adders!$E$13:$E$101)=$F125)*(Adders!G$13:G$101)) + VLOOKUP($H125,Adders!$B$5:$G$8,L$11,FALSE)  +  MD!$D$2 ) * IF($D125="NJ",1.07,1))/$L$10, CHOOSE($M$10,$L$9,$M$9) )</f>
        <v xml:space="preserve"> 89.74 </v>
      </c>
      <c r="J125" s="178" t="str">
        <f>TEXT(   (SUMPRODUCT( ((Main!$H$9:$H$1000)=$E125)*((Main!$J$9:$J$1000)=$F125)*((Main!$O$9:$O$1000)=$C125)*(Main!S$9:S$1000) ) +  ( SUMPRODUCT( ((Adders!$D$13:$D$101)=$E125)*((Adders!$E$13:$E$101)=$F125)*(Adders!H$13:H$101)) + VLOOKUP($H125,Adders!$B$5:$G$8,M$11,FALSE)  +  MD!$D$2 ) * IF($D125="NJ",1.07,1))/$L$10, CHOOSE($M$10,$L$9,$M$9) )</f>
        <v xml:space="preserve"> 87.70 </v>
      </c>
      <c r="K125" s="179" t="str">
        <f>TEXT(   (SUMPRODUCT( ((Main!$H$9:$H$1000)=$E125)*((Main!$J$9:$J$1000)=$F125)*((Main!$O$9:$O$1000)=$C125)*(Main!T$9:T$1000) ) +  ( SUMPRODUCT( ((Adders!$D$13:$D$101)=$E125)*((Adders!$E$13:$E$101)=$F125)*(Adders!I$13:I$101)) + VLOOKUP($H125,Adders!$B$5:$G$8,$N$11,FALSE)  +  MD!$D$2 ) * IF($D125="NJ",1.07,1))/$L$10, CHOOSE($M$10,$L$9,$M$9) )</f>
        <v xml:space="preserve"> 88.04 </v>
      </c>
      <c r="L125" s="178" t="str">
        <f>TEXT(   (SUMPRODUCT( ((LMPMain!$H$9:$H$1000)=$E125)*((LMPMain!$J$9:$J$1000)=$F125)*((LMPMain!$O$9:$O$1000)=$C125)*(LMPMain!R$9:R$1000) ) +  ( SUMPRODUCT( ((Adders!$D$13:$D$101)=$E125)*((Adders!$E$13:$E$101)=$F125)*(Adders!G$13:G$101)) + VLOOKUP($H125,Adders!$B$5:$G$8,L$11,FALSE)  +  NJ!$D$2 ) * IF($D125="NJ",1.07,1))/$L$10, CHOOSE($M$10,$L$9,$M$9) )</f>
        <v xml:space="preserve"> 43.28 </v>
      </c>
      <c r="M125" s="178" t="str">
        <f>TEXT(   (SUMPRODUCT( ((LMPMain!$H$9:$H$1000)=$E125)*((LMPMain!$J$9:$J$1000)=$F125)*((LMPMain!$O$9:$O$1000)=$C125)*(LMPMain!S$9:S$1000) ) +  ( SUMPRODUCT( ((Adders!$D$13:$D$101)=$E125)*((Adders!$E$13:$E$101)=$F125)*(Adders!H$13:H$101)) + VLOOKUP($H125,Adders!$B$5:$G$8,M$11,FALSE)  +  NJ!$D$2 ) * IF($D125="NJ",1.07,1))/$L$10, CHOOSE($M$10,$L$9,$M$9) )</f>
        <v xml:space="preserve"> 41.84 </v>
      </c>
      <c r="N125" s="179" t="str">
        <f>TEXT(   (SUMPRODUCT( ((LMPMain!$H$9:$H$1000)=$E125)*((LMPMain!$J$9:$J$1000)=$F125)*((LMPMain!$O$9:$O$1000)=$C125)*(LMPMain!T$9:T$1000) ) +  ( SUMPRODUCT( ((Adders!$D$13:$D$101)=$E125)*((Adders!$E$13:$E$101)=$F125)*(Adders!I$13:I$101)) + VLOOKUP($H125,Adders!$B$5:$G$8,N$11,FALSE)  +  NJ!$D$2 ) * IF($D125="NJ",1.07,1))/$L$10, CHOOSE($M$10,$L$9,$M$9) )</f>
        <v xml:space="preserve"> 41.59 </v>
      </c>
      <c r="O125" s="112"/>
    </row>
    <row r="126" spans="2:15" x14ac:dyDescent="0.25">
      <c r="B126" s="108"/>
      <c r="C126" s="131">
        <f t="shared" si="3"/>
        <v>42186</v>
      </c>
      <c r="D126" s="132" t="s">
        <v>39</v>
      </c>
      <c r="E126" s="133" t="s">
        <v>43</v>
      </c>
      <c r="F126" s="132" t="s">
        <v>7</v>
      </c>
      <c r="G126" s="133" t="str">
        <f t="shared" si="4"/>
        <v>General Service</v>
      </c>
      <c r="H126" s="134" t="s">
        <v>62</v>
      </c>
      <c r="I126" s="173" t="str">
        <f>TEXT(   (SUMPRODUCT( ((Main!$H$9:$H$1000)=$E126)*((Main!$J$9:$J$1000)=$F126)*((Main!$O$9:$O$1000)=$C126)*(Main!R$9:R$1000) ) +  ( SUMPRODUCT( ((Adders!$D$13:$D$101)=$E126)*((Adders!$E$13:$E$101)=$F126)*(Adders!G$13:G$101)) + VLOOKUP($H126,Adders!$B$5:$G$8,L$11,FALSE)  +  MD!$D$2 ) * IF($D126="NJ",1.07,1))/$L$10, CHOOSE($M$10,$L$9,$M$9) )</f>
        <v xml:space="preserve"> 88.14 </v>
      </c>
      <c r="J126" s="173" t="str">
        <f>TEXT(   (SUMPRODUCT( ((Main!$H$9:$H$1000)=$E126)*((Main!$J$9:$J$1000)=$F126)*((Main!$O$9:$O$1000)=$C126)*(Main!S$9:S$1000) ) +  ( SUMPRODUCT( ((Adders!$D$13:$D$101)=$E126)*((Adders!$E$13:$E$101)=$F126)*(Adders!H$13:H$101)) + VLOOKUP($H126,Adders!$B$5:$G$8,M$11,FALSE)  +  MD!$D$2 ) * IF($D126="NJ",1.07,1))/$L$10, CHOOSE($M$10,$L$9,$M$9) )</f>
        <v xml:space="preserve"> 86.10 </v>
      </c>
      <c r="K126" s="174" t="str">
        <f>TEXT(   (SUMPRODUCT( ((Main!$H$9:$H$1000)=$E126)*((Main!$J$9:$J$1000)=$F126)*((Main!$O$9:$O$1000)=$C126)*(Main!T$9:T$1000) ) +  ( SUMPRODUCT( ((Adders!$D$13:$D$101)=$E126)*((Adders!$E$13:$E$101)=$F126)*(Adders!I$13:I$101)) + VLOOKUP($H126,Adders!$B$5:$G$8,$N$11,FALSE)  +  MD!$D$2 ) * IF($D126="NJ",1.07,1))/$L$10, CHOOSE($M$10,$L$9,$M$9) )</f>
        <v xml:space="preserve"> 86.44 </v>
      </c>
      <c r="L126" s="173" t="str">
        <f>TEXT(   (SUMPRODUCT( ((LMPMain!$H$9:$H$1000)=$E126)*((LMPMain!$J$9:$J$1000)=$F126)*((LMPMain!$O$9:$O$1000)=$C126)*(LMPMain!R$9:R$1000) ) +  ( SUMPRODUCT( ((Adders!$D$13:$D$101)=$E126)*((Adders!$E$13:$E$101)=$F126)*(Adders!G$13:G$101)) + VLOOKUP($H126,Adders!$B$5:$G$8,L$11,FALSE)  +  NJ!$D$2 ) * IF($D126="NJ",1.07,1))/$L$10, CHOOSE($M$10,$L$9,$M$9) )</f>
        <v xml:space="preserve"> 41.68 </v>
      </c>
      <c r="M126" s="173" t="str">
        <f>TEXT(   (SUMPRODUCT( ((LMPMain!$H$9:$H$1000)=$E126)*((LMPMain!$J$9:$J$1000)=$F126)*((LMPMain!$O$9:$O$1000)=$C126)*(LMPMain!S$9:S$1000) ) +  ( SUMPRODUCT( ((Adders!$D$13:$D$101)=$E126)*((Adders!$E$13:$E$101)=$F126)*(Adders!H$13:H$101)) + VLOOKUP($H126,Adders!$B$5:$G$8,M$11,FALSE)  +  NJ!$D$2 ) * IF($D126="NJ",1.07,1))/$L$10, CHOOSE($M$10,$L$9,$M$9) )</f>
        <v xml:space="preserve"> 40.24 </v>
      </c>
      <c r="N126" s="174" t="str">
        <f>TEXT(   (SUMPRODUCT( ((LMPMain!$H$9:$H$1000)=$E126)*((LMPMain!$J$9:$J$1000)=$F126)*((LMPMain!$O$9:$O$1000)=$C126)*(LMPMain!T$9:T$1000) ) +  ( SUMPRODUCT( ((Adders!$D$13:$D$101)=$E126)*((Adders!$E$13:$E$101)=$F126)*(Adders!I$13:I$101)) + VLOOKUP($H126,Adders!$B$5:$G$8,N$11,FALSE)  +  NJ!$D$2 ) * IF($D126="NJ",1.07,1))/$L$10, CHOOSE($M$10,$L$9,$M$9) )</f>
        <v xml:space="preserve"> 39.99 </v>
      </c>
      <c r="O126" s="112"/>
    </row>
    <row r="127" spans="2:15" x14ac:dyDescent="0.25">
      <c r="B127" s="108"/>
      <c r="C127" s="135">
        <f t="shared" si="3"/>
        <v>42186</v>
      </c>
      <c r="D127" s="136" t="s">
        <v>39</v>
      </c>
      <c r="E127" s="137" t="s">
        <v>43</v>
      </c>
      <c r="F127" s="136" t="s">
        <v>7</v>
      </c>
      <c r="G127" s="137" t="str">
        <f t="shared" si="4"/>
        <v>General Service</v>
      </c>
      <c r="H127" s="138" t="s">
        <v>690</v>
      </c>
      <c r="I127" s="176" t="str">
        <f>TEXT(   (SUMPRODUCT( ((Main!$H$9:$H$1000)=$E127)*((Main!$J$9:$J$1000)=$F127)*((Main!$O$9:$O$1000)=$C127)*(Main!R$9:R$1000) ) +  ( SUMPRODUCT( ((Adders!$D$13:$D$101)=$E127)*((Adders!$E$13:$E$101)=$F127)*(Adders!G$13:G$101)) + VLOOKUP($H127,Adders!$B$5:$G$8,L$11,FALSE)  +  MD!$D$2 ) * IF($D127="NJ",1.07,1))/$L$10, CHOOSE($M$10,$L$9,$M$9) )</f>
        <v xml:space="preserve"> 87.09 </v>
      </c>
      <c r="J127" s="176" t="str">
        <f>TEXT(   (SUMPRODUCT( ((Main!$H$9:$H$1000)=$E127)*((Main!$J$9:$J$1000)=$F127)*((Main!$O$9:$O$1000)=$C127)*(Main!S$9:S$1000) ) +  ( SUMPRODUCT( ((Adders!$D$13:$D$101)=$E127)*((Adders!$E$13:$E$101)=$F127)*(Adders!H$13:H$101)) + VLOOKUP($H127,Adders!$B$5:$G$8,M$11,FALSE)  +  MD!$D$2 ) * IF($D127="NJ",1.07,1))/$L$10, CHOOSE($M$10,$L$9,$M$9) )</f>
        <v xml:space="preserve"> 85.05 </v>
      </c>
      <c r="K127" s="177" t="str">
        <f>TEXT(   (SUMPRODUCT( ((Main!$H$9:$H$1000)=$E127)*((Main!$J$9:$J$1000)=$F127)*((Main!$O$9:$O$1000)=$C127)*(Main!T$9:T$1000) ) +  ( SUMPRODUCT( ((Adders!$D$13:$D$101)=$E127)*((Adders!$E$13:$E$101)=$F127)*(Adders!I$13:I$101)) + VLOOKUP($H127,Adders!$B$5:$G$8,$N$11,FALSE)  +  MD!$D$2 ) * IF($D127="NJ",1.07,1))/$L$10, CHOOSE($M$10,$L$9,$M$9) )</f>
        <v xml:space="preserve"> 85.39 </v>
      </c>
      <c r="L127" s="176" t="str">
        <f>TEXT(   (SUMPRODUCT( ((LMPMain!$H$9:$H$1000)=$E127)*((LMPMain!$J$9:$J$1000)=$F127)*((LMPMain!$O$9:$O$1000)=$C127)*(LMPMain!R$9:R$1000) ) +  ( SUMPRODUCT( ((Adders!$D$13:$D$101)=$E127)*((Adders!$E$13:$E$101)=$F127)*(Adders!G$13:G$101)) + VLOOKUP($H127,Adders!$B$5:$G$8,L$11,FALSE)  +  NJ!$D$2 ) * IF($D127="NJ",1.07,1))/$L$10, CHOOSE($M$10,$L$9,$M$9) )</f>
        <v xml:space="preserve"> 40.63 </v>
      </c>
      <c r="M127" s="176" t="str">
        <f>TEXT(   (SUMPRODUCT( ((LMPMain!$H$9:$H$1000)=$E127)*((LMPMain!$J$9:$J$1000)=$F127)*((LMPMain!$O$9:$O$1000)=$C127)*(LMPMain!S$9:S$1000) ) +  ( SUMPRODUCT( ((Adders!$D$13:$D$101)=$E127)*((Adders!$E$13:$E$101)=$F127)*(Adders!H$13:H$101)) + VLOOKUP($H127,Adders!$B$5:$G$8,M$11,FALSE)  +  NJ!$D$2 ) * IF($D127="NJ",1.07,1))/$L$10, CHOOSE($M$10,$L$9,$M$9) )</f>
        <v xml:space="preserve"> 39.19 </v>
      </c>
      <c r="N127" s="177" t="str">
        <f>TEXT(   (SUMPRODUCT( ((LMPMain!$H$9:$H$1000)=$E127)*((LMPMain!$J$9:$J$1000)=$F127)*((LMPMain!$O$9:$O$1000)=$C127)*(LMPMain!T$9:T$1000) ) +  ( SUMPRODUCT( ((Adders!$D$13:$D$101)=$E127)*((Adders!$E$13:$E$101)=$F127)*(Adders!I$13:I$101)) + VLOOKUP($H127,Adders!$B$5:$G$8,N$11,FALSE)  +  NJ!$D$2 ) * IF($D127="NJ",1.07,1))/$L$10, CHOOSE($M$10,$L$9,$M$9) )</f>
        <v xml:space="preserve"> 38.94 </v>
      </c>
      <c r="O127" s="112"/>
    </row>
    <row r="128" spans="2:15" x14ac:dyDescent="0.25">
      <c r="B128" s="108"/>
      <c r="C128" s="127">
        <f t="shared" si="3"/>
        <v>42217</v>
      </c>
      <c r="D128" s="128" t="s">
        <v>39</v>
      </c>
      <c r="E128" s="129" t="s">
        <v>43</v>
      </c>
      <c r="F128" s="128" t="s">
        <v>7</v>
      </c>
      <c r="G128" s="129" t="str">
        <f t="shared" si="4"/>
        <v>General Service</v>
      </c>
      <c r="H128" s="130" t="s">
        <v>61</v>
      </c>
      <c r="I128" s="178" t="str">
        <f>TEXT(   (SUMPRODUCT( ((Main!$H$9:$H$1000)=$E128)*((Main!$J$9:$J$1000)=$F128)*((Main!$O$9:$O$1000)=$C128)*(Main!R$9:R$1000) ) +  ( SUMPRODUCT( ((Adders!$D$13:$D$101)=$E128)*((Adders!$E$13:$E$101)=$F128)*(Adders!G$13:G$101)) + VLOOKUP($H128,Adders!$B$5:$G$8,L$11,FALSE)  +  MD!$D$2 ) * IF($D128="NJ",1.07,1))/$L$10, CHOOSE($M$10,$L$9,$M$9) )</f>
        <v xml:space="preserve"> 89.11 </v>
      </c>
      <c r="J128" s="178" t="str">
        <f>TEXT(   (SUMPRODUCT( ((Main!$H$9:$H$1000)=$E128)*((Main!$J$9:$J$1000)=$F128)*((Main!$O$9:$O$1000)=$C128)*(Main!S$9:S$1000) ) +  ( SUMPRODUCT( ((Adders!$D$13:$D$101)=$E128)*((Adders!$E$13:$E$101)=$F128)*(Adders!H$13:H$101)) + VLOOKUP($H128,Adders!$B$5:$G$8,M$11,FALSE)  +  MD!$D$2 ) * IF($D128="NJ",1.07,1))/$L$10, CHOOSE($M$10,$L$9,$M$9) )</f>
        <v xml:space="preserve"> 88.03 </v>
      </c>
      <c r="K128" s="179" t="str">
        <f>TEXT(   (SUMPRODUCT( ((Main!$H$9:$H$1000)=$E128)*((Main!$J$9:$J$1000)=$F128)*((Main!$O$9:$O$1000)=$C128)*(Main!T$9:T$1000) ) +  ( SUMPRODUCT( ((Adders!$D$13:$D$101)=$E128)*((Adders!$E$13:$E$101)=$F128)*(Adders!I$13:I$101)) + VLOOKUP($H128,Adders!$B$5:$G$8,$N$11,FALSE)  +  MD!$D$2 ) * IF($D128="NJ",1.07,1))/$L$10, CHOOSE($M$10,$L$9,$M$9) )</f>
        <v xml:space="preserve"> 87.87 </v>
      </c>
      <c r="L128" s="178" t="str">
        <f>TEXT(   (SUMPRODUCT( ((LMPMain!$H$9:$H$1000)=$E128)*((LMPMain!$J$9:$J$1000)=$F128)*((LMPMain!$O$9:$O$1000)=$C128)*(LMPMain!R$9:R$1000) ) +  ( SUMPRODUCT( ((Adders!$D$13:$D$101)=$E128)*((Adders!$E$13:$E$101)=$F128)*(Adders!G$13:G$101)) + VLOOKUP($H128,Adders!$B$5:$G$8,L$11,FALSE)  +  NJ!$D$2 ) * IF($D128="NJ",1.07,1))/$L$10, CHOOSE($M$10,$L$9,$M$9) )</f>
        <v xml:space="preserve"> 43.00 </v>
      </c>
      <c r="M128" s="178" t="str">
        <f>TEXT(   (SUMPRODUCT( ((LMPMain!$H$9:$H$1000)=$E128)*((LMPMain!$J$9:$J$1000)=$F128)*((LMPMain!$O$9:$O$1000)=$C128)*(LMPMain!S$9:S$1000) ) +  ( SUMPRODUCT( ((Adders!$D$13:$D$101)=$E128)*((Adders!$E$13:$E$101)=$F128)*(Adders!H$13:H$101)) + VLOOKUP($H128,Adders!$B$5:$G$8,M$11,FALSE)  +  NJ!$D$2 ) * IF($D128="NJ",1.07,1))/$L$10, CHOOSE($M$10,$L$9,$M$9) )</f>
        <v xml:space="preserve"> 42.02 </v>
      </c>
      <c r="N128" s="179" t="str">
        <f>TEXT(   (SUMPRODUCT( ((LMPMain!$H$9:$H$1000)=$E128)*((LMPMain!$J$9:$J$1000)=$F128)*((LMPMain!$O$9:$O$1000)=$C128)*(LMPMain!T$9:T$1000) ) +  ( SUMPRODUCT( ((Adders!$D$13:$D$101)=$E128)*((Adders!$E$13:$E$101)=$F128)*(Adders!I$13:I$101)) + VLOOKUP($H128,Adders!$B$5:$G$8,N$11,FALSE)  +  NJ!$D$2 ) * IF($D128="NJ",1.07,1))/$L$10, CHOOSE($M$10,$L$9,$M$9) )</f>
        <v xml:space="preserve"> 41.52 </v>
      </c>
      <c r="O128" s="112"/>
    </row>
    <row r="129" spans="2:15" x14ac:dyDescent="0.25">
      <c r="B129" s="108"/>
      <c r="C129" s="131">
        <f t="shared" si="3"/>
        <v>42217</v>
      </c>
      <c r="D129" s="132" t="s">
        <v>39</v>
      </c>
      <c r="E129" s="133" t="s">
        <v>43</v>
      </c>
      <c r="F129" s="132" t="s">
        <v>7</v>
      </c>
      <c r="G129" s="133" t="str">
        <f t="shared" si="4"/>
        <v>General Service</v>
      </c>
      <c r="H129" s="134" t="s">
        <v>62</v>
      </c>
      <c r="I129" s="173" t="str">
        <f>TEXT(   (SUMPRODUCT( ((Main!$H$9:$H$1000)=$E129)*((Main!$J$9:$J$1000)=$F129)*((Main!$O$9:$O$1000)=$C129)*(Main!R$9:R$1000) ) +  ( SUMPRODUCT( ((Adders!$D$13:$D$101)=$E129)*((Adders!$E$13:$E$101)=$F129)*(Adders!G$13:G$101)) + VLOOKUP($H129,Adders!$B$5:$G$8,L$11,FALSE)  +  MD!$D$2 ) * IF($D129="NJ",1.07,1))/$L$10, CHOOSE($M$10,$L$9,$M$9) )</f>
        <v xml:space="preserve"> 87.51 </v>
      </c>
      <c r="J129" s="173" t="str">
        <f>TEXT(   (SUMPRODUCT( ((Main!$H$9:$H$1000)=$E129)*((Main!$J$9:$J$1000)=$F129)*((Main!$O$9:$O$1000)=$C129)*(Main!S$9:S$1000) ) +  ( SUMPRODUCT( ((Adders!$D$13:$D$101)=$E129)*((Adders!$E$13:$E$101)=$F129)*(Adders!H$13:H$101)) + VLOOKUP($H129,Adders!$B$5:$G$8,M$11,FALSE)  +  MD!$D$2 ) * IF($D129="NJ",1.07,1))/$L$10, CHOOSE($M$10,$L$9,$M$9) )</f>
        <v xml:space="preserve"> 86.43 </v>
      </c>
      <c r="K129" s="174" t="str">
        <f>TEXT(   (SUMPRODUCT( ((Main!$H$9:$H$1000)=$E129)*((Main!$J$9:$J$1000)=$F129)*((Main!$O$9:$O$1000)=$C129)*(Main!T$9:T$1000) ) +  ( SUMPRODUCT( ((Adders!$D$13:$D$101)=$E129)*((Adders!$E$13:$E$101)=$F129)*(Adders!I$13:I$101)) + VLOOKUP($H129,Adders!$B$5:$G$8,$N$11,FALSE)  +  MD!$D$2 ) * IF($D129="NJ",1.07,1))/$L$10, CHOOSE($M$10,$L$9,$M$9) )</f>
        <v xml:space="preserve"> 86.27 </v>
      </c>
      <c r="L129" s="173" t="str">
        <f>TEXT(   (SUMPRODUCT( ((LMPMain!$H$9:$H$1000)=$E129)*((LMPMain!$J$9:$J$1000)=$F129)*((LMPMain!$O$9:$O$1000)=$C129)*(LMPMain!R$9:R$1000) ) +  ( SUMPRODUCT( ((Adders!$D$13:$D$101)=$E129)*((Adders!$E$13:$E$101)=$F129)*(Adders!G$13:G$101)) + VLOOKUP($H129,Adders!$B$5:$G$8,L$11,FALSE)  +  NJ!$D$2 ) * IF($D129="NJ",1.07,1))/$L$10, CHOOSE($M$10,$L$9,$M$9) )</f>
        <v xml:space="preserve"> 41.40 </v>
      </c>
      <c r="M129" s="173" t="str">
        <f>TEXT(   (SUMPRODUCT( ((LMPMain!$H$9:$H$1000)=$E129)*((LMPMain!$J$9:$J$1000)=$F129)*((LMPMain!$O$9:$O$1000)=$C129)*(LMPMain!S$9:S$1000) ) +  ( SUMPRODUCT( ((Adders!$D$13:$D$101)=$E129)*((Adders!$E$13:$E$101)=$F129)*(Adders!H$13:H$101)) + VLOOKUP($H129,Adders!$B$5:$G$8,M$11,FALSE)  +  NJ!$D$2 ) * IF($D129="NJ",1.07,1))/$L$10, CHOOSE($M$10,$L$9,$M$9) )</f>
        <v xml:space="preserve"> 40.42 </v>
      </c>
      <c r="N129" s="174" t="str">
        <f>TEXT(   (SUMPRODUCT( ((LMPMain!$H$9:$H$1000)=$E129)*((LMPMain!$J$9:$J$1000)=$F129)*((LMPMain!$O$9:$O$1000)=$C129)*(LMPMain!T$9:T$1000) ) +  ( SUMPRODUCT( ((Adders!$D$13:$D$101)=$E129)*((Adders!$E$13:$E$101)=$F129)*(Adders!I$13:I$101)) + VLOOKUP($H129,Adders!$B$5:$G$8,N$11,FALSE)  +  NJ!$D$2 ) * IF($D129="NJ",1.07,1))/$L$10, CHOOSE($M$10,$L$9,$M$9) )</f>
        <v xml:space="preserve"> 39.92 </v>
      </c>
      <c r="O129" s="112"/>
    </row>
    <row r="130" spans="2:15" x14ac:dyDescent="0.25">
      <c r="B130" s="108"/>
      <c r="C130" s="135">
        <f t="shared" si="3"/>
        <v>42217</v>
      </c>
      <c r="D130" s="136" t="s">
        <v>39</v>
      </c>
      <c r="E130" s="137" t="s">
        <v>43</v>
      </c>
      <c r="F130" s="136" t="s">
        <v>7</v>
      </c>
      <c r="G130" s="137" t="str">
        <f t="shared" si="4"/>
        <v>General Service</v>
      </c>
      <c r="H130" s="138" t="s">
        <v>690</v>
      </c>
      <c r="I130" s="176" t="str">
        <f>TEXT(   (SUMPRODUCT( ((Main!$H$9:$H$1000)=$E130)*((Main!$J$9:$J$1000)=$F130)*((Main!$O$9:$O$1000)=$C130)*(Main!R$9:R$1000) ) +  ( SUMPRODUCT( ((Adders!$D$13:$D$101)=$E130)*((Adders!$E$13:$E$101)=$F130)*(Adders!G$13:G$101)) + VLOOKUP($H130,Adders!$B$5:$G$8,L$11,FALSE)  +  MD!$D$2 ) * IF($D130="NJ",1.07,1))/$L$10, CHOOSE($M$10,$L$9,$M$9) )</f>
        <v xml:space="preserve"> 86.46 </v>
      </c>
      <c r="J130" s="176" t="str">
        <f>TEXT(   (SUMPRODUCT( ((Main!$H$9:$H$1000)=$E130)*((Main!$J$9:$J$1000)=$F130)*((Main!$O$9:$O$1000)=$C130)*(Main!S$9:S$1000) ) +  ( SUMPRODUCT( ((Adders!$D$13:$D$101)=$E130)*((Adders!$E$13:$E$101)=$F130)*(Adders!H$13:H$101)) + VLOOKUP($H130,Adders!$B$5:$G$8,M$11,FALSE)  +  MD!$D$2 ) * IF($D130="NJ",1.07,1))/$L$10, CHOOSE($M$10,$L$9,$M$9) )</f>
        <v xml:space="preserve"> 85.38 </v>
      </c>
      <c r="K130" s="177" t="str">
        <f>TEXT(   (SUMPRODUCT( ((Main!$H$9:$H$1000)=$E130)*((Main!$J$9:$J$1000)=$F130)*((Main!$O$9:$O$1000)=$C130)*(Main!T$9:T$1000) ) +  ( SUMPRODUCT( ((Adders!$D$13:$D$101)=$E130)*((Adders!$E$13:$E$101)=$F130)*(Adders!I$13:I$101)) + VLOOKUP($H130,Adders!$B$5:$G$8,$N$11,FALSE)  +  MD!$D$2 ) * IF($D130="NJ",1.07,1))/$L$10, CHOOSE($M$10,$L$9,$M$9) )</f>
        <v xml:space="preserve"> 85.22 </v>
      </c>
      <c r="L130" s="176" t="str">
        <f>TEXT(   (SUMPRODUCT( ((LMPMain!$H$9:$H$1000)=$E130)*((LMPMain!$J$9:$J$1000)=$F130)*((LMPMain!$O$9:$O$1000)=$C130)*(LMPMain!R$9:R$1000) ) +  ( SUMPRODUCT( ((Adders!$D$13:$D$101)=$E130)*((Adders!$E$13:$E$101)=$F130)*(Adders!G$13:G$101)) + VLOOKUP($H130,Adders!$B$5:$G$8,L$11,FALSE)  +  NJ!$D$2 ) * IF($D130="NJ",1.07,1))/$L$10, CHOOSE($M$10,$L$9,$M$9) )</f>
        <v xml:space="preserve"> 40.35 </v>
      </c>
      <c r="M130" s="176" t="str">
        <f>TEXT(   (SUMPRODUCT( ((LMPMain!$H$9:$H$1000)=$E130)*((LMPMain!$J$9:$J$1000)=$F130)*((LMPMain!$O$9:$O$1000)=$C130)*(LMPMain!S$9:S$1000) ) +  ( SUMPRODUCT( ((Adders!$D$13:$D$101)=$E130)*((Adders!$E$13:$E$101)=$F130)*(Adders!H$13:H$101)) + VLOOKUP($H130,Adders!$B$5:$G$8,M$11,FALSE)  +  NJ!$D$2 ) * IF($D130="NJ",1.07,1))/$L$10, CHOOSE($M$10,$L$9,$M$9) )</f>
        <v xml:space="preserve"> 39.37 </v>
      </c>
      <c r="N130" s="177" t="str">
        <f>TEXT(   (SUMPRODUCT( ((LMPMain!$H$9:$H$1000)=$E130)*((LMPMain!$J$9:$J$1000)=$F130)*((LMPMain!$O$9:$O$1000)=$C130)*(LMPMain!T$9:T$1000) ) +  ( SUMPRODUCT( ((Adders!$D$13:$D$101)=$E130)*((Adders!$E$13:$E$101)=$F130)*(Adders!I$13:I$101)) + VLOOKUP($H130,Adders!$B$5:$G$8,N$11,FALSE)  +  NJ!$D$2 ) * IF($D130="NJ",1.07,1))/$L$10, CHOOSE($M$10,$L$9,$M$9) )</f>
        <v xml:space="preserve"> 38.87 </v>
      </c>
      <c r="O130" s="112"/>
    </row>
    <row r="131" spans="2:15" x14ac:dyDescent="0.25">
      <c r="B131" s="108"/>
      <c r="C131" s="127">
        <f t="shared" si="3"/>
        <v>42248</v>
      </c>
      <c r="D131" s="128" t="s">
        <v>39</v>
      </c>
      <c r="E131" s="129" t="s">
        <v>43</v>
      </c>
      <c r="F131" s="128" t="s">
        <v>7</v>
      </c>
      <c r="G131" s="129" t="str">
        <f t="shared" si="4"/>
        <v>General Service</v>
      </c>
      <c r="H131" s="130" t="s">
        <v>61</v>
      </c>
      <c r="I131" s="178" t="str">
        <f>TEXT(   (SUMPRODUCT( ((Main!$H$9:$H$1000)=$E131)*((Main!$J$9:$J$1000)=$F131)*((Main!$O$9:$O$1000)=$C131)*(Main!R$9:R$1000) ) +  ( SUMPRODUCT( ((Adders!$D$13:$D$101)=$E131)*((Adders!$E$13:$E$101)=$F131)*(Adders!G$13:G$101)) + VLOOKUP($H131,Adders!$B$5:$G$8,L$11,FALSE)  +  MD!$D$2 ) * IF($D131="NJ",1.07,1))/$L$10, CHOOSE($M$10,$L$9,$M$9) )</f>
        <v xml:space="preserve"> 88.98 </v>
      </c>
      <c r="J131" s="178" t="str">
        <f>TEXT(   (SUMPRODUCT( ((Main!$H$9:$H$1000)=$E131)*((Main!$J$9:$J$1000)=$F131)*((Main!$O$9:$O$1000)=$C131)*(Main!S$9:S$1000) ) +  ( SUMPRODUCT( ((Adders!$D$13:$D$101)=$E131)*((Adders!$E$13:$E$101)=$F131)*(Adders!H$13:H$101)) + VLOOKUP($H131,Adders!$B$5:$G$8,M$11,FALSE)  +  MD!$D$2 ) * IF($D131="NJ",1.07,1))/$L$10, CHOOSE($M$10,$L$9,$M$9) )</f>
        <v xml:space="preserve"> 88.57 </v>
      </c>
      <c r="K131" s="179" t="str">
        <f>TEXT(   (SUMPRODUCT( ((Main!$H$9:$H$1000)=$E131)*((Main!$J$9:$J$1000)=$F131)*((Main!$O$9:$O$1000)=$C131)*(Main!T$9:T$1000) ) +  ( SUMPRODUCT( ((Adders!$D$13:$D$101)=$E131)*((Adders!$E$13:$E$101)=$F131)*(Adders!I$13:I$101)) + VLOOKUP($H131,Adders!$B$5:$G$8,$N$11,FALSE)  +  MD!$D$2 ) * IF($D131="NJ",1.07,1))/$L$10, CHOOSE($M$10,$L$9,$M$9) )</f>
        <v xml:space="preserve"> 87.94 </v>
      </c>
      <c r="L131" s="178" t="str">
        <f>TEXT(   (SUMPRODUCT( ((LMPMain!$H$9:$H$1000)=$E131)*((LMPMain!$J$9:$J$1000)=$F131)*((LMPMain!$O$9:$O$1000)=$C131)*(LMPMain!R$9:R$1000) ) +  ( SUMPRODUCT( ((Adders!$D$13:$D$101)=$E131)*((Adders!$E$13:$E$101)=$F131)*(Adders!G$13:G$101)) + VLOOKUP($H131,Adders!$B$5:$G$8,L$11,FALSE)  +  NJ!$D$2 ) * IF($D131="NJ",1.07,1))/$L$10, CHOOSE($M$10,$L$9,$M$9) )</f>
        <v xml:space="preserve"> 42.70 </v>
      </c>
      <c r="M131" s="178" t="str">
        <f>TEXT(   (SUMPRODUCT( ((LMPMain!$H$9:$H$1000)=$E131)*((LMPMain!$J$9:$J$1000)=$F131)*((LMPMain!$O$9:$O$1000)=$C131)*(LMPMain!S$9:S$1000) ) +  ( SUMPRODUCT( ((Adders!$D$13:$D$101)=$E131)*((Adders!$E$13:$E$101)=$F131)*(Adders!H$13:H$101)) + VLOOKUP($H131,Adders!$B$5:$G$8,M$11,FALSE)  +  NJ!$D$2 ) * IF($D131="NJ",1.07,1))/$L$10, CHOOSE($M$10,$L$9,$M$9) )</f>
        <v xml:space="preserve"> 42.13 </v>
      </c>
      <c r="N131" s="179" t="str">
        <f>TEXT(   (SUMPRODUCT( ((LMPMain!$H$9:$H$1000)=$E131)*((LMPMain!$J$9:$J$1000)=$F131)*((LMPMain!$O$9:$O$1000)=$C131)*(LMPMain!T$9:T$1000) ) +  ( SUMPRODUCT( ((Adders!$D$13:$D$101)=$E131)*((Adders!$E$13:$E$101)=$F131)*(Adders!I$13:I$101)) + VLOOKUP($H131,Adders!$B$5:$G$8,N$11,FALSE)  +  NJ!$D$2 ) * IF($D131="NJ",1.07,1))/$L$10, CHOOSE($M$10,$L$9,$M$9) )</f>
        <v xml:space="preserve"> 41.42 </v>
      </c>
      <c r="O131" s="112"/>
    </row>
    <row r="132" spans="2:15" x14ac:dyDescent="0.25">
      <c r="B132" s="108"/>
      <c r="C132" s="131">
        <f t="shared" si="3"/>
        <v>42248</v>
      </c>
      <c r="D132" s="132" t="s">
        <v>39</v>
      </c>
      <c r="E132" s="133" t="s">
        <v>43</v>
      </c>
      <c r="F132" s="132" t="s">
        <v>7</v>
      </c>
      <c r="G132" s="133" t="str">
        <f t="shared" si="4"/>
        <v>General Service</v>
      </c>
      <c r="H132" s="134" t="s">
        <v>62</v>
      </c>
      <c r="I132" s="173" t="str">
        <f>TEXT(   (SUMPRODUCT( ((Main!$H$9:$H$1000)=$E132)*((Main!$J$9:$J$1000)=$F132)*((Main!$O$9:$O$1000)=$C132)*(Main!R$9:R$1000) ) +  ( SUMPRODUCT( ((Adders!$D$13:$D$101)=$E132)*((Adders!$E$13:$E$101)=$F132)*(Adders!G$13:G$101)) + VLOOKUP($H132,Adders!$B$5:$G$8,L$11,FALSE)  +  MD!$D$2 ) * IF($D132="NJ",1.07,1))/$L$10, CHOOSE($M$10,$L$9,$M$9) )</f>
        <v xml:space="preserve"> 87.38 </v>
      </c>
      <c r="J132" s="173" t="str">
        <f>TEXT(   (SUMPRODUCT( ((Main!$H$9:$H$1000)=$E132)*((Main!$J$9:$J$1000)=$F132)*((Main!$O$9:$O$1000)=$C132)*(Main!S$9:S$1000) ) +  ( SUMPRODUCT( ((Adders!$D$13:$D$101)=$E132)*((Adders!$E$13:$E$101)=$F132)*(Adders!H$13:H$101)) + VLOOKUP($H132,Adders!$B$5:$G$8,M$11,FALSE)  +  MD!$D$2 ) * IF($D132="NJ",1.07,1))/$L$10, CHOOSE($M$10,$L$9,$M$9) )</f>
        <v xml:space="preserve"> 86.97 </v>
      </c>
      <c r="K132" s="174" t="str">
        <f>TEXT(   (SUMPRODUCT( ((Main!$H$9:$H$1000)=$E132)*((Main!$J$9:$J$1000)=$F132)*((Main!$O$9:$O$1000)=$C132)*(Main!T$9:T$1000) ) +  ( SUMPRODUCT( ((Adders!$D$13:$D$101)=$E132)*((Adders!$E$13:$E$101)=$F132)*(Adders!I$13:I$101)) + VLOOKUP($H132,Adders!$B$5:$G$8,$N$11,FALSE)  +  MD!$D$2 ) * IF($D132="NJ",1.07,1))/$L$10, CHOOSE($M$10,$L$9,$M$9) )</f>
        <v xml:space="preserve"> 86.34 </v>
      </c>
      <c r="L132" s="173" t="str">
        <f>TEXT(   (SUMPRODUCT( ((LMPMain!$H$9:$H$1000)=$E132)*((LMPMain!$J$9:$J$1000)=$F132)*((LMPMain!$O$9:$O$1000)=$C132)*(LMPMain!R$9:R$1000) ) +  ( SUMPRODUCT( ((Adders!$D$13:$D$101)=$E132)*((Adders!$E$13:$E$101)=$F132)*(Adders!G$13:G$101)) + VLOOKUP($H132,Adders!$B$5:$G$8,L$11,FALSE)  +  NJ!$D$2 ) * IF($D132="NJ",1.07,1))/$L$10, CHOOSE($M$10,$L$9,$M$9) )</f>
        <v xml:space="preserve"> 41.10 </v>
      </c>
      <c r="M132" s="173" t="str">
        <f>TEXT(   (SUMPRODUCT( ((LMPMain!$H$9:$H$1000)=$E132)*((LMPMain!$J$9:$J$1000)=$F132)*((LMPMain!$O$9:$O$1000)=$C132)*(LMPMain!S$9:S$1000) ) +  ( SUMPRODUCT( ((Adders!$D$13:$D$101)=$E132)*((Adders!$E$13:$E$101)=$F132)*(Adders!H$13:H$101)) + VLOOKUP($H132,Adders!$B$5:$G$8,M$11,FALSE)  +  NJ!$D$2 ) * IF($D132="NJ",1.07,1))/$L$10, CHOOSE($M$10,$L$9,$M$9) )</f>
        <v xml:space="preserve"> 40.53 </v>
      </c>
      <c r="N132" s="174" t="str">
        <f>TEXT(   (SUMPRODUCT( ((LMPMain!$H$9:$H$1000)=$E132)*((LMPMain!$J$9:$J$1000)=$F132)*((LMPMain!$O$9:$O$1000)=$C132)*(LMPMain!T$9:T$1000) ) +  ( SUMPRODUCT( ((Adders!$D$13:$D$101)=$E132)*((Adders!$E$13:$E$101)=$F132)*(Adders!I$13:I$101)) + VLOOKUP($H132,Adders!$B$5:$G$8,N$11,FALSE)  +  NJ!$D$2 ) * IF($D132="NJ",1.07,1))/$L$10, CHOOSE($M$10,$L$9,$M$9) )</f>
        <v xml:space="preserve"> 39.82 </v>
      </c>
      <c r="O132" s="112"/>
    </row>
    <row r="133" spans="2:15" x14ac:dyDescent="0.25">
      <c r="B133" s="108"/>
      <c r="C133" s="135">
        <f t="shared" si="3"/>
        <v>42248</v>
      </c>
      <c r="D133" s="136" t="s">
        <v>39</v>
      </c>
      <c r="E133" s="137" t="s">
        <v>43</v>
      </c>
      <c r="F133" s="136" t="s">
        <v>7</v>
      </c>
      <c r="G133" s="137" t="str">
        <f t="shared" si="4"/>
        <v>General Service</v>
      </c>
      <c r="H133" s="138" t="s">
        <v>690</v>
      </c>
      <c r="I133" s="176" t="str">
        <f>TEXT(   (SUMPRODUCT( ((Main!$H$9:$H$1000)=$E133)*((Main!$J$9:$J$1000)=$F133)*((Main!$O$9:$O$1000)=$C133)*(Main!R$9:R$1000) ) +  ( SUMPRODUCT( ((Adders!$D$13:$D$101)=$E133)*((Adders!$E$13:$E$101)=$F133)*(Adders!G$13:G$101)) + VLOOKUP($H133,Adders!$B$5:$G$8,L$11,FALSE)  +  MD!$D$2 ) * IF($D133="NJ",1.07,1))/$L$10, CHOOSE($M$10,$L$9,$M$9) )</f>
        <v xml:space="preserve"> 86.33 </v>
      </c>
      <c r="J133" s="176" t="str">
        <f>TEXT(   (SUMPRODUCT( ((Main!$H$9:$H$1000)=$E133)*((Main!$J$9:$J$1000)=$F133)*((Main!$O$9:$O$1000)=$C133)*(Main!S$9:S$1000) ) +  ( SUMPRODUCT( ((Adders!$D$13:$D$101)=$E133)*((Adders!$E$13:$E$101)=$F133)*(Adders!H$13:H$101)) + VLOOKUP($H133,Adders!$B$5:$G$8,M$11,FALSE)  +  MD!$D$2 ) * IF($D133="NJ",1.07,1))/$L$10, CHOOSE($M$10,$L$9,$M$9) )</f>
        <v xml:space="preserve"> 85.92 </v>
      </c>
      <c r="K133" s="177" t="str">
        <f>TEXT(   (SUMPRODUCT( ((Main!$H$9:$H$1000)=$E133)*((Main!$J$9:$J$1000)=$F133)*((Main!$O$9:$O$1000)=$C133)*(Main!T$9:T$1000) ) +  ( SUMPRODUCT( ((Adders!$D$13:$D$101)=$E133)*((Adders!$E$13:$E$101)=$F133)*(Adders!I$13:I$101)) + VLOOKUP($H133,Adders!$B$5:$G$8,$N$11,FALSE)  +  MD!$D$2 ) * IF($D133="NJ",1.07,1))/$L$10, CHOOSE($M$10,$L$9,$M$9) )</f>
        <v xml:space="preserve"> 85.29 </v>
      </c>
      <c r="L133" s="176" t="str">
        <f>TEXT(   (SUMPRODUCT( ((LMPMain!$H$9:$H$1000)=$E133)*((LMPMain!$J$9:$J$1000)=$F133)*((LMPMain!$O$9:$O$1000)=$C133)*(LMPMain!R$9:R$1000) ) +  ( SUMPRODUCT( ((Adders!$D$13:$D$101)=$E133)*((Adders!$E$13:$E$101)=$F133)*(Adders!G$13:G$101)) + VLOOKUP($H133,Adders!$B$5:$G$8,L$11,FALSE)  +  NJ!$D$2 ) * IF($D133="NJ",1.07,1))/$L$10, CHOOSE($M$10,$L$9,$M$9) )</f>
        <v xml:space="preserve"> 40.05 </v>
      </c>
      <c r="M133" s="176" t="str">
        <f>TEXT(   (SUMPRODUCT( ((LMPMain!$H$9:$H$1000)=$E133)*((LMPMain!$J$9:$J$1000)=$F133)*((LMPMain!$O$9:$O$1000)=$C133)*(LMPMain!S$9:S$1000) ) +  ( SUMPRODUCT( ((Adders!$D$13:$D$101)=$E133)*((Adders!$E$13:$E$101)=$F133)*(Adders!H$13:H$101)) + VLOOKUP($H133,Adders!$B$5:$G$8,M$11,FALSE)  +  NJ!$D$2 ) * IF($D133="NJ",1.07,1))/$L$10, CHOOSE($M$10,$L$9,$M$9) )</f>
        <v xml:space="preserve"> 39.48 </v>
      </c>
      <c r="N133" s="177" t="str">
        <f>TEXT(   (SUMPRODUCT( ((LMPMain!$H$9:$H$1000)=$E133)*((LMPMain!$J$9:$J$1000)=$F133)*((LMPMain!$O$9:$O$1000)=$C133)*(LMPMain!T$9:T$1000) ) +  ( SUMPRODUCT( ((Adders!$D$13:$D$101)=$E133)*((Adders!$E$13:$E$101)=$F133)*(Adders!I$13:I$101)) + VLOOKUP($H133,Adders!$B$5:$G$8,N$11,FALSE)  +  NJ!$D$2 ) * IF($D133="NJ",1.07,1))/$L$10, CHOOSE($M$10,$L$9,$M$9) )</f>
        <v xml:space="preserve"> 38.77 </v>
      </c>
      <c r="O133" s="112"/>
    </row>
    <row r="134" spans="2:15" x14ac:dyDescent="0.25">
      <c r="B134" s="108"/>
      <c r="C134" s="127">
        <f t="shared" si="3"/>
        <v>42278</v>
      </c>
      <c r="D134" s="128" t="s">
        <v>39</v>
      </c>
      <c r="E134" s="129" t="s">
        <v>43</v>
      </c>
      <c r="F134" s="128" t="s">
        <v>7</v>
      </c>
      <c r="G134" s="129" t="str">
        <f t="shared" si="4"/>
        <v>General Service</v>
      </c>
      <c r="H134" s="130" t="s">
        <v>61</v>
      </c>
      <c r="I134" s="178" t="str">
        <f>TEXT(   (SUMPRODUCT( ((Main!$H$9:$H$1000)=$E134)*((Main!$J$9:$J$1000)=$F134)*((Main!$O$9:$O$1000)=$C134)*(Main!R$9:R$1000) ) +  ( SUMPRODUCT( ((Adders!$D$13:$D$101)=$E134)*((Adders!$E$13:$E$101)=$F134)*(Adders!G$13:G$101)) + VLOOKUP($H134,Adders!$B$5:$G$8,L$11,FALSE)  +  MD!$D$2 ) * IF($D134="NJ",1.07,1))/$L$10, CHOOSE($M$10,$L$9,$M$9) )</f>
        <v xml:space="preserve"> 88.74 </v>
      </c>
      <c r="J134" s="178" t="str">
        <f>TEXT(   (SUMPRODUCT( ((Main!$H$9:$H$1000)=$E134)*((Main!$J$9:$J$1000)=$F134)*((Main!$O$9:$O$1000)=$C134)*(Main!S$9:S$1000) ) +  ( SUMPRODUCT( ((Adders!$D$13:$D$101)=$E134)*((Adders!$E$13:$E$101)=$F134)*(Adders!H$13:H$101)) + VLOOKUP($H134,Adders!$B$5:$G$8,M$11,FALSE)  +  MD!$D$2 ) * IF($D134="NJ",1.07,1))/$L$10, CHOOSE($M$10,$L$9,$M$9) )</f>
        <v xml:space="preserve"> 88.98 </v>
      </c>
      <c r="K134" s="179" t="str">
        <f>TEXT(   (SUMPRODUCT( ((Main!$H$9:$H$1000)=$E134)*((Main!$J$9:$J$1000)=$F134)*((Main!$O$9:$O$1000)=$C134)*(Main!T$9:T$1000) ) +  ( SUMPRODUCT( ((Adders!$D$13:$D$101)=$E134)*((Adders!$E$13:$E$101)=$F134)*(Adders!I$13:I$101)) + VLOOKUP($H134,Adders!$B$5:$G$8,$N$11,FALSE)  +  MD!$D$2 ) * IF($D134="NJ",1.07,1))/$L$10, CHOOSE($M$10,$L$9,$M$9) )</f>
        <v xml:space="preserve"> 87.87 </v>
      </c>
      <c r="L134" s="178" t="str">
        <f>TEXT(   (SUMPRODUCT( ((LMPMain!$H$9:$H$1000)=$E134)*((LMPMain!$J$9:$J$1000)=$F134)*((LMPMain!$O$9:$O$1000)=$C134)*(LMPMain!R$9:R$1000) ) +  ( SUMPRODUCT( ((Adders!$D$13:$D$101)=$E134)*((Adders!$E$13:$E$101)=$F134)*(Adders!G$13:G$101)) + VLOOKUP($H134,Adders!$B$5:$G$8,L$11,FALSE)  +  NJ!$D$2 ) * IF($D134="NJ",1.07,1))/$L$10, CHOOSE($M$10,$L$9,$M$9) )</f>
        <v xml:space="preserve"> 42.44 </v>
      </c>
      <c r="M134" s="178" t="str">
        <f>TEXT(   (SUMPRODUCT( ((LMPMain!$H$9:$H$1000)=$E134)*((LMPMain!$J$9:$J$1000)=$F134)*((LMPMain!$O$9:$O$1000)=$C134)*(LMPMain!S$9:S$1000) ) +  ( SUMPRODUCT( ((Adders!$D$13:$D$101)=$E134)*((Adders!$E$13:$E$101)=$F134)*(Adders!H$13:H$101)) + VLOOKUP($H134,Adders!$B$5:$G$8,M$11,FALSE)  +  NJ!$D$2 ) * IF($D134="NJ",1.07,1))/$L$10, CHOOSE($M$10,$L$9,$M$9) )</f>
        <v xml:space="preserve"> 42.19 </v>
      </c>
      <c r="N134" s="179" t="str">
        <f>TEXT(   (SUMPRODUCT( ((LMPMain!$H$9:$H$1000)=$E134)*((LMPMain!$J$9:$J$1000)=$F134)*((LMPMain!$O$9:$O$1000)=$C134)*(LMPMain!T$9:T$1000) ) +  ( SUMPRODUCT( ((Adders!$D$13:$D$101)=$E134)*((Adders!$E$13:$E$101)=$F134)*(Adders!I$13:I$101)) + VLOOKUP($H134,Adders!$B$5:$G$8,N$11,FALSE)  +  NJ!$D$2 ) * IF($D134="NJ",1.07,1))/$L$10, CHOOSE($M$10,$L$9,$M$9) )</f>
        <v xml:space="preserve"> 41.34 </v>
      </c>
      <c r="O134" s="112"/>
    </row>
    <row r="135" spans="2:15" x14ac:dyDescent="0.25">
      <c r="B135" s="108"/>
      <c r="C135" s="131">
        <f t="shared" si="3"/>
        <v>42278</v>
      </c>
      <c r="D135" s="132" t="s">
        <v>39</v>
      </c>
      <c r="E135" s="133" t="s">
        <v>43</v>
      </c>
      <c r="F135" s="132" t="s">
        <v>7</v>
      </c>
      <c r="G135" s="133" t="str">
        <f t="shared" si="4"/>
        <v>General Service</v>
      </c>
      <c r="H135" s="134" t="s">
        <v>62</v>
      </c>
      <c r="I135" s="173" t="str">
        <f>TEXT(   (SUMPRODUCT( ((Main!$H$9:$H$1000)=$E135)*((Main!$J$9:$J$1000)=$F135)*((Main!$O$9:$O$1000)=$C135)*(Main!R$9:R$1000) ) +  ( SUMPRODUCT( ((Adders!$D$13:$D$101)=$E135)*((Adders!$E$13:$E$101)=$F135)*(Adders!G$13:G$101)) + VLOOKUP($H135,Adders!$B$5:$G$8,L$11,FALSE)  +  MD!$D$2 ) * IF($D135="NJ",1.07,1))/$L$10, CHOOSE($M$10,$L$9,$M$9) )</f>
        <v xml:space="preserve"> 87.14 </v>
      </c>
      <c r="J135" s="173" t="str">
        <f>TEXT(   (SUMPRODUCT( ((Main!$H$9:$H$1000)=$E135)*((Main!$J$9:$J$1000)=$F135)*((Main!$O$9:$O$1000)=$C135)*(Main!S$9:S$1000) ) +  ( SUMPRODUCT( ((Adders!$D$13:$D$101)=$E135)*((Adders!$E$13:$E$101)=$F135)*(Adders!H$13:H$101)) + VLOOKUP($H135,Adders!$B$5:$G$8,M$11,FALSE)  +  MD!$D$2 ) * IF($D135="NJ",1.07,1))/$L$10, CHOOSE($M$10,$L$9,$M$9) )</f>
        <v xml:space="preserve"> 87.38 </v>
      </c>
      <c r="K135" s="174" t="str">
        <f>TEXT(   (SUMPRODUCT( ((Main!$H$9:$H$1000)=$E135)*((Main!$J$9:$J$1000)=$F135)*((Main!$O$9:$O$1000)=$C135)*(Main!T$9:T$1000) ) +  ( SUMPRODUCT( ((Adders!$D$13:$D$101)=$E135)*((Adders!$E$13:$E$101)=$F135)*(Adders!I$13:I$101)) + VLOOKUP($H135,Adders!$B$5:$G$8,$N$11,FALSE)  +  MD!$D$2 ) * IF($D135="NJ",1.07,1))/$L$10, CHOOSE($M$10,$L$9,$M$9) )</f>
        <v xml:space="preserve"> 86.27 </v>
      </c>
      <c r="L135" s="173" t="str">
        <f>TEXT(   (SUMPRODUCT( ((LMPMain!$H$9:$H$1000)=$E135)*((LMPMain!$J$9:$J$1000)=$F135)*((LMPMain!$O$9:$O$1000)=$C135)*(LMPMain!R$9:R$1000) ) +  ( SUMPRODUCT( ((Adders!$D$13:$D$101)=$E135)*((Adders!$E$13:$E$101)=$F135)*(Adders!G$13:G$101)) + VLOOKUP($H135,Adders!$B$5:$G$8,L$11,FALSE)  +  NJ!$D$2 ) * IF($D135="NJ",1.07,1))/$L$10, CHOOSE($M$10,$L$9,$M$9) )</f>
        <v xml:space="preserve"> 40.84 </v>
      </c>
      <c r="M135" s="173" t="str">
        <f>TEXT(   (SUMPRODUCT( ((LMPMain!$H$9:$H$1000)=$E135)*((LMPMain!$J$9:$J$1000)=$F135)*((LMPMain!$O$9:$O$1000)=$C135)*(LMPMain!S$9:S$1000) ) +  ( SUMPRODUCT( ((Adders!$D$13:$D$101)=$E135)*((Adders!$E$13:$E$101)=$F135)*(Adders!H$13:H$101)) + VLOOKUP($H135,Adders!$B$5:$G$8,M$11,FALSE)  +  NJ!$D$2 ) * IF($D135="NJ",1.07,1))/$L$10, CHOOSE($M$10,$L$9,$M$9) )</f>
        <v xml:space="preserve"> 40.59 </v>
      </c>
      <c r="N135" s="174" t="str">
        <f>TEXT(   (SUMPRODUCT( ((LMPMain!$H$9:$H$1000)=$E135)*((LMPMain!$J$9:$J$1000)=$F135)*((LMPMain!$O$9:$O$1000)=$C135)*(LMPMain!T$9:T$1000) ) +  ( SUMPRODUCT( ((Adders!$D$13:$D$101)=$E135)*((Adders!$E$13:$E$101)=$F135)*(Adders!I$13:I$101)) + VLOOKUP($H135,Adders!$B$5:$G$8,N$11,FALSE)  +  NJ!$D$2 ) * IF($D135="NJ",1.07,1))/$L$10, CHOOSE($M$10,$L$9,$M$9) )</f>
        <v xml:space="preserve"> 39.74 </v>
      </c>
      <c r="O135" s="112"/>
    </row>
    <row r="136" spans="2:15" x14ac:dyDescent="0.25">
      <c r="B136" s="108"/>
      <c r="C136" s="135">
        <f t="shared" si="3"/>
        <v>42278</v>
      </c>
      <c r="D136" s="136" t="s">
        <v>39</v>
      </c>
      <c r="E136" s="137" t="s">
        <v>43</v>
      </c>
      <c r="F136" s="136" t="s">
        <v>7</v>
      </c>
      <c r="G136" s="137" t="str">
        <f t="shared" si="4"/>
        <v>General Service</v>
      </c>
      <c r="H136" s="138" t="s">
        <v>690</v>
      </c>
      <c r="I136" s="176" t="str">
        <f>TEXT(   (SUMPRODUCT( ((Main!$H$9:$H$1000)=$E136)*((Main!$J$9:$J$1000)=$F136)*((Main!$O$9:$O$1000)=$C136)*(Main!R$9:R$1000) ) +  ( SUMPRODUCT( ((Adders!$D$13:$D$101)=$E136)*((Adders!$E$13:$E$101)=$F136)*(Adders!G$13:G$101)) + VLOOKUP($H136,Adders!$B$5:$G$8,L$11,FALSE)  +  MD!$D$2 ) * IF($D136="NJ",1.07,1))/$L$10, CHOOSE($M$10,$L$9,$M$9) )</f>
        <v xml:space="preserve"> 86.09 </v>
      </c>
      <c r="J136" s="176" t="str">
        <f>TEXT(   (SUMPRODUCT( ((Main!$H$9:$H$1000)=$E136)*((Main!$J$9:$J$1000)=$F136)*((Main!$O$9:$O$1000)=$C136)*(Main!S$9:S$1000) ) +  ( SUMPRODUCT( ((Adders!$D$13:$D$101)=$E136)*((Adders!$E$13:$E$101)=$F136)*(Adders!H$13:H$101)) + VLOOKUP($H136,Adders!$B$5:$G$8,M$11,FALSE)  +  MD!$D$2 ) * IF($D136="NJ",1.07,1))/$L$10, CHOOSE($M$10,$L$9,$M$9) )</f>
        <v xml:space="preserve"> 86.33 </v>
      </c>
      <c r="K136" s="177" t="str">
        <f>TEXT(   (SUMPRODUCT( ((Main!$H$9:$H$1000)=$E136)*((Main!$J$9:$J$1000)=$F136)*((Main!$O$9:$O$1000)=$C136)*(Main!T$9:T$1000) ) +  ( SUMPRODUCT( ((Adders!$D$13:$D$101)=$E136)*((Adders!$E$13:$E$101)=$F136)*(Adders!I$13:I$101)) + VLOOKUP($H136,Adders!$B$5:$G$8,$N$11,FALSE)  +  MD!$D$2 ) * IF($D136="NJ",1.07,1))/$L$10, CHOOSE($M$10,$L$9,$M$9) )</f>
        <v xml:space="preserve"> 85.22 </v>
      </c>
      <c r="L136" s="176" t="str">
        <f>TEXT(   (SUMPRODUCT( ((LMPMain!$H$9:$H$1000)=$E136)*((LMPMain!$J$9:$J$1000)=$F136)*((LMPMain!$O$9:$O$1000)=$C136)*(LMPMain!R$9:R$1000) ) +  ( SUMPRODUCT( ((Adders!$D$13:$D$101)=$E136)*((Adders!$E$13:$E$101)=$F136)*(Adders!G$13:G$101)) + VLOOKUP($H136,Adders!$B$5:$G$8,L$11,FALSE)  +  NJ!$D$2 ) * IF($D136="NJ",1.07,1))/$L$10, CHOOSE($M$10,$L$9,$M$9) )</f>
        <v xml:space="preserve"> 39.79 </v>
      </c>
      <c r="M136" s="176" t="str">
        <f>TEXT(   (SUMPRODUCT( ((LMPMain!$H$9:$H$1000)=$E136)*((LMPMain!$J$9:$J$1000)=$F136)*((LMPMain!$O$9:$O$1000)=$C136)*(LMPMain!S$9:S$1000) ) +  ( SUMPRODUCT( ((Adders!$D$13:$D$101)=$E136)*((Adders!$E$13:$E$101)=$F136)*(Adders!H$13:H$101)) + VLOOKUP($H136,Adders!$B$5:$G$8,M$11,FALSE)  +  NJ!$D$2 ) * IF($D136="NJ",1.07,1))/$L$10, CHOOSE($M$10,$L$9,$M$9) )</f>
        <v xml:space="preserve"> 39.54 </v>
      </c>
      <c r="N136" s="177" t="str">
        <f>TEXT(   (SUMPRODUCT( ((LMPMain!$H$9:$H$1000)=$E136)*((LMPMain!$J$9:$J$1000)=$F136)*((LMPMain!$O$9:$O$1000)=$C136)*(LMPMain!T$9:T$1000) ) +  ( SUMPRODUCT( ((Adders!$D$13:$D$101)=$E136)*((Adders!$E$13:$E$101)=$F136)*(Adders!I$13:I$101)) + VLOOKUP($H136,Adders!$B$5:$G$8,N$11,FALSE)  +  NJ!$D$2 ) * IF($D136="NJ",1.07,1))/$L$10, CHOOSE($M$10,$L$9,$M$9) )</f>
        <v xml:space="preserve"> 38.69 </v>
      </c>
      <c r="O136" s="112"/>
    </row>
    <row r="137" spans="2:15" x14ac:dyDescent="0.25">
      <c r="B137" s="108"/>
      <c r="C137" s="127">
        <f t="shared" si="3"/>
        <v>42309</v>
      </c>
      <c r="D137" s="128" t="s">
        <v>39</v>
      </c>
      <c r="E137" s="129" t="s">
        <v>43</v>
      </c>
      <c r="F137" s="128" t="s">
        <v>7</v>
      </c>
      <c r="G137" s="129" t="str">
        <f t="shared" si="4"/>
        <v>General Service</v>
      </c>
      <c r="H137" s="130" t="s">
        <v>61</v>
      </c>
      <c r="I137" s="178" t="str">
        <f>TEXT(   (SUMPRODUCT( ((Main!$H$9:$H$1000)=$E137)*((Main!$J$9:$J$1000)=$F137)*((Main!$O$9:$O$1000)=$C137)*(Main!R$9:R$1000) ) +  ( SUMPRODUCT( ((Adders!$D$13:$D$101)=$E137)*((Adders!$E$13:$E$101)=$F137)*(Adders!G$13:G$101)) + VLOOKUP($H137,Adders!$B$5:$G$8,L$11,FALSE)  +  MD!$D$2 ) * IF($D137="NJ",1.07,1))/$L$10, CHOOSE($M$10,$L$9,$M$9) )</f>
        <v xml:space="preserve"> 88.52 </v>
      </c>
      <c r="J137" s="178" t="str">
        <f>TEXT(   (SUMPRODUCT( ((Main!$H$9:$H$1000)=$E137)*((Main!$J$9:$J$1000)=$F137)*((Main!$O$9:$O$1000)=$C137)*(Main!S$9:S$1000) ) +  ( SUMPRODUCT( ((Adders!$D$13:$D$101)=$E137)*((Adders!$E$13:$E$101)=$F137)*(Adders!H$13:H$101)) + VLOOKUP($H137,Adders!$B$5:$G$8,M$11,FALSE)  +  MD!$D$2 ) * IF($D137="NJ",1.07,1))/$L$10, CHOOSE($M$10,$L$9,$M$9) )</f>
        <v xml:space="preserve"> 88.98 </v>
      </c>
      <c r="K137" s="179" t="str">
        <f>TEXT(   (SUMPRODUCT( ((Main!$H$9:$H$1000)=$E137)*((Main!$J$9:$J$1000)=$F137)*((Main!$O$9:$O$1000)=$C137)*(Main!T$9:T$1000) ) +  ( SUMPRODUCT( ((Adders!$D$13:$D$101)=$E137)*((Adders!$E$13:$E$101)=$F137)*(Adders!I$13:I$101)) + VLOOKUP($H137,Adders!$B$5:$G$8,$N$11,FALSE)  +  MD!$D$2 ) * IF($D137="NJ",1.07,1))/$L$10, CHOOSE($M$10,$L$9,$M$9) )</f>
        <v xml:space="preserve"> 87.81 </v>
      </c>
      <c r="L137" s="178" t="str">
        <f>TEXT(   (SUMPRODUCT( ((LMPMain!$H$9:$H$1000)=$E137)*((LMPMain!$J$9:$J$1000)=$F137)*((LMPMain!$O$9:$O$1000)=$C137)*(LMPMain!R$9:R$1000) ) +  ( SUMPRODUCT( ((Adders!$D$13:$D$101)=$E137)*((Adders!$E$13:$E$101)=$F137)*(Adders!G$13:G$101)) + VLOOKUP($H137,Adders!$B$5:$G$8,L$11,FALSE)  +  NJ!$D$2 ) * IF($D137="NJ",1.07,1))/$L$10, CHOOSE($M$10,$L$9,$M$9) )</f>
        <v xml:space="preserve"> 42.16 </v>
      </c>
      <c r="M137" s="178" t="str">
        <f>TEXT(   (SUMPRODUCT( ((LMPMain!$H$9:$H$1000)=$E137)*((LMPMain!$J$9:$J$1000)=$F137)*((LMPMain!$O$9:$O$1000)=$C137)*(LMPMain!S$9:S$1000) ) +  ( SUMPRODUCT( ((Adders!$D$13:$D$101)=$E137)*((Adders!$E$13:$E$101)=$F137)*(Adders!H$13:H$101)) + VLOOKUP($H137,Adders!$B$5:$G$8,M$11,FALSE)  +  NJ!$D$2 ) * IF($D137="NJ",1.07,1))/$L$10, CHOOSE($M$10,$L$9,$M$9) )</f>
        <v xml:space="preserve"> 42.06 </v>
      </c>
      <c r="N137" s="179" t="str">
        <f>TEXT(   (SUMPRODUCT( ((LMPMain!$H$9:$H$1000)=$E137)*((LMPMain!$J$9:$J$1000)=$F137)*((LMPMain!$O$9:$O$1000)=$C137)*(LMPMain!T$9:T$1000) ) +  ( SUMPRODUCT( ((Adders!$D$13:$D$101)=$E137)*((Adders!$E$13:$E$101)=$F137)*(Adders!I$13:I$101)) + VLOOKUP($H137,Adders!$B$5:$G$8,N$11,FALSE)  +  NJ!$D$2 ) * IF($D137="NJ",1.07,1))/$L$10, CHOOSE($M$10,$L$9,$M$9) )</f>
        <v xml:space="preserve"> 41.23 </v>
      </c>
      <c r="O137" s="112"/>
    </row>
    <row r="138" spans="2:15" x14ac:dyDescent="0.25">
      <c r="B138" s="108"/>
      <c r="C138" s="131">
        <f t="shared" si="3"/>
        <v>42309</v>
      </c>
      <c r="D138" s="132" t="s">
        <v>39</v>
      </c>
      <c r="E138" s="133" t="s">
        <v>43</v>
      </c>
      <c r="F138" s="132" t="s">
        <v>7</v>
      </c>
      <c r="G138" s="133" t="str">
        <f t="shared" si="4"/>
        <v>General Service</v>
      </c>
      <c r="H138" s="134" t="s">
        <v>62</v>
      </c>
      <c r="I138" s="173" t="str">
        <f>TEXT(   (SUMPRODUCT( ((Main!$H$9:$H$1000)=$E138)*((Main!$J$9:$J$1000)=$F138)*((Main!$O$9:$O$1000)=$C138)*(Main!R$9:R$1000) ) +  ( SUMPRODUCT( ((Adders!$D$13:$D$101)=$E138)*((Adders!$E$13:$E$101)=$F138)*(Adders!G$13:G$101)) + VLOOKUP($H138,Adders!$B$5:$G$8,L$11,FALSE)  +  MD!$D$2 ) * IF($D138="NJ",1.07,1))/$L$10, CHOOSE($M$10,$L$9,$M$9) )</f>
        <v xml:space="preserve"> 86.92 </v>
      </c>
      <c r="J138" s="173" t="str">
        <f>TEXT(   (SUMPRODUCT( ((Main!$H$9:$H$1000)=$E138)*((Main!$J$9:$J$1000)=$F138)*((Main!$O$9:$O$1000)=$C138)*(Main!S$9:S$1000) ) +  ( SUMPRODUCT( ((Adders!$D$13:$D$101)=$E138)*((Adders!$E$13:$E$101)=$F138)*(Adders!H$13:H$101)) + VLOOKUP($H138,Adders!$B$5:$G$8,M$11,FALSE)  +  MD!$D$2 ) * IF($D138="NJ",1.07,1))/$L$10, CHOOSE($M$10,$L$9,$M$9) )</f>
        <v xml:space="preserve"> 87.38 </v>
      </c>
      <c r="K138" s="174" t="str">
        <f>TEXT(   (SUMPRODUCT( ((Main!$H$9:$H$1000)=$E138)*((Main!$J$9:$J$1000)=$F138)*((Main!$O$9:$O$1000)=$C138)*(Main!T$9:T$1000) ) +  ( SUMPRODUCT( ((Adders!$D$13:$D$101)=$E138)*((Adders!$E$13:$E$101)=$F138)*(Adders!I$13:I$101)) + VLOOKUP($H138,Adders!$B$5:$G$8,$N$11,FALSE)  +  MD!$D$2 ) * IF($D138="NJ",1.07,1))/$L$10, CHOOSE($M$10,$L$9,$M$9) )</f>
        <v xml:space="preserve"> 86.21 </v>
      </c>
      <c r="L138" s="173" t="str">
        <f>TEXT(   (SUMPRODUCT( ((LMPMain!$H$9:$H$1000)=$E138)*((LMPMain!$J$9:$J$1000)=$F138)*((LMPMain!$O$9:$O$1000)=$C138)*(LMPMain!R$9:R$1000) ) +  ( SUMPRODUCT( ((Adders!$D$13:$D$101)=$E138)*((Adders!$E$13:$E$101)=$F138)*(Adders!G$13:G$101)) + VLOOKUP($H138,Adders!$B$5:$G$8,L$11,FALSE)  +  NJ!$D$2 ) * IF($D138="NJ",1.07,1))/$L$10, CHOOSE($M$10,$L$9,$M$9) )</f>
        <v xml:space="preserve"> 40.56 </v>
      </c>
      <c r="M138" s="173" t="str">
        <f>TEXT(   (SUMPRODUCT( ((LMPMain!$H$9:$H$1000)=$E138)*((LMPMain!$J$9:$J$1000)=$F138)*((LMPMain!$O$9:$O$1000)=$C138)*(LMPMain!S$9:S$1000) ) +  ( SUMPRODUCT( ((Adders!$D$13:$D$101)=$E138)*((Adders!$E$13:$E$101)=$F138)*(Adders!H$13:H$101)) + VLOOKUP($H138,Adders!$B$5:$G$8,M$11,FALSE)  +  NJ!$D$2 ) * IF($D138="NJ",1.07,1))/$L$10, CHOOSE($M$10,$L$9,$M$9) )</f>
        <v xml:space="preserve"> 40.46 </v>
      </c>
      <c r="N138" s="174" t="str">
        <f>TEXT(   (SUMPRODUCT( ((LMPMain!$H$9:$H$1000)=$E138)*((LMPMain!$J$9:$J$1000)=$F138)*((LMPMain!$O$9:$O$1000)=$C138)*(LMPMain!T$9:T$1000) ) +  ( SUMPRODUCT( ((Adders!$D$13:$D$101)=$E138)*((Adders!$E$13:$E$101)=$F138)*(Adders!I$13:I$101)) + VLOOKUP($H138,Adders!$B$5:$G$8,N$11,FALSE)  +  NJ!$D$2 ) * IF($D138="NJ",1.07,1))/$L$10, CHOOSE($M$10,$L$9,$M$9) )</f>
        <v xml:space="preserve"> 39.63 </v>
      </c>
      <c r="O138" s="112"/>
    </row>
    <row r="139" spans="2:15" x14ac:dyDescent="0.25">
      <c r="B139" s="108"/>
      <c r="C139" s="135">
        <f t="shared" si="3"/>
        <v>42309</v>
      </c>
      <c r="D139" s="136" t="s">
        <v>39</v>
      </c>
      <c r="E139" s="137" t="s">
        <v>43</v>
      </c>
      <c r="F139" s="136" t="s">
        <v>7</v>
      </c>
      <c r="G139" s="137" t="str">
        <f t="shared" si="4"/>
        <v>General Service</v>
      </c>
      <c r="H139" s="138" t="s">
        <v>690</v>
      </c>
      <c r="I139" s="176" t="str">
        <f>TEXT(   (SUMPRODUCT( ((Main!$H$9:$H$1000)=$E139)*((Main!$J$9:$J$1000)=$F139)*((Main!$O$9:$O$1000)=$C139)*(Main!R$9:R$1000) ) +  ( SUMPRODUCT( ((Adders!$D$13:$D$101)=$E139)*((Adders!$E$13:$E$101)=$F139)*(Adders!G$13:G$101)) + VLOOKUP($H139,Adders!$B$5:$G$8,L$11,FALSE)  +  MD!$D$2 ) * IF($D139="NJ",1.07,1))/$L$10, CHOOSE($M$10,$L$9,$M$9) )</f>
        <v xml:space="preserve"> 85.87 </v>
      </c>
      <c r="J139" s="176" t="str">
        <f>TEXT(   (SUMPRODUCT( ((Main!$H$9:$H$1000)=$E139)*((Main!$J$9:$J$1000)=$F139)*((Main!$O$9:$O$1000)=$C139)*(Main!S$9:S$1000) ) +  ( SUMPRODUCT( ((Adders!$D$13:$D$101)=$E139)*((Adders!$E$13:$E$101)=$F139)*(Adders!H$13:H$101)) + VLOOKUP($H139,Adders!$B$5:$G$8,M$11,FALSE)  +  MD!$D$2 ) * IF($D139="NJ",1.07,1))/$L$10, CHOOSE($M$10,$L$9,$M$9) )</f>
        <v xml:space="preserve"> 86.33 </v>
      </c>
      <c r="K139" s="177" t="str">
        <f>TEXT(   (SUMPRODUCT( ((Main!$H$9:$H$1000)=$E139)*((Main!$J$9:$J$1000)=$F139)*((Main!$O$9:$O$1000)=$C139)*(Main!T$9:T$1000) ) +  ( SUMPRODUCT( ((Adders!$D$13:$D$101)=$E139)*((Adders!$E$13:$E$101)=$F139)*(Adders!I$13:I$101)) + VLOOKUP($H139,Adders!$B$5:$G$8,$N$11,FALSE)  +  MD!$D$2 ) * IF($D139="NJ",1.07,1))/$L$10, CHOOSE($M$10,$L$9,$M$9) )</f>
        <v xml:space="preserve"> 85.16 </v>
      </c>
      <c r="L139" s="176" t="str">
        <f>TEXT(   (SUMPRODUCT( ((LMPMain!$H$9:$H$1000)=$E139)*((LMPMain!$J$9:$J$1000)=$F139)*((LMPMain!$O$9:$O$1000)=$C139)*(LMPMain!R$9:R$1000) ) +  ( SUMPRODUCT( ((Adders!$D$13:$D$101)=$E139)*((Adders!$E$13:$E$101)=$F139)*(Adders!G$13:G$101)) + VLOOKUP($H139,Adders!$B$5:$G$8,L$11,FALSE)  +  NJ!$D$2 ) * IF($D139="NJ",1.07,1))/$L$10, CHOOSE($M$10,$L$9,$M$9) )</f>
        <v xml:space="preserve"> 39.51 </v>
      </c>
      <c r="M139" s="176" t="str">
        <f>TEXT(   (SUMPRODUCT( ((LMPMain!$H$9:$H$1000)=$E139)*((LMPMain!$J$9:$J$1000)=$F139)*((LMPMain!$O$9:$O$1000)=$C139)*(LMPMain!S$9:S$1000) ) +  ( SUMPRODUCT( ((Adders!$D$13:$D$101)=$E139)*((Adders!$E$13:$E$101)=$F139)*(Adders!H$13:H$101)) + VLOOKUP($H139,Adders!$B$5:$G$8,M$11,FALSE)  +  NJ!$D$2 ) * IF($D139="NJ",1.07,1))/$L$10, CHOOSE($M$10,$L$9,$M$9) )</f>
        <v xml:space="preserve"> 39.41 </v>
      </c>
      <c r="N139" s="177" t="str">
        <f>TEXT(   (SUMPRODUCT( ((LMPMain!$H$9:$H$1000)=$E139)*((LMPMain!$J$9:$J$1000)=$F139)*((LMPMain!$O$9:$O$1000)=$C139)*(LMPMain!T$9:T$1000) ) +  ( SUMPRODUCT( ((Adders!$D$13:$D$101)=$E139)*((Adders!$E$13:$E$101)=$F139)*(Adders!I$13:I$101)) + VLOOKUP($H139,Adders!$B$5:$G$8,N$11,FALSE)  +  NJ!$D$2 ) * IF($D139="NJ",1.07,1))/$L$10, CHOOSE($M$10,$L$9,$M$9) )</f>
        <v xml:space="preserve"> 38.58 </v>
      </c>
      <c r="O139" s="112"/>
    </row>
    <row r="140" spans="2:15" x14ac:dyDescent="0.25">
      <c r="B140" s="108"/>
      <c r="C140" s="127">
        <f t="shared" si="3"/>
        <v>42339</v>
      </c>
      <c r="D140" s="128" t="s">
        <v>39</v>
      </c>
      <c r="E140" s="129" t="s">
        <v>43</v>
      </c>
      <c r="F140" s="128" t="s">
        <v>7</v>
      </c>
      <c r="G140" s="129" t="str">
        <f t="shared" si="4"/>
        <v>General Service</v>
      </c>
      <c r="H140" s="130" t="s">
        <v>61</v>
      </c>
      <c r="I140" s="178" t="str">
        <f>TEXT(   (SUMPRODUCT( ((Main!$H$9:$H$1000)=$E140)*((Main!$J$9:$J$1000)=$F140)*((Main!$O$9:$O$1000)=$C140)*(Main!R$9:R$1000) ) +  ( SUMPRODUCT( ((Adders!$D$13:$D$101)=$E140)*((Adders!$E$13:$E$101)=$F140)*(Adders!G$13:G$101)) + VLOOKUP($H140,Adders!$B$5:$G$8,L$11,FALSE)  +  MD!$D$2 ) * IF($D140="NJ",1.07,1))/$L$10, CHOOSE($M$10,$L$9,$M$9) )</f>
        <v xml:space="preserve"> 88.30 </v>
      </c>
      <c r="J140" s="178" t="str">
        <f>TEXT(   (SUMPRODUCT( ((Main!$H$9:$H$1000)=$E140)*((Main!$J$9:$J$1000)=$F140)*((Main!$O$9:$O$1000)=$C140)*(Main!S$9:S$1000) ) +  ( SUMPRODUCT( ((Adders!$D$13:$D$101)=$E140)*((Adders!$E$13:$E$101)=$F140)*(Adders!H$13:H$101)) + VLOOKUP($H140,Adders!$B$5:$G$8,M$11,FALSE)  +  MD!$D$2 ) * IF($D140="NJ",1.07,1))/$L$10, CHOOSE($M$10,$L$9,$M$9) )</f>
        <v xml:space="preserve"> 88.64 </v>
      </c>
      <c r="K140" s="179" t="str">
        <f>TEXT(   (SUMPRODUCT( ((Main!$H$9:$H$1000)=$E140)*((Main!$J$9:$J$1000)=$F140)*((Main!$O$9:$O$1000)=$C140)*(Main!T$9:T$1000) ) +  ( SUMPRODUCT( ((Adders!$D$13:$D$101)=$E140)*((Adders!$E$13:$E$101)=$F140)*(Adders!I$13:I$101)) + VLOOKUP($H140,Adders!$B$5:$G$8,$N$11,FALSE)  +  MD!$D$2 ) * IF($D140="NJ",1.07,1))/$L$10, CHOOSE($M$10,$L$9,$M$9) )</f>
        <v xml:space="preserve"> 87.70 </v>
      </c>
      <c r="L140" s="178" t="str">
        <f>TEXT(   (SUMPRODUCT( ((LMPMain!$H$9:$H$1000)=$E140)*((LMPMain!$J$9:$J$1000)=$F140)*((LMPMain!$O$9:$O$1000)=$C140)*(LMPMain!R$9:R$1000) ) +  ( SUMPRODUCT( ((Adders!$D$13:$D$101)=$E140)*((Adders!$E$13:$E$101)=$F140)*(Adders!G$13:G$101)) + VLOOKUP($H140,Adders!$B$5:$G$8,L$11,FALSE)  +  NJ!$D$2 ) * IF($D140="NJ",1.07,1))/$L$10, CHOOSE($M$10,$L$9,$M$9) )</f>
        <v xml:space="preserve"> 41.84 </v>
      </c>
      <c r="M140" s="178" t="str">
        <f>TEXT(   (SUMPRODUCT( ((LMPMain!$H$9:$H$1000)=$E140)*((LMPMain!$J$9:$J$1000)=$F140)*((LMPMain!$O$9:$O$1000)=$C140)*(LMPMain!S$9:S$1000) ) +  ( SUMPRODUCT( ((Adders!$D$13:$D$101)=$E140)*((Adders!$E$13:$E$101)=$F140)*(Adders!H$13:H$101)) + VLOOKUP($H140,Adders!$B$5:$G$8,M$11,FALSE)  +  NJ!$D$2 ) * IF($D140="NJ",1.07,1))/$L$10, CHOOSE($M$10,$L$9,$M$9) )</f>
        <v xml:space="preserve"> 41.70 </v>
      </c>
      <c r="N140" s="179" t="str">
        <f>TEXT(   (SUMPRODUCT( ((LMPMain!$H$9:$H$1000)=$E140)*((LMPMain!$J$9:$J$1000)=$F140)*((LMPMain!$O$9:$O$1000)=$C140)*(LMPMain!T$9:T$1000) ) +  ( SUMPRODUCT( ((Adders!$D$13:$D$101)=$E140)*((Adders!$E$13:$E$101)=$F140)*(Adders!I$13:I$101)) + VLOOKUP($H140,Adders!$B$5:$G$8,N$11,FALSE)  +  NJ!$D$2 ) * IF($D140="NJ",1.07,1))/$L$10, CHOOSE($M$10,$L$9,$M$9) )</f>
        <v xml:space="preserve"> 41.07 </v>
      </c>
      <c r="O140" s="112"/>
    </row>
    <row r="141" spans="2:15" x14ac:dyDescent="0.25">
      <c r="B141" s="108"/>
      <c r="C141" s="131">
        <f t="shared" si="3"/>
        <v>42339</v>
      </c>
      <c r="D141" s="132" t="s">
        <v>39</v>
      </c>
      <c r="E141" s="133" t="s">
        <v>43</v>
      </c>
      <c r="F141" s="132" t="s">
        <v>7</v>
      </c>
      <c r="G141" s="133" t="str">
        <f t="shared" si="4"/>
        <v>General Service</v>
      </c>
      <c r="H141" s="134" t="s">
        <v>62</v>
      </c>
      <c r="I141" s="173" t="str">
        <f>TEXT(   (SUMPRODUCT( ((Main!$H$9:$H$1000)=$E141)*((Main!$J$9:$J$1000)=$F141)*((Main!$O$9:$O$1000)=$C141)*(Main!R$9:R$1000) ) +  ( SUMPRODUCT( ((Adders!$D$13:$D$101)=$E141)*((Adders!$E$13:$E$101)=$F141)*(Adders!G$13:G$101)) + VLOOKUP($H141,Adders!$B$5:$G$8,L$11,FALSE)  +  MD!$D$2 ) * IF($D141="NJ",1.07,1))/$L$10, CHOOSE($M$10,$L$9,$M$9) )</f>
        <v xml:space="preserve"> 86.70 </v>
      </c>
      <c r="J141" s="173" t="str">
        <f>TEXT(   (SUMPRODUCT( ((Main!$H$9:$H$1000)=$E141)*((Main!$J$9:$J$1000)=$F141)*((Main!$O$9:$O$1000)=$C141)*(Main!S$9:S$1000) ) +  ( SUMPRODUCT( ((Adders!$D$13:$D$101)=$E141)*((Adders!$E$13:$E$101)=$F141)*(Adders!H$13:H$101)) + VLOOKUP($H141,Adders!$B$5:$G$8,M$11,FALSE)  +  MD!$D$2 ) * IF($D141="NJ",1.07,1))/$L$10, CHOOSE($M$10,$L$9,$M$9) )</f>
        <v xml:space="preserve"> 87.04 </v>
      </c>
      <c r="K141" s="174" t="str">
        <f>TEXT(   (SUMPRODUCT( ((Main!$H$9:$H$1000)=$E141)*((Main!$J$9:$J$1000)=$F141)*((Main!$O$9:$O$1000)=$C141)*(Main!T$9:T$1000) ) +  ( SUMPRODUCT( ((Adders!$D$13:$D$101)=$E141)*((Adders!$E$13:$E$101)=$F141)*(Adders!I$13:I$101)) + VLOOKUP($H141,Adders!$B$5:$G$8,$N$11,FALSE)  +  MD!$D$2 ) * IF($D141="NJ",1.07,1))/$L$10, CHOOSE($M$10,$L$9,$M$9) )</f>
        <v xml:space="preserve"> 86.10 </v>
      </c>
      <c r="L141" s="173" t="str">
        <f>TEXT(   (SUMPRODUCT( ((LMPMain!$H$9:$H$1000)=$E141)*((LMPMain!$J$9:$J$1000)=$F141)*((LMPMain!$O$9:$O$1000)=$C141)*(LMPMain!R$9:R$1000) ) +  ( SUMPRODUCT( ((Adders!$D$13:$D$101)=$E141)*((Adders!$E$13:$E$101)=$F141)*(Adders!G$13:G$101)) + VLOOKUP($H141,Adders!$B$5:$G$8,L$11,FALSE)  +  NJ!$D$2 ) * IF($D141="NJ",1.07,1))/$L$10, CHOOSE($M$10,$L$9,$M$9) )</f>
        <v xml:space="preserve"> 40.24 </v>
      </c>
      <c r="M141" s="173" t="str">
        <f>TEXT(   (SUMPRODUCT( ((LMPMain!$H$9:$H$1000)=$E141)*((LMPMain!$J$9:$J$1000)=$F141)*((LMPMain!$O$9:$O$1000)=$C141)*(LMPMain!S$9:S$1000) ) +  ( SUMPRODUCT( ((Adders!$D$13:$D$101)=$E141)*((Adders!$E$13:$E$101)=$F141)*(Adders!H$13:H$101)) + VLOOKUP($H141,Adders!$B$5:$G$8,M$11,FALSE)  +  NJ!$D$2 ) * IF($D141="NJ",1.07,1))/$L$10, CHOOSE($M$10,$L$9,$M$9) )</f>
        <v xml:space="preserve"> 40.10 </v>
      </c>
      <c r="N141" s="174" t="str">
        <f>TEXT(   (SUMPRODUCT( ((LMPMain!$H$9:$H$1000)=$E141)*((LMPMain!$J$9:$J$1000)=$F141)*((LMPMain!$O$9:$O$1000)=$C141)*(LMPMain!T$9:T$1000) ) +  ( SUMPRODUCT( ((Adders!$D$13:$D$101)=$E141)*((Adders!$E$13:$E$101)=$F141)*(Adders!I$13:I$101)) + VLOOKUP($H141,Adders!$B$5:$G$8,N$11,FALSE)  +  NJ!$D$2 ) * IF($D141="NJ",1.07,1))/$L$10, CHOOSE($M$10,$L$9,$M$9) )</f>
        <v xml:space="preserve"> 39.47 </v>
      </c>
      <c r="O141" s="112"/>
    </row>
    <row r="142" spans="2:15" x14ac:dyDescent="0.25">
      <c r="B142" s="108"/>
      <c r="C142" s="135">
        <f t="shared" si="3"/>
        <v>42339</v>
      </c>
      <c r="D142" s="136" t="s">
        <v>39</v>
      </c>
      <c r="E142" s="137" t="s">
        <v>43</v>
      </c>
      <c r="F142" s="136" t="s">
        <v>7</v>
      </c>
      <c r="G142" s="137" t="str">
        <f t="shared" si="4"/>
        <v>General Service</v>
      </c>
      <c r="H142" s="138" t="s">
        <v>690</v>
      </c>
      <c r="I142" s="176" t="str">
        <f>TEXT(   (SUMPRODUCT( ((Main!$H$9:$H$1000)=$E142)*((Main!$J$9:$J$1000)=$F142)*((Main!$O$9:$O$1000)=$C142)*(Main!R$9:R$1000) ) +  ( SUMPRODUCT( ((Adders!$D$13:$D$101)=$E142)*((Adders!$E$13:$E$101)=$F142)*(Adders!G$13:G$101)) + VLOOKUP($H142,Adders!$B$5:$G$8,L$11,FALSE)  +  MD!$D$2 ) * IF($D142="NJ",1.07,1))/$L$10, CHOOSE($M$10,$L$9,$M$9) )</f>
        <v xml:space="preserve"> 85.65 </v>
      </c>
      <c r="J142" s="176" t="str">
        <f>TEXT(   (SUMPRODUCT( ((Main!$H$9:$H$1000)=$E142)*((Main!$J$9:$J$1000)=$F142)*((Main!$O$9:$O$1000)=$C142)*(Main!S$9:S$1000) ) +  ( SUMPRODUCT( ((Adders!$D$13:$D$101)=$E142)*((Adders!$E$13:$E$101)=$F142)*(Adders!H$13:H$101)) + VLOOKUP($H142,Adders!$B$5:$G$8,M$11,FALSE)  +  MD!$D$2 ) * IF($D142="NJ",1.07,1))/$L$10, CHOOSE($M$10,$L$9,$M$9) )</f>
        <v xml:space="preserve"> 85.99 </v>
      </c>
      <c r="K142" s="177" t="str">
        <f>TEXT(   (SUMPRODUCT( ((Main!$H$9:$H$1000)=$E142)*((Main!$J$9:$J$1000)=$F142)*((Main!$O$9:$O$1000)=$C142)*(Main!T$9:T$1000) ) +  ( SUMPRODUCT( ((Adders!$D$13:$D$101)=$E142)*((Adders!$E$13:$E$101)=$F142)*(Adders!I$13:I$101)) + VLOOKUP($H142,Adders!$B$5:$G$8,$N$11,FALSE)  +  MD!$D$2 ) * IF($D142="NJ",1.07,1))/$L$10, CHOOSE($M$10,$L$9,$M$9) )</f>
        <v xml:space="preserve"> 85.05 </v>
      </c>
      <c r="L142" s="176" t="str">
        <f>TEXT(   (SUMPRODUCT( ((LMPMain!$H$9:$H$1000)=$E142)*((LMPMain!$J$9:$J$1000)=$F142)*((LMPMain!$O$9:$O$1000)=$C142)*(LMPMain!R$9:R$1000) ) +  ( SUMPRODUCT( ((Adders!$D$13:$D$101)=$E142)*((Adders!$E$13:$E$101)=$F142)*(Adders!G$13:G$101)) + VLOOKUP($H142,Adders!$B$5:$G$8,L$11,FALSE)  +  NJ!$D$2 ) * IF($D142="NJ",1.07,1))/$L$10, CHOOSE($M$10,$L$9,$M$9) )</f>
        <v xml:space="preserve"> 39.19 </v>
      </c>
      <c r="M142" s="176" t="str">
        <f>TEXT(   (SUMPRODUCT( ((LMPMain!$H$9:$H$1000)=$E142)*((LMPMain!$J$9:$J$1000)=$F142)*((LMPMain!$O$9:$O$1000)=$C142)*(LMPMain!S$9:S$1000) ) +  ( SUMPRODUCT( ((Adders!$D$13:$D$101)=$E142)*((Adders!$E$13:$E$101)=$F142)*(Adders!H$13:H$101)) + VLOOKUP($H142,Adders!$B$5:$G$8,M$11,FALSE)  +  NJ!$D$2 ) * IF($D142="NJ",1.07,1))/$L$10, CHOOSE($M$10,$L$9,$M$9) )</f>
        <v xml:space="preserve"> 39.05 </v>
      </c>
      <c r="N142" s="177" t="str">
        <f>TEXT(   (SUMPRODUCT( ((LMPMain!$H$9:$H$1000)=$E142)*((LMPMain!$J$9:$J$1000)=$F142)*((LMPMain!$O$9:$O$1000)=$C142)*(LMPMain!T$9:T$1000) ) +  ( SUMPRODUCT( ((Adders!$D$13:$D$101)=$E142)*((Adders!$E$13:$E$101)=$F142)*(Adders!I$13:I$101)) + VLOOKUP($H142,Adders!$B$5:$G$8,N$11,FALSE)  +  NJ!$D$2 ) * IF($D142="NJ",1.07,1))/$L$10, CHOOSE($M$10,$L$9,$M$9) )</f>
        <v xml:space="preserve"> 38.42 </v>
      </c>
      <c r="O142" s="112"/>
    </row>
    <row r="143" spans="2:15" x14ac:dyDescent="0.25">
      <c r="B143" s="108"/>
      <c r="C143" s="127">
        <f t="shared" si="3"/>
        <v>42370</v>
      </c>
      <c r="D143" s="128" t="s">
        <v>39</v>
      </c>
      <c r="E143" s="129" t="s">
        <v>43</v>
      </c>
      <c r="F143" s="128" t="s">
        <v>7</v>
      </c>
      <c r="G143" s="129" t="str">
        <f t="shared" si="4"/>
        <v>General Service</v>
      </c>
      <c r="H143" s="130" t="s">
        <v>61</v>
      </c>
      <c r="I143" s="178" t="str">
        <f>TEXT(   (SUMPRODUCT( ((Main!$H$9:$H$1000)=$E143)*((Main!$J$9:$J$1000)=$F143)*((Main!$O$9:$O$1000)=$C143)*(Main!R$9:R$1000) ) +  ( SUMPRODUCT( ((Adders!$D$13:$D$101)=$E143)*((Adders!$E$13:$E$101)=$F143)*(Adders!G$13:G$101)) + VLOOKUP($H143,Adders!$B$5:$G$8,L$11,FALSE)  +  MD!$D$2 ) * IF($D143="NJ",1.07,1))/$L$10, CHOOSE($M$10,$L$9,$M$9) )</f>
        <v xml:space="preserve"> 87.92 </v>
      </c>
      <c r="J143" s="178" t="str">
        <f>TEXT(   (SUMPRODUCT( ((Main!$H$9:$H$1000)=$E143)*((Main!$J$9:$J$1000)=$F143)*((Main!$O$9:$O$1000)=$C143)*(Main!S$9:S$1000) ) +  ( SUMPRODUCT( ((Adders!$D$13:$D$101)=$E143)*((Adders!$E$13:$E$101)=$F143)*(Adders!H$13:H$101)) + VLOOKUP($H143,Adders!$B$5:$G$8,M$11,FALSE)  +  MD!$D$2 ) * IF($D143="NJ",1.07,1))/$L$10, CHOOSE($M$10,$L$9,$M$9) )</f>
        <v xml:space="preserve"> 88.30 </v>
      </c>
      <c r="K143" s="179" t="str">
        <f>TEXT(   (SUMPRODUCT( ((Main!$H$9:$H$1000)=$E143)*((Main!$J$9:$J$1000)=$F143)*((Main!$O$9:$O$1000)=$C143)*(Main!T$9:T$1000) ) +  ( SUMPRODUCT( ((Adders!$D$13:$D$101)=$E143)*((Adders!$E$13:$E$101)=$F143)*(Adders!I$13:I$101)) + VLOOKUP($H143,Adders!$B$5:$G$8,$N$11,FALSE)  +  MD!$D$2 ) * IF($D143="NJ",1.07,1))/$L$10, CHOOSE($M$10,$L$9,$M$9) )</f>
        <v xml:space="preserve"> 87.52 </v>
      </c>
      <c r="L143" s="178" t="str">
        <f>TEXT(   (SUMPRODUCT( ((LMPMain!$H$9:$H$1000)=$E143)*((LMPMain!$J$9:$J$1000)=$F143)*((LMPMain!$O$9:$O$1000)=$C143)*(LMPMain!R$9:R$1000) ) +  ( SUMPRODUCT( ((Adders!$D$13:$D$101)=$E143)*((Adders!$E$13:$E$101)=$F143)*(Adders!G$13:G$101)) + VLOOKUP($H143,Adders!$B$5:$G$8,L$11,FALSE)  +  NJ!$D$2 ) * IF($D143="NJ",1.07,1))/$L$10, CHOOSE($M$10,$L$9,$M$9) )</f>
        <v xml:space="preserve"> 41.53 </v>
      </c>
      <c r="M143" s="178" t="str">
        <f>TEXT(   (SUMPRODUCT( ((LMPMain!$H$9:$H$1000)=$E143)*((LMPMain!$J$9:$J$1000)=$F143)*((LMPMain!$O$9:$O$1000)=$C143)*(LMPMain!S$9:S$1000) ) +  ( SUMPRODUCT( ((Adders!$D$13:$D$101)=$E143)*((Adders!$E$13:$E$101)=$F143)*(Adders!H$13:H$101)) + VLOOKUP($H143,Adders!$B$5:$G$8,M$11,FALSE)  +  NJ!$D$2 ) * IF($D143="NJ",1.07,1))/$L$10, CHOOSE($M$10,$L$9,$M$9) )</f>
        <v xml:space="preserve"> 41.30 </v>
      </c>
      <c r="N143" s="179" t="str">
        <f>TEXT(   (SUMPRODUCT( ((LMPMain!$H$9:$H$1000)=$E143)*((LMPMain!$J$9:$J$1000)=$F143)*((LMPMain!$O$9:$O$1000)=$C143)*(LMPMain!T$9:T$1000) ) +  ( SUMPRODUCT( ((Adders!$D$13:$D$101)=$E143)*((Adders!$E$13:$E$101)=$F143)*(Adders!I$13:I$101)) + VLOOKUP($H143,Adders!$B$5:$G$8,N$11,FALSE)  +  NJ!$D$2 ) * IF($D143="NJ",1.07,1))/$L$10, CHOOSE($M$10,$L$9,$M$9) )</f>
        <v xml:space="preserve"> 40.95 </v>
      </c>
      <c r="O143" s="112"/>
    </row>
    <row r="144" spans="2:15" x14ac:dyDescent="0.25">
      <c r="B144" s="108"/>
      <c r="C144" s="131">
        <f t="shared" si="3"/>
        <v>42370</v>
      </c>
      <c r="D144" s="132" t="s">
        <v>39</v>
      </c>
      <c r="E144" s="133" t="s">
        <v>43</v>
      </c>
      <c r="F144" s="132" t="s">
        <v>7</v>
      </c>
      <c r="G144" s="133" t="str">
        <f t="shared" si="4"/>
        <v>General Service</v>
      </c>
      <c r="H144" s="134" t="s">
        <v>62</v>
      </c>
      <c r="I144" s="173" t="str">
        <f>TEXT(   (SUMPRODUCT( ((Main!$H$9:$H$1000)=$E144)*((Main!$J$9:$J$1000)=$F144)*((Main!$O$9:$O$1000)=$C144)*(Main!R$9:R$1000) ) +  ( SUMPRODUCT( ((Adders!$D$13:$D$101)=$E144)*((Adders!$E$13:$E$101)=$F144)*(Adders!G$13:G$101)) + VLOOKUP($H144,Adders!$B$5:$G$8,L$11,FALSE)  +  MD!$D$2 ) * IF($D144="NJ",1.07,1))/$L$10, CHOOSE($M$10,$L$9,$M$9) )</f>
        <v xml:space="preserve"> 86.32 </v>
      </c>
      <c r="J144" s="173" t="str">
        <f>TEXT(   (SUMPRODUCT( ((Main!$H$9:$H$1000)=$E144)*((Main!$J$9:$J$1000)=$F144)*((Main!$O$9:$O$1000)=$C144)*(Main!S$9:S$1000) ) +  ( SUMPRODUCT( ((Adders!$D$13:$D$101)=$E144)*((Adders!$E$13:$E$101)=$F144)*(Adders!H$13:H$101)) + VLOOKUP($H144,Adders!$B$5:$G$8,M$11,FALSE)  +  MD!$D$2 ) * IF($D144="NJ",1.07,1))/$L$10, CHOOSE($M$10,$L$9,$M$9) )</f>
        <v xml:space="preserve"> 86.70 </v>
      </c>
      <c r="K144" s="174" t="str">
        <f>TEXT(   (SUMPRODUCT( ((Main!$H$9:$H$1000)=$E144)*((Main!$J$9:$J$1000)=$F144)*((Main!$O$9:$O$1000)=$C144)*(Main!T$9:T$1000) ) +  ( SUMPRODUCT( ((Adders!$D$13:$D$101)=$E144)*((Adders!$E$13:$E$101)=$F144)*(Adders!I$13:I$101)) + VLOOKUP($H144,Adders!$B$5:$G$8,$N$11,FALSE)  +  MD!$D$2 ) * IF($D144="NJ",1.07,1))/$L$10, CHOOSE($M$10,$L$9,$M$9) )</f>
        <v xml:space="preserve"> 85.92 </v>
      </c>
      <c r="L144" s="173" t="str">
        <f>TEXT(   (SUMPRODUCT( ((LMPMain!$H$9:$H$1000)=$E144)*((LMPMain!$J$9:$J$1000)=$F144)*((LMPMain!$O$9:$O$1000)=$C144)*(LMPMain!R$9:R$1000) ) +  ( SUMPRODUCT( ((Adders!$D$13:$D$101)=$E144)*((Adders!$E$13:$E$101)=$F144)*(Adders!G$13:G$101)) + VLOOKUP($H144,Adders!$B$5:$G$8,L$11,FALSE)  +  NJ!$D$2 ) * IF($D144="NJ",1.07,1))/$L$10, CHOOSE($M$10,$L$9,$M$9) )</f>
        <v xml:space="preserve"> 39.93 </v>
      </c>
      <c r="M144" s="173" t="str">
        <f>TEXT(   (SUMPRODUCT( ((LMPMain!$H$9:$H$1000)=$E144)*((LMPMain!$J$9:$J$1000)=$F144)*((LMPMain!$O$9:$O$1000)=$C144)*(LMPMain!S$9:S$1000) ) +  ( SUMPRODUCT( ((Adders!$D$13:$D$101)=$E144)*((Adders!$E$13:$E$101)=$F144)*(Adders!H$13:H$101)) + VLOOKUP($H144,Adders!$B$5:$G$8,M$11,FALSE)  +  NJ!$D$2 ) * IF($D144="NJ",1.07,1))/$L$10, CHOOSE($M$10,$L$9,$M$9) )</f>
        <v xml:space="preserve"> 39.70 </v>
      </c>
      <c r="N144" s="174" t="str">
        <f>TEXT(   (SUMPRODUCT( ((LMPMain!$H$9:$H$1000)=$E144)*((LMPMain!$J$9:$J$1000)=$F144)*((LMPMain!$O$9:$O$1000)=$C144)*(LMPMain!T$9:T$1000) ) +  ( SUMPRODUCT( ((Adders!$D$13:$D$101)=$E144)*((Adders!$E$13:$E$101)=$F144)*(Adders!I$13:I$101)) + VLOOKUP($H144,Adders!$B$5:$G$8,N$11,FALSE)  +  NJ!$D$2 ) * IF($D144="NJ",1.07,1))/$L$10, CHOOSE($M$10,$L$9,$M$9) )</f>
        <v xml:space="preserve"> 39.35 </v>
      </c>
      <c r="O144" s="112"/>
    </row>
    <row r="145" spans="2:15" x14ac:dyDescent="0.25">
      <c r="B145" s="108"/>
      <c r="C145" s="135">
        <f t="shared" si="3"/>
        <v>42370</v>
      </c>
      <c r="D145" s="136" t="s">
        <v>39</v>
      </c>
      <c r="E145" s="137" t="s">
        <v>43</v>
      </c>
      <c r="F145" s="136" t="s">
        <v>7</v>
      </c>
      <c r="G145" s="137" t="str">
        <f t="shared" si="4"/>
        <v>General Service</v>
      </c>
      <c r="H145" s="138" t="s">
        <v>690</v>
      </c>
      <c r="I145" s="176" t="str">
        <f>TEXT(   (SUMPRODUCT( ((Main!$H$9:$H$1000)=$E145)*((Main!$J$9:$J$1000)=$F145)*((Main!$O$9:$O$1000)=$C145)*(Main!R$9:R$1000) ) +  ( SUMPRODUCT( ((Adders!$D$13:$D$101)=$E145)*((Adders!$E$13:$E$101)=$F145)*(Adders!G$13:G$101)) + VLOOKUP($H145,Adders!$B$5:$G$8,L$11,FALSE)  +  MD!$D$2 ) * IF($D145="NJ",1.07,1))/$L$10, CHOOSE($M$10,$L$9,$M$9) )</f>
        <v xml:space="preserve"> 85.27 </v>
      </c>
      <c r="J145" s="176" t="str">
        <f>TEXT(   (SUMPRODUCT( ((Main!$H$9:$H$1000)=$E145)*((Main!$J$9:$J$1000)=$F145)*((Main!$O$9:$O$1000)=$C145)*(Main!S$9:S$1000) ) +  ( SUMPRODUCT( ((Adders!$D$13:$D$101)=$E145)*((Adders!$E$13:$E$101)=$F145)*(Adders!H$13:H$101)) + VLOOKUP($H145,Adders!$B$5:$G$8,M$11,FALSE)  +  MD!$D$2 ) * IF($D145="NJ",1.07,1))/$L$10, CHOOSE($M$10,$L$9,$M$9) )</f>
        <v xml:space="preserve"> 85.65 </v>
      </c>
      <c r="K145" s="177" t="str">
        <f>TEXT(   (SUMPRODUCT( ((Main!$H$9:$H$1000)=$E145)*((Main!$J$9:$J$1000)=$F145)*((Main!$O$9:$O$1000)=$C145)*(Main!T$9:T$1000) ) +  ( SUMPRODUCT( ((Adders!$D$13:$D$101)=$E145)*((Adders!$E$13:$E$101)=$F145)*(Adders!I$13:I$101)) + VLOOKUP($H145,Adders!$B$5:$G$8,$N$11,FALSE)  +  MD!$D$2 ) * IF($D145="NJ",1.07,1))/$L$10, CHOOSE($M$10,$L$9,$M$9) )</f>
        <v xml:space="preserve"> 84.87 </v>
      </c>
      <c r="L145" s="176" t="str">
        <f>TEXT(   (SUMPRODUCT( ((LMPMain!$H$9:$H$1000)=$E145)*((LMPMain!$J$9:$J$1000)=$F145)*((LMPMain!$O$9:$O$1000)=$C145)*(LMPMain!R$9:R$1000) ) +  ( SUMPRODUCT( ((Adders!$D$13:$D$101)=$E145)*((Adders!$E$13:$E$101)=$F145)*(Adders!G$13:G$101)) + VLOOKUP($H145,Adders!$B$5:$G$8,L$11,FALSE)  +  NJ!$D$2 ) * IF($D145="NJ",1.07,1))/$L$10, CHOOSE($M$10,$L$9,$M$9) )</f>
        <v xml:space="preserve"> 38.88 </v>
      </c>
      <c r="M145" s="176" t="str">
        <f>TEXT(   (SUMPRODUCT( ((LMPMain!$H$9:$H$1000)=$E145)*((LMPMain!$J$9:$J$1000)=$F145)*((LMPMain!$O$9:$O$1000)=$C145)*(LMPMain!S$9:S$1000) ) +  ( SUMPRODUCT( ((Adders!$D$13:$D$101)=$E145)*((Adders!$E$13:$E$101)=$F145)*(Adders!H$13:H$101)) + VLOOKUP($H145,Adders!$B$5:$G$8,M$11,FALSE)  +  NJ!$D$2 ) * IF($D145="NJ",1.07,1))/$L$10, CHOOSE($M$10,$L$9,$M$9) )</f>
        <v xml:space="preserve"> 38.65 </v>
      </c>
      <c r="N145" s="177" t="str">
        <f>TEXT(   (SUMPRODUCT( ((LMPMain!$H$9:$H$1000)=$E145)*((LMPMain!$J$9:$J$1000)=$F145)*((LMPMain!$O$9:$O$1000)=$C145)*(LMPMain!T$9:T$1000) ) +  ( SUMPRODUCT( ((Adders!$D$13:$D$101)=$E145)*((Adders!$E$13:$E$101)=$F145)*(Adders!I$13:I$101)) + VLOOKUP($H145,Adders!$B$5:$G$8,N$11,FALSE)  +  NJ!$D$2 ) * IF($D145="NJ",1.07,1))/$L$10, CHOOSE($M$10,$L$9,$M$9) )</f>
        <v xml:space="preserve"> 38.30 </v>
      </c>
      <c r="O145" s="112"/>
    </row>
    <row r="146" spans="2:15" x14ac:dyDescent="0.25">
      <c r="B146" s="108"/>
      <c r="C146" s="127">
        <f t="shared" si="3"/>
        <v>42401</v>
      </c>
      <c r="D146" s="128" t="s">
        <v>39</v>
      </c>
      <c r="E146" s="129" t="s">
        <v>43</v>
      </c>
      <c r="F146" s="128" t="s">
        <v>7</v>
      </c>
      <c r="G146" s="129" t="str">
        <f t="shared" si="4"/>
        <v>General Service</v>
      </c>
      <c r="H146" s="130" t="s">
        <v>61</v>
      </c>
      <c r="I146" s="178" t="str">
        <f>TEXT(   (SUMPRODUCT( ((Main!$H$9:$H$1000)=$E146)*((Main!$J$9:$J$1000)=$F146)*((Main!$O$9:$O$1000)=$C146)*(Main!R$9:R$1000) ) +  ( SUMPRODUCT( ((Adders!$D$13:$D$101)=$E146)*((Adders!$E$13:$E$101)=$F146)*(Adders!G$13:G$101)) + VLOOKUP($H146,Adders!$B$5:$G$8,L$11,FALSE)  +  MD!$D$2 ) * IF($D146="NJ",1.07,1))/$L$10, CHOOSE($M$10,$L$9,$M$9) )</f>
        <v xml:space="preserve"> 87.72 </v>
      </c>
      <c r="J146" s="178" t="str">
        <f>TEXT(   (SUMPRODUCT( ((Main!$H$9:$H$1000)=$E146)*((Main!$J$9:$J$1000)=$F146)*((Main!$O$9:$O$1000)=$C146)*(Main!S$9:S$1000) ) +  ( SUMPRODUCT( ((Adders!$D$13:$D$101)=$E146)*((Adders!$E$13:$E$101)=$F146)*(Adders!H$13:H$101)) + VLOOKUP($H146,Adders!$B$5:$G$8,M$11,FALSE)  +  MD!$D$2 ) * IF($D146="NJ",1.07,1))/$L$10, CHOOSE($M$10,$L$9,$M$9) )</f>
        <v xml:space="preserve"> 87.61 </v>
      </c>
      <c r="K146" s="179" t="str">
        <f>TEXT(   (SUMPRODUCT( ((Main!$H$9:$H$1000)=$E146)*((Main!$J$9:$J$1000)=$F146)*((Main!$O$9:$O$1000)=$C146)*(Main!T$9:T$1000) ) +  ( SUMPRODUCT( ((Adders!$D$13:$D$101)=$E146)*((Adders!$E$13:$E$101)=$F146)*(Adders!I$13:I$101)) + VLOOKUP($H146,Adders!$B$5:$G$8,$N$11,FALSE)  +  MD!$D$2 ) * IF($D146="NJ",1.07,1))/$L$10, CHOOSE($M$10,$L$9,$M$9) )</f>
        <v xml:space="preserve"> 87.60 </v>
      </c>
      <c r="L146" s="178" t="str">
        <f>TEXT(   (SUMPRODUCT( ((LMPMain!$H$9:$H$1000)=$E146)*((LMPMain!$J$9:$J$1000)=$F146)*((LMPMain!$O$9:$O$1000)=$C146)*(LMPMain!R$9:R$1000) ) +  ( SUMPRODUCT( ((Adders!$D$13:$D$101)=$E146)*((Adders!$E$13:$E$101)=$F146)*(Adders!G$13:G$101)) + VLOOKUP($H146,Adders!$B$5:$G$8,L$11,FALSE)  +  NJ!$D$2 ) * IF($D146="NJ",1.07,1))/$L$10, CHOOSE($M$10,$L$9,$M$9) )</f>
        <v xml:space="preserve"> 41.19 </v>
      </c>
      <c r="M146" s="178" t="str">
        <f>TEXT(   (SUMPRODUCT( ((LMPMain!$H$9:$H$1000)=$E146)*((LMPMain!$J$9:$J$1000)=$F146)*((LMPMain!$O$9:$O$1000)=$C146)*(LMPMain!S$9:S$1000) ) +  ( SUMPRODUCT( ((Adders!$D$13:$D$101)=$E146)*((Adders!$E$13:$E$101)=$F146)*(Adders!H$13:H$101)) + VLOOKUP($H146,Adders!$B$5:$G$8,M$11,FALSE)  +  NJ!$D$2 ) * IF($D146="NJ",1.07,1))/$L$10, CHOOSE($M$10,$L$9,$M$9) )</f>
        <v xml:space="preserve"> 40.80 </v>
      </c>
      <c r="N146" s="179" t="str">
        <f>TEXT(   (SUMPRODUCT( ((LMPMain!$H$9:$H$1000)=$E146)*((LMPMain!$J$9:$J$1000)=$F146)*((LMPMain!$O$9:$O$1000)=$C146)*(LMPMain!T$9:T$1000) ) +  ( SUMPRODUCT( ((Adders!$D$13:$D$101)=$E146)*((Adders!$E$13:$E$101)=$F146)*(Adders!I$13:I$101)) + VLOOKUP($H146,Adders!$B$5:$G$8,N$11,FALSE)  +  NJ!$D$2 ) * IF($D146="NJ",1.07,1))/$L$10, CHOOSE($M$10,$L$9,$M$9) )</f>
        <v xml:space="preserve"> 40.86 </v>
      </c>
      <c r="O146" s="112"/>
    </row>
    <row r="147" spans="2:15" x14ac:dyDescent="0.25">
      <c r="B147" s="108"/>
      <c r="C147" s="131">
        <f t="shared" si="3"/>
        <v>42401</v>
      </c>
      <c r="D147" s="132" t="s">
        <v>39</v>
      </c>
      <c r="E147" s="133" t="s">
        <v>43</v>
      </c>
      <c r="F147" s="132" t="s">
        <v>7</v>
      </c>
      <c r="G147" s="133" t="str">
        <f t="shared" si="4"/>
        <v>General Service</v>
      </c>
      <c r="H147" s="134" t="s">
        <v>62</v>
      </c>
      <c r="I147" s="173" t="str">
        <f>TEXT(   (SUMPRODUCT( ((Main!$H$9:$H$1000)=$E147)*((Main!$J$9:$J$1000)=$F147)*((Main!$O$9:$O$1000)=$C147)*(Main!R$9:R$1000) ) +  ( SUMPRODUCT( ((Adders!$D$13:$D$101)=$E147)*((Adders!$E$13:$E$101)=$F147)*(Adders!G$13:G$101)) + VLOOKUP($H147,Adders!$B$5:$G$8,L$11,FALSE)  +  MD!$D$2 ) * IF($D147="NJ",1.07,1))/$L$10, CHOOSE($M$10,$L$9,$M$9) )</f>
        <v xml:space="preserve"> 86.12 </v>
      </c>
      <c r="J147" s="173" t="str">
        <f>TEXT(   (SUMPRODUCT( ((Main!$H$9:$H$1000)=$E147)*((Main!$J$9:$J$1000)=$F147)*((Main!$O$9:$O$1000)=$C147)*(Main!S$9:S$1000) ) +  ( SUMPRODUCT( ((Adders!$D$13:$D$101)=$E147)*((Adders!$E$13:$E$101)=$F147)*(Adders!H$13:H$101)) + VLOOKUP($H147,Adders!$B$5:$G$8,M$11,FALSE)  +  MD!$D$2 ) * IF($D147="NJ",1.07,1))/$L$10, CHOOSE($M$10,$L$9,$M$9) )</f>
        <v xml:space="preserve"> 86.01 </v>
      </c>
      <c r="K147" s="174" t="str">
        <f>TEXT(   (SUMPRODUCT( ((Main!$H$9:$H$1000)=$E147)*((Main!$J$9:$J$1000)=$F147)*((Main!$O$9:$O$1000)=$C147)*(Main!T$9:T$1000) ) +  ( SUMPRODUCT( ((Adders!$D$13:$D$101)=$E147)*((Adders!$E$13:$E$101)=$F147)*(Adders!I$13:I$101)) + VLOOKUP($H147,Adders!$B$5:$G$8,$N$11,FALSE)  +  MD!$D$2 ) * IF($D147="NJ",1.07,1))/$L$10, CHOOSE($M$10,$L$9,$M$9) )</f>
        <v xml:space="preserve"> 86.00 </v>
      </c>
      <c r="L147" s="173" t="str">
        <f>TEXT(   (SUMPRODUCT( ((LMPMain!$H$9:$H$1000)=$E147)*((LMPMain!$J$9:$J$1000)=$F147)*((LMPMain!$O$9:$O$1000)=$C147)*(LMPMain!R$9:R$1000) ) +  ( SUMPRODUCT( ((Adders!$D$13:$D$101)=$E147)*((Adders!$E$13:$E$101)=$F147)*(Adders!G$13:G$101)) + VLOOKUP($H147,Adders!$B$5:$G$8,L$11,FALSE)  +  NJ!$D$2 ) * IF($D147="NJ",1.07,1))/$L$10, CHOOSE($M$10,$L$9,$M$9) )</f>
        <v xml:space="preserve"> 39.59 </v>
      </c>
      <c r="M147" s="173" t="str">
        <f>TEXT(   (SUMPRODUCT( ((LMPMain!$H$9:$H$1000)=$E147)*((LMPMain!$J$9:$J$1000)=$F147)*((LMPMain!$O$9:$O$1000)=$C147)*(LMPMain!S$9:S$1000) ) +  ( SUMPRODUCT( ((Adders!$D$13:$D$101)=$E147)*((Adders!$E$13:$E$101)=$F147)*(Adders!H$13:H$101)) + VLOOKUP($H147,Adders!$B$5:$G$8,M$11,FALSE)  +  NJ!$D$2 ) * IF($D147="NJ",1.07,1))/$L$10, CHOOSE($M$10,$L$9,$M$9) )</f>
        <v xml:space="preserve"> 39.20 </v>
      </c>
      <c r="N147" s="174" t="str">
        <f>TEXT(   (SUMPRODUCT( ((LMPMain!$H$9:$H$1000)=$E147)*((LMPMain!$J$9:$J$1000)=$F147)*((LMPMain!$O$9:$O$1000)=$C147)*(LMPMain!T$9:T$1000) ) +  ( SUMPRODUCT( ((Adders!$D$13:$D$101)=$E147)*((Adders!$E$13:$E$101)=$F147)*(Adders!I$13:I$101)) + VLOOKUP($H147,Adders!$B$5:$G$8,N$11,FALSE)  +  NJ!$D$2 ) * IF($D147="NJ",1.07,1))/$L$10, CHOOSE($M$10,$L$9,$M$9) )</f>
        <v xml:space="preserve"> 39.26 </v>
      </c>
      <c r="O147" s="112"/>
    </row>
    <row r="148" spans="2:15" x14ac:dyDescent="0.25">
      <c r="B148" s="108"/>
      <c r="C148" s="135">
        <f t="shared" si="3"/>
        <v>42401</v>
      </c>
      <c r="D148" s="136" t="s">
        <v>39</v>
      </c>
      <c r="E148" s="137" t="s">
        <v>43</v>
      </c>
      <c r="F148" s="136" t="s">
        <v>7</v>
      </c>
      <c r="G148" s="137" t="str">
        <f t="shared" si="4"/>
        <v>General Service</v>
      </c>
      <c r="H148" s="138" t="s">
        <v>690</v>
      </c>
      <c r="I148" s="176" t="str">
        <f>TEXT(   (SUMPRODUCT( ((Main!$H$9:$H$1000)=$E148)*((Main!$J$9:$J$1000)=$F148)*((Main!$O$9:$O$1000)=$C148)*(Main!R$9:R$1000) ) +  ( SUMPRODUCT( ((Adders!$D$13:$D$101)=$E148)*((Adders!$E$13:$E$101)=$F148)*(Adders!G$13:G$101)) + VLOOKUP($H148,Adders!$B$5:$G$8,L$11,FALSE)  +  MD!$D$2 ) * IF($D148="NJ",1.07,1))/$L$10, CHOOSE($M$10,$L$9,$M$9) )</f>
        <v xml:space="preserve"> 85.07 </v>
      </c>
      <c r="J148" s="176" t="str">
        <f>TEXT(   (SUMPRODUCT( ((Main!$H$9:$H$1000)=$E148)*((Main!$J$9:$J$1000)=$F148)*((Main!$O$9:$O$1000)=$C148)*(Main!S$9:S$1000) ) +  ( SUMPRODUCT( ((Adders!$D$13:$D$101)=$E148)*((Adders!$E$13:$E$101)=$F148)*(Adders!H$13:H$101)) + VLOOKUP($H148,Adders!$B$5:$G$8,M$11,FALSE)  +  MD!$D$2 ) * IF($D148="NJ",1.07,1))/$L$10, CHOOSE($M$10,$L$9,$M$9) )</f>
        <v xml:space="preserve"> 84.96 </v>
      </c>
      <c r="K148" s="177" t="str">
        <f>TEXT(   (SUMPRODUCT( ((Main!$H$9:$H$1000)=$E148)*((Main!$J$9:$J$1000)=$F148)*((Main!$O$9:$O$1000)=$C148)*(Main!T$9:T$1000) ) +  ( SUMPRODUCT( ((Adders!$D$13:$D$101)=$E148)*((Adders!$E$13:$E$101)=$F148)*(Adders!I$13:I$101)) + VLOOKUP($H148,Adders!$B$5:$G$8,$N$11,FALSE)  +  MD!$D$2 ) * IF($D148="NJ",1.07,1))/$L$10, CHOOSE($M$10,$L$9,$M$9) )</f>
        <v xml:space="preserve"> 84.95 </v>
      </c>
      <c r="L148" s="176" t="str">
        <f>TEXT(   (SUMPRODUCT( ((LMPMain!$H$9:$H$1000)=$E148)*((LMPMain!$J$9:$J$1000)=$F148)*((LMPMain!$O$9:$O$1000)=$C148)*(LMPMain!R$9:R$1000) ) +  ( SUMPRODUCT( ((Adders!$D$13:$D$101)=$E148)*((Adders!$E$13:$E$101)=$F148)*(Adders!G$13:G$101)) + VLOOKUP($H148,Adders!$B$5:$G$8,L$11,FALSE)  +  NJ!$D$2 ) * IF($D148="NJ",1.07,1))/$L$10, CHOOSE($M$10,$L$9,$M$9) )</f>
        <v xml:space="preserve"> 38.54 </v>
      </c>
      <c r="M148" s="176" t="str">
        <f>TEXT(   (SUMPRODUCT( ((LMPMain!$H$9:$H$1000)=$E148)*((LMPMain!$J$9:$J$1000)=$F148)*((LMPMain!$O$9:$O$1000)=$C148)*(LMPMain!S$9:S$1000) ) +  ( SUMPRODUCT( ((Adders!$D$13:$D$101)=$E148)*((Adders!$E$13:$E$101)=$F148)*(Adders!H$13:H$101)) + VLOOKUP($H148,Adders!$B$5:$G$8,M$11,FALSE)  +  NJ!$D$2 ) * IF($D148="NJ",1.07,1))/$L$10, CHOOSE($M$10,$L$9,$M$9) )</f>
        <v xml:space="preserve"> 38.15 </v>
      </c>
      <c r="N148" s="177" t="str">
        <f>TEXT(   (SUMPRODUCT( ((LMPMain!$H$9:$H$1000)=$E148)*((LMPMain!$J$9:$J$1000)=$F148)*((LMPMain!$O$9:$O$1000)=$C148)*(LMPMain!T$9:T$1000) ) +  ( SUMPRODUCT( ((Adders!$D$13:$D$101)=$E148)*((Adders!$E$13:$E$101)=$F148)*(Adders!I$13:I$101)) + VLOOKUP($H148,Adders!$B$5:$G$8,N$11,FALSE)  +  NJ!$D$2 ) * IF($D148="NJ",1.07,1))/$L$10, CHOOSE($M$10,$L$9,$M$9) )</f>
        <v xml:space="preserve"> 38.21 </v>
      </c>
      <c r="O148" s="112"/>
    </row>
    <row r="149" spans="2:15" x14ac:dyDescent="0.25">
      <c r="B149" s="108"/>
      <c r="C149" s="127">
        <f t="shared" si="3"/>
        <v>42430</v>
      </c>
      <c r="D149" s="128" t="s">
        <v>39</v>
      </c>
      <c r="E149" s="129" t="s">
        <v>43</v>
      </c>
      <c r="F149" s="128" t="s">
        <v>7</v>
      </c>
      <c r="G149" s="129" t="str">
        <f t="shared" si="4"/>
        <v>General Service</v>
      </c>
      <c r="H149" s="130" t="s">
        <v>61</v>
      </c>
      <c r="I149" s="178" t="str">
        <f>TEXT(   (SUMPRODUCT( ((Main!$H$9:$H$1000)=$E149)*((Main!$J$9:$J$1000)=$F149)*((Main!$O$9:$O$1000)=$C149)*(Main!R$9:R$1000) ) +  ( SUMPRODUCT( ((Adders!$D$13:$D$101)=$E149)*((Adders!$E$13:$E$101)=$F149)*(Adders!G$13:G$101)) + VLOOKUP($H149,Adders!$B$5:$G$8,L$11,FALSE)  +  MD!$D$2 ) * IF($D149="NJ",1.07,1))/$L$10, CHOOSE($M$10,$L$9,$M$9) )</f>
        <v xml:space="preserve"> 87.46 </v>
      </c>
      <c r="J149" s="178" t="str">
        <f>TEXT(   (SUMPRODUCT( ((Main!$H$9:$H$1000)=$E149)*((Main!$J$9:$J$1000)=$F149)*((Main!$O$9:$O$1000)=$C149)*(Main!S$9:S$1000) ) +  ( SUMPRODUCT( ((Adders!$D$13:$D$101)=$E149)*((Adders!$E$13:$E$101)=$F149)*(Adders!H$13:H$101)) + VLOOKUP($H149,Adders!$B$5:$G$8,M$11,FALSE)  +  MD!$D$2 ) * IF($D149="NJ",1.07,1))/$L$10, CHOOSE($M$10,$L$9,$M$9) )</f>
        <v xml:space="preserve"> 87.02 </v>
      </c>
      <c r="K149" s="179" t="str">
        <f>TEXT(   (SUMPRODUCT( ((Main!$H$9:$H$1000)=$E149)*((Main!$J$9:$J$1000)=$F149)*((Main!$O$9:$O$1000)=$C149)*(Main!T$9:T$1000) ) +  ( SUMPRODUCT( ((Adders!$D$13:$D$101)=$E149)*((Adders!$E$13:$E$101)=$F149)*(Adders!I$13:I$101)) + VLOOKUP($H149,Adders!$B$5:$G$8,$N$11,FALSE)  +  MD!$D$2 ) * IF($D149="NJ",1.07,1))/$L$10, CHOOSE($M$10,$L$9,$M$9) )</f>
        <v xml:space="preserve"> 87.64 </v>
      </c>
      <c r="L149" s="178" t="str">
        <f>TEXT(   (SUMPRODUCT( ((LMPMain!$H$9:$H$1000)=$E149)*((LMPMain!$J$9:$J$1000)=$F149)*((LMPMain!$O$9:$O$1000)=$C149)*(LMPMain!R$9:R$1000) ) +  ( SUMPRODUCT( ((Adders!$D$13:$D$101)=$E149)*((Adders!$E$13:$E$101)=$F149)*(Adders!G$13:G$101)) + VLOOKUP($H149,Adders!$B$5:$G$8,L$11,FALSE)  +  NJ!$D$2 ) * IF($D149="NJ",1.07,1))/$L$10, CHOOSE($M$10,$L$9,$M$9) )</f>
        <v xml:space="preserve"> 40.86 </v>
      </c>
      <c r="M149" s="178" t="str">
        <f>TEXT(   (SUMPRODUCT( ((LMPMain!$H$9:$H$1000)=$E149)*((LMPMain!$J$9:$J$1000)=$F149)*((LMPMain!$O$9:$O$1000)=$C149)*(LMPMain!S$9:S$1000) ) +  ( SUMPRODUCT( ((Adders!$D$13:$D$101)=$E149)*((Adders!$E$13:$E$101)=$F149)*(Adders!H$13:H$101)) + VLOOKUP($H149,Adders!$B$5:$G$8,M$11,FALSE)  +  NJ!$D$2 ) * IF($D149="NJ",1.07,1))/$L$10, CHOOSE($M$10,$L$9,$M$9) )</f>
        <v xml:space="preserve"> 40.36 </v>
      </c>
      <c r="N149" s="179" t="str">
        <f>TEXT(   (SUMPRODUCT( ((LMPMain!$H$9:$H$1000)=$E149)*((LMPMain!$J$9:$J$1000)=$F149)*((LMPMain!$O$9:$O$1000)=$C149)*(LMPMain!T$9:T$1000) ) +  ( SUMPRODUCT( ((Adders!$D$13:$D$101)=$E149)*((Adders!$E$13:$E$101)=$F149)*(Adders!I$13:I$101)) + VLOOKUP($H149,Adders!$B$5:$G$8,N$11,FALSE)  +  NJ!$D$2 ) * IF($D149="NJ",1.07,1))/$L$10, CHOOSE($M$10,$L$9,$M$9) )</f>
        <v xml:space="preserve"> 40.76 </v>
      </c>
      <c r="O149" s="112"/>
    </row>
    <row r="150" spans="2:15" x14ac:dyDescent="0.25">
      <c r="B150" s="108"/>
      <c r="C150" s="131">
        <f t="shared" si="3"/>
        <v>42430</v>
      </c>
      <c r="D150" s="132" t="s">
        <v>39</v>
      </c>
      <c r="E150" s="133" t="s">
        <v>43</v>
      </c>
      <c r="F150" s="132" t="s">
        <v>7</v>
      </c>
      <c r="G150" s="133" t="str">
        <f t="shared" si="4"/>
        <v>General Service</v>
      </c>
      <c r="H150" s="134" t="s">
        <v>62</v>
      </c>
      <c r="I150" s="173" t="str">
        <f>TEXT(   (SUMPRODUCT( ((Main!$H$9:$H$1000)=$E150)*((Main!$J$9:$J$1000)=$F150)*((Main!$O$9:$O$1000)=$C150)*(Main!R$9:R$1000) ) +  ( SUMPRODUCT( ((Adders!$D$13:$D$101)=$E150)*((Adders!$E$13:$E$101)=$F150)*(Adders!G$13:G$101)) + VLOOKUP($H150,Adders!$B$5:$G$8,L$11,FALSE)  +  MD!$D$2 ) * IF($D150="NJ",1.07,1))/$L$10, CHOOSE($M$10,$L$9,$M$9) )</f>
        <v xml:space="preserve"> 85.86 </v>
      </c>
      <c r="J150" s="173" t="str">
        <f>TEXT(   (SUMPRODUCT( ((Main!$H$9:$H$1000)=$E150)*((Main!$J$9:$J$1000)=$F150)*((Main!$O$9:$O$1000)=$C150)*(Main!S$9:S$1000) ) +  ( SUMPRODUCT( ((Adders!$D$13:$D$101)=$E150)*((Adders!$E$13:$E$101)=$F150)*(Adders!H$13:H$101)) + VLOOKUP($H150,Adders!$B$5:$G$8,M$11,FALSE)  +  MD!$D$2 ) * IF($D150="NJ",1.07,1))/$L$10, CHOOSE($M$10,$L$9,$M$9) )</f>
        <v xml:space="preserve"> 85.42 </v>
      </c>
      <c r="K150" s="174" t="str">
        <f>TEXT(   (SUMPRODUCT( ((Main!$H$9:$H$1000)=$E150)*((Main!$J$9:$J$1000)=$F150)*((Main!$O$9:$O$1000)=$C150)*(Main!T$9:T$1000) ) +  ( SUMPRODUCT( ((Adders!$D$13:$D$101)=$E150)*((Adders!$E$13:$E$101)=$F150)*(Adders!I$13:I$101)) + VLOOKUP($H150,Adders!$B$5:$G$8,$N$11,FALSE)  +  MD!$D$2 ) * IF($D150="NJ",1.07,1))/$L$10, CHOOSE($M$10,$L$9,$M$9) )</f>
        <v xml:space="preserve"> 86.04 </v>
      </c>
      <c r="L150" s="173" t="str">
        <f>TEXT(   (SUMPRODUCT( ((LMPMain!$H$9:$H$1000)=$E150)*((LMPMain!$J$9:$J$1000)=$F150)*((LMPMain!$O$9:$O$1000)=$C150)*(LMPMain!R$9:R$1000) ) +  ( SUMPRODUCT( ((Adders!$D$13:$D$101)=$E150)*((Adders!$E$13:$E$101)=$F150)*(Adders!G$13:G$101)) + VLOOKUP($H150,Adders!$B$5:$G$8,L$11,FALSE)  +  NJ!$D$2 ) * IF($D150="NJ",1.07,1))/$L$10, CHOOSE($M$10,$L$9,$M$9) )</f>
        <v xml:space="preserve"> 39.26 </v>
      </c>
      <c r="M150" s="173" t="str">
        <f>TEXT(   (SUMPRODUCT( ((LMPMain!$H$9:$H$1000)=$E150)*((LMPMain!$J$9:$J$1000)=$F150)*((LMPMain!$O$9:$O$1000)=$C150)*(LMPMain!S$9:S$1000) ) +  ( SUMPRODUCT( ((Adders!$D$13:$D$101)=$E150)*((Adders!$E$13:$E$101)=$F150)*(Adders!H$13:H$101)) + VLOOKUP($H150,Adders!$B$5:$G$8,M$11,FALSE)  +  NJ!$D$2 ) * IF($D150="NJ",1.07,1))/$L$10, CHOOSE($M$10,$L$9,$M$9) )</f>
        <v xml:space="preserve"> 38.76 </v>
      </c>
      <c r="N150" s="174" t="str">
        <f>TEXT(   (SUMPRODUCT( ((LMPMain!$H$9:$H$1000)=$E150)*((LMPMain!$J$9:$J$1000)=$F150)*((LMPMain!$O$9:$O$1000)=$C150)*(LMPMain!T$9:T$1000) ) +  ( SUMPRODUCT( ((Adders!$D$13:$D$101)=$E150)*((Adders!$E$13:$E$101)=$F150)*(Adders!I$13:I$101)) + VLOOKUP($H150,Adders!$B$5:$G$8,N$11,FALSE)  +  NJ!$D$2 ) * IF($D150="NJ",1.07,1))/$L$10, CHOOSE($M$10,$L$9,$M$9) )</f>
        <v xml:space="preserve"> 39.16 </v>
      </c>
      <c r="O150" s="112"/>
    </row>
    <row r="151" spans="2:15" x14ac:dyDescent="0.25">
      <c r="B151" s="108"/>
      <c r="C151" s="135">
        <f t="shared" si="3"/>
        <v>42430</v>
      </c>
      <c r="D151" s="136" t="s">
        <v>39</v>
      </c>
      <c r="E151" s="137" t="s">
        <v>43</v>
      </c>
      <c r="F151" s="136" t="s">
        <v>7</v>
      </c>
      <c r="G151" s="137" t="str">
        <f t="shared" si="4"/>
        <v>General Service</v>
      </c>
      <c r="H151" s="138" t="s">
        <v>690</v>
      </c>
      <c r="I151" s="176" t="str">
        <f>TEXT(   (SUMPRODUCT( ((Main!$H$9:$H$1000)=$E151)*((Main!$J$9:$J$1000)=$F151)*((Main!$O$9:$O$1000)=$C151)*(Main!R$9:R$1000) ) +  ( SUMPRODUCT( ((Adders!$D$13:$D$101)=$E151)*((Adders!$E$13:$E$101)=$F151)*(Adders!G$13:G$101)) + VLOOKUP($H151,Adders!$B$5:$G$8,L$11,FALSE)  +  MD!$D$2 ) * IF($D151="NJ",1.07,1))/$L$10, CHOOSE($M$10,$L$9,$M$9) )</f>
        <v xml:space="preserve"> 84.81 </v>
      </c>
      <c r="J151" s="176" t="str">
        <f>TEXT(   (SUMPRODUCT( ((Main!$H$9:$H$1000)=$E151)*((Main!$J$9:$J$1000)=$F151)*((Main!$O$9:$O$1000)=$C151)*(Main!S$9:S$1000) ) +  ( SUMPRODUCT( ((Adders!$D$13:$D$101)=$E151)*((Adders!$E$13:$E$101)=$F151)*(Adders!H$13:H$101)) + VLOOKUP($H151,Adders!$B$5:$G$8,M$11,FALSE)  +  MD!$D$2 ) * IF($D151="NJ",1.07,1))/$L$10, CHOOSE($M$10,$L$9,$M$9) )</f>
        <v xml:space="preserve"> 84.37 </v>
      </c>
      <c r="K151" s="177" t="str">
        <f>TEXT(   (SUMPRODUCT( ((Main!$H$9:$H$1000)=$E151)*((Main!$J$9:$J$1000)=$F151)*((Main!$O$9:$O$1000)=$C151)*(Main!T$9:T$1000) ) +  ( SUMPRODUCT( ((Adders!$D$13:$D$101)=$E151)*((Adders!$E$13:$E$101)=$F151)*(Adders!I$13:I$101)) + VLOOKUP($H151,Adders!$B$5:$G$8,$N$11,FALSE)  +  MD!$D$2 ) * IF($D151="NJ",1.07,1))/$L$10, CHOOSE($M$10,$L$9,$M$9) )</f>
        <v xml:space="preserve"> 84.99 </v>
      </c>
      <c r="L151" s="176" t="str">
        <f>TEXT(   (SUMPRODUCT( ((LMPMain!$H$9:$H$1000)=$E151)*((LMPMain!$J$9:$J$1000)=$F151)*((LMPMain!$O$9:$O$1000)=$C151)*(LMPMain!R$9:R$1000) ) +  ( SUMPRODUCT( ((Adders!$D$13:$D$101)=$E151)*((Adders!$E$13:$E$101)=$F151)*(Adders!G$13:G$101)) + VLOOKUP($H151,Adders!$B$5:$G$8,L$11,FALSE)  +  NJ!$D$2 ) * IF($D151="NJ",1.07,1))/$L$10, CHOOSE($M$10,$L$9,$M$9) )</f>
        <v xml:space="preserve"> 38.21 </v>
      </c>
      <c r="M151" s="176" t="str">
        <f>TEXT(   (SUMPRODUCT( ((LMPMain!$H$9:$H$1000)=$E151)*((LMPMain!$J$9:$J$1000)=$F151)*((LMPMain!$O$9:$O$1000)=$C151)*(LMPMain!S$9:S$1000) ) +  ( SUMPRODUCT( ((Adders!$D$13:$D$101)=$E151)*((Adders!$E$13:$E$101)=$F151)*(Adders!H$13:H$101)) + VLOOKUP($H151,Adders!$B$5:$G$8,M$11,FALSE)  +  NJ!$D$2 ) * IF($D151="NJ",1.07,1))/$L$10, CHOOSE($M$10,$L$9,$M$9) )</f>
        <v xml:space="preserve"> 37.71 </v>
      </c>
      <c r="N151" s="177" t="str">
        <f>TEXT(   (SUMPRODUCT( ((LMPMain!$H$9:$H$1000)=$E151)*((LMPMain!$J$9:$J$1000)=$F151)*((LMPMain!$O$9:$O$1000)=$C151)*(LMPMain!T$9:T$1000) ) +  ( SUMPRODUCT( ((Adders!$D$13:$D$101)=$E151)*((Adders!$E$13:$E$101)=$F151)*(Adders!I$13:I$101)) + VLOOKUP($H151,Adders!$B$5:$G$8,N$11,FALSE)  +  NJ!$D$2 ) * IF($D151="NJ",1.07,1))/$L$10, CHOOSE($M$10,$L$9,$M$9) )</f>
        <v xml:space="preserve"> 38.11 </v>
      </c>
      <c r="O151" s="112"/>
    </row>
    <row r="152" spans="2:15" x14ac:dyDescent="0.25">
      <c r="B152" s="108"/>
      <c r="C152" s="127">
        <f t="shared" si="3"/>
        <v>42461</v>
      </c>
      <c r="D152" s="128" t="s">
        <v>39</v>
      </c>
      <c r="E152" s="129" t="s">
        <v>43</v>
      </c>
      <c r="F152" s="128" t="s">
        <v>7</v>
      </c>
      <c r="G152" s="129" t="str">
        <f t="shared" si="4"/>
        <v>General Service</v>
      </c>
      <c r="H152" s="130" t="s">
        <v>61</v>
      </c>
      <c r="I152" s="178" t="str">
        <f>TEXT(   (SUMPRODUCT( ((Main!$H$9:$H$1000)=$E152)*((Main!$J$9:$J$1000)=$F152)*((Main!$O$9:$O$1000)=$C152)*(Main!R$9:R$1000) ) +  ( SUMPRODUCT( ((Adders!$D$13:$D$101)=$E152)*((Adders!$E$13:$E$101)=$F152)*(Adders!G$13:G$101)) + VLOOKUP($H152,Adders!$B$5:$G$8,L$11,FALSE)  +  MD!$D$2 ) * IF($D152="NJ",1.07,1))/$L$10, CHOOSE($M$10,$L$9,$M$9) )</f>
        <v xml:space="preserve"> 87.11 </v>
      </c>
      <c r="J152" s="178" t="str">
        <f>TEXT(   (SUMPRODUCT( ((Main!$H$9:$H$1000)=$E152)*((Main!$J$9:$J$1000)=$F152)*((Main!$O$9:$O$1000)=$C152)*(Main!S$9:S$1000) ) +  ( SUMPRODUCT( ((Adders!$D$13:$D$101)=$E152)*((Adders!$E$13:$E$101)=$F152)*(Adders!H$13:H$101)) + VLOOKUP($H152,Adders!$B$5:$G$8,M$11,FALSE)  +  MD!$D$2 ) * IF($D152="NJ",1.07,1))/$L$10, CHOOSE($M$10,$L$9,$M$9) )</f>
        <v xml:space="preserve"> 86.32 </v>
      </c>
      <c r="K152" s="179" t="str">
        <f>TEXT(   (SUMPRODUCT( ((Main!$H$9:$H$1000)=$E152)*((Main!$J$9:$J$1000)=$F152)*((Main!$O$9:$O$1000)=$C152)*(Main!T$9:T$1000) ) +  ( SUMPRODUCT( ((Adders!$D$13:$D$101)=$E152)*((Adders!$E$13:$E$101)=$F152)*(Adders!I$13:I$101)) + VLOOKUP($H152,Adders!$B$5:$G$8,$N$11,FALSE)  +  MD!$D$2 ) * IF($D152="NJ",1.07,1))/$L$10, CHOOSE($M$10,$L$9,$M$9) )</f>
        <v xml:space="preserve"> 87.48 </v>
      </c>
      <c r="L152" s="178" t="str">
        <f>TEXT(   (SUMPRODUCT( ((LMPMain!$H$9:$H$1000)=$E152)*((LMPMain!$J$9:$J$1000)=$F152)*((LMPMain!$O$9:$O$1000)=$C152)*(LMPMain!R$9:R$1000) ) +  ( SUMPRODUCT( ((Adders!$D$13:$D$101)=$E152)*((Adders!$E$13:$E$101)=$F152)*(Adders!G$13:G$101)) + VLOOKUP($H152,Adders!$B$5:$G$8,L$11,FALSE)  +  NJ!$D$2 ) * IF($D152="NJ",1.07,1))/$L$10, CHOOSE($M$10,$L$9,$M$9) )</f>
        <v xml:space="preserve"> 40.52 </v>
      </c>
      <c r="M152" s="178" t="str">
        <f>TEXT(   (SUMPRODUCT( ((LMPMain!$H$9:$H$1000)=$E152)*((LMPMain!$J$9:$J$1000)=$F152)*((LMPMain!$O$9:$O$1000)=$C152)*(LMPMain!S$9:S$1000) ) +  ( SUMPRODUCT( ((Adders!$D$13:$D$101)=$E152)*((Adders!$E$13:$E$101)=$F152)*(Adders!H$13:H$101)) + VLOOKUP($H152,Adders!$B$5:$G$8,M$11,FALSE)  +  NJ!$D$2 ) * IF($D152="NJ",1.07,1))/$L$10, CHOOSE($M$10,$L$9,$M$9) )</f>
        <v xml:space="preserve"> 39.99 </v>
      </c>
      <c r="N152" s="179" t="str">
        <f>TEXT(   (SUMPRODUCT( ((LMPMain!$H$9:$H$1000)=$E152)*((LMPMain!$J$9:$J$1000)=$F152)*((LMPMain!$O$9:$O$1000)=$C152)*(LMPMain!T$9:T$1000) ) +  ( SUMPRODUCT( ((Adders!$D$13:$D$101)=$E152)*((Adders!$E$13:$E$101)=$F152)*(Adders!I$13:I$101)) + VLOOKUP($H152,Adders!$B$5:$G$8,N$11,FALSE)  +  NJ!$D$2 ) * IF($D152="NJ",1.07,1))/$L$10, CHOOSE($M$10,$L$9,$M$9) )</f>
        <v xml:space="preserve"> 40.66 </v>
      </c>
      <c r="O152" s="112"/>
    </row>
    <row r="153" spans="2:15" x14ac:dyDescent="0.25">
      <c r="B153" s="108"/>
      <c r="C153" s="131">
        <f t="shared" si="3"/>
        <v>42461</v>
      </c>
      <c r="D153" s="132" t="s">
        <v>39</v>
      </c>
      <c r="E153" s="133" t="s">
        <v>43</v>
      </c>
      <c r="F153" s="132" t="s">
        <v>7</v>
      </c>
      <c r="G153" s="133" t="str">
        <f t="shared" si="4"/>
        <v>General Service</v>
      </c>
      <c r="H153" s="134" t="s">
        <v>62</v>
      </c>
      <c r="I153" s="173" t="str">
        <f>TEXT(   (SUMPRODUCT( ((Main!$H$9:$H$1000)=$E153)*((Main!$J$9:$J$1000)=$F153)*((Main!$O$9:$O$1000)=$C153)*(Main!R$9:R$1000) ) +  ( SUMPRODUCT( ((Adders!$D$13:$D$101)=$E153)*((Adders!$E$13:$E$101)=$F153)*(Adders!G$13:G$101)) + VLOOKUP($H153,Adders!$B$5:$G$8,L$11,FALSE)  +  MD!$D$2 ) * IF($D153="NJ",1.07,1))/$L$10, CHOOSE($M$10,$L$9,$M$9) )</f>
        <v xml:space="preserve"> 85.51 </v>
      </c>
      <c r="J153" s="173" t="str">
        <f>TEXT(   (SUMPRODUCT( ((Main!$H$9:$H$1000)=$E153)*((Main!$J$9:$J$1000)=$F153)*((Main!$O$9:$O$1000)=$C153)*(Main!S$9:S$1000) ) +  ( SUMPRODUCT( ((Adders!$D$13:$D$101)=$E153)*((Adders!$E$13:$E$101)=$F153)*(Adders!H$13:H$101)) + VLOOKUP($H153,Adders!$B$5:$G$8,M$11,FALSE)  +  MD!$D$2 ) * IF($D153="NJ",1.07,1))/$L$10, CHOOSE($M$10,$L$9,$M$9) )</f>
        <v xml:space="preserve"> 84.72 </v>
      </c>
      <c r="K153" s="174" t="str">
        <f>TEXT(   (SUMPRODUCT( ((Main!$H$9:$H$1000)=$E153)*((Main!$J$9:$J$1000)=$F153)*((Main!$O$9:$O$1000)=$C153)*(Main!T$9:T$1000) ) +  ( SUMPRODUCT( ((Adders!$D$13:$D$101)=$E153)*((Adders!$E$13:$E$101)=$F153)*(Adders!I$13:I$101)) + VLOOKUP($H153,Adders!$B$5:$G$8,$N$11,FALSE)  +  MD!$D$2 ) * IF($D153="NJ",1.07,1))/$L$10, CHOOSE($M$10,$L$9,$M$9) )</f>
        <v xml:space="preserve"> 85.88 </v>
      </c>
      <c r="L153" s="173" t="str">
        <f>TEXT(   (SUMPRODUCT( ((LMPMain!$H$9:$H$1000)=$E153)*((LMPMain!$J$9:$J$1000)=$F153)*((LMPMain!$O$9:$O$1000)=$C153)*(LMPMain!R$9:R$1000) ) +  ( SUMPRODUCT( ((Adders!$D$13:$D$101)=$E153)*((Adders!$E$13:$E$101)=$F153)*(Adders!G$13:G$101)) + VLOOKUP($H153,Adders!$B$5:$G$8,L$11,FALSE)  +  NJ!$D$2 ) * IF($D153="NJ",1.07,1))/$L$10, CHOOSE($M$10,$L$9,$M$9) )</f>
        <v xml:space="preserve"> 38.92 </v>
      </c>
      <c r="M153" s="173" t="str">
        <f>TEXT(   (SUMPRODUCT( ((LMPMain!$H$9:$H$1000)=$E153)*((LMPMain!$J$9:$J$1000)=$F153)*((LMPMain!$O$9:$O$1000)=$C153)*(LMPMain!S$9:S$1000) ) +  ( SUMPRODUCT( ((Adders!$D$13:$D$101)=$E153)*((Adders!$E$13:$E$101)=$F153)*(Adders!H$13:H$101)) + VLOOKUP($H153,Adders!$B$5:$G$8,M$11,FALSE)  +  NJ!$D$2 ) * IF($D153="NJ",1.07,1))/$L$10, CHOOSE($M$10,$L$9,$M$9) )</f>
        <v xml:space="preserve"> 38.39 </v>
      </c>
      <c r="N153" s="174" t="str">
        <f>TEXT(   (SUMPRODUCT( ((LMPMain!$H$9:$H$1000)=$E153)*((LMPMain!$J$9:$J$1000)=$F153)*((LMPMain!$O$9:$O$1000)=$C153)*(LMPMain!T$9:T$1000) ) +  ( SUMPRODUCT( ((Adders!$D$13:$D$101)=$E153)*((Adders!$E$13:$E$101)=$F153)*(Adders!I$13:I$101)) + VLOOKUP($H153,Adders!$B$5:$G$8,N$11,FALSE)  +  NJ!$D$2 ) * IF($D153="NJ",1.07,1))/$L$10, CHOOSE($M$10,$L$9,$M$9) )</f>
        <v xml:space="preserve"> 39.06 </v>
      </c>
      <c r="O153" s="112"/>
    </row>
    <row r="154" spans="2:15" x14ac:dyDescent="0.25">
      <c r="B154" s="108"/>
      <c r="C154" s="135">
        <f t="shared" si="3"/>
        <v>42461</v>
      </c>
      <c r="D154" s="136" t="s">
        <v>39</v>
      </c>
      <c r="E154" s="137" t="s">
        <v>43</v>
      </c>
      <c r="F154" s="136" t="s">
        <v>7</v>
      </c>
      <c r="G154" s="137" t="str">
        <f t="shared" si="4"/>
        <v>General Service</v>
      </c>
      <c r="H154" s="138" t="s">
        <v>690</v>
      </c>
      <c r="I154" s="176" t="str">
        <f>TEXT(   (SUMPRODUCT( ((Main!$H$9:$H$1000)=$E154)*((Main!$J$9:$J$1000)=$F154)*((Main!$O$9:$O$1000)=$C154)*(Main!R$9:R$1000) ) +  ( SUMPRODUCT( ((Adders!$D$13:$D$101)=$E154)*((Adders!$E$13:$E$101)=$F154)*(Adders!G$13:G$101)) + VLOOKUP($H154,Adders!$B$5:$G$8,L$11,FALSE)  +  MD!$D$2 ) * IF($D154="NJ",1.07,1))/$L$10, CHOOSE($M$10,$L$9,$M$9) )</f>
        <v xml:space="preserve"> 84.46 </v>
      </c>
      <c r="J154" s="176" t="str">
        <f>TEXT(   (SUMPRODUCT( ((Main!$H$9:$H$1000)=$E154)*((Main!$J$9:$J$1000)=$F154)*((Main!$O$9:$O$1000)=$C154)*(Main!S$9:S$1000) ) +  ( SUMPRODUCT( ((Adders!$D$13:$D$101)=$E154)*((Adders!$E$13:$E$101)=$F154)*(Adders!H$13:H$101)) + VLOOKUP($H154,Adders!$B$5:$G$8,M$11,FALSE)  +  MD!$D$2 ) * IF($D154="NJ",1.07,1))/$L$10, CHOOSE($M$10,$L$9,$M$9) )</f>
        <v xml:space="preserve"> 83.67 </v>
      </c>
      <c r="K154" s="177" t="str">
        <f>TEXT(   (SUMPRODUCT( ((Main!$H$9:$H$1000)=$E154)*((Main!$J$9:$J$1000)=$F154)*((Main!$O$9:$O$1000)=$C154)*(Main!T$9:T$1000) ) +  ( SUMPRODUCT( ((Adders!$D$13:$D$101)=$E154)*((Adders!$E$13:$E$101)=$F154)*(Adders!I$13:I$101)) + VLOOKUP($H154,Adders!$B$5:$G$8,$N$11,FALSE)  +  MD!$D$2 ) * IF($D154="NJ",1.07,1))/$L$10, CHOOSE($M$10,$L$9,$M$9) )</f>
        <v xml:space="preserve"> 84.83 </v>
      </c>
      <c r="L154" s="176" t="str">
        <f>TEXT(   (SUMPRODUCT( ((LMPMain!$H$9:$H$1000)=$E154)*((LMPMain!$J$9:$J$1000)=$F154)*((LMPMain!$O$9:$O$1000)=$C154)*(LMPMain!R$9:R$1000) ) +  ( SUMPRODUCT( ((Adders!$D$13:$D$101)=$E154)*((Adders!$E$13:$E$101)=$F154)*(Adders!G$13:G$101)) + VLOOKUP($H154,Adders!$B$5:$G$8,L$11,FALSE)  +  NJ!$D$2 ) * IF($D154="NJ",1.07,1))/$L$10, CHOOSE($M$10,$L$9,$M$9) )</f>
        <v xml:space="preserve"> 37.87 </v>
      </c>
      <c r="M154" s="176" t="str">
        <f>TEXT(   (SUMPRODUCT( ((LMPMain!$H$9:$H$1000)=$E154)*((LMPMain!$J$9:$J$1000)=$F154)*((LMPMain!$O$9:$O$1000)=$C154)*(LMPMain!S$9:S$1000) ) +  ( SUMPRODUCT( ((Adders!$D$13:$D$101)=$E154)*((Adders!$E$13:$E$101)=$F154)*(Adders!H$13:H$101)) + VLOOKUP($H154,Adders!$B$5:$G$8,M$11,FALSE)  +  NJ!$D$2 ) * IF($D154="NJ",1.07,1))/$L$10, CHOOSE($M$10,$L$9,$M$9) )</f>
        <v xml:space="preserve"> 37.34 </v>
      </c>
      <c r="N154" s="177" t="str">
        <f>TEXT(   (SUMPRODUCT( ((LMPMain!$H$9:$H$1000)=$E154)*((LMPMain!$J$9:$J$1000)=$F154)*((LMPMain!$O$9:$O$1000)=$C154)*(LMPMain!T$9:T$1000) ) +  ( SUMPRODUCT( ((Adders!$D$13:$D$101)=$E154)*((Adders!$E$13:$E$101)=$F154)*(Adders!I$13:I$101)) + VLOOKUP($H154,Adders!$B$5:$G$8,N$11,FALSE)  +  NJ!$D$2 ) * IF($D154="NJ",1.07,1))/$L$10, CHOOSE($M$10,$L$9,$M$9) )</f>
        <v xml:space="preserve"> 38.01 </v>
      </c>
      <c r="O154" s="112"/>
    </row>
    <row r="155" spans="2:15" x14ac:dyDescent="0.25">
      <c r="B155" s="108"/>
      <c r="C155" s="127">
        <f t="shared" si="3"/>
        <v>42491</v>
      </c>
      <c r="D155" s="128" t="s">
        <v>39</v>
      </c>
      <c r="E155" s="129" t="s">
        <v>43</v>
      </c>
      <c r="F155" s="128" t="s">
        <v>7</v>
      </c>
      <c r="G155" s="129" t="str">
        <f t="shared" si="4"/>
        <v>General Service</v>
      </c>
      <c r="H155" s="130" t="s">
        <v>61</v>
      </c>
      <c r="I155" s="178" t="str">
        <f>TEXT(   (SUMPRODUCT( ((Main!$H$9:$H$1000)=$E155)*((Main!$J$9:$J$1000)=$F155)*((Main!$O$9:$O$1000)=$C155)*(Main!R$9:R$1000) ) +  ( SUMPRODUCT( ((Adders!$D$13:$D$101)=$E155)*((Adders!$E$13:$E$101)=$F155)*(Adders!G$13:G$101)) + VLOOKUP($H155,Adders!$B$5:$G$8,L$11,FALSE)  +  MD!$D$2 ) * IF($D155="NJ",1.07,1))/$L$10, CHOOSE($M$10,$L$9,$M$9) )</f>
        <v xml:space="preserve"> 86.72 </v>
      </c>
      <c r="J155" s="178" t="str">
        <f>TEXT(   (SUMPRODUCT( ((Main!$H$9:$H$1000)=$E155)*((Main!$J$9:$J$1000)=$F155)*((Main!$O$9:$O$1000)=$C155)*(Main!S$9:S$1000) ) +  ( SUMPRODUCT( ((Adders!$D$13:$D$101)=$E155)*((Adders!$E$13:$E$101)=$F155)*(Adders!H$13:H$101)) + VLOOKUP($H155,Adders!$B$5:$G$8,M$11,FALSE)  +  MD!$D$2 ) * IF($D155="NJ",1.07,1))/$L$10, CHOOSE($M$10,$L$9,$M$9) )</f>
        <v xml:space="preserve"> 86.00 </v>
      </c>
      <c r="K155" s="179" t="str">
        <f>TEXT(   (SUMPRODUCT( ((Main!$H$9:$H$1000)=$E155)*((Main!$J$9:$J$1000)=$F155)*((Main!$O$9:$O$1000)=$C155)*(Main!T$9:T$1000) ) +  ( SUMPRODUCT( ((Adders!$D$13:$D$101)=$E155)*((Adders!$E$13:$E$101)=$F155)*(Adders!I$13:I$101)) + VLOOKUP($H155,Adders!$B$5:$G$8,$N$11,FALSE)  +  MD!$D$2 ) * IF($D155="NJ",1.07,1))/$L$10, CHOOSE($M$10,$L$9,$M$9) )</f>
        <v xml:space="preserve"> 87.38 </v>
      </c>
      <c r="L155" s="178" t="str">
        <f>TEXT(   (SUMPRODUCT( ((LMPMain!$H$9:$H$1000)=$E155)*((LMPMain!$J$9:$J$1000)=$F155)*((LMPMain!$O$9:$O$1000)=$C155)*(LMPMain!R$9:R$1000) ) +  ( SUMPRODUCT( ((Adders!$D$13:$D$101)=$E155)*((Adders!$E$13:$E$101)=$F155)*(Adders!G$13:G$101)) + VLOOKUP($H155,Adders!$B$5:$G$8,L$11,FALSE)  +  NJ!$D$2 ) * IF($D155="NJ",1.07,1))/$L$10, CHOOSE($M$10,$L$9,$M$9) )</f>
        <v xml:space="preserve"> 40.20 </v>
      </c>
      <c r="M155" s="178" t="str">
        <f>TEXT(   (SUMPRODUCT( ((LMPMain!$H$9:$H$1000)=$E155)*((LMPMain!$J$9:$J$1000)=$F155)*((LMPMain!$O$9:$O$1000)=$C155)*(LMPMain!S$9:S$1000) ) +  ( SUMPRODUCT( ((Adders!$D$13:$D$101)=$E155)*((Adders!$E$13:$E$101)=$F155)*(Adders!H$13:H$101)) + VLOOKUP($H155,Adders!$B$5:$G$8,M$11,FALSE)  +  NJ!$D$2 ) * IF($D155="NJ",1.07,1))/$L$10, CHOOSE($M$10,$L$9,$M$9) )</f>
        <v xml:space="preserve"> 39.77 </v>
      </c>
      <c r="N155" s="179" t="str">
        <f>TEXT(   (SUMPRODUCT( ((LMPMain!$H$9:$H$1000)=$E155)*((LMPMain!$J$9:$J$1000)=$F155)*((LMPMain!$O$9:$O$1000)=$C155)*(LMPMain!T$9:T$1000) ) +  ( SUMPRODUCT( ((Adders!$D$13:$D$101)=$E155)*((Adders!$E$13:$E$101)=$F155)*(Adders!I$13:I$101)) + VLOOKUP($H155,Adders!$B$5:$G$8,N$11,FALSE)  +  NJ!$D$2 ) * IF($D155="NJ",1.07,1))/$L$10, CHOOSE($M$10,$L$9,$M$9) )</f>
        <v xml:space="preserve"> 40.56 </v>
      </c>
      <c r="O155" s="112"/>
    </row>
    <row r="156" spans="2:15" x14ac:dyDescent="0.25">
      <c r="B156" s="108"/>
      <c r="C156" s="131">
        <f t="shared" si="3"/>
        <v>42491</v>
      </c>
      <c r="D156" s="132" t="s">
        <v>39</v>
      </c>
      <c r="E156" s="133" t="s">
        <v>43</v>
      </c>
      <c r="F156" s="132" t="s">
        <v>7</v>
      </c>
      <c r="G156" s="133" t="str">
        <f t="shared" si="4"/>
        <v>General Service</v>
      </c>
      <c r="H156" s="134" t="s">
        <v>62</v>
      </c>
      <c r="I156" s="173" t="str">
        <f>TEXT(   (SUMPRODUCT( ((Main!$H$9:$H$1000)=$E156)*((Main!$J$9:$J$1000)=$F156)*((Main!$O$9:$O$1000)=$C156)*(Main!R$9:R$1000) ) +  ( SUMPRODUCT( ((Adders!$D$13:$D$101)=$E156)*((Adders!$E$13:$E$101)=$F156)*(Adders!G$13:G$101)) + VLOOKUP($H156,Adders!$B$5:$G$8,L$11,FALSE)  +  MD!$D$2 ) * IF($D156="NJ",1.07,1))/$L$10, CHOOSE($M$10,$L$9,$M$9) )</f>
        <v xml:space="preserve"> 85.12 </v>
      </c>
      <c r="J156" s="173" t="str">
        <f>TEXT(   (SUMPRODUCT( ((Main!$H$9:$H$1000)=$E156)*((Main!$J$9:$J$1000)=$F156)*((Main!$O$9:$O$1000)=$C156)*(Main!S$9:S$1000) ) +  ( SUMPRODUCT( ((Adders!$D$13:$D$101)=$E156)*((Adders!$E$13:$E$101)=$F156)*(Adders!H$13:H$101)) + VLOOKUP($H156,Adders!$B$5:$G$8,M$11,FALSE)  +  MD!$D$2 ) * IF($D156="NJ",1.07,1))/$L$10, CHOOSE($M$10,$L$9,$M$9) )</f>
        <v xml:space="preserve"> 84.40 </v>
      </c>
      <c r="K156" s="174" t="str">
        <f>TEXT(   (SUMPRODUCT( ((Main!$H$9:$H$1000)=$E156)*((Main!$J$9:$J$1000)=$F156)*((Main!$O$9:$O$1000)=$C156)*(Main!T$9:T$1000) ) +  ( SUMPRODUCT( ((Adders!$D$13:$D$101)=$E156)*((Adders!$E$13:$E$101)=$F156)*(Adders!I$13:I$101)) + VLOOKUP($H156,Adders!$B$5:$G$8,$N$11,FALSE)  +  MD!$D$2 ) * IF($D156="NJ",1.07,1))/$L$10, CHOOSE($M$10,$L$9,$M$9) )</f>
        <v xml:space="preserve"> 85.78 </v>
      </c>
      <c r="L156" s="173" t="str">
        <f>TEXT(   (SUMPRODUCT( ((LMPMain!$H$9:$H$1000)=$E156)*((LMPMain!$J$9:$J$1000)=$F156)*((LMPMain!$O$9:$O$1000)=$C156)*(LMPMain!R$9:R$1000) ) +  ( SUMPRODUCT( ((Adders!$D$13:$D$101)=$E156)*((Adders!$E$13:$E$101)=$F156)*(Adders!G$13:G$101)) + VLOOKUP($H156,Adders!$B$5:$G$8,L$11,FALSE)  +  NJ!$D$2 ) * IF($D156="NJ",1.07,1))/$L$10, CHOOSE($M$10,$L$9,$M$9) )</f>
        <v xml:space="preserve"> 38.60 </v>
      </c>
      <c r="M156" s="173" t="str">
        <f>TEXT(   (SUMPRODUCT( ((LMPMain!$H$9:$H$1000)=$E156)*((LMPMain!$J$9:$J$1000)=$F156)*((LMPMain!$O$9:$O$1000)=$C156)*(LMPMain!S$9:S$1000) ) +  ( SUMPRODUCT( ((Adders!$D$13:$D$101)=$E156)*((Adders!$E$13:$E$101)=$F156)*(Adders!H$13:H$101)) + VLOOKUP($H156,Adders!$B$5:$G$8,M$11,FALSE)  +  NJ!$D$2 ) * IF($D156="NJ",1.07,1))/$L$10, CHOOSE($M$10,$L$9,$M$9) )</f>
        <v xml:space="preserve"> 38.17 </v>
      </c>
      <c r="N156" s="174" t="str">
        <f>TEXT(   (SUMPRODUCT( ((LMPMain!$H$9:$H$1000)=$E156)*((LMPMain!$J$9:$J$1000)=$F156)*((LMPMain!$O$9:$O$1000)=$C156)*(LMPMain!T$9:T$1000) ) +  ( SUMPRODUCT( ((Adders!$D$13:$D$101)=$E156)*((Adders!$E$13:$E$101)=$F156)*(Adders!I$13:I$101)) + VLOOKUP($H156,Adders!$B$5:$G$8,N$11,FALSE)  +  NJ!$D$2 ) * IF($D156="NJ",1.07,1))/$L$10, CHOOSE($M$10,$L$9,$M$9) )</f>
        <v xml:space="preserve"> 38.96 </v>
      </c>
      <c r="O156" s="112"/>
    </row>
    <row r="157" spans="2:15" x14ac:dyDescent="0.25">
      <c r="B157" s="108"/>
      <c r="C157" s="135">
        <f t="shared" si="3"/>
        <v>42491</v>
      </c>
      <c r="D157" s="136" t="s">
        <v>39</v>
      </c>
      <c r="E157" s="137" t="s">
        <v>43</v>
      </c>
      <c r="F157" s="136" t="s">
        <v>7</v>
      </c>
      <c r="G157" s="137" t="str">
        <f t="shared" si="4"/>
        <v>General Service</v>
      </c>
      <c r="H157" s="138" t="s">
        <v>690</v>
      </c>
      <c r="I157" s="176" t="str">
        <f>TEXT(   (SUMPRODUCT( ((Main!$H$9:$H$1000)=$E157)*((Main!$J$9:$J$1000)=$F157)*((Main!$O$9:$O$1000)=$C157)*(Main!R$9:R$1000) ) +  ( SUMPRODUCT( ((Adders!$D$13:$D$101)=$E157)*((Adders!$E$13:$E$101)=$F157)*(Adders!G$13:G$101)) + VLOOKUP($H157,Adders!$B$5:$G$8,L$11,FALSE)  +  MD!$D$2 ) * IF($D157="NJ",1.07,1))/$L$10, CHOOSE($M$10,$L$9,$M$9) )</f>
        <v xml:space="preserve"> 84.07 </v>
      </c>
      <c r="J157" s="176" t="str">
        <f>TEXT(   (SUMPRODUCT( ((Main!$H$9:$H$1000)=$E157)*((Main!$J$9:$J$1000)=$F157)*((Main!$O$9:$O$1000)=$C157)*(Main!S$9:S$1000) ) +  ( SUMPRODUCT( ((Adders!$D$13:$D$101)=$E157)*((Adders!$E$13:$E$101)=$F157)*(Adders!H$13:H$101)) + VLOOKUP($H157,Adders!$B$5:$G$8,M$11,FALSE)  +  MD!$D$2 ) * IF($D157="NJ",1.07,1))/$L$10, CHOOSE($M$10,$L$9,$M$9) )</f>
        <v xml:space="preserve"> 83.35 </v>
      </c>
      <c r="K157" s="177" t="str">
        <f>TEXT(   (SUMPRODUCT( ((Main!$H$9:$H$1000)=$E157)*((Main!$J$9:$J$1000)=$F157)*((Main!$O$9:$O$1000)=$C157)*(Main!T$9:T$1000) ) +  ( SUMPRODUCT( ((Adders!$D$13:$D$101)=$E157)*((Adders!$E$13:$E$101)=$F157)*(Adders!I$13:I$101)) + VLOOKUP($H157,Adders!$B$5:$G$8,$N$11,FALSE)  +  MD!$D$2 ) * IF($D157="NJ",1.07,1))/$L$10, CHOOSE($M$10,$L$9,$M$9) )</f>
        <v xml:space="preserve"> 84.73 </v>
      </c>
      <c r="L157" s="176" t="str">
        <f>TEXT(   (SUMPRODUCT( ((LMPMain!$H$9:$H$1000)=$E157)*((LMPMain!$J$9:$J$1000)=$F157)*((LMPMain!$O$9:$O$1000)=$C157)*(LMPMain!R$9:R$1000) ) +  ( SUMPRODUCT( ((Adders!$D$13:$D$101)=$E157)*((Adders!$E$13:$E$101)=$F157)*(Adders!G$13:G$101)) + VLOOKUP($H157,Adders!$B$5:$G$8,L$11,FALSE)  +  NJ!$D$2 ) * IF($D157="NJ",1.07,1))/$L$10, CHOOSE($M$10,$L$9,$M$9) )</f>
        <v xml:space="preserve"> 37.55 </v>
      </c>
      <c r="M157" s="176" t="str">
        <f>TEXT(   (SUMPRODUCT( ((LMPMain!$H$9:$H$1000)=$E157)*((LMPMain!$J$9:$J$1000)=$F157)*((LMPMain!$O$9:$O$1000)=$C157)*(LMPMain!S$9:S$1000) ) +  ( SUMPRODUCT( ((Adders!$D$13:$D$101)=$E157)*((Adders!$E$13:$E$101)=$F157)*(Adders!H$13:H$101)) + VLOOKUP($H157,Adders!$B$5:$G$8,M$11,FALSE)  +  NJ!$D$2 ) * IF($D157="NJ",1.07,1))/$L$10, CHOOSE($M$10,$L$9,$M$9) )</f>
        <v xml:space="preserve"> 37.12 </v>
      </c>
      <c r="N157" s="177" t="str">
        <f>TEXT(   (SUMPRODUCT( ((LMPMain!$H$9:$H$1000)=$E157)*((LMPMain!$J$9:$J$1000)=$F157)*((LMPMain!$O$9:$O$1000)=$C157)*(LMPMain!T$9:T$1000) ) +  ( SUMPRODUCT( ((Adders!$D$13:$D$101)=$E157)*((Adders!$E$13:$E$101)=$F157)*(Adders!I$13:I$101)) + VLOOKUP($H157,Adders!$B$5:$G$8,N$11,FALSE)  +  NJ!$D$2 ) * IF($D157="NJ",1.07,1))/$L$10, CHOOSE($M$10,$L$9,$M$9) )</f>
        <v xml:space="preserve"> 37.91 </v>
      </c>
      <c r="O157" s="112"/>
    </row>
    <row r="158" spans="2:15" x14ac:dyDescent="0.25">
      <c r="B158" s="108"/>
      <c r="C158" s="127">
        <f t="shared" si="3"/>
        <v>42156</v>
      </c>
      <c r="D158" s="128" t="s">
        <v>39</v>
      </c>
      <c r="E158" s="129" t="s">
        <v>44</v>
      </c>
      <c r="F158" s="128" t="s">
        <v>7</v>
      </c>
      <c r="G158" s="129" t="str">
        <f>VLOOKUP(SUMPRODUCT( ((LMPMain!$H$9:$H$1000)=$E158)*((LMPMain!$J$9:$J$1000)=$F158)*((LMPMain!$O$9:$O$1000)=$C158)*(LMPMain!A$9:A$1000)),LMPMain!$A$9:$K$1000,11,FALSE)</f>
        <v>General Service</v>
      </c>
      <c r="H158" s="130" t="s">
        <v>61</v>
      </c>
      <c r="I158" s="178" t="str">
        <f>TEXT(   (SUMPRODUCT( ((Main!$H$9:$H$1000)=$E158)*((Main!$J$9:$J$1000)=$F158)*((Main!$O$9:$O$1000)=$C158)*(Main!R$9:R$1000) ) +  ( SUMPRODUCT( ((Adders!$D$13:$D$101)=$E158)*((Adders!$E$13:$E$101)=$F158)*(Adders!G$13:G$101)) + VLOOKUP($H158,Adders!$B$5:$G$8,L$11,FALSE)  +  MD!$D$2 ) * IF($D158="NJ",1.07,1))/$L$10, CHOOSE($M$10,$L$9,$M$9) )</f>
        <v xml:space="preserve"> 86.70 </v>
      </c>
      <c r="J158" s="178" t="str">
        <f>TEXT(   (SUMPRODUCT( ((Main!$H$9:$H$1000)=$E158)*((Main!$J$9:$J$1000)=$F158)*((Main!$O$9:$O$1000)=$C158)*(Main!S$9:S$1000) ) +  ( SUMPRODUCT( ((Adders!$D$13:$D$101)=$E158)*((Adders!$E$13:$E$101)=$F158)*(Adders!H$13:H$101)) + VLOOKUP($H158,Adders!$B$5:$G$8,M$11,FALSE)  +  MD!$D$2 ) * IF($D158="NJ",1.07,1))/$L$10, CHOOSE($M$10,$L$9,$M$9) )</f>
        <v xml:space="preserve"> 84.69 </v>
      </c>
      <c r="K158" s="179" t="str">
        <f>TEXT(   (SUMPRODUCT( ((Main!$H$9:$H$1000)=$E158)*((Main!$J$9:$J$1000)=$F158)*((Main!$O$9:$O$1000)=$C158)*(Main!T$9:T$1000) ) +  ( SUMPRODUCT( ((Adders!$D$13:$D$101)=$E158)*((Adders!$E$13:$E$101)=$F158)*(Adders!I$13:I$101)) + VLOOKUP($H158,Adders!$B$5:$G$8,$N$11,FALSE)  +  MD!$D$2 ) * IF($D158="NJ",1.07,1))/$L$10, CHOOSE($M$10,$L$9,$M$9) )</f>
        <v xml:space="preserve"> 84.78 </v>
      </c>
      <c r="L158" s="178" t="str">
        <f>TEXT(   (SUMPRODUCT( ((LMPMain!$H$9:$H$1000)=$E158)*((LMPMain!$J$9:$J$1000)=$F158)*((LMPMain!$O$9:$O$1000)=$C158)*(LMPMain!R$9:R$1000) ) +  ( SUMPRODUCT( ((Adders!$D$13:$D$101)=$E158)*((Adders!$E$13:$E$101)=$F158)*(Adders!G$13:G$101)) + VLOOKUP($H158,Adders!$B$5:$G$8,L$11,FALSE)  +  NJ!$D$2 ) * IF($D158="NJ",1.07,1))/$L$10, CHOOSE($M$10,$L$9,$M$9) )</f>
        <v xml:space="preserve"> 39.71 </v>
      </c>
      <c r="M158" s="178" t="str">
        <f>TEXT(   (SUMPRODUCT( ((LMPMain!$H$9:$H$1000)=$E158)*((LMPMain!$J$9:$J$1000)=$F158)*((LMPMain!$O$9:$O$1000)=$C158)*(LMPMain!S$9:S$1000) ) +  ( SUMPRODUCT( ((Adders!$D$13:$D$101)=$E158)*((Adders!$E$13:$E$101)=$F158)*(Adders!H$13:H$101)) + VLOOKUP($H158,Adders!$B$5:$G$8,M$11,FALSE)  +  NJ!$D$2 ) * IF($D158="NJ",1.07,1))/$L$10, CHOOSE($M$10,$L$9,$M$9) )</f>
        <v xml:space="preserve"> 38.45 </v>
      </c>
      <c r="N158" s="179" t="str">
        <f>TEXT(   (SUMPRODUCT( ((LMPMain!$H$9:$H$1000)=$E158)*((LMPMain!$J$9:$J$1000)=$F158)*((LMPMain!$O$9:$O$1000)=$C158)*(LMPMain!T$9:T$1000) ) +  ( SUMPRODUCT( ((Adders!$D$13:$D$101)=$E158)*((Adders!$E$13:$E$101)=$F158)*(Adders!I$13:I$101)) + VLOOKUP($H158,Adders!$B$5:$G$8,N$11,FALSE)  +  NJ!$D$2 ) * IF($D158="NJ",1.07,1))/$L$10, CHOOSE($M$10,$L$9,$M$9) )</f>
        <v xml:space="preserve"> 37.89 </v>
      </c>
      <c r="O158" s="112"/>
    </row>
    <row r="159" spans="2:15" x14ac:dyDescent="0.25">
      <c r="B159" s="108"/>
      <c r="C159" s="131">
        <f t="shared" si="3"/>
        <v>42156</v>
      </c>
      <c r="D159" s="132" t="s">
        <v>39</v>
      </c>
      <c r="E159" s="133" t="s">
        <v>44</v>
      </c>
      <c r="F159" s="132" t="s">
        <v>7</v>
      </c>
      <c r="G159" s="133" t="str">
        <f>G158</f>
        <v>General Service</v>
      </c>
      <c r="H159" s="134" t="s">
        <v>62</v>
      </c>
      <c r="I159" s="173" t="str">
        <f>TEXT(   (SUMPRODUCT( ((Main!$H$9:$H$1000)=$E159)*((Main!$J$9:$J$1000)=$F159)*((Main!$O$9:$O$1000)=$C159)*(Main!R$9:R$1000) ) +  ( SUMPRODUCT( ((Adders!$D$13:$D$101)=$E159)*((Adders!$E$13:$E$101)=$F159)*(Adders!G$13:G$101)) + VLOOKUP($H159,Adders!$B$5:$G$8,L$11,FALSE)  +  MD!$D$2 ) * IF($D159="NJ",1.07,1))/$L$10, CHOOSE($M$10,$L$9,$M$9) )</f>
        <v xml:space="preserve"> 85.10 </v>
      </c>
      <c r="J159" s="173" t="str">
        <f>TEXT(   (SUMPRODUCT( ((Main!$H$9:$H$1000)=$E159)*((Main!$J$9:$J$1000)=$F159)*((Main!$O$9:$O$1000)=$C159)*(Main!S$9:S$1000) ) +  ( SUMPRODUCT( ((Adders!$D$13:$D$101)=$E159)*((Adders!$E$13:$E$101)=$F159)*(Adders!H$13:H$101)) + VLOOKUP($H159,Adders!$B$5:$G$8,M$11,FALSE)  +  MD!$D$2 ) * IF($D159="NJ",1.07,1))/$L$10, CHOOSE($M$10,$L$9,$M$9) )</f>
        <v xml:space="preserve"> 83.09 </v>
      </c>
      <c r="K159" s="174" t="str">
        <f>TEXT(   (SUMPRODUCT( ((Main!$H$9:$H$1000)=$E159)*((Main!$J$9:$J$1000)=$F159)*((Main!$O$9:$O$1000)=$C159)*(Main!T$9:T$1000) ) +  ( SUMPRODUCT( ((Adders!$D$13:$D$101)=$E159)*((Adders!$E$13:$E$101)=$F159)*(Adders!I$13:I$101)) + VLOOKUP($H159,Adders!$B$5:$G$8,$N$11,FALSE)  +  MD!$D$2 ) * IF($D159="NJ",1.07,1))/$L$10, CHOOSE($M$10,$L$9,$M$9) )</f>
        <v xml:space="preserve"> 83.18 </v>
      </c>
      <c r="L159" s="173" t="str">
        <f>TEXT(   (SUMPRODUCT( ((LMPMain!$H$9:$H$1000)=$E159)*((LMPMain!$J$9:$J$1000)=$F159)*((LMPMain!$O$9:$O$1000)=$C159)*(LMPMain!R$9:R$1000) ) +  ( SUMPRODUCT( ((Adders!$D$13:$D$101)=$E159)*((Adders!$E$13:$E$101)=$F159)*(Adders!G$13:G$101)) + VLOOKUP($H159,Adders!$B$5:$G$8,L$11,FALSE)  +  NJ!$D$2 ) * IF($D159="NJ",1.07,1))/$L$10, CHOOSE($M$10,$L$9,$M$9) )</f>
        <v xml:space="preserve"> 38.11 </v>
      </c>
      <c r="M159" s="173" t="str">
        <f>TEXT(   (SUMPRODUCT( ((LMPMain!$H$9:$H$1000)=$E159)*((LMPMain!$J$9:$J$1000)=$F159)*((LMPMain!$O$9:$O$1000)=$C159)*(LMPMain!S$9:S$1000) ) +  ( SUMPRODUCT( ((Adders!$D$13:$D$101)=$E159)*((Adders!$E$13:$E$101)=$F159)*(Adders!H$13:H$101)) + VLOOKUP($H159,Adders!$B$5:$G$8,M$11,FALSE)  +  NJ!$D$2 ) * IF($D159="NJ",1.07,1))/$L$10, CHOOSE($M$10,$L$9,$M$9) )</f>
        <v xml:space="preserve"> 36.85 </v>
      </c>
      <c r="N159" s="174" t="str">
        <f>TEXT(   (SUMPRODUCT( ((LMPMain!$H$9:$H$1000)=$E159)*((LMPMain!$J$9:$J$1000)=$F159)*((LMPMain!$O$9:$O$1000)=$C159)*(LMPMain!T$9:T$1000) ) +  ( SUMPRODUCT( ((Adders!$D$13:$D$101)=$E159)*((Adders!$E$13:$E$101)=$F159)*(Adders!I$13:I$101)) + VLOOKUP($H159,Adders!$B$5:$G$8,N$11,FALSE)  +  NJ!$D$2 ) * IF($D159="NJ",1.07,1))/$L$10, CHOOSE($M$10,$L$9,$M$9) )</f>
        <v xml:space="preserve"> 36.29 </v>
      </c>
      <c r="O159" s="112"/>
    </row>
    <row r="160" spans="2:15" x14ac:dyDescent="0.25">
      <c r="B160" s="108"/>
      <c r="C160" s="135">
        <f t="shared" si="3"/>
        <v>42156</v>
      </c>
      <c r="D160" s="136" t="s">
        <v>39</v>
      </c>
      <c r="E160" s="137" t="s">
        <v>44</v>
      </c>
      <c r="F160" s="136" t="s">
        <v>7</v>
      </c>
      <c r="G160" s="137" t="str">
        <f>G159</f>
        <v>General Service</v>
      </c>
      <c r="H160" s="138" t="s">
        <v>690</v>
      </c>
      <c r="I160" s="176" t="str">
        <f>TEXT(   (SUMPRODUCT( ((Main!$H$9:$H$1000)=$E160)*((Main!$J$9:$J$1000)=$F160)*((Main!$O$9:$O$1000)=$C160)*(Main!R$9:R$1000) ) +  ( SUMPRODUCT( ((Adders!$D$13:$D$101)=$E160)*((Adders!$E$13:$E$101)=$F160)*(Adders!G$13:G$101)) + VLOOKUP($H160,Adders!$B$5:$G$8,L$11,FALSE)  +  MD!$D$2 ) * IF($D160="NJ",1.07,1))/$L$10, CHOOSE($M$10,$L$9,$M$9) )</f>
        <v xml:space="preserve"> 84.05 </v>
      </c>
      <c r="J160" s="176" t="str">
        <f>TEXT(   (SUMPRODUCT( ((Main!$H$9:$H$1000)=$E160)*((Main!$J$9:$J$1000)=$F160)*((Main!$O$9:$O$1000)=$C160)*(Main!S$9:S$1000) ) +  ( SUMPRODUCT( ((Adders!$D$13:$D$101)=$E160)*((Adders!$E$13:$E$101)=$F160)*(Adders!H$13:H$101)) + VLOOKUP($H160,Adders!$B$5:$G$8,M$11,FALSE)  +  MD!$D$2 ) * IF($D160="NJ",1.07,1))/$L$10, CHOOSE($M$10,$L$9,$M$9) )</f>
        <v xml:space="preserve"> 82.04 </v>
      </c>
      <c r="K160" s="177" t="str">
        <f>TEXT(   (SUMPRODUCT( ((Main!$H$9:$H$1000)=$E160)*((Main!$J$9:$J$1000)=$F160)*((Main!$O$9:$O$1000)=$C160)*(Main!T$9:T$1000) ) +  ( SUMPRODUCT( ((Adders!$D$13:$D$101)=$E160)*((Adders!$E$13:$E$101)=$F160)*(Adders!I$13:I$101)) + VLOOKUP($H160,Adders!$B$5:$G$8,$N$11,FALSE)  +  MD!$D$2 ) * IF($D160="NJ",1.07,1))/$L$10, CHOOSE($M$10,$L$9,$M$9) )</f>
        <v xml:space="preserve"> 82.13 </v>
      </c>
      <c r="L160" s="176" t="str">
        <f>TEXT(   (SUMPRODUCT( ((LMPMain!$H$9:$H$1000)=$E160)*((LMPMain!$J$9:$J$1000)=$F160)*((LMPMain!$O$9:$O$1000)=$C160)*(LMPMain!R$9:R$1000) ) +  ( SUMPRODUCT( ((Adders!$D$13:$D$101)=$E160)*((Adders!$E$13:$E$101)=$F160)*(Adders!G$13:G$101)) + VLOOKUP($H160,Adders!$B$5:$G$8,L$11,FALSE)  +  NJ!$D$2 ) * IF($D160="NJ",1.07,1))/$L$10, CHOOSE($M$10,$L$9,$M$9) )</f>
        <v xml:space="preserve"> 37.06 </v>
      </c>
      <c r="M160" s="176" t="str">
        <f>TEXT(   (SUMPRODUCT( ((LMPMain!$H$9:$H$1000)=$E160)*((LMPMain!$J$9:$J$1000)=$F160)*((LMPMain!$O$9:$O$1000)=$C160)*(LMPMain!S$9:S$1000) ) +  ( SUMPRODUCT( ((Adders!$D$13:$D$101)=$E160)*((Adders!$E$13:$E$101)=$F160)*(Adders!H$13:H$101)) + VLOOKUP($H160,Adders!$B$5:$G$8,M$11,FALSE)  +  NJ!$D$2 ) * IF($D160="NJ",1.07,1))/$L$10, CHOOSE($M$10,$L$9,$M$9) )</f>
        <v xml:space="preserve"> 35.80 </v>
      </c>
      <c r="N160" s="177" t="str">
        <f>TEXT(   (SUMPRODUCT( ((LMPMain!$H$9:$H$1000)=$E160)*((LMPMain!$J$9:$J$1000)=$F160)*((LMPMain!$O$9:$O$1000)=$C160)*(LMPMain!T$9:T$1000) ) +  ( SUMPRODUCT( ((Adders!$D$13:$D$101)=$E160)*((Adders!$E$13:$E$101)=$F160)*(Adders!I$13:I$101)) + VLOOKUP($H160,Adders!$B$5:$G$8,N$11,FALSE)  +  NJ!$D$2 ) * IF($D160="NJ",1.07,1))/$L$10, CHOOSE($M$10,$L$9,$M$9) )</f>
        <v xml:space="preserve"> 35.24 </v>
      </c>
      <c r="O160" s="112"/>
    </row>
    <row r="161" spans="2:15" x14ac:dyDescent="0.25">
      <c r="B161" s="108"/>
      <c r="C161" s="127">
        <f t="shared" si="3"/>
        <v>42186</v>
      </c>
      <c r="D161" s="128" t="s">
        <v>39</v>
      </c>
      <c r="E161" s="129" t="s">
        <v>44</v>
      </c>
      <c r="F161" s="128" t="s">
        <v>7</v>
      </c>
      <c r="G161" s="129" t="str">
        <f t="shared" si="4"/>
        <v>General Service</v>
      </c>
      <c r="H161" s="130" t="s">
        <v>61</v>
      </c>
      <c r="I161" s="178" t="str">
        <f>TEXT(   (SUMPRODUCT( ((Main!$H$9:$H$1000)=$E161)*((Main!$J$9:$J$1000)=$F161)*((Main!$O$9:$O$1000)=$C161)*(Main!R$9:R$1000) ) +  ( SUMPRODUCT( ((Adders!$D$13:$D$101)=$E161)*((Adders!$E$13:$E$101)=$F161)*(Adders!G$13:G$101)) + VLOOKUP($H161,Adders!$B$5:$G$8,L$11,FALSE)  +  MD!$D$2 ) * IF($D161="NJ",1.07,1))/$L$10, CHOOSE($M$10,$L$9,$M$9) )</f>
        <v xml:space="preserve"> 86.53 </v>
      </c>
      <c r="J161" s="178" t="str">
        <f>TEXT(   (SUMPRODUCT( ((Main!$H$9:$H$1000)=$E161)*((Main!$J$9:$J$1000)=$F161)*((Main!$O$9:$O$1000)=$C161)*(Main!S$9:S$1000) ) +  ( SUMPRODUCT( ((Adders!$D$13:$D$101)=$E161)*((Adders!$E$13:$E$101)=$F161)*(Adders!H$13:H$101)) + VLOOKUP($H161,Adders!$B$5:$G$8,M$11,FALSE)  +  MD!$D$2 ) * IF($D161="NJ",1.07,1))/$L$10, CHOOSE($M$10,$L$9,$M$9) )</f>
        <v xml:space="preserve"> 84.24 </v>
      </c>
      <c r="K161" s="179" t="str">
        <f>TEXT(   (SUMPRODUCT( ((Main!$H$9:$H$1000)=$E161)*((Main!$J$9:$J$1000)=$F161)*((Main!$O$9:$O$1000)=$C161)*(Main!T$9:T$1000) ) +  ( SUMPRODUCT( ((Adders!$D$13:$D$101)=$E161)*((Adders!$E$13:$E$101)=$F161)*(Adders!I$13:I$101)) + VLOOKUP($H161,Adders!$B$5:$G$8,$N$11,FALSE)  +  MD!$D$2 ) * IF($D161="NJ",1.07,1))/$L$10, CHOOSE($M$10,$L$9,$M$9) )</f>
        <v xml:space="preserve"> 84.70 </v>
      </c>
      <c r="L161" s="178" t="str">
        <f>TEXT(   (SUMPRODUCT( ((LMPMain!$H$9:$H$1000)=$E161)*((LMPMain!$J$9:$J$1000)=$F161)*((LMPMain!$O$9:$O$1000)=$C161)*(LMPMain!R$9:R$1000) ) +  ( SUMPRODUCT( ((Adders!$D$13:$D$101)=$E161)*((Adders!$E$13:$E$101)=$F161)*(Adders!G$13:G$101)) + VLOOKUP($H161,Adders!$B$5:$G$8,L$11,FALSE)  +  NJ!$D$2 ) * IF($D161="NJ",1.07,1))/$L$10, CHOOSE($M$10,$L$9,$M$9) )</f>
        <v xml:space="preserve"> 39.41 </v>
      </c>
      <c r="M161" s="178" t="str">
        <f>TEXT(   (SUMPRODUCT( ((LMPMain!$H$9:$H$1000)=$E161)*((LMPMain!$J$9:$J$1000)=$F161)*((LMPMain!$O$9:$O$1000)=$C161)*(LMPMain!S$9:S$1000) ) +  ( SUMPRODUCT( ((Adders!$D$13:$D$101)=$E161)*((Adders!$E$13:$E$101)=$F161)*(Adders!H$13:H$101)) + VLOOKUP($H161,Adders!$B$5:$G$8,M$11,FALSE)  +  NJ!$D$2 ) * IF($D161="NJ",1.07,1))/$L$10, CHOOSE($M$10,$L$9,$M$9) )</f>
        <v xml:space="preserve"> 38.15 </v>
      </c>
      <c r="N161" s="179" t="str">
        <f>TEXT(   (SUMPRODUCT( ((LMPMain!$H$9:$H$1000)=$E161)*((LMPMain!$J$9:$J$1000)=$F161)*((LMPMain!$O$9:$O$1000)=$C161)*(LMPMain!T$9:T$1000) ) +  ( SUMPRODUCT( ((Adders!$D$13:$D$101)=$E161)*((Adders!$E$13:$E$101)=$F161)*(Adders!I$13:I$101)) + VLOOKUP($H161,Adders!$B$5:$G$8,N$11,FALSE)  +  NJ!$D$2 ) * IF($D161="NJ",1.07,1))/$L$10, CHOOSE($M$10,$L$9,$M$9) )</f>
        <v xml:space="preserve"> 37.76 </v>
      </c>
      <c r="O161" s="112"/>
    </row>
    <row r="162" spans="2:15" x14ac:dyDescent="0.25">
      <c r="B162" s="108"/>
      <c r="C162" s="131">
        <f t="shared" si="3"/>
        <v>42186</v>
      </c>
      <c r="D162" s="132" t="s">
        <v>39</v>
      </c>
      <c r="E162" s="133" t="s">
        <v>44</v>
      </c>
      <c r="F162" s="132" t="s">
        <v>7</v>
      </c>
      <c r="G162" s="133" t="str">
        <f t="shared" si="4"/>
        <v>General Service</v>
      </c>
      <c r="H162" s="134" t="s">
        <v>62</v>
      </c>
      <c r="I162" s="173" t="str">
        <f>TEXT(   (SUMPRODUCT( ((Main!$H$9:$H$1000)=$E162)*((Main!$J$9:$J$1000)=$F162)*((Main!$O$9:$O$1000)=$C162)*(Main!R$9:R$1000) ) +  ( SUMPRODUCT( ((Adders!$D$13:$D$101)=$E162)*((Adders!$E$13:$E$101)=$F162)*(Adders!G$13:G$101)) + VLOOKUP($H162,Adders!$B$5:$G$8,L$11,FALSE)  +  MD!$D$2 ) * IF($D162="NJ",1.07,1))/$L$10, CHOOSE($M$10,$L$9,$M$9) )</f>
        <v xml:space="preserve"> 84.93 </v>
      </c>
      <c r="J162" s="173" t="str">
        <f>TEXT(   (SUMPRODUCT( ((Main!$H$9:$H$1000)=$E162)*((Main!$J$9:$J$1000)=$F162)*((Main!$O$9:$O$1000)=$C162)*(Main!S$9:S$1000) ) +  ( SUMPRODUCT( ((Adders!$D$13:$D$101)=$E162)*((Adders!$E$13:$E$101)=$F162)*(Adders!H$13:H$101)) + VLOOKUP($H162,Adders!$B$5:$G$8,M$11,FALSE)  +  MD!$D$2 ) * IF($D162="NJ",1.07,1))/$L$10, CHOOSE($M$10,$L$9,$M$9) )</f>
        <v xml:space="preserve"> 82.64 </v>
      </c>
      <c r="K162" s="174" t="str">
        <f>TEXT(   (SUMPRODUCT( ((Main!$H$9:$H$1000)=$E162)*((Main!$J$9:$J$1000)=$F162)*((Main!$O$9:$O$1000)=$C162)*(Main!T$9:T$1000) ) +  ( SUMPRODUCT( ((Adders!$D$13:$D$101)=$E162)*((Adders!$E$13:$E$101)=$F162)*(Adders!I$13:I$101)) + VLOOKUP($H162,Adders!$B$5:$G$8,$N$11,FALSE)  +  MD!$D$2 ) * IF($D162="NJ",1.07,1))/$L$10, CHOOSE($M$10,$L$9,$M$9) )</f>
        <v xml:space="preserve"> 83.10 </v>
      </c>
      <c r="L162" s="173" t="str">
        <f>TEXT(   (SUMPRODUCT( ((LMPMain!$H$9:$H$1000)=$E162)*((LMPMain!$J$9:$J$1000)=$F162)*((LMPMain!$O$9:$O$1000)=$C162)*(LMPMain!R$9:R$1000) ) +  ( SUMPRODUCT( ((Adders!$D$13:$D$101)=$E162)*((Adders!$E$13:$E$101)=$F162)*(Adders!G$13:G$101)) + VLOOKUP($H162,Adders!$B$5:$G$8,L$11,FALSE)  +  NJ!$D$2 ) * IF($D162="NJ",1.07,1))/$L$10, CHOOSE($M$10,$L$9,$M$9) )</f>
        <v xml:space="preserve"> 37.81 </v>
      </c>
      <c r="M162" s="173" t="str">
        <f>TEXT(   (SUMPRODUCT( ((LMPMain!$H$9:$H$1000)=$E162)*((LMPMain!$J$9:$J$1000)=$F162)*((LMPMain!$O$9:$O$1000)=$C162)*(LMPMain!S$9:S$1000) ) +  ( SUMPRODUCT( ((Adders!$D$13:$D$101)=$E162)*((Adders!$E$13:$E$101)=$F162)*(Adders!H$13:H$101)) + VLOOKUP($H162,Adders!$B$5:$G$8,M$11,FALSE)  +  NJ!$D$2 ) * IF($D162="NJ",1.07,1))/$L$10, CHOOSE($M$10,$L$9,$M$9) )</f>
        <v xml:space="preserve"> 36.55 </v>
      </c>
      <c r="N162" s="174" t="str">
        <f>TEXT(   (SUMPRODUCT( ((LMPMain!$H$9:$H$1000)=$E162)*((LMPMain!$J$9:$J$1000)=$F162)*((LMPMain!$O$9:$O$1000)=$C162)*(LMPMain!T$9:T$1000) ) +  ( SUMPRODUCT( ((Adders!$D$13:$D$101)=$E162)*((Adders!$E$13:$E$101)=$F162)*(Adders!I$13:I$101)) + VLOOKUP($H162,Adders!$B$5:$G$8,N$11,FALSE)  +  NJ!$D$2 ) * IF($D162="NJ",1.07,1))/$L$10, CHOOSE($M$10,$L$9,$M$9) )</f>
        <v xml:space="preserve"> 36.16 </v>
      </c>
      <c r="O162" s="112"/>
    </row>
    <row r="163" spans="2:15" x14ac:dyDescent="0.25">
      <c r="B163" s="108"/>
      <c r="C163" s="135">
        <f t="shared" si="3"/>
        <v>42186</v>
      </c>
      <c r="D163" s="136" t="s">
        <v>39</v>
      </c>
      <c r="E163" s="137" t="s">
        <v>44</v>
      </c>
      <c r="F163" s="136" t="s">
        <v>7</v>
      </c>
      <c r="G163" s="137" t="str">
        <f t="shared" si="4"/>
        <v>General Service</v>
      </c>
      <c r="H163" s="138" t="s">
        <v>690</v>
      </c>
      <c r="I163" s="176" t="str">
        <f>TEXT(   (SUMPRODUCT( ((Main!$H$9:$H$1000)=$E163)*((Main!$J$9:$J$1000)=$F163)*((Main!$O$9:$O$1000)=$C163)*(Main!R$9:R$1000) ) +  ( SUMPRODUCT( ((Adders!$D$13:$D$101)=$E163)*((Adders!$E$13:$E$101)=$F163)*(Adders!G$13:G$101)) + VLOOKUP($H163,Adders!$B$5:$G$8,L$11,FALSE)  +  MD!$D$2 ) * IF($D163="NJ",1.07,1))/$L$10, CHOOSE($M$10,$L$9,$M$9) )</f>
        <v xml:space="preserve"> 83.88 </v>
      </c>
      <c r="J163" s="176" t="str">
        <f>TEXT(   (SUMPRODUCT( ((Main!$H$9:$H$1000)=$E163)*((Main!$J$9:$J$1000)=$F163)*((Main!$O$9:$O$1000)=$C163)*(Main!S$9:S$1000) ) +  ( SUMPRODUCT( ((Adders!$D$13:$D$101)=$E163)*((Adders!$E$13:$E$101)=$F163)*(Adders!H$13:H$101)) + VLOOKUP($H163,Adders!$B$5:$G$8,M$11,FALSE)  +  MD!$D$2 ) * IF($D163="NJ",1.07,1))/$L$10, CHOOSE($M$10,$L$9,$M$9) )</f>
        <v xml:space="preserve"> 81.59 </v>
      </c>
      <c r="K163" s="177" t="str">
        <f>TEXT(   (SUMPRODUCT( ((Main!$H$9:$H$1000)=$E163)*((Main!$J$9:$J$1000)=$F163)*((Main!$O$9:$O$1000)=$C163)*(Main!T$9:T$1000) ) +  ( SUMPRODUCT( ((Adders!$D$13:$D$101)=$E163)*((Adders!$E$13:$E$101)=$F163)*(Adders!I$13:I$101)) + VLOOKUP($H163,Adders!$B$5:$G$8,$N$11,FALSE)  +  MD!$D$2 ) * IF($D163="NJ",1.07,1))/$L$10, CHOOSE($M$10,$L$9,$M$9) )</f>
        <v xml:space="preserve"> 82.05 </v>
      </c>
      <c r="L163" s="176" t="str">
        <f>TEXT(   (SUMPRODUCT( ((LMPMain!$H$9:$H$1000)=$E163)*((LMPMain!$J$9:$J$1000)=$F163)*((LMPMain!$O$9:$O$1000)=$C163)*(LMPMain!R$9:R$1000) ) +  ( SUMPRODUCT( ((Adders!$D$13:$D$101)=$E163)*((Adders!$E$13:$E$101)=$F163)*(Adders!G$13:G$101)) + VLOOKUP($H163,Adders!$B$5:$G$8,L$11,FALSE)  +  NJ!$D$2 ) * IF($D163="NJ",1.07,1))/$L$10, CHOOSE($M$10,$L$9,$M$9) )</f>
        <v xml:space="preserve"> 36.76 </v>
      </c>
      <c r="M163" s="176" t="str">
        <f>TEXT(   (SUMPRODUCT( ((LMPMain!$H$9:$H$1000)=$E163)*((LMPMain!$J$9:$J$1000)=$F163)*((LMPMain!$O$9:$O$1000)=$C163)*(LMPMain!S$9:S$1000) ) +  ( SUMPRODUCT( ((Adders!$D$13:$D$101)=$E163)*((Adders!$E$13:$E$101)=$F163)*(Adders!H$13:H$101)) + VLOOKUP($H163,Adders!$B$5:$G$8,M$11,FALSE)  +  NJ!$D$2 ) * IF($D163="NJ",1.07,1))/$L$10, CHOOSE($M$10,$L$9,$M$9) )</f>
        <v xml:space="preserve"> 35.50 </v>
      </c>
      <c r="N163" s="177" t="str">
        <f>TEXT(   (SUMPRODUCT( ((LMPMain!$H$9:$H$1000)=$E163)*((LMPMain!$J$9:$J$1000)=$F163)*((LMPMain!$O$9:$O$1000)=$C163)*(LMPMain!T$9:T$1000) ) +  ( SUMPRODUCT( ((Adders!$D$13:$D$101)=$E163)*((Adders!$E$13:$E$101)=$F163)*(Adders!I$13:I$101)) + VLOOKUP($H163,Adders!$B$5:$G$8,N$11,FALSE)  +  NJ!$D$2 ) * IF($D163="NJ",1.07,1))/$L$10, CHOOSE($M$10,$L$9,$M$9) )</f>
        <v xml:space="preserve"> 35.11 </v>
      </c>
      <c r="O163" s="112"/>
    </row>
    <row r="164" spans="2:15" x14ac:dyDescent="0.25">
      <c r="B164" s="108"/>
      <c r="C164" s="127">
        <f t="shared" si="3"/>
        <v>42217</v>
      </c>
      <c r="D164" s="128" t="s">
        <v>39</v>
      </c>
      <c r="E164" s="129" t="s">
        <v>44</v>
      </c>
      <c r="F164" s="128" t="s">
        <v>7</v>
      </c>
      <c r="G164" s="129" t="str">
        <f t="shared" si="4"/>
        <v>General Service</v>
      </c>
      <c r="H164" s="130" t="s">
        <v>61</v>
      </c>
      <c r="I164" s="178" t="str">
        <f>TEXT(   (SUMPRODUCT( ((Main!$H$9:$H$1000)=$E164)*((Main!$J$9:$J$1000)=$F164)*((Main!$O$9:$O$1000)=$C164)*(Main!R$9:R$1000) ) +  ( SUMPRODUCT( ((Adders!$D$13:$D$101)=$E164)*((Adders!$E$13:$E$101)=$F164)*(Adders!G$13:G$101)) + VLOOKUP($H164,Adders!$B$5:$G$8,L$11,FALSE)  +  MD!$D$2 ) * IF($D164="NJ",1.07,1))/$L$10, CHOOSE($M$10,$L$9,$M$9) )</f>
        <v xml:space="preserve"> 86.00 </v>
      </c>
      <c r="J164" s="178" t="str">
        <f>TEXT(   (SUMPRODUCT( ((Main!$H$9:$H$1000)=$E164)*((Main!$J$9:$J$1000)=$F164)*((Main!$O$9:$O$1000)=$C164)*(Main!S$9:S$1000) ) +  ( SUMPRODUCT( ((Adders!$D$13:$D$101)=$E164)*((Adders!$E$13:$E$101)=$F164)*(Adders!H$13:H$101)) + VLOOKUP($H164,Adders!$B$5:$G$8,M$11,FALSE)  +  MD!$D$2 ) * IF($D164="NJ",1.07,1))/$L$10, CHOOSE($M$10,$L$9,$M$9) )</f>
        <v xml:space="preserve"> 84.47 </v>
      </c>
      <c r="K164" s="179" t="str">
        <f>TEXT(   (SUMPRODUCT( ((Main!$H$9:$H$1000)=$E164)*((Main!$J$9:$J$1000)=$F164)*((Main!$O$9:$O$1000)=$C164)*(Main!T$9:T$1000) ) +  ( SUMPRODUCT( ((Adders!$D$13:$D$101)=$E164)*((Adders!$E$13:$E$101)=$F164)*(Adders!I$13:I$101)) + VLOOKUP($H164,Adders!$B$5:$G$8,$N$11,FALSE)  +  MD!$D$2 ) * IF($D164="NJ",1.07,1))/$L$10, CHOOSE($M$10,$L$9,$M$9) )</f>
        <v xml:space="preserve"> 84.56 </v>
      </c>
      <c r="L164" s="178" t="str">
        <f>TEXT(   (SUMPRODUCT( ((LMPMain!$H$9:$H$1000)=$E164)*((LMPMain!$J$9:$J$1000)=$F164)*((LMPMain!$O$9:$O$1000)=$C164)*(LMPMain!R$9:R$1000) ) +  ( SUMPRODUCT( ((Adders!$D$13:$D$101)=$E164)*((Adders!$E$13:$E$101)=$F164)*(Adders!G$13:G$101)) + VLOOKUP($H164,Adders!$B$5:$G$8,L$11,FALSE)  +  NJ!$D$2 ) * IF($D164="NJ",1.07,1))/$L$10, CHOOSE($M$10,$L$9,$M$9) )</f>
        <v xml:space="preserve"> 39.18 </v>
      </c>
      <c r="M164" s="178" t="str">
        <f>TEXT(   (SUMPRODUCT( ((LMPMain!$H$9:$H$1000)=$E164)*((LMPMain!$J$9:$J$1000)=$F164)*((LMPMain!$O$9:$O$1000)=$C164)*(LMPMain!S$9:S$1000) ) +  ( SUMPRODUCT( ((Adders!$D$13:$D$101)=$E164)*((Adders!$E$13:$E$101)=$F164)*(Adders!H$13:H$101)) + VLOOKUP($H164,Adders!$B$5:$G$8,M$11,FALSE)  +  NJ!$D$2 ) * IF($D164="NJ",1.07,1))/$L$10, CHOOSE($M$10,$L$9,$M$9) )</f>
        <v xml:space="preserve"> 38.04 </v>
      </c>
      <c r="N164" s="179" t="str">
        <f>TEXT(   (SUMPRODUCT( ((LMPMain!$H$9:$H$1000)=$E164)*((LMPMain!$J$9:$J$1000)=$F164)*((LMPMain!$O$9:$O$1000)=$C164)*(LMPMain!T$9:T$1000) ) +  ( SUMPRODUCT( ((Adders!$D$13:$D$101)=$E164)*((Adders!$E$13:$E$101)=$F164)*(Adders!I$13:I$101)) + VLOOKUP($H164,Adders!$B$5:$G$8,N$11,FALSE)  +  NJ!$D$2 ) * IF($D164="NJ",1.07,1))/$L$10, CHOOSE($M$10,$L$9,$M$9) )</f>
        <v xml:space="preserve"> 37.68 </v>
      </c>
      <c r="O164" s="112"/>
    </row>
    <row r="165" spans="2:15" x14ac:dyDescent="0.25">
      <c r="B165" s="108"/>
      <c r="C165" s="131">
        <f t="shared" si="3"/>
        <v>42217</v>
      </c>
      <c r="D165" s="132" t="s">
        <v>39</v>
      </c>
      <c r="E165" s="133" t="s">
        <v>44</v>
      </c>
      <c r="F165" s="132" t="s">
        <v>7</v>
      </c>
      <c r="G165" s="133" t="str">
        <f t="shared" si="4"/>
        <v>General Service</v>
      </c>
      <c r="H165" s="134" t="s">
        <v>62</v>
      </c>
      <c r="I165" s="173" t="str">
        <f>TEXT(   (SUMPRODUCT( ((Main!$H$9:$H$1000)=$E165)*((Main!$J$9:$J$1000)=$F165)*((Main!$O$9:$O$1000)=$C165)*(Main!R$9:R$1000) ) +  ( SUMPRODUCT( ((Adders!$D$13:$D$101)=$E165)*((Adders!$E$13:$E$101)=$F165)*(Adders!G$13:G$101)) + VLOOKUP($H165,Adders!$B$5:$G$8,L$11,FALSE)  +  MD!$D$2 ) * IF($D165="NJ",1.07,1))/$L$10, CHOOSE($M$10,$L$9,$M$9) )</f>
        <v xml:space="preserve"> 84.40 </v>
      </c>
      <c r="J165" s="173" t="str">
        <f>TEXT(   (SUMPRODUCT( ((Main!$H$9:$H$1000)=$E165)*((Main!$J$9:$J$1000)=$F165)*((Main!$O$9:$O$1000)=$C165)*(Main!S$9:S$1000) ) +  ( SUMPRODUCT( ((Adders!$D$13:$D$101)=$E165)*((Adders!$E$13:$E$101)=$F165)*(Adders!H$13:H$101)) + VLOOKUP($H165,Adders!$B$5:$G$8,M$11,FALSE)  +  MD!$D$2 ) * IF($D165="NJ",1.07,1))/$L$10, CHOOSE($M$10,$L$9,$M$9) )</f>
        <v xml:space="preserve"> 82.87 </v>
      </c>
      <c r="K165" s="174" t="str">
        <f>TEXT(   (SUMPRODUCT( ((Main!$H$9:$H$1000)=$E165)*((Main!$J$9:$J$1000)=$F165)*((Main!$O$9:$O$1000)=$C165)*(Main!T$9:T$1000) ) +  ( SUMPRODUCT( ((Adders!$D$13:$D$101)=$E165)*((Adders!$E$13:$E$101)=$F165)*(Adders!I$13:I$101)) + VLOOKUP($H165,Adders!$B$5:$G$8,$N$11,FALSE)  +  MD!$D$2 ) * IF($D165="NJ",1.07,1))/$L$10, CHOOSE($M$10,$L$9,$M$9) )</f>
        <v xml:space="preserve"> 82.96 </v>
      </c>
      <c r="L165" s="173" t="str">
        <f>TEXT(   (SUMPRODUCT( ((LMPMain!$H$9:$H$1000)=$E165)*((LMPMain!$J$9:$J$1000)=$F165)*((LMPMain!$O$9:$O$1000)=$C165)*(LMPMain!R$9:R$1000) ) +  ( SUMPRODUCT( ((Adders!$D$13:$D$101)=$E165)*((Adders!$E$13:$E$101)=$F165)*(Adders!G$13:G$101)) + VLOOKUP($H165,Adders!$B$5:$G$8,L$11,FALSE)  +  NJ!$D$2 ) * IF($D165="NJ",1.07,1))/$L$10, CHOOSE($M$10,$L$9,$M$9) )</f>
        <v xml:space="preserve"> 37.58 </v>
      </c>
      <c r="M165" s="173" t="str">
        <f>TEXT(   (SUMPRODUCT( ((LMPMain!$H$9:$H$1000)=$E165)*((LMPMain!$J$9:$J$1000)=$F165)*((LMPMain!$O$9:$O$1000)=$C165)*(LMPMain!S$9:S$1000) ) +  ( SUMPRODUCT( ((Adders!$D$13:$D$101)=$E165)*((Adders!$E$13:$E$101)=$F165)*(Adders!H$13:H$101)) + VLOOKUP($H165,Adders!$B$5:$G$8,M$11,FALSE)  +  NJ!$D$2 ) * IF($D165="NJ",1.07,1))/$L$10, CHOOSE($M$10,$L$9,$M$9) )</f>
        <v xml:space="preserve"> 36.44 </v>
      </c>
      <c r="N165" s="174" t="str">
        <f>TEXT(   (SUMPRODUCT( ((LMPMain!$H$9:$H$1000)=$E165)*((LMPMain!$J$9:$J$1000)=$F165)*((LMPMain!$O$9:$O$1000)=$C165)*(LMPMain!T$9:T$1000) ) +  ( SUMPRODUCT( ((Adders!$D$13:$D$101)=$E165)*((Adders!$E$13:$E$101)=$F165)*(Adders!I$13:I$101)) + VLOOKUP($H165,Adders!$B$5:$G$8,N$11,FALSE)  +  NJ!$D$2 ) * IF($D165="NJ",1.07,1))/$L$10, CHOOSE($M$10,$L$9,$M$9) )</f>
        <v xml:space="preserve"> 36.08 </v>
      </c>
      <c r="O165" s="112"/>
    </row>
    <row r="166" spans="2:15" x14ac:dyDescent="0.25">
      <c r="B166" s="108"/>
      <c r="C166" s="135">
        <f t="shared" si="3"/>
        <v>42217</v>
      </c>
      <c r="D166" s="136" t="s">
        <v>39</v>
      </c>
      <c r="E166" s="137" t="s">
        <v>44</v>
      </c>
      <c r="F166" s="136" t="s">
        <v>7</v>
      </c>
      <c r="G166" s="137" t="str">
        <f t="shared" si="4"/>
        <v>General Service</v>
      </c>
      <c r="H166" s="138" t="s">
        <v>690</v>
      </c>
      <c r="I166" s="176" t="str">
        <f>TEXT(   (SUMPRODUCT( ((Main!$H$9:$H$1000)=$E166)*((Main!$J$9:$J$1000)=$F166)*((Main!$O$9:$O$1000)=$C166)*(Main!R$9:R$1000) ) +  ( SUMPRODUCT( ((Adders!$D$13:$D$101)=$E166)*((Adders!$E$13:$E$101)=$F166)*(Adders!G$13:G$101)) + VLOOKUP($H166,Adders!$B$5:$G$8,L$11,FALSE)  +  MD!$D$2 ) * IF($D166="NJ",1.07,1))/$L$10, CHOOSE($M$10,$L$9,$M$9) )</f>
        <v xml:space="preserve"> 83.35 </v>
      </c>
      <c r="J166" s="176" t="str">
        <f>TEXT(   (SUMPRODUCT( ((Main!$H$9:$H$1000)=$E166)*((Main!$J$9:$J$1000)=$F166)*((Main!$O$9:$O$1000)=$C166)*(Main!S$9:S$1000) ) +  ( SUMPRODUCT( ((Adders!$D$13:$D$101)=$E166)*((Adders!$E$13:$E$101)=$F166)*(Adders!H$13:H$101)) + VLOOKUP($H166,Adders!$B$5:$G$8,M$11,FALSE)  +  MD!$D$2 ) * IF($D166="NJ",1.07,1))/$L$10, CHOOSE($M$10,$L$9,$M$9) )</f>
        <v xml:space="preserve"> 81.82 </v>
      </c>
      <c r="K166" s="177" t="str">
        <f>TEXT(   (SUMPRODUCT( ((Main!$H$9:$H$1000)=$E166)*((Main!$J$9:$J$1000)=$F166)*((Main!$O$9:$O$1000)=$C166)*(Main!T$9:T$1000) ) +  ( SUMPRODUCT( ((Adders!$D$13:$D$101)=$E166)*((Adders!$E$13:$E$101)=$F166)*(Adders!I$13:I$101)) + VLOOKUP($H166,Adders!$B$5:$G$8,$N$11,FALSE)  +  MD!$D$2 ) * IF($D166="NJ",1.07,1))/$L$10, CHOOSE($M$10,$L$9,$M$9) )</f>
        <v xml:space="preserve"> 81.91 </v>
      </c>
      <c r="L166" s="176" t="str">
        <f>TEXT(   (SUMPRODUCT( ((LMPMain!$H$9:$H$1000)=$E166)*((LMPMain!$J$9:$J$1000)=$F166)*((LMPMain!$O$9:$O$1000)=$C166)*(LMPMain!R$9:R$1000) ) +  ( SUMPRODUCT( ((Adders!$D$13:$D$101)=$E166)*((Adders!$E$13:$E$101)=$F166)*(Adders!G$13:G$101)) + VLOOKUP($H166,Adders!$B$5:$G$8,L$11,FALSE)  +  NJ!$D$2 ) * IF($D166="NJ",1.07,1))/$L$10, CHOOSE($M$10,$L$9,$M$9) )</f>
        <v xml:space="preserve"> 36.53 </v>
      </c>
      <c r="M166" s="176" t="str">
        <f>TEXT(   (SUMPRODUCT( ((LMPMain!$H$9:$H$1000)=$E166)*((LMPMain!$J$9:$J$1000)=$F166)*((LMPMain!$O$9:$O$1000)=$C166)*(LMPMain!S$9:S$1000) ) +  ( SUMPRODUCT( ((Adders!$D$13:$D$101)=$E166)*((Adders!$E$13:$E$101)=$F166)*(Adders!H$13:H$101)) + VLOOKUP($H166,Adders!$B$5:$G$8,M$11,FALSE)  +  NJ!$D$2 ) * IF($D166="NJ",1.07,1))/$L$10, CHOOSE($M$10,$L$9,$M$9) )</f>
        <v xml:space="preserve"> 35.39 </v>
      </c>
      <c r="N166" s="177" t="str">
        <f>TEXT(   (SUMPRODUCT( ((LMPMain!$H$9:$H$1000)=$E166)*((LMPMain!$J$9:$J$1000)=$F166)*((LMPMain!$O$9:$O$1000)=$C166)*(LMPMain!T$9:T$1000) ) +  ( SUMPRODUCT( ((Adders!$D$13:$D$101)=$E166)*((Adders!$E$13:$E$101)=$F166)*(Adders!I$13:I$101)) + VLOOKUP($H166,Adders!$B$5:$G$8,N$11,FALSE)  +  NJ!$D$2 ) * IF($D166="NJ",1.07,1))/$L$10, CHOOSE($M$10,$L$9,$M$9) )</f>
        <v xml:space="preserve"> 35.03 </v>
      </c>
      <c r="O166" s="112"/>
    </row>
    <row r="167" spans="2:15" x14ac:dyDescent="0.25">
      <c r="B167" s="108"/>
      <c r="C167" s="127">
        <f t="shared" si="3"/>
        <v>42248</v>
      </c>
      <c r="D167" s="128" t="s">
        <v>39</v>
      </c>
      <c r="E167" s="129" t="s">
        <v>44</v>
      </c>
      <c r="F167" s="128" t="s">
        <v>7</v>
      </c>
      <c r="G167" s="129" t="str">
        <f t="shared" si="4"/>
        <v>General Service</v>
      </c>
      <c r="H167" s="130" t="s">
        <v>61</v>
      </c>
      <c r="I167" s="178" t="str">
        <f>TEXT(   (SUMPRODUCT( ((Main!$H$9:$H$1000)=$E167)*((Main!$J$9:$J$1000)=$F167)*((Main!$O$9:$O$1000)=$C167)*(Main!R$9:R$1000) ) +  ( SUMPRODUCT( ((Adders!$D$13:$D$101)=$E167)*((Adders!$E$13:$E$101)=$F167)*(Adders!G$13:G$101)) + VLOOKUP($H167,Adders!$B$5:$G$8,L$11,FALSE)  +  MD!$D$2 ) * IF($D167="NJ",1.07,1))/$L$10, CHOOSE($M$10,$L$9,$M$9) )</f>
        <v xml:space="preserve"> 85.74 </v>
      </c>
      <c r="J167" s="178" t="str">
        <f>TEXT(   (SUMPRODUCT( ((Main!$H$9:$H$1000)=$E167)*((Main!$J$9:$J$1000)=$F167)*((Main!$O$9:$O$1000)=$C167)*(Main!S$9:S$1000) ) +  ( SUMPRODUCT( ((Adders!$D$13:$D$101)=$E167)*((Adders!$E$13:$E$101)=$F167)*(Adders!H$13:H$101)) + VLOOKUP($H167,Adders!$B$5:$G$8,M$11,FALSE)  +  MD!$D$2 ) * IF($D167="NJ",1.07,1))/$L$10, CHOOSE($M$10,$L$9,$M$9) )</f>
        <v xml:space="preserve"> 84.66 </v>
      </c>
      <c r="K167" s="179" t="str">
        <f>TEXT(   (SUMPRODUCT( ((Main!$H$9:$H$1000)=$E167)*((Main!$J$9:$J$1000)=$F167)*((Main!$O$9:$O$1000)=$C167)*(Main!T$9:T$1000) ) +  ( SUMPRODUCT( ((Adders!$D$13:$D$101)=$E167)*((Adders!$E$13:$E$101)=$F167)*(Adders!I$13:I$101)) + VLOOKUP($H167,Adders!$B$5:$G$8,$N$11,FALSE)  +  MD!$D$2 ) * IF($D167="NJ",1.07,1))/$L$10, CHOOSE($M$10,$L$9,$M$9) )</f>
        <v xml:space="preserve"> 84.58 </v>
      </c>
      <c r="L167" s="178" t="str">
        <f>TEXT(   (SUMPRODUCT( ((LMPMain!$H$9:$H$1000)=$E167)*((LMPMain!$J$9:$J$1000)=$F167)*((LMPMain!$O$9:$O$1000)=$C167)*(LMPMain!R$9:R$1000) ) +  ( SUMPRODUCT( ((Adders!$D$13:$D$101)=$E167)*((Adders!$E$13:$E$101)=$F167)*(Adders!G$13:G$101)) + VLOOKUP($H167,Adders!$B$5:$G$8,L$11,FALSE)  +  NJ!$D$2 ) * IF($D167="NJ",1.07,1))/$L$10, CHOOSE($M$10,$L$9,$M$9) )</f>
        <v xml:space="preserve"> 38.84 </v>
      </c>
      <c r="M167" s="178" t="str">
        <f>TEXT(   (SUMPRODUCT( ((LMPMain!$H$9:$H$1000)=$E167)*((LMPMain!$J$9:$J$1000)=$F167)*((LMPMain!$O$9:$O$1000)=$C167)*(LMPMain!S$9:S$1000) ) +  ( SUMPRODUCT( ((Adders!$D$13:$D$101)=$E167)*((Adders!$E$13:$E$101)=$F167)*(Adders!H$13:H$101)) + VLOOKUP($H167,Adders!$B$5:$G$8,M$11,FALSE)  +  NJ!$D$2 ) * IF($D167="NJ",1.07,1))/$L$10, CHOOSE($M$10,$L$9,$M$9) )</f>
        <v xml:space="preserve"> 37.85 </v>
      </c>
      <c r="N167" s="179" t="str">
        <f>TEXT(   (SUMPRODUCT( ((LMPMain!$H$9:$H$1000)=$E167)*((LMPMain!$J$9:$J$1000)=$F167)*((LMPMain!$O$9:$O$1000)=$C167)*(LMPMain!T$9:T$1000) ) +  ( SUMPRODUCT( ((Adders!$D$13:$D$101)=$E167)*((Adders!$E$13:$E$101)=$F167)*(Adders!I$13:I$101)) + VLOOKUP($H167,Adders!$B$5:$G$8,N$11,FALSE)  +  NJ!$D$2 ) * IF($D167="NJ",1.07,1))/$L$10, CHOOSE($M$10,$L$9,$M$9) )</f>
        <v xml:space="preserve"> 37.53 </v>
      </c>
      <c r="O167" s="112"/>
    </row>
    <row r="168" spans="2:15" x14ac:dyDescent="0.25">
      <c r="B168" s="108"/>
      <c r="C168" s="131">
        <f t="shared" si="3"/>
        <v>42248</v>
      </c>
      <c r="D168" s="132" t="s">
        <v>39</v>
      </c>
      <c r="E168" s="133" t="s">
        <v>44</v>
      </c>
      <c r="F168" s="132" t="s">
        <v>7</v>
      </c>
      <c r="G168" s="133" t="str">
        <f t="shared" si="4"/>
        <v>General Service</v>
      </c>
      <c r="H168" s="134" t="s">
        <v>62</v>
      </c>
      <c r="I168" s="173" t="str">
        <f>TEXT(   (SUMPRODUCT( ((Main!$H$9:$H$1000)=$E168)*((Main!$J$9:$J$1000)=$F168)*((Main!$O$9:$O$1000)=$C168)*(Main!R$9:R$1000) ) +  ( SUMPRODUCT( ((Adders!$D$13:$D$101)=$E168)*((Adders!$E$13:$E$101)=$F168)*(Adders!G$13:G$101)) + VLOOKUP($H168,Adders!$B$5:$G$8,L$11,FALSE)  +  MD!$D$2 ) * IF($D168="NJ",1.07,1))/$L$10, CHOOSE($M$10,$L$9,$M$9) )</f>
        <v xml:space="preserve"> 84.14 </v>
      </c>
      <c r="J168" s="173" t="str">
        <f>TEXT(   (SUMPRODUCT( ((Main!$H$9:$H$1000)=$E168)*((Main!$J$9:$J$1000)=$F168)*((Main!$O$9:$O$1000)=$C168)*(Main!S$9:S$1000) ) +  ( SUMPRODUCT( ((Adders!$D$13:$D$101)=$E168)*((Adders!$E$13:$E$101)=$F168)*(Adders!H$13:H$101)) + VLOOKUP($H168,Adders!$B$5:$G$8,M$11,FALSE)  +  MD!$D$2 ) * IF($D168="NJ",1.07,1))/$L$10, CHOOSE($M$10,$L$9,$M$9) )</f>
        <v xml:space="preserve"> 83.06 </v>
      </c>
      <c r="K168" s="174" t="str">
        <f>TEXT(   (SUMPRODUCT( ((Main!$H$9:$H$1000)=$E168)*((Main!$J$9:$J$1000)=$F168)*((Main!$O$9:$O$1000)=$C168)*(Main!T$9:T$1000) ) +  ( SUMPRODUCT( ((Adders!$D$13:$D$101)=$E168)*((Adders!$E$13:$E$101)=$F168)*(Adders!I$13:I$101)) + VLOOKUP($H168,Adders!$B$5:$G$8,$N$11,FALSE)  +  MD!$D$2 ) * IF($D168="NJ",1.07,1))/$L$10, CHOOSE($M$10,$L$9,$M$9) )</f>
        <v xml:space="preserve"> 82.98 </v>
      </c>
      <c r="L168" s="173" t="str">
        <f>TEXT(   (SUMPRODUCT( ((LMPMain!$H$9:$H$1000)=$E168)*((LMPMain!$J$9:$J$1000)=$F168)*((LMPMain!$O$9:$O$1000)=$C168)*(LMPMain!R$9:R$1000) ) +  ( SUMPRODUCT( ((Adders!$D$13:$D$101)=$E168)*((Adders!$E$13:$E$101)=$F168)*(Adders!G$13:G$101)) + VLOOKUP($H168,Adders!$B$5:$G$8,L$11,FALSE)  +  NJ!$D$2 ) * IF($D168="NJ",1.07,1))/$L$10, CHOOSE($M$10,$L$9,$M$9) )</f>
        <v xml:space="preserve"> 37.24 </v>
      </c>
      <c r="M168" s="173" t="str">
        <f>TEXT(   (SUMPRODUCT( ((LMPMain!$H$9:$H$1000)=$E168)*((LMPMain!$J$9:$J$1000)=$F168)*((LMPMain!$O$9:$O$1000)=$C168)*(LMPMain!S$9:S$1000) ) +  ( SUMPRODUCT( ((Adders!$D$13:$D$101)=$E168)*((Adders!$E$13:$E$101)=$F168)*(Adders!H$13:H$101)) + VLOOKUP($H168,Adders!$B$5:$G$8,M$11,FALSE)  +  NJ!$D$2 ) * IF($D168="NJ",1.07,1))/$L$10, CHOOSE($M$10,$L$9,$M$9) )</f>
        <v xml:space="preserve"> 36.25 </v>
      </c>
      <c r="N168" s="174" t="str">
        <f>TEXT(   (SUMPRODUCT( ((LMPMain!$H$9:$H$1000)=$E168)*((LMPMain!$J$9:$J$1000)=$F168)*((LMPMain!$O$9:$O$1000)=$C168)*(LMPMain!T$9:T$1000) ) +  ( SUMPRODUCT( ((Adders!$D$13:$D$101)=$E168)*((Adders!$E$13:$E$101)=$F168)*(Adders!I$13:I$101)) + VLOOKUP($H168,Adders!$B$5:$G$8,N$11,FALSE)  +  NJ!$D$2 ) * IF($D168="NJ",1.07,1))/$L$10, CHOOSE($M$10,$L$9,$M$9) )</f>
        <v xml:space="preserve"> 35.93 </v>
      </c>
      <c r="O168" s="112"/>
    </row>
    <row r="169" spans="2:15" x14ac:dyDescent="0.25">
      <c r="B169" s="108"/>
      <c r="C169" s="135">
        <f t="shared" si="3"/>
        <v>42248</v>
      </c>
      <c r="D169" s="136" t="s">
        <v>39</v>
      </c>
      <c r="E169" s="137" t="s">
        <v>44</v>
      </c>
      <c r="F169" s="136" t="s">
        <v>7</v>
      </c>
      <c r="G169" s="137" t="str">
        <f t="shared" si="4"/>
        <v>General Service</v>
      </c>
      <c r="H169" s="138" t="s">
        <v>690</v>
      </c>
      <c r="I169" s="176" t="str">
        <f>TEXT(   (SUMPRODUCT( ((Main!$H$9:$H$1000)=$E169)*((Main!$J$9:$J$1000)=$F169)*((Main!$O$9:$O$1000)=$C169)*(Main!R$9:R$1000) ) +  ( SUMPRODUCT( ((Adders!$D$13:$D$101)=$E169)*((Adders!$E$13:$E$101)=$F169)*(Adders!G$13:G$101)) + VLOOKUP($H169,Adders!$B$5:$G$8,L$11,FALSE)  +  MD!$D$2 ) * IF($D169="NJ",1.07,1))/$L$10, CHOOSE($M$10,$L$9,$M$9) )</f>
        <v xml:space="preserve"> 83.09 </v>
      </c>
      <c r="J169" s="176" t="str">
        <f>TEXT(   (SUMPRODUCT( ((Main!$H$9:$H$1000)=$E169)*((Main!$J$9:$J$1000)=$F169)*((Main!$O$9:$O$1000)=$C169)*(Main!S$9:S$1000) ) +  ( SUMPRODUCT( ((Adders!$D$13:$D$101)=$E169)*((Adders!$E$13:$E$101)=$F169)*(Adders!H$13:H$101)) + VLOOKUP($H169,Adders!$B$5:$G$8,M$11,FALSE)  +  MD!$D$2 ) * IF($D169="NJ",1.07,1))/$L$10, CHOOSE($M$10,$L$9,$M$9) )</f>
        <v xml:space="preserve"> 82.01 </v>
      </c>
      <c r="K169" s="177" t="str">
        <f>TEXT(   (SUMPRODUCT( ((Main!$H$9:$H$1000)=$E169)*((Main!$J$9:$J$1000)=$F169)*((Main!$O$9:$O$1000)=$C169)*(Main!T$9:T$1000) ) +  ( SUMPRODUCT( ((Adders!$D$13:$D$101)=$E169)*((Adders!$E$13:$E$101)=$F169)*(Adders!I$13:I$101)) + VLOOKUP($H169,Adders!$B$5:$G$8,$N$11,FALSE)  +  MD!$D$2 ) * IF($D169="NJ",1.07,1))/$L$10, CHOOSE($M$10,$L$9,$M$9) )</f>
        <v xml:space="preserve"> 81.93 </v>
      </c>
      <c r="L169" s="176" t="str">
        <f>TEXT(   (SUMPRODUCT( ((LMPMain!$H$9:$H$1000)=$E169)*((LMPMain!$J$9:$J$1000)=$F169)*((LMPMain!$O$9:$O$1000)=$C169)*(LMPMain!R$9:R$1000) ) +  ( SUMPRODUCT( ((Adders!$D$13:$D$101)=$E169)*((Adders!$E$13:$E$101)=$F169)*(Adders!G$13:G$101)) + VLOOKUP($H169,Adders!$B$5:$G$8,L$11,FALSE)  +  NJ!$D$2 ) * IF($D169="NJ",1.07,1))/$L$10, CHOOSE($M$10,$L$9,$M$9) )</f>
        <v xml:space="preserve"> 36.19 </v>
      </c>
      <c r="M169" s="176" t="str">
        <f>TEXT(   (SUMPRODUCT( ((LMPMain!$H$9:$H$1000)=$E169)*((LMPMain!$J$9:$J$1000)=$F169)*((LMPMain!$O$9:$O$1000)=$C169)*(LMPMain!S$9:S$1000) ) +  ( SUMPRODUCT( ((Adders!$D$13:$D$101)=$E169)*((Adders!$E$13:$E$101)=$F169)*(Adders!H$13:H$101)) + VLOOKUP($H169,Adders!$B$5:$G$8,M$11,FALSE)  +  NJ!$D$2 ) * IF($D169="NJ",1.07,1))/$L$10, CHOOSE($M$10,$L$9,$M$9) )</f>
        <v xml:space="preserve"> 35.20 </v>
      </c>
      <c r="N169" s="177" t="str">
        <f>TEXT(   (SUMPRODUCT( ((LMPMain!$H$9:$H$1000)=$E169)*((LMPMain!$J$9:$J$1000)=$F169)*((LMPMain!$O$9:$O$1000)=$C169)*(LMPMain!T$9:T$1000) ) +  ( SUMPRODUCT( ((Adders!$D$13:$D$101)=$E169)*((Adders!$E$13:$E$101)=$F169)*(Adders!I$13:I$101)) + VLOOKUP($H169,Adders!$B$5:$G$8,N$11,FALSE)  +  NJ!$D$2 ) * IF($D169="NJ",1.07,1))/$L$10, CHOOSE($M$10,$L$9,$M$9) )</f>
        <v xml:space="preserve"> 34.88 </v>
      </c>
      <c r="O169" s="112"/>
    </row>
    <row r="170" spans="2:15" x14ac:dyDescent="0.25">
      <c r="B170" s="108"/>
      <c r="C170" s="127">
        <f t="shared" si="3"/>
        <v>42278</v>
      </c>
      <c r="D170" s="128" t="s">
        <v>39</v>
      </c>
      <c r="E170" s="129" t="s">
        <v>44</v>
      </c>
      <c r="F170" s="128" t="s">
        <v>7</v>
      </c>
      <c r="G170" s="129" t="str">
        <f t="shared" si="4"/>
        <v>General Service</v>
      </c>
      <c r="H170" s="130" t="s">
        <v>61</v>
      </c>
      <c r="I170" s="178" t="str">
        <f>TEXT(   (SUMPRODUCT( ((Main!$H$9:$H$1000)=$E170)*((Main!$J$9:$J$1000)=$F170)*((Main!$O$9:$O$1000)=$C170)*(Main!R$9:R$1000) ) +  ( SUMPRODUCT( ((Adders!$D$13:$D$101)=$E170)*((Adders!$E$13:$E$101)=$F170)*(Adders!G$13:G$101)) + VLOOKUP($H170,Adders!$B$5:$G$8,L$11,FALSE)  +  MD!$D$2 ) * IF($D170="NJ",1.07,1))/$L$10, CHOOSE($M$10,$L$9,$M$9) )</f>
        <v xml:space="preserve"> 85.44 </v>
      </c>
      <c r="J170" s="178" t="str">
        <f>TEXT(   (SUMPRODUCT( ((Main!$H$9:$H$1000)=$E170)*((Main!$J$9:$J$1000)=$F170)*((Main!$O$9:$O$1000)=$C170)*(Main!S$9:S$1000) ) +  ( SUMPRODUCT( ((Adders!$D$13:$D$101)=$E170)*((Adders!$E$13:$E$101)=$F170)*(Adders!H$13:H$101)) + VLOOKUP($H170,Adders!$B$5:$G$8,M$11,FALSE)  +  MD!$D$2 ) * IF($D170="NJ",1.07,1))/$L$10, CHOOSE($M$10,$L$9,$M$9) )</f>
        <v xml:space="preserve"> 84.78 </v>
      </c>
      <c r="K170" s="179" t="str">
        <f>TEXT(   (SUMPRODUCT( ((Main!$H$9:$H$1000)=$E170)*((Main!$J$9:$J$1000)=$F170)*((Main!$O$9:$O$1000)=$C170)*(Main!T$9:T$1000) ) +  ( SUMPRODUCT( ((Adders!$D$13:$D$101)=$E170)*((Adders!$E$13:$E$101)=$F170)*(Adders!I$13:I$101)) + VLOOKUP($H170,Adders!$B$5:$G$8,$N$11,FALSE)  +  MD!$D$2 ) * IF($D170="NJ",1.07,1))/$L$10, CHOOSE($M$10,$L$9,$M$9) )</f>
        <v xml:space="preserve"> 84.50 </v>
      </c>
      <c r="L170" s="178" t="str">
        <f>TEXT(   (SUMPRODUCT( ((LMPMain!$H$9:$H$1000)=$E170)*((LMPMain!$J$9:$J$1000)=$F170)*((LMPMain!$O$9:$O$1000)=$C170)*(LMPMain!R$9:R$1000) ) +  ( SUMPRODUCT( ((Adders!$D$13:$D$101)=$E170)*((Adders!$E$13:$E$101)=$F170)*(Adders!G$13:G$101)) + VLOOKUP($H170,Adders!$B$5:$G$8,L$11,FALSE)  +  NJ!$D$2 ) * IF($D170="NJ",1.07,1))/$L$10, CHOOSE($M$10,$L$9,$M$9) )</f>
        <v xml:space="preserve"> 38.59 </v>
      </c>
      <c r="M170" s="178" t="str">
        <f>TEXT(   (SUMPRODUCT( ((LMPMain!$H$9:$H$1000)=$E170)*((LMPMain!$J$9:$J$1000)=$F170)*((LMPMain!$O$9:$O$1000)=$C170)*(LMPMain!S$9:S$1000) ) +  ( SUMPRODUCT( ((Adders!$D$13:$D$101)=$E170)*((Adders!$E$13:$E$101)=$F170)*(Adders!H$13:H$101)) + VLOOKUP($H170,Adders!$B$5:$G$8,M$11,FALSE)  +  NJ!$D$2 ) * IF($D170="NJ",1.07,1))/$L$10, CHOOSE($M$10,$L$9,$M$9) )</f>
        <v xml:space="preserve"> 37.69 </v>
      </c>
      <c r="N170" s="179" t="str">
        <f>TEXT(   (SUMPRODUCT( ((LMPMain!$H$9:$H$1000)=$E170)*((LMPMain!$J$9:$J$1000)=$F170)*((LMPMain!$O$9:$O$1000)=$C170)*(LMPMain!T$9:T$1000) ) +  ( SUMPRODUCT( ((Adders!$D$13:$D$101)=$E170)*((Adders!$E$13:$E$101)=$F170)*(Adders!I$13:I$101)) + VLOOKUP($H170,Adders!$B$5:$G$8,N$11,FALSE)  +  NJ!$D$2 ) * IF($D170="NJ",1.07,1))/$L$10, CHOOSE($M$10,$L$9,$M$9) )</f>
        <v xml:space="preserve"> 37.45 </v>
      </c>
      <c r="O170" s="112"/>
    </row>
    <row r="171" spans="2:15" x14ac:dyDescent="0.25">
      <c r="B171" s="108"/>
      <c r="C171" s="131">
        <f t="shared" si="3"/>
        <v>42278</v>
      </c>
      <c r="D171" s="132" t="s">
        <v>39</v>
      </c>
      <c r="E171" s="133" t="s">
        <v>44</v>
      </c>
      <c r="F171" s="132" t="s">
        <v>7</v>
      </c>
      <c r="G171" s="133" t="str">
        <f t="shared" si="4"/>
        <v>General Service</v>
      </c>
      <c r="H171" s="134" t="s">
        <v>62</v>
      </c>
      <c r="I171" s="173" t="str">
        <f>TEXT(   (SUMPRODUCT( ((Main!$H$9:$H$1000)=$E171)*((Main!$J$9:$J$1000)=$F171)*((Main!$O$9:$O$1000)=$C171)*(Main!R$9:R$1000) ) +  ( SUMPRODUCT( ((Adders!$D$13:$D$101)=$E171)*((Adders!$E$13:$E$101)=$F171)*(Adders!G$13:G$101)) + VLOOKUP($H171,Adders!$B$5:$G$8,L$11,FALSE)  +  MD!$D$2 ) * IF($D171="NJ",1.07,1))/$L$10, CHOOSE($M$10,$L$9,$M$9) )</f>
        <v xml:space="preserve"> 83.84 </v>
      </c>
      <c r="J171" s="173" t="str">
        <f>TEXT(   (SUMPRODUCT( ((Main!$H$9:$H$1000)=$E171)*((Main!$J$9:$J$1000)=$F171)*((Main!$O$9:$O$1000)=$C171)*(Main!S$9:S$1000) ) +  ( SUMPRODUCT( ((Adders!$D$13:$D$101)=$E171)*((Adders!$E$13:$E$101)=$F171)*(Adders!H$13:H$101)) + VLOOKUP($H171,Adders!$B$5:$G$8,M$11,FALSE)  +  MD!$D$2 ) * IF($D171="NJ",1.07,1))/$L$10, CHOOSE($M$10,$L$9,$M$9) )</f>
        <v xml:space="preserve"> 83.18 </v>
      </c>
      <c r="K171" s="174" t="str">
        <f>TEXT(   (SUMPRODUCT( ((Main!$H$9:$H$1000)=$E171)*((Main!$J$9:$J$1000)=$F171)*((Main!$O$9:$O$1000)=$C171)*(Main!T$9:T$1000) ) +  ( SUMPRODUCT( ((Adders!$D$13:$D$101)=$E171)*((Adders!$E$13:$E$101)=$F171)*(Adders!I$13:I$101)) + VLOOKUP($H171,Adders!$B$5:$G$8,$N$11,FALSE)  +  MD!$D$2 ) * IF($D171="NJ",1.07,1))/$L$10, CHOOSE($M$10,$L$9,$M$9) )</f>
        <v xml:space="preserve"> 82.90 </v>
      </c>
      <c r="L171" s="173" t="str">
        <f>TEXT(   (SUMPRODUCT( ((LMPMain!$H$9:$H$1000)=$E171)*((LMPMain!$J$9:$J$1000)=$F171)*((LMPMain!$O$9:$O$1000)=$C171)*(LMPMain!R$9:R$1000) ) +  ( SUMPRODUCT( ((Adders!$D$13:$D$101)=$E171)*((Adders!$E$13:$E$101)=$F171)*(Adders!G$13:G$101)) + VLOOKUP($H171,Adders!$B$5:$G$8,L$11,FALSE)  +  NJ!$D$2 ) * IF($D171="NJ",1.07,1))/$L$10, CHOOSE($M$10,$L$9,$M$9) )</f>
        <v xml:space="preserve"> 36.99 </v>
      </c>
      <c r="M171" s="173" t="str">
        <f>TEXT(   (SUMPRODUCT( ((LMPMain!$H$9:$H$1000)=$E171)*((LMPMain!$J$9:$J$1000)=$F171)*((LMPMain!$O$9:$O$1000)=$C171)*(LMPMain!S$9:S$1000) ) +  ( SUMPRODUCT( ((Adders!$D$13:$D$101)=$E171)*((Adders!$E$13:$E$101)=$F171)*(Adders!H$13:H$101)) + VLOOKUP($H171,Adders!$B$5:$G$8,M$11,FALSE)  +  NJ!$D$2 ) * IF($D171="NJ",1.07,1))/$L$10, CHOOSE($M$10,$L$9,$M$9) )</f>
        <v xml:space="preserve"> 36.09 </v>
      </c>
      <c r="N171" s="174" t="str">
        <f>TEXT(   (SUMPRODUCT( ((LMPMain!$H$9:$H$1000)=$E171)*((LMPMain!$J$9:$J$1000)=$F171)*((LMPMain!$O$9:$O$1000)=$C171)*(LMPMain!T$9:T$1000) ) +  ( SUMPRODUCT( ((Adders!$D$13:$D$101)=$E171)*((Adders!$E$13:$E$101)=$F171)*(Adders!I$13:I$101)) + VLOOKUP($H171,Adders!$B$5:$G$8,N$11,FALSE)  +  NJ!$D$2 ) * IF($D171="NJ",1.07,1))/$L$10, CHOOSE($M$10,$L$9,$M$9) )</f>
        <v xml:space="preserve"> 35.85 </v>
      </c>
      <c r="O171" s="112"/>
    </row>
    <row r="172" spans="2:15" x14ac:dyDescent="0.25">
      <c r="B172" s="108"/>
      <c r="C172" s="135">
        <f t="shared" si="3"/>
        <v>42278</v>
      </c>
      <c r="D172" s="136" t="s">
        <v>39</v>
      </c>
      <c r="E172" s="137" t="s">
        <v>44</v>
      </c>
      <c r="F172" s="136" t="s">
        <v>7</v>
      </c>
      <c r="G172" s="137" t="str">
        <f t="shared" si="4"/>
        <v>General Service</v>
      </c>
      <c r="H172" s="138" t="s">
        <v>690</v>
      </c>
      <c r="I172" s="176" t="str">
        <f>TEXT(   (SUMPRODUCT( ((Main!$H$9:$H$1000)=$E172)*((Main!$J$9:$J$1000)=$F172)*((Main!$O$9:$O$1000)=$C172)*(Main!R$9:R$1000) ) +  ( SUMPRODUCT( ((Adders!$D$13:$D$101)=$E172)*((Adders!$E$13:$E$101)=$F172)*(Adders!G$13:G$101)) + VLOOKUP($H172,Adders!$B$5:$G$8,L$11,FALSE)  +  MD!$D$2 ) * IF($D172="NJ",1.07,1))/$L$10, CHOOSE($M$10,$L$9,$M$9) )</f>
        <v xml:space="preserve"> 82.79 </v>
      </c>
      <c r="J172" s="176" t="str">
        <f>TEXT(   (SUMPRODUCT( ((Main!$H$9:$H$1000)=$E172)*((Main!$J$9:$J$1000)=$F172)*((Main!$O$9:$O$1000)=$C172)*(Main!S$9:S$1000) ) +  ( SUMPRODUCT( ((Adders!$D$13:$D$101)=$E172)*((Adders!$E$13:$E$101)=$F172)*(Adders!H$13:H$101)) + VLOOKUP($H172,Adders!$B$5:$G$8,M$11,FALSE)  +  MD!$D$2 ) * IF($D172="NJ",1.07,1))/$L$10, CHOOSE($M$10,$L$9,$M$9) )</f>
        <v xml:space="preserve"> 82.13 </v>
      </c>
      <c r="K172" s="177" t="str">
        <f>TEXT(   (SUMPRODUCT( ((Main!$H$9:$H$1000)=$E172)*((Main!$J$9:$J$1000)=$F172)*((Main!$O$9:$O$1000)=$C172)*(Main!T$9:T$1000) ) +  ( SUMPRODUCT( ((Adders!$D$13:$D$101)=$E172)*((Adders!$E$13:$E$101)=$F172)*(Adders!I$13:I$101)) + VLOOKUP($H172,Adders!$B$5:$G$8,$N$11,FALSE)  +  MD!$D$2 ) * IF($D172="NJ",1.07,1))/$L$10, CHOOSE($M$10,$L$9,$M$9) )</f>
        <v xml:space="preserve"> 81.85 </v>
      </c>
      <c r="L172" s="176" t="str">
        <f>TEXT(   (SUMPRODUCT( ((LMPMain!$H$9:$H$1000)=$E172)*((LMPMain!$J$9:$J$1000)=$F172)*((LMPMain!$O$9:$O$1000)=$C172)*(LMPMain!R$9:R$1000) ) +  ( SUMPRODUCT( ((Adders!$D$13:$D$101)=$E172)*((Adders!$E$13:$E$101)=$F172)*(Adders!G$13:G$101)) + VLOOKUP($H172,Adders!$B$5:$G$8,L$11,FALSE)  +  NJ!$D$2 ) * IF($D172="NJ",1.07,1))/$L$10, CHOOSE($M$10,$L$9,$M$9) )</f>
        <v xml:space="preserve"> 35.94 </v>
      </c>
      <c r="M172" s="176" t="str">
        <f>TEXT(   (SUMPRODUCT( ((LMPMain!$H$9:$H$1000)=$E172)*((LMPMain!$J$9:$J$1000)=$F172)*((LMPMain!$O$9:$O$1000)=$C172)*(LMPMain!S$9:S$1000) ) +  ( SUMPRODUCT( ((Adders!$D$13:$D$101)=$E172)*((Adders!$E$13:$E$101)=$F172)*(Adders!H$13:H$101)) + VLOOKUP($H172,Adders!$B$5:$G$8,M$11,FALSE)  +  NJ!$D$2 ) * IF($D172="NJ",1.07,1))/$L$10, CHOOSE($M$10,$L$9,$M$9) )</f>
        <v xml:space="preserve"> 35.04 </v>
      </c>
      <c r="N172" s="177" t="str">
        <f>TEXT(   (SUMPRODUCT( ((LMPMain!$H$9:$H$1000)=$E172)*((LMPMain!$J$9:$J$1000)=$F172)*((LMPMain!$O$9:$O$1000)=$C172)*(LMPMain!T$9:T$1000) ) +  ( SUMPRODUCT( ((Adders!$D$13:$D$101)=$E172)*((Adders!$E$13:$E$101)=$F172)*(Adders!I$13:I$101)) + VLOOKUP($H172,Adders!$B$5:$G$8,N$11,FALSE)  +  NJ!$D$2 ) * IF($D172="NJ",1.07,1))/$L$10, CHOOSE($M$10,$L$9,$M$9) )</f>
        <v xml:space="preserve"> 34.80 </v>
      </c>
      <c r="O172" s="112"/>
    </row>
    <row r="173" spans="2:15" x14ac:dyDescent="0.25">
      <c r="B173" s="108"/>
      <c r="C173" s="127">
        <f t="shared" si="3"/>
        <v>42309</v>
      </c>
      <c r="D173" s="128" t="s">
        <v>39</v>
      </c>
      <c r="E173" s="129" t="s">
        <v>44</v>
      </c>
      <c r="F173" s="128" t="s">
        <v>7</v>
      </c>
      <c r="G173" s="129" t="str">
        <f t="shared" si="4"/>
        <v>General Service</v>
      </c>
      <c r="H173" s="130" t="s">
        <v>61</v>
      </c>
      <c r="I173" s="178" t="str">
        <f>TEXT(   (SUMPRODUCT( ((Main!$H$9:$H$1000)=$E173)*((Main!$J$9:$J$1000)=$F173)*((Main!$O$9:$O$1000)=$C173)*(Main!R$9:R$1000) ) +  ( SUMPRODUCT( ((Adders!$D$13:$D$101)=$E173)*((Adders!$E$13:$E$101)=$F173)*(Adders!G$13:G$101)) + VLOOKUP($H173,Adders!$B$5:$G$8,L$11,FALSE)  +  MD!$D$2 ) * IF($D173="NJ",1.07,1))/$L$10, CHOOSE($M$10,$L$9,$M$9) )</f>
        <v xml:space="preserve"> 85.04 </v>
      </c>
      <c r="J173" s="178" t="str">
        <f>TEXT(   (SUMPRODUCT( ((Main!$H$9:$H$1000)=$E173)*((Main!$J$9:$J$1000)=$F173)*((Main!$O$9:$O$1000)=$C173)*(Main!S$9:S$1000) ) +  ( SUMPRODUCT( ((Adders!$D$13:$D$101)=$E173)*((Adders!$E$13:$E$101)=$F173)*(Adders!H$13:H$101)) + VLOOKUP($H173,Adders!$B$5:$G$8,M$11,FALSE)  +  MD!$D$2 ) * IF($D173="NJ",1.07,1))/$L$10, CHOOSE($M$10,$L$9,$M$9) )</f>
        <v xml:space="preserve"> 84.65 </v>
      </c>
      <c r="K173" s="179" t="str">
        <f>TEXT(   (SUMPRODUCT( ((Main!$H$9:$H$1000)=$E173)*((Main!$J$9:$J$1000)=$F173)*((Main!$O$9:$O$1000)=$C173)*(Main!T$9:T$1000) ) +  ( SUMPRODUCT( ((Adders!$D$13:$D$101)=$E173)*((Adders!$E$13:$E$101)=$F173)*(Adders!I$13:I$101)) + VLOOKUP($H173,Adders!$B$5:$G$8,$N$11,FALSE)  +  MD!$D$2 ) * IF($D173="NJ",1.07,1))/$L$10, CHOOSE($M$10,$L$9,$M$9) )</f>
        <v xml:space="preserve"> 84.35 </v>
      </c>
      <c r="L173" s="178" t="str">
        <f>TEXT(   (SUMPRODUCT( ((LMPMain!$H$9:$H$1000)=$E173)*((LMPMain!$J$9:$J$1000)=$F173)*((LMPMain!$O$9:$O$1000)=$C173)*(LMPMain!R$9:R$1000) ) +  ( SUMPRODUCT( ((Adders!$D$13:$D$101)=$E173)*((Adders!$E$13:$E$101)=$F173)*(Adders!G$13:G$101)) + VLOOKUP($H173,Adders!$B$5:$G$8,L$11,FALSE)  +  NJ!$D$2 ) * IF($D173="NJ",1.07,1))/$L$10, CHOOSE($M$10,$L$9,$M$9) )</f>
        <v xml:space="preserve"> 38.28 </v>
      </c>
      <c r="M173" s="178" t="str">
        <f>TEXT(   (SUMPRODUCT( ((LMPMain!$H$9:$H$1000)=$E173)*((LMPMain!$J$9:$J$1000)=$F173)*((LMPMain!$O$9:$O$1000)=$C173)*(LMPMain!S$9:S$1000) ) +  ( SUMPRODUCT( ((Adders!$D$13:$D$101)=$E173)*((Adders!$E$13:$E$101)=$F173)*(Adders!H$13:H$101)) + VLOOKUP($H173,Adders!$B$5:$G$8,M$11,FALSE)  +  NJ!$D$2 ) * IF($D173="NJ",1.07,1))/$L$10, CHOOSE($M$10,$L$9,$M$9) )</f>
        <v xml:space="preserve"> 37.44 </v>
      </c>
      <c r="N173" s="179" t="str">
        <f>TEXT(   (SUMPRODUCT( ((LMPMain!$H$9:$H$1000)=$E173)*((LMPMain!$J$9:$J$1000)=$F173)*((LMPMain!$O$9:$O$1000)=$C173)*(LMPMain!T$9:T$1000) ) +  ( SUMPRODUCT( ((Adders!$D$13:$D$101)=$E173)*((Adders!$E$13:$E$101)=$F173)*(Adders!I$13:I$101)) + VLOOKUP($H173,Adders!$B$5:$G$8,N$11,FALSE)  +  NJ!$D$2 ) * IF($D173="NJ",1.07,1))/$L$10, CHOOSE($M$10,$L$9,$M$9) )</f>
        <v xml:space="preserve"> 37.31 </v>
      </c>
      <c r="O173" s="112"/>
    </row>
    <row r="174" spans="2:15" x14ac:dyDescent="0.25">
      <c r="B174" s="108"/>
      <c r="C174" s="131">
        <f t="shared" si="3"/>
        <v>42309</v>
      </c>
      <c r="D174" s="132" t="s">
        <v>39</v>
      </c>
      <c r="E174" s="133" t="s">
        <v>44</v>
      </c>
      <c r="F174" s="132" t="s">
        <v>7</v>
      </c>
      <c r="G174" s="133" t="str">
        <f t="shared" si="4"/>
        <v>General Service</v>
      </c>
      <c r="H174" s="134" t="s">
        <v>62</v>
      </c>
      <c r="I174" s="173" t="str">
        <f>TEXT(   (SUMPRODUCT( ((Main!$H$9:$H$1000)=$E174)*((Main!$J$9:$J$1000)=$F174)*((Main!$O$9:$O$1000)=$C174)*(Main!R$9:R$1000) ) +  ( SUMPRODUCT( ((Adders!$D$13:$D$101)=$E174)*((Adders!$E$13:$E$101)=$F174)*(Adders!G$13:G$101)) + VLOOKUP($H174,Adders!$B$5:$G$8,L$11,FALSE)  +  MD!$D$2 ) * IF($D174="NJ",1.07,1))/$L$10, CHOOSE($M$10,$L$9,$M$9) )</f>
        <v xml:space="preserve"> 83.44 </v>
      </c>
      <c r="J174" s="173" t="str">
        <f>TEXT(   (SUMPRODUCT( ((Main!$H$9:$H$1000)=$E174)*((Main!$J$9:$J$1000)=$F174)*((Main!$O$9:$O$1000)=$C174)*(Main!S$9:S$1000) ) +  ( SUMPRODUCT( ((Adders!$D$13:$D$101)=$E174)*((Adders!$E$13:$E$101)=$F174)*(Adders!H$13:H$101)) + VLOOKUP($H174,Adders!$B$5:$G$8,M$11,FALSE)  +  MD!$D$2 ) * IF($D174="NJ",1.07,1))/$L$10, CHOOSE($M$10,$L$9,$M$9) )</f>
        <v xml:space="preserve"> 83.05 </v>
      </c>
      <c r="K174" s="174" t="str">
        <f>TEXT(   (SUMPRODUCT( ((Main!$H$9:$H$1000)=$E174)*((Main!$J$9:$J$1000)=$F174)*((Main!$O$9:$O$1000)=$C174)*(Main!T$9:T$1000) ) +  ( SUMPRODUCT( ((Adders!$D$13:$D$101)=$E174)*((Adders!$E$13:$E$101)=$F174)*(Adders!I$13:I$101)) + VLOOKUP($H174,Adders!$B$5:$G$8,$N$11,FALSE)  +  MD!$D$2 ) * IF($D174="NJ",1.07,1))/$L$10, CHOOSE($M$10,$L$9,$M$9) )</f>
        <v xml:space="preserve"> 82.75 </v>
      </c>
      <c r="L174" s="173" t="str">
        <f>TEXT(   (SUMPRODUCT( ((LMPMain!$H$9:$H$1000)=$E174)*((LMPMain!$J$9:$J$1000)=$F174)*((LMPMain!$O$9:$O$1000)=$C174)*(LMPMain!R$9:R$1000) ) +  ( SUMPRODUCT( ((Adders!$D$13:$D$101)=$E174)*((Adders!$E$13:$E$101)=$F174)*(Adders!G$13:G$101)) + VLOOKUP($H174,Adders!$B$5:$G$8,L$11,FALSE)  +  NJ!$D$2 ) * IF($D174="NJ",1.07,1))/$L$10, CHOOSE($M$10,$L$9,$M$9) )</f>
        <v xml:space="preserve"> 36.68 </v>
      </c>
      <c r="M174" s="173" t="str">
        <f>TEXT(   (SUMPRODUCT( ((LMPMain!$H$9:$H$1000)=$E174)*((LMPMain!$J$9:$J$1000)=$F174)*((LMPMain!$O$9:$O$1000)=$C174)*(LMPMain!S$9:S$1000) ) +  ( SUMPRODUCT( ((Adders!$D$13:$D$101)=$E174)*((Adders!$E$13:$E$101)=$F174)*(Adders!H$13:H$101)) + VLOOKUP($H174,Adders!$B$5:$G$8,M$11,FALSE)  +  NJ!$D$2 ) * IF($D174="NJ",1.07,1))/$L$10, CHOOSE($M$10,$L$9,$M$9) )</f>
        <v xml:space="preserve"> 35.84 </v>
      </c>
      <c r="N174" s="174" t="str">
        <f>TEXT(   (SUMPRODUCT( ((LMPMain!$H$9:$H$1000)=$E174)*((LMPMain!$J$9:$J$1000)=$F174)*((LMPMain!$O$9:$O$1000)=$C174)*(LMPMain!T$9:T$1000) ) +  ( SUMPRODUCT( ((Adders!$D$13:$D$101)=$E174)*((Adders!$E$13:$E$101)=$F174)*(Adders!I$13:I$101)) + VLOOKUP($H174,Adders!$B$5:$G$8,N$11,FALSE)  +  NJ!$D$2 ) * IF($D174="NJ",1.07,1))/$L$10, CHOOSE($M$10,$L$9,$M$9) )</f>
        <v xml:space="preserve"> 35.71 </v>
      </c>
      <c r="O174" s="112"/>
    </row>
    <row r="175" spans="2:15" x14ac:dyDescent="0.25">
      <c r="B175" s="108"/>
      <c r="C175" s="135">
        <f t="shared" si="3"/>
        <v>42309</v>
      </c>
      <c r="D175" s="136" t="s">
        <v>39</v>
      </c>
      <c r="E175" s="137" t="s">
        <v>44</v>
      </c>
      <c r="F175" s="136" t="s">
        <v>7</v>
      </c>
      <c r="G175" s="137" t="str">
        <f t="shared" si="4"/>
        <v>General Service</v>
      </c>
      <c r="H175" s="138" t="s">
        <v>690</v>
      </c>
      <c r="I175" s="176" t="str">
        <f>TEXT(   (SUMPRODUCT( ((Main!$H$9:$H$1000)=$E175)*((Main!$J$9:$J$1000)=$F175)*((Main!$O$9:$O$1000)=$C175)*(Main!R$9:R$1000) ) +  ( SUMPRODUCT( ((Adders!$D$13:$D$101)=$E175)*((Adders!$E$13:$E$101)=$F175)*(Adders!G$13:G$101)) + VLOOKUP($H175,Adders!$B$5:$G$8,L$11,FALSE)  +  MD!$D$2 ) * IF($D175="NJ",1.07,1))/$L$10, CHOOSE($M$10,$L$9,$M$9) )</f>
        <v xml:space="preserve"> 82.39 </v>
      </c>
      <c r="J175" s="176" t="str">
        <f>TEXT(   (SUMPRODUCT( ((Main!$H$9:$H$1000)=$E175)*((Main!$J$9:$J$1000)=$F175)*((Main!$O$9:$O$1000)=$C175)*(Main!S$9:S$1000) ) +  ( SUMPRODUCT( ((Adders!$D$13:$D$101)=$E175)*((Adders!$E$13:$E$101)=$F175)*(Adders!H$13:H$101)) + VLOOKUP($H175,Adders!$B$5:$G$8,M$11,FALSE)  +  MD!$D$2 ) * IF($D175="NJ",1.07,1))/$L$10, CHOOSE($M$10,$L$9,$M$9) )</f>
        <v xml:space="preserve"> 82.00 </v>
      </c>
      <c r="K175" s="177" t="str">
        <f>TEXT(   (SUMPRODUCT( ((Main!$H$9:$H$1000)=$E175)*((Main!$J$9:$J$1000)=$F175)*((Main!$O$9:$O$1000)=$C175)*(Main!T$9:T$1000) ) +  ( SUMPRODUCT( ((Adders!$D$13:$D$101)=$E175)*((Adders!$E$13:$E$101)=$F175)*(Adders!I$13:I$101)) + VLOOKUP($H175,Adders!$B$5:$G$8,$N$11,FALSE)  +  MD!$D$2 ) * IF($D175="NJ",1.07,1))/$L$10, CHOOSE($M$10,$L$9,$M$9) )</f>
        <v xml:space="preserve"> 81.70 </v>
      </c>
      <c r="L175" s="176" t="str">
        <f>TEXT(   (SUMPRODUCT( ((LMPMain!$H$9:$H$1000)=$E175)*((LMPMain!$J$9:$J$1000)=$F175)*((LMPMain!$O$9:$O$1000)=$C175)*(LMPMain!R$9:R$1000) ) +  ( SUMPRODUCT( ((Adders!$D$13:$D$101)=$E175)*((Adders!$E$13:$E$101)=$F175)*(Adders!G$13:G$101)) + VLOOKUP($H175,Adders!$B$5:$G$8,L$11,FALSE)  +  NJ!$D$2 ) * IF($D175="NJ",1.07,1))/$L$10, CHOOSE($M$10,$L$9,$M$9) )</f>
        <v xml:space="preserve"> 35.63 </v>
      </c>
      <c r="M175" s="176" t="str">
        <f>TEXT(   (SUMPRODUCT( ((LMPMain!$H$9:$H$1000)=$E175)*((LMPMain!$J$9:$J$1000)=$F175)*((LMPMain!$O$9:$O$1000)=$C175)*(LMPMain!S$9:S$1000) ) +  ( SUMPRODUCT( ((Adders!$D$13:$D$101)=$E175)*((Adders!$E$13:$E$101)=$F175)*(Adders!H$13:H$101)) + VLOOKUP($H175,Adders!$B$5:$G$8,M$11,FALSE)  +  NJ!$D$2 ) * IF($D175="NJ",1.07,1))/$L$10, CHOOSE($M$10,$L$9,$M$9) )</f>
        <v xml:space="preserve"> 34.79 </v>
      </c>
      <c r="N175" s="177" t="str">
        <f>TEXT(   (SUMPRODUCT( ((LMPMain!$H$9:$H$1000)=$E175)*((LMPMain!$J$9:$J$1000)=$F175)*((LMPMain!$O$9:$O$1000)=$C175)*(LMPMain!T$9:T$1000) ) +  ( SUMPRODUCT( ((Adders!$D$13:$D$101)=$E175)*((Adders!$E$13:$E$101)=$F175)*(Adders!I$13:I$101)) + VLOOKUP($H175,Adders!$B$5:$G$8,N$11,FALSE)  +  NJ!$D$2 ) * IF($D175="NJ",1.07,1))/$L$10, CHOOSE($M$10,$L$9,$M$9) )</f>
        <v xml:space="preserve"> 34.66 </v>
      </c>
      <c r="O175" s="112"/>
    </row>
    <row r="176" spans="2:15" x14ac:dyDescent="0.25">
      <c r="B176" s="108"/>
      <c r="C176" s="127">
        <f t="shared" si="3"/>
        <v>42339</v>
      </c>
      <c r="D176" s="128" t="s">
        <v>39</v>
      </c>
      <c r="E176" s="129" t="s">
        <v>44</v>
      </c>
      <c r="F176" s="128" t="s">
        <v>7</v>
      </c>
      <c r="G176" s="129" t="str">
        <f t="shared" si="4"/>
        <v>General Service</v>
      </c>
      <c r="H176" s="130" t="s">
        <v>61</v>
      </c>
      <c r="I176" s="178" t="str">
        <f>TEXT(   (SUMPRODUCT( ((Main!$H$9:$H$1000)=$E176)*((Main!$J$9:$J$1000)=$F176)*((Main!$O$9:$O$1000)=$C176)*(Main!R$9:R$1000) ) +  ( SUMPRODUCT( ((Adders!$D$13:$D$101)=$E176)*((Adders!$E$13:$E$101)=$F176)*(Adders!G$13:G$101)) + VLOOKUP($H176,Adders!$B$5:$G$8,L$11,FALSE)  +  MD!$D$2 ) * IF($D176="NJ",1.07,1))/$L$10, CHOOSE($M$10,$L$9,$M$9) )</f>
        <v xml:space="preserve"> 84.70 </v>
      </c>
      <c r="J176" s="178" t="str">
        <f>TEXT(   (SUMPRODUCT( ((Main!$H$9:$H$1000)=$E176)*((Main!$J$9:$J$1000)=$F176)*((Main!$O$9:$O$1000)=$C176)*(Main!S$9:S$1000) ) +  ( SUMPRODUCT( ((Adders!$D$13:$D$101)=$E176)*((Adders!$E$13:$E$101)=$F176)*(Adders!H$13:H$101)) + VLOOKUP($H176,Adders!$B$5:$G$8,M$11,FALSE)  +  MD!$D$2 ) * IF($D176="NJ",1.07,1))/$L$10, CHOOSE($M$10,$L$9,$M$9) )</f>
        <v xml:space="preserve"> 84.81 </v>
      </c>
      <c r="K176" s="179" t="str">
        <f>TEXT(   (SUMPRODUCT( ((Main!$H$9:$H$1000)=$E176)*((Main!$J$9:$J$1000)=$F176)*((Main!$O$9:$O$1000)=$C176)*(Main!T$9:T$1000) ) +  ( SUMPRODUCT( ((Adders!$D$13:$D$101)=$E176)*((Adders!$E$13:$E$101)=$F176)*(Adders!I$13:I$101)) + VLOOKUP($H176,Adders!$B$5:$G$8,$N$11,FALSE)  +  MD!$D$2 ) * IF($D176="NJ",1.07,1))/$L$10, CHOOSE($M$10,$L$9,$M$9) )</f>
        <v xml:space="preserve"> 84.24 </v>
      </c>
      <c r="L176" s="178" t="str">
        <f>TEXT(   (SUMPRODUCT( ((LMPMain!$H$9:$H$1000)=$E176)*((LMPMain!$J$9:$J$1000)=$F176)*((LMPMain!$O$9:$O$1000)=$C176)*(LMPMain!R$9:R$1000) ) +  ( SUMPRODUCT( ((Adders!$D$13:$D$101)=$E176)*((Adders!$E$13:$E$101)=$F176)*(Adders!G$13:G$101)) + VLOOKUP($H176,Adders!$B$5:$G$8,L$11,FALSE)  +  NJ!$D$2 ) * IF($D176="NJ",1.07,1))/$L$10, CHOOSE($M$10,$L$9,$M$9) )</f>
        <v xml:space="preserve"> 37.97 </v>
      </c>
      <c r="M176" s="178" t="str">
        <f>TEXT(   (SUMPRODUCT( ((LMPMain!$H$9:$H$1000)=$E176)*((LMPMain!$J$9:$J$1000)=$F176)*((LMPMain!$O$9:$O$1000)=$C176)*(LMPMain!S$9:S$1000) ) +  ( SUMPRODUCT( ((Adders!$D$13:$D$101)=$E176)*((Adders!$E$13:$E$101)=$F176)*(Adders!H$13:H$101)) + VLOOKUP($H176,Adders!$B$5:$G$8,M$11,FALSE)  +  NJ!$D$2 ) * IF($D176="NJ",1.07,1))/$L$10, CHOOSE($M$10,$L$9,$M$9) )</f>
        <v xml:space="preserve"> 37.37 </v>
      </c>
      <c r="N176" s="179" t="str">
        <f>TEXT(   (SUMPRODUCT( ((LMPMain!$H$9:$H$1000)=$E176)*((LMPMain!$J$9:$J$1000)=$F176)*((LMPMain!$O$9:$O$1000)=$C176)*(LMPMain!T$9:T$1000) ) +  ( SUMPRODUCT( ((Adders!$D$13:$D$101)=$E176)*((Adders!$E$13:$E$101)=$F176)*(Adders!I$13:I$101)) + VLOOKUP($H176,Adders!$B$5:$G$8,N$11,FALSE)  +  NJ!$D$2 ) * IF($D176="NJ",1.07,1))/$L$10, CHOOSE($M$10,$L$9,$M$9) )</f>
        <v xml:space="preserve"> 37.18 </v>
      </c>
      <c r="O176" s="112"/>
    </row>
    <row r="177" spans="2:15" x14ac:dyDescent="0.25">
      <c r="B177" s="108"/>
      <c r="C177" s="131">
        <f t="shared" si="3"/>
        <v>42339</v>
      </c>
      <c r="D177" s="132" t="s">
        <v>39</v>
      </c>
      <c r="E177" s="133" t="s">
        <v>44</v>
      </c>
      <c r="F177" s="132" t="s">
        <v>7</v>
      </c>
      <c r="G177" s="133" t="str">
        <f t="shared" si="4"/>
        <v>General Service</v>
      </c>
      <c r="H177" s="134" t="s">
        <v>62</v>
      </c>
      <c r="I177" s="173" t="str">
        <f>TEXT(   (SUMPRODUCT( ((Main!$H$9:$H$1000)=$E177)*((Main!$J$9:$J$1000)=$F177)*((Main!$O$9:$O$1000)=$C177)*(Main!R$9:R$1000) ) +  ( SUMPRODUCT( ((Adders!$D$13:$D$101)=$E177)*((Adders!$E$13:$E$101)=$F177)*(Adders!G$13:G$101)) + VLOOKUP($H177,Adders!$B$5:$G$8,L$11,FALSE)  +  MD!$D$2 ) * IF($D177="NJ",1.07,1))/$L$10, CHOOSE($M$10,$L$9,$M$9) )</f>
        <v xml:space="preserve"> 83.10 </v>
      </c>
      <c r="J177" s="173" t="str">
        <f>TEXT(   (SUMPRODUCT( ((Main!$H$9:$H$1000)=$E177)*((Main!$J$9:$J$1000)=$F177)*((Main!$O$9:$O$1000)=$C177)*(Main!S$9:S$1000) ) +  ( SUMPRODUCT( ((Adders!$D$13:$D$101)=$E177)*((Adders!$E$13:$E$101)=$F177)*(Adders!H$13:H$101)) + VLOOKUP($H177,Adders!$B$5:$G$8,M$11,FALSE)  +  MD!$D$2 ) * IF($D177="NJ",1.07,1))/$L$10, CHOOSE($M$10,$L$9,$M$9) )</f>
        <v xml:space="preserve"> 83.21 </v>
      </c>
      <c r="K177" s="174" t="str">
        <f>TEXT(   (SUMPRODUCT( ((Main!$H$9:$H$1000)=$E177)*((Main!$J$9:$J$1000)=$F177)*((Main!$O$9:$O$1000)=$C177)*(Main!T$9:T$1000) ) +  ( SUMPRODUCT( ((Adders!$D$13:$D$101)=$E177)*((Adders!$E$13:$E$101)=$F177)*(Adders!I$13:I$101)) + VLOOKUP($H177,Adders!$B$5:$G$8,$N$11,FALSE)  +  MD!$D$2 ) * IF($D177="NJ",1.07,1))/$L$10, CHOOSE($M$10,$L$9,$M$9) )</f>
        <v xml:space="preserve"> 82.64 </v>
      </c>
      <c r="L177" s="173" t="str">
        <f>TEXT(   (SUMPRODUCT( ((LMPMain!$H$9:$H$1000)=$E177)*((LMPMain!$J$9:$J$1000)=$F177)*((LMPMain!$O$9:$O$1000)=$C177)*(LMPMain!R$9:R$1000) ) +  ( SUMPRODUCT( ((Adders!$D$13:$D$101)=$E177)*((Adders!$E$13:$E$101)=$F177)*(Adders!G$13:G$101)) + VLOOKUP($H177,Adders!$B$5:$G$8,L$11,FALSE)  +  NJ!$D$2 ) * IF($D177="NJ",1.07,1))/$L$10, CHOOSE($M$10,$L$9,$M$9) )</f>
        <v xml:space="preserve"> 36.37 </v>
      </c>
      <c r="M177" s="173" t="str">
        <f>TEXT(   (SUMPRODUCT( ((LMPMain!$H$9:$H$1000)=$E177)*((LMPMain!$J$9:$J$1000)=$F177)*((LMPMain!$O$9:$O$1000)=$C177)*(LMPMain!S$9:S$1000) ) +  ( SUMPRODUCT( ((Adders!$D$13:$D$101)=$E177)*((Adders!$E$13:$E$101)=$F177)*(Adders!H$13:H$101)) + VLOOKUP($H177,Adders!$B$5:$G$8,M$11,FALSE)  +  NJ!$D$2 ) * IF($D177="NJ",1.07,1))/$L$10, CHOOSE($M$10,$L$9,$M$9) )</f>
        <v xml:space="preserve"> 35.77 </v>
      </c>
      <c r="N177" s="174" t="str">
        <f>TEXT(   (SUMPRODUCT( ((LMPMain!$H$9:$H$1000)=$E177)*((LMPMain!$J$9:$J$1000)=$F177)*((LMPMain!$O$9:$O$1000)=$C177)*(LMPMain!T$9:T$1000) ) +  ( SUMPRODUCT( ((Adders!$D$13:$D$101)=$E177)*((Adders!$E$13:$E$101)=$F177)*(Adders!I$13:I$101)) + VLOOKUP($H177,Adders!$B$5:$G$8,N$11,FALSE)  +  NJ!$D$2 ) * IF($D177="NJ",1.07,1))/$L$10, CHOOSE($M$10,$L$9,$M$9) )</f>
        <v xml:space="preserve"> 35.58 </v>
      </c>
      <c r="O177" s="112"/>
    </row>
    <row r="178" spans="2:15" x14ac:dyDescent="0.25">
      <c r="B178" s="108"/>
      <c r="C178" s="135">
        <f t="shared" si="3"/>
        <v>42339</v>
      </c>
      <c r="D178" s="136" t="s">
        <v>39</v>
      </c>
      <c r="E178" s="137" t="s">
        <v>44</v>
      </c>
      <c r="F178" s="136" t="s">
        <v>7</v>
      </c>
      <c r="G178" s="137" t="str">
        <f t="shared" si="4"/>
        <v>General Service</v>
      </c>
      <c r="H178" s="138" t="s">
        <v>690</v>
      </c>
      <c r="I178" s="176" t="str">
        <f>TEXT(   (SUMPRODUCT( ((Main!$H$9:$H$1000)=$E178)*((Main!$J$9:$J$1000)=$F178)*((Main!$O$9:$O$1000)=$C178)*(Main!R$9:R$1000) ) +  ( SUMPRODUCT( ((Adders!$D$13:$D$101)=$E178)*((Adders!$E$13:$E$101)=$F178)*(Adders!G$13:G$101)) + VLOOKUP($H178,Adders!$B$5:$G$8,L$11,FALSE)  +  MD!$D$2 ) * IF($D178="NJ",1.07,1))/$L$10, CHOOSE($M$10,$L$9,$M$9) )</f>
        <v xml:space="preserve"> 82.05 </v>
      </c>
      <c r="J178" s="176" t="str">
        <f>TEXT(   (SUMPRODUCT( ((Main!$H$9:$H$1000)=$E178)*((Main!$J$9:$J$1000)=$F178)*((Main!$O$9:$O$1000)=$C178)*(Main!S$9:S$1000) ) +  ( SUMPRODUCT( ((Adders!$D$13:$D$101)=$E178)*((Adders!$E$13:$E$101)=$F178)*(Adders!H$13:H$101)) + VLOOKUP($H178,Adders!$B$5:$G$8,M$11,FALSE)  +  MD!$D$2 ) * IF($D178="NJ",1.07,1))/$L$10, CHOOSE($M$10,$L$9,$M$9) )</f>
        <v xml:space="preserve"> 82.16 </v>
      </c>
      <c r="K178" s="177" t="str">
        <f>TEXT(   (SUMPRODUCT( ((Main!$H$9:$H$1000)=$E178)*((Main!$J$9:$J$1000)=$F178)*((Main!$O$9:$O$1000)=$C178)*(Main!T$9:T$1000) ) +  ( SUMPRODUCT( ((Adders!$D$13:$D$101)=$E178)*((Adders!$E$13:$E$101)=$F178)*(Adders!I$13:I$101)) + VLOOKUP($H178,Adders!$B$5:$G$8,$N$11,FALSE)  +  MD!$D$2 ) * IF($D178="NJ",1.07,1))/$L$10, CHOOSE($M$10,$L$9,$M$9) )</f>
        <v xml:space="preserve"> 81.59 </v>
      </c>
      <c r="L178" s="176" t="str">
        <f>TEXT(   (SUMPRODUCT( ((LMPMain!$H$9:$H$1000)=$E178)*((LMPMain!$J$9:$J$1000)=$F178)*((LMPMain!$O$9:$O$1000)=$C178)*(LMPMain!R$9:R$1000) ) +  ( SUMPRODUCT( ((Adders!$D$13:$D$101)=$E178)*((Adders!$E$13:$E$101)=$F178)*(Adders!G$13:G$101)) + VLOOKUP($H178,Adders!$B$5:$G$8,L$11,FALSE)  +  NJ!$D$2 ) * IF($D178="NJ",1.07,1))/$L$10, CHOOSE($M$10,$L$9,$M$9) )</f>
        <v xml:space="preserve"> 35.32 </v>
      </c>
      <c r="M178" s="176" t="str">
        <f>TEXT(   (SUMPRODUCT( ((LMPMain!$H$9:$H$1000)=$E178)*((LMPMain!$J$9:$J$1000)=$F178)*((LMPMain!$O$9:$O$1000)=$C178)*(LMPMain!S$9:S$1000) ) +  ( SUMPRODUCT( ((Adders!$D$13:$D$101)=$E178)*((Adders!$E$13:$E$101)=$F178)*(Adders!H$13:H$101)) + VLOOKUP($H178,Adders!$B$5:$G$8,M$11,FALSE)  +  NJ!$D$2 ) * IF($D178="NJ",1.07,1))/$L$10, CHOOSE($M$10,$L$9,$M$9) )</f>
        <v xml:space="preserve"> 34.72 </v>
      </c>
      <c r="N178" s="177" t="str">
        <f>TEXT(   (SUMPRODUCT( ((LMPMain!$H$9:$H$1000)=$E178)*((LMPMain!$J$9:$J$1000)=$F178)*((LMPMain!$O$9:$O$1000)=$C178)*(LMPMain!T$9:T$1000) ) +  ( SUMPRODUCT( ((Adders!$D$13:$D$101)=$E178)*((Adders!$E$13:$E$101)=$F178)*(Adders!I$13:I$101)) + VLOOKUP($H178,Adders!$B$5:$G$8,N$11,FALSE)  +  NJ!$D$2 ) * IF($D178="NJ",1.07,1))/$L$10, CHOOSE($M$10,$L$9,$M$9) )</f>
        <v xml:space="preserve"> 34.53 </v>
      </c>
      <c r="O178" s="112"/>
    </row>
    <row r="179" spans="2:15" x14ac:dyDescent="0.25">
      <c r="B179" s="108"/>
      <c r="C179" s="127">
        <f t="shared" ref="C179:C242" si="5">C143</f>
        <v>42370</v>
      </c>
      <c r="D179" s="128" t="s">
        <v>39</v>
      </c>
      <c r="E179" s="129" t="s">
        <v>44</v>
      </c>
      <c r="F179" s="128" t="s">
        <v>7</v>
      </c>
      <c r="G179" s="129" t="str">
        <f t="shared" ref="G179:G242" si="6">G178</f>
        <v>General Service</v>
      </c>
      <c r="H179" s="130" t="s">
        <v>61</v>
      </c>
      <c r="I179" s="178" t="str">
        <f>TEXT(   (SUMPRODUCT( ((Main!$H$9:$H$1000)=$E179)*((Main!$J$9:$J$1000)=$F179)*((Main!$O$9:$O$1000)=$C179)*(Main!R$9:R$1000) ) +  ( SUMPRODUCT( ((Adders!$D$13:$D$101)=$E179)*((Adders!$E$13:$E$101)=$F179)*(Adders!G$13:G$101)) + VLOOKUP($H179,Adders!$B$5:$G$8,L$11,FALSE)  +  MD!$D$2 ) * IF($D179="NJ",1.07,1))/$L$10, CHOOSE($M$10,$L$9,$M$9) )</f>
        <v xml:space="preserve"> 84.18 </v>
      </c>
      <c r="J179" s="178" t="str">
        <f>TEXT(   (SUMPRODUCT( ((Main!$H$9:$H$1000)=$E179)*((Main!$J$9:$J$1000)=$F179)*((Main!$O$9:$O$1000)=$C179)*(Main!S$9:S$1000) ) +  ( SUMPRODUCT( ((Adders!$D$13:$D$101)=$E179)*((Adders!$E$13:$E$101)=$F179)*(Adders!H$13:H$101)) + VLOOKUP($H179,Adders!$B$5:$G$8,M$11,FALSE)  +  MD!$D$2 ) * IF($D179="NJ",1.07,1))/$L$10, CHOOSE($M$10,$L$9,$M$9) )</f>
        <v xml:space="preserve"> 84.81 </v>
      </c>
      <c r="K179" s="179" t="str">
        <f>TEXT(   (SUMPRODUCT( ((Main!$H$9:$H$1000)=$E179)*((Main!$J$9:$J$1000)=$F179)*((Main!$O$9:$O$1000)=$C179)*(Main!T$9:T$1000) ) +  ( SUMPRODUCT( ((Adders!$D$13:$D$101)=$E179)*((Adders!$E$13:$E$101)=$F179)*(Adders!I$13:I$101)) + VLOOKUP($H179,Adders!$B$5:$G$8,$N$11,FALSE)  +  MD!$D$2 ) * IF($D179="NJ",1.07,1))/$L$10, CHOOSE($M$10,$L$9,$M$9) )</f>
        <v xml:space="preserve"> 84.07 </v>
      </c>
      <c r="L179" s="178" t="str">
        <f>TEXT(   (SUMPRODUCT( ((LMPMain!$H$9:$H$1000)=$E179)*((LMPMain!$J$9:$J$1000)=$F179)*((LMPMain!$O$9:$O$1000)=$C179)*(LMPMain!R$9:R$1000) ) +  ( SUMPRODUCT( ((Adders!$D$13:$D$101)=$E179)*((Adders!$E$13:$E$101)=$F179)*(Adders!G$13:G$101)) + VLOOKUP($H179,Adders!$B$5:$G$8,L$11,FALSE)  +  NJ!$D$2 ) * IF($D179="NJ",1.07,1))/$L$10, CHOOSE($M$10,$L$9,$M$9) )</f>
        <v xml:space="preserve"> 37.70 </v>
      </c>
      <c r="M179" s="178" t="str">
        <f>TEXT(   (SUMPRODUCT( ((LMPMain!$H$9:$H$1000)=$E179)*((LMPMain!$J$9:$J$1000)=$F179)*((LMPMain!$O$9:$O$1000)=$C179)*(LMPMain!S$9:S$1000) ) +  ( SUMPRODUCT( ((Adders!$D$13:$D$101)=$E179)*((Adders!$E$13:$E$101)=$F179)*(Adders!H$13:H$101)) + VLOOKUP($H179,Adders!$B$5:$G$8,M$11,FALSE)  +  NJ!$D$2 ) * IF($D179="NJ",1.07,1))/$L$10, CHOOSE($M$10,$L$9,$M$9) )</f>
        <v xml:space="preserve"> 37.31 </v>
      </c>
      <c r="N179" s="179" t="str">
        <f>TEXT(   (SUMPRODUCT( ((LMPMain!$H$9:$H$1000)=$E179)*((LMPMain!$J$9:$J$1000)=$F179)*((LMPMain!$O$9:$O$1000)=$C179)*(LMPMain!T$9:T$1000) ) +  ( SUMPRODUCT( ((Adders!$D$13:$D$101)=$E179)*((Adders!$E$13:$E$101)=$F179)*(Adders!I$13:I$101)) + VLOOKUP($H179,Adders!$B$5:$G$8,N$11,FALSE)  +  NJ!$D$2 ) * IF($D179="NJ",1.07,1))/$L$10, CHOOSE($M$10,$L$9,$M$9) )</f>
        <v xml:space="preserve"> 37.09 </v>
      </c>
      <c r="O179" s="112"/>
    </row>
    <row r="180" spans="2:15" x14ac:dyDescent="0.25">
      <c r="B180" s="108"/>
      <c r="C180" s="131">
        <f t="shared" si="5"/>
        <v>42370</v>
      </c>
      <c r="D180" s="132" t="s">
        <v>39</v>
      </c>
      <c r="E180" s="133" t="s">
        <v>44</v>
      </c>
      <c r="F180" s="132" t="s">
        <v>7</v>
      </c>
      <c r="G180" s="133" t="str">
        <f t="shared" si="6"/>
        <v>General Service</v>
      </c>
      <c r="H180" s="134" t="s">
        <v>62</v>
      </c>
      <c r="I180" s="173" t="str">
        <f>TEXT(   (SUMPRODUCT( ((Main!$H$9:$H$1000)=$E180)*((Main!$J$9:$J$1000)=$F180)*((Main!$O$9:$O$1000)=$C180)*(Main!R$9:R$1000) ) +  ( SUMPRODUCT( ((Adders!$D$13:$D$101)=$E180)*((Adders!$E$13:$E$101)=$F180)*(Adders!G$13:G$101)) + VLOOKUP($H180,Adders!$B$5:$G$8,L$11,FALSE)  +  MD!$D$2 ) * IF($D180="NJ",1.07,1))/$L$10, CHOOSE($M$10,$L$9,$M$9) )</f>
        <v xml:space="preserve"> 82.58 </v>
      </c>
      <c r="J180" s="173" t="str">
        <f>TEXT(   (SUMPRODUCT( ((Main!$H$9:$H$1000)=$E180)*((Main!$J$9:$J$1000)=$F180)*((Main!$O$9:$O$1000)=$C180)*(Main!S$9:S$1000) ) +  ( SUMPRODUCT( ((Adders!$D$13:$D$101)=$E180)*((Adders!$E$13:$E$101)=$F180)*(Adders!H$13:H$101)) + VLOOKUP($H180,Adders!$B$5:$G$8,M$11,FALSE)  +  MD!$D$2 ) * IF($D180="NJ",1.07,1))/$L$10, CHOOSE($M$10,$L$9,$M$9) )</f>
        <v xml:space="preserve"> 83.21 </v>
      </c>
      <c r="K180" s="174" t="str">
        <f>TEXT(   (SUMPRODUCT( ((Main!$H$9:$H$1000)=$E180)*((Main!$J$9:$J$1000)=$F180)*((Main!$O$9:$O$1000)=$C180)*(Main!T$9:T$1000) ) +  ( SUMPRODUCT( ((Adders!$D$13:$D$101)=$E180)*((Adders!$E$13:$E$101)=$F180)*(Adders!I$13:I$101)) + VLOOKUP($H180,Adders!$B$5:$G$8,$N$11,FALSE)  +  MD!$D$2 ) * IF($D180="NJ",1.07,1))/$L$10, CHOOSE($M$10,$L$9,$M$9) )</f>
        <v xml:space="preserve"> 82.47 </v>
      </c>
      <c r="L180" s="173" t="str">
        <f>TEXT(   (SUMPRODUCT( ((LMPMain!$H$9:$H$1000)=$E180)*((LMPMain!$J$9:$J$1000)=$F180)*((LMPMain!$O$9:$O$1000)=$C180)*(LMPMain!R$9:R$1000) ) +  ( SUMPRODUCT( ((Adders!$D$13:$D$101)=$E180)*((Adders!$E$13:$E$101)=$F180)*(Adders!G$13:G$101)) + VLOOKUP($H180,Adders!$B$5:$G$8,L$11,FALSE)  +  NJ!$D$2 ) * IF($D180="NJ",1.07,1))/$L$10, CHOOSE($M$10,$L$9,$M$9) )</f>
        <v xml:space="preserve"> 36.10 </v>
      </c>
      <c r="M180" s="173" t="str">
        <f>TEXT(   (SUMPRODUCT( ((LMPMain!$H$9:$H$1000)=$E180)*((LMPMain!$J$9:$J$1000)=$F180)*((LMPMain!$O$9:$O$1000)=$C180)*(LMPMain!S$9:S$1000) ) +  ( SUMPRODUCT( ((Adders!$D$13:$D$101)=$E180)*((Adders!$E$13:$E$101)=$F180)*(Adders!H$13:H$101)) + VLOOKUP($H180,Adders!$B$5:$G$8,M$11,FALSE)  +  NJ!$D$2 ) * IF($D180="NJ",1.07,1))/$L$10, CHOOSE($M$10,$L$9,$M$9) )</f>
        <v xml:space="preserve"> 35.71 </v>
      </c>
      <c r="N180" s="174" t="str">
        <f>TEXT(   (SUMPRODUCT( ((LMPMain!$H$9:$H$1000)=$E180)*((LMPMain!$J$9:$J$1000)=$F180)*((LMPMain!$O$9:$O$1000)=$C180)*(LMPMain!T$9:T$1000) ) +  ( SUMPRODUCT( ((Adders!$D$13:$D$101)=$E180)*((Adders!$E$13:$E$101)=$F180)*(Adders!I$13:I$101)) + VLOOKUP($H180,Adders!$B$5:$G$8,N$11,FALSE)  +  NJ!$D$2 ) * IF($D180="NJ",1.07,1))/$L$10, CHOOSE($M$10,$L$9,$M$9) )</f>
        <v xml:space="preserve"> 35.49 </v>
      </c>
      <c r="O180" s="112"/>
    </row>
    <row r="181" spans="2:15" x14ac:dyDescent="0.25">
      <c r="B181" s="108"/>
      <c r="C181" s="135">
        <f t="shared" si="5"/>
        <v>42370</v>
      </c>
      <c r="D181" s="136" t="s">
        <v>39</v>
      </c>
      <c r="E181" s="137" t="s">
        <v>44</v>
      </c>
      <c r="F181" s="136" t="s">
        <v>7</v>
      </c>
      <c r="G181" s="137" t="str">
        <f t="shared" si="6"/>
        <v>General Service</v>
      </c>
      <c r="H181" s="138" t="s">
        <v>690</v>
      </c>
      <c r="I181" s="176" t="str">
        <f>TEXT(   (SUMPRODUCT( ((Main!$H$9:$H$1000)=$E181)*((Main!$J$9:$J$1000)=$F181)*((Main!$O$9:$O$1000)=$C181)*(Main!R$9:R$1000) ) +  ( SUMPRODUCT( ((Adders!$D$13:$D$101)=$E181)*((Adders!$E$13:$E$101)=$F181)*(Adders!G$13:G$101)) + VLOOKUP($H181,Adders!$B$5:$G$8,L$11,FALSE)  +  MD!$D$2 ) * IF($D181="NJ",1.07,1))/$L$10, CHOOSE($M$10,$L$9,$M$9) )</f>
        <v xml:space="preserve"> 81.53 </v>
      </c>
      <c r="J181" s="176" t="str">
        <f>TEXT(   (SUMPRODUCT( ((Main!$H$9:$H$1000)=$E181)*((Main!$J$9:$J$1000)=$F181)*((Main!$O$9:$O$1000)=$C181)*(Main!S$9:S$1000) ) +  ( SUMPRODUCT( ((Adders!$D$13:$D$101)=$E181)*((Adders!$E$13:$E$101)=$F181)*(Adders!H$13:H$101)) + VLOOKUP($H181,Adders!$B$5:$G$8,M$11,FALSE)  +  MD!$D$2 ) * IF($D181="NJ",1.07,1))/$L$10, CHOOSE($M$10,$L$9,$M$9) )</f>
        <v xml:space="preserve"> 82.16 </v>
      </c>
      <c r="K181" s="177" t="str">
        <f>TEXT(   (SUMPRODUCT( ((Main!$H$9:$H$1000)=$E181)*((Main!$J$9:$J$1000)=$F181)*((Main!$O$9:$O$1000)=$C181)*(Main!T$9:T$1000) ) +  ( SUMPRODUCT( ((Adders!$D$13:$D$101)=$E181)*((Adders!$E$13:$E$101)=$F181)*(Adders!I$13:I$101)) + VLOOKUP($H181,Adders!$B$5:$G$8,$N$11,FALSE)  +  MD!$D$2 ) * IF($D181="NJ",1.07,1))/$L$10, CHOOSE($M$10,$L$9,$M$9) )</f>
        <v xml:space="preserve"> 81.42 </v>
      </c>
      <c r="L181" s="176" t="str">
        <f>TEXT(   (SUMPRODUCT( ((LMPMain!$H$9:$H$1000)=$E181)*((LMPMain!$J$9:$J$1000)=$F181)*((LMPMain!$O$9:$O$1000)=$C181)*(LMPMain!R$9:R$1000) ) +  ( SUMPRODUCT( ((Adders!$D$13:$D$101)=$E181)*((Adders!$E$13:$E$101)=$F181)*(Adders!G$13:G$101)) + VLOOKUP($H181,Adders!$B$5:$G$8,L$11,FALSE)  +  NJ!$D$2 ) * IF($D181="NJ",1.07,1))/$L$10, CHOOSE($M$10,$L$9,$M$9) )</f>
        <v xml:space="preserve"> 35.05 </v>
      </c>
      <c r="M181" s="176" t="str">
        <f>TEXT(   (SUMPRODUCT( ((LMPMain!$H$9:$H$1000)=$E181)*((LMPMain!$J$9:$J$1000)=$F181)*((LMPMain!$O$9:$O$1000)=$C181)*(LMPMain!S$9:S$1000) ) +  ( SUMPRODUCT( ((Adders!$D$13:$D$101)=$E181)*((Adders!$E$13:$E$101)=$F181)*(Adders!H$13:H$101)) + VLOOKUP($H181,Adders!$B$5:$G$8,M$11,FALSE)  +  NJ!$D$2 ) * IF($D181="NJ",1.07,1))/$L$10, CHOOSE($M$10,$L$9,$M$9) )</f>
        <v xml:space="preserve"> 34.66 </v>
      </c>
      <c r="N181" s="177" t="str">
        <f>TEXT(   (SUMPRODUCT( ((LMPMain!$H$9:$H$1000)=$E181)*((LMPMain!$J$9:$J$1000)=$F181)*((LMPMain!$O$9:$O$1000)=$C181)*(LMPMain!T$9:T$1000) ) +  ( SUMPRODUCT( ((Adders!$D$13:$D$101)=$E181)*((Adders!$E$13:$E$101)=$F181)*(Adders!I$13:I$101)) + VLOOKUP($H181,Adders!$B$5:$G$8,N$11,FALSE)  +  NJ!$D$2 ) * IF($D181="NJ",1.07,1))/$L$10, CHOOSE($M$10,$L$9,$M$9) )</f>
        <v xml:space="preserve"> 34.44 </v>
      </c>
      <c r="O181" s="112"/>
    </row>
    <row r="182" spans="2:15" x14ac:dyDescent="0.25">
      <c r="B182" s="108"/>
      <c r="C182" s="127">
        <f t="shared" si="5"/>
        <v>42401</v>
      </c>
      <c r="D182" s="128" t="s">
        <v>39</v>
      </c>
      <c r="E182" s="129" t="s">
        <v>44</v>
      </c>
      <c r="F182" s="128" t="s">
        <v>7</v>
      </c>
      <c r="G182" s="129" t="str">
        <f t="shared" si="6"/>
        <v>General Service</v>
      </c>
      <c r="H182" s="130" t="s">
        <v>61</v>
      </c>
      <c r="I182" s="178" t="str">
        <f>TEXT(   (SUMPRODUCT( ((Main!$H$9:$H$1000)=$E182)*((Main!$J$9:$J$1000)=$F182)*((Main!$O$9:$O$1000)=$C182)*(Main!R$9:R$1000) ) +  ( SUMPRODUCT( ((Adders!$D$13:$D$101)=$E182)*((Adders!$E$13:$E$101)=$F182)*(Adders!G$13:G$101)) + VLOOKUP($H182,Adders!$B$5:$G$8,L$11,FALSE)  +  MD!$D$2 ) * IF($D182="NJ",1.07,1))/$L$10, CHOOSE($M$10,$L$9,$M$9) )</f>
        <v xml:space="preserve"> 83.98 </v>
      </c>
      <c r="J182" s="178" t="str">
        <f>TEXT(   (SUMPRODUCT( ((Main!$H$9:$H$1000)=$E182)*((Main!$J$9:$J$1000)=$F182)*((Main!$O$9:$O$1000)=$C182)*(Main!S$9:S$1000) ) +  ( SUMPRODUCT( ((Adders!$D$13:$D$101)=$E182)*((Adders!$E$13:$E$101)=$F182)*(Adders!H$13:H$101)) + VLOOKUP($H182,Adders!$B$5:$G$8,M$11,FALSE)  +  MD!$D$2 ) * IF($D182="NJ",1.07,1))/$L$10, CHOOSE($M$10,$L$9,$M$9) )</f>
        <v xml:space="preserve"> 84.25 </v>
      </c>
      <c r="K182" s="179" t="str">
        <f>TEXT(   (SUMPRODUCT( ((Main!$H$9:$H$1000)=$E182)*((Main!$J$9:$J$1000)=$F182)*((Main!$O$9:$O$1000)=$C182)*(Main!T$9:T$1000) ) +  ( SUMPRODUCT( ((Adders!$D$13:$D$101)=$E182)*((Adders!$E$13:$E$101)=$F182)*(Adders!I$13:I$101)) + VLOOKUP($H182,Adders!$B$5:$G$8,$N$11,FALSE)  +  MD!$D$2 ) * IF($D182="NJ",1.07,1))/$L$10, CHOOSE($M$10,$L$9,$M$9) )</f>
        <v xml:space="preserve"> 84.11 </v>
      </c>
      <c r="L182" s="178" t="str">
        <f>TEXT(   (SUMPRODUCT( ((LMPMain!$H$9:$H$1000)=$E182)*((LMPMain!$J$9:$J$1000)=$F182)*((LMPMain!$O$9:$O$1000)=$C182)*(LMPMain!R$9:R$1000) ) +  ( SUMPRODUCT( ((Adders!$D$13:$D$101)=$E182)*((Adders!$E$13:$E$101)=$F182)*(Adders!G$13:G$101)) + VLOOKUP($H182,Adders!$B$5:$G$8,L$11,FALSE)  +  NJ!$D$2 ) * IF($D182="NJ",1.07,1))/$L$10, CHOOSE($M$10,$L$9,$M$9) )</f>
        <v xml:space="preserve"> 37.34 </v>
      </c>
      <c r="M182" s="178" t="str">
        <f>TEXT(   (SUMPRODUCT( ((LMPMain!$H$9:$H$1000)=$E182)*((LMPMain!$J$9:$J$1000)=$F182)*((LMPMain!$O$9:$O$1000)=$C182)*(LMPMain!S$9:S$1000) ) +  ( SUMPRODUCT( ((Adders!$D$13:$D$101)=$E182)*((Adders!$E$13:$E$101)=$F182)*(Adders!H$13:H$101)) + VLOOKUP($H182,Adders!$B$5:$G$8,M$11,FALSE)  +  NJ!$D$2 ) * IF($D182="NJ",1.07,1))/$L$10, CHOOSE($M$10,$L$9,$M$9) )</f>
        <v xml:space="preserve"> 37.09 </v>
      </c>
      <c r="N182" s="179" t="str">
        <f>TEXT(   (SUMPRODUCT( ((LMPMain!$H$9:$H$1000)=$E182)*((LMPMain!$J$9:$J$1000)=$F182)*((LMPMain!$O$9:$O$1000)=$C182)*(LMPMain!T$9:T$1000) ) +  ( SUMPRODUCT( ((Adders!$D$13:$D$101)=$E182)*((Adders!$E$13:$E$101)=$F182)*(Adders!I$13:I$101)) + VLOOKUP($H182,Adders!$B$5:$G$8,N$11,FALSE)  +  NJ!$D$2 ) * IF($D182="NJ",1.07,1))/$L$10, CHOOSE($M$10,$L$9,$M$9) )</f>
        <v xml:space="preserve"> 36.98 </v>
      </c>
      <c r="O182" s="112"/>
    </row>
    <row r="183" spans="2:15" x14ac:dyDescent="0.25">
      <c r="B183" s="108"/>
      <c r="C183" s="131">
        <f t="shared" si="5"/>
        <v>42401</v>
      </c>
      <c r="D183" s="132" t="s">
        <v>39</v>
      </c>
      <c r="E183" s="133" t="s">
        <v>44</v>
      </c>
      <c r="F183" s="132" t="s">
        <v>7</v>
      </c>
      <c r="G183" s="133" t="str">
        <f t="shared" si="6"/>
        <v>General Service</v>
      </c>
      <c r="H183" s="134" t="s">
        <v>62</v>
      </c>
      <c r="I183" s="173" t="str">
        <f>TEXT(   (SUMPRODUCT( ((Main!$H$9:$H$1000)=$E183)*((Main!$J$9:$J$1000)=$F183)*((Main!$O$9:$O$1000)=$C183)*(Main!R$9:R$1000) ) +  ( SUMPRODUCT( ((Adders!$D$13:$D$101)=$E183)*((Adders!$E$13:$E$101)=$F183)*(Adders!G$13:G$101)) + VLOOKUP($H183,Adders!$B$5:$G$8,L$11,FALSE)  +  MD!$D$2 ) * IF($D183="NJ",1.07,1))/$L$10, CHOOSE($M$10,$L$9,$M$9) )</f>
        <v xml:space="preserve"> 82.38 </v>
      </c>
      <c r="J183" s="173" t="str">
        <f>TEXT(   (SUMPRODUCT( ((Main!$H$9:$H$1000)=$E183)*((Main!$J$9:$J$1000)=$F183)*((Main!$O$9:$O$1000)=$C183)*(Main!S$9:S$1000) ) +  ( SUMPRODUCT( ((Adders!$D$13:$D$101)=$E183)*((Adders!$E$13:$E$101)=$F183)*(Adders!H$13:H$101)) + VLOOKUP($H183,Adders!$B$5:$G$8,M$11,FALSE)  +  MD!$D$2 ) * IF($D183="NJ",1.07,1))/$L$10, CHOOSE($M$10,$L$9,$M$9) )</f>
        <v xml:space="preserve"> 82.65 </v>
      </c>
      <c r="K183" s="174" t="str">
        <f>TEXT(   (SUMPRODUCT( ((Main!$H$9:$H$1000)=$E183)*((Main!$J$9:$J$1000)=$F183)*((Main!$O$9:$O$1000)=$C183)*(Main!T$9:T$1000) ) +  ( SUMPRODUCT( ((Adders!$D$13:$D$101)=$E183)*((Adders!$E$13:$E$101)=$F183)*(Adders!I$13:I$101)) + VLOOKUP($H183,Adders!$B$5:$G$8,$N$11,FALSE)  +  MD!$D$2 ) * IF($D183="NJ",1.07,1))/$L$10, CHOOSE($M$10,$L$9,$M$9) )</f>
        <v xml:space="preserve"> 82.51 </v>
      </c>
      <c r="L183" s="173" t="str">
        <f>TEXT(   (SUMPRODUCT( ((LMPMain!$H$9:$H$1000)=$E183)*((LMPMain!$J$9:$J$1000)=$F183)*((LMPMain!$O$9:$O$1000)=$C183)*(LMPMain!R$9:R$1000) ) +  ( SUMPRODUCT( ((Adders!$D$13:$D$101)=$E183)*((Adders!$E$13:$E$101)=$F183)*(Adders!G$13:G$101)) + VLOOKUP($H183,Adders!$B$5:$G$8,L$11,FALSE)  +  NJ!$D$2 ) * IF($D183="NJ",1.07,1))/$L$10, CHOOSE($M$10,$L$9,$M$9) )</f>
        <v xml:space="preserve"> 35.74 </v>
      </c>
      <c r="M183" s="173" t="str">
        <f>TEXT(   (SUMPRODUCT( ((LMPMain!$H$9:$H$1000)=$E183)*((LMPMain!$J$9:$J$1000)=$F183)*((LMPMain!$O$9:$O$1000)=$C183)*(LMPMain!S$9:S$1000) ) +  ( SUMPRODUCT( ((Adders!$D$13:$D$101)=$E183)*((Adders!$E$13:$E$101)=$F183)*(Adders!H$13:H$101)) + VLOOKUP($H183,Adders!$B$5:$G$8,M$11,FALSE)  +  NJ!$D$2 ) * IF($D183="NJ",1.07,1))/$L$10, CHOOSE($M$10,$L$9,$M$9) )</f>
        <v xml:space="preserve"> 35.49 </v>
      </c>
      <c r="N183" s="174" t="str">
        <f>TEXT(   (SUMPRODUCT( ((LMPMain!$H$9:$H$1000)=$E183)*((LMPMain!$J$9:$J$1000)=$F183)*((LMPMain!$O$9:$O$1000)=$C183)*(LMPMain!T$9:T$1000) ) +  ( SUMPRODUCT( ((Adders!$D$13:$D$101)=$E183)*((Adders!$E$13:$E$101)=$F183)*(Adders!I$13:I$101)) + VLOOKUP($H183,Adders!$B$5:$G$8,N$11,FALSE)  +  NJ!$D$2 ) * IF($D183="NJ",1.07,1))/$L$10, CHOOSE($M$10,$L$9,$M$9) )</f>
        <v xml:space="preserve"> 35.38 </v>
      </c>
      <c r="O183" s="112"/>
    </row>
    <row r="184" spans="2:15" x14ac:dyDescent="0.25">
      <c r="B184" s="108"/>
      <c r="C184" s="135">
        <f t="shared" si="5"/>
        <v>42401</v>
      </c>
      <c r="D184" s="136" t="s">
        <v>39</v>
      </c>
      <c r="E184" s="137" t="s">
        <v>44</v>
      </c>
      <c r="F184" s="136" t="s">
        <v>7</v>
      </c>
      <c r="G184" s="137" t="str">
        <f t="shared" si="6"/>
        <v>General Service</v>
      </c>
      <c r="H184" s="138" t="s">
        <v>690</v>
      </c>
      <c r="I184" s="176" t="str">
        <f>TEXT(   (SUMPRODUCT( ((Main!$H$9:$H$1000)=$E184)*((Main!$J$9:$J$1000)=$F184)*((Main!$O$9:$O$1000)=$C184)*(Main!R$9:R$1000) ) +  ( SUMPRODUCT( ((Adders!$D$13:$D$101)=$E184)*((Adders!$E$13:$E$101)=$F184)*(Adders!G$13:G$101)) + VLOOKUP($H184,Adders!$B$5:$G$8,L$11,FALSE)  +  MD!$D$2 ) * IF($D184="NJ",1.07,1))/$L$10, CHOOSE($M$10,$L$9,$M$9) )</f>
        <v xml:space="preserve"> 81.33 </v>
      </c>
      <c r="J184" s="176" t="str">
        <f>TEXT(   (SUMPRODUCT( ((Main!$H$9:$H$1000)=$E184)*((Main!$J$9:$J$1000)=$F184)*((Main!$O$9:$O$1000)=$C184)*(Main!S$9:S$1000) ) +  ( SUMPRODUCT( ((Adders!$D$13:$D$101)=$E184)*((Adders!$E$13:$E$101)=$F184)*(Adders!H$13:H$101)) + VLOOKUP($H184,Adders!$B$5:$G$8,M$11,FALSE)  +  MD!$D$2 ) * IF($D184="NJ",1.07,1))/$L$10, CHOOSE($M$10,$L$9,$M$9) )</f>
        <v xml:space="preserve"> 81.60 </v>
      </c>
      <c r="K184" s="177" t="str">
        <f>TEXT(   (SUMPRODUCT( ((Main!$H$9:$H$1000)=$E184)*((Main!$J$9:$J$1000)=$F184)*((Main!$O$9:$O$1000)=$C184)*(Main!T$9:T$1000) ) +  ( SUMPRODUCT( ((Adders!$D$13:$D$101)=$E184)*((Adders!$E$13:$E$101)=$F184)*(Adders!I$13:I$101)) + VLOOKUP($H184,Adders!$B$5:$G$8,$N$11,FALSE)  +  MD!$D$2 ) * IF($D184="NJ",1.07,1))/$L$10, CHOOSE($M$10,$L$9,$M$9) )</f>
        <v xml:space="preserve"> 81.46 </v>
      </c>
      <c r="L184" s="176" t="str">
        <f>TEXT(   (SUMPRODUCT( ((LMPMain!$H$9:$H$1000)=$E184)*((LMPMain!$J$9:$J$1000)=$F184)*((LMPMain!$O$9:$O$1000)=$C184)*(LMPMain!R$9:R$1000) ) +  ( SUMPRODUCT( ((Adders!$D$13:$D$101)=$E184)*((Adders!$E$13:$E$101)=$F184)*(Adders!G$13:G$101)) + VLOOKUP($H184,Adders!$B$5:$G$8,L$11,FALSE)  +  NJ!$D$2 ) * IF($D184="NJ",1.07,1))/$L$10, CHOOSE($M$10,$L$9,$M$9) )</f>
        <v xml:space="preserve"> 34.69 </v>
      </c>
      <c r="M184" s="176" t="str">
        <f>TEXT(   (SUMPRODUCT( ((LMPMain!$H$9:$H$1000)=$E184)*((LMPMain!$J$9:$J$1000)=$F184)*((LMPMain!$O$9:$O$1000)=$C184)*(LMPMain!S$9:S$1000) ) +  ( SUMPRODUCT( ((Adders!$D$13:$D$101)=$E184)*((Adders!$E$13:$E$101)=$F184)*(Adders!H$13:H$101)) + VLOOKUP($H184,Adders!$B$5:$G$8,M$11,FALSE)  +  NJ!$D$2 ) * IF($D184="NJ",1.07,1))/$L$10, CHOOSE($M$10,$L$9,$M$9) )</f>
        <v xml:space="preserve"> 34.44 </v>
      </c>
      <c r="N184" s="177" t="str">
        <f>TEXT(   (SUMPRODUCT( ((LMPMain!$H$9:$H$1000)=$E184)*((LMPMain!$J$9:$J$1000)=$F184)*((LMPMain!$O$9:$O$1000)=$C184)*(LMPMain!T$9:T$1000) ) +  ( SUMPRODUCT( ((Adders!$D$13:$D$101)=$E184)*((Adders!$E$13:$E$101)=$F184)*(Adders!I$13:I$101)) + VLOOKUP($H184,Adders!$B$5:$G$8,N$11,FALSE)  +  NJ!$D$2 ) * IF($D184="NJ",1.07,1))/$L$10, CHOOSE($M$10,$L$9,$M$9) )</f>
        <v xml:space="preserve"> 34.33 </v>
      </c>
      <c r="O184" s="112"/>
    </row>
    <row r="185" spans="2:15" x14ac:dyDescent="0.25">
      <c r="B185" s="108"/>
      <c r="C185" s="127">
        <f t="shared" si="5"/>
        <v>42430</v>
      </c>
      <c r="D185" s="128" t="s">
        <v>39</v>
      </c>
      <c r="E185" s="129" t="s">
        <v>44</v>
      </c>
      <c r="F185" s="128" t="s">
        <v>7</v>
      </c>
      <c r="G185" s="129" t="str">
        <f t="shared" si="6"/>
        <v>General Service</v>
      </c>
      <c r="H185" s="130" t="s">
        <v>61</v>
      </c>
      <c r="I185" s="178" t="str">
        <f>TEXT(   (SUMPRODUCT( ((Main!$H$9:$H$1000)=$E185)*((Main!$J$9:$J$1000)=$F185)*((Main!$O$9:$O$1000)=$C185)*(Main!R$9:R$1000) ) +  ( SUMPRODUCT( ((Adders!$D$13:$D$101)=$E185)*((Adders!$E$13:$E$101)=$F185)*(Adders!G$13:G$101)) + VLOOKUP($H185,Adders!$B$5:$G$8,L$11,FALSE)  +  MD!$D$2 ) * IF($D185="NJ",1.07,1))/$L$10, CHOOSE($M$10,$L$9,$M$9) )</f>
        <v xml:space="preserve"> 83.73 </v>
      </c>
      <c r="J185" s="178" t="str">
        <f>TEXT(   (SUMPRODUCT( ((Main!$H$9:$H$1000)=$E185)*((Main!$J$9:$J$1000)=$F185)*((Main!$O$9:$O$1000)=$C185)*(Main!S$9:S$1000) ) +  ( SUMPRODUCT( ((Adders!$D$13:$D$101)=$E185)*((Adders!$E$13:$E$101)=$F185)*(Adders!H$13:H$101)) + VLOOKUP($H185,Adders!$B$5:$G$8,M$11,FALSE)  +  MD!$D$2 ) * IF($D185="NJ",1.07,1))/$L$10, CHOOSE($M$10,$L$9,$M$9) )</f>
        <v xml:space="preserve"> 83.94 </v>
      </c>
      <c r="K185" s="179" t="str">
        <f>TEXT(   (SUMPRODUCT( ((Main!$H$9:$H$1000)=$E185)*((Main!$J$9:$J$1000)=$F185)*((Main!$O$9:$O$1000)=$C185)*(Main!T$9:T$1000) ) +  ( SUMPRODUCT( ((Adders!$D$13:$D$101)=$E185)*((Adders!$E$13:$E$101)=$F185)*(Adders!I$13:I$101)) + VLOOKUP($H185,Adders!$B$5:$G$8,$N$11,FALSE)  +  MD!$D$2 ) * IF($D185="NJ",1.07,1))/$L$10, CHOOSE($M$10,$L$9,$M$9) )</f>
        <v xml:space="preserve"> 84.16 </v>
      </c>
      <c r="L185" s="178" t="str">
        <f>TEXT(   (SUMPRODUCT( ((LMPMain!$H$9:$H$1000)=$E185)*((LMPMain!$J$9:$J$1000)=$F185)*((LMPMain!$O$9:$O$1000)=$C185)*(LMPMain!R$9:R$1000) ) +  ( SUMPRODUCT( ((Adders!$D$13:$D$101)=$E185)*((Adders!$E$13:$E$101)=$F185)*(Adders!G$13:G$101)) + VLOOKUP($H185,Adders!$B$5:$G$8,L$11,FALSE)  +  NJ!$D$2 ) * IF($D185="NJ",1.07,1))/$L$10, CHOOSE($M$10,$L$9,$M$9) )</f>
        <v xml:space="preserve"> 37.03 </v>
      </c>
      <c r="M185" s="178" t="str">
        <f>TEXT(   (SUMPRODUCT( ((LMPMain!$H$9:$H$1000)=$E185)*((LMPMain!$J$9:$J$1000)=$F185)*((LMPMain!$O$9:$O$1000)=$C185)*(LMPMain!S$9:S$1000) ) +  ( SUMPRODUCT( ((Adders!$D$13:$D$101)=$E185)*((Adders!$E$13:$E$101)=$F185)*(Adders!H$13:H$101)) + VLOOKUP($H185,Adders!$B$5:$G$8,M$11,FALSE)  +  NJ!$D$2 ) * IF($D185="NJ",1.07,1))/$L$10, CHOOSE($M$10,$L$9,$M$9) )</f>
        <v xml:space="preserve"> 36.88 </v>
      </c>
      <c r="N185" s="179" t="str">
        <f>TEXT(   (SUMPRODUCT( ((LMPMain!$H$9:$H$1000)=$E185)*((LMPMain!$J$9:$J$1000)=$F185)*((LMPMain!$O$9:$O$1000)=$C185)*(LMPMain!T$9:T$1000) ) +  ( SUMPRODUCT( ((Adders!$D$13:$D$101)=$E185)*((Adders!$E$13:$E$101)=$F185)*(Adders!I$13:I$101)) + VLOOKUP($H185,Adders!$B$5:$G$8,N$11,FALSE)  +  NJ!$D$2 ) * IF($D185="NJ",1.07,1))/$L$10, CHOOSE($M$10,$L$9,$M$9) )</f>
        <v xml:space="preserve"> 36.89 </v>
      </c>
      <c r="O185" s="112"/>
    </row>
    <row r="186" spans="2:15" x14ac:dyDescent="0.25">
      <c r="B186" s="108"/>
      <c r="C186" s="131">
        <f t="shared" si="5"/>
        <v>42430</v>
      </c>
      <c r="D186" s="132" t="s">
        <v>39</v>
      </c>
      <c r="E186" s="133" t="s">
        <v>44</v>
      </c>
      <c r="F186" s="132" t="s">
        <v>7</v>
      </c>
      <c r="G186" s="133" t="str">
        <f t="shared" si="6"/>
        <v>General Service</v>
      </c>
      <c r="H186" s="134" t="s">
        <v>62</v>
      </c>
      <c r="I186" s="173" t="str">
        <f>TEXT(   (SUMPRODUCT( ((Main!$H$9:$H$1000)=$E186)*((Main!$J$9:$J$1000)=$F186)*((Main!$O$9:$O$1000)=$C186)*(Main!R$9:R$1000) ) +  ( SUMPRODUCT( ((Adders!$D$13:$D$101)=$E186)*((Adders!$E$13:$E$101)=$F186)*(Adders!G$13:G$101)) + VLOOKUP($H186,Adders!$B$5:$G$8,L$11,FALSE)  +  MD!$D$2 ) * IF($D186="NJ",1.07,1))/$L$10, CHOOSE($M$10,$L$9,$M$9) )</f>
        <v xml:space="preserve"> 82.13 </v>
      </c>
      <c r="J186" s="173" t="str">
        <f>TEXT(   (SUMPRODUCT( ((Main!$H$9:$H$1000)=$E186)*((Main!$J$9:$J$1000)=$F186)*((Main!$O$9:$O$1000)=$C186)*(Main!S$9:S$1000) ) +  ( SUMPRODUCT( ((Adders!$D$13:$D$101)=$E186)*((Adders!$E$13:$E$101)=$F186)*(Adders!H$13:H$101)) + VLOOKUP($H186,Adders!$B$5:$G$8,M$11,FALSE)  +  MD!$D$2 ) * IF($D186="NJ",1.07,1))/$L$10, CHOOSE($M$10,$L$9,$M$9) )</f>
        <v xml:space="preserve"> 82.34 </v>
      </c>
      <c r="K186" s="174" t="str">
        <f>TEXT(   (SUMPRODUCT( ((Main!$H$9:$H$1000)=$E186)*((Main!$J$9:$J$1000)=$F186)*((Main!$O$9:$O$1000)=$C186)*(Main!T$9:T$1000) ) +  ( SUMPRODUCT( ((Adders!$D$13:$D$101)=$E186)*((Adders!$E$13:$E$101)=$F186)*(Adders!I$13:I$101)) + VLOOKUP($H186,Adders!$B$5:$G$8,$N$11,FALSE)  +  MD!$D$2 ) * IF($D186="NJ",1.07,1))/$L$10, CHOOSE($M$10,$L$9,$M$9) )</f>
        <v xml:space="preserve"> 82.56 </v>
      </c>
      <c r="L186" s="173" t="str">
        <f>TEXT(   (SUMPRODUCT( ((LMPMain!$H$9:$H$1000)=$E186)*((LMPMain!$J$9:$J$1000)=$F186)*((LMPMain!$O$9:$O$1000)=$C186)*(LMPMain!R$9:R$1000) ) +  ( SUMPRODUCT( ((Adders!$D$13:$D$101)=$E186)*((Adders!$E$13:$E$101)=$F186)*(Adders!G$13:G$101)) + VLOOKUP($H186,Adders!$B$5:$G$8,L$11,FALSE)  +  NJ!$D$2 ) * IF($D186="NJ",1.07,1))/$L$10, CHOOSE($M$10,$L$9,$M$9) )</f>
        <v xml:space="preserve"> 35.43 </v>
      </c>
      <c r="M186" s="173" t="str">
        <f>TEXT(   (SUMPRODUCT( ((LMPMain!$H$9:$H$1000)=$E186)*((LMPMain!$J$9:$J$1000)=$F186)*((LMPMain!$O$9:$O$1000)=$C186)*(LMPMain!S$9:S$1000) ) +  ( SUMPRODUCT( ((Adders!$D$13:$D$101)=$E186)*((Adders!$E$13:$E$101)=$F186)*(Adders!H$13:H$101)) + VLOOKUP($H186,Adders!$B$5:$G$8,M$11,FALSE)  +  NJ!$D$2 ) * IF($D186="NJ",1.07,1))/$L$10, CHOOSE($M$10,$L$9,$M$9) )</f>
        <v xml:space="preserve"> 35.28 </v>
      </c>
      <c r="N186" s="174" t="str">
        <f>TEXT(   (SUMPRODUCT( ((LMPMain!$H$9:$H$1000)=$E186)*((LMPMain!$J$9:$J$1000)=$F186)*((LMPMain!$O$9:$O$1000)=$C186)*(LMPMain!T$9:T$1000) ) +  ( SUMPRODUCT( ((Adders!$D$13:$D$101)=$E186)*((Adders!$E$13:$E$101)=$F186)*(Adders!I$13:I$101)) + VLOOKUP($H186,Adders!$B$5:$G$8,N$11,FALSE)  +  NJ!$D$2 ) * IF($D186="NJ",1.07,1))/$L$10, CHOOSE($M$10,$L$9,$M$9) )</f>
        <v xml:space="preserve"> 35.29 </v>
      </c>
      <c r="O186" s="112"/>
    </row>
    <row r="187" spans="2:15" x14ac:dyDescent="0.25">
      <c r="B187" s="108"/>
      <c r="C187" s="135">
        <f t="shared" si="5"/>
        <v>42430</v>
      </c>
      <c r="D187" s="136" t="s">
        <v>39</v>
      </c>
      <c r="E187" s="137" t="s">
        <v>44</v>
      </c>
      <c r="F187" s="136" t="s">
        <v>7</v>
      </c>
      <c r="G187" s="137" t="str">
        <f t="shared" si="6"/>
        <v>General Service</v>
      </c>
      <c r="H187" s="138" t="s">
        <v>690</v>
      </c>
      <c r="I187" s="176" t="str">
        <f>TEXT(   (SUMPRODUCT( ((Main!$H$9:$H$1000)=$E187)*((Main!$J$9:$J$1000)=$F187)*((Main!$O$9:$O$1000)=$C187)*(Main!R$9:R$1000) ) +  ( SUMPRODUCT( ((Adders!$D$13:$D$101)=$E187)*((Adders!$E$13:$E$101)=$F187)*(Adders!G$13:G$101)) + VLOOKUP($H187,Adders!$B$5:$G$8,L$11,FALSE)  +  MD!$D$2 ) * IF($D187="NJ",1.07,1))/$L$10, CHOOSE($M$10,$L$9,$M$9) )</f>
        <v xml:space="preserve"> 81.08 </v>
      </c>
      <c r="J187" s="176" t="str">
        <f>TEXT(   (SUMPRODUCT( ((Main!$H$9:$H$1000)=$E187)*((Main!$J$9:$J$1000)=$F187)*((Main!$O$9:$O$1000)=$C187)*(Main!S$9:S$1000) ) +  ( SUMPRODUCT( ((Adders!$D$13:$D$101)=$E187)*((Adders!$E$13:$E$101)=$F187)*(Adders!H$13:H$101)) + VLOOKUP($H187,Adders!$B$5:$G$8,M$11,FALSE)  +  MD!$D$2 ) * IF($D187="NJ",1.07,1))/$L$10, CHOOSE($M$10,$L$9,$M$9) )</f>
        <v xml:space="preserve"> 81.29 </v>
      </c>
      <c r="K187" s="177" t="str">
        <f>TEXT(   (SUMPRODUCT( ((Main!$H$9:$H$1000)=$E187)*((Main!$J$9:$J$1000)=$F187)*((Main!$O$9:$O$1000)=$C187)*(Main!T$9:T$1000) ) +  ( SUMPRODUCT( ((Adders!$D$13:$D$101)=$E187)*((Adders!$E$13:$E$101)=$F187)*(Adders!I$13:I$101)) + VLOOKUP($H187,Adders!$B$5:$G$8,$N$11,FALSE)  +  MD!$D$2 ) * IF($D187="NJ",1.07,1))/$L$10, CHOOSE($M$10,$L$9,$M$9) )</f>
        <v xml:space="preserve"> 81.51 </v>
      </c>
      <c r="L187" s="176" t="str">
        <f>TEXT(   (SUMPRODUCT( ((LMPMain!$H$9:$H$1000)=$E187)*((LMPMain!$J$9:$J$1000)=$F187)*((LMPMain!$O$9:$O$1000)=$C187)*(LMPMain!R$9:R$1000) ) +  ( SUMPRODUCT( ((Adders!$D$13:$D$101)=$E187)*((Adders!$E$13:$E$101)=$F187)*(Adders!G$13:G$101)) + VLOOKUP($H187,Adders!$B$5:$G$8,L$11,FALSE)  +  NJ!$D$2 ) * IF($D187="NJ",1.07,1))/$L$10, CHOOSE($M$10,$L$9,$M$9) )</f>
        <v xml:space="preserve"> 34.38 </v>
      </c>
      <c r="M187" s="176" t="str">
        <f>TEXT(   (SUMPRODUCT( ((LMPMain!$H$9:$H$1000)=$E187)*((LMPMain!$J$9:$J$1000)=$F187)*((LMPMain!$O$9:$O$1000)=$C187)*(LMPMain!S$9:S$1000) ) +  ( SUMPRODUCT( ((Adders!$D$13:$D$101)=$E187)*((Adders!$E$13:$E$101)=$F187)*(Adders!H$13:H$101)) + VLOOKUP($H187,Adders!$B$5:$G$8,M$11,FALSE)  +  NJ!$D$2 ) * IF($D187="NJ",1.07,1))/$L$10, CHOOSE($M$10,$L$9,$M$9) )</f>
        <v xml:space="preserve"> 34.23 </v>
      </c>
      <c r="N187" s="177" t="str">
        <f>TEXT(   (SUMPRODUCT( ((LMPMain!$H$9:$H$1000)=$E187)*((LMPMain!$J$9:$J$1000)=$F187)*((LMPMain!$O$9:$O$1000)=$C187)*(LMPMain!T$9:T$1000) ) +  ( SUMPRODUCT( ((Adders!$D$13:$D$101)=$E187)*((Adders!$E$13:$E$101)=$F187)*(Adders!I$13:I$101)) + VLOOKUP($H187,Adders!$B$5:$G$8,N$11,FALSE)  +  NJ!$D$2 ) * IF($D187="NJ",1.07,1))/$L$10, CHOOSE($M$10,$L$9,$M$9) )</f>
        <v xml:space="preserve"> 34.24 </v>
      </c>
      <c r="O187" s="112"/>
    </row>
    <row r="188" spans="2:15" x14ac:dyDescent="0.25">
      <c r="B188" s="108"/>
      <c r="C188" s="127">
        <f t="shared" si="5"/>
        <v>42461</v>
      </c>
      <c r="D188" s="128" t="s">
        <v>39</v>
      </c>
      <c r="E188" s="129" t="s">
        <v>44</v>
      </c>
      <c r="F188" s="128" t="s">
        <v>7</v>
      </c>
      <c r="G188" s="129" t="str">
        <f t="shared" si="6"/>
        <v>General Service</v>
      </c>
      <c r="H188" s="130" t="s">
        <v>61</v>
      </c>
      <c r="I188" s="178" t="str">
        <f>TEXT(   (SUMPRODUCT( ((Main!$H$9:$H$1000)=$E188)*((Main!$J$9:$J$1000)=$F188)*((Main!$O$9:$O$1000)=$C188)*(Main!R$9:R$1000) ) +  ( SUMPRODUCT( ((Adders!$D$13:$D$101)=$E188)*((Adders!$E$13:$E$101)=$F188)*(Adders!G$13:G$101)) + VLOOKUP($H188,Adders!$B$5:$G$8,L$11,FALSE)  +  MD!$D$2 ) * IF($D188="NJ",1.07,1))/$L$10, CHOOSE($M$10,$L$9,$M$9) )</f>
        <v xml:space="preserve"> 83.48 </v>
      </c>
      <c r="J188" s="178" t="str">
        <f>TEXT(   (SUMPRODUCT( ((Main!$H$9:$H$1000)=$E188)*((Main!$J$9:$J$1000)=$F188)*((Main!$O$9:$O$1000)=$C188)*(Main!S$9:S$1000) ) +  ( SUMPRODUCT( ((Adders!$D$13:$D$101)=$E188)*((Adders!$E$13:$E$101)=$F188)*(Adders!H$13:H$101)) + VLOOKUP($H188,Adders!$B$5:$G$8,M$11,FALSE)  +  MD!$D$2 ) * IF($D188="NJ",1.07,1))/$L$10, CHOOSE($M$10,$L$9,$M$9) )</f>
        <v xml:space="preserve"> 83.54 </v>
      </c>
      <c r="K188" s="179" t="str">
        <f>TEXT(   (SUMPRODUCT( ((Main!$H$9:$H$1000)=$E188)*((Main!$J$9:$J$1000)=$F188)*((Main!$O$9:$O$1000)=$C188)*(Main!T$9:T$1000) ) +  ( SUMPRODUCT( ((Adders!$D$13:$D$101)=$E188)*((Adders!$E$13:$E$101)=$F188)*(Adders!I$13:I$101)) + VLOOKUP($H188,Adders!$B$5:$G$8,$N$11,FALSE)  +  MD!$D$2 ) * IF($D188="NJ",1.07,1))/$L$10, CHOOSE($M$10,$L$9,$M$9) )</f>
        <v xml:space="preserve"> 84.04 </v>
      </c>
      <c r="L188" s="178" t="str">
        <f>TEXT(   (SUMPRODUCT( ((LMPMain!$H$9:$H$1000)=$E188)*((LMPMain!$J$9:$J$1000)=$F188)*((LMPMain!$O$9:$O$1000)=$C188)*(LMPMain!R$9:R$1000) ) +  ( SUMPRODUCT( ((Adders!$D$13:$D$101)=$E188)*((Adders!$E$13:$E$101)=$F188)*(Adders!G$13:G$101)) + VLOOKUP($H188,Adders!$B$5:$G$8,L$11,FALSE)  +  NJ!$D$2 ) * IF($D188="NJ",1.07,1))/$L$10, CHOOSE($M$10,$L$9,$M$9) )</f>
        <v xml:space="preserve"> 36.71 </v>
      </c>
      <c r="M188" s="178" t="str">
        <f>TEXT(   (SUMPRODUCT( ((LMPMain!$H$9:$H$1000)=$E188)*((LMPMain!$J$9:$J$1000)=$F188)*((LMPMain!$O$9:$O$1000)=$C188)*(LMPMain!S$9:S$1000) ) +  ( SUMPRODUCT( ((Adders!$D$13:$D$101)=$E188)*((Adders!$E$13:$E$101)=$F188)*(Adders!H$13:H$101)) + VLOOKUP($H188,Adders!$B$5:$G$8,M$11,FALSE)  +  NJ!$D$2 ) * IF($D188="NJ",1.07,1))/$L$10, CHOOSE($M$10,$L$9,$M$9) )</f>
        <v xml:space="preserve"> 36.71 </v>
      </c>
      <c r="N188" s="179" t="str">
        <f>TEXT(   (SUMPRODUCT( ((LMPMain!$H$9:$H$1000)=$E188)*((LMPMain!$J$9:$J$1000)=$F188)*((LMPMain!$O$9:$O$1000)=$C188)*(LMPMain!T$9:T$1000) ) +  ( SUMPRODUCT( ((Adders!$D$13:$D$101)=$E188)*((Adders!$E$13:$E$101)=$F188)*(Adders!I$13:I$101)) + VLOOKUP($H188,Adders!$B$5:$G$8,N$11,FALSE)  +  NJ!$D$2 ) * IF($D188="NJ",1.07,1))/$L$10, CHOOSE($M$10,$L$9,$M$9) )</f>
        <v xml:space="preserve"> 36.79 </v>
      </c>
      <c r="O188" s="112"/>
    </row>
    <row r="189" spans="2:15" x14ac:dyDescent="0.25">
      <c r="B189" s="108"/>
      <c r="C189" s="131">
        <f t="shared" si="5"/>
        <v>42461</v>
      </c>
      <c r="D189" s="132" t="s">
        <v>39</v>
      </c>
      <c r="E189" s="133" t="s">
        <v>44</v>
      </c>
      <c r="F189" s="132" t="s">
        <v>7</v>
      </c>
      <c r="G189" s="133" t="str">
        <f t="shared" si="6"/>
        <v>General Service</v>
      </c>
      <c r="H189" s="134" t="s">
        <v>62</v>
      </c>
      <c r="I189" s="173" t="str">
        <f>TEXT(   (SUMPRODUCT( ((Main!$H$9:$H$1000)=$E189)*((Main!$J$9:$J$1000)=$F189)*((Main!$O$9:$O$1000)=$C189)*(Main!R$9:R$1000) ) +  ( SUMPRODUCT( ((Adders!$D$13:$D$101)=$E189)*((Adders!$E$13:$E$101)=$F189)*(Adders!G$13:G$101)) + VLOOKUP($H189,Adders!$B$5:$G$8,L$11,FALSE)  +  MD!$D$2 ) * IF($D189="NJ",1.07,1))/$L$10, CHOOSE($M$10,$L$9,$M$9) )</f>
        <v xml:space="preserve"> 81.88 </v>
      </c>
      <c r="J189" s="173" t="str">
        <f>TEXT(   (SUMPRODUCT( ((Main!$H$9:$H$1000)=$E189)*((Main!$J$9:$J$1000)=$F189)*((Main!$O$9:$O$1000)=$C189)*(Main!S$9:S$1000) ) +  ( SUMPRODUCT( ((Adders!$D$13:$D$101)=$E189)*((Adders!$E$13:$E$101)=$F189)*(Adders!H$13:H$101)) + VLOOKUP($H189,Adders!$B$5:$G$8,M$11,FALSE)  +  MD!$D$2 ) * IF($D189="NJ",1.07,1))/$L$10, CHOOSE($M$10,$L$9,$M$9) )</f>
        <v xml:space="preserve"> 81.94 </v>
      </c>
      <c r="K189" s="174" t="str">
        <f>TEXT(   (SUMPRODUCT( ((Main!$H$9:$H$1000)=$E189)*((Main!$J$9:$J$1000)=$F189)*((Main!$O$9:$O$1000)=$C189)*(Main!T$9:T$1000) ) +  ( SUMPRODUCT( ((Adders!$D$13:$D$101)=$E189)*((Adders!$E$13:$E$101)=$F189)*(Adders!I$13:I$101)) + VLOOKUP($H189,Adders!$B$5:$G$8,$N$11,FALSE)  +  MD!$D$2 ) * IF($D189="NJ",1.07,1))/$L$10, CHOOSE($M$10,$L$9,$M$9) )</f>
        <v xml:space="preserve"> 82.44 </v>
      </c>
      <c r="L189" s="173" t="str">
        <f>TEXT(   (SUMPRODUCT( ((LMPMain!$H$9:$H$1000)=$E189)*((LMPMain!$J$9:$J$1000)=$F189)*((LMPMain!$O$9:$O$1000)=$C189)*(LMPMain!R$9:R$1000) ) +  ( SUMPRODUCT( ((Adders!$D$13:$D$101)=$E189)*((Adders!$E$13:$E$101)=$F189)*(Adders!G$13:G$101)) + VLOOKUP($H189,Adders!$B$5:$G$8,L$11,FALSE)  +  NJ!$D$2 ) * IF($D189="NJ",1.07,1))/$L$10, CHOOSE($M$10,$L$9,$M$9) )</f>
        <v xml:space="preserve"> 35.11 </v>
      </c>
      <c r="M189" s="173" t="str">
        <f>TEXT(   (SUMPRODUCT( ((LMPMain!$H$9:$H$1000)=$E189)*((LMPMain!$J$9:$J$1000)=$F189)*((LMPMain!$O$9:$O$1000)=$C189)*(LMPMain!S$9:S$1000) ) +  ( SUMPRODUCT( ((Adders!$D$13:$D$101)=$E189)*((Adders!$E$13:$E$101)=$F189)*(Adders!H$13:H$101)) + VLOOKUP($H189,Adders!$B$5:$G$8,M$11,FALSE)  +  NJ!$D$2 ) * IF($D189="NJ",1.07,1))/$L$10, CHOOSE($M$10,$L$9,$M$9) )</f>
        <v xml:space="preserve"> 35.11 </v>
      </c>
      <c r="N189" s="174" t="str">
        <f>TEXT(   (SUMPRODUCT( ((LMPMain!$H$9:$H$1000)=$E189)*((LMPMain!$J$9:$J$1000)=$F189)*((LMPMain!$O$9:$O$1000)=$C189)*(LMPMain!T$9:T$1000) ) +  ( SUMPRODUCT( ((Adders!$D$13:$D$101)=$E189)*((Adders!$E$13:$E$101)=$F189)*(Adders!I$13:I$101)) + VLOOKUP($H189,Adders!$B$5:$G$8,N$11,FALSE)  +  NJ!$D$2 ) * IF($D189="NJ",1.07,1))/$L$10, CHOOSE($M$10,$L$9,$M$9) )</f>
        <v xml:space="preserve"> 35.19 </v>
      </c>
      <c r="O189" s="112"/>
    </row>
    <row r="190" spans="2:15" x14ac:dyDescent="0.25">
      <c r="B190" s="108"/>
      <c r="C190" s="135">
        <f t="shared" si="5"/>
        <v>42461</v>
      </c>
      <c r="D190" s="136" t="s">
        <v>39</v>
      </c>
      <c r="E190" s="137" t="s">
        <v>44</v>
      </c>
      <c r="F190" s="136" t="s">
        <v>7</v>
      </c>
      <c r="G190" s="137" t="str">
        <f t="shared" si="6"/>
        <v>General Service</v>
      </c>
      <c r="H190" s="138" t="s">
        <v>690</v>
      </c>
      <c r="I190" s="176" t="str">
        <f>TEXT(   (SUMPRODUCT( ((Main!$H$9:$H$1000)=$E190)*((Main!$J$9:$J$1000)=$F190)*((Main!$O$9:$O$1000)=$C190)*(Main!R$9:R$1000) ) +  ( SUMPRODUCT( ((Adders!$D$13:$D$101)=$E190)*((Adders!$E$13:$E$101)=$F190)*(Adders!G$13:G$101)) + VLOOKUP($H190,Adders!$B$5:$G$8,L$11,FALSE)  +  MD!$D$2 ) * IF($D190="NJ",1.07,1))/$L$10, CHOOSE($M$10,$L$9,$M$9) )</f>
        <v xml:space="preserve"> 80.83 </v>
      </c>
      <c r="J190" s="176" t="str">
        <f>TEXT(   (SUMPRODUCT( ((Main!$H$9:$H$1000)=$E190)*((Main!$J$9:$J$1000)=$F190)*((Main!$O$9:$O$1000)=$C190)*(Main!S$9:S$1000) ) +  ( SUMPRODUCT( ((Adders!$D$13:$D$101)=$E190)*((Adders!$E$13:$E$101)=$F190)*(Adders!H$13:H$101)) + VLOOKUP($H190,Adders!$B$5:$G$8,M$11,FALSE)  +  MD!$D$2 ) * IF($D190="NJ",1.07,1))/$L$10, CHOOSE($M$10,$L$9,$M$9) )</f>
        <v xml:space="preserve"> 80.89 </v>
      </c>
      <c r="K190" s="177" t="str">
        <f>TEXT(   (SUMPRODUCT( ((Main!$H$9:$H$1000)=$E190)*((Main!$J$9:$J$1000)=$F190)*((Main!$O$9:$O$1000)=$C190)*(Main!T$9:T$1000) ) +  ( SUMPRODUCT( ((Adders!$D$13:$D$101)=$E190)*((Adders!$E$13:$E$101)=$F190)*(Adders!I$13:I$101)) + VLOOKUP($H190,Adders!$B$5:$G$8,$N$11,FALSE)  +  MD!$D$2 ) * IF($D190="NJ",1.07,1))/$L$10, CHOOSE($M$10,$L$9,$M$9) )</f>
        <v xml:space="preserve"> 81.39 </v>
      </c>
      <c r="L190" s="176" t="str">
        <f>TEXT(   (SUMPRODUCT( ((LMPMain!$H$9:$H$1000)=$E190)*((LMPMain!$J$9:$J$1000)=$F190)*((LMPMain!$O$9:$O$1000)=$C190)*(LMPMain!R$9:R$1000) ) +  ( SUMPRODUCT( ((Adders!$D$13:$D$101)=$E190)*((Adders!$E$13:$E$101)=$F190)*(Adders!G$13:G$101)) + VLOOKUP($H190,Adders!$B$5:$G$8,L$11,FALSE)  +  NJ!$D$2 ) * IF($D190="NJ",1.07,1))/$L$10, CHOOSE($M$10,$L$9,$M$9) )</f>
        <v xml:space="preserve"> 34.06 </v>
      </c>
      <c r="M190" s="176" t="str">
        <f>TEXT(   (SUMPRODUCT( ((LMPMain!$H$9:$H$1000)=$E190)*((LMPMain!$J$9:$J$1000)=$F190)*((LMPMain!$O$9:$O$1000)=$C190)*(LMPMain!S$9:S$1000) ) +  ( SUMPRODUCT( ((Adders!$D$13:$D$101)=$E190)*((Adders!$E$13:$E$101)=$F190)*(Adders!H$13:H$101)) + VLOOKUP($H190,Adders!$B$5:$G$8,M$11,FALSE)  +  NJ!$D$2 ) * IF($D190="NJ",1.07,1))/$L$10, CHOOSE($M$10,$L$9,$M$9) )</f>
        <v xml:space="preserve"> 34.06 </v>
      </c>
      <c r="N190" s="177" t="str">
        <f>TEXT(   (SUMPRODUCT( ((LMPMain!$H$9:$H$1000)=$E190)*((LMPMain!$J$9:$J$1000)=$F190)*((LMPMain!$O$9:$O$1000)=$C190)*(LMPMain!T$9:T$1000) ) +  ( SUMPRODUCT( ((Adders!$D$13:$D$101)=$E190)*((Adders!$E$13:$E$101)=$F190)*(Adders!I$13:I$101)) + VLOOKUP($H190,Adders!$B$5:$G$8,N$11,FALSE)  +  NJ!$D$2 ) * IF($D190="NJ",1.07,1))/$L$10, CHOOSE($M$10,$L$9,$M$9) )</f>
        <v xml:space="preserve"> 34.14 </v>
      </c>
      <c r="O190" s="112"/>
    </row>
    <row r="191" spans="2:15" x14ac:dyDescent="0.25">
      <c r="B191" s="108"/>
      <c r="C191" s="127">
        <f t="shared" si="5"/>
        <v>42491</v>
      </c>
      <c r="D191" s="128" t="s">
        <v>39</v>
      </c>
      <c r="E191" s="129" t="s">
        <v>44</v>
      </c>
      <c r="F191" s="128" t="s">
        <v>7</v>
      </c>
      <c r="G191" s="129" t="str">
        <f t="shared" si="6"/>
        <v>General Service</v>
      </c>
      <c r="H191" s="130" t="s">
        <v>61</v>
      </c>
      <c r="I191" s="178" t="str">
        <f>TEXT(   (SUMPRODUCT( ((Main!$H$9:$H$1000)=$E191)*((Main!$J$9:$J$1000)=$F191)*((Main!$O$9:$O$1000)=$C191)*(Main!R$9:R$1000) ) +  ( SUMPRODUCT( ((Adders!$D$13:$D$101)=$E191)*((Adders!$E$13:$E$101)=$F191)*(Adders!G$13:G$101)) + VLOOKUP($H191,Adders!$B$5:$G$8,L$11,FALSE)  +  MD!$D$2 ) * IF($D191="NJ",1.07,1))/$L$10, CHOOSE($M$10,$L$9,$M$9) )</f>
        <v xml:space="preserve"> 83.19 </v>
      </c>
      <c r="J191" s="178" t="str">
        <f>TEXT(   (SUMPRODUCT( ((Main!$H$9:$H$1000)=$E191)*((Main!$J$9:$J$1000)=$F191)*((Main!$O$9:$O$1000)=$C191)*(Main!S$9:S$1000) ) +  ( SUMPRODUCT( ((Adders!$D$13:$D$101)=$E191)*((Adders!$E$13:$E$101)=$F191)*(Adders!H$13:H$101)) + VLOOKUP($H191,Adders!$B$5:$G$8,M$11,FALSE)  +  MD!$D$2 ) * IF($D191="NJ",1.07,1))/$L$10, CHOOSE($M$10,$L$9,$M$9) )</f>
        <v xml:space="preserve"> 83.27 </v>
      </c>
      <c r="K191" s="179" t="str">
        <f>TEXT(   (SUMPRODUCT( ((Main!$H$9:$H$1000)=$E191)*((Main!$J$9:$J$1000)=$F191)*((Main!$O$9:$O$1000)=$C191)*(Main!T$9:T$1000) ) +  ( SUMPRODUCT( ((Adders!$D$13:$D$101)=$E191)*((Adders!$E$13:$E$101)=$F191)*(Adders!I$13:I$101)) + VLOOKUP($H191,Adders!$B$5:$G$8,$N$11,FALSE)  +  MD!$D$2 ) * IF($D191="NJ",1.07,1))/$L$10, CHOOSE($M$10,$L$9,$M$9) )</f>
        <v xml:space="preserve"> 83.98 </v>
      </c>
      <c r="L191" s="178" t="str">
        <f>TEXT(   (SUMPRODUCT( ((LMPMain!$H$9:$H$1000)=$E191)*((LMPMain!$J$9:$J$1000)=$F191)*((LMPMain!$O$9:$O$1000)=$C191)*(LMPMain!R$9:R$1000) ) +  ( SUMPRODUCT( ((Adders!$D$13:$D$101)=$E191)*((Adders!$E$13:$E$101)=$F191)*(Adders!G$13:G$101)) + VLOOKUP($H191,Adders!$B$5:$G$8,L$11,FALSE)  +  NJ!$D$2 ) * IF($D191="NJ",1.07,1))/$L$10, CHOOSE($M$10,$L$9,$M$9) )</f>
        <v xml:space="preserve"> 36.41 </v>
      </c>
      <c r="M191" s="178" t="str">
        <f>TEXT(   (SUMPRODUCT( ((LMPMain!$H$9:$H$1000)=$E191)*((LMPMain!$J$9:$J$1000)=$F191)*((LMPMain!$O$9:$O$1000)=$C191)*(LMPMain!S$9:S$1000) ) +  ( SUMPRODUCT( ((Adders!$D$13:$D$101)=$E191)*((Adders!$E$13:$E$101)=$F191)*(Adders!H$13:H$101)) + VLOOKUP($H191,Adders!$B$5:$G$8,M$11,FALSE)  +  NJ!$D$2 ) * IF($D191="NJ",1.07,1))/$L$10, CHOOSE($M$10,$L$9,$M$9) )</f>
        <v xml:space="preserve"> 36.58 </v>
      </c>
      <c r="N191" s="179" t="str">
        <f>TEXT(   (SUMPRODUCT( ((LMPMain!$H$9:$H$1000)=$E191)*((LMPMain!$J$9:$J$1000)=$F191)*((LMPMain!$O$9:$O$1000)=$C191)*(LMPMain!T$9:T$1000) ) +  ( SUMPRODUCT( ((Adders!$D$13:$D$101)=$E191)*((Adders!$E$13:$E$101)=$F191)*(Adders!I$13:I$101)) + VLOOKUP($H191,Adders!$B$5:$G$8,N$11,FALSE)  +  NJ!$D$2 ) * IF($D191="NJ",1.07,1))/$L$10, CHOOSE($M$10,$L$9,$M$9) )</f>
        <v xml:space="preserve"> 36.69 </v>
      </c>
      <c r="O191" s="112"/>
    </row>
    <row r="192" spans="2:15" x14ac:dyDescent="0.25">
      <c r="B192" s="108"/>
      <c r="C192" s="131">
        <f t="shared" si="5"/>
        <v>42491</v>
      </c>
      <c r="D192" s="132" t="s">
        <v>39</v>
      </c>
      <c r="E192" s="133" t="s">
        <v>44</v>
      </c>
      <c r="F192" s="132" t="s">
        <v>7</v>
      </c>
      <c r="G192" s="133" t="str">
        <f t="shared" si="6"/>
        <v>General Service</v>
      </c>
      <c r="H192" s="134" t="s">
        <v>62</v>
      </c>
      <c r="I192" s="173" t="str">
        <f>TEXT(   (SUMPRODUCT( ((Main!$H$9:$H$1000)=$E192)*((Main!$J$9:$J$1000)=$F192)*((Main!$O$9:$O$1000)=$C192)*(Main!R$9:R$1000) ) +  ( SUMPRODUCT( ((Adders!$D$13:$D$101)=$E192)*((Adders!$E$13:$E$101)=$F192)*(Adders!G$13:G$101)) + VLOOKUP($H192,Adders!$B$5:$G$8,L$11,FALSE)  +  MD!$D$2 ) * IF($D192="NJ",1.07,1))/$L$10, CHOOSE($M$10,$L$9,$M$9) )</f>
        <v xml:space="preserve"> 81.59 </v>
      </c>
      <c r="J192" s="173" t="str">
        <f>TEXT(   (SUMPRODUCT( ((Main!$H$9:$H$1000)=$E192)*((Main!$J$9:$J$1000)=$F192)*((Main!$O$9:$O$1000)=$C192)*(Main!S$9:S$1000) ) +  ( SUMPRODUCT( ((Adders!$D$13:$D$101)=$E192)*((Adders!$E$13:$E$101)=$F192)*(Adders!H$13:H$101)) + VLOOKUP($H192,Adders!$B$5:$G$8,M$11,FALSE)  +  MD!$D$2 ) * IF($D192="NJ",1.07,1))/$L$10, CHOOSE($M$10,$L$9,$M$9) )</f>
        <v xml:space="preserve"> 81.67 </v>
      </c>
      <c r="K192" s="174" t="str">
        <f>TEXT(   (SUMPRODUCT( ((Main!$H$9:$H$1000)=$E192)*((Main!$J$9:$J$1000)=$F192)*((Main!$O$9:$O$1000)=$C192)*(Main!T$9:T$1000) ) +  ( SUMPRODUCT( ((Adders!$D$13:$D$101)=$E192)*((Adders!$E$13:$E$101)=$F192)*(Adders!I$13:I$101)) + VLOOKUP($H192,Adders!$B$5:$G$8,$N$11,FALSE)  +  MD!$D$2 ) * IF($D192="NJ",1.07,1))/$L$10, CHOOSE($M$10,$L$9,$M$9) )</f>
        <v xml:space="preserve"> 82.38 </v>
      </c>
      <c r="L192" s="173" t="str">
        <f>TEXT(   (SUMPRODUCT( ((LMPMain!$H$9:$H$1000)=$E192)*((LMPMain!$J$9:$J$1000)=$F192)*((LMPMain!$O$9:$O$1000)=$C192)*(LMPMain!R$9:R$1000) ) +  ( SUMPRODUCT( ((Adders!$D$13:$D$101)=$E192)*((Adders!$E$13:$E$101)=$F192)*(Adders!G$13:G$101)) + VLOOKUP($H192,Adders!$B$5:$G$8,L$11,FALSE)  +  NJ!$D$2 ) * IF($D192="NJ",1.07,1))/$L$10, CHOOSE($M$10,$L$9,$M$9) )</f>
        <v xml:space="preserve"> 34.81 </v>
      </c>
      <c r="M192" s="173" t="str">
        <f>TEXT(   (SUMPRODUCT( ((LMPMain!$H$9:$H$1000)=$E192)*((LMPMain!$J$9:$J$1000)=$F192)*((LMPMain!$O$9:$O$1000)=$C192)*(LMPMain!S$9:S$1000) ) +  ( SUMPRODUCT( ((Adders!$D$13:$D$101)=$E192)*((Adders!$E$13:$E$101)=$F192)*(Adders!H$13:H$101)) + VLOOKUP($H192,Adders!$B$5:$G$8,M$11,FALSE)  +  NJ!$D$2 ) * IF($D192="NJ",1.07,1))/$L$10, CHOOSE($M$10,$L$9,$M$9) )</f>
        <v xml:space="preserve"> 34.98 </v>
      </c>
      <c r="N192" s="174" t="str">
        <f>TEXT(   (SUMPRODUCT( ((LMPMain!$H$9:$H$1000)=$E192)*((LMPMain!$J$9:$J$1000)=$F192)*((LMPMain!$O$9:$O$1000)=$C192)*(LMPMain!T$9:T$1000) ) +  ( SUMPRODUCT( ((Adders!$D$13:$D$101)=$E192)*((Adders!$E$13:$E$101)=$F192)*(Adders!I$13:I$101)) + VLOOKUP($H192,Adders!$B$5:$G$8,N$11,FALSE)  +  NJ!$D$2 ) * IF($D192="NJ",1.07,1))/$L$10, CHOOSE($M$10,$L$9,$M$9) )</f>
        <v xml:space="preserve"> 35.09 </v>
      </c>
      <c r="O192" s="112"/>
    </row>
    <row r="193" spans="2:15" x14ac:dyDescent="0.25">
      <c r="B193" s="108"/>
      <c r="C193" s="135">
        <f t="shared" si="5"/>
        <v>42491</v>
      </c>
      <c r="D193" s="136" t="s">
        <v>39</v>
      </c>
      <c r="E193" s="137" t="s">
        <v>44</v>
      </c>
      <c r="F193" s="136" t="s">
        <v>7</v>
      </c>
      <c r="G193" s="137" t="str">
        <f t="shared" si="6"/>
        <v>General Service</v>
      </c>
      <c r="H193" s="138" t="s">
        <v>690</v>
      </c>
      <c r="I193" s="176" t="str">
        <f>TEXT(   (SUMPRODUCT( ((Main!$H$9:$H$1000)=$E193)*((Main!$J$9:$J$1000)=$F193)*((Main!$O$9:$O$1000)=$C193)*(Main!R$9:R$1000) ) +  ( SUMPRODUCT( ((Adders!$D$13:$D$101)=$E193)*((Adders!$E$13:$E$101)=$F193)*(Adders!G$13:G$101)) + VLOOKUP($H193,Adders!$B$5:$G$8,L$11,FALSE)  +  MD!$D$2 ) * IF($D193="NJ",1.07,1))/$L$10, CHOOSE($M$10,$L$9,$M$9) )</f>
        <v xml:space="preserve"> 80.54 </v>
      </c>
      <c r="J193" s="176" t="str">
        <f>TEXT(   (SUMPRODUCT( ((Main!$H$9:$H$1000)=$E193)*((Main!$J$9:$J$1000)=$F193)*((Main!$O$9:$O$1000)=$C193)*(Main!S$9:S$1000) ) +  ( SUMPRODUCT( ((Adders!$D$13:$D$101)=$E193)*((Adders!$E$13:$E$101)=$F193)*(Adders!H$13:H$101)) + VLOOKUP($H193,Adders!$B$5:$G$8,M$11,FALSE)  +  MD!$D$2 ) * IF($D193="NJ",1.07,1))/$L$10, CHOOSE($M$10,$L$9,$M$9) )</f>
        <v xml:space="preserve"> 80.62 </v>
      </c>
      <c r="K193" s="177" t="str">
        <f>TEXT(   (SUMPRODUCT( ((Main!$H$9:$H$1000)=$E193)*((Main!$J$9:$J$1000)=$F193)*((Main!$O$9:$O$1000)=$C193)*(Main!T$9:T$1000) ) +  ( SUMPRODUCT( ((Adders!$D$13:$D$101)=$E193)*((Adders!$E$13:$E$101)=$F193)*(Adders!I$13:I$101)) + VLOOKUP($H193,Adders!$B$5:$G$8,$N$11,FALSE)  +  MD!$D$2 ) * IF($D193="NJ",1.07,1))/$L$10, CHOOSE($M$10,$L$9,$M$9) )</f>
        <v xml:space="preserve"> 81.33 </v>
      </c>
      <c r="L193" s="176" t="str">
        <f>TEXT(   (SUMPRODUCT( ((LMPMain!$H$9:$H$1000)=$E193)*((LMPMain!$J$9:$J$1000)=$F193)*((LMPMain!$O$9:$O$1000)=$C193)*(LMPMain!R$9:R$1000) ) +  ( SUMPRODUCT( ((Adders!$D$13:$D$101)=$E193)*((Adders!$E$13:$E$101)=$F193)*(Adders!G$13:G$101)) + VLOOKUP($H193,Adders!$B$5:$G$8,L$11,FALSE)  +  NJ!$D$2 ) * IF($D193="NJ",1.07,1))/$L$10, CHOOSE($M$10,$L$9,$M$9) )</f>
        <v xml:space="preserve"> 33.76 </v>
      </c>
      <c r="M193" s="176" t="str">
        <f>TEXT(   (SUMPRODUCT( ((LMPMain!$H$9:$H$1000)=$E193)*((LMPMain!$J$9:$J$1000)=$F193)*((LMPMain!$O$9:$O$1000)=$C193)*(LMPMain!S$9:S$1000) ) +  ( SUMPRODUCT( ((Adders!$D$13:$D$101)=$E193)*((Adders!$E$13:$E$101)=$F193)*(Adders!H$13:H$101)) + VLOOKUP($H193,Adders!$B$5:$G$8,M$11,FALSE)  +  NJ!$D$2 ) * IF($D193="NJ",1.07,1))/$L$10, CHOOSE($M$10,$L$9,$M$9) )</f>
        <v xml:space="preserve"> 33.93 </v>
      </c>
      <c r="N193" s="177" t="str">
        <f>TEXT(   (SUMPRODUCT( ((LMPMain!$H$9:$H$1000)=$E193)*((LMPMain!$J$9:$J$1000)=$F193)*((LMPMain!$O$9:$O$1000)=$C193)*(LMPMain!T$9:T$1000) ) +  ( SUMPRODUCT( ((Adders!$D$13:$D$101)=$E193)*((Adders!$E$13:$E$101)=$F193)*(Adders!I$13:I$101)) + VLOOKUP($H193,Adders!$B$5:$G$8,N$11,FALSE)  +  NJ!$D$2 ) * IF($D193="NJ",1.07,1))/$L$10, CHOOSE($M$10,$L$9,$M$9) )</f>
        <v xml:space="preserve"> 34.04 </v>
      </c>
      <c r="O193" s="112"/>
    </row>
    <row r="194" spans="2:15" x14ac:dyDescent="0.25">
      <c r="B194" s="108"/>
      <c r="C194" s="127">
        <f t="shared" si="5"/>
        <v>42156</v>
      </c>
      <c r="D194" s="128" t="s">
        <v>39</v>
      </c>
      <c r="E194" s="129" t="s">
        <v>44</v>
      </c>
      <c r="F194" s="128" t="s">
        <v>45</v>
      </c>
      <c r="G194" s="129" t="str">
        <f>VLOOKUP(SUMPRODUCT( ((LMPMain!$H$9:$H$1000)=$E194)*((LMPMain!$J$9:$J$1000)=$F194)*((LMPMain!$O$9:$O$1000)=$C194)*(LMPMain!A$9:A$1000)),LMPMain!$A$9:$K$1000,11,FALSE)</f>
        <v>Time Metered Gen Service</v>
      </c>
      <c r="H194" s="130" t="s">
        <v>61</v>
      </c>
      <c r="I194" s="178" t="str">
        <f>TEXT(   (SUMPRODUCT( ((Main!$H$9:$H$1000)=$E194)*((Main!$J$9:$J$1000)=$F194)*((Main!$O$9:$O$1000)=$C194)*(Main!R$9:R$1000) ) +  ( SUMPRODUCT( ((Adders!$D$13:$D$101)=$E194)*((Adders!$E$13:$E$101)=$F194)*(Adders!G$13:G$101)) + VLOOKUP($H194,Adders!$B$5:$G$8,L$11,FALSE)  +  MD!$D$2 ) * IF($D194="NJ",1.07,1))/$L$10, CHOOSE($M$10,$L$9,$M$9) )</f>
        <v xml:space="preserve"> 84.60 </v>
      </c>
      <c r="J194" s="178" t="str">
        <f>TEXT(   (SUMPRODUCT( ((Main!$H$9:$H$1000)=$E194)*((Main!$J$9:$J$1000)=$F194)*((Main!$O$9:$O$1000)=$C194)*(Main!S$9:S$1000) ) +  ( SUMPRODUCT( ((Adders!$D$13:$D$101)=$E194)*((Adders!$E$13:$E$101)=$F194)*(Adders!H$13:H$101)) + VLOOKUP($H194,Adders!$B$5:$G$8,M$11,FALSE)  +  MD!$D$2 ) * IF($D194="NJ",1.07,1))/$L$10, CHOOSE($M$10,$L$9,$M$9) )</f>
        <v xml:space="preserve"> 82.26 </v>
      </c>
      <c r="K194" s="179" t="str">
        <f>TEXT(   (SUMPRODUCT( ((Main!$H$9:$H$1000)=$E194)*((Main!$J$9:$J$1000)=$F194)*((Main!$O$9:$O$1000)=$C194)*(Main!T$9:T$1000) ) +  ( SUMPRODUCT( ((Adders!$D$13:$D$101)=$E194)*((Adders!$E$13:$E$101)=$F194)*(Adders!I$13:I$101)) + VLOOKUP($H194,Adders!$B$5:$G$8,$N$11,FALSE)  +  MD!$D$2 ) * IF($D194="NJ",1.07,1))/$L$10, CHOOSE($M$10,$L$9,$M$9) )</f>
        <v xml:space="preserve"> 82.68 </v>
      </c>
      <c r="L194" s="178" t="str">
        <f>TEXT(   (SUMPRODUCT( ((LMPMain!$H$9:$H$1000)=$E194)*((LMPMain!$J$9:$J$1000)=$F194)*((LMPMain!$O$9:$O$1000)=$C194)*(LMPMain!R$9:R$1000) ) +  ( SUMPRODUCT( ((Adders!$D$13:$D$101)=$E194)*((Adders!$E$13:$E$101)=$F194)*(Adders!G$13:G$101)) + VLOOKUP($H194,Adders!$B$5:$G$8,L$11,FALSE)  +  NJ!$D$2 ) * IF($D194="NJ",1.07,1))/$L$10, CHOOSE($M$10,$L$9,$M$9) )</f>
        <v xml:space="preserve"> 38.56 </v>
      </c>
      <c r="M194" s="178" t="str">
        <f>TEXT(   (SUMPRODUCT( ((LMPMain!$H$9:$H$1000)=$E194)*((LMPMain!$J$9:$J$1000)=$F194)*((LMPMain!$O$9:$O$1000)=$C194)*(LMPMain!S$9:S$1000) ) +  ( SUMPRODUCT( ((Adders!$D$13:$D$101)=$E194)*((Adders!$E$13:$E$101)=$F194)*(Adders!H$13:H$101)) + VLOOKUP($H194,Adders!$B$5:$G$8,M$11,FALSE)  +  NJ!$D$2 ) * IF($D194="NJ",1.07,1))/$L$10, CHOOSE($M$10,$L$9,$M$9) )</f>
        <v xml:space="preserve"> 37.01 </v>
      </c>
      <c r="N194" s="179" t="str">
        <f>TEXT(   (SUMPRODUCT( ((LMPMain!$H$9:$H$1000)=$E194)*((LMPMain!$J$9:$J$1000)=$F194)*((LMPMain!$O$9:$O$1000)=$C194)*(LMPMain!T$9:T$1000) ) +  ( SUMPRODUCT( ((Adders!$D$13:$D$101)=$E194)*((Adders!$E$13:$E$101)=$F194)*(Adders!I$13:I$101)) + VLOOKUP($H194,Adders!$B$5:$G$8,N$11,FALSE)  +  NJ!$D$2 ) * IF($D194="NJ",1.07,1))/$L$10, CHOOSE($M$10,$L$9,$M$9) )</f>
        <v xml:space="preserve"> 36.75 </v>
      </c>
      <c r="O194" s="112"/>
    </row>
    <row r="195" spans="2:15" x14ac:dyDescent="0.25">
      <c r="B195" s="108"/>
      <c r="C195" s="131">
        <f t="shared" si="5"/>
        <v>42156</v>
      </c>
      <c r="D195" s="132" t="s">
        <v>39</v>
      </c>
      <c r="E195" s="133" t="s">
        <v>44</v>
      </c>
      <c r="F195" s="132" t="s">
        <v>45</v>
      </c>
      <c r="G195" s="133" t="str">
        <f>G194</f>
        <v>Time Metered Gen Service</v>
      </c>
      <c r="H195" s="134" t="s">
        <v>62</v>
      </c>
      <c r="I195" s="173" t="str">
        <f>TEXT(   (SUMPRODUCT( ((Main!$H$9:$H$1000)=$E195)*((Main!$J$9:$J$1000)=$F195)*((Main!$O$9:$O$1000)=$C195)*(Main!R$9:R$1000) ) +  ( SUMPRODUCT( ((Adders!$D$13:$D$101)=$E195)*((Adders!$E$13:$E$101)=$F195)*(Adders!G$13:G$101)) + VLOOKUP($H195,Adders!$B$5:$G$8,L$11,FALSE)  +  MD!$D$2 ) * IF($D195="NJ",1.07,1))/$L$10, CHOOSE($M$10,$L$9,$M$9) )</f>
        <v xml:space="preserve"> 83.00 </v>
      </c>
      <c r="J195" s="173" t="str">
        <f>TEXT(   (SUMPRODUCT( ((Main!$H$9:$H$1000)=$E195)*((Main!$J$9:$J$1000)=$F195)*((Main!$O$9:$O$1000)=$C195)*(Main!S$9:S$1000) ) +  ( SUMPRODUCT( ((Adders!$D$13:$D$101)=$E195)*((Adders!$E$13:$E$101)=$F195)*(Adders!H$13:H$101)) + VLOOKUP($H195,Adders!$B$5:$G$8,M$11,FALSE)  +  MD!$D$2 ) * IF($D195="NJ",1.07,1))/$L$10, CHOOSE($M$10,$L$9,$M$9) )</f>
        <v xml:space="preserve"> 80.66 </v>
      </c>
      <c r="K195" s="174" t="str">
        <f>TEXT(   (SUMPRODUCT( ((Main!$H$9:$H$1000)=$E195)*((Main!$J$9:$J$1000)=$F195)*((Main!$O$9:$O$1000)=$C195)*(Main!T$9:T$1000) ) +  ( SUMPRODUCT( ((Adders!$D$13:$D$101)=$E195)*((Adders!$E$13:$E$101)=$F195)*(Adders!I$13:I$101)) + VLOOKUP($H195,Adders!$B$5:$G$8,$N$11,FALSE)  +  MD!$D$2 ) * IF($D195="NJ",1.07,1))/$L$10, CHOOSE($M$10,$L$9,$M$9) )</f>
        <v xml:space="preserve"> 81.08 </v>
      </c>
      <c r="L195" s="173" t="str">
        <f>TEXT(   (SUMPRODUCT( ((LMPMain!$H$9:$H$1000)=$E195)*((LMPMain!$J$9:$J$1000)=$F195)*((LMPMain!$O$9:$O$1000)=$C195)*(LMPMain!R$9:R$1000) ) +  ( SUMPRODUCT( ((Adders!$D$13:$D$101)=$E195)*((Adders!$E$13:$E$101)=$F195)*(Adders!G$13:G$101)) + VLOOKUP($H195,Adders!$B$5:$G$8,L$11,FALSE)  +  NJ!$D$2 ) * IF($D195="NJ",1.07,1))/$L$10, CHOOSE($M$10,$L$9,$M$9) )</f>
        <v xml:space="preserve"> 36.96 </v>
      </c>
      <c r="M195" s="173" t="str">
        <f>TEXT(   (SUMPRODUCT( ((LMPMain!$H$9:$H$1000)=$E195)*((LMPMain!$J$9:$J$1000)=$F195)*((LMPMain!$O$9:$O$1000)=$C195)*(LMPMain!S$9:S$1000) ) +  ( SUMPRODUCT( ((Adders!$D$13:$D$101)=$E195)*((Adders!$E$13:$E$101)=$F195)*(Adders!H$13:H$101)) + VLOOKUP($H195,Adders!$B$5:$G$8,M$11,FALSE)  +  NJ!$D$2 ) * IF($D195="NJ",1.07,1))/$L$10, CHOOSE($M$10,$L$9,$M$9) )</f>
        <v xml:space="preserve"> 35.41 </v>
      </c>
      <c r="N195" s="174" t="str">
        <f>TEXT(   (SUMPRODUCT( ((LMPMain!$H$9:$H$1000)=$E195)*((LMPMain!$J$9:$J$1000)=$F195)*((LMPMain!$O$9:$O$1000)=$C195)*(LMPMain!T$9:T$1000) ) +  ( SUMPRODUCT( ((Adders!$D$13:$D$101)=$E195)*((Adders!$E$13:$E$101)=$F195)*(Adders!I$13:I$101)) + VLOOKUP($H195,Adders!$B$5:$G$8,N$11,FALSE)  +  NJ!$D$2 ) * IF($D195="NJ",1.07,1))/$L$10, CHOOSE($M$10,$L$9,$M$9) )</f>
        <v xml:space="preserve"> 35.15 </v>
      </c>
      <c r="O195" s="112"/>
    </row>
    <row r="196" spans="2:15" x14ac:dyDescent="0.25">
      <c r="B196" s="108"/>
      <c r="C196" s="135">
        <f t="shared" si="5"/>
        <v>42156</v>
      </c>
      <c r="D196" s="136" t="s">
        <v>39</v>
      </c>
      <c r="E196" s="137" t="s">
        <v>44</v>
      </c>
      <c r="F196" s="136" t="s">
        <v>45</v>
      </c>
      <c r="G196" s="137" t="str">
        <f>G195</f>
        <v>Time Metered Gen Service</v>
      </c>
      <c r="H196" s="138" t="s">
        <v>690</v>
      </c>
      <c r="I196" s="176" t="str">
        <f>TEXT(   (SUMPRODUCT( ((Main!$H$9:$H$1000)=$E196)*((Main!$J$9:$J$1000)=$F196)*((Main!$O$9:$O$1000)=$C196)*(Main!R$9:R$1000) ) +  ( SUMPRODUCT( ((Adders!$D$13:$D$101)=$E196)*((Adders!$E$13:$E$101)=$F196)*(Adders!G$13:G$101)) + VLOOKUP($H196,Adders!$B$5:$G$8,L$11,FALSE)  +  MD!$D$2 ) * IF($D196="NJ",1.07,1))/$L$10, CHOOSE($M$10,$L$9,$M$9) )</f>
        <v xml:space="preserve"> 81.95 </v>
      </c>
      <c r="J196" s="176" t="str">
        <f>TEXT(   (SUMPRODUCT( ((Main!$H$9:$H$1000)=$E196)*((Main!$J$9:$J$1000)=$F196)*((Main!$O$9:$O$1000)=$C196)*(Main!S$9:S$1000) ) +  ( SUMPRODUCT( ((Adders!$D$13:$D$101)=$E196)*((Adders!$E$13:$E$101)=$F196)*(Adders!H$13:H$101)) + VLOOKUP($H196,Adders!$B$5:$G$8,M$11,FALSE)  +  MD!$D$2 ) * IF($D196="NJ",1.07,1))/$L$10, CHOOSE($M$10,$L$9,$M$9) )</f>
        <v xml:space="preserve"> 79.61 </v>
      </c>
      <c r="K196" s="177" t="str">
        <f>TEXT(   (SUMPRODUCT( ((Main!$H$9:$H$1000)=$E196)*((Main!$J$9:$J$1000)=$F196)*((Main!$O$9:$O$1000)=$C196)*(Main!T$9:T$1000) ) +  ( SUMPRODUCT( ((Adders!$D$13:$D$101)=$E196)*((Adders!$E$13:$E$101)=$F196)*(Adders!I$13:I$101)) + VLOOKUP($H196,Adders!$B$5:$G$8,$N$11,FALSE)  +  MD!$D$2 ) * IF($D196="NJ",1.07,1))/$L$10, CHOOSE($M$10,$L$9,$M$9) )</f>
        <v xml:space="preserve"> 80.03 </v>
      </c>
      <c r="L196" s="176" t="str">
        <f>TEXT(   (SUMPRODUCT( ((LMPMain!$H$9:$H$1000)=$E196)*((LMPMain!$J$9:$J$1000)=$F196)*((LMPMain!$O$9:$O$1000)=$C196)*(LMPMain!R$9:R$1000) ) +  ( SUMPRODUCT( ((Adders!$D$13:$D$101)=$E196)*((Adders!$E$13:$E$101)=$F196)*(Adders!G$13:G$101)) + VLOOKUP($H196,Adders!$B$5:$G$8,L$11,FALSE)  +  NJ!$D$2 ) * IF($D196="NJ",1.07,1))/$L$10, CHOOSE($M$10,$L$9,$M$9) )</f>
        <v xml:space="preserve"> 35.91 </v>
      </c>
      <c r="M196" s="176" t="str">
        <f>TEXT(   (SUMPRODUCT( ((LMPMain!$H$9:$H$1000)=$E196)*((LMPMain!$J$9:$J$1000)=$F196)*((LMPMain!$O$9:$O$1000)=$C196)*(LMPMain!S$9:S$1000) ) +  ( SUMPRODUCT( ((Adders!$D$13:$D$101)=$E196)*((Adders!$E$13:$E$101)=$F196)*(Adders!H$13:H$101)) + VLOOKUP($H196,Adders!$B$5:$G$8,M$11,FALSE)  +  NJ!$D$2 ) * IF($D196="NJ",1.07,1))/$L$10, CHOOSE($M$10,$L$9,$M$9) )</f>
        <v xml:space="preserve"> 34.36 </v>
      </c>
      <c r="N196" s="177" t="str">
        <f>TEXT(   (SUMPRODUCT( ((LMPMain!$H$9:$H$1000)=$E196)*((LMPMain!$J$9:$J$1000)=$F196)*((LMPMain!$O$9:$O$1000)=$C196)*(LMPMain!T$9:T$1000) ) +  ( SUMPRODUCT( ((Adders!$D$13:$D$101)=$E196)*((Adders!$E$13:$E$101)=$F196)*(Adders!I$13:I$101)) + VLOOKUP($H196,Adders!$B$5:$G$8,N$11,FALSE)  +  NJ!$D$2 ) * IF($D196="NJ",1.07,1))/$L$10, CHOOSE($M$10,$L$9,$M$9) )</f>
        <v xml:space="preserve"> 34.10 </v>
      </c>
      <c r="O196" s="112"/>
    </row>
    <row r="197" spans="2:15" x14ac:dyDescent="0.25">
      <c r="B197" s="108"/>
      <c r="C197" s="127">
        <f t="shared" si="5"/>
        <v>42186</v>
      </c>
      <c r="D197" s="128" t="s">
        <v>39</v>
      </c>
      <c r="E197" s="129" t="s">
        <v>44</v>
      </c>
      <c r="F197" s="128" t="s">
        <v>45</v>
      </c>
      <c r="G197" s="129" t="str">
        <f t="shared" si="6"/>
        <v>Time Metered Gen Service</v>
      </c>
      <c r="H197" s="130" t="s">
        <v>61</v>
      </c>
      <c r="I197" s="178" t="str">
        <f>TEXT(   (SUMPRODUCT( ((Main!$H$9:$H$1000)=$E197)*((Main!$J$9:$J$1000)=$F197)*((Main!$O$9:$O$1000)=$C197)*(Main!R$9:R$1000) ) +  ( SUMPRODUCT( ((Adders!$D$13:$D$101)=$E197)*((Adders!$E$13:$E$101)=$F197)*(Adders!G$13:G$101)) + VLOOKUP($H197,Adders!$B$5:$G$8,L$11,FALSE)  +  MD!$D$2 ) * IF($D197="NJ",1.07,1))/$L$10, CHOOSE($M$10,$L$9,$M$9) )</f>
        <v xml:space="preserve"> 84.44 </v>
      </c>
      <c r="J197" s="178" t="str">
        <f>TEXT(   (SUMPRODUCT( ((Main!$H$9:$H$1000)=$E197)*((Main!$J$9:$J$1000)=$F197)*((Main!$O$9:$O$1000)=$C197)*(Main!S$9:S$1000) ) +  ( SUMPRODUCT( ((Adders!$D$13:$D$101)=$E197)*((Adders!$E$13:$E$101)=$F197)*(Adders!H$13:H$101)) + VLOOKUP($H197,Adders!$B$5:$G$8,M$11,FALSE)  +  MD!$D$2 ) * IF($D197="NJ",1.07,1))/$L$10, CHOOSE($M$10,$L$9,$M$9) )</f>
        <v xml:space="preserve"> 82.06 </v>
      </c>
      <c r="K197" s="179" t="str">
        <f>TEXT(   (SUMPRODUCT( ((Main!$H$9:$H$1000)=$E197)*((Main!$J$9:$J$1000)=$F197)*((Main!$O$9:$O$1000)=$C197)*(Main!T$9:T$1000) ) +  ( SUMPRODUCT( ((Adders!$D$13:$D$101)=$E197)*((Adders!$E$13:$E$101)=$F197)*(Adders!I$13:I$101)) + VLOOKUP($H197,Adders!$B$5:$G$8,$N$11,FALSE)  +  MD!$D$2 ) * IF($D197="NJ",1.07,1))/$L$10, CHOOSE($M$10,$L$9,$M$9) )</f>
        <v xml:space="preserve"> 82.60 </v>
      </c>
      <c r="L197" s="178" t="str">
        <f>TEXT(   (SUMPRODUCT( ((LMPMain!$H$9:$H$1000)=$E197)*((LMPMain!$J$9:$J$1000)=$F197)*((LMPMain!$O$9:$O$1000)=$C197)*(LMPMain!R$9:R$1000) ) +  ( SUMPRODUCT( ((Adders!$D$13:$D$101)=$E197)*((Adders!$E$13:$E$101)=$F197)*(Adders!G$13:G$101)) + VLOOKUP($H197,Adders!$B$5:$G$8,L$11,FALSE)  +  NJ!$D$2 ) * IF($D197="NJ",1.07,1))/$L$10, CHOOSE($M$10,$L$9,$M$9) )</f>
        <v xml:space="preserve"> 38.27 </v>
      </c>
      <c r="M197" s="178" t="str">
        <f>TEXT(   (SUMPRODUCT( ((LMPMain!$H$9:$H$1000)=$E197)*((LMPMain!$J$9:$J$1000)=$F197)*((LMPMain!$O$9:$O$1000)=$C197)*(LMPMain!S$9:S$1000) ) +  ( SUMPRODUCT( ((Adders!$D$13:$D$101)=$E197)*((Adders!$E$13:$E$101)=$F197)*(Adders!H$13:H$101)) + VLOOKUP($H197,Adders!$B$5:$G$8,M$11,FALSE)  +  NJ!$D$2 ) * IF($D197="NJ",1.07,1))/$L$10, CHOOSE($M$10,$L$9,$M$9) )</f>
        <v xml:space="preserve"> 36.92 </v>
      </c>
      <c r="N197" s="179" t="str">
        <f>TEXT(   (SUMPRODUCT( ((LMPMain!$H$9:$H$1000)=$E197)*((LMPMain!$J$9:$J$1000)=$F197)*((LMPMain!$O$9:$O$1000)=$C197)*(LMPMain!T$9:T$1000) ) +  ( SUMPRODUCT( ((Adders!$D$13:$D$101)=$E197)*((Adders!$E$13:$E$101)=$F197)*(Adders!I$13:I$101)) + VLOOKUP($H197,Adders!$B$5:$G$8,N$11,FALSE)  +  NJ!$D$2 ) * IF($D197="NJ",1.07,1))/$L$10, CHOOSE($M$10,$L$9,$M$9) )</f>
        <v xml:space="preserve"> 36.63 </v>
      </c>
      <c r="O197" s="112"/>
    </row>
    <row r="198" spans="2:15" x14ac:dyDescent="0.25">
      <c r="B198" s="108"/>
      <c r="C198" s="131">
        <f t="shared" si="5"/>
        <v>42186</v>
      </c>
      <c r="D198" s="132" t="s">
        <v>39</v>
      </c>
      <c r="E198" s="133" t="s">
        <v>44</v>
      </c>
      <c r="F198" s="132" t="s">
        <v>45</v>
      </c>
      <c r="G198" s="133" t="str">
        <f t="shared" si="6"/>
        <v>Time Metered Gen Service</v>
      </c>
      <c r="H198" s="134" t="s">
        <v>62</v>
      </c>
      <c r="I198" s="173" t="str">
        <f>TEXT(   (SUMPRODUCT( ((Main!$H$9:$H$1000)=$E198)*((Main!$J$9:$J$1000)=$F198)*((Main!$O$9:$O$1000)=$C198)*(Main!R$9:R$1000) ) +  ( SUMPRODUCT( ((Adders!$D$13:$D$101)=$E198)*((Adders!$E$13:$E$101)=$F198)*(Adders!G$13:G$101)) + VLOOKUP($H198,Adders!$B$5:$G$8,L$11,FALSE)  +  MD!$D$2 ) * IF($D198="NJ",1.07,1))/$L$10, CHOOSE($M$10,$L$9,$M$9) )</f>
        <v xml:space="preserve"> 82.84 </v>
      </c>
      <c r="J198" s="173" t="str">
        <f>TEXT(   (SUMPRODUCT( ((Main!$H$9:$H$1000)=$E198)*((Main!$J$9:$J$1000)=$F198)*((Main!$O$9:$O$1000)=$C198)*(Main!S$9:S$1000) ) +  ( SUMPRODUCT( ((Adders!$D$13:$D$101)=$E198)*((Adders!$E$13:$E$101)=$F198)*(Adders!H$13:H$101)) + VLOOKUP($H198,Adders!$B$5:$G$8,M$11,FALSE)  +  MD!$D$2 ) * IF($D198="NJ",1.07,1))/$L$10, CHOOSE($M$10,$L$9,$M$9) )</f>
        <v xml:space="preserve"> 80.46 </v>
      </c>
      <c r="K198" s="174" t="str">
        <f>TEXT(   (SUMPRODUCT( ((Main!$H$9:$H$1000)=$E198)*((Main!$J$9:$J$1000)=$F198)*((Main!$O$9:$O$1000)=$C198)*(Main!T$9:T$1000) ) +  ( SUMPRODUCT( ((Adders!$D$13:$D$101)=$E198)*((Adders!$E$13:$E$101)=$F198)*(Adders!I$13:I$101)) + VLOOKUP($H198,Adders!$B$5:$G$8,$N$11,FALSE)  +  MD!$D$2 ) * IF($D198="NJ",1.07,1))/$L$10, CHOOSE($M$10,$L$9,$M$9) )</f>
        <v xml:space="preserve"> 81.00 </v>
      </c>
      <c r="L198" s="173" t="str">
        <f>TEXT(   (SUMPRODUCT( ((LMPMain!$H$9:$H$1000)=$E198)*((LMPMain!$J$9:$J$1000)=$F198)*((LMPMain!$O$9:$O$1000)=$C198)*(LMPMain!R$9:R$1000) ) +  ( SUMPRODUCT( ((Adders!$D$13:$D$101)=$E198)*((Adders!$E$13:$E$101)=$F198)*(Adders!G$13:G$101)) + VLOOKUP($H198,Adders!$B$5:$G$8,L$11,FALSE)  +  NJ!$D$2 ) * IF($D198="NJ",1.07,1))/$L$10, CHOOSE($M$10,$L$9,$M$9) )</f>
        <v xml:space="preserve"> 36.67 </v>
      </c>
      <c r="M198" s="173" t="str">
        <f>TEXT(   (SUMPRODUCT( ((LMPMain!$H$9:$H$1000)=$E198)*((LMPMain!$J$9:$J$1000)=$F198)*((LMPMain!$O$9:$O$1000)=$C198)*(LMPMain!S$9:S$1000) ) +  ( SUMPRODUCT( ((Adders!$D$13:$D$101)=$E198)*((Adders!$E$13:$E$101)=$F198)*(Adders!H$13:H$101)) + VLOOKUP($H198,Adders!$B$5:$G$8,M$11,FALSE)  +  NJ!$D$2 ) * IF($D198="NJ",1.07,1))/$L$10, CHOOSE($M$10,$L$9,$M$9) )</f>
        <v xml:space="preserve"> 35.32 </v>
      </c>
      <c r="N198" s="174" t="str">
        <f>TEXT(   (SUMPRODUCT( ((LMPMain!$H$9:$H$1000)=$E198)*((LMPMain!$J$9:$J$1000)=$F198)*((LMPMain!$O$9:$O$1000)=$C198)*(LMPMain!T$9:T$1000) ) +  ( SUMPRODUCT( ((Adders!$D$13:$D$101)=$E198)*((Adders!$E$13:$E$101)=$F198)*(Adders!I$13:I$101)) + VLOOKUP($H198,Adders!$B$5:$G$8,N$11,FALSE)  +  NJ!$D$2 ) * IF($D198="NJ",1.07,1))/$L$10, CHOOSE($M$10,$L$9,$M$9) )</f>
        <v xml:space="preserve"> 35.03 </v>
      </c>
      <c r="O198" s="112"/>
    </row>
    <row r="199" spans="2:15" x14ac:dyDescent="0.25">
      <c r="B199" s="108"/>
      <c r="C199" s="135">
        <f t="shared" si="5"/>
        <v>42186</v>
      </c>
      <c r="D199" s="136" t="s">
        <v>39</v>
      </c>
      <c r="E199" s="137" t="s">
        <v>44</v>
      </c>
      <c r="F199" s="136" t="s">
        <v>45</v>
      </c>
      <c r="G199" s="137" t="str">
        <f t="shared" si="6"/>
        <v>Time Metered Gen Service</v>
      </c>
      <c r="H199" s="138" t="s">
        <v>690</v>
      </c>
      <c r="I199" s="176" t="str">
        <f>TEXT(   (SUMPRODUCT( ((Main!$H$9:$H$1000)=$E199)*((Main!$J$9:$J$1000)=$F199)*((Main!$O$9:$O$1000)=$C199)*(Main!R$9:R$1000) ) +  ( SUMPRODUCT( ((Adders!$D$13:$D$101)=$E199)*((Adders!$E$13:$E$101)=$F199)*(Adders!G$13:G$101)) + VLOOKUP($H199,Adders!$B$5:$G$8,L$11,FALSE)  +  MD!$D$2 ) * IF($D199="NJ",1.07,1))/$L$10, CHOOSE($M$10,$L$9,$M$9) )</f>
        <v xml:space="preserve"> 81.79 </v>
      </c>
      <c r="J199" s="176" t="str">
        <f>TEXT(   (SUMPRODUCT( ((Main!$H$9:$H$1000)=$E199)*((Main!$J$9:$J$1000)=$F199)*((Main!$O$9:$O$1000)=$C199)*(Main!S$9:S$1000) ) +  ( SUMPRODUCT( ((Adders!$D$13:$D$101)=$E199)*((Adders!$E$13:$E$101)=$F199)*(Adders!H$13:H$101)) + VLOOKUP($H199,Adders!$B$5:$G$8,M$11,FALSE)  +  MD!$D$2 ) * IF($D199="NJ",1.07,1))/$L$10, CHOOSE($M$10,$L$9,$M$9) )</f>
        <v xml:space="preserve"> 79.41 </v>
      </c>
      <c r="K199" s="177" t="str">
        <f>TEXT(   (SUMPRODUCT( ((Main!$H$9:$H$1000)=$E199)*((Main!$J$9:$J$1000)=$F199)*((Main!$O$9:$O$1000)=$C199)*(Main!T$9:T$1000) ) +  ( SUMPRODUCT( ((Adders!$D$13:$D$101)=$E199)*((Adders!$E$13:$E$101)=$F199)*(Adders!I$13:I$101)) + VLOOKUP($H199,Adders!$B$5:$G$8,$N$11,FALSE)  +  MD!$D$2 ) * IF($D199="NJ",1.07,1))/$L$10, CHOOSE($M$10,$L$9,$M$9) )</f>
        <v xml:space="preserve"> 79.95 </v>
      </c>
      <c r="L199" s="176" t="str">
        <f>TEXT(   (SUMPRODUCT( ((LMPMain!$H$9:$H$1000)=$E199)*((LMPMain!$J$9:$J$1000)=$F199)*((LMPMain!$O$9:$O$1000)=$C199)*(LMPMain!R$9:R$1000) ) +  ( SUMPRODUCT( ((Adders!$D$13:$D$101)=$E199)*((Adders!$E$13:$E$101)=$F199)*(Adders!G$13:G$101)) + VLOOKUP($H199,Adders!$B$5:$G$8,L$11,FALSE)  +  NJ!$D$2 ) * IF($D199="NJ",1.07,1))/$L$10, CHOOSE($M$10,$L$9,$M$9) )</f>
        <v xml:space="preserve"> 35.62 </v>
      </c>
      <c r="M199" s="176" t="str">
        <f>TEXT(   (SUMPRODUCT( ((LMPMain!$H$9:$H$1000)=$E199)*((LMPMain!$J$9:$J$1000)=$F199)*((LMPMain!$O$9:$O$1000)=$C199)*(LMPMain!S$9:S$1000) ) +  ( SUMPRODUCT( ((Adders!$D$13:$D$101)=$E199)*((Adders!$E$13:$E$101)=$F199)*(Adders!H$13:H$101)) + VLOOKUP($H199,Adders!$B$5:$G$8,M$11,FALSE)  +  NJ!$D$2 ) * IF($D199="NJ",1.07,1))/$L$10, CHOOSE($M$10,$L$9,$M$9) )</f>
        <v xml:space="preserve"> 34.27 </v>
      </c>
      <c r="N199" s="177" t="str">
        <f>TEXT(   (SUMPRODUCT( ((LMPMain!$H$9:$H$1000)=$E199)*((LMPMain!$J$9:$J$1000)=$F199)*((LMPMain!$O$9:$O$1000)=$C199)*(LMPMain!T$9:T$1000) ) +  ( SUMPRODUCT( ((Adders!$D$13:$D$101)=$E199)*((Adders!$E$13:$E$101)=$F199)*(Adders!I$13:I$101)) + VLOOKUP($H199,Adders!$B$5:$G$8,N$11,FALSE)  +  NJ!$D$2 ) * IF($D199="NJ",1.07,1))/$L$10, CHOOSE($M$10,$L$9,$M$9) )</f>
        <v xml:space="preserve"> 33.98 </v>
      </c>
      <c r="O199" s="112"/>
    </row>
    <row r="200" spans="2:15" x14ac:dyDescent="0.25">
      <c r="B200" s="108"/>
      <c r="C200" s="127">
        <f t="shared" si="5"/>
        <v>42217</v>
      </c>
      <c r="D200" s="128" t="s">
        <v>39</v>
      </c>
      <c r="E200" s="129" t="s">
        <v>44</v>
      </c>
      <c r="F200" s="128" t="s">
        <v>45</v>
      </c>
      <c r="G200" s="129" t="str">
        <f t="shared" si="6"/>
        <v>Time Metered Gen Service</v>
      </c>
      <c r="H200" s="130" t="s">
        <v>61</v>
      </c>
      <c r="I200" s="178" t="str">
        <f>TEXT(   (SUMPRODUCT( ((Main!$H$9:$H$1000)=$E200)*((Main!$J$9:$J$1000)=$F200)*((Main!$O$9:$O$1000)=$C200)*(Main!R$9:R$1000) ) +  ( SUMPRODUCT( ((Adders!$D$13:$D$101)=$E200)*((Adders!$E$13:$E$101)=$F200)*(Adders!G$13:G$101)) + VLOOKUP($H200,Adders!$B$5:$G$8,L$11,FALSE)  +  MD!$D$2 ) * IF($D200="NJ",1.07,1))/$L$10, CHOOSE($M$10,$L$9,$M$9) )</f>
        <v xml:space="preserve"> 83.88 </v>
      </c>
      <c r="J200" s="178" t="str">
        <f>TEXT(   (SUMPRODUCT( ((Main!$H$9:$H$1000)=$E200)*((Main!$J$9:$J$1000)=$F200)*((Main!$O$9:$O$1000)=$C200)*(Main!S$9:S$1000) ) +  ( SUMPRODUCT( ((Adders!$D$13:$D$101)=$E200)*((Adders!$E$13:$E$101)=$F200)*(Adders!H$13:H$101)) + VLOOKUP($H200,Adders!$B$5:$G$8,M$11,FALSE)  +  MD!$D$2 ) * IF($D200="NJ",1.07,1))/$L$10, CHOOSE($M$10,$L$9,$M$9) )</f>
        <v xml:space="preserve"> 82.48 </v>
      </c>
      <c r="K200" s="179" t="str">
        <f>TEXT(   (SUMPRODUCT( ((Main!$H$9:$H$1000)=$E200)*((Main!$J$9:$J$1000)=$F200)*((Main!$O$9:$O$1000)=$C200)*(Main!T$9:T$1000) ) +  ( SUMPRODUCT( ((Adders!$D$13:$D$101)=$E200)*((Adders!$E$13:$E$101)=$F200)*(Adders!I$13:I$101)) + VLOOKUP($H200,Adders!$B$5:$G$8,$N$11,FALSE)  +  MD!$D$2 ) * IF($D200="NJ",1.07,1))/$L$10, CHOOSE($M$10,$L$9,$M$9) )</f>
        <v xml:space="preserve"> 82.45 </v>
      </c>
      <c r="L200" s="178" t="str">
        <f>TEXT(   (SUMPRODUCT( ((LMPMain!$H$9:$H$1000)=$E200)*((LMPMain!$J$9:$J$1000)=$F200)*((LMPMain!$O$9:$O$1000)=$C200)*(LMPMain!R$9:R$1000) ) +  ( SUMPRODUCT( ((Adders!$D$13:$D$101)=$E200)*((Adders!$E$13:$E$101)=$F200)*(Adders!G$13:G$101)) + VLOOKUP($H200,Adders!$B$5:$G$8,L$11,FALSE)  +  NJ!$D$2 ) * IF($D200="NJ",1.07,1))/$L$10, CHOOSE($M$10,$L$9,$M$9) )</f>
        <v xml:space="preserve"> 38.01 </v>
      </c>
      <c r="M200" s="178" t="str">
        <f>TEXT(   (SUMPRODUCT( ((LMPMain!$H$9:$H$1000)=$E200)*((LMPMain!$J$9:$J$1000)=$F200)*((LMPMain!$O$9:$O$1000)=$C200)*(LMPMain!S$9:S$1000) ) +  ( SUMPRODUCT( ((Adders!$D$13:$D$101)=$E200)*((Adders!$E$13:$E$101)=$F200)*(Adders!H$13:H$101)) + VLOOKUP($H200,Adders!$B$5:$G$8,M$11,FALSE)  +  NJ!$D$2 ) * IF($D200="NJ",1.07,1))/$L$10, CHOOSE($M$10,$L$9,$M$9) )</f>
        <v xml:space="preserve"> 36.99 </v>
      </c>
      <c r="N200" s="179" t="str">
        <f>TEXT(   (SUMPRODUCT( ((LMPMain!$H$9:$H$1000)=$E200)*((LMPMain!$J$9:$J$1000)=$F200)*((LMPMain!$O$9:$O$1000)=$C200)*(LMPMain!T$9:T$1000) ) +  ( SUMPRODUCT( ((Adders!$D$13:$D$101)=$E200)*((Adders!$E$13:$E$101)=$F200)*(Adders!I$13:I$101)) + VLOOKUP($H200,Adders!$B$5:$G$8,N$11,FALSE)  +  NJ!$D$2 ) * IF($D200="NJ",1.07,1))/$L$10, CHOOSE($M$10,$L$9,$M$9) )</f>
        <v xml:space="preserve"> 36.54 </v>
      </c>
      <c r="O200" s="112"/>
    </row>
    <row r="201" spans="2:15" x14ac:dyDescent="0.25">
      <c r="B201" s="108"/>
      <c r="C201" s="131">
        <f t="shared" si="5"/>
        <v>42217</v>
      </c>
      <c r="D201" s="132" t="s">
        <v>39</v>
      </c>
      <c r="E201" s="133" t="s">
        <v>44</v>
      </c>
      <c r="F201" s="132" t="s">
        <v>45</v>
      </c>
      <c r="G201" s="133" t="str">
        <f t="shared" si="6"/>
        <v>Time Metered Gen Service</v>
      </c>
      <c r="H201" s="134" t="s">
        <v>62</v>
      </c>
      <c r="I201" s="173" t="str">
        <f>TEXT(   (SUMPRODUCT( ((Main!$H$9:$H$1000)=$E201)*((Main!$J$9:$J$1000)=$F201)*((Main!$O$9:$O$1000)=$C201)*(Main!R$9:R$1000) ) +  ( SUMPRODUCT( ((Adders!$D$13:$D$101)=$E201)*((Adders!$E$13:$E$101)=$F201)*(Adders!G$13:G$101)) + VLOOKUP($H201,Adders!$B$5:$G$8,L$11,FALSE)  +  MD!$D$2 ) * IF($D201="NJ",1.07,1))/$L$10, CHOOSE($M$10,$L$9,$M$9) )</f>
        <v xml:space="preserve"> 82.28 </v>
      </c>
      <c r="J201" s="173" t="str">
        <f>TEXT(   (SUMPRODUCT( ((Main!$H$9:$H$1000)=$E201)*((Main!$J$9:$J$1000)=$F201)*((Main!$O$9:$O$1000)=$C201)*(Main!S$9:S$1000) ) +  ( SUMPRODUCT( ((Adders!$D$13:$D$101)=$E201)*((Adders!$E$13:$E$101)=$F201)*(Adders!H$13:H$101)) + VLOOKUP($H201,Adders!$B$5:$G$8,M$11,FALSE)  +  MD!$D$2 ) * IF($D201="NJ",1.07,1))/$L$10, CHOOSE($M$10,$L$9,$M$9) )</f>
        <v xml:space="preserve"> 80.88 </v>
      </c>
      <c r="K201" s="174" t="str">
        <f>TEXT(   (SUMPRODUCT( ((Main!$H$9:$H$1000)=$E201)*((Main!$J$9:$J$1000)=$F201)*((Main!$O$9:$O$1000)=$C201)*(Main!T$9:T$1000) ) +  ( SUMPRODUCT( ((Adders!$D$13:$D$101)=$E201)*((Adders!$E$13:$E$101)=$F201)*(Adders!I$13:I$101)) + VLOOKUP($H201,Adders!$B$5:$G$8,$N$11,FALSE)  +  MD!$D$2 ) * IF($D201="NJ",1.07,1))/$L$10, CHOOSE($M$10,$L$9,$M$9) )</f>
        <v xml:space="preserve"> 80.85 </v>
      </c>
      <c r="L201" s="173" t="str">
        <f>TEXT(   (SUMPRODUCT( ((LMPMain!$H$9:$H$1000)=$E201)*((LMPMain!$J$9:$J$1000)=$F201)*((LMPMain!$O$9:$O$1000)=$C201)*(LMPMain!R$9:R$1000) ) +  ( SUMPRODUCT( ((Adders!$D$13:$D$101)=$E201)*((Adders!$E$13:$E$101)=$F201)*(Adders!G$13:G$101)) + VLOOKUP($H201,Adders!$B$5:$G$8,L$11,FALSE)  +  NJ!$D$2 ) * IF($D201="NJ",1.07,1))/$L$10, CHOOSE($M$10,$L$9,$M$9) )</f>
        <v xml:space="preserve"> 36.41 </v>
      </c>
      <c r="M201" s="173" t="str">
        <f>TEXT(   (SUMPRODUCT( ((LMPMain!$H$9:$H$1000)=$E201)*((LMPMain!$J$9:$J$1000)=$F201)*((LMPMain!$O$9:$O$1000)=$C201)*(LMPMain!S$9:S$1000) ) +  ( SUMPRODUCT( ((Adders!$D$13:$D$101)=$E201)*((Adders!$E$13:$E$101)=$F201)*(Adders!H$13:H$101)) + VLOOKUP($H201,Adders!$B$5:$G$8,M$11,FALSE)  +  NJ!$D$2 ) * IF($D201="NJ",1.07,1))/$L$10, CHOOSE($M$10,$L$9,$M$9) )</f>
        <v xml:space="preserve"> 35.39 </v>
      </c>
      <c r="N201" s="174" t="str">
        <f>TEXT(   (SUMPRODUCT( ((LMPMain!$H$9:$H$1000)=$E201)*((LMPMain!$J$9:$J$1000)=$F201)*((LMPMain!$O$9:$O$1000)=$C201)*(LMPMain!T$9:T$1000) ) +  ( SUMPRODUCT( ((Adders!$D$13:$D$101)=$E201)*((Adders!$E$13:$E$101)=$F201)*(Adders!I$13:I$101)) + VLOOKUP($H201,Adders!$B$5:$G$8,N$11,FALSE)  +  NJ!$D$2 ) * IF($D201="NJ",1.07,1))/$L$10, CHOOSE($M$10,$L$9,$M$9) )</f>
        <v xml:space="preserve"> 34.94 </v>
      </c>
      <c r="O201" s="112"/>
    </row>
    <row r="202" spans="2:15" x14ac:dyDescent="0.25">
      <c r="B202" s="108"/>
      <c r="C202" s="135">
        <f t="shared" si="5"/>
        <v>42217</v>
      </c>
      <c r="D202" s="136" t="s">
        <v>39</v>
      </c>
      <c r="E202" s="137" t="s">
        <v>44</v>
      </c>
      <c r="F202" s="136" t="s">
        <v>45</v>
      </c>
      <c r="G202" s="137" t="str">
        <f t="shared" si="6"/>
        <v>Time Metered Gen Service</v>
      </c>
      <c r="H202" s="138" t="s">
        <v>690</v>
      </c>
      <c r="I202" s="176" t="str">
        <f>TEXT(   (SUMPRODUCT( ((Main!$H$9:$H$1000)=$E202)*((Main!$J$9:$J$1000)=$F202)*((Main!$O$9:$O$1000)=$C202)*(Main!R$9:R$1000) ) +  ( SUMPRODUCT( ((Adders!$D$13:$D$101)=$E202)*((Adders!$E$13:$E$101)=$F202)*(Adders!G$13:G$101)) + VLOOKUP($H202,Adders!$B$5:$G$8,L$11,FALSE)  +  MD!$D$2 ) * IF($D202="NJ",1.07,1))/$L$10, CHOOSE($M$10,$L$9,$M$9) )</f>
        <v xml:space="preserve"> 81.23 </v>
      </c>
      <c r="J202" s="176" t="str">
        <f>TEXT(   (SUMPRODUCT( ((Main!$H$9:$H$1000)=$E202)*((Main!$J$9:$J$1000)=$F202)*((Main!$O$9:$O$1000)=$C202)*(Main!S$9:S$1000) ) +  ( SUMPRODUCT( ((Adders!$D$13:$D$101)=$E202)*((Adders!$E$13:$E$101)=$F202)*(Adders!H$13:H$101)) + VLOOKUP($H202,Adders!$B$5:$G$8,M$11,FALSE)  +  MD!$D$2 ) * IF($D202="NJ",1.07,1))/$L$10, CHOOSE($M$10,$L$9,$M$9) )</f>
        <v xml:space="preserve"> 79.83 </v>
      </c>
      <c r="K202" s="177" t="str">
        <f>TEXT(   (SUMPRODUCT( ((Main!$H$9:$H$1000)=$E202)*((Main!$J$9:$J$1000)=$F202)*((Main!$O$9:$O$1000)=$C202)*(Main!T$9:T$1000) ) +  ( SUMPRODUCT( ((Adders!$D$13:$D$101)=$E202)*((Adders!$E$13:$E$101)=$F202)*(Adders!I$13:I$101)) + VLOOKUP($H202,Adders!$B$5:$G$8,$N$11,FALSE)  +  MD!$D$2 ) * IF($D202="NJ",1.07,1))/$L$10, CHOOSE($M$10,$L$9,$M$9) )</f>
        <v xml:space="preserve"> 79.80 </v>
      </c>
      <c r="L202" s="176" t="str">
        <f>TEXT(   (SUMPRODUCT( ((LMPMain!$H$9:$H$1000)=$E202)*((LMPMain!$J$9:$J$1000)=$F202)*((LMPMain!$O$9:$O$1000)=$C202)*(LMPMain!R$9:R$1000) ) +  ( SUMPRODUCT( ((Adders!$D$13:$D$101)=$E202)*((Adders!$E$13:$E$101)=$F202)*(Adders!G$13:G$101)) + VLOOKUP($H202,Adders!$B$5:$G$8,L$11,FALSE)  +  NJ!$D$2 ) * IF($D202="NJ",1.07,1))/$L$10, CHOOSE($M$10,$L$9,$M$9) )</f>
        <v xml:space="preserve"> 35.36 </v>
      </c>
      <c r="M202" s="176" t="str">
        <f>TEXT(   (SUMPRODUCT( ((LMPMain!$H$9:$H$1000)=$E202)*((LMPMain!$J$9:$J$1000)=$F202)*((LMPMain!$O$9:$O$1000)=$C202)*(LMPMain!S$9:S$1000) ) +  ( SUMPRODUCT( ((Adders!$D$13:$D$101)=$E202)*((Adders!$E$13:$E$101)=$F202)*(Adders!H$13:H$101)) + VLOOKUP($H202,Adders!$B$5:$G$8,M$11,FALSE)  +  NJ!$D$2 ) * IF($D202="NJ",1.07,1))/$L$10, CHOOSE($M$10,$L$9,$M$9) )</f>
        <v xml:space="preserve"> 34.34 </v>
      </c>
      <c r="N202" s="177" t="str">
        <f>TEXT(   (SUMPRODUCT( ((LMPMain!$H$9:$H$1000)=$E202)*((LMPMain!$J$9:$J$1000)=$F202)*((LMPMain!$O$9:$O$1000)=$C202)*(LMPMain!T$9:T$1000) ) +  ( SUMPRODUCT( ((Adders!$D$13:$D$101)=$E202)*((Adders!$E$13:$E$101)=$F202)*(Adders!I$13:I$101)) + VLOOKUP($H202,Adders!$B$5:$G$8,N$11,FALSE)  +  NJ!$D$2 ) * IF($D202="NJ",1.07,1))/$L$10, CHOOSE($M$10,$L$9,$M$9) )</f>
        <v xml:space="preserve"> 33.89 </v>
      </c>
      <c r="O202" s="112"/>
    </row>
    <row r="203" spans="2:15" x14ac:dyDescent="0.25">
      <c r="B203" s="108"/>
      <c r="C203" s="127">
        <f t="shared" si="5"/>
        <v>42248</v>
      </c>
      <c r="D203" s="128" t="s">
        <v>39</v>
      </c>
      <c r="E203" s="129" t="s">
        <v>44</v>
      </c>
      <c r="F203" s="128" t="s">
        <v>45</v>
      </c>
      <c r="G203" s="129" t="str">
        <f t="shared" si="6"/>
        <v>Time Metered Gen Service</v>
      </c>
      <c r="H203" s="130" t="s">
        <v>61</v>
      </c>
      <c r="I203" s="178" t="str">
        <f>TEXT(   (SUMPRODUCT( ((Main!$H$9:$H$1000)=$E203)*((Main!$J$9:$J$1000)=$F203)*((Main!$O$9:$O$1000)=$C203)*(Main!R$9:R$1000) ) +  ( SUMPRODUCT( ((Adders!$D$13:$D$101)=$E203)*((Adders!$E$13:$E$101)=$F203)*(Adders!G$13:G$101)) + VLOOKUP($H203,Adders!$B$5:$G$8,L$11,FALSE)  +  MD!$D$2 ) * IF($D203="NJ",1.07,1))/$L$10, CHOOSE($M$10,$L$9,$M$9) )</f>
        <v xml:space="preserve"> 83.64 </v>
      </c>
      <c r="J203" s="178" t="str">
        <f>TEXT(   (SUMPRODUCT( ((Main!$H$9:$H$1000)=$E203)*((Main!$J$9:$J$1000)=$F203)*((Main!$O$9:$O$1000)=$C203)*(Main!S$9:S$1000) ) +  ( SUMPRODUCT( ((Adders!$D$13:$D$101)=$E203)*((Adders!$E$13:$E$101)=$F203)*(Adders!H$13:H$101)) + VLOOKUP($H203,Adders!$B$5:$G$8,M$11,FALSE)  +  MD!$D$2 ) * IF($D203="NJ",1.07,1))/$L$10, CHOOSE($M$10,$L$9,$M$9) )</f>
        <v xml:space="preserve"> 82.99 </v>
      </c>
      <c r="K203" s="179" t="str">
        <f>TEXT(   (SUMPRODUCT( ((Main!$H$9:$H$1000)=$E203)*((Main!$J$9:$J$1000)=$F203)*((Main!$O$9:$O$1000)=$C203)*(Main!T$9:T$1000) ) +  ( SUMPRODUCT( ((Adders!$D$13:$D$101)=$E203)*((Adders!$E$13:$E$101)=$F203)*(Adders!I$13:I$101)) + VLOOKUP($H203,Adders!$B$5:$G$8,$N$11,FALSE)  +  MD!$D$2 ) * IF($D203="NJ",1.07,1))/$L$10, CHOOSE($M$10,$L$9,$M$9) )</f>
        <v xml:space="preserve"> 82.48 </v>
      </c>
      <c r="L203" s="178" t="str">
        <f>TEXT(   (SUMPRODUCT( ((LMPMain!$H$9:$H$1000)=$E203)*((LMPMain!$J$9:$J$1000)=$F203)*((LMPMain!$O$9:$O$1000)=$C203)*(LMPMain!R$9:R$1000) ) +  ( SUMPRODUCT( ((Adders!$D$13:$D$101)=$E203)*((Adders!$E$13:$E$101)=$F203)*(Adders!G$13:G$101)) + VLOOKUP($H203,Adders!$B$5:$G$8,L$11,FALSE)  +  NJ!$D$2 ) * IF($D203="NJ",1.07,1))/$L$10, CHOOSE($M$10,$L$9,$M$9) )</f>
        <v xml:space="preserve"> 37.71 </v>
      </c>
      <c r="M203" s="178" t="str">
        <f>TEXT(   (SUMPRODUCT( ((LMPMain!$H$9:$H$1000)=$E203)*((LMPMain!$J$9:$J$1000)=$F203)*((LMPMain!$O$9:$O$1000)=$C203)*(LMPMain!S$9:S$1000) ) +  ( SUMPRODUCT( ((Adders!$D$13:$D$101)=$E203)*((Adders!$E$13:$E$101)=$F203)*(Adders!H$13:H$101)) + VLOOKUP($H203,Adders!$B$5:$G$8,M$11,FALSE)  +  NJ!$D$2 ) * IF($D203="NJ",1.07,1))/$L$10, CHOOSE($M$10,$L$9,$M$9) )</f>
        <v xml:space="preserve"> 37.06 </v>
      </c>
      <c r="N203" s="179" t="str">
        <f>TEXT(   (SUMPRODUCT( ((LMPMain!$H$9:$H$1000)=$E203)*((LMPMain!$J$9:$J$1000)=$F203)*((LMPMain!$O$9:$O$1000)=$C203)*(LMPMain!T$9:T$1000) ) +  ( SUMPRODUCT( ((Adders!$D$13:$D$101)=$E203)*((Adders!$E$13:$E$101)=$F203)*(Adders!I$13:I$101)) + VLOOKUP($H203,Adders!$B$5:$G$8,N$11,FALSE)  +  NJ!$D$2 ) * IF($D203="NJ",1.07,1))/$L$10, CHOOSE($M$10,$L$9,$M$9) )</f>
        <v xml:space="preserve"> 36.43 </v>
      </c>
      <c r="O203" s="112"/>
    </row>
    <row r="204" spans="2:15" x14ac:dyDescent="0.25">
      <c r="B204" s="108"/>
      <c r="C204" s="131">
        <f t="shared" si="5"/>
        <v>42248</v>
      </c>
      <c r="D204" s="132" t="s">
        <v>39</v>
      </c>
      <c r="E204" s="133" t="s">
        <v>44</v>
      </c>
      <c r="F204" s="132" t="s">
        <v>45</v>
      </c>
      <c r="G204" s="133" t="str">
        <f t="shared" si="6"/>
        <v>Time Metered Gen Service</v>
      </c>
      <c r="H204" s="134" t="s">
        <v>62</v>
      </c>
      <c r="I204" s="173" t="str">
        <f>TEXT(   (SUMPRODUCT( ((Main!$H$9:$H$1000)=$E204)*((Main!$J$9:$J$1000)=$F204)*((Main!$O$9:$O$1000)=$C204)*(Main!R$9:R$1000) ) +  ( SUMPRODUCT( ((Adders!$D$13:$D$101)=$E204)*((Adders!$E$13:$E$101)=$F204)*(Adders!G$13:G$101)) + VLOOKUP($H204,Adders!$B$5:$G$8,L$11,FALSE)  +  MD!$D$2 ) * IF($D204="NJ",1.07,1))/$L$10, CHOOSE($M$10,$L$9,$M$9) )</f>
        <v xml:space="preserve"> 82.04 </v>
      </c>
      <c r="J204" s="173" t="str">
        <f>TEXT(   (SUMPRODUCT( ((Main!$H$9:$H$1000)=$E204)*((Main!$J$9:$J$1000)=$F204)*((Main!$O$9:$O$1000)=$C204)*(Main!S$9:S$1000) ) +  ( SUMPRODUCT( ((Adders!$D$13:$D$101)=$E204)*((Adders!$E$13:$E$101)=$F204)*(Adders!H$13:H$101)) + VLOOKUP($H204,Adders!$B$5:$G$8,M$11,FALSE)  +  MD!$D$2 ) * IF($D204="NJ",1.07,1))/$L$10, CHOOSE($M$10,$L$9,$M$9) )</f>
        <v xml:space="preserve"> 81.39 </v>
      </c>
      <c r="K204" s="174" t="str">
        <f>TEXT(   (SUMPRODUCT( ((Main!$H$9:$H$1000)=$E204)*((Main!$J$9:$J$1000)=$F204)*((Main!$O$9:$O$1000)=$C204)*(Main!T$9:T$1000) ) +  ( SUMPRODUCT( ((Adders!$D$13:$D$101)=$E204)*((Adders!$E$13:$E$101)=$F204)*(Adders!I$13:I$101)) + VLOOKUP($H204,Adders!$B$5:$G$8,$N$11,FALSE)  +  MD!$D$2 ) * IF($D204="NJ",1.07,1))/$L$10, CHOOSE($M$10,$L$9,$M$9) )</f>
        <v xml:space="preserve"> 80.88 </v>
      </c>
      <c r="L204" s="173" t="str">
        <f>TEXT(   (SUMPRODUCT( ((LMPMain!$H$9:$H$1000)=$E204)*((LMPMain!$J$9:$J$1000)=$F204)*((LMPMain!$O$9:$O$1000)=$C204)*(LMPMain!R$9:R$1000) ) +  ( SUMPRODUCT( ((Adders!$D$13:$D$101)=$E204)*((Adders!$E$13:$E$101)=$F204)*(Adders!G$13:G$101)) + VLOOKUP($H204,Adders!$B$5:$G$8,L$11,FALSE)  +  NJ!$D$2 ) * IF($D204="NJ",1.07,1))/$L$10, CHOOSE($M$10,$L$9,$M$9) )</f>
        <v xml:space="preserve"> 36.11 </v>
      </c>
      <c r="M204" s="173" t="str">
        <f>TEXT(   (SUMPRODUCT( ((LMPMain!$H$9:$H$1000)=$E204)*((LMPMain!$J$9:$J$1000)=$F204)*((LMPMain!$O$9:$O$1000)=$C204)*(LMPMain!S$9:S$1000) ) +  ( SUMPRODUCT( ((Adders!$D$13:$D$101)=$E204)*((Adders!$E$13:$E$101)=$F204)*(Adders!H$13:H$101)) + VLOOKUP($H204,Adders!$B$5:$G$8,M$11,FALSE)  +  NJ!$D$2 ) * IF($D204="NJ",1.07,1))/$L$10, CHOOSE($M$10,$L$9,$M$9) )</f>
        <v xml:space="preserve"> 35.46 </v>
      </c>
      <c r="N204" s="174" t="str">
        <f>TEXT(   (SUMPRODUCT( ((LMPMain!$H$9:$H$1000)=$E204)*((LMPMain!$J$9:$J$1000)=$F204)*((LMPMain!$O$9:$O$1000)=$C204)*(LMPMain!T$9:T$1000) ) +  ( SUMPRODUCT( ((Adders!$D$13:$D$101)=$E204)*((Adders!$E$13:$E$101)=$F204)*(Adders!I$13:I$101)) + VLOOKUP($H204,Adders!$B$5:$G$8,N$11,FALSE)  +  NJ!$D$2 ) * IF($D204="NJ",1.07,1))/$L$10, CHOOSE($M$10,$L$9,$M$9) )</f>
        <v xml:space="preserve"> 34.83 </v>
      </c>
      <c r="O204" s="112"/>
    </row>
    <row r="205" spans="2:15" x14ac:dyDescent="0.25">
      <c r="B205" s="108"/>
      <c r="C205" s="135">
        <f t="shared" si="5"/>
        <v>42248</v>
      </c>
      <c r="D205" s="136" t="s">
        <v>39</v>
      </c>
      <c r="E205" s="137" t="s">
        <v>44</v>
      </c>
      <c r="F205" s="136" t="s">
        <v>45</v>
      </c>
      <c r="G205" s="137" t="str">
        <f t="shared" si="6"/>
        <v>Time Metered Gen Service</v>
      </c>
      <c r="H205" s="138" t="s">
        <v>690</v>
      </c>
      <c r="I205" s="176" t="str">
        <f>TEXT(   (SUMPRODUCT( ((Main!$H$9:$H$1000)=$E205)*((Main!$J$9:$J$1000)=$F205)*((Main!$O$9:$O$1000)=$C205)*(Main!R$9:R$1000) ) +  ( SUMPRODUCT( ((Adders!$D$13:$D$101)=$E205)*((Adders!$E$13:$E$101)=$F205)*(Adders!G$13:G$101)) + VLOOKUP($H205,Adders!$B$5:$G$8,L$11,FALSE)  +  MD!$D$2 ) * IF($D205="NJ",1.07,1))/$L$10, CHOOSE($M$10,$L$9,$M$9) )</f>
        <v xml:space="preserve"> 80.99 </v>
      </c>
      <c r="J205" s="176" t="str">
        <f>TEXT(   (SUMPRODUCT( ((Main!$H$9:$H$1000)=$E205)*((Main!$J$9:$J$1000)=$F205)*((Main!$O$9:$O$1000)=$C205)*(Main!S$9:S$1000) ) +  ( SUMPRODUCT( ((Adders!$D$13:$D$101)=$E205)*((Adders!$E$13:$E$101)=$F205)*(Adders!H$13:H$101)) + VLOOKUP($H205,Adders!$B$5:$G$8,M$11,FALSE)  +  MD!$D$2 ) * IF($D205="NJ",1.07,1))/$L$10, CHOOSE($M$10,$L$9,$M$9) )</f>
        <v xml:space="preserve"> 80.34 </v>
      </c>
      <c r="K205" s="177" t="str">
        <f>TEXT(   (SUMPRODUCT( ((Main!$H$9:$H$1000)=$E205)*((Main!$J$9:$J$1000)=$F205)*((Main!$O$9:$O$1000)=$C205)*(Main!T$9:T$1000) ) +  ( SUMPRODUCT( ((Adders!$D$13:$D$101)=$E205)*((Adders!$E$13:$E$101)=$F205)*(Adders!I$13:I$101)) + VLOOKUP($H205,Adders!$B$5:$G$8,$N$11,FALSE)  +  MD!$D$2 ) * IF($D205="NJ",1.07,1))/$L$10, CHOOSE($M$10,$L$9,$M$9) )</f>
        <v xml:space="preserve"> 79.83 </v>
      </c>
      <c r="L205" s="176" t="str">
        <f>TEXT(   (SUMPRODUCT( ((LMPMain!$H$9:$H$1000)=$E205)*((LMPMain!$J$9:$J$1000)=$F205)*((LMPMain!$O$9:$O$1000)=$C205)*(LMPMain!R$9:R$1000) ) +  ( SUMPRODUCT( ((Adders!$D$13:$D$101)=$E205)*((Adders!$E$13:$E$101)=$F205)*(Adders!G$13:G$101)) + VLOOKUP($H205,Adders!$B$5:$G$8,L$11,FALSE)  +  NJ!$D$2 ) * IF($D205="NJ",1.07,1))/$L$10, CHOOSE($M$10,$L$9,$M$9) )</f>
        <v xml:space="preserve"> 35.06 </v>
      </c>
      <c r="M205" s="176" t="str">
        <f>TEXT(   (SUMPRODUCT( ((LMPMain!$H$9:$H$1000)=$E205)*((LMPMain!$J$9:$J$1000)=$F205)*((LMPMain!$O$9:$O$1000)=$C205)*(LMPMain!S$9:S$1000) ) +  ( SUMPRODUCT( ((Adders!$D$13:$D$101)=$E205)*((Adders!$E$13:$E$101)=$F205)*(Adders!H$13:H$101)) + VLOOKUP($H205,Adders!$B$5:$G$8,M$11,FALSE)  +  NJ!$D$2 ) * IF($D205="NJ",1.07,1))/$L$10, CHOOSE($M$10,$L$9,$M$9) )</f>
        <v xml:space="preserve"> 34.41 </v>
      </c>
      <c r="N205" s="177" t="str">
        <f>TEXT(   (SUMPRODUCT( ((LMPMain!$H$9:$H$1000)=$E205)*((LMPMain!$J$9:$J$1000)=$F205)*((LMPMain!$O$9:$O$1000)=$C205)*(LMPMain!T$9:T$1000) ) +  ( SUMPRODUCT( ((Adders!$D$13:$D$101)=$E205)*((Adders!$E$13:$E$101)=$F205)*(Adders!I$13:I$101)) + VLOOKUP($H205,Adders!$B$5:$G$8,N$11,FALSE)  +  NJ!$D$2 ) * IF($D205="NJ",1.07,1))/$L$10, CHOOSE($M$10,$L$9,$M$9) )</f>
        <v xml:space="preserve"> 33.78 </v>
      </c>
      <c r="O205" s="112"/>
    </row>
    <row r="206" spans="2:15" x14ac:dyDescent="0.25">
      <c r="B206" s="108"/>
      <c r="C206" s="127">
        <f t="shared" si="5"/>
        <v>42278</v>
      </c>
      <c r="D206" s="128" t="s">
        <v>39</v>
      </c>
      <c r="E206" s="129" t="s">
        <v>44</v>
      </c>
      <c r="F206" s="128" t="s">
        <v>45</v>
      </c>
      <c r="G206" s="129" t="str">
        <f t="shared" si="6"/>
        <v>Time Metered Gen Service</v>
      </c>
      <c r="H206" s="130" t="s">
        <v>61</v>
      </c>
      <c r="I206" s="178" t="str">
        <f>TEXT(   (SUMPRODUCT( ((Main!$H$9:$H$1000)=$E206)*((Main!$J$9:$J$1000)=$F206)*((Main!$O$9:$O$1000)=$C206)*(Main!R$9:R$1000) ) +  ( SUMPRODUCT( ((Adders!$D$13:$D$101)=$E206)*((Adders!$E$13:$E$101)=$F206)*(Adders!G$13:G$101)) + VLOOKUP($H206,Adders!$B$5:$G$8,L$11,FALSE)  +  MD!$D$2 ) * IF($D206="NJ",1.07,1))/$L$10, CHOOSE($M$10,$L$9,$M$9) )</f>
        <v xml:space="preserve"> 83.34 </v>
      </c>
      <c r="J206" s="178" t="str">
        <f>TEXT(   (SUMPRODUCT( ((Main!$H$9:$H$1000)=$E206)*((Main!$J$9:$J$1000)=$F206)*((Main!$O$9:$O$1000)=$C206)*(Main!S$9:S$1000) ) +  ( SUMPRODUCT( ((Adders!$D$13:$D$101)=$E206)*((Adders!$E$13:$E$101)=$F206)*(Adders!H$13:H$101)) + VLOOKUP($H206,Adders!$B$5:$G$8,M$11,FALSE)  +  MD!$D$2 ) * IF($D206="NJ",1.07,1))/$L$10, CHOOSE($M$10,$L$9,$M$9) )</f>
        <v xml:space="preserve"> 83.36 </v>
      </c>
      <c r="K206" s="179" t="str">
        <f>TEXT(   (SUMPRODUCT( ((Main!$H$9:$H$1000)=$E206)*((Main!$J$9:$J$1000)=$F206)*((Main!$O$9:$O$1000)=$C206)*(Main!T$9:T$1000) ) +  ( SUMPRODUCT( ((Adders!$D$13:$D$101)=$E206)*((Adders!$E$13:$E$101)=$F206)*(Adders!I$13:I$101)) + VLOOKUP($H206,Adders!$B$5:$G$8,$N$11,FALSE)  +  MD!$D$2 ) * IF($D206="NJ",1.07,1))/$L$10, CHOOSE($M$10,$L$9,$M$9) )</f>
        <v xml:space="preserve"> 82.39 </v>
      </c>
      <c r="L206" s="178" t="str">
        <f>TEXT(   (SUMPRODUCT( ((LMPMain!$H$9:$H$1000)=$E206)*((LMPMain!$J$9:$J$1000)=$F206)*((LMPMain!$O$9:$O$1000)=$C206)*(LMPMain!R$9:R$1000) ) +  ( SUMPRODUCT( ((Adders!$D$13:$D$101)=$E206)*((Adders!$E$13:$E$101)=$F206)*(Adders!G$13:G$101)) + VLOOKUP($H206,Adders!$B$5:$G$8,L$11,FALSE)  +  NJ!$D$2 ) * IF($D206="NJ",1.07,1))/$L$10, CHOOSE($M$10,$L$9,$M$9) )</f>
        <v xml:space="preserve"> 37.45 </v>
      </c>
      <c r="M206" s="178" t="str">
        <f>TEXT(   (SUMPRODUCT( ((LMPMain!$H$9:$H$1000)=$E206)*((LMPMain!$J$9:$J$1000)=$F206)*((LMPMain!$O$9:$O$1000)=$C206)*(LMPMain!S$9:S$1000) ) +  ( SUMPRODUCT( ((Adders!$D$13:$D$101)=$E206)*((Adders!$E$13:$E$101)=$F206)*(Adders!H$13:H$101)) + VLOOKUP($H206,Adders!$B$5:$G$8,M$11,FALSE)  +  NJ!$D$2 ) * IF($D206="NJ",1.07,1))/$L$10, CHOOSE($M$10,$L$9,$M$9) )</f>
        <v xml:space="preserve"> 37.07 </v>
      </c>
      <c r="N206" s="179" t="str">
        <f>TEXT(   (SUMPRODUCT( ((LMPMain!$H$9:$H$1000)=$E206)*((LMPMain!$J$9:$J$1000)=$F206)*((LMPMain!$O$9:$O$1000)=$C206)*(LMPMain!T$9:T$1000) ) +  ( SUMPRODUCT( ((Adders!$D$13:$D$101)=$E206)*((Adders!$E$13:$E$101)=$F206)*(Adders!I$13:I$101)) + VLOOKUP($H206,Adders!$B$5:$G$8,N$11,FALSE)  +  NJ!$D$2 ) * IF($D206="NJ",1.07,1))/$L$10, CHOOSE($M$10,$L$9,$M$9) )</f>
        <v xml:space="preserve"> 36.34 </v>
      </c>
      <c r="O206" s="112"/>
    </row>
    <row r="207" spans="2:15" x14ac:dyDescent="0.25">
      <c r="B207" s="108"/>
      <c r="C207" s="131">
        <f t="shared" si="5"/>
        <v>42278</v>
      </c>
      <c r="D207" s="132" t="s">
        <v>39</v>
      </c>
      <c r="E207" s="133" t="s">
        <v>44</v>
      </c>
      <c r="F207" s="132" t="s">
        <v>45</v>
      </c>
      <c r="G207" s="133" t="str">
        <f t="shared" si="6"/>
        <v>Time Metered Gen Service</v>
      </c>
      <c r="H207" s="134" t="s">
        <v>62</v>
      </c>
      <c r="I207" s="173" t="str">
        <f>TEXT(   (SUMPRODUCT( ((Main!$H$9:$H$1000)=$E207)*((Main!$J$9:$J$1000)=$F207)*((Main!$O$9:$O$1000)=$C207)*(Main!R$9:R$1000) ) +  ( SUMPRODUCT( ((Adders!$D$13:$D$101)=$E207)*((Adders!$E$13:$E$101)=$F207)*(Adders!G$13:G$101)) + VLOOKUP($H207,Adders!$B$5:$G$8,L$11,FALSE)  +  MD!$D$2 ) * IF($D207="NJ",1.07,1))/$L$10, CHOOSE($M$10,$L$9,$M$9) )</f>
        <v xml:space="preserve"> 81.74 </v>
      </c>
      <c r="J207" s="173" t="str">
        <f>TEXT(   (SUMPRODUCT( ((Main!$H$9:$H$1000)=$E207)*((Main!$J$9:$J$1000)=$F207)*((Main!$O$9:$O$1000)=$C207)*(Main!S$9:S$1000) ) +  ( SUMPRODUCT( ((Adders!$D$13:$D$101)=$E207)*((Adders!$E$13:$E$101)=$F207)*(Adders!H$13:H$101)) + VLOOKUP($H207,Adders!$B$5:$G$8,M$11,FALSE)  +  MD!$D$2 ) * IF($D207="NJ",1.07,1))/$L$10, CHOOSE($M$10,$L$9,$M$9) )</f>
        <v xml:space="preserve"> 81.76 </v>
      </c>
      <c r="K207" s="174" t="str">
        <f>TEXT(   (SUMPRODUCT( ((Main!$H$9:$H$1000)=$E207)*((Main!$J$9:$J$1000)=$F207)*((Main!$O$9:$O$1000)=$C207)*(Main!T$9:T$1000) ) +  ( SUMPRODUCT( ((Adders!$D$13:$D$101)=$E207)*((Adders!$E$13:$E$101)=$F207)*(Adders!I$13:I$101)) + VLOOKUP($H207,Adders!$B$5:$G$8,$N$11,FALSE)  +  MD!$D$2 ) * IF($D207="NJ",1.07,1))/$L$10, CHOOSE($M$10,$L$9,$M$9) )</f>
        <v xml:space="preserve"> 80.79 </v>
      </c>
      <c r="L207" s="173" t="str">
        <f>TEXT(   (SUMPRODUCT( ((LMPMain!$H$9:$H$1000)=$E207)*((LMPMain!$J$9:$J$1000)=$F207)*((LMPMain!$O$9:$O$1000)=$C207)*(LMPMain!R$9:R$1000) ) +  ( SUMPRODUCT( ((Adders!$D$13:$D$101)=$E207)*((Adders!$E$13:$E$101)=$F207)*(Adders!G$13:G$101)) + VLOOKUP($H207,Adders!$B$5:$G$8,L$11,FALSE)  +  NJ!$D$2 ) * IF($D207="NJ",1.07,1))/$L$10, CHOOSE($M$10,$L$9,$M$9) )</f>
        <v xml:space="preserve"> 35.85 </v>
      </c>
      <c r="M207" s="173" t="str">
        <f>TEXT(   (SUMPRODUCT( ((LMPMain!$H$9:$H$1000)=$E207)*((LMPMain!$J$9:$J$1000)=$F207)*((LMPMain!$O$9:$O$1000)=$C207)*(LMPMain!S$9:S$1000) ) +  ( SUMPRODUCT( ((Adders!$D$13:$D$101)=$E207)*((Adders!$E$13:$E$101)=$F207)*(Adders!H$13:H$101)) + VLOOKUP($H207,Adders!$B$5:$G$8,M$11,FALSE)  +  NJ!$D$2 ) * IF($D207="NJ",1.07,1))/$L$10, CHOOSE($M$10,$L$9,$M$9) )</f>
        <v xml:space="preserve"> 35.47 </v>
      </c>
      <c r="N207" s="174" t="str">
        <f>TEXT(   (SUMPRODUCT( ((LMPMain!$H$9:$H$1000)=$E207)*((LMPMain!$J$9:$J$1000)=$F207)*((LMPMain!$O$9:$O$1000)=$C207)*(LMPMain!T$9:T$1000) ) +  ( SUMPRODUCT( ((Adders!$D$13:$D$101)=$E207)*((Adders!$E$13:$E$101)=$F207)*(Adders!I$13:I$101)) + VLOOKUP($H207,Adders!$B$5:$G$8,N$11,FALSE)  +  NJ!$D$2 ) * IF($D207="NJ",1.07,1))/$L$10, CHOOSE($M$10,$L$9,$M$9) )</f>
        <v xml:space="preserve"> 34.74 </v>
      </c>
      <c r="O207" s="112"/>
    </row>
    <row r="208" spans="2:15" x14ac:dyDescent="0.25">
      <c r="B208" s="108"/>
      <c r="C208" s="135">
        <f t="shared" si="5"/>
        <v>42278</v>
      </c>
      <c r="D208" s="136" t="s">
        <v>39</v>
      </c>
      <c r="E208" s="137" t="s">
        <v>44</v>
      </c>
      <c r="F208" s="136" t="s">
        <v>45</v>
      </c>
      <c r="G208" s="137" t="str">
        <f t="shared" si="6"/>
        <v>Time Metered Gen Service</v>
      </c>
      <c r="H208" s="138" t="s">
        <v>690</v>
      </c>
      <c r="I208" s="176" t="str">
        <f>TEXT(   (SUMPRODUCT( ((Main!$H$9:$H$1000)=$E208)*((Main!$J$9:$J$1000)=$F208)*((Main!$O$9:$O$1000)=$C208)*(Main!R$9:R$1000) ) +  ( SUMPRODUCT( ((Adders!$D$13:$D$101)=$E208)*((Adders!$E$13:$E$101)=$F208)*(Adders!G$13:G$101)) + VLOOKUP($H208,Adders!$B$5:$G$8,L$11,FALSE)  +  MD!$D$2 ) * IF($D208="NJ",1.07,1))/$L$10, CHOOSE($M$10,$L$9,$M$9) )</f>
        <v xml:space="preserve"> 80.69 </v>
      </c>
      <c r="J208" s="176" t="str">
        <f>TEXT(   (SUMPRODUCT( ((Main!$H$9:$H$1000)=$E208)*((Main!$J$9:$J$1000)=$F208)*((Main!$O$9:$O$1000)=$C208)*(Main!S$9:S$1000) ) +  ( SUMPRODUCT( ((Adders!$D$13:$D$101)=$E208)*((Adders!$E$13:$E$101)=$F208)*(Adders!H$13:H$101)) + VLOOKUP($H208,Adders!$B$5:$G$8,M$11,FALSE)  +  MD!$D$2 ) * IF($D208="NJ",1.07,1))/$L$10, CHOOSE($M$10,$L$9,$M$9) )</f>
        <v xml:space="preserve"> 80.71 </v>
      </c>
      <c r="K208" s="177" t="str">
        <f>TEXT(   (SUMPRODUCT( ((Main!$H$9:$H$1000)=$E208)*((Main!$J$9:$J$1000)=$F208)*((Main!$O$9:$O$1000)=$C208)*(Main!T$9:T$1000) ) +  ( SUMPRODUCT( ((Adders!$D$13:$D$101)=$E208)*((Adders!$E$13:$E$101)=$F208)*(Adders!I$13:I$101)) + VLOOKUP($H208,Adders!$B$5:$G$8,$N$11,FALSE)  +  MD!$D$2 ) * IF($D208="NJ",1.07,1))/$L$10, CHOOSE($M$10,$L$9,$M$9) )</f>
        <v xml:space="preserve"> 79.74 </v>
      </c>
      <c r="L208" s="176" t="str">
        <f>TEXT(   (SUMPRODUCT( ((LMPMain!$H$9:$H$1000)=$E208)*((LMPMain!$J$9:$J$1000)=$F208)*((LMPMain!$O$9:$O$1000)=$C208)*(LMPMain!R$9:R$1000) ) +  ( SUMPRODUCT( ((Adders!$D$13:$D$101)=$E208)*((Adders!$E$13:$E$101)=$F208)*(Adders!G$13:G$101)) + VLOOKUP($H208,Adders!$B$5:$G$8,L$11,FALSE)  +  NJ!$D$2 ) * IF($D208="NJ",1.07,1))/$L$10, CHOOSE($M$10,$L$9,$M$9) )</f>
        <v xml:space="preserve"> 34.80 </v>
      </c>
      <c r="M208" s="176" t="str">
        <f>TEXT(   (SUMPRODUCT( ((LMPMain!$H$9:$H$1000)=$E208)*((LMPMain!$J$9:$J$1000)=$F208)*((LMPMain!$O$9:$O$1000)=$C208)*(LMPMain!S$9:S$1000) ) +  ( SUMPRODUCT( ((Adders!$D$13:$D$101)=$E208)*((Adders!$E$13:$E$101)=$F208)*(Adders!H$13:H$101)) + VLOOKUP($H208,Adders!$B$5:$G$8,M$11,FALSE)  +  NJ!$D$2 ) * IF($D208="NJ",1.07,1))/$L$10, CHOOSE($M$10,$L$9,$M$9) )</f>
        <v xml:space="preserve"> 34.42 </v>
      </c>
      <c r="N208" s="177" t="str">
        <f>TEXT(   (SUMPRODUCT( ((LMPMain!$H$9:$H$1000)=$E208)*((LMPMain!$J$9:$J$1000)=$F208)*((LMPMain!$O$9:$O$1000)=$C208)*(LMPMain!T$9:T$1000) ) +  ( SUMPRODUCT( ((Adders!$D$13:$D$101)=$E208)*((Adders!$E$13:$E$101)=$F208)*(Adders!I$13:I$101)) + VLOOKUP($H208,Adders!$B$5:$G$8,N$11,FALSE)  +  NJ!$D$2 ) * IF($D208="NJ",1.07,1))/$L$10, CHOOSE($M$10,$L$9,$M$9) )</f>
        <v xml:space="preserve"> 33.69 </v>
      </c>
      <c r="O208" s="112"/>
    </row>
    <row r="209" spans="2:15" x14ac:dyDescent="0.25">
      <c r="B209" s="108"/>
      <c r="C209" s="127">
        <f t="shared" si="5"/>
        <v>42309</v>
      </c>
      <c r="D209" s="128" t="s">
        <v>39</v>
      </c>
      <c r="E209" s="129" t="s">
        <v>44</v>
      </c>
      <c r="F209" s="128" t="s">
        <v>45</v>
      </c>
      <c r="G209" s="129" t="str">
        <f t="shared" si="6"/>
        <v>Time Metered Gen Service</v>
      </c>
      <c r="H209" s="130" t="s">
        <v>61</v>
      </c>
      <c r="I209" s="178" t="str">
        <f>TEXT(   (SUMPRODUCT( ((Main!$H$9:$H$1000)=$E209)*((Main!$J$9:$J$1000)=$F209)*((Main!$O$9:$O$1000)=$C209)*(Main!R$9:R$1000) ) +  ( SUMPRODUCT( ((Adders!$D$13:$D$101)=$E209)*((Adders!$E$13:$E$101)=$F209)*(Adders!G$13:G$101)) + VLOOKUP($H209,Adders!$B$5:$G$8,L$11,FALSE)  +  MD!$D$2 ) * IF($D209="NJ",1.07,1))/$L$10, CHOOSE($M$10,$L$9,$M$9) )</f>
        <v xml:space="preserve"> 82.97 </v>
      </c>
      <c r="J209" s="178" t="str">
        <f>TEXT(   (SUMPRODUCT( ((Main!$H$9:$H$1000)=$E209)*((Main!$J$9:$J$1000)=$F209)*((Main!$O$9:$O$1000)=$C209)*(Main!S$9:S$1000) ) +  ( SUMPRODUCT( ((Adders!$D$13:$D$101)=$E209)*((Adders!$E$13:$E$101)=$F209)*(Adders!H$13:H$101)) + VLOOKUP($H209,Adders!$B$5:$G$8,M$11,FALSE)  +  MD!$D$2 ) * IF($D209="NJ",1.07,1))/$L$10, CHOOSE($M$10,$L$9,$M$9) )</f>
        <v xml:space="preserve"> 83.29 </v>
      </c>
      <c r="K209" s="179" t="str">
        <f>TEXT(   (SUMPRODUCT( ((Main!$H$9:$H$1000)=$E209)*((Main!$J$9:$J$1000)=$F209)*((Main!$O$9:$O$1000)=$C209)*(Main!T$9:T$1000) ) +  ( SUMPRODUCT( ((Adders!$D$13:$D$101)=$E209)*((Adders!$E$13:$E$101)=$F209)*(Adders!I$13:I$101)) + VLOOKUP($H209,Adders!$B$5:$G$8,$N$11,FALSE)  +  MD!$D$2 ) * IF($D209="NJ",1.07,1))/$L$10, CHOOSE($M$10,$L$9,$M$9) )</f>
        <v xml:space="preserve"> 82.27 </v>
      </c>
      <c r="L209" s="178" t="str">
        <f>TEXT(   (SUMPRODUCT( ((LMPMain!$H$9:$H$1000)=$E209)*((LMPMain!$J$9:$J$1000)=$F209)*((LMPMain!$O$9:$O$1000)=$C209)*(LMPMain!R$9:R$1000) ) +  ( SUMPRODUCT( ((Adders!$D$13:$D$101)=$E209)*((Adders!$E$13:$E$101)=$F209)*(Adders!G$13:G$101)) + VLOOKUP($H209,Adders!$B$5:$G$8,L$11,FALSE)  +  NJ!$D$2 ) * IF($D209="NJ",1.07,1))/$L$10, CHOOSE($M$10,$L$9,$M$9) )</f>
        <v xml:space="preserve"> 37.17 </v>
      </c>
      <c r="M209" s="178" t="str">
        <f>TEXT(   (SUMPRODUCT( ((LMPMain!$H$9:$H$1000)=$E209)*((LMPMain!$J$9:$J$1000)=$F209)*((LMPMain!$O$9:$O$1000)=$C209)*(LMPMain!S$9:S$1000) ) +  ( SUMPRODUCT( ((Adders!$D$13:$D$101)=$E209)*((Adders!$E$13:$E$101)=$F209)*(Adders!H$13:H$101)) + VLOOKUP($H209,Adders!$B$5:$G$8,M$11,FALSE)  +  NJ!$D$2 ) * IF($D209="NJ",1.07,1))/$L$10, CHOOSE($M$10,$L$9,$M$9) )</f>
        <v xml:space="preserve"> 36.86 </v>
      </c>
      <c r="N209" s="179" t="str">
        <f>TEXT(   (SUMPRODUCT( ((LMPMain!$H$9:$H$1000)=$E209)*((LMPMain!$J$9:$J$1000)=$F209)*((LMPMain!$O$9:$O$1000)=$C209)*(LMPMain!T$9:T$1000) ) +  ( SUMPRODUCT( ((Adders!$D$13:$D$101)=$E209)*((Adders!$E$13:$E$101)=$F209)*(Adders!I$13:I$101)) + VLOOKUP($H209,Adders!$B$5:$G$8,N$11,FALSE)  +  NJ!$D$2 ) * IF($D209="NJ",1.07,1))/$L$10, CHOOSE($M$10,$L$9,$M$9) )</f>
        <v xml:space="preserve"> 36.22 </v>
      </c>
      <c r="O209" s="112"/>
    </row>
    <row r="210" spans="2:15" x14ac:dyDescent="0.25">
      <c r="B210" s="108"/>
      <c r="C210" s="131">
        <f t="shared" si="5"/>
        <v>42309</v>
      </c>
      <c r="D210" s="132" t="s">
        <v>39</v>
      </c>
      <c r="E210" s="133" t="s">
        <v>44</v>
      </c>
      <c r="F210" s="132" t="s">
        <v>45</v>
      </c>
      <c r="G210" s="133" t="str">
        <f t="shared" si="6"/>
        <v>Time Metered Gen Service</v>
      </c>
      <c r="H210" s="134" t="s">
        <v>62</v>
      </c>
      <c r="I210" s="173" t="str">
        <f>TEXT(   (SUMPRODUCT( ((Main!$H$9:$H$1000)=$E210)*((Main!$J$9:$J$1000)=$F210)*((Main!$O$9:$O$1000)=$C210)*(Main!R$9:R$1000) ) +  ( SUMPRODUCT( ((Adders!$D$13:$D$101)=$E210)*((Adders!$E$13:$E$101)=$F210)*(Adders!G$13:G$101)) + VLOOKUP($H210,Adders!$B$5:$G$8,L$11,FALSE)  +  MD!$D$2 ) * IF($D210="NJ",1.07,1))/$L$10, CHOOSE($M$10,$L$9,$M$9) )</f>
        <v xml:space="preserve"> 81.37 </v>
      </c>
      <c r="J210" s="173" t="str">
        <f>TEXT(   (SUMPRODUCT( ((Main!$H$9:$H$1000)=$E210)*((Main!$J$9:$J$1000)=$F210)*((Main!$O$9:$O$1000)=$C210)*(Main!S$9:S$1000) ) +  ( SUMPRODUCT( ((Adders!$D$13:$D$101)=$E210)*((Adders!$E$13:$E$101)=$F210)*(Adders!H$13:H$101)) + VLOOKUP($H210,Adders!$B$5:$G$8,M$11,FALSE)  +  MD!$D$2 ) * IF($D210="NJ",1.07,1))/$L$10, CHOOSE($M$10,$L$9,$M$9) )</f>
        <v xml:space="preserve"> 81.69 </v>
      </c>
      <c r="K210" s="174" t="str">
        <f>TEXT(   (SUMPRODUCT( ((Main!$H$9:$H$1000)=$E210)*((Main!$J$9:$J$1000)=$F210)*((Main!$O$9:$O$1000)=$C210)*(Main!T$9:T$1000) ) +  ( SUMPRODUCT( ((Adders!$D$13:$D$101)=$E210)*((Adders!$E$13:$E$101)=$F210)*(Adders!I$13:I$101)) + VLOOKUP($H210,Adders!$B$5:$G$8,$N$11,FALSE)  +  MD!$D$2 ) * IF($D210="NJ",1.07,1))/$L$10, CHOOSE($M$10,$L$9,$M$9) )</f>
        <v xml:space="preserve"> 80.67 </v>
      </c>
      <c r="L210" s="173" t="str">
        <f>TEXT(   (SUMPRODUCT( ((LMPMain!$H$9:$H$1000)=$E210)*((LMPMain!$J$9:$J$1000)=$F210)*((LMPMain!$O$9:$O$1000)=$C210)*(LMPMain!R$9:R$1000) ) +  ( SUMPRODUCT( ((Adders!$D$13:$D$101)=$E210)*((Adders!$E$13:$E$101)=$F210)*(Adders!G$13:G$101)) + VLOOKUP($H210,Adders!$B$5:$G$8,L$11,FALSE)  +  NJ!$D$2 ) * IF($D210="NJ",1.07,1))/$L$10, CHOOSE($M$10,$L$9,$M$9) )</f>
        <v xml:space="preserve"> 35.57 </v>
      </c>
      <c r="M210" s="173" t="str">
        <f>TEXT(   (SUMPRODUCT( ((LMPMain!$H$9:$H$1000)=$E210)*((LMPMain!$J$9:$J$1000)=$F210)*((LMPMain!$O$9:$O$1000)=$C210)*(LMPMain!S$9:S$1000) ) +  ( SUMPRODUCT( ((Adders!$D$13:$D$101)=$E210)*((Adders!$E$13:$E$101)=$F210)*(Adders!H$13:H$101)) + VLOOKUP($H210,Adders!$B$5:$G$8,M$11,FALSE)  +  NJ!$D$2 ) * IF($D210="NJ",1.07,1))/$L$10, CHOOSE($M$10,$L$9,$M$9) )</f>
        <v xml:space="preserve"> 35.26 </v>
      </c>
      <c r="N210" s="174" t="str">
        <f>TEXT(   (SUMPRODUCT( ((LMPMain!$H$9:$H$1000)=$E210)*((LMPMain!$J$9:$J$1000)=$F210)*((LMPMain!$O$9:$O$1000)=$C210)*(LMPMain!T$9:T$1000) ) +  ( SUMPRODUCT( ((Adders!$D$13:$D$101)=$E210)*((Adders!$E$13:$E$101)=$F210)*(Adders!I$13:I$101)) + VLOOKUP($H210,Adders!$B$5:$G$8,N$11,FALSE)  +  NJ!$D$2 ) * IF($D210="NJ",1.07,1))/$L$10, CHOOSE($M$10,$L$9,$M$9) )</f>
        <v xml:space="preserve"> 34.62 </v>
      </c>
      <c r="O210" s="112"/>
    </row>
    <row r="211" spans="2:15" x14ac:dyDescent="0.25">
      <c r="B211" s="108"/>
      <c r="C211" s="135">
        <f t="shared" si="5"/>
        <v>42309</v>
      </c>
      <c r="D211" s="136" t="s">
        <v>39</v>
      </c>
      <c r="E211" s="137" t="s">
        <v>44</v>
      </c>
      <c r="F211" s="136" t="s">
        <v>45</v>
      </c>
      <c r="G211" s="137" t="str">
        <f t="shared" si="6"/>
        <v>Time Metered Gen Service</v>
      </c>
      <c r="H211" s="138" t="s">
        <v>690</v>
      </c>
      <c r="I211" s="176" t="str">
        <f>TEXT(   (SUMPRODUCT( ((Main!$H$9:$H$1000)=$E211)*((Main!$J$9:$J$1000)=$F211)*((Main!$O$9:$O$1000)=$C211)*(Main!R$9:R$1000) ) +  ( SUMPRODUCT( ((Adders!$D$13:$D$101)=$E211)*((Adders!$E$13:$E$101)=$F211)*(Adders!G$13:G$101)) + VLOOKUP($H211,Adders!$B$5:$G$8,L$11,FALSE)  +  MD!$D$2 ) * IF($D211="NJ",1.07,1))/$L$10, CHOOSE($M$10,$L$9,$M$9) )</f>
        <v xml:space="preserve"> 80.32 </v>
      </c>
      <c r="J211" s="176" t="str">
        <f>TEXT(   (SUMPRODUCT( ((Main!$H$9:$H$1000)=$E211)*((Main!$J$9:$J$1000)=$F211)*((Main!$O$9:$O$1000)=$C211)*(Main!S$9:S$1000) ) +  ( SUMPRODUCT( ((Adders!$D$13:$D$101)=$E211)*((Adders!$E$13:$E$101)=$F211)*(Adders!H$13:H$101)) + VLOOKUP($H211,Adders!$B$5:$G$8,M$11,FALSE)  +  MD!$D$2 ) * IF($D211="NJ",1.07,1))/$L$10, CHOOSE($M$10,$L$9,$M$9) )</f>
        <v xml:space="preserve"> 80.64 </v>
      </c>
      <c r="K211" s="177" t="str">
        <f>TEXT(   (SUMPRODUCT( ((Main!$H$9:$H$1000)=$E211)*((Main!$J$9:$J$1000)=$F211)*((Main!$O$9:$O$1000)=$C211)*(Main!T$9:T$1000) ) +  ( SUMPRODUCT( ((Adders!$D$13:$D$101)=$E211)*((Adders!$E$13:$E$101)=$F211)*(Adders!I$13:I$101)) + VLOOKUP($H211,Adders!$B$5:$G$8,$N$11,FALSE)  +  MD!$D$2 ) * IF($D211="NJ",1.07,1))/$L$10, CHOOSE($M$10,$L$9,$M$9) )</f>
        <v xml:space="preserve"> 79.62 </v>
      </c>
      <c r="L211" s="176" t="str">
        <f>TEXT(   (SUMPRODUCT( ((LMPMain!$H$9:$H$1000)=$E211)*((LMPMain!$J$9:$J$1000)=$F211)*((LMPMain!$O$9:$O$1000)=$C211)*(LMPMain!R$9:R$1000) ) +  ( SUMPRODUCT( ((Adders!$D$13:$D$101)=$E211)*((Adders!$E$13:$E$101)=$F211)*(Adders!G$13:G$101)) + VLOOKUP($H211,Adders!$B$5:$G$8,L$11,FALSE)  +  NJ!$D$2 ) * IF($D211="NJ",1.07,1))/$L$10, CHOOSE($M$10,$L$9,$M$9) )</f>
        <v xml:space="preserve"> 34.52 </v>
      </c>
      <c r="M211" s="176" t="str">
        <f>TEXT(   (SUMPRODUCT( ((LMPMain!$H$9:$H$1000)=$E211)*((LMPMain!$J$9:$J$1000)=$F211)*((LMPMain!$O$9:$O$1000)=$C211)*(LMPMain!S$9:S$1000) ) +  ( SUMPRODUCT( ((Adders!$D$13:$D$101)=$E211)*((Adders!$E$13:$E$101)=$F211)*(Adders!H$13:H$101)) + VLOOKUP($H211,Adders!$B$5:$G$8,M$11,FALSE)  +  NJ!$D$2 ) * IF($D211="NJ",1.07,1))/$L$10, CHOOSE($M$10,$L$9,$M$9) )</f>
        <v xml:space="preserve"> 34.21 </v>
      </c>
      <c r="N211" s="177" t="str">
        <f>TEXT(   (SUMPRODUCT( ((LMPMain!$H$9:$H$1000)=$E211)*((LMPMain!$J$9:$J$1000)=$F211)*((LMPMain!$O$9:$O$1000)=$C211)*(LMPMain!T$9:T$1000) ) +  ( SUMPRODUCT( ((Adders!$D$13:$D$101)=$E211)*((Adders!$E$13:$E$101)=$F211)*(Adders!I$13:I$101)) + VLOOKUP($H211,Adders!$B$5:$G$8,N$11,FALSE)  +  NJ!$D$2 ) * IF($D211="NJ",1.07,1))/$L$10, CHOOSE($M$10,$L$9,$M$9) )</f>
        <v xml:space="preserve"> 33.57 </v>
      </c>
      <c r="O211" s="112"/>
    </row>
    <row r="212" spans="2:15" x14ac:dyDescent="0.25">
      <c r="B212" s="108"/>
      <c r="C212" s="127">
        <f t="shared" si="5"/>
        <v>42339</v>
      </c>
      <c r="D212" s="128" t="s">
        <v>39</v>
      </c>
      <c r="E212" s="129" t="s">
        <v>44</v>
      </c>
      <c r="F212" s="128" t="s">
        <v>45</v>
      </c>
      <c r="G212" s="129" t="str">
        <f t="shared" si="6"/>
        <v>Time Metered Gen Service</v>
      </c>
      <c r="H212" s="130" t="s">
        <v>61</v>
      </c>
      <c r="I212" s="178" t="str">
        <f>TEXT(   (SUMPRODUCT( ((Main!$H$9:$H$1000)=$E212)*((Main!$J$9:$J$1000)=$F212)*((Main!$O$9:$O$1000)=$C212)*(Main!R$9:R$1000) ) +  ( SUMPRODUCT( ((Adders!$D$13:$D$101)=$E212)*((Adders!$E$13:$E$101)=$F212)*(Adders!G$13:G$101)) + VLOOKUP($H212,Adders!$B$5:$G$8,L$11,FALSE)  +  MD!$D$2 ) * IF($D212="NJ",1.07,1))/$L$10, CHOOSE($M$10,$L$9,$M$9) )</f>
        <v xml:space="preserve"> 82.63 </v>
      </c>
      <c r="J212" s="178" t="str">
        <f>TEXT(   (SUMPRODUCT( ((Main!$H$9:$H$1000)=$E212)*((Main!$J$9:$J$1000)=$F212)*((Main!$O$9:$O$1000)=$C212)*(Main!S$9:S$1000) ) +  ( SUMPRODUCT( ((Adders!$D$13:$D$101)=$E212)*((Adders!$E$13:$E$101)=$F212)*(Adders!H$13:H$101)) + VLOOKUP($H212,Adders!$B$5:$G$8,M$11,FALSE)  +  MD!$D$2 ) * IF($D212="NJ",1.07,1))/$L$10, CHOOSE($M$10,$L$9,$M$9) )</f>
        <v xml:space="preserve"> 83.08 </v>
      </c>
      <c r="K212" s="179" t="str">
        <f>TEXT(   (SUMPRODUCT( ((Main!$H$9:$H$1000)=$E212)*((Main!$J$9:$J$1000)=$F212)*((Main!$O$9:$O$1000)=$C212)*(Main!T$9:T$1000) ) +  ( SUMPRODUCT( ((Adders!$D$13:$D$101)=$E212)*((Adders!$E$13:$E$101)=$F212)*(Adders!I$13:I$101)) + VLOOKUP($H212,Adders!$B$5:$G$8,$N$11,FALSE)  +  MD!$D$2 ) * IF($D212="NJ",1.07,1))/$L$10, CHOOSE($M$10,$L$9,$M$9) )</f>
        <v xml:space="preserve"> 82.15 </v>
      </c>
      <c r="L212" s="178" t="str">
        <f>TEXT(   (SUMPRODUCT( ((LMPMain!$H$9:$H$1000)=$E212)*((LMPMain!$J$9:$J$1000)=$F212)*((LMPMain!$O$9:$O$1000)=$C212)*(LMPMain!R$9:R$1000) ) +  ( SUMPRODUCT( ((Adders!$D$13:$D$101)=$E212)*((Adders!$E$13:$E$101)=$F212)*(Adders!G$13:G$101)) + VLOOKUP($H212,Adders!$B$5:$G$8,L$11,FALSE)  +  NJ!$D$2 ) * IF($D212="NJ",1.07,1))/$L$10, CHOOSE($M$10,$L$9,$M$9) )</f>
        <v xml:space="preserve"> 36.86 </v>
      </c>
      <c r="M212" s="178" t="str">
        <f>TEXT(   (SUMPRODUCT( ((LMPMain!$H$9:$H$1000)=$E212)*((LMPMain!$J$9:$J$1000)=$F212)*((LMPMain!$O$9:$O$1000)=$C212)*(LMPMain!S$9:S$1000) ) +  ( SUMPRODUCT( ((Adders!$D$13:$D$101)=$E212)*((Adders!$E$13:$E$101)=$F212)*(Adders!H$13:H$101)) + VLOOKUP($H212,Adders!$B$5:$G$8,M$11,FALSE)  +  NJ!$D$2 ) * IF($D212="NJ",1.07,1))/$L$10, CHOOSE($M$10,$L$9,$M$9) )</f>
        <v xml:space="preserve"> 36.56 </v>
      </c>
      <c r="N212" s="179" t="str">
        <f>TEXT(   (SUMPRODUCT( ((LMPMain!$H$9:$H$1000)=$E212)*((LMPMain!$J$9:$J$1000)=$F212)*((LMPMain!$O$9:$O$1000)=$C212)*(LMPMain!T$9:T$1000) ) +  ( SUMPRODUCT( ((Adders!$D$13:$D$101)=$E212)*((Adders!$E$13:$E$101)=$F212)*(Adders!I$13:I$101)) + VLOOKUP($H212,Adders!$B$5:$G$8,N$11,FALSE)  +  NJ!$D$2 ) * IF($D212="NJ",1.07,1))/$L$10, CHOOSE($M$10,$L$9,$M$9) )</f>
        <v xml:space="preserve"> 36.09 </v>
      </c>
      <c r="O212" s="112"/>
    </row>
    <row r="213" spans="2:15" x14ac:dyDescent="0.25">
      <c r="B213" s="108"/>
      <c r="C213" s="131">
        <f t="shared" si="5"/>
        <v>42339</v>
      </c>
      <c r="D213" s="132" t="s">
        <v>39</v>
      </c>
      <c r="E213" s="133" t="s">
        <v>44</v>
      </c>
      <c r="F213" s="132" t="s">
        <v>45</v>
      </c>
      <c r="G213" s="133" t="str">
        <f t="shared" si="6"/>
        <v>Time Metered Gen Service</v>
      </c>
      <c r="H213" s="134" t="s">
        <v>62</v>
      </c>
      <c r="I213" s="173" t="str">
        <f>TEXT(   (SUMPRODUCT( ((Main!$H$9:$H$1000)=$E213)*((Main!$J$9:$J$1000)=$F213)*((Main!$O$9:$O$1000)=$C213)*(Main!R$9:R$1000) ) +  ( SUMPRODUCT( ((Adders!$D$13:$D$101)=$E213)*((Adders!$E$13:$E$101)=$F213)*(Adders!G$13:G$101)) + VLOOKUP($H213,Adders!$B$5:$G$8,L$11,FALSE)  +  MD!$D$2 ) * IF($D213="NJ",1.07,1))/$L$10, CHOOSE($M$10,$L$9,$M$9) )</f>
        <v xml:space="preserve"> 81.03 </v>
      </c>
      <c r="J213" s="173" t="str">
        <f>TEXT(   (SUMPRODUCT( ((Main!$H$9:$H$1000)=$E213)*((Main!$J$9:$J$1000)=$F213)*((Main!$O$9:$O$1000)=$C213)*(Main!S$9:S$1000) ) +  ( SUMPRODUCT( ((Adders!$D$13:$D$101)=$E213)*((Adders!$E$13:$E$101)=$F213)*(Adders!H$13:H$101)) + VLOOKUP($H213,Adders!$B$5:$G$8,M$11,FALSE)  +  MD!$D$2 ) * IF($D213="NJ",1.07,1))/$L$10, CHOOSE($M$10,$L$9,$M$9) )</f>
        <v xml:space="preserve"> 81.48 </v>
      </c>
      <c r="K213" s="174" t="str">
        <f>TEXT(   (SUMPRODUCT( ((Main!$H$9:$H$1000)=$E213)*((Main!$J$9:$J$1000)=$F213)*((Main!$O$9:$O$1000)=$C213)*(Main!T$9:T$1000) ) +  ( SUMPRODUCT( ((Adders!$D$13:$D$101)=$E213)*((Adders!$E$13:$E$101)=$F213)*(Adders!I$13:I$101)) + VLOOKUP($H213,Adders!$B$5:$G$8,$N$11,FALSE)  +  MD!$D$2 ) * IF($D213="NJ",1.07,1))/$L$10, CHOOSE($M$10,$L$9,$M$9) )</f>
        <v xml:space="preserve"> 80.55 </v>
      </c>
      <c r="L213" s="173" t="str">
        <f>TEXT(   (SUMPRODUCT( ((LMPMain!$H$9:$H$1000)=$E213)*((LMPMain!$J$9:$J$1000)=$F213)*((LMPMain!$O$9:$O$1000)=$C213)*(LMPMain!R$9:R$1000) ) +  ( SUMPRODUCT( ((Adders!$D$13:$D$101)=$E213)*((Adders!$E$13:$E$101)=$F213)*(Adders!G$13:G$101)) + VLOOKUP($H213,Adders!$B$5:$G$8,L$11,FALSE)  +  NJ!$D$2 ) * IF($D213="NJ",1.07,1))/$L$10, CHOOSE($M$10,$L$9,$M$9) )</f>
        <v xml:space="preserve"> 35.26 </v>
      </c>
      <c r="M213" s="173" t="str">
        <f>TEXT(   (SUMPRODUCT( ((LMPMain!$H$9:$H$1000)=$E213)*((LMPMain!$J$9:$J$1000)=$F213)*((LMPMain!$O$9:$O$1000)=$C213)*(LMPMain!S$9:S$1000) ) +  ( SUMPRODUCT( ((Adders!$D$13:$D$101)=$E213)*((Adders!$E$13:$E$101)=$F213)*(Adders!H$13:H$101)) + VLOOKUP($H213,Adders!$B$5:$G$8,M$11,FALSE)  +  NJ!$D$2 ) * IF($D213="NJ",1.07,1))/$L$10, CHOOSE($M$10,$L$9,$M$9) )</f>
        <v xml:space="preserve"> 34.96 </v>
      </c>
      <c r="N213" s="174" t="str">
        <f>TEXT(   (SUMPRODUCT( ((LMPMain!$H$9:$H$1000)=$E213)*((LMPMain!$J$9:$J$1000)=$F213)*((LMPMain!$O$9:$O$1000)=$C213)*(LMPMain!T$9:T$1000) ) +  ( SUMPRODUCT( ((Adders!$D$13:$D$101)=$E213)*((Adders!$E$13:$E$101)=$F213)*(Adders!I$13:I$101)) + VLOOKUP($H213,Adders!$B$5:$G$8,N$11,FALSE)  +  NJ!$D$2 ) * IF($D213="NJ",1.07,1))/$L$10, CHOOSE($M$10,$L$9,$M$9) )</f>
        <v xml:space="preserve"> 34.49 </v>
      </c>
      <c r="O213" s="112"/>
    </row>
    <row r="214" spans="2:15" x14ac:dyDescent="0.25">
      <c r="B214" s="108"/>
      <c r="C214" s="135">
        <f t="shared" si="5"/>
        <v>42339</v>
      </c>
      <c r="D214" s="136" t="s">
        <v>39</v>
      </c>
      <c r="E214" s="137" t="s">
        <v>44</v>
      </c>
      <c r="F214" s="136" t="s">
        <v>45</v>
      </c>
      <c r="G214" s="137" t="str">
        <f t="shared" si="6"/>
        <v>Time Metered Gen Service</v>
      </c>
      <c r="H214" s="138" t="s">
        <v>690</v>
      </c>
      <c r="I214" s="176" t="str">
        <f>TEXT(   (SUMPRODUCT( ((Main!$H$9:$H$1000)=$E214)*((Main!$J$9:$J$1000)=$F214)*((Main!$O$9:$O$1000)=$C214)*(Main!R$9:R$1000) ) +  ( SUMPRODUCT( ((Adders!$D$13:$D$101)=$E214)*((Adders!$E$13:$E$101)=$F214)*(Adders!G$13:G$101)) + VLOOKUP($H214,Adders!$B$5:$G$8,L$11,FALSE)  +  MD!$D$2 ) * IF($D214="NJ",1.07,1))/$L$10, CHOOSE($M$10,$L$9,$M$9) )</f>
        <v xml:space="preserve"> 79.98 </v>
      </c>
      <c r="J214" s="176" t="str">
        <f>TEXT(   (SUMPRODUCT( ((Main!$H$9:$H$1000)=$E214)*((Main!$J$9:$J$1000)=$F214)*((Main!$O$9:$O$1000)=$C214)*(Main!S$9:S$1000) ) +  ( SUMPRODUCT( ((Adders!$D$13:$D$101)=$E214)*((Adders!$E$13:$E$101)=$F214)*(Adders!H$13:H$101)) + VLOOKUP($H214,Adders!$B$5:$G$8,M$11,FALSE)  +  MD!$D$2 ) * IF($D214="NJ",1.07,1))/$L$10, CHOOSE($M$10,$L$9,$M$9) )</f>
        <v xml:space="preserve"> 80.43 </v>
      </c>
      <c r="K214" s="177" t="str">
        <f>TEXT(   (SUMPRODUCT( ((Main!$H$9:$H$1000)=$E214)*((Main!$J$9:$J$1000)=$F214)*((Main!$O$9:$O$1000)=$C214)*(Main!T$9:T$1000) ) +  ( SUMPRODUCT( ((Adders!$D$13:$D$101)=$E214)*((Adders!$E$13:$E$101)=$F214)*(Adders!I$13:I$101)) + VLOOKUP($H214,Adders!$B$5:$G$8,$N$11,FALSE)  +  MD!$D$2 ) * IF($D214="NJ",1.07,1))/$L$10, CHOOSE($M$10,$L$9,$M$9) )</f>
        <v xml:space="preserve"> 79.50 </v>
      </c>
      <c r="L214" s="176" t="str">
        <f>TEXT(   (SUMPRODUCT( ((LMPMain!$H$9:$H$1000)=$E214)*((LMPMain!$J$9:$J$1000)=$F214)*((LMPMain!$O$9:$O$1000)=$C214)*(LMPMain!R$9:R$1000) ) +  ( SUMPRODUCT( ((Adders!$D$13:$D$101)=$E214)*((Adders!$E$13:$E$101)=$F214)*(Adders!G$13:G$101)) + VLOOKUP($H214,Adders!$B$5:$G$8,L$11,FALSE)  +  NJ!$D$2 ) * IF($D214="NJ",1.07,1))/$L$10, CHOOSE($M$10,$L$9,$M$9) )</f>
        <v xml:space="preserve"> 34.21 </v>
      </c>
      <c r="M214" s="176" t="str">
        <f>TEXT(   (SUMPRODUCT( ((LMPMain!$H$9:$H$1000)=$E214)*((LMPMain!$J$9:$J$1000)=$F214)*((LMPMain!$O$9:$O$1000)=$C214)*(LMPMain!S$9:S$1000) ) +  ( SUMPRODUCT( ((Adders!$D$13:$D$101)=$E214)*((Adders!$E$13:$E$101)=$F214)*(Adders!H$13:H$101)) + VLOOKUP($H214,Adders!$B$5:$G$8,M$11,FALSE)  +  NJ!$D$2 ) * IF($D214="NJ",1.07,1))/$L$10, CHOOSE($M$10,$L$9,$M$9) )</f>
        <v xml:space="preserve"> 33.91 </v>
      </c>
      <c r="N214" s="177" t="str">
        <f>TEXT(   (SUMPRODUCT( ((LMPMain!$H$9:$H$1000)=$E214)*((LMPMain!$J$9:$J$1000)=$F214)*((LMPMain!$O$9:$O$1000)=$C214)*(LMPMain!T$9:T$1000) ) +  ( SUMPRODUCT( ((Adders!$D$13:$D$101)=$E214)*((Adders!$E$13:$E$101)=$F214)*(Adders!I$13:I$101)) + VLOOKUP($H214,Adders!$B$5:$G$8,N$11,FALSE)  +  NJ!$D$2 ) * IF($D214="NJ",1.07,1))/$L$10, CHOOSE($M$10,$L$9,$M$9) )</f>
        <v xml:space="preserve"> 33.44 </v>
      </c>
      <c r="O214" s="112"/>
    </row>
    <row r="215" spans="2:15" x14ac:dyDescent="0.25">
      <c r="B215" s="108"/>
      <c r="C215" s="127">
        <f t="shared" si="5"/>
        <v>42370</v>
      </c>
      <c r="D215" s="128" t="s">
        <v>39</v>
      </c>
      <c r="E215" s="129" t="s">
        <v>44</v>
      </c>
      <c r="F215" s="128" t="s">
        <v>45</v>
      </c>
      <c r="G215" s="129" t="str">
        <f t="shared" si="6"/>
        <v>Time Metered Gen Service</v>
      </c>
      <c r="H215" s="130" t="s">
        <v>61</v>
      </c>
      <c r="I215" s="178" t="str">
        <f>TEXT(   (SUMPRODUCT( ((Main!$H$9:$H$1000)=$E215)*((Main!$J$9:$J$1000)=$F215)*((Main!$O$9:$O$1000)=$C215)*(Main!R$9:R$1000) ) +  ( SUMPRODUCT( ((Adders!$D$13:$D$101)=$E215)*((Adders!$E$13:$E$101)=$F215)*(Adders!G$13:G$101)) + VLOOKUP($H215,Adders!$B$5:$G$8,L$11,FALSE)  +  MD!$D$2 ) * IF($D215="NJ",1.07,1))/$L$10, CHOOSE($M$10,$L$9,$M$9) )</f>
        <v xml:space="preserve"> 82.12 </v>
      </c>
      <c r="J215" s="178" t="str">
        <f>TEXT(   (SUMPRODUCT( ((Main!$H$9:$H$1000)=$E215)*((Main!$J$9:$J$1000)=$F215)*((Main!$O$9:$O$1000)=$C215)*(Main!S$9:S$1000) ) +  ( SUMPRODUCT( ((Adders!$D$13:$D$101)=$E215)*((Adders!$E$13:$E$101)=$F215)*(Adders!H$13:H$101)) + VLOOKUP($H215,Adders!$B$5:$G$8,M$11,FALSE)  +  MD!$D$2 ) * IF($D215="NJ",1.07,1))/$L$10, CHOOSE($M$10,$L$9,$M$9) )</f>
        <v xml:space="preserve"> 82.82 </v>
      </c>
      <c r="K215" s="179" t="str">
        <f>TEXT(   (SUMPRODUCT( ((Main!$H$9:$H$1000)=$E215)*((Main!$J$9:$J$1000)=$F215)*((Main!$O$9:$O$1000)=$C215)*(Main!T$9:T$1000) ) +  ( SUMPRODUCT( ((Adders!$D$13:$D$101)=$E215)*((Adders!$E$13:$E$101)=$F215)*(Adders!I$13:I$101)) + VLOOKUP($H215,Adders!$B$5:$G$8,$N$11,FALSE)  +  MD!$D$2 ) * IF($D215="NJ",1.07,1))/$L$10, CHOOSE($M$10,$L$9,$M$9) )</f>
        <v xml:space="preserve"> 81.98 </v>
      </c>
      <c r="L215" s="178" t="str">
        <f>TEXT(   (SUMPRODUCT( ((LMPMain!$H$9:$H$1000)=$E215)*((LMPMain!$J$9:$J$1000)=$F215)*((LMPMain!$O$9:$O$1000)=$C215)*(LMPMain!R$9:R$1000) ) +  ( SUMPRODUCT( ((Adders!$D$13:$D$101)=$E215)*((Adders!$E$13:$E$101)=$F215)*(Adders!G$13:G$101)) + VLOOKUP($H215,Adders!$B$5:$G$8,L$11,FALSE)  +  NJ!$D$2 ) * IF($D215="NJ",1.07,1))/$L$10, CHOOSE($M$10,$L$9,$M$9) )</f>
        <v xml:space="preserve"> 36.59 </v>
      </c>
      <c r="M215" s="178" t="str">
        <f>TEXT(   (SUMPRODUCT( ((LMPMain!$H$9:$H$1000)=$E215)*((LMPMain!$J$9:$J$1000)=$F215)*((LMPMain!$O$9:$O$1000)=$C215)*(LMPMain!S$9:S$1000) ) +  ( SUMPRODUCT( ((Adders!$D$13:$D$101)=$E215)*((Adders!$E$13:$E$101)=$F215)*(Adders!H$13:H$101)) + VLOOKUP($H215,Adders!$B$5:$G$8,M$11,FALSE)  +  NJ!$D$2 ) * IF($D215="NJ",1.07,1))/$L$10, CHOOSE($M$10,$L$9,$M$9) )</f>
        <v xml:space="preserve"> 36.31 </v>
      </c>
      <c r="N215" s="179" t="str">
        <f>TEXT(   (SUMPRODUCT( ((LMPMain!$H$9:$H$1000)=$E215)*((LMPMain!$J$9:$J$1000)=$F215)*((LMPMain!$O$9:$O$1000)=$C215)*(LMPMain!T$9:T$1000) ) +  ( SUMPRODUCT( ((Adders!$D$13:$D$101)=$E215)*((Adders!$E$13:$E$101)=$F215)*(Adders!I$13:I$101)) + VLOOKUP($H215,Adders!$B$5:$G$8,N$11,FALSE)  +  NJ!$D$2 ) * IF($D215="NJ",1.07,1))/$L$10, CHOOSE($M$10,$L$9,$M$9) )</f>
        <v xml:space="preserve"> 35.98 </v>
      </c>
      <c r="O215" s="112"/>
    </row>
    <row r="216" spans="2:15" x14ac:dyDescent="0.25">
      <c r="B216" s="108"/>
      <c r="C216" s="131">
        <f t="shared" si="5"/>
        <v>42370</v>
      </c>
      <c r="D216" s="132" t="s">
        <v>39</v>
      </c>
      <c r="E216" s="133" t="s">
        <v>44</v>
      </c>
      <c r="F216" s="132" t="s">
        <v>45</v>
      </c>
      <c r="G216" s="133" t="str">
        <f t="shared" si="6"/>
        <v>Time Metered Gen Service</v>
      </c>
      <c r="H216" s="134" t="s">
        <v>62</v>
      </c>
      <c r="I216" s="173" t="str">
        <f>TEXT(   (SUMPRODUCT( ((Main!$H$9:$H$1000)=$E216)*((Main!$J$9:$J$1000)=$F216)*((Main!$O$9:$O$1000)=$C216)*(Main!R$9:R$1000) ) +  ( SUMPRODUCT( ((Adders!$D$13:$D$101)=$E216)*((Adders!$E$13:$E$101)=$F216)*(Adders!G$13:G$101)) + VLOOKUP($H216,Adders!$B$5:$G$8,L$11,FALSE)  +  MD!$D$2 ) * IF($D216="NJ",1.07,1))/$L$10, CHOOSE($M$10,$L$9,$M$9) )</f>
        <v xml:space="preserve"> 80.52 </v>
      </c>
      <c r="J216" s="173" t="str">
        <f>TEXT(   (SUMPRODUCT( ((Main!$H$9:$H$1000)=$E216)*((Main!$J$9:$J$1000)=$F216)*((Main!$O$9:$O$1000)=$C216)*(Main!S$9:S$1000) ) +  ( SUMPRODUCT( ((Adders!$D$13:$D$101)=$E216)*((Adders!$E$13:$E$101)=$F216)*(Adders!H$13:H$101)) + VLOOKUP($H216,Adders!$B$5:$G$8,M$11,FALSE)  +  MD!$D$2 ) * IF($D216="NJ",1.07,1))/$L$10, CHOOSE($M$10,$L$9,$M$9) )</f>
        <v xml:space="preserve"> 81.22 </v>
      </c>
      <c r="K216" s="174" t="str">
        <f>TEXT(   (SUMPRODUCT( ((Main!$H$9:$H$1000)=$E216)*((Main!$J$9:$J$1000)=$F216)*((Main!$O$9:$O$1000)=$C216)*(Main!T$9:T$1000) ) +  ( SUMPRODUCT( ((Adders!$D$13:$D$101)=$E216)*((Adders!$E$13:$E$101)=$F216)*(Adders!I$13:I$101)) + VLOOKUP($H216,Adders!$B$5:$G$8,$N$11,FALSE)  +  MD!$D$2 ) * IF($D216="NJ",1.07,1))/$L$10, CHOOSE($M$10,$L$9,$M$9) )</f>
        <v xml:space="preserve"> 80.38 </v>
      </c>
      <c r="L216" s="173" t="str">
        <f>TEXT(   (SUMPRODUCT( ((LMPMain!$H$9:$H$1000)=$E216)*((LMPMain!$J$9:$J$1000)=$F216)*((LMPMain!$O$9:$O$1000)=$C216)*(LMPMain!R$9:R$1000) ) +  ( SUMPRODUCT( ((Adders!$D$13:$D$101)=$E216)*((Adders!$E$13:$E$101)=$F216)*(Adders!G$13:G$101)) + VLOOKUP($H216,Adders!$B$5:$G$8,L$11,FALSE)  +  NJ!$D$2 ) * IF($D216="NJ",1.07,1))/$L$10, CHOOSE($M$10,$L$9,$M$9) )</f>
        <v xml:space="preserve"> 34.99 </v>
      </c>
      <c r="M216" s="173" t="str">
        <f>TEXT(   (SUMPRODUCT( ((LMPMain!$H$9:$H$1000)=$E216)*((LMPMain!$J$9:$J$1000)=$F216)*((LMPMain!$O$9:$O$1000)=$C216)*(LMPMain!S$9:S$1000) ) +  ( SUMPRODUCT( ((Adders!$D$13:$D$101)=$E216)*((Adders!$E$13:$E$101)=$F216)*(Adders!H$13:H$101)) + VLOOKUP($H216,Adders!$B$5:$G$8,M$11,FALSE)  +  NJ!$D$2 ) * IF($D216="NJ",1.07,1))/$L$10, CHOOSE($M$10,$L$9,$M$9) )</f>
        <v xml:space="preserve"> 34.71 </v>
      </c>
      <c r="N216" s="174" t="str">
        <f>TEXT(   (SUMPRODUCT( ((LMPMain!$H$9:$H$1000)=$E216)*((LMPMain!$J$9:$J$1000)=$F216)*((LMPMain!$O$9:$O$1000)=$C216)*(LMPMain!T$9:T$1000) ) +  ( SUMPRODUCT( ((Adders!$D$13:$D$101)=$E216)*((Adders!$E$13:$E$101)=$F216)*(Adders!I$13:I$101)) + VLOOKUP($H216,Adders!$B$5:$G$8,N$11,FALSE)  +  NJ!$D$2 ) * IF($D216="NJ",1.07,1))/$L$10, CHOOSE($M$10,$L$9,$M$9) )</f>
        <v xml:space="preserve"> 34.38 </v>
      </c>
      <c r="O216" s="112"/>
    </row>
    <row r="217" spans="2:15" x14ac:dyDescent="0.25">
      <c r="B217" s="108"/>
      <c r="C217" s="135">
        <f t="shared" si="5"/>
        <v>42370</v>
      </c>
      <c r="D217" s="136" t="s">
        <v>39</v>
      </c>
      <c r="E217" s="137" t="s">
        <v>44</v>
      </c>
      <c r="F217" s="136" t="s">
        <v>45</v>
      </c>
      <c r="G217" s="137" t="str">
        <f t="shared" si="6"/>
        <v>Time Metered Gen Service</v>
      </c>
      <c r="H217" s="138" t="s">
        <v>690</v>
      </c>
      <c r="I217" s="176" t="str">
        <f>TEXT(   (SUMPRODUCT( ((Main!$H$9:$H$1000)=$E217)*((Main!$J$9:$J$1000)=$F217)*((Main!$O$9:$O$1000)=$C217)*(Main!R$9:R$1000) ) +  ( SUMPRODUCT( ((Adders!$D$13:$D$101)=$E217)*((Adders!$E$13:$E$101)=$F217)*(Adders!G$13:G$101)) + VLOOKUP($H217,Adders!$B$5:$G$8,L$11,FALSE)  +  MD!$D$2 ) * IF($D217="NJ",1.07,1))/$L$10, CHOOSE($M$10,$L$9,$M$9) )</f>
        <v xml:space="preserve"> 79.47 </v>
      </c>
      <c r="J217" s="176" t="str">
        <f>TEXT(   (SUMPRODUCT( ((Main!$H$9:$H$1000)=$E217)*((Main!$J$9:$J$1000)=$F217)*((Main!$O$9:$O$1000)=$C217)*(Main!S$9:S$1000) ) +  ( SUMPRODUCT( ((Adders!$D$13:$D$101)=$E217)*((Adders!$E$13:$E$101)=$F217)*(Adders!H$13:H$101)) + VLOOKUP($H217,Adders!$B$5:$G$8,M$11,FALSE)  +  MD!$D$2 ) * IF($D217="NJ",1.07,1))/$L$10, CHOOSE($M$10,$L$9,$M$9) )</f>
        <v xml:space="preserve"> 80.17 </v>
      </c>
      <c r="K217" s="177" t="str">
        <f>TEXT(   (SUMPRODUCT( ((Main!$H$9:$H$1000)=$E217)*((Main!$J$9:$J$1000)=$F217)*((Main!$O$9:$O$1000)=$C217)*(Main!T$9:T$1000) ) +  ( SUMPRODUCT( ((Adders!$D$13:$D$101)=$E217)*((Adders!$E$13:$E$101)=$F217)*(Adders!I$13:I$101)) + VLOOKUP($H217,Adders!$B$5:$G$8,$N$11,FALSE)  +  MD!$D$2 ) * IF($D217="NJ",1.07,1))/$L$10, CHOOSE($M$10,$L$9,$M$9) )</f>
        <v xml:space="preserve"> 79.33 </v>
      </c>
      <c r="L217" s="176" t="str">
        <f>TEXT(   (SUMPRODUCT( ((LMPMain!$H$9:$H$1000)=$E217)*((LMPMain!$J$9:$J$1000)=$F217)*((LMPMain!$O$9:$O$1000)=$C217)*(LMPMain!R$9:R$1000) ) +  ( SUMPRODUCT( ((Adders!$D$13:$D$101)=$E217)*((Adders!$E$13:$E$101)=$F217)*(Adders!G$13:G$101)) + VLOOKUP($H217,Adders!$B$5:$G$8,L$11,FALSE)  +  NJ!$D$2 ) * IF($D217="NJ",1.07,1))/$L$10, CHOOSE($M$10,$L$9,$M$9) )</f>
        <v xml:space="preserve"> 33.94 </v>
      </c>
      <c r="M217" s="176" t="str">
        <f>TEXT(   (SUMPRODUCT( ((LMPMain!$H$9:$H$1000)=$E217)*((LMPMain!$J$9:$J$1000)=$F217)*((LMPMain!$O$9:$O$1000)=$C217)*(LMPMain!S$9:S$1000) ) +  ( SUMPRODUCT( ((Adders!$D$13:$D$101)=$E217)*((Adders!$E$13:$E$101)=$F217)*(Adders!H$13:H$101)) + VLOOKUP($H217,Adders!$B$5:$G$8,M$11,FALSE)  +  NJ!$D$2 ) * IF($D217="NJ",1.07,1))/$L$10, CHOOSE($M$10,$L$9,$M$9) )</f>
        <v xml:space="preserve"> 33.66 </v>
      </c>
      <c r="N217" s="177" t="str">
        <f>TEXT(   (SUMPRODUCT( ((LMPMain!$H$9:$H$1000)=$E217)*((LMPMain!$J$9:$J$1000)=$F217)*((LMPMain!$O$9:$O$1000)=$C217)*(LMPMain!T$9:T$1000) ) +  ( SUMPRODUCT( ((Adders!$D$13:$D$101)=$E217)*((Adders!$E$13:$E$101)=$F217)*(Adders!I$13:I$101)) + VLOOKUP($H217,Adders!$B$5:$G$8,N$11,FALSE)  +  NJ!$D$2 ) * IF($D217="NJ",1.07,1))/$L$10, CHOOSE($M$10,$L$9,$M$9) )</f>
        <v xml:space="preserve"> 33.33 </v>
      </c>
      <c r="O217" s="112"/>
    </row>
    <row r="218" spans="2:15" x14ac:dyDescent="0.25">
      <c r="B218" s="108"/>
      <c r="C218" s="127">
        <f t="shared" si="5"/>
        <v>42401</v>
      </c>
      <c r="D218" s="128" t="s">
        <v>39</v>
      </c>
      <c r="E218" s="129" t="s">
        <v>44</v>
      </c>
      <c r="F218" s="128" t="s">
        <v>45</v>
      </c>
      <c r="G218" s="129" t="str">
        <f t="shared" si="6"/>
        <v>Time Metered Gen Service</v>
      </c>
      <c r="H218" s="130" t="s">
        <v>61</v>
      </c>
      <c r="I218" s="178" t="str">
        <f>TEXT(   (SUMPRODUCT( ((Main!$H$9:$H$1000)=$E218)*((Main!$J$9:$J$1000)=$F218)*((Main!$O$9:$O$1000)=$C218)*(Main!R$9:R$1000) ) +  ( SUMPRODUCT( ((Adders!$D$13:$D$101)=$E218)*((Adders!$E$13:$E$101)=$F218)*(Adders!G$13:G$101)) + VLOOKUP($H218,Adders!$B$5:$G$8,L$11,FALSE)  +  MD!$D$2 ) * IF($D218="NJ",1.07,1))/$L$10, CHOOSE($M$10,$L$9,$M$9) )</f>
        <v xml:space="preserve"> 81.90 </v>
      </c>
      <c r="J218" s="178" t="str">
        <f>TEXT(   (SUMPRODUCT( ((Main!$H$9:$H$1000)=$E218)*((Main!$J$9:$J$1000)=$F218)*((Main!$O$9:$O$1000)=$C218)*(Main!S$9:S$1000) ) +  ( SUMPRODUCT( ((Adders!$D$13:$D$101)=$E218)*((Adders!$E$13:$E$101)=$F218)*(Adders!H$13:H$101)) + VLOOKUP($H218,Adders!$B$5:$G$8,M$11,FALSE)  +  MD!$D$2 ) * IF($D218="NJ",1.07,1))/$L$10, CHOOSE($M$10,$L$9,$M$9) )</f>
        <v xml:space="preserve"> 82.05 </v>
      </c>
      <c r="K218" s="179" t="str">
        <f>TEXT(   (SUMPRODUCT( ((Main!$H$9:$H$1000)=$E218)*((Main!$J$9:$J$1000)=$F218)*((Main!$O$9:$O$1000)=$C218)*(Main!T$9:T$1000) ) +  ( SUMPRODUCT( ((Adders!$D$13:$D$101)=$E218)*((Adders!$E$13:$E$101)=$F218)*(Adders!I$13:I$101)) + VLOOKUP($H218,Adders!$B$5:$G$8,$N$11,FALSE)  +  MD!$D$2 ) * IF($D218="NJ",1.07,1))/$L$10, CHOOSE($M$10,$L$9,$M$9) )</f>
        <v xml:space="preserve"> 82.00 </v>
      </c>
      <c r="L218" s="178" t="str">
        <f>TEXT(   (SUMPRODUCT( ((LMPMain!$H$9:$H$1000)=$E218)*((LMPMain!$J$9:$J$1000)=$F218)*((LMPMain!$O$9:$O$1000)=$C218)*(LMPMain!R$9:R$1000) ) +  ( SUMPRODUCT( ((Adders!$D$13:$D$101)=$E218)*((Adders!$E$13:$E$101)=$F218)*(Adders!G$13:G$101)) + VLOOKUP($H218,Adders!$B$5:$G$8,L$11,FALSE)  +  NJ!$D$2 ) * IF($D218="NJ",1.07,1))/$L$10, CHOOSE($M$10,$L$9,$M$9) )</f>
        <v xml:space="preserve"> 36.25 </v>
      </c>
      <c r="M218" s="178" t="str">
        <f>TEXT(   (SUMPRODUCT( ((LMPMain!$H$9:$H$1000)=$E218)*((LMPMain!$J$9:$J$1000)=$F218)*((LMPMain!$O$9:$O$1000)=$C218)*(LMPMain!S$9:S$1000) ) +  ( SUMPRODUCT( ((Adders!$D$13:$D$101)=$E218)*((Adders!$E$13:$E$101)=$F218)*(Adders!H$13:H$101)) + VLOOKUP($H218,Adders!$B$5:$G$8,M$11,FALSE)  +  NJ!$D$2 ) * IF($D218="NJ",1.07,1))/$L$10, CHOOSE($M$10,$L$9,$M$9) )</f>
        <v xml:space="preserve"> 35.90 </v>
      </c>
      <c r="N218" s="179" t="str">
        <f>TEXT(   (SUMPRODUCT( ((LMPMain!$H$9:$H$1000)=$E218)*((LMPMain!$J$9:$J$1000)=$F218)*((LMPMain!$O$9:$O$1000)=$C218)*(LMPMain!T$9:T$1000) ) +  ( SUMPRODUCT( ((Adders!$D$13:$D$101)=$E218)*((Adders!$E$13:$E$101)=$F218)*(Adders!I$13:I$101)) + VLOOKUP($H218,Adders!$B$5:$G$8,N$11,FALSE)  +  NJ!$D$2 ) * IF($D218="NJ",1.07,1))/$L$10, CHOOSE($M$10,$L$9,$M$9) )</f>
        <v xml:space="preserve"> 35.88 </v>
      </c>
      <c r="O218" s="112"/>
    </row>
    <row r="219" spans="2:15" x14ac:dyDescent="0.25">
      <c r="B219" s="108"/>
      <c r="C219" s="131">
        <f t="shared" si="5"/>
        <v>42401</v>
      </c>
      <c r="D219" s="132" t="s">
        <v>39</v>
      </c>
      <c r="E219" s="133" t="s">
        <v>44</v>
      </c>
      <c r="F219" s="132" t="s">
        <v>45</v>
      </c>
      <c r="G219" s="133" t="str">
        <f t="shared" si="6"/>
        <v>Time Metered Gen Service</v>
      </c>
      <c r="H219" s="134" t="s">
        <v>62</v>
      </c>
      <c r="I219" s="173" t="str">
        <f>TEXT(   (SUMPRODUCT( ((Main!$H$9:$H$1000)=$E219)*((Main!$J$9:$J$1000)=$F219)*((Main!$O$9:$O$1000)=$C219)*(Main!R$9:R$1000) ) +  ( SUMPRODUCT( ((Adders!$D$13:$D$101)=$E219)*((Adders!$E$13:$E$101)=$F219)*(Adders!G$13:G$101)) + VLOOKUP($H219,Adders!$B$5:$G$8,L$11,FALSE)  +  MD!$D$2 ) * IF($D219="NJ",1.07,1))/$L$10, CHOOSE($M$10,$L$9,$M$9) )</f>
        <v xml:space="preserve"> 80.30 </v>
      </c>
      <c r="J219" s="173" t="str">
        <f>TEXT(   (SUMPRODUCT( ((Main!$H$9:$H$1000)=$E219)*((Main!$J$9:$J$1000)=$F219)*((Main!$O$9:$O$1000)=$C219)*(Main!S$9:S$1000) ) +  ( SUMPRODUCT( ((Adders!$D$13:$D$101)=$E219)*((Adders!$E$13:$E$101)=$F219)*(Adders!H$13:H$101)) + VLOOKUP($H219,Adders!$B$5:$G$8,M$11,FALSE)  +  MD!$D$2 ) * IF($D219="NJ",1.07,1))/$L$10, CHOOSE($M$10,$L$9,$M$9) )</f>
        <v xml:space="preserve"> 80.45 </v>
      </c>
      <c r="K219" s="174" t="str">
        <f>TEXT(   (SUMPRODUCT( ((Main!$H$9:$H$1000)=$E219)*((Main!$J$9:$J$1000)=$F219)*((Main!$O$9:$O$1000)=$C219)*(Main!T$9:T$1000) ) +  ( SUMPRODUCT( ((Adders!$D$13:$D$101)=$E219)*((Adders!$E$13:$E$101)=$F219)*(Adders!I$13:I$101)) + VLOOKUP($H219,Adders!$B$5:$G$8,$N$11,FALSE)  +  MD!$D$2 ) * IF($D219="NJ",1.07,1))/$L$10, CHOOSE($M$10,$L$9,$M$9) )</f>
        <v xml:space="preserve"> 80.40 </v>
      </c>
      <c r="L219" s="173" t="str">
        <f>TEXT(   (SUMPRODUCT( ((LMPMain!$H$9:$H$1000)=$E219)*((LMPMain!$J$9:$J$1000)=$F219)*((LMPMain!$O$9:$O$1000)=$C219)*(LMPMain!R$9:R$1000) ) +  ( SUMPRODUCT( ((Adders!$D$13:$D$101)=$E219)*((Adders!$E$13:$E$101)=$F219)*(Adders!G$13:G$101)) + VLOOKUP($H219,Adders!$B$5:$G$8,L$11,FALSE)  +  NJ!$D$2 ) * IF($D219="NJ",1.07,1))/$L$10, CHOOSE($M$10,$L$9,$M$9) )</f>
        <v xml:space="preserve"> 34.65 </v>
      </c>
      <c r="M219" s="173" t="str">
        <f>TEXT(   (SUMPRODUCT( ((LMPMain!$H$9:$H$1000)=$E219)*((LMPMain!$J$9:$J$1000)=$F219)*((LMPMain!$O$9:$O$1000)=$C219)*(LMPMain!S$9:S$1000) ) +  ( SUMPRODUCT( ((Adders!$D$13:$D$101)=$E219)*((Adders!$E$13:$E$101)=$F219)*(Adders!H$13:H$101)) + VLOOKUP($H219,Adders!$B$5:$G$8,M$11,FALSE)  +  NJ!$D$2 ) * IF($D219="NJ",1.07,1))/$L$10, CHOOSE($M$10,$L$9,$M$9) )</f>
        <v xml:space="preserve"> 34.30 </v>
      </c>
      <c r="N219" s="174" t="str">
        <f>TEXT(   (SUMPRODUCT( ((LMPMain!$H$9:$H$1000)=$E219)*((LMPMain!$J$9:$J$1000)=$F219)*((LMPMain!$O$9:$O$1000)=$C219)*(LMPMain!T$9:T$1000) ) +  ( SUMPRODUCT( ((Adders!$D$13:$D$101)=$E219)*((Adders!$E$13:$E$101)=$F219)*(Adders!I$13:I$101)) + VLOOKUP($H219,Adders!$B$5:$G$8,N$11,FALSE)  +  NJ!$D$2 ) * IF($D219="NJ",1.07,1))/$L$10, CHOOSE($M$10,$L$9,$M$9) )</f>
        <v xml:space="preserve"> 34.28 </v>
      </c>
      <c r="O219" s="112"/>
    </row>
    <row r="220" spans="2:15" x14ac:dyDescent="0.25">
      <c r="B220" s="108"/>
      <c r="C220" s="135">
        <f t="shared" si="5"/>
        <v>42401</v>
      </c>
      <c r="D220" s="136" t="s">
        <v>39</v>
      </c>
      <c r="E220" s="137" t="s">
        <v>44</v>
      </c>
      <c r="F220" s="136" t="s">
        <v>45</v>
      </c>
      <c r="G220" s="137" t="str">
        <f t="shared" si="6"/>
        <v>Time Metered Gen Service</v>
      </c>
      <c r="H220" s="138" t="s">
        <v>690</v>
      </c>
      <c r="I220" s="176" t="str">
        <f>TEXT(   (SUMPRODUCT( ((Main!$H$9:$H$1000)=$E220)*((Main!$J$9:$J$1000)=$F220)*((Main!$O$9:$O$1000)=$C220)*(Main!R$9:R$1000) ) +  ( SUMPRODUCT( ((Adders!$D$13:$D$101)=$E220)*((Adders!$E$13:$E$101)=$F220)*(Adders!G$13:G$101)) + VLOOKUP($H220,Adders!$B$5:$G$8,L$11,FALSE)  +  MD!$D$2 ) * IF($D220="NJ",1.07,1))/$L$10, CHOOSE($M$10,$L$9,$M$9) )</f>
        <v xml:space="preserve"> 79.25 </v>
      </c>
      <c r="J220" s="176" t="str">
        <f>TEXT(   (SUMPRODUCT( ((Main!$H$9:$H$1000)=$E220)*((Main!$J$9:$J$1000)=$F220)*((Main!$O$9:$O$1000)=$C220)*(Main!S$9:S$1000) ) +  ( SUMPRODUCT( ((Adders!$D$13:$D$101)=$E220)*((Adders!$E$13:$E$101)=$F220)*(Adders!H$13:H$101)) + VLOOKUP($H220,Adders!$B$5:$G$8,M$11,FALSE)  +  MD!$D$2 ) * IF($D220="NJ",1.07,1))/$L$10, CHOOSE($M$10,$L$9,$M$9) )</f>
        <v xml:space="preserve"> 79.40 </v>
      </c>
      <c r="K220" s="177" t="str">
        <f>TEXT(   (SUMPRODUCT( ((Main!$H$9:$H$1000)=$E220)*((Main!$J$9:$J$1000)=$F220)*((Main!$O$9:$O$1000)=$C220)*(Main!T$9:T$1000) ) +  ( SUMPRODUCT( ((Adders!$D$13:$D$101)=$E220)*((Adders!$E$13:$E$101)=$F220)*(Adders!I$13:I$101)) + VLOOKUP($H220,Adders!$B$5:$G$8,$N$11,FALSE)  +  MD!$D$2 ) * IF($D220="NJ",1.07,1))/$L$10, CHOOSE($M$10,$L$9,$M$9) )</f>
        <v xml:space="preserve"> 79.35 </v>
      </c>
      <c r="L220" s="176" t="str">
        <f>TEXT(   (SUMPRODUCT( ((LMPMain!$H$9:$H$1000)=$E220)*((LMPMain!$J$9:$J$1000)=$F220)*((LMPMain!$O$9:$O$1000)=$C220)*(LMPMain!R$9:R$1000) ) +  ( SUMPRODUCT( ((Adders!$D$13:$D$101)=$E220)*((Adders!$E$13:$E$101)=$F220)*(Adders!G$13:G$101)) + VLOOKUP($H220,Adders!$B$5:$G$8,L$11,FALSE)  +  NJ!$D$2 ) * IF($D220="NJ",1.07,1))/$L$10, CHOOSE($M$10,$L$9,$M$9) )</f>
        <v xml:space="preserve"> 33.60 </v>
      </c>
      <c r="M220" s="176" t="str">
        <f>TEXT(   (SUMPRODUCT( ((LMPMain!$H$9:$H$1000)=$E220)*((LMPMain!$J$9:$J$1000)=$F220)*((LMPMain!$O$9:$O$1000)=$C220)*(LMPMain!S$9:S$1000) ) +  ( SUMPRODUCT( ((Adders!$D$13:$D$101)=$E220)*((Adders!$E$13:$E$101)=$F220)*(Adders!H$13:H$101)) + VLOOKUP($H220,Adders!$B$5:$G$8,M$11,FALSE)  +  NJ!$D$2 ) * IF($D220="NJ",1.07,1))/$L$10, CHOOSE($M$10,$L$9,$M$9) )</f>
        <v xml:space="preserve"> 33.25 </v>
      </c>
      <c r="N220" s="177" t="str">
        <f>TEXT(   (SUMPRODUCT( ((LMPMain!$H$9:$H$1000)=$E220)*((LMPMain!$J$9:$J$1000)=$F220)*((LMPMain!$O$9:$O$1000)=$C220)*(LMPMain!T$9:T$1000) ) +  ( SUMPRODUCT( ((Adders!$D$13:$D$101)=$E220)*((Adders!$E$13:$E$101)=$F220)*(Adders!I$13:I$101)) + VLOOKUP($H220,Adders!$B$5:$G$8,N$11,FALSE)  +  NJ!$D$2 ) * IF($D220="NJ",1.07,1))/$L$10, CHOOSE($M$10,$L$9,$M$9) )</f>
        <v xml:space="preserve"> 33.23 </v>
      </c>
      <c r="O220" s="112"/>
    </row>
    <row r="221" spans="2:15" x14ac:dyDescent="0.25">
      <c r="B221" s="108"/>
      <c r="C221" s="127">
        <f t="shared" si="5"/>
        <v>42430</v>
      </c>
      <c r="D221" s="128" t="s">
        <v>39</v>
      </c>
      <c r="E221" s="129" t="s">
        <v>44</v>
      </c>
      <c r="F221" s="128" t="s">
        <v>45</v>
      </c>
      <c r="G221" s="129" t="str">
        <f t="shared" si="6"/>
        <v>Time Metered Gen Service</v>
      </c>
      <c r="H221" s="130" t="s">
        <v>61</v>
      </c>
      <c r="I221" s="178" t="str">
        <f>TEXT(   (SUMPRODUCT( ((Main!$H$9:$H$1000)=$E221)*((Main!$J$9:$J$1000)=$F221)*((Main!$O$9:$O$1000)=$C221)*(Main!R$9:R$1000) ) +  ( SUMPRODUCT( ((Adders!$D$13:$D$101)=$E221)*((Adders!$E$13:$E$101)=$F221)*(Adders!G$13:G$101)) + VLOOKUP($H221,Adders!$B$5:$G$8,L$11,FALSE)  +  MD!$D$2 ) * IF($D221="NJ",1.07,1))/$L$10, CHOOSE($M$10,$L$9,$M$9) )</f>
        <v xml:space="preserve"> 81.66 </v>
      </c>
      <c r="J221" s="178" t="str">
        <f>TEXT(   (SUMPRODUCT( ((Main!$H$9:$H$1000)=$E221)*((Main!$J$9:$J$1000)=$F221)*((Main!$O$9:$O$1000)=$C221)*(Main!S$9:S$1000) ) +  ( SUMPRODUCT( ((Adders!$D$13:$D$101)=$E221)*((Adders!$E$13:$E$101)=$F221)*(Adders!H$13:H$101)) + VLOOKUP($H221,Adders!$B$5:$G$8,M$11,FALSE)  +  MD!$D$2 ) * IF($D221="NJ",1.07,1))/$L$10, CHOOSE($M$10,$L$9,$M$9) )</f>
        <v xml:space="preserve"> 81.45 </v>
      </c>
      <c r="K221" s="179" t="str">
        <f>TEXT(   (SUMPRODUCT( ((Main!$H$9:$H$1000)=$E221)*((Main!$J$9:$J$1000)=$F221)*((Main!$O$9:$O$1000)=$C221)*(Main!T$9:T$1000) ) +  ( SUMPRODUCT( ((Adders!$D$13:$D$101)=$E221)*((Adders!$E$13:$E$101)=$F221)*(Adders!I$13:I$101)) + VLOOKUP($H221,Adders!$B$5:$G$8,$N$11,FALSE)  +  MD!$D$2 ) * IF($D221="NJ",1.07,1))/$L$10, CHOOSE($M$10,$L$9,$M$9) )</f>
        <v xml:space="preserve"> 82.04 </v>
      </c>
      <c r="L221" s="178" t="str">
        <f>TEXT(   (SUMPRODUCT( ((LMPMain!$H$9:$H$1000)=$E221)*((LMPMain!$J$9:$J$1000)=$F221)*((LMPMain!$O$9:$O$1000)=$C221)*(LMPMain!R$9:R$1000) ) +  ( SUMPRODUCT( ((Adders!$D$13:$D$101)=$E221)*((Adders!$E$13:$E$101)=$F221)*(Adders!G$13:G$101)) + VLOOKUP($H221,Adders!$B$5:$G$8,L$11,FALSE)  +  NJ!$D$2 ) * IF($D221="NJ",1.07,1))/$L$10, CHOOSE($M$10,$L$9,$M$9) )</f>
        <v xml:space="preserve"> 35.93 </v>
      </c>
      <c r="M221" s="178" t="str">
        <f>TEXT(   (SUMPRODUCT( ((LMPMain!$H$9:$H$1000)=$E221)*((LMPMain!$J$9:$J$1000)=$F221)*((LMPMain!$O$9:$O$1000)=$C221)*(LMPMain!S$9:S$1000) ) +  ( SUMPRODUCT( ((Adders!$D$13:$D$101)=$E221)*((Adders!$E$13:$E$101)=$F221)*(Adders!H$13:H$101)) + VLOOKUP($H221,Adders!$B$5:$G$8,M$11,FALSE)  +  NJ!$D$2 ) * IF($D221="NJ",1.07,1))/$L$10, CHOOSE($M$10,$L$9,$M$9) )</f>
        <v xml:space="preserve"> 35.49 </v>
      </c>
      <c r="N221" s="179" t="str">
        <f>TEXT(   (SUMPRODUCT( ((LMPMain!$H$9:$H$1000)=$E221)*((LMPMain!$J$9:$J$1000)=$F221)*((LMPMain!$O$9:$O$1000)=$C221)*(LMPMain!T$9:T$1000) ) +  ( SUMPRODUCT( ((Adders!$D$13:$D$101)=$E221)*((Adders!$E$13:$E$101)=$F221)*(Adders!I$13:I$101)) + VLOOKUP($H221,Adders!$B$5:$G$8,N$11,FALSE)  +  NJ!$D$2 ) * IF($D221="NJ",1.07,1))/$L$10, CHOOSE($M$10,$L$9,$M$9) )</f>
        <v xml:space="preserve"> 35.78 </v>
      </c>
      <c r="O221" s="112"/>
    </row>
    <row r="222" spans="2:15" x14ac:dyDescent="0.25">
      <c r="B222" s="108"/>
      <c r="C222" s="131">
        <f t="shared" si="5"/>
        <v>42430</v>
      </c>
      <c r="D222" s="132" t="s">
        <v>39</v>
      </c>
      <c r="E222" s="133" t="s">
        <v>44</v>
      </c>
      <c r="F222" s="132" t="s">
        <v>45</v>
      </c>
      <c r="G222" s="133" t="str">
        <f t="shared" si="6"/>
        <v>Time Metered Gen Service</v>
      </c>
      <c r="H222" s="134" t="s">
        <v>62</v>
      </c>
      <c r="I222" s="173" t="str">
        <f>TEXT(   (SUMPRODUCT( ((Main!$H$9:$H$1000)=$E222)*((Main!$J$9:$J$1000)=$F222)*((Main!$O$9:$O$1000)=$C222)*(Main!R$9:R$1000) ) +  ( SUMPRODUCT( ((Adders!$D$13:$D$101)=$E222)*((Adders!$E$13:$E$101)=$F222)*(Adders!G$13:G$101)) + VLOOKUP($H222,Adders!$B$5:$G$8,L$11,FALSE)  +  MD!$D$2 ) * IF($D222="NJ",1.07,1))/$L$10, CHOOSE($M$10,$L$9,$M$9) )</f>
        <v xml:space="preserve"> 80.06 </v>
      </c>
      <c r="J222" s="173" t="str">
        <f>TEXT(   (SUMPRODUCT( ((Main!$H$9:$H$1000)=$E222)*((Main!$J$9:$J$1000)=$F222)*((Main!$O$9:$O$1000)=$C222)*(Main!S$9:S$1000) ) +  ( SUMPRODUCT( ((Adders!$D$13:$D$101)=$E222)*((Adders!$E$13:$E$101)=$F222)*(Adders!H$13:H$101)) + VLOOKUP($H222,Adders!$B$5:$G$8,M$11,FALSE)  +  MD!$D$2 ) * IF($D222="NJ",1.07,1))/$L$10, CHOOSE($M$10,$L$9,$M$9) )</f>
        <v xml:space="preserve"> 79.85 </v>
      </c>
      <c r="K222" s="174" t="str">
        <f>TEXT(   (SUMPRODUCT( ((Main!$H$9:$H$1000)=$E222)*((Main!$J$9:$J$1000)=$F222)*((Main!$O$9:$O$1000)=$C222)*(Main!T$9:T$1000) ) +  ( SUMPRODUCT( ((Adders!$D$13:$D$101)=$E222)*((Adders!$E$13:$E$101)=$F222)*(Adders!I$13:I$101)) + VLOOKUP($H222,Adders!$B$5:$G$8,$N$11,FALSE)  +  MD!$D$2 ) * IF($D222="NJ",1.07,1))/$L$10, CHOOSE($M$10,$L$9,$M$9) )</f>
        <v xml:space="preserve"> 80.44 </v>
      </c>
      <c r="L222" s="173" t="str">
        <f>TEXT(   (SUMPRODUCT( ((LMPMain!$H$9:$H$1000)=$E222)*((LMPMain!$J$9:$J$1000)=$F222)*((LMPMain!$O$9:$O$1000)=$C222)*(LMPMain!R$9:R$1000) ) +  ( SUMPRODUCT( ((Adders!$D$13:$D$101)=$E222)*((Adders!$E$13:$E$101)=$F222)*(Adders!G$13:G$101)) + VLOOKUP($H222,Adders!$B$5:$G$8,L$11,FALSE)  +  NJ!$D$2 ) * IF($D222="NJ",1.07,1))/$L$10, CHOOSE($M$10,$L$9,$M$9) )</f>
        <v xml:space="preserve"> 34.33 </v>
      </c>
      <c r="M222" s="173" t="str">
        <f>TEXT(   (SUMPRODUCT( ((LMPMain!$H$9:$H$1000)=$E222)*((LMPMain!$J$9:$J$1000)=$F222)*((LMPMain!$O$9:$O$1000)=$C222)*(LMPMain!S$9:S$1000) ) +  ( SUMPRODUCT( ((Adders!$D$13:$D$101)=$E222)*((Adders!$E$13:$E$101)=$F222)*(Adders!H$13:H$101)) + VLOOKUP($H222,Adders!$B$5:$G$8,M$11,FALSE)  +  NJ!$D$2 ) * IF($D222="NJ",1.07,1))/$L$10, CHOOSE($M$10,$L$9,$M$9) )</f>
        <v xml:space="preserve"> 33.89 </v>
      </c>
      <c r="N222" s="174" t="str">
        <f>TEXT(   (SUMPRODUCT( ((LMPMain!$H$9:$H$1000)=$E222)*((LMPMain!$J$9:$J$1000)=$F222)*((LMPMain!$O$9:$O$1000)=$C222)*(LMPMain!T$9:T$1000) ) +  ( SUMPRODUCT( ((Adders!$D$13:$D$101)=$E222)*((Adders!$E$13:$E$101)=$F222)*(Adders!I$13:I$101)) + VLOOKUP($H222,Adders!$B$5:$G$8,N$11,FALSE)  +  NJ!$D$2 ) * IF($D222="NJ",1.07,1))/$L$10, CHOOSE($M$10,$L$9,$M$9) )</f>
        <v xml:space="preserve"> 34.18 </v>
      </c>
      <c r="O222" s="112"/>
    </row>
    <row r="223" spans="2:15" x14ac:dyDescent="0.25">
      <c r="B223" s="108"/>
      <c r="C223" s="135">
        <f t="shared" si="5"/>
        <v>42430</v>
      </c>
      <c r="D223" s="136" t="s">
        <v>39</v>
      </c>
      <c r="E223" s="137" t="s">
        <v>44</v>
      </c>
      <c r="F223" s="136" t="s">
        <v>45</v>
      </c>
      <c r="G223" s="137" t="str">
        <f t="shared" si="6"/>
        <v>Time Metered Gen Service</v>
      </c>
      <c r="H223" s="138" t="s">
        <v>690</v>
      </c>
      <c r="I223" s="176" t="str">
        <f>TEXT(   (SUMPRODUCT( ((Main!$H$9:$H$1000)=$E223)*((Main!$J$9:$J$1000)=$F223)*((Main!$O$9:$O$1000)=$C223)*(Main!R$9:R$1000) ) +  ( SUMPRODUCT( ((Adders!$D$13:$D$101)=$E223)*((Adders!$E$13:$E$101)=$F223)*(Adders!G$13:G$101)) + VLOOKUP($H223,Adders!$B$5:$G$8,L$11,FALSE)  +  MD!$D$2 ) * IF($D223="NJ",1.07,1))/$L$10, CHOOSE($M$10,$L$9,$M$9) )</f>
        <v xml:space="preserve"> 79.01 </v>
      </c>
      <c r="J223" s="176" t="str">
        <f>TEXT(   (SUMPRODUCT( ((Main!$H$9:$H$1000)=$E223)*((Main!$J$9:$J$1000)=$F223)*((Main!$O$9:$O$1000)=$C223)*(Main!S$9:S$1000) ) +  ( SUMPRODUCT( ((Adders!$D$13:$D$101)=$E223)*((Adders!$E$13:$E$101)=$F223)*(Adders!H$13:H$101)) + VLOOKUP($H223,Adders!$B$5:$G$8,M$11,FALSE)  +  MD!$D$2 ) * IF($D223="NJ",1.07,1))/$L$10, CHOOSE($M$10,$L$9,$M$9) )</f>
        <v xml:space="preserve"> 78.80 </v>
      </c>
      <c r="K223" s="177" t="str">
        <f>TEXT(   (SUMPRODUCT( ((Main!$H$9:$H$1000)=$E223)*((Main!$J$9:$J$1000)=$F223)*((Main!$O$9:$O$1000)=$C223)*(Main!T$9:T$1000) ) +  ( SUMPRODUCT( ((Adders!$D$13:$D$101)=$E223)*((Adders!$E$13:$E$101)=$F223)*(Adders!I$13:I$101)) + VLOOKUP($H223,Adders!$B$5:$G$8,$N$11,FALSE)  +  MD!$D$2 ) * IF($D223="NJ",1.07,1))/$L$10, CHOOSE($M$10,$L$9,$M$9) )</f>
        <v xml:space="preserve"> 79.39 </v>
      </c>
      <c r="L223" s="176" t="str">
        <f>TEXT(   (SUMPRODUCT( ((LMPMain!$H$9:$H$1000)=$E223)*((LMPMain!$J$9:$J$1000)=$F223)*((LMPMain!$O$9:$O$1000)=$C223)*(LMPMain!R$9:R$1000) ) +  ( SUMPRODUCT( ((Adders!$D$13:$D$101)=$E223)*((Adders!$E$13:$E$101)=$F223)*(Adders!G$13:G$101)) + VLOOKUP($H223,Adders!$B$5:$G$8,L$11,FALSE)  +  NJ!$D$2 ) * IF($D223="NJ",1.07,1))/$L$10, CHOOSE($M$10,$L$9,$M$9) )</f>
        <v xml:space="preserve"> 33.28 </v>
      </c>
      <c r="M223" s="176" t="str">
        <f>TEXT(   (SUMPRODUCT( ((LMPMain!$H$9:$H$1000)=$E223)*((LMPMain!$J$9:$J$1000)=$F223)*((LMPMain!$O$9:$O$1000)=$C223)*(LMPMain!S$9:S$1000) ) +  ( SUMPRODUCT( ((Adders!$D$13:$D$101)=$E223)*((Adders!$E$13:$E$101)=$F223)*(Adders!H$13:H$101)) + VLOOKUP($H223,Adders!$B$5:$G$8,M$11,FALSE)  +  NJ!$D$2 ) * IF($D223="NJ",1.07,1))/$L$10, CHOOSE($M$10,$L$9,$M$9) )</f>
        <v xml:space="preserve"> 32.84 </v>
      </c>
      <c r="N223" s="177" t="str">
        <f>TEXT(   (SUMPRODUCT( ((LMPMain!$H$9:$H$1000)=$E223)*((LMPMain!$J$9:$J$1000)=$F223)*((LMPMain!$O$9:$O$1000)=$C223)*(LMPMain!T$9:T$1000) ) +  ( SUMPRODUCT( ((Adders!$D$13:$D$101)=$E223)*((Adders!$E$13:$E$101)=$F223)*(Adders!I$13:I$101)) + VLOOKUP($H223,Adders!$B$5:$G$8,N$11,FALSE)  +  NJ!$D$2 ) * IF($D223="NJ",1.07,1))/$L$10, CHOOSE($M$10,$L$9,$M$9) )</f>
        <v xml:space="preserve"> 33.13 </v>
      </c>
      <c r="O223" s="112"/>
    </row>
    <row r="224" spans="2:15" x14ac:dyDescent="0.25">
      <c r="B224" s="108"/>
      <c r="C224" s="127">
        <f t="shared" si="5"/>
        <v>42461</v>
      </c>
      <c r="D224" s="128" t="s">
        <v>39</v>
      </c>
      <c r="E224" s="129" t="s">
        <v>44</v>
      </c>
      <c r="F224" s="128" t="s">
        <v>45</v>
      </c>
      <c r="G224" s="129" t="str">
        <f t="shared" si="6"/>
        <v>Time Metered Gen Service</v>
      </c>
      <c r="H224" s="130" t="s">
        <v>61</v>
      </c>
      <c r="I224" s="178" t="str">
        <f>TEXT(   (SUMPRODUCT( ((Main!$H$9:$H$1000)=$E224)*((Main!$J$9:$J$1000)=$F224)*((Main!$O$9:$O$1000)=$C224)*(Main!R$9:R$1000) ) +  ( SUMPRODUCT( ((Adders!$D$13:$D$101)=$E224)*((Adders!$E$13:$E$101)=$F224)*(Adders!G$13:G$101)) + VLOOKUP($H224,Adders!$B$5:$G$8,L$11,FALSE)  +  MD!$D$2 ) * IF($D224="NJ",1.07,1))/$L$10, CHOOSE($M$10,$L$9,$M$9) )</f>
        <v xml:space="preserve"> 81.40 </v>
      </c>
      <c r="J224" s="178" t="str">
        <f>TEXT(   (SUMPRODUCT( ((Main!$H$9:$H$1000)=$E224)*((Main!$J$9:$J$1000)=$F224)*((Main!$O$9:$O$1000)=$C224)*(Main!S$9:S$1000) ) +  ( SUMPRODUCT( ((Adders!$D$13:$D$101)=$E224)*((Adders!$E$13:$E$101)=$F224)*(Adders!H$13:H$101)) + VLOOKUP($H224,Adders!$B$5:$G$8,M$11,FALSE)  +  MD!$D$2 ) * IF($D224="NJ",1.07,1))/$L$10, CHOOSE($M$10,$L$9,$M$9) )</f>
        <v xml:space="preserve"> 80.81 </v>
      </c>
      <c r="K224" s="179" t="str">
        <f>TEXT(   (SUMPRODUCT( ((Main!$H$9:$H$1000)=$E224)*((Main!$J$9:$J$1000)=$F224)*((Main!$O$9:$O$1000)=$C224)*(Main!T$9:T$1000) ) +  ( SUMPRODUCT( ((Adders!$D$13:$D$101)=$E224)*((Adders!$E$13:$E$101)=$F224)*(Adders!I$13:I$101)) + VLOOKUP($H224,Adders!$B$5:$G$8,$N$11,FALSE)  +  MD!$D$2 ) * IF($D224="NJ",1.07,1))/$L$10, CHOOSE($M$10,$L$9,$M$9) )</f>
        <v xml:space="preserve"> 81.91 </v>
      </c>
      <c r="L224" s="178" t="str">
        <f>TEXT(   (SUMPRODUCT( ((LMPMain!$H$9:$H$1000)=$E224)*((LMPMain!$J$9:$J$1000)=$F224)*((LMPMain!$O$9:$O$1000)=$C224)*(LMPMain!R$9:R$1000) ) +  ( SUMPRODUCT( ((Adders!$D$13:$D$101)=$E224)*((Adders!$E$13:$E$101)=$F224)*(Adders!G$13:G$101)) + VLOOKUP($H224,Adders!$B$5:$G$8,L$11,FALSE)  +  NJ!$D$2 ) * IF($D224="NJ",1.07,1))/$L$10, CHOOSE($M$10,$L$9,$M$9) )</f>
        <v xml:space="preserve"> 35.61 </v>
      </c>
      <c r="M224" s="178" t="str">
        <f>TEXT(   (SUMPRODUCT( ((LMPMain!$H$9:$H$1000)=$E224)*((LMPMain!$J$9:$J$1000)=$F224)*((LMPMain!$O$9:$O$1000)=$C224)*(LMPMain!S$9:S$1000) ) +  ( SUMPRODUCT( ((Adders!$D$13:$D$101)=$E224)*((Adders!$E$13:$E$101)=$F224)*(Adders!H$13:H$101)) + VLOOKUP($H224,Adders!$B$5:$G$8,M$11,FALSE)  +  NJ!$D$2 ) * IF($D224="NJ",1.07,1))/$L$10, CHOOSE($M$10,$L$9,$M$9) )</f>
        <v xml:space="preserve"> 35.16 </v>
      </c>
      <c r="N224" s="179" t="str">
        <f>TEXT(   (SUMPRODUCT( ((LMPMain!$H$9:$H$1000)=$E224)*((LMPMain!$J$9:$J$1000)=$F224)*((LMPMain!$O$9:$O$1000)=$C224)*(LMPMain!T$9:T$1000) ) +  ( SUMPRODUCT( ((Adders!$D$13:$D$101)=$E224)*((Adders!$E$13:$E$101)=$F224)*(Adders!I$13:I$101)) + VLOOKUP($H224,Adders!$B$5:$G$8,N$11,FALSE)  +  NJ!$D$2 ) * IF($D224="NJ",1.07,1))/$L$10, CHOOSE($M$10,$L$9,$M$9) )</f>
        <v xml:space="preserve"> 35.67 </v>
      </c>
      <c r="O224" s="112"/>
    </row>
    <row r="225" spans="2:15" x14ac:dyDescent="0.25">
      <c r="B225" s="108"/>
      <c r="C225" s="131">
        <f t="shared" si="5"/>
        <v>42461</v>
      </c>
      <c r="D225" s="132" t="s">
        <v>39</v>
      </c>
      <c r="E225" s="133" t="s">
        <v>44</v>
      </c>
      <c r="F225" s="132" t="s">
        <v>45</v>
      </c>
      <c r="G225" s="133" t="str">
        <f t="shared" si="6"/>
        <v>Time Metered Gen Service</v>
      </c>
      <c r="H225" s="134" t="s">
        <v>62</v>
      </c>
      <c r="I225" s="173" t="str">
        <f>TEXT(   (SUMPRODUCT( ((Main!$H$9:$H$1000)=$E225)*((Main!$J$9:$J$1000)=$F225)*((Main!$O$9:$O$1000)=$C225)*(Main!R$9:R$1000) ) +  ( SUMPRODUCT( ((Adders!$D$13:$D$101)=$E225)*((Adders!$E$13:$E$101)=$F225)*(Adders!G$13:G$101)) + VLOOKUP($H225,Adders!$B$5:$G$8,L$11,FALSE)  +  MD!$D$2 ) * IF($D225="NJ",1.07,1))/$L$10, CHOOSE($M$10,$L$9,$M$9) )</f>
        <v xml:space="preserve"> 79.80 </v>
      </c>
      <c r="J225" s="173" t="str">
        <f>TEXT(   (SUMPRODUCT( ((Main!$H$9:$H$1000)=$E225)*((Main!$J$9:$J$1000)=$F225)*((Main!$O$9:$O$1000)=$C225)*(Main!S$9:S$1000) ) +  ( SUMPRODUCT( ((Adders!$D$13:$D$101)=$E225)*((Adders!$E$13:$E$101)=$F225)*(Adders!H$13:H$101)) + VLOOKUP($H225,Adders!$B$5:$G$8,M$11,FALSE)  +  MD!$D$2 ) * IF($D225="NJ",1.07,1))/$L$10, CHOOSE($M$10,$L$9,$M$9) )</f>
        <v xml:space="preserve"> 79.21 </v>
      </c>
      <c r="K225" s="174" t="str">
        <f>TEXT(   (SUMPRODUCT( ((Main!$H$9:$H$1000)=$E225)*((Main!$J$9:$J$1000)=$F225)*((Main!$O$9:$O$1000)=$C225)*(Main!T$9:T$1000) ) +  ( SUMPRODUCT( ((Adders!$D$13:$D$101)=$E225)*((Adders!$E$13:$E$101)=$F225)*(Adders!I$13:I$101)) + VLOOKUP($H225,Adders!$B$5:$G$8,$N$11,FALSE)  +  MD!$D$2 ) * IF($D225="NJ",1.07,1))/$L$10, CHOOSE($M$10,$L$9,$M$9) )</f>
        <v xml:space="preserve"> 80.31 </v>
      </c>
      <c r="L225" s="173" t="str">
        <f>TEXT(   (SUMPRODUCT( ((LMPMain!$H$9:$H$1000)=$E225)*((LMPMain!$J$9:$J$1000)=$F225)*((LMPMain!$O$9:$O$1000)=$C225)*(LMPMain!R$9:R$1000) ) +  ( SUMPRODUCT( ((Adders!$D$13:$D$101)=$E225)*((Adders!$E$13:$E$101)=$F225)*(Adders!G$13:G$101)) + VLOOKUP($H225,Adders!$B$5:$G$8,L$11,FALSE)  +  NJ!$D$2 ) * IF($D225="NJ",1.07,1))/$L$10, CHOOSE($M$10,$L$9,$M$9) )</f>
        <v xml:space="preserve"> 34.01 </v>
      </c>
      <c r="M225" s="173" t="str">
        <f>TEXT(   (SUMPRODUCT( ((LMPMain!$H$9:$H$1000)=$E225)*((LMPMain!$J$9:$J$1000)=$F225)*((LMPMain!$O$9:$O$1000)=$C225)*(LMPMain!S$9:S$1000) ) +  ( SUMPRODUCT( ((Adders!$D$13:$D$101)=$E225)*((Adders!$E$13:$E$101)=$F225)*(Adders!H$13:H$101)) + VLOOKUP($H225,Adders!$B$5:$G$8,M$11,FALSE)  +  NJ!$D$2 ) * IF($D225="NJ",1.07,1))/$L$10, CHOOSE($M$10,$L$9,$M$9) )</f>
        <v xml:space="preserve"> 33.56 </v>
      </c>
      <c r="N225" s="174" t="str">
        <f>TEXT(   (SUMPRODUCT( ((LMPMain!$H$9:$H$1000)=$E225)*((LMPMain!$J$9:$J$1000)=$F225)*((LMPMain!$O$9:$O$1000)=$C225)*(LMPMain!T$9:T$1000) ) +  ( SUMPRODUCT( ((Adders!$D$13:$D$101)=$E225)*((Adders!$E$13:$E$101)=$F225)*(Adders!I$13:I$101)) + VLOOKUP($H225,Adders!$B$5:$G$8,N$11,FALSE)  +  NJ!$D$2 ) * IF($D225="NJ",1.07,1))/$L$10, CHOOSE($M$10,$L$9,$M$9) )</f>
        <v xml:space="preserve"> 34.07 </v>
      </c>
      <c r="O225" s="112"/>
    </row>
    <row r="226" spans="2:15" x14ac:dyDescent="0.25">
      <c r="B226" s="108"/>
      <c r="C226" s="135">
        <f t="shared" si="5"/>
        <v>42461</v>
      </c>
      <c r="D226" s="136" t="s">
        <v>39</v>
      </c>
      <c r="E226" s="137" t="s">
        <v>44</v>
      </c>
      <c r="F226" s="136" t="s">
        <v>45</v>
      </c>
      <c r="G226" s="137" t="str">
        <f t="shared" si="6"/>
        <v>Time Metered Gen Service</v>
      </c>
      <c r="H226" s="138" t="s">
        <v>690</v>
      </c>
      <c r="I226" s="176" t="str">
        <f>TEXT(   (SUMPRODUCT( ((Main!$H$9:$H$1000)=$E226)*((Main!$J$9:$J$1000)=$F226)*((Main!$O$9:$O$1000)=$C226)*(Main!R$9:R$1000) ) +  ( SUMPRODUCT( ((Adders!$D$13:$D$101)=$E226)*((Adders!$E$13:$E$101)=$F226)*(Adders!G$13:G$101)) + VLOOKUP($H226,Adders!$B$5:$G$8,L$11,FALSE)  +  MD!$D$2 ) * IF($D226="NJ",1.07,1))/$L$10, CHOOSE($M$10,$L$9,$M$9) )</f>
        <v xml:space="preserve"> 78.75 </v>
      </c>
      <c r="J226" s="176" t="str">
        <f>TEXT(   (SUMPRODUCT( ((Main!$H$9:$H$1000)=$E226)*((Main!$J$9:$J$1000)=$F226)*((Main!$O$9:$O$1000)=$C226)*(Main!S$9:S$1000) ) +  ( SUMPRODUCT( ((Adders!$D$13:$D$101)=$E226)*((Adders!$E$13:$E$101)=$F226)*(Adders!H$13:H$101)) + VLOOKUP($H226,Adders!$B$5:$G$8,M$11,FALSE)  +  MD!$D$2 ) * IF($D226="NJ",1.07,1))/$L$10, CHOOSE($M$10,$L$9,$M$9) )</f>
        <v xml:space="preserve"> 78.16 </v>
      </c>
      <c r="K226" s="177" t="str">
        <f>TEXT(   (SUMPRODUCT( ((Main!$H$9:$H$1000)=$E226)*((Main!$J$9:$J$1000)=$F226)*((Main!$O$9:$O$1000)=$C226)*(Main!T$9:T$1000) ) +  ( SUMPRODUCT( ((Adders!$D$13:$D$101)=$E226)*((Adders!$E$13:$E$101)=$F226)*(Adders!I$13:I$101)) + VLOOKUP($H226,Adders!$B$5:$G$8,$N$11,FALSE)  +  MD!$D$2 ) * IF($D226="NJ",1.07,1))/$L$10, CHOOSE($M$10,$L$9,$M$9) )</f>
        <v xml:space="preserve"> 79.26 </v>
      </c>
      <c r="L226" s="176" t="str">
        <f>TEXT(   (SUMPRODUCT( ((LMPMain!$H$9:$H$1000)=$E226)*((LMPMain!$J$9:$J$1000)=$F226)*((LMPMain!$O$9:$O$1000)=$C226)*(LMPMain!R$9:R$1000) ) +  ( SUMPRODUCT( ((Adders!$D$13:$D$101)=$E226)*((Adders!$E$13:$E$101)=$F226)*(Adders!G$13:G$101)) + VLOOKUP($H226,Adders!$B$5:$G$8,L$11,FALSE)  +  NJ!$D$2 ) * IF($D226="NJ",1.07,1))/$L$10, CHOOSE($M$10,$L$9,$M$9) )</f>
        <v xml:space="preserve"> 32.96 </v>
      </c>
      <c r="M226" s="176" t="str">
        <f>TEXT(   (SUMPRODUCT( ((LMPMain!$H$9:$H$1000)=$E226)*((LMPMain!$J$9:$J$1000)=$F226)*((LMPMain!$O$9:$O$1000)=$C226)*(LMPMain!S$9:S$1000) ) +  ( SUMPRODUCT( ((Adders!$D$13:$D$101)=$E226)*((Adders!$E$13:$E$101)=$F226)*(Adders!H$13:H$101)) + VLOOKUP($H226,Adders!$B$5:$G$8,M$11,FALSE)  +  NJ!$D$2 ) * IF($D226="NJ",1.07,1))/$L$10, CHOOSE($M$10,$L$9,$M$9) )</f>
        <v xml:space="preserve"> 32.51 </v>
      </c>
      <c r="N226" s="177" t="str">
        <f>TEXT(   (SUMPRODUCT( ((LMPMain!$H$9:$H$1000)=$E226)*((LMPMain!$J$9:$J$1000)=$F226)*((LMPMain!$O$9:$O$1000)=$C226)*(LMPMain!T$9:T$1000) ) +  ( SUMPRODUCT( ((Adders!$D$13:$D$101)=$E226)*((Adders!$E$13:$E$101)=$F226)*(Adders!I$13:I$101)) + VLOOKUP($H226,Adders!$B$5:$G$8,N$11,FALSE)  +  NJ!$D$2 ) * IF($D226="NJ",1.07,1))/$L$10, CHOOSE($M$10,$L$9,$M$9) )</f>
        <v xml:space="preserve"> 33.02 </v>
      </c>
      <c r="O226" s="112"/>
    </row>
    <row r="227" spans="2:15" x14ac:dyDescent="0.25">
      <c r="B227" s="108"/>
      <c r="C227" s="127">
        <f t="shared" si="5"/>
        <v>42491</v>
      </c>
      <c r="D227" s="128" t="s">
        <v>39</v>
      </c>
      <c r="E227" s="129" t="s">
        <v>44</v>
      </c>
      <c r="F227" s="128" t="s">
        <v>45</v>
      </c>
      <c r="G227" s="129" t="str">
        <f t="shared" si="6"/>
        <v>Time Metered Gen Service</v>
      </c>
      <c r="H227" s="130" t="s">
        <v>61</v>
      </c>
      <c r="I227" s="178" t="str">
        <f>TEXT(   (SUMPRODUCT( ((Main!$H$9:$H$1000)=$E227)*((Main!$J$9:$J$1000)=$F227)*((Main!$O$9:$O$1000)=$C227)*(Main!R$9:R$1000) ) +  ( SUMPRODUCT( ((Adders!$D$13:$D$101)=$E227)*((Adders!$E$13:$E$101)=$F227)*(Adders!G$13:G$101)) + VLOOKUP($H227,Adders!$B$5:$G$8,L$11,FALSE)  +  MD!$D$2 ) * IF($D227="NJ",1.07,1))/$L$10, CHOOSE($M$10,$L$9,$M$9) )</f>
        <v xml:space="preserve"> 81.08 </v>
      </c>
      <c r="J227" s="178" t="str">
        <f>TEXT(   (SUMPRODUCT( ((Main!$H$9:$H$1000)=$E227)*((Main!$J$9:$J$1000)=$F227)*((Main!$O$9:$O$1000)=$C227)*(Main!S$9:S$1000) ) +  ( SUMPRODUCT( ((Adders!$D$13:$D$101)=$E227)*((Adders!$E$13:$E$101)=$F227)*(Adders!H$13:H$101)) + VLOOKUP($H227,Adders!$B$5:$G$8,M$11,FALSE)  +  MD!$D$2 ) * IF($D227="NJ",1.07,1))/$L$10, CHOOSE($M$10,$L$9,$M$9) )</f>
        <v xml:space="preserve"> 80.52 </v>
      </c>
      <c r="K227" s="179" t="str">
        <f>TEXT(   (SUMPRODUCT( ((Main!$H$9:$H$1000)=$E227)*((Main!$J$9:$J$1000)=$F227)*((Main!$O$9:$O$1000)=$C227)*(Main!T$9:T$1000) ) +  ( SUMPRODUCT( ((Adders!$D$13:$D$101)=$E227)*((Adders!$E$13:$E$101)=$F227)*(Adders!I$13:I$101)) + VLOOKUP($H227,Adders!$B$5:$G$8,$N$11,FALSE)  +  MD!$D$2 ) * IF($D227="NJ",1.07,1))/$L$10, CHOOSE($M$10,$L$9,$M$9) )</f>
        <v xml:space="preserve"> 81.85 </v>
      </c>
      <c r="L227" s="178" t="str">
        <f>TEXT(   (SUMPRODUCT( ((LMPMain!$H$9:$H$1000)=$E227)*((LMPMain!$J$9:$J$1000)=$F227)*((LMPMain!$O$9:$O$1000)=$C227)*(LMPMain!R$9:R$1000) ) +  ( SUMPRODUCT( ((Adders!$D$13:$D$101)=$E227)*((Adders!$E$13:$E$101)=$F227)*(Adders!G$13:G$101)) + VLOOKUP($H227,Adders!$B$5:$G$8,L$11,FALSE)  +  NJ!$D$2 ) * IF($D227="NJ",1.07,1))/$L$10, CHOOSE($M$10,$L$9,$M$9) )</f>
        <v xml:space="preserve"> 35.29 </v>
      </c>
      <c r="M227" s="178" t="str">
        <f>TEXT(   (SUMPRODUCT( ((LMPMain!$H$9:$H$1000)=$E227)*((LMPMain!$J$9:$J$1000)=$F227)*((LMPMain!$O$9:$O$1000)=$C227)*(LMPMain!S$9:S$1000) ) +  ( SUMPRODUCT( ((Adders!$D$13:$D$101)=$E227)*((Adders!$E$13:$E$101)=$F227)*(Adders!H$13:H$101)) + VLOOKUP($H227,Adders!$B$5:$G$8,M$11,FALSE)  +  NJ!$D$2 ) * IF($D227="NJ",1.07,1))/$L$10, CHOOSE($M$10,$L$9,$M$9) )</f>
        <v xml:space="preserve"> 34.99 </v>
      </c>
      <c r="N227" s="179" t="str">
        <f>TEXT(   (SUMPRODUCT( ((LMPMain!$H$9:$H$1000)=$E227)*((LMPMain!$J$9:$J$1000)=$F227)*((LMPMain!$O$9:$O$1000)=$C227)*(LMPMain!T$9:T$1000) ) +  ( SUMPRODUCT( ((Adders!$D$13:$D$101)=$E227)*((Adders!$E$13:$E$101)=$F227)*(Adders!I$13:I$101)) + VLOOKUP($H227,Adders!$B$5:$G$8,N$11,FALSE)  +  NJ!$D$2 ) * IF($D227="NJ",1.07,1))/$L$10, CHOOSE($M$10,$L$9,$M$9) )</f>
        <v xml:space="preserve"> 35.57 </v>
      </c>
      <c r="O227" s="112"/>
    </row>
    <row r="228" spans="2:15" x14ac:dyDescent="0.25">
      <c r="B228" s="108"/>
      <c r="C228" s="131">
        <f t="shared" si="5"/>
        <v>42491</v>
      </c>
      <c r="D228" s="132" t="s">
        <v>39</v>
      </c>
      <c r="E228" s="133" t="s">
        <v>44</v>
      </c>
      <c r="F228" s="132" t="s">
        <v>45</v>
      </c>
      <c r="G228" s="133" t="str">
        <f t="shared" si="6"/>
        <v>Time Metered Gen Service</v>
      </c>
      <c r="H228" s="134" t="s">
        <v>62</v>
      </c>
      <c r="I228" s="173" t="str">
        <f>TEXT(   (SUMPRODUCT( ((Main!$H$9:$H$1000)=$E228)*((Main!$J$9:$J$1000)=$F228)*((Main!$O$9:$O$1000)=$C228)*(Main!R$9:R$1000) ) +  ( SUMPRODUCT( ((Adders!$D$13:$D$101)=$E228)*((Adders!$E$13:$E$101)=$F228)*(Adders!G$13:G$101)) + VLOOKUP($H228,Adders!$B$5:$G$8,L$11,FALSE)  +  MD!$D$2 ) * IF($D228="NJ",1.07,1))/$L$10, CHOOSE($M$10,$L$9,$M$9) )</f>
        <v xml:space="preserve"> 79.48 </v>
      </c>
      <c r="J228" s="173" t="str">
        <f>TEXT(   (SUMPRODUCT( ((Main!$H$9:$H$1000)=$E228)*((Main!$J$9:$J$1000)=$F228)*((Main!$O$9:$O$1000)=$C228)*(Main!S$9:S$1000) ) +  ( SUMPRODUCT( ((Adders!$D$13:$D$101)=$E228)*((Adders!$E$13:$E$101)=$F228)*(Adders!H$13:H$101)) + VLOOKUP($H228,Adders!$B$5:$G$8,M$11,FALSE)  +  MD!$D$2 ) * IF($D228="NJ",1.07,1))/$L$10, CHOOSE($M$10,$L$9,$M$9) )</f>
        <v xml:space="preserve"> 78.92 </v>
      </c>
      <c r="K228" s="174" t="str">
        <f>TEXT(   (SUMPRODUCT( ((Main!$H$9:$H$1000)=$E228)*((Main!$J$9:$J$1000)=$F228)*((Main!$O$9:$O$1000)=$C228)*(Main!T$9:T$1000) ) +  ( SUMPRODUCT( ((Adders!$D$13:$D$101)=$E228)*((Adders!$E$13:$E$101)=$F228)*(Adders!I$13:I$101)) + VLOOKUP($H228,Adders!$B$5:$G$8,$N$11,FALSE)  +  MD!$D$2 ) * IF($D228="NJ",1.07,1))/$L$10, CHOOSE($M$10,$L$9,$M$9) )</f>
        <v xml:space="preserve"> 80.25 </v>
      </c>
      <c r="L228" s="173" t="str">
        <f>TEXT(   (SUMPRODUCT( ((LMPMain!$H$9:$H$1000)=$E228)*((LMPMain!$J$9:$J$1000)=$F228)*((LMPMain!$O$9:$O$1000)=$C228)*(LMPMain!R$9:R$1000) ) +  ( SUMPRODUCT( ((Adders!$D$13:$D$101)=$E228)*((Adders!$E$13:$E$101)=$F228)*(Adders!G$13:G$101)) + VLOOKUP($H228,Adders!$B$5:$G$8,L$11,FALSE)  +  NJ!$D$2 ) * IF($D228="NJ",1.07,1))/$L$10, CHOOSE($M$10,$L$9,$M$9) )</f>
        <v xml:space="preserve"> 33.69 </v>
      </c>
      <c r="M228" s="173" t="str">
        <f>TEXT(   (SUMPRODUCT( ((LMPMain!$H$9:$H$1000)=$E228)*((LMPMain!$J$9:$J$1000)=$F228)*((LMPMain!$O$9:$O$1000)=$C228)*(LMPMain!S$9:S$1000) ) +  ( SUMPRODUCT( ((Adders!$D$13:$D$101)=$E228)*((Adders!$E$13:$E$101)=$F228)*(Adders!H$13:H$101)) + VLOOKUP($H228,Adders!$B$5:$G$8,M$11,FALSE)  +  NJ!$D$2 ) * IF($D228="NJ",1.07,1))/$L$10, CHOOSE($M$10,$L$9,$M$9) )</f>
        <v xml:space="preserve"> 33.39 </v>
      </c>
      <c r="N228" s="174" t="str">
        <f>TEXT(   (SUMPRODUCT( ((LMPMain!$H$9:$H$1000)=$E228)*((LMPMain!$J$9:$J$1000)=$F228)*((LMPMain!$O$9:$O$1000)=$C228)*(LMPMain!T$9:T$1000) ) +  ( SUMPRODUCT( ((Adders!$D$13:$D$101)=$E228)*((Adders!$E$13:$E$101)=$F228)*(Adders!I$13:I$101)) + VLOOKUP($H228,Adders!$B$5:$G$8,N$11,FALSE)  +  NJ!$D$2 ) * IF($D228="NJ",1.07,1))/$L$10, CHOOSE($M$10,$L$9,$M$9) )</f>
        <v xml:space="preserve"> 33.97 </v>
      </c>
      <c r="O228" s="112"/>
    </row>
    <row r="229" spans="2:15" x14ac:dyDescent="0.25">
      <c r="B229" s="108"/>
      <c r="C229" s="135">
        <f t="shared" si="5"/>
        <v>42491</v>
      </c>
      <c r="D229" s="136" t="s">
        <v>39</v>
      </c>
      <c r="E229" s="137" t="s">
        <v>44</v>
      </c>
      <c r="F229" s="136" t="s">
        <v>45</v>
      </c>
      <c r="G229" s="137" t="str">
        <f t="shared" si="6"/>
        <v>Time Metered Gen Service</v>
      </c>
      <c r="H229" s="138" t="s">
        <v>690</v>
      </c>
      <c r="I229" s="176" t="str">
        <f>TEXT(   (SUMPRODUCT( ((Main!$H$9:$H$1000)=$E229)*((Main!$J$9:$J$1000)=$F229)*((Main!$O$9:$O$1000)=$C229)*(Main!R$9:R$1000) ) +  ( SUMPRODUCT( ((Adders!$D$13:$D$101)=$E229)*((Adders!$E$13:$E$101)=$F229)*(Adders!G$13:G$101)) + VLOOKUP($H229,Adders!$B$5:$G$8,L$11,FALSE)  +  MD!$D$2 ) * IF($D229="NJ",1.07,1))/$L$10, CHOOSE($M$10,$L$9,$M$9) )</f>
        <v xml:space="preserve"> 78.43 </v>
      </c>
      <c r="J229" s="176" t="str">
        <f>TEXT(   (SUMPRODUCT( ((Main!$H$9:$H$1000)=$E229)*((Main!$J$9:$J$1000)=$F229)*((Main!$O$9:$O$1000)=$C229)*(Main!S$9:S$1000) ) +  ( SUMPRODUCT( ((Adders!$D$13:$D$101)=$E229)*((Adders!$E$13:$E$101)=$F229)*(Adders!H$13:H$101)) + VLOOKUP($H229,Adders!$B$5:$G$8,M$11,FALSE)  +  MD!$D$2 ) * IF($D229="NJ",1.07,1))/$L$10, CHOOSE($M$10,$L$9,$M$9) )</f>
        <v xml:space="preserve"> 77.87 </v>
      </c>
      <c r="K229" s="177" t="str">
        <f>TEXT(   (SUMPRODUCT( ((Main!$H$9:$H$1000)=$E229)*((Main!$J$9:$J$1000)=$F229)*((Main!$O$9:$O$1000)=$C229)*(Main!T$9:T$1000) ) +  ( SUMPRODUCT( ((Adders!$D$13:$D$101)=$E229)*((Adders!$E$13:$E$101)=$F229)*(Adders!I$13:I$101)) + VLOOKUP($H229,Adders!$B$5:$G$8,$N$11,FALSE)  +  MD!$D$2 ) * IF($D229="NJ",1.07,1))/$L$10, CHOOSE($M$10,$L$9,$M$9) )</f>
        <v xml:space="preserve"> 79.20 </v>
      </c>
      <c r="L229" s="176" t="str">
        <f>TEXT(   (SUMPRODUCT( ((LMPMain!$H$9:$H$1000)=$E229)*((LMPMain!$J$9:$J$1000)=$F229)*((LMPMain!$O$9:$O$1000)=$C229)*(LMPMain!R$9:R$1000) ) +  ( SUMPRODUCT( ((Adders!$D$13:$D$101)=$E229)*((Adders!$E$13:$E$101)=$F229)*(Adders!G$13:G$101)) + VLOOKUP($H229,Adders!$B$5:$G$8,L$11,FALSE)  +  NJ!$D$2 ) * IF($D229="NJ",1.07,1))/$L$10, CHOOSE($M$10,$L$9,$M$9) )</f>
        <v xml:space="preserve"> 32.64 </v>
      </c>
      <c r="M229" s="176" t="str">
        <f>TEXT(   (SUMPRODUCT( ((LMPMain!$H$9:$H$1000)=$E229)*((LMPMain!$J$9:$J$1000)=$F229)*((LMPMain!$O$9:$O$1000)=$C229)*(LMPMain!S$9:S$1000) ) +  ( SUMPRODUCT( ((Adders!$D$13:$D$101)=$E229)*((Adders!$E$13:$E$101)=$F229)*(Adders!H$13:H$101)) + VLOOKUP($H229,Adders!$B$5:$G$8,M$11,FALSE)  +  NJ!$D$2 ) * IF($D229="NJ",1.07,1))/$L$10, CHOOSE($M$10,$L$9,$M$9) )</f>
        <v xml:space="preserve"> 32.34 </v>
      </c>
      <c r="N229" s="177" t="str">
        <f>TEXT(   (SUMPRODUCT( ((LMPMain!$H$9:$H$1000)=$E229)*((LMPMain!$J$9:$J$1000)=$F229)*((LMPMain!$O$9:$O$1000)=$C229)*(LMPMain!T$9:T$1000) ) +  ( SUMPRODUCT( ((Adders!$D$13:$D$101)=$E229)*((Adders!$E$13:$E$101)=$F229)*(Adders!I$13:I$101)) + VLOOKUP($H229,Adders!$B$5:$G$8,N$11,FALSE)  +  NJ!$D$2 ) * IF($D229="NJ",1.07,1))/$L$10, CHOOSE($M$10,$L$9,$M$9) )</f>
        <v xml:space="preserve"> 32.92 </v>
      </c>
      <c r="O229" s="112"/>
    </row>
    <row r="230" spans="2:15" x14ac:dyDescent="0.25">
      <c r="B230" s="108"/>
      <c r="C230" s="127">
        <f t="shared" si="5"/>
        <v>42156</v>
      </c>
      <c r="D230" s="128" t="s">
        <v>39</v>
      </c>
      <c r="E230" s="129" t="s">
        <v>44</v>
      </c>
      <c r="F230" s="128" t="s">
        <v>46</v>
      </c>
      <c r="G230" s="129" t="str">
        <f>VLOOKUP(SUMPRODUCT( ((LMPMain!$H$9:$H$1000)=$E230)*((LMPMain!$J$9:$J$1000)=$F230)*((LMPMain!$O$9:$O$1000)=$C230)*(LMPMain!A$9:A$1000)),LMPMain!$A$9:$K$1000,11,FALSE)</f>
        <v>RC_3T7</v>
      </c>
      <c r="H230" s="130" t="s">
        <v>61</v>
      </c>
      <c r="I230" s="178" t="str">
        <f>TEXT(   (SUMPRODUCT( ((Main!$H$9:$H$1000)=$E230)*((Main!$J$9:$J$1000)=$F230)*((Main!$O$9:$O$1000)=$C230)*(Main!R$9:R$1000) ) +  ( SUMPRODUCT( ((Adders!$D$13:$D$101)=$E230)*((Adders!$E$13:$E$101)=$F230)*(Adders!G$13:G$101)) + VLOOKUP($H230,Adders!$B$5:$G$8,L$11,FALSE)  +  MD!$D$2 ) * IF($D230="NJ",1.07,1))/$L$10, CHOOSE($M$10,$L$9,$M$9) )</f>
        <v xml:space="preserve"> 83.97 </v>
      </c>
      <c r="J230" s="178" t="str">
        <f>TEXT(   (SUMPRODUCT( ((Main!$H$9:$H$1000)=$E230)*((Main!$J$9:$J$1000)=$F230)*((Main!$O$9:$O$1000)=$C230)*(Main!S$9:S$1000) ) +  ( SUMPRODUCT( ((Adders!$D$13:$D$101)=$E230)*((Adders!$E$13:$E$101)=$F230)*(Adders!H$13:H$101)) + VLOOKUP($H230,Adders!$B$5:$G$8,M$11,FALSE)  +  MD!$D$2 ) * IF($D230="NJ",1.07,1))/$L$10, CHOOSE($M$10,$L$9,$M$9) )</f>
        <v xml:space="preserve"> 81.62 </v>
      </c>
      <c r="K230" s="179" t="str">
        <f>TEXT(   (SUMPRODUCT( ((Main!$H$9:$H$1000)=$E230)*((Main!$J$9:$J$1000)=$F230)*((Main!$O$9:$O$1000)=$C230)*(Main!T$9:T$1000) ) +  ( SUMPRODUCT( ((Adders!$D$13:$D$101)=$E230)*((Adders!$E$13:$E$101)=$F230)*(Adders!I$13:I$101)) + VLOOKUP($H230,Adders!$B$5:$G$8,$N$11,FALSE)  +  MD!$D$2 ) * IF($D230="NJ",1.07,1))/$L$10, CHOOSE($M$10,$L$9,$M$9) )</f>
        <v xml:space="preserve"> 82.00 </v>
      </c>
      <c r="L230" s="178" t="str">
        <f>TEXT(   (SUMPRODUCT( ((LMPMain!$H$9:$H$1000)=$E230)*((LMPMain!$J$9:$J$1000)=$F230)*((LMPMain!$O$9:$O$1000)=$C230)*(LMPMain!R$9:R$1000) ) +  ( SUMPRODUCT( ((Adders!$D$13:$D$101)=$E230)*((Adders!$E$13:$E$101)=$F230)*(Adders!G$13:G$101)) + VLOOKUP($H230,Adders!$B$5:$G$8,L$11,FALSE)  +  NJ!$D$2 ) * IF($D230="NJ",1.07,1))/$L$10, CHOOSE($M$10,$L$9,$M$9) )</f>
        <v xml:space="preserve"> 39.47 </v>
      </c>
      <c r="M230" s="178" t="str">
        <f>TEXT(   (SUMPRODUCT( ((LMPMain!$H$9:$H$1000)=$E230)*((LMPMain!$J$9:$J$1000)=$F230)*((LMPMain!$O$9:$O$1000)=$C230)*(LMPMain!S$9:S$1000) ) +  ( SUMPRODUCT( ((Adders!$D$13:$D$101)=$E230)*((Adders!$E$13:$E$101)=$F230)*(Adders!H$13:H$101)) + VLOOKUP($H230,Adders!$B$5:$G$8,M$11,FALSE)  +  NJ!$D$2 ) * IF($D230="NJ",1.07,1))/$L$10, CHOOSE($M$10,$L$9,$M$9) )</f>
        <v xml:space="preserve"> 38.26 </v>
      </c>
      <c r="N230" s="179" t="str">
        <f>TEXT(   (SUMPRODUCT( ((LMPMain!$H$9:$H$1000)=$E230)*((LMPMain!$J$9:$J$1000)=$F230)*((LMPMain!$O$9:$O$1000)=$C230)*(LMPMain!T$9:T$1000) ) +  ( SUMPRODUCT( ((Adders!$D$13:$D$101)=$E230)*((Adders!$E$13:$E$101)=$F230)*(Adders!I$13:I$101)) + VLOOKUP($H230,Adders!$B$5:$G$8,N$11,FALSE)  +  NJ!$D$2 ) * IF($D230="NJ",1.07,1))/$L$10, CHOOSE($M$10,$L$9,$M$9) )</f>
        <v xml:space="preserve"> 37.63 </v>
      </c>
      <c r="O230" s="112"/>
    </row>
    <row r="231" spans="2:15" x14ac:dyDescent="0.25">
      <c r="B231" s="108"/>
      <c r="C231" s="131">
        <f t="shared" si="5"/>
        <v>42156</v>
      </c>
      <c r="D231" s="132" t="s">
        <v>39</v>
      </c>
      <c r="E231" s="133" t="s">
        <v>44</v>
      </c>
      <c r="F231" s="132" t="s">
        <v>46</v>
      </c>
      <c r="G231" s="133" t="str">
        <f>G230</f>
        <v>RC_3T7</v>
      </c>
      <c r="H231" s="134" t="s">
        <v>62</v>
      </c>
      <c r="I231" s="173" t="str">
        <f>TEXT(   (SUMPRODUCT( ((Main!$H$9:$H$1000)=$E231)*((Main!$J$9:$J$1000)=$F231)*((Main!$O$9:$O$1000)=$C231)*(Main!R$9:R$1000) ) +  ( SUMPRODUCT( ((Adders!$D$13:$D$101)=$E231)*((Adders!$E$13:$E$101)=$F231)*(Adders!G$13:G$101)) + VLOOKUP($H231,Adders!$B$5:$G$8,L$11,FALSE)  +  MD!$D$2 ) * IF($D231="NJ",1.07,1))/$L$10, CHOOSE($M$10,$L$9,$M$9) )</f>
        <v xml:space="preserve"> 82.37 </v>
      </c>
      <c r="J231" s="173" t="str">
        <f>TEXT(   (SUMPRODUCT( ((Main!$H$9:$H$1000)=$E231)*((Main!$J$9:$J$1000)=$F231)*((Main!$O$9:$O$1000)=$C231)*(Main!S$9:S$1000) ) +  ( SUMPRODUCT( ((Adders!$D$13:$D$101)=$E231)*((Adders!$E$13:$E$101)=$F231)*(Adders!H$13:H$101)) + VLOOKUP($H231,Adders!$B$5:$G$8,M$11,FALSE)  +  MD!$D$2 ) * IF($D231="NJ",1.07,1))/$L$10, CHOOSE($M$10,$L$9,$M$9) )</f>
        <v xml:space="preserve"> 80.02 </v>
      </c>
      <c r="K231" s="174" t="str">
        <f>TEXT(   (SUMPRODUCT( ((Main!$H$9:$H$1000)=$E231)*((Main!$J$9:$J$1000)=$F231)*((Main!$O$9:$O$1000)=$C231)*(Main!T$9:T$1000) ) +  ( SUMPRODUCT( ((Adders!$D$13:$D$101)=$E231)*((Adders!$E$13:$E$101)=$F231)*(Adders!I$13:I$101)) + VLOOKUP($H231,Adders!$B$5:$G$8,$N$11,FALSE)  +  MD!$D$2 ) * IF($D231="NJ",1.07,1))/$L$10, CHOOSE($M$10,$L$9,$M$9) )</f>
        <v xml:space="preserve"> 80.40 </v>
      </c>
      <c r="L231" s="173" t="str">
        <f>TEXT(   (SUMPRODUCT( ((LMPMain!$H$9:$H$1000)=$E231)*((LMPMain!$J$9:$J$1000)=$F231)*((LMPMain!$O$9:$O$1000)=$C231)*(LMPMain!R$9:R$1000) ) +  ( SUMPRODUCT( ((Adders!$D$13:$D$101)=$E231)*((Adders!$E$13:$E$101)=$F231)*(Adders!G$13:G$101)) + VLOOKUP($H231,Adders!$B$5:$G$8,L$11,FALSE)  +  NJ!$D$2 ) * IF($D231="NJ",1.07,1))/$L$10, CHOOSE($M$10,$L$9,$M$9) )</f>
        <v xml:space="preserve"> 37.87 </v>
      </c>
      <c r="M231" s="173" t="str">
        <f>TEXT(   (SUMPRODUCT( ((LMPMain!$H$9:$H$1000)=$E231)*((LMPMain!$J$9:$J$1000)=$F231)*((LMPMain!$O$9:$O$1000)=$C231)*(LMPMain!S$9:S$1000) ) +  ( SUMPRODUCT( ((Adders!$D$13:$D$101)=$E231)*((Adders!$E$13:$E$101)=$F231)*(Adders!H$13:H$101)) + VLOOKUP($H231,Adders!$B$5:$G$8,M$11,FALSE)  +  NJ!$D$2 ) * IF($D231="NJ",1.07,1))/$L$10, CHOOSE($M$10,$L$9,$M$9) )</f>
        <v xml:space="preserve"> 36.66 </v>
      </c>
      <c r="N231" s="174" t="str">
        <f>TEXT(   (SUMPRODUCT( ((LMPMain!$H$9:$H$1000)=$E231)*((LMPMain!$J$9:$J$1000)=$F231)*((LMPMain!$O$9:$O$1000)=$C231)*(LMPMain!T$9:T$1000) ) +  ( SUMPRODUCT( ((Adders!$D$13:$D$101)=$E231)*((Adders!$E$13:$E$101)=$F231)*(Adders!I$13:I$101)) + VLOOKUP($H231,Adders!$B$5:$G$8,N$11,FALSE)  +  NJ!$D$2 ) * IF($D231="NJ",1.07,1))/$L$10, CHOOSE($M$10,$L$9,$M$9) )</f>
        <v xml:space="preserve"> 36.03 </v>
      </c>
      <c r="O231" s="112"/>
    </row>
    <row r="232" spans="2:15" x14ac:dyDescent="0.25">
      <c r="B232" s="108"/>
      <c r="C232" s="135">
        <f t="shared" si="5"/>
        <v>42156</v>
      </c>
      <c r="D232" s="136" t="s">
        <v>39</v>
      </c>
      <c r="E232" s="137" t="s">
        <v>44</v>
      </c>
      <c r="F232" s="136" t="s">
        <v>46</v>
      </c>
      <c r="G232" s="137" t="str">
        <f>G231</f>
        <v>RC_3T7</v>
      </c>
      <c r="H232" s="138" t="s">
        <v>690</v>
      </c>
      <c r="I232" s="176" t="str">
        <f>TEXT(   (SUMPRODUCT( ((Main!$H$9:$H$1000)=$E232)*((Main!$J$9:$J$1000)=$F232)*((Main!$O$9:$O$1000)=$C232)*(Main!R$9:R$1000) ) +  ( SUMPRODUCT( ((Adders!$D$13:$D$101)=$E232)*((Adders!$E$13:$E$101)=$F232)*(Adders!G$13:G$101)) + VLOOKUP($H232,Adders!$B$5:$G$8,L$11,FALSE)  +  MD!$D$2 ) * IF($D232="NJ",1.07,1))/$L$10, CHOOSE($M$10,$L$9,$M$9) )</f>
        <v xml:space="preserve"> 81.32 </v>
      </c>
      <c r="J232" s="176" t="str">
        <f>TEXT(   (SUMPRODUCT( ((Main!$H$9:$H$1000)=$E232)*((Main!$J$9:$J$1000)=$F232)*((Main!$O$9:$O$1000)=$C232)*(Main!S$9:S$1000) ) +  ( SUMPRODUCT( ((Adders!$D$13:$D$101)=$E232)*((Adders!$E$13:$E$101)=$F232)*(Adders!H$13:H$101)) + VLOOKUP($H232,Adders!$B$5:$G$8,M$11,FALSE)  +  MD!$D$2 ) * IF($D232="NJ",1.07,1))/$L$10, CHOOSE($M$10,$L$9,$M$9) )</f>
        <v xml:space="preserve"> 78.97 </v>
      </c>
      <c r="K232" s="177" t="str">
        <f>TEXT(   (SUMPRODUCT( ((Main!$H$9:$H$1000)=$E232)*((Main!$J$9:$J$1000)=$F232)*((Main!$O$9:$O$1000)=$C232)*(Main!T$9:T$1000) ) +  ( SUMPRODUCT( ((Adders!$D$13:$D$101)=$E232)*((Adders!$E$13:$E$101)=$F232)*(Adders!I$13:I$101)) + VLOOKUP($H232,Adders!$B$5:$G$8,$N$11,FALSE)  +  MD!$D$2 ) * IF($D232="NJ",1.07,1))/$L$10, CHOOSE($M$10,$L$9,$M$9) )</f>
        <v xml:space="preserve"> 79.35 </v>
      </c>
      <c r="L232" s="176" t="str">
        <f>TEXT(   (SUMPRODUCT( ((LMPMain!$H$9:$H$1000)=$E232)*((LMPMain!$J$9:$J$1000)=$F232)*((LMPMain!$O$9:$O$1000)=$C232)*(LMPMain!R$9:R$1000) ) +  ( SUMPRODUCT( ((Adders!$D$13:$D$101)=$E232)*((Adders!$E$13:$E$101)=$F232)*(Adders!G$13:G$101)) + VLOOKUP($H232,Adders!$B$5:$G$8,L$11,FALSE)  +  NJ!$D$2 ) * IF($D232="NJ",1.07,1))/$L$10, CHOOSE($M$10,$L$9,$M$9) )</f>
        <v xml:space="preserve"> 36.82 </v>
      </c>
      <c r="M232" s="176" t="str">
        <f>TEXT(   (SUMPRODUCT( ((LMPMain!$H$9:$H$1000)=$E232)*((LMPMain!$J$9:$J$1000)=$F232)*((LMPMain!$O$9:$O$1000)=$C232)*(LMPMain!S$9:S$1000) ) +  ( SUMPRODUCT( ((Adders!$D$13:$D$101)=$E232)*((Adders!$E$13:$E$101)=$F232)*(Adders!H$13:H$101)) + VLOOKUP($H232,Adders!$B$5:$G$8,M$11,FALSE)  +  NJ!$D$2 ) * IF($D232="NJ",1.07,1))/$L$10, CHOOSE($M$10,$L$9,$M$9) )</f>
        <v xml:space="preserve"> 35.61 </v>
      </c>
      <c r="N232" s="177" t="str">
        <f>TEXT(   (SUMPRODUCT( ((LMPMain!$H$9:$H$1000)=$E232)*((LMPMain!$J$9:$J$1000)=$F232)*((LMPMain!$O$9:$O$1000)=$C232)*(LMPMain!T$9:T$1000) ) +  ( SUMPRODUCT( ((Adders!$D$13:$D$101)=$E232)*((Adders!$E$13:$E$101)=$F232)*(Adders!I$13:I$101)) + VLOOKUP($H232,Adders!$B$5:$G$8,N$11,FALSE)  +  NJ!$D$2 ) * IF($D232="NJ",1.07,1))/$L$10, CHOOSE($M$10,$L$9,$M$9) )</f>
        <v xml:space="preserve"> 34.98 </v>
      </c>
      <c r="O232" s="112"/>
    </row>
    <row r="233" spans="2:15" x14ac:dyDescent="0.25">
      <c r="B233" s="108"/>
      <c r="C233" s="127">
        <f t="shared" si="5"/>
        <v>42186</v>
      </c>
      <c r="D233" s="128" t="s">
        <v>39</v>
      </c>
      <c r="E233" s="129" t="s">
        <v>44</v>
      </c>
      <c r="F233" s="128" t="s">
        <v>46</v>
      </c>
      <c r="G233" s="129" t="str">
        <f t="shared" si="6"/>
        <v>RC_3T7</v>
      </c>
      <c r="H233" s="130" t="s">
        <v>61</v>
      </c>
      <c r="I233" s="178" t="str">
        <f>TEXT(   (SUMPRODUCT( ((Main!$H$9:$H$1000)=$E233)*((Main!$J$9:$J$1000)=$F233)*((Main!$O$9:$O$1000)=$C233)*(Main!R$9:R$1000) ) +  ( SUMPRODUCT( ((Adders!$D$13:$D$101)=$E233)*((Adders!$E$13:$E$101)=$F233)*(Adders!G$13:G$101)) + VLOOKUP($H233,Adders!$B$5:$G$8,L$11,FALSE)  +  MD!$D$2 ) * IF($D233="NJ",1.07,1))/$L$10, CHOOSE($M$10,$L$9,$M$9) )</f>
        <v xml:space="preserve"> 83.76 </v>
      </c>
      <c r="J233" s="178" t="str">
        <f>TEXT(   (SUMPRODUCT( ((Main!$H$9:$H$1000)=$E233)*((Main!$J$9:$J$1000)=$F233)*((Main!$O$9:$O$1000)=$C233)*(Main!S$9:S$1000) ) +  ( SUMPRODUCT( ((Adders!$D$13:$D$101)=$E233)*((Adders!$E$13:$E$101)=$F233)*(Adders!H$13:H$101)) + VLOOKUP($H233,Adders!$B$5:$G$8,M$11,FALSE)  +  MD!$D$2 ) * IF($D233="NJ",1.07,1))/$L$10, CHOOSE($M$10,$L$9,$M$9) )</f>
        <v xml:space="preserve"> 81.18 </v>
      </c>
      <c r="K233" s="179" t="str">
        <f>TEXT(   (SUMPRODUCT( ((Main!$H$9:$H$1000)=$E233)*((Main!$J$9:$J$1000)=$F233)*((Main!$O$9:$O$1000)=$C233)*(Main!T$9:T$1000) ) +  ( SUMPRODUCT( ((Adders!$D$13:$D$101)=$E233)*((Adders!$E$13:$E$101)=$F233)*(Adders!I$13:I$101)) + VLOOKUP($H233,Adders!$B$5:$G$8,$N$11,FALSE)  +  MD!$D$2 ) * IF($D233="NJ",1.07,1))/$L$10, CHOOSE($M$10,$L$9,$M$9) )</f>
        <v xml:space="preserve"> 81.92 </v>
      </c>
      <c r="L233" s="178" t="str">
        <f>TEXT(   (SUMPRODUCT( ((LMPMain!$H$9:$H$1000)=$E233)*((LMPMain!$J$9:$J$1000)=$F233)*((LMPMain!$O$9:$O$1000)=$C233)*(LMPMain!R$9:R$1000) ) +  ( SUMPRODUCT( ((Adders!$D$13:$D$101)=$E233)*((Adders!$E$13:$E$101)=$F233)*(Adders!G$13:G$101)) + VLOOKUP($H233,Adders!$B$5:$G$8,L$11,FALSE)  +  NJ!$D$2 ) * IF($D233="NJ",1.07,1))/$L$10, CHOOSE($M$10,$L$9,$M$9) )</f>
        <v xml:space="preserve"> 39.17 </v>
      </c>
      <c r="M233" s="178" t="str">
        <f>TEXT(   (SUMPRODUCT( ((LMPMain!$H$9:$H$1000)=$E233)*((LMPMain!$J$9:$J$1000)=$F233)*((LMPMain!$O$9:$O$1000)=$C233)*(LMPMain!S$9:S$1000) ) +  ( SUMPRODUCT( ((Adders!$D$13:$D$101)=$E233)*((Adders!$E$13:$E$101)=$F233)*(Adders!H$13:H$101)) + VLOOKUP($H233,Adders!$B$5:$G$8,M$11,FALSE)  +  NJ!$D$2 ) * IF($D233="NJ",1.07,1))/$L$10, CHOOSE($M$10,$L$9,$M$9) )</f>
        <v xml:space="preserve"> 37.88 </v>
      </c>
      <c r="N233" s="179" t="str">
        <f>TEXT(   (SUMPRODUCT( ((LMPMain!$H$9:$H$1000)=$E233)*((LMPMain!$J$9:$J$1000)=$F233)*((LMPMain!$O$9:$O$1000)=$C233)*(LMPMain!T$9:T$1000) ) +  ( SUMPRODUCT( ((Adders!$D$13:$D$101)=$E233)*((Adders!$E$13:$E$101)=$F233)*(Adders!I$13:I$101)) + VLOOKUP($H233,Adders!$B$5:$G$8,N$11,FALSE)  +  NJ!$D$2 ) * IF($D233="NJ",1.07,1))/$L$10, CHOOSE($M$10,$L$9,$M$9) )</f>
        <v xml:space="preserve"> 37.50 </v>
      </c>
      <c r="O233" s="112"/>
    </row>
    <row r="234" spans="2:15" x14ac:dyDescent="0.25">
      <c r="B234" s="108"/>
      <c r="C234" s="131">
        <f t="shared" si="5"/>
        <v>42186</v>
      </c>
      <c r="D234" s="132" t="s">
        <v>39</v>
      </c>
      <c r="E234" s="133" t="s">
        <v>44</v>
      </c>
      <c r="F234" s="132" t="s">
        <v>46</v>
      </c>
      <c r="G234" s="133" t="str">
        <f t="shared" si="6"/>
        <v>RC_3T7</v>
      </c>
      <c r="H234" s="134" t="s">
        <v>62</v>
      </c>
      <c r="I234" s="173" t="str">
        <f>TEXT(   (SUMPRODUCT( ((Main!$H$9:$H$1000)=$E234)*((Main!$J$9:$J$1000)=$F234)*((Main!$O$9:$O$1000)=$C234)*(Main!R$9:R$1000) ) +  ( SUMPRODUCT( ((Adders!$D$13:$D$101)=$E234)*((Adders!$E$13:$E$101)=$F234)*(Adders!G$13:G$101)) + VLOOKUP($H234,Adders!$B$5:$G$8,L$11,FALSE)  +  MD!$D$2 ) * IF($D234="NJ",1.07,1))/$L$10, CHOOSE($M$10,$L$9,$M$9) )</f>
        <v xml:space="preserve"> 82.16 </v>
      </c>
      <c r="J234" s="173" t="str">
        <f>TEXT(   (SUMPRODUCT( ((Main!$H$9:$H$1000)=$E234)*((Main!$J$9:$J$1000)=$F234)*((Main!$O$9:$O$1000)=$C234)*(Main!S$9:S$1000) ) +  ( SUMPRODUCT( ((Adders!$D$13:$D$101)=$E234)*((Adders!$E$13:$E$101)=$F234)*(Adders!H$13:H$101)) + VLOOKUP($H234,Adders!$B$5:$G$8,M$11,FALSE)  +  MD!$D$2 ) * IF($D234="NJ",1.07,1))/$L$10, CHOOSE($M$10,$L$9,$M$9) )</f>
        <v xml:space="preserve"> 79.58 </v>
      </c>
      <c r="K234" s="174" t="str">
        <f>TEXT(   (SUMPRODUCT( ((Main!$H$9:$H$1000)=$E234)*((Main!$J$9:$J$1000)=$F234)*((Main!$O$9:$O$1000)=$C234)*(Main!T$9:T$1000) ) +  ( SUMPRODUCT( ((Adders!$D$13:$D$101)=$E234)*((Adders!$E$13:$E$101)=$F234)*(Adders!I$13:I$101)) + VLOOKUP($H234,Adders!$B$5:$G$8,$N$11,FALSE)  +  MD!$D$2 ) * IF($D234="NJ",1.07,1))/$L$10, CHOOSE($M$10,$L$9,$M$9) )</f>
        <v xml:space="preserve"> 80.32 </v>
      </c>
      <c r="L234" s="173" t="str">
        <f>TEXT(   (SUMPRODUCT( ((LMPMain!$H$9:$H$1000)=$E234)*((LMPMain!$J$9:$J$1000)=$F234)*((LMPMain!$O$9:$O$1000)=$C234)*(LMPMain!R$9:R$1000) ) +  ( SUMPRODUCT( ((Adders!$D$13:$D$101)=$E234)*((Adders!$E$13:$E$101)=$F234)*(Adders!G$13:G$101)) + VLOOKUP($H234,Adders!$B$5:$G$8,L$11,FALSE)  +  NJ!$D$2 ) * IF($D234="NJ",1.07,1))/$L$10, CHOOSE($M$10,$L$9,$M$9) )</f>
        <v xml:space="preserve"> 37.57 </v>
      </c>
      <c r="M234" s="173" t="str">
        <f>TEXT(   (SUMPRODUCT( ((LMPMain!$H$9:$H$1000)=$E234)*((LMPMain!$J$9:$J$1000)=$F234)*((LMPMain!$O$9:$O$1000)=$C234)*(LMPMain!S$9:S$1000) ) +  ( SUMPRODUCT( ((Adders!$D$13:$D$101)=$E234)*((Adders!$E$13:$E$101)=$F234)*(Adders!H$13:H$101)) + VLOOKUP($H234,Adders!$B$5:$G$8,M$11,FALSE)  +  NJ!$D$2 ) * IF($D234="NJ",1.07,1))/$L$10, CHOOSE($M$10,$L$9,$M$9) )</f>
        <v xml:space="preserve"> 36.28 </v>
      </c>
      <c r="N234" s="174" t="str">
        <f>TEXT(   (SUMPRODUCT( ((LMPMain!$H$9:$H$1000)=$E234)*((LMPMain!$J$9:$J$1000)=$F234)*((LMPMain!$O$9:$O$1000)=$C234)*(LMPMain!T$9:T$1000) ) +  ( SUMPRODUCT( ((Adders!$D$13:$D$101)=$E234)*((Adders!$E$13:$E$101)=$F234)*(Adders!I$13:I$101)) + VLOOKUP($H234,Adders!$B$5:$G$8,N$11,FALSE)  +  NJ!$D$2 ) * IF($D234="NJ",1.07,1))/$L$10, CHOOSE($M$10,$L$9,$M$9) )</f>
        <v xml:space="preserve"> 35.90 </v>
      </c>
      <c r="O234" s="112"/>
    </row>
    <row r="235" spans="2:15" x14ac:dyDescent="0.25">
      <c r="B235" s="108"/>
      <c r="C235" s="135">
        <f t="shared" si="5"/>
        <v>42186</v>
      </c>
      <c r="D235" s="136" t="s">
        <v>39</v>
      </c>
      <c r="E235" s="137" t="s">
        <v>44</v>
      </c>
      <c r="F235" s="136" t="s">
        <v>46</v>
      </c>
      <c r="G235" s="137" t="str">
        <f t="shared" si="6"/>
        <v>RC_3T7</v>
      </c>
      <c r="H235" s="138" t="s">
        <v>690</v>
      </c>
      <c r="I235" s="176" t="str">
        <f>TEXT(   (SUMPRODUCT( ((Main!$H$9:$H$1000)=$E235)*((Main!$J$9:$J$1000)=$F235)*((Main!$O$9:$O$1000)=$C235)*(Main!R$9:R$1000) ) +  ( SUMPRODUCT( ((Adders!$D$13:$D$101)=$E235)*((Adders!$E$13:$E$101)=$F235)*(Adders!G$13:G$101)) + VLOOKUP($H235,Adders!$B$5:$G$8,L$11,FALSE)  +  MD!$D$2 ) * IF($D235="NJ",1.07,1))/$L$10, CHOOSE($M$10,$L$9,$M$9) )</f>
        <v xml:space="preserve"> 81.11 </v>
      </c>
      <c r="J235" s="176" t="str">
        <f>TEXT(   (SUMPRODUCT( ((Main!$H$9:$H$1000)=$E235)*((Main!$J$9:$J$1000)=$F235)*((Main!$O$9:$O$1000)=$C235)*(Main!S$9:S$1000) ) +  ( SUMPRODUCT( ((Adders!$D$13:$D$101)=$E235)*((Adders!$E$13:$E$101)=$F235)*(Adders!H$13:H$101)) + VLOOKUP($H235,Adders!$B$5:$G$8,M$11,FALSE)  +  MD!$D$2 ) * IF($D235="NJ",1.07,1))/$L$10, CHOOSE($M$10,$L$9,$M$9) )</f>
        <v xml:space="preserve"> 78.53 </v>
      </c>
      <c r="K235" s="177" t="str">
        <f>TEXT(   (SUMPRODUCT( ((Main!$H$9:$H$1000)=$E235)*((Main!$J$9:$J$1000)=$F235)*((Main!$O$9:$O$1000)=$C235)*(Main!T$9:T$1000) ) +  ( SUMPRODUCT( ((Adders!$D$13:$D$101)=$E235)*((Adders!$E$13:$E$101)=$F235)*(Adders!I$13:I$101)) + VLOOKUP($H235,Adders!$B$5:$G$8,$N$11,FALSE)  +  MD!$D$2 ) * IF($D235="NJ",1.07,1))/$L$10, CHOOSE($M$10,$L$9,$M$9) )</f>
        <v xml:space="preserve"> 79.27 </v>
      </c>
      <c r="L235" s="176" t="str">
        <f>TEXT(   (SUMPRODUCT( ((LMPMain!$H$9:$H$1000)=$E235)*((LMPMain!$J$9:$J$1000)=$F235)*((LMPMain!$O$9:$O$1000)=$C235)*(LMPMain!R$9:R$1000) ) +  ( SUMPRODUCT( ((Adders!$D$13:$D$101)=$E235)*((Adders!$E$13:$E$101)=$F235)*(Adders!G$13:G$101)) + VLOOKUP($H235,Adders!$B$5:$G$8,L$11,FALSE)  +  NJ!$D$2 ) * IF($D235="NJ",1.07,1))/$L$10, CHOOSE($M$10,$L$9,$M$9) )</f>
        <v xml:space="preserve"> 36.52 </v>
      </c>
      <c r="M235" s="176" t="str">
        <f>TEXT(   (SUMPRODUCT( ((LMPMain!$H$9:$H$1000)=$E235)*((LMPMain!$J$9:$J$1000)=$F235)*((LMPMain!$O$9:$O$1000)=$C235)*(LMPMain!S$9:S$1000) ) +  ( SUMPRODUCT( ((Adders!$D$13:$D$101)=$E235)*((Adders!$E$13:$E$101)=$F235)*(Adders!H$13:H$101)) + VLOOKUP($H235,Adders!$B$5:$G$8,M$11,FALSE)  +  NJ!$D$2 ) * IF($D235="NJ",1.07,1))/$L$10, CHOOSE($M$10,$L$9,$M$9) )</f>
        <v xml:space="preserve"> 35.23 </v>
      </c>
      <c r="N235" s="177" t="str">
        <f>TEXT(   (SUMPRODUCT( ((LMPMain!$H$9:$H$1000)=$E235)*((LMPMain!$J$9:$J$1000)=$F235)*((LMPMain!$O$9:$O$1000)=$C235)*(LMPMain!T$9:T$1000) ) +  ( SUMPRODUCT( ((Adders!$D$13:$D$101)=$E235)*((Adders!$E$13:$E$101)=$F235)*(Adders!I$13:I$101)) + VLOOKUP($H235,Adders!$B$5:$G$8,N$11,FALSE)  +  NJ!$D$2 ) * IF($D235="NJ",1.07,1))/$L$10, CHOOSE($M$10,$L$9,$M$9) )</f>
        <v xml:space="preserve"> 34.85 </v>
      </c>
      <c r="O235" s="112"/>
    </row>
    <row r="236" spans="2:15" x14ac:dyDescent="0.25">
      <c r="B236" s="108"/>
      <c r="C236" s="127">
        <f t="shared" si="5"/>
        <v>42217</v>
      </c>
      <c r="D236" s="128" t="s">
        <v>39</v>
      </c>
      <c r="E236" s="129" t="s">
        <v>44</v>
      </c>
      <c r="F236" s="128" t="s">
        <v>46</v>
      </c>
      <c r="G236" s="129" t="str">
        <f t="shared" si="6"/>
        <v>RC_3T7</v>
      </c>
      <c r="H236" s="130" t="s">
        <v>61</v>
      </c>
      <c r="I236" s="178" t="str">
        <f>TEXT(   (SUMPRODUCT( ((Main!$H$9:$H$1000)=$E236)*((Main!$J$9:$J$1000)=$F236)*((Main!$O$9:$O$1000)=$C236)*(Main!R$9:R$1000) ) +  ( SUMPRODUCT( ((Adders!$D$13:$D$101)=$E236)*((Adders!$E$13:$E$101)=$F236)*(Adders!G$13:G$101)) + VLOOKUP($H236,Adders!$B$5:$G$8,L$11,FALSE)  +  MD!$D$2 ) * IF($D236="NJ",1.07,1))/$L$10, CHOOSE($M$10,$L$9,$M$9) )</f>
        <v xml:space="preserve"> 83.24 </v>
      </c>
      <c r="J236" s="178" t="str">
        <f>TEXT(   (SUMPRODUCT( ((Main!$H$9:$H$1000)=$E236)*((Main!$J$9:$J$1000)=$F236)*((Main!$O$9:$O$1000)=$C236)*(Main!S$9:S$1000) ) +  ( SUMPRODUCT( ((Adders!$D$13:$D$101)=$E236)*((Adders!$E$13:$E$101)=$F236)*(Adders!H$13:H$101)) + VLOOKUP($H236,Adders!$B$5:$G$8,M$11,FALSE)  +  MD!$D$2 ) * IF($D236="NJ",1.07,1))/$L$10, CHOOSE($M$10,$L$9,$M$9) )</f>
        <v xml:space="preserve"> 81.51 </v>
      </c>
      <c r="K236" s="179" t="str">
        <f>TEXT(   (SUMPRODUCT( ((Main!$H$9:$H$1000)=$E236)*((Main!$J$9:$J$1000)=$F236)*((Main!$O$9:$O$1000)=$C236)*(Main!T$9:T$1000) ) +  ( SUMPRODUCT( ((Adders!$D$13:$D$101)=$E236)*((Adders!$E$13:$E$101)=$F236)*(Adders!I$13:I$101)) + VLOOKUP($H236,Adders!$B$5:$G$8,$N$11,FALSE)  +  MD!$D$2 ) * IF($D236="NJ",1.07,1))/$L$10, CHOOSE($M$10,$L$9,$M$9) )</f>
        <v xml:space="preserve"> 81.75 </v>
      </c>
      <c r="L236" s="178" t="str">
        <f>TEXT(   (SUMPRODUCT( ((LMPMain!$H$9:$H$1000)=$E236)*((LMPMain!$J$9:$J$1000)=$F236)*((LMPMain!$O$9:$O$1000)=$C236)*(LMPMain!R$9:R$1000) ) +  ( SUMPRODUCT( ((Adders!$D$13:$D$101)=$E236)*((Adders!$E$13:$E$101)=$F236)*(Adders!G$13:G$101)) + VLOOKUP($H236,Adders!$B$5:$G$8,L$11,FALSE)  +  NJ!$D$2 ) * IF($D236="NJ",1.07,1))/$L$10, CHOOSE($M$10,$L$9,$M$9) )</f>
        <v xml:space="preserve"> 38.87 </v>
      </c>
      <c r="M236" s="178" t="str">
        <f>TEXT(   (SUMPRODUCT( ((LMPMain!$H$9:$H$1000)=$E236)*((LMPMain!$J$9:$J$1000)=$F236)*((LMPMain!$O$9:$O$1000)=$C236)*(LMPMain!S$9:S$1000) ) +  ( SUMPRODUCT( ((Adders!$D$13:$D$101)=$E236)*((Adders!$E$13:$E$101)=$F236)*(Adders!H$13:H$101)) + VLOOKUP($H236,Adders!$B$5:$G$8,M$11,FALSE)  +  NJ!$D$2 ) * IF($D236="NJ",1.07,1))/$L$10, CHOOSE($M$10,$L$9,$M$9) )</f>
        <v xml:space="preserve"> 37.54 </v>
      </c>
      <c r="N236" s="179" t="str">
        <f>TEXT(   (SUMPRODUCT( ((LMPMain!$H$9:$H$1000)=$E236)*((LMPMain!$J$9:$J$1000)=$F236)*((LMPMain!$O$9:$O$1000)=$C236)*(LMPMain!T$9:T$1000) ) +  ( SUMPRODUCT( ((Adders!$D$13:$D$101)=$E236)*((Adders!$E$13:$E$101)=$F236)*(Adders!I$13:I$101)) + VLOOKUP($H236,Adders!$B$5:$G$8,N$11,FALSE)  +  NJ!$D$2 ) * IF($D236="NJ",1.07,1))/$L$10, CHOOSE($M$10,$L$9,$M$9) )</f>
        <v xml:space="preserve"> 37.39 </v>
      </c>
      <c r="O236" s="112"/>
    </row>
    <row r="237" spans="2:15" x14ac:dyDescent="0.25">
      <c r="B237" s="108"/>
      <c r="C237" s="131">
        <f t="shared" si="5"/>
        <v>42217</v>
      </c>
      <c r="D237" s="132" t="s">
        <v>39</v>
      </c>
      <c r="E237" s="133" t="s">
        <v>44</v>
      </c>
      <c r="F237" s="132" t="s">
        <v>46</v>
      </c>
      <c r="G237" s="133" t="str">
        <f t="shared" si="6"/>
        <v>RC_3T7</v>
      </c>
      <c r="H237" s="134" t="s">
        <v>62</v>
      </c>
      <c r="I237" s="173" t="str">
        <f>TEXT(   (SUMPRODUCT( ((Main!$H$9:$H$1000)=$E237)*((Main!$J$9:$J$1000)=$F237)*((Main!$O$9:$O$1000)=$C237)*(Main!R$9:R$1000) ) +  ( SUMPRODUCT( ((Adders!$D$13:$D$101)=$E237)*((Adders!$E$13:$E$101)=$F237)*(Adders!G$13:G$101)) + VLOOKUP($H237,Adders!$B$5:$G$8,L$11,FALSE)  +  MD!$D$2 ) * IF($D237="NJ",1.07,1))/$L$10, CHOOSE($M$10,$L$9,$M$9) )</f>
        <v xml:space="preserve"> 81.64 </v>
      </c>
      <c r="J237" s="173" t="str">
        <f>TEXT(   (SUMPRODUCT( ((Main!$H$9:$H$1000)=$E237)*((Main!$J$9:$J$1000)=$F237)*((Main!$O$9:$O$1000)=$C237)*(Main!S$9:S$1000) ) +  ( SUMPRODUCT( ((Adders!$D$13:$D$101)=$E237)*((Adders!$E$13:$E$101)=$F237)*(Adders!H$13:H$101)) + VLOOKUP($H237,Adders!$B$5:$G$8,M$11,FALSE)  +  MD!$D$2 ) * IF($D237="NJ",1.07,1))/$L$10, CHOOSE($M$10,$L$9,$M$9) )</f>
        <v xml:space="preserve"> 79.91 </v>
      </c>
      <c r="K237" s="174" t="str">
        <f>TEXT(   (SUMPRODUCT( ((Main!$H$9:$H$1000)=$E237)*((Main!$J$9:$J$1000)=$F237)*((Main!$O$9:$O$1000)=$C237)*(Main!T$9:T$1000) ) +  ( SUMPRODUCT( ((Adders!$D$13:$D$101)=$E237)*((Adders!$E$13:$E$101)=$F237)*(Adders!I$13:I$101)) + VLOOKUP($H237,Adders!$B$5:$G$8,$N$11,FALSE)  +  MD!$D$2 ) * IF($D237="NJ",1.07,1))/$L$10, CHOOSE($M$10,$L$9,$M$9) )</f>
        <v xml:space="preserve"> 80.15 </v>
      </c>
      <c r="L237" s="173" t="str">
        <f>TEXT(   (SUMPRODUCT( ((LMPMain!$H$9:$H$1000)=$E237)*((LMPMain!$J$9:$J$1000)=$F237)*((LMPMain!$O$9:$O$1000)=$C237)*(LMPMain!R$9:R$1000) ) +  ( SUMPRODUCT( ((Adders!$D$13:$D$101)=$E237)*((Adders!$E$13:$E$101)=$F237)*(Adders!G$13:G$101)) + VLOOKUP($H237,Adders!$B$5:$G$8,L$11,FALSE)  +  NJ!$D$2 ) * IF($D237="NJ",1.07,1))/$L$10, CHOOSE($M$10,$L$9,$M$9) )</f>
        <v xml:space="preserve"> 37.27 </v>
      </c>
      <c r="M237" s="173" t="str">
        <f>TEXT(   (SUMPRODUCT( ((LMPMain!$H$9:$H$1000)=$E237)*((LMPMain!$J$9:$J$1000)=$F237)*((LMPMain!$O$9:$O$1000)=$C237)*(LMPMain!S$9:S$1000) ) +  ( SUMPRODUCT( ((Adders!$D$13:$D$101)=$E237)*((Adders!$E$13:$E$101)=$F237)*(Adders!H$13:H$101)) + VLOOKUP($H237,Adders!$B$5:$G$8,M$11,FALSE)  +  NJ!$D$2 ) * IF($D237="NJ",1.07,1))/$L$10, CHOOSE($M$10,$L$9,$M$9) )</f>
        <v xml:space="preserve"> 35.94 </v>
      </c>
      <c r="N237" s="174" t="str">
        <f>TEXT(   (SUMPRODUCT( ((LMPMain!$H$9:$H$1000)=$E237)*((LMPMain!$J$9:$J$1000)=$F237)*((LMPMain!$O$9:$O$1000)=$C237)*(LMPMain!T$9:T$1000) ) +  ( SUMPRODUCT( ((Adders!$D$13:$D$101)=$E237)*((Adders!$E$13:$E$101)=$F237)*(Adders!I$13:I$101)) + VLOOKUP($H237,Adders!$B$5:$G$8,N$11,FALSE)  +  NJ!$D$2 ) * IF($D237="NJ",1.07,1))/$L$10, CHOOSE($M$10,$L$9,$M$9) )</f>
        <v xml:space="preserve"> 35.79 </v>
      </c>
      <c r="O237" s="112"/>
    </row>
    <row r="238" spans="2:15" x14ac:dyDescent="0.25">
      <c r="B238" s="108"/>
      <c r="C238" s="135">
        <f t="shared" si="5"/>
        <v>42217</v>
      </c>
      <c r="D238" s="136" t="s">
        <v>39</v>
      </c>
      <c r="E238" s="137" t="s">
        <v>44</v>
      </c>
      <c r="F238" s="136" t="s">
        <v>46</v>
      </c>
      <c r="G238" s="137" t="str">
        <f t="shared" si="6"/>
        <v>RC_3T7</v>
      </c>
      <c r="H238" s="138" t="s">
        <v>690</v>
      </c>
      <c r="I238" s="176" t="str">
        <f>TEXT(   (SUMPRODUCT( ((Main!$H$9:$H$1000)=$E238)*((Main!$J$9:$J$1000)=$F238)*((Main!$O$9:$O$1000)=$C238)*(Main!R$9:R$1000) ) +  ( SUMPRODUCT( ((Adders!$D$13:$D$101)=$E238)*((Adders!$E$13:$E$101)=$F238)*(Adders!G$13:G$101)) + VLOOKUP($H238,Adders!$B$5:$G$8,L$11,FALSE)  +  MD!$D$2 ) * IF($D238="NJ",1.07,1))/$L$10, CHOOSE($M$10,$L$9,$M$9) )</f>
        <v xml:space="preserve"> 80.59 </v>
      </c>
      <c r="J238" s="176" t="str">
        <f>TEXT(   (SUMPRODUCT( ((Main!$H$9:$H$1000)=$E238)*((Main!$J$9:$J$1000)=$F238)*((Main!$O$9:$O$1000)=$C238)*(Main!S$9:S$1000) ) +  ( SUMPRODUCT( ((Adders!$D$13:$D$101)=$E238)*((Adders!$E$13:$E$101)=$F238)*(Adders!H$13:H$101)) + VLOOKUP($H238,Adders!$B$5:$G$8,M$11,FALSE)  +  MD!$D$2 ) * IF($D238="NJ",1.07,1))/$L$10, CHOOSE($M$10,$L$9,$M$9) )</f>
        <v xml:space="preserve"> 78.86 </v>
      </c>
      <c r="K238" s="177" t="str">
        <f>TEXT(   (SUMPRODUCT( ((Main!$H$9:$H$1000)=$E238)*((Main!$J$9:$J$1000)=$F238)*((Main!$O$9:$O$1000)=$C238)*(Main!T$9:T$1000) ) +  ( SUMPRODUCT( ((Adders!$D$13:$D$101)=$E238)*((Adders!$E$13:$E$101)=$F238)*(Adders!I$13:I$101)) + VLOOKUP($H238,Adders!$B$5:$G$8,$N$11,FALSE)  +  MD!$D$2 ) * IF($D238="NJ",1.07,1))/$L$10, CHOOSE($M$10,$L$9,$M$9) )</f>
        <v xml:space="preserve"> 79.10 </v>
      </c>
      <c r="L238" s="176" t="str">
        <f>TEXT(   (SUMPRODUCT( ((LMPMain!$H$9:$H$1000)=$E238)*((LMPMain!$J$9:$J$1000)=$F238)*((LMPMain!$O$9:$O$1000)=$C238)*(LMPMain!R$9:R$1000) ) +  ( SUMPRODUCT( ((Adders!$D$13:$D$101)=$E238)*((Adders!$E$13:$E$101)=$F238)*(Adders!G$13:G$101)) + VLOOKUP($H238,Adders!$B$5:$G$8,L$11,FALSE)  +  NJ!$D$2 ) * IF($D238="NJ",1.07,1))/$L$10, CHOOSE($M$10,$L$9,$M$9) )</f>
        <v xml:space="preserve"> 36.22 </v>
      </c>
      <c r="M238" s="176" t="str">
        <f>TEXT(   (SUMPRODUCT( ((LMPMain!$H$9:$H$1000)=$E238)*((LMPMain!$J$9:$J$1000)=$F238)*((LMPMain!$O$9:$O$1000)=$C238)*(LMPMain!S$9:S$1000) ) +  ( SUMPRODUCT( ((Adders!$D$13:$D$101)=$E238)*((Adders!$E$13:$E$101)=$F238)*(Adders!H$13:H$101)) + VLOOKUP($H238,Adders!$B$5:$G$8,M$11,FALSE)  +  NJ!$D$2 ) * IF($D238="NJ",1.07,1))/$L$10, CHOOSE($M$10,$L$9,$M$9) )</f>
        <v xml:space="preserve"> 34.89 </v>
      </c>
      <c r="N238" s="177" t="str">
        <f>TEXT(   (SUMPRODUCT( ((LMPMain!$H$9:$H$1000)=$E238)*((LMPMain!$J$9:$J$1000)=$F238)*((LMPMain!$O$9:$O$1000)=$C238)*(LMPMain!T$9:T$1000) ) +  ( SUMPRODUCT( ((Adders!$D$13:$D$101)=$E238)*((Adders!$E$13:$E$101)=$F238)*(Adders!I$13:I$101)) + VLOOKUP($H238,Adders!$B$5:$G$8,N$11,FALSE)  +  NJ!$D$2 ) * IF($D238="NJ",1.07,1))/$L$10, CHOOSE($M$10,$L$9,$M$9) )</f>
        <v xml:space="preserve"> 34.74 </v>
      </c>
      <c r="O238" s="112"/>
    </row>
    <row r="239" spans="2:15" x14ac:dyDescent="0.25">
      <c r="B239" s="108"/>
      <c r="C239" s="127">
        <f t="shared" si="5"/>
        <v>42248</v>
      </c>
      <c r="D239" s="128" t="s">
        <v>39</v>
      </c>
      <c r="E239" s="129" t="s">
        <v>44</v>
      </c>
      <c r="F239" s="128" t="s">
        <v>46</v>
      </c>
      <c r="G239" s="129" t="str">
        <f t="shared" si="6"/>
        <v>RC_3T7</v>
      </c>
      <c r="H239" s="130" t="s">
        <v>61</v>
      </c>
      <c r="I239" s="178" t="str">
        <f>TEXT(   (SUMPRODUCT( ((Main!$H$9:$H$1000)=$E239)*((Main!$J$9:$J$1000)=$F239)*((Main!$O$9:$O$1000)=$C239)*(Main!R$9:R$1000) ) +  ( SUMPRODUCT( ((Adders!$D$13:$D$101)=$E239)*((Adders!$E$13:$E$101)=$F239)*(Adders!G$13:G$101)) + VLOOKUP($H239,Adders!$B$5:$G$8,L$11,FALSE)  +  MD!$D$2 ) * IF($D239="NJ",1.07,1))/$L$10, CHOOSE($M$10,$L$9,$M$9) )</f>
        <v xml:space="preserve"> 82.99 </v>
      </c>
      <c r="J239" s="178" t="str">
        <f>TEXT(   (SUMPRODUCT( ((Main!$H$9:$H$1000)=$E239)*((Main!$J$9:$J$1000)=$F239)*((Main!$O$9:$O$1000)=$C239)*(Main!S$9:S$1000) ) +  ( SUMPRODUCT( ((Adders!$D$13:$D$101)=$E239)*((Adders!$E$13:$E$101)=$F239)*(Adders!H$13:H$101)) + VLOOKUP($H239,Adders!$B$5:$G$8,M$11,FALSE)  +  MD!$D$2 ) * IF($D239="NJ",1.07,1))/$L$10, CHOOSE($M$10,$L$9,$M$9) )</f>
        <v xml:space="preserve"> 81.92 </v>
      </c>
      <c r="K239" s="179" t="str">
        <f>TEXT(   (SUMPRODUCT( ((Main!$H$9:$H$1000)=$E239)*((Main!$J$9:$J$1000)=$F239)*((Main!$O$9:$O$1000)=$C239)*(Main!T$9:T$1000) ) +  ( SUMPRODUCT( ((Adders!$D$13:$D$101)=$E239)*((Adders!$E$13:$E$101)=$F239)*(Adders!I$13:I$101)) + VLOOKUP($H239,Adders!$B$5:$G$8,$N$11,FALSE)  +  MD!$D$2 ) * IF($D239="NJ",1.07,1))/$L$10, CHOOSE($M$10,$L$9,$M$9) )</f>
        <v xml:space="preserve"> 81.75 </v>
      </c>
      <c r="L239" s="178" t="str">
        <f>TEXT(   (SUMPRODUCT( ((LMPMain!$H$9:$H$1000)=$E239)*((LMPMain!$J$9:$J$1000)=$F239)*((LMPMain!$O$9:$O$1000)=$C239)*(LMPMain!R$9:R$1000) ) +  ( SUMPRODUCT( ((Adders!$D$13:$D$101)=$E239)*((Adders!$E$13:$E$101)=$F239)*(Adders!G$13:G$101)) + VLOOKUP($H239,Adders!$B$5:$G$8,L$11,FALSE)  +  NJ!$D$2 ) * IF($D239="NJ",1.07,1))/$L$10, CHOOSE($M$10,$L$9,$M$9) )</f>
        <v xml:space="preserve"> 38.57 </v>
      </c>
      <c r="M239" s="178" t="str">
        <f>TEXT(   (SUMPRODUCT( ((LMPMain!$H$9:$H$1000)=$E239)*((LMPMain!$J$9:$J$1000)=$F239)*((LMPMain!$O$9:$O$1000)=$C239)*(LMPMain!S$9:S$1000) ) +  ( SUMPRODUCT( ((Adders!$D$13:$D$101)=$E239)*((Adders!$E$13:$E$101)=$F239)*(Adders!H$13:H$101)) + VLOOKUP($H239,Adders!$B$5:$G$8,M$11,FALSE)  +  NJ!$D$2 ) * IF($D239="NJ",1.07,1))/$L$10, CHOOSE($M$10,$L$9,$M$9) )</f>
        <v xml:space="preserve"> 37.33 </v>
      </c>
      <c r="N239" s="179" t="str">
        <f>TEXT(   (SUMPRODUCT( ((LMPMain!$H$9:$H$1000)=$E239)*((LMPMain!$J$9:$J$1000)=$F239)*((LMPMain!$O$9:$O$1000)=$C239)*(LMPMain!T$9:T$1000) ) +  ( SUMPRODUCT( ((Adders!$D$13:$D$101)=$E239)*((Adders!$E$13:$E$101)=$F239)*(Adders!I$13:I$101)) + VLOOKUP($H239,Adders!$B$5:$G$8,N$11,FALSE)  +  NJ!$D$2 ) * IF($D239="NJ",1.07,1))/$L$10, CHOOSE($M$10,$L$9,$M$9) )</f>
        <v xml:space="preserve"> 37.27 </v>
      </c>
      <c r="O239" s="112"/>
    </row>
    <row r="240" spans="2:15" x14ac:dyDescent="0.25">
      <c r="B240" s="108"/>
      <c r="C240" s="131">
        <f t="shared" si="5"/>
        <v>42248</v>
      </c>
      <c r="D240" s="132" t="s">
        <v>39</v>
      </c>
      <c r="E240" s="133" t="s">
        <v>44</v>
      </c>
      <c r="F240" s="132" t="s">
        <v>46</v>
      </c>
      <c r="G240" s="133" t="str">
        <f t="shared" si="6"/>
        <v>RC_3T7</v>
      </c>
      <c r="H240" s="134" t="s">
        <v>62</v>
      </c>
      <c r="I240" s="173" t="str">
        <f>TEXT(   (SUMPRODUCT( ((Main!$H$9:$H$1000)=$E240)*((Main!$J$9:$J$1000)=$F240)*((Main!$O$9:$O$1000)=$C240)*(Main!R$9:R$1000) ) +  ( SUMPRODUCT( ((Adders!$D$13:$D$101)=$E240)*((Adders!$E$13:$E$101)=$F240)*(Adders!G$13:G$101)) + VLOOKUP($H240,Adders!$B$5:$G$8,L$11,FALSE)  +  MD!$D$2 ) * IF($D240="NJ",1.07,1))/$L$10, CHOOSE($M$10,$L$9,$M$9) )</f>
        <v xml:space="preserve"> 81.39 </v>
      </c>
      <c r="J240" s="173" t="str">
        <f>TEXT(   (SUMPRODUCT( ((Main!$H$9:$H$1000)=$E240)*((Main!$J$9:$J$1000)=$F240)*((Main!$O$9:$O$1000)=$C240)*(Main!S$9:S$1000) ) +  ( SUMPRODUCT( ((Adders!$D$13:$D$101)=$E240)*((Adders!$E$13:$E$101)=$F240)*(Adders!H$13:H$101)) + VLOOKUP($H240,Adders!$B$5:$G$8,M$11,FALSE)  +  MD!$D$2 ) * IF($D240="NJ",1.07,1))/$L$10, CHOOSE($M$10,$L$9,$M$9) )</f>
        <v xml:space="preserve"> 80.32 </v>
      </c>
      <c r="K240" s="174" t="str">
        <f>TEXT(   (SUMPRODUCT( ((Main!$H$9:$H$1000)=$E240)*((Main!$J$9:$J$1000)=$F240)*((Main!$O$9:$O$1000)=$C240)*(Main!T$9:T$1000) ) +  ( SUMPRODUCT( ((Adders!$D$13:$D$101)=$E240)*((Adders!$E$13:$E$101)=$F240)*(Adders!I$13:I$101)) + VLOOKUP($H240,Adders!$B$5:$G$8,$N$11,FALSE)  +  MD!$D$2 ) * IF($D240="NJ",1.07,1))/$L$10, CHOOSE($M$10,$L$9,$M$9) )</f>
        <v xml:space="preserve"> 80.15 </v>
      </c>
      <c r="L240" s="173" t="str">
        <f>TEXT(   (SUMPRODUCT( ((LMPMain!$H$9:$H$1000)=$E240)*((LMPMain!$J$9:$J$1000)=$F240)*((LMPMain!$O$9:$O$1000)=$C240)*(LMPMain!R$9:R$1000) ) +  ( SUMPRODUCT( ((Adders!$D$13:$D$101)=$E240)*((Adders!$E$13:$E$101)=$F240)*(Adders!G$13:G$101)) + VLOOKUP($H240,Adders!$B$5:$G$8,L$11,FALSE)  +  NJ!$D$2 ) * IF($D240="NJ",1.07,1))/$L$10, CHOOSE($M$10,$L$9,$M$9) )</f>
        <v xml:space="preserve"> 36.97 </v>
      </c>
      <c r="M240" s="173" t="str">
        <f>TEXT(   (SUMPRODUCT( ((LMPMain!$H$9:$H$1000)=$E240)*((LMPMain!$J$9:$J$1000)=$F240)*((LMPMain!$O$9:$O$1000)=$C240)*(LMPMain!S$9:S$1000) ) +  ( SUMPRODUCT( ((Adders!$D$13:$D$101)=$E240)*((Adders!$E$13:$E$101)=$F240)*(Adders!H$13:H$101)) + VLOOKUP($H240,Adders!$B$5:$G$8,M$11,FALSE)  +  NJ!$D$2 ) * IF($D240="NJ",1.07,1))/$L$10, CHOOSE($M$10,$L$9,$M$9) )</f>
        <v xml:space="preserve"> 35.73 </v>
      </c>
      <c r="N240" s="174" t="str">
        <f>TEXT(   (SUMPRODUCT( ((LMPMain!$H$9:$H$1000)=$E240)*((LMPMain!$J$9:$J$1000)=$F240)*((LMPMain!$O$9:$O$1000)=$C240)*(LMPMain!T$9:T$1000) ) +  ( SUMPRODUCT( ((Adders!$D$13:$D$101)=$E240)*((Adders!$E$13:$E$101)=$F240)*(Adders!I$13:I$101)) + VLOOKUP($H240,Adders!$B$5:$G$8,N$11,FALSE)  +  NJ!$D$2 ) * IF($D240="NJ",1.07,1))/$L$10, CHOOSE($M$10,$L$9,$M$9) )</f>
        <v xml:space="preserve"> 35.67 </v>
      </c>
      <c r="O240" s="112"/>
    </row>
    <row r="241" spans="2:15" x14ac:dyDescent="0.25">
      <c r="B241" s="108"/>
      <c r="C241" s="135">
        <f t="shared" si="5"/>
        <v>42248</v>
      </c>
      <c r="D241" s="136" t="s">
        <v>39</v>
      </c>
      <c r="E241" s="137" t="s">
        <v>44</v>
      </c>
      <c r="F241" s="136" t="s">
        <v>46</v>
      </c>
      <c r="G241" s="137" t="str">
        <f t="shared" si="6"/>
        <v>RC_3T7</v>
      </c>
      <c r="H241" s="138" t="s">
        <v>690</v>
      </c>
      <c r="I241" s="176" t="str">
        <f>TEXT(   (SUMPRODUCT( ((Main!$H$9:$H$1000)=$E241)*((Main!$J$9:$J$1000)=$F241)*((Main!$O$9:$O$1000)=$C241)*(Main!R$9:R$1000) ) +  ( SUMPRODUCT( ((Adders!$D$13:$D$101)=$E241)*((Adders!$E$13:$E$101)=$F241)*(Adders!G$13:G$101)) + VLOOKUP($H241,Adders!$B$5:$G$8,L$11,FALSE)  +  MD!$D$2 ) * IF($D241="NJ",1.07,1))/$L$10, CHOOSE($M$10,$L$9,$M$9) )</f>
        <v xml:space="preserve"> 80.34 </v>
      </c>
      <c r="J241" s="176" t="str">
        <f>TEXT(   (SUMPRODUCT( ((Main!$H$9:$H$1000)=$E241)*((Main!$J$9:$J$1000)=$F241)*((Main!$O$9:$O$1000)=$C241)*(Main!S$9:S$1000) ) +  ( SUMPRODUCT( ((Adders!$D$13:$D$101)=$E241)*((Adders!$E$13:$E$101)=$F241)*(Adders!H$13:H$101)) + VLOOKUP($H241,Adders!$B$5:$G$8,M$11,FALSE)  +  MD!$D$2 ) * IF($D241="NJ",1.07,1))/$L$10, CHOOSE($M$10,$L$9,$M$9) )</f>
        <v xml:space="preserve"> 79.27 </v>
      </c>
      <c r="K241" s="177" t="str">
        <f>TEXT(   (SUMPRODUCT( ((Main!$H$9:$H$1000)=$E241)*((Main!$J$9:$J$1000)=$F241)*((Main!$O$9:$O$1000)=$C241)*(Main!T$9:T$1000) ) +  ( SUMPRODUCT( ((Adders!$D$13:$D$101)=$E241)*((Adders!$E$13:$E$101)=$F241)*(Adders!I$13:I$101)) + VLOOKUP($H241,Adders!$B$5:$G$8,$N$11,FALSE)  +  MD!$D$2 ) * IF($D241="NJ",1.07,1))/$L$10, CHOOSE($M$10,$L$9,$M$9) )</f>
        <v xml:space="preserve"> 79.10 </v>
      </c>
      <c r="L241" s="176" t="str">
        <f>TEXT(   (SUMPRODUCT( ((LMPMain!$H$9:$H$1000)=$E241)*((LMPMain!$J$9:$J$1000)=$F241)*((LMPMain!$O$9:$O$1000)=$C241)*(LMPMain!R$9:R$1000) ) +  ( SUMPRODUCT( ((Adders!$D$13:$D$101)=$E241)*((Adders!$E$13:$E$101)=$F241)*(Adders!G$13:G$101)) + VLOOKUP($H241,Adders!$B$5:$G$8,L$11,FALSE)  +  NJ!$D$2 ) * IF($D241="NJ",1.07,1))/$L$10, CHOOSE($M$10,$L$9,$M$9) )</f>
        <v xml:space="preserve"> 35.92 </v>
      </c>
      <c r="M241" s="176" t="str">
        <f>TEXT(   (SUMPRODUCT( ((LMPMain!$H$9:$H$1000)=$E241)*((LMPMain!$J$9:$J$1000)=$F241)*((LMPMain!$O$9:$O$1000)=$C241)*(LMPMain!S$9:S$1000) ) +  ( SUMPRODUCT( ((Adders!$D$13:$D$101)=$E241)*((Adders!$E$13:$E$101)=$F241)*(Adders!H$13:H$101)) + VLOOKUP($H241,Adders!$B$5:$G$8,M$11,FALSE)  +  NJ!$D$2 ) * IF($D241="NJ",1.07,1))/$L$10, CHOOSE($M$10,$L$9,$M$9) )</f>
        <v xml:space="preserve"> 34.68 </v>
      </c>
      <c r="N241" s="177" t="str">
        <f>TEXT(   (SUMPRODUCT( ((LMPMain!$H$9:$H$1000)=$E241)*((LMPMain!$J$9:$J$1000)=$F241)*((LMPMain!$O$9:$O$1000)=$C241)*(LMPMain!T$9:T$1000) ) +  ( SUMPRODUCT( ((Adders!$D$13:$D$101)=$E241)*((Adders!$E$13:$E$101)=$F241)*(Adders!I$13:I$101)) + VLOOKUP($H241,Adders!$B$5:$G$8,N$11,FALSE)  +  NJ!$D$2 ) * IF($D241="NJ",1.07,1))/$L$10, CHOOSE($M$10,$L$9,$M$9) )</f>
        <v xml:space="preserve"> 34.62 </v>
      </c>
      <c r="O241" s="112"/>
    </row>
    <row r="242" spans="2:15" x14ac:dyDescent="0.25">
      <c r="B242" s="108"/>
      <c r="C242" s="127">
        <f t="shared" si="5"/>
        <v>42278</v>
      </c>
      <c r="D242" s="128" t="s">
        <v>39</v>
      </c>
      <c r="E242" s="129" t="s">
        <v>44</v>
      </c>
      <c r="F242" s="128" t="s">
        <v>46</v>
      </c>
      <c r="G242" s="129" t="str">
        <f t="shared" si="6"/>
        <v>RC_3T7</v>
      </c>
      <c r="H242" s="130" t="s">
        <v>61</v>
      </c>
      <c r="I242" s="178" t="str">
        <f>TEXT(   (SUMPRODUCT( ((Main!$H$9:$H$1000)=$E242)*((Main!$J$9:$J$1000)=$F242)*((Main!$O$9:$O$1000)=$C242)*(Main!R$9:R$1000) ) +  ( SUMPRODUCT( ((Adders!$D$13:$D$101)=$E242)*((Adders!$E$13:$E$101)=$F242)*(Adders!G$13:G$101)) + VLOOKUP($H242,Adders!$B$5:$G$8,L$11,FALSE)  +  MD!$D$2 ) * IF($D242="NJ",1.07,1))/$L$10, CHOOSE($M$10,$L$9,$M$9) )</f>
        <v xml:space="preserve"> 82.64 </v>
      </c>
      <c r="J242" s="178" t="str">
        <f>TEXT(   (SUMPRODUCT( ((Main!$H$9:$H$1000)=$E242)*((Main!$J$9:$J$1000)=$F242)*((Main!$O$9:$O$1000)=$C242)*(Main!S$9:S$1000) ) +  ( SUMPRODUCT( ((Adders!$D$13:$D$101)=$E242)*((Adders!$E$13:$E$101)=$F242)*(Adders!H$13:H$101)) + VLOOKUP($H242,Adders!$B$5:$G$8,M$11,FALSE)  +  MD!$D$2 ) * IF($D242="NJ",1.07,1))/$L$10, CHOOSE($M$10,$L$9,$M$9) )</f>
        <v xml:space="preserve"> 82.15 </v>
      </c>
      <c r="K242" s="179" t="str">
        <f>TEXT(   (SUMPRODUCT( ((Main!$H$9:$H$1000)=$E242)*((Main!$J$9:$J$1000)=$F242)*((Main!$O$9:$O$1000)=$C242)*(Main!T$9:T$1000) ) +  ( SUMPRODUCT( ((Adders!$D$13:$D$101)=$E242)*((Adders!$E$13:$E$101)=$F242)*(Adders!I$13:I$101)) + VLOOKUP($H242,Adders!$B$5:$G$8,$N$11,FALSE)  +  MD!$D$2 ) * IF($D242="NJ",1.07,1))/$L$10, CHOOSE($M$10,$L$9,$M$9) )</f>
        <v xml:space="preserve"> 81.62 </v>
      </c>
      <c r="L242" s="178" t="str">
        <f>TEXT(   (SUMPRODUCT( ((LMPMain!$H$9:$H$1000)=$E242)*((LMPMain!$J$9:$J$1000)=$F242)*((LMPMain!$O$9:$O$1000)=$C242)*(LMPMain!R$9:R$1000) ) +  ( SUMPRODUCT( ((Adders!$D$13:$D$101)=$E242)*((Adders!$E$13:$E$101)=$F242)*(Adders!G$13:G$101)) + VLOOKUP($H242,Adders!$B$5:$G$8,L$11,FALSE)  +  NJ!$D$2 ) * IF($D242="NJ",1.07,1))/$L$10, CHOOSE($M$10,$L$9,$M$9) )</f>
        <v xml:space="preserve"> 38.27 </v>
      </c>
      <c r="M242" s="178" t="str">
        <f>TEXT(   (SUMPRODUCT( ((LMPMain!$H$9:$H$1000)=$E242)*((LMPMain!$J$9:$J$1000)=$F242)*((LMPMain!$O$9:$O$1000)=$C242)*(LMPMain!S$9:S$1000) ) +  ( SUMPRODUCT( ((Adders!$D$13:$D$101)=$E242)*((Adders!$E$13:$E$101)=$F242)*(Adders!H$13:H$101)) + VLOOKUP($H242,Adders!$B$5:$G$8,M$11,FALSE)  +  NJ!$D$2 ) * IF($D242="NJ",1.07,1))/$L$10, CHOOSE($M$10,$L$9,$M$9) )</f>
        <v xml:space="preserve"> 37.19 </v>
      </c>
      <c r="N242" s="179" t="str">
        <f>TEXT(   (SUMPRODUCT( ((LMPMain!$H$9:$H$1000)=$E242)*((LMPMain!$J$9:$J$1000)=$F242)*((LMPMain!$O$9:$O$1000)=$C242)*(LMPMain!T$9:T$1000) ) +  ( SUMPRODUCT( ((Adders!$D$13:$D$101)=$E242)*((Adders!$E$13:$E$101)=$F242)*(Adders!I$13:I$101)) + VLOOKUP($H242,Adders!$B$5:$G$8,N$11,FALSE)  +  NJ!$D$2 ) * IF($D242="NJ",1.07,1))/$L$10, CHOOSE($M$10,$L$9,$M$9) )</f>
        <v xml:space="preserve"> 37.15 </v>
      </c>
      <c r="O242" s="112"/>
    </row>
    <row r="243" spans="2:15" x14ac:dyDescent="0.25">
      <c r="B243" s="108"/>
      <c r="C243" s="131">
        <f t="shared" ref="C243:C301" si="7">C207</f>
        <v>42278</v>
      </c>
      <c r="D243" s="132" t="s">
        <v>39</v>
      </c>
      <c r="E243" s="133" t="s">
        <v>44</v>
      </c>
      <c r="F243" s="132" t="s">
        <v>46</v>
      </c>
      <c r="G243" s="133" t="str">
        <f t="shared" ref="G243:G301" si="8">G242</f>
        <v>RC_3T7</v>
      </c>
      <c r="H243" s="134" t="s">
        <v>62</v>
      </c>
      <c r="I243" s="173" t="str">
        <f>TEXT(   (SUMPRODUCT( ((Main!$H$9:$H$1000)=$E243)*((Main!$J$9:$J$1000)=$F243)*((Main!$O$9:$O$1000)=$C243)*(Main!R$9:R$1000) ) +  ( SUMPRODUCT( ((Adders!$D$13:$D$101)=$E243)*((Adders!$E$13:$E$101)=$F243)*(Adders!G$13:G$101)) + VLOOKUP($H243,Adders!$B$5:$G$8,L$11,FALSE)  +  MD!$D$2 ) * IF($D243="NJ",1.07,1))/$L$10, CHOOSE($M$10,$L$9,$M$9) )</f>
        <v xml:space="preserve"> 81.04 </v>
      </c>
      <c r="J243" s="173" t="str">
        <f>TEXT(   (SUMPRODUCT( ((Main!$H$9:$H$1000)=$E243)*((Main!$J$9:$J$1000)=$F243)*((Main!$O$9:$O$1000)=$C243)*(Main!S$9:S$1000) ) +  ( SUMPRODUCT( ((Adders!$D$13:$D$101)=$E243)*((Adders!$E$13:$E$101)=$F243)*(Adders!H$13:H$101)) + VLOOKUP($H243,Adders!$B$5:$G$8,M$11,FALSE)  +  MD!$D$2 ) * IF($D243="NJ",1.07,1))/$L$10, CHOOSE($M$10,$L$9,$M$9) )</f>
        <v xml:space="preserve"> 80.55 </v>
      </c>
      <c r="K243" s="174" t="str">
        <f>TEXT(   (SUMPRODUCT( ((Main!$H$9:$H$1000)=$E243)*((Main!$J$9:$J$1000)=$F243)*((Main!$O$9:$O$1000)=$C243)*(Main!T$9:T$1000) ) +  ( SUMPRODUCT( ((Adders!$D$13:$D$101)=$E243)*((Adders!$E$13:$E$101)=$F243)*(Adders!I$13:I$101)) + VLOOKUP($H243,Adders!$B$5:$G$8,$N$11,FALSE)  +  MD!$D$2 ) * IF($D243="NJ",1.07,1))/$L$10, CHOOSE($M$10,$L$9,$M$9) )</f>
        <v xml:space="preserve"> 80.02 </v>
      </c>
      <c r="L243" s="173" t="str">
        <f>TEXT(   (SUMPRODUCT( ((LMPMain!$H$9:$H$1000)=$E243)*((LMPMain!$J$9:$J$1000)=$F243)*((LMPMain!$O$9:$O$1000)=$C243)*(LMPMain!R$9:R$1000) ) +  ( SUMPRODUCT( ((Adders!$D$13:$D$101)=$E243)*((Adders!$E$13:$E$101)=$F243)*(Adders!G$13:G$101)) + VLOOKUP($H243,Adders!$B$5:$G$8,L$11,FALSE)  +  NJ!$D$2 ) * IF($D243="NJ",1.07,1))/$L$10, CHOOSE($M$10,$L$9,$M$9) )</f>
        <v xml:space="preserve"> 36.67 </v>
      </c>
      <c r="M243" s="173" t="str">
        <f>TEXT(   (SUMPRODUCT( ((LMPMain!$H$9:$H$1000)=$E243)*((LMPMain!$J$9:$J$1000)=$F243)*((LMPMain!$O$9:$O$1000)=$C243)*(LMPMain!S$9:S$1000) ) +  ( SUMPRODUCT( ((Adders!$D$13:$D$101)=$E243)*((Adders!$E$13:$E$101)=$F243)*(Adders!H$13:H$101)) + VLOOKUP($H243,Adders!$B$5:$G$8,M$11,FALSE)  +  NJ!$D$2 ) * IF($D243="NJ",1.07,1))/$L$10, CHOOSE($M$10,$L$9,$M$9) )</f>
        <v xml:space="preserve"> 35.59 </v>
      </c>
      <c r="N243" s="174" t="str">
        <f>TEXT(   (SUMPRODUCT( ((LMPMain!$H$9:$H$1000)=$E243)*((LMPMain!$J$9:$J$1000)=$F243)*((LMPMain!$O$9:$O$1000)=$C243)*(LMPMain!T$9:T$1000) ) +  ( SUMPRODUCT( ((Adders!$D$13:$D$101)=$E243)*((Adders!$E$13:$E$101)=$F243)*(Adders!I$13:I$101)) + VLOOKUP($H243,Adders!$B$5:$G$8,N$11,FALSE)  +  NJ!$D$2 ) * IF($D243="NJ",1.07,1))/$L$10, CHOOSE($M$10,$L$9,$M$9) )</f>
        <v xml:space="preserve"> 35.55 </v>
      </c>
      <c r="O243" s="112"/>
    </row>
    <row r="244" spans="2:15" x14ac:dyDescent="0.25">
      <c r="B244" s="108"/>
      <c r="C244" s="135">
        <f t="shared" si="7"/>
        <v>42278</v>
      </c>
      <c r="D244" s="136" t="s">
        <v>39</v>
      </c>
      <c r="E244" s="137" t="s">
        <v>44</v>
      </c>
      <c r="F244" s="136" t="s">
        <v>46</v>
      </c>
      <c r="G244" s="137" t="str">
        <f t="shared" si="8"/>
        <v>RC_3T7</v>
      </c>
      <c r="H244" s="138" t="s">
        <v>690</v>
      </c>
      <c r="I244" s="176" t="str">
        <f>TEXT(   (SUMPRODUCT( ((Main!$H$9:$H$1000)=$E244)*((Main!$J$9:$J$1000)=$F244)*((Main!$O$9:$O$1000)=$C244)*(Main!R$9:R$1000) ) +  ( SUMPRODUCT( ((Adders!$D$13:$D$101)=$E244)*((Adders!$E$13:$E$101)=$F244)*(Adders!G$13:G$101)) + VLOOKUP($H244,Adders!$B$5:$G$8,L$11,FALSE)  +  MD!$D$2 ) * IF($D244="NJ",1.07,1))/$L$10, CHOOSE($M$10,$L$9,$M$9) )</f>
        <v xml:space="preserve"> 79.99 </v>
      </c>
      <c r="J244" s="176" t="str">
        <f>TEXT(   (SUMPRODUCT( ((Main!$H$9:$H$1000)=$E244)*((Main!$J$9:$J$1000)=$F244)*((Main!$O$9:$O$1000)=$C244)*(Main!S$9:S$1000) ) +  ( SUMPRODUCT( ((Adders!$D$13:$D$101)=$E244)*((Adders!$E$13:$E$101)=$F244)*(Adders!H$13:H$101)) + VLOOKUP($H244,Adders!$B$5:$G$8,M$11,FALSE)  +  MD!$D$2 ) * IF($D244="NJ",1.07,1))/$L$10, CHOOSE($M$10,$L$9,$M$9) )</f>
        <v xml:space="preserve"> 79.50 </v>
      </c>
      <c r="K244" s="177" t="str">
        <f>TEXT(   (SUMPRODUCT( ((Main!$H$9:$H$1000)=$E244)*((Main!$J$9:$J$1000)=$F244)*((Main!$O$9:$O$1000)=$C244)*(Main!T$9:T$1000) ) +  ( SUMPRODUCT( ((Adders!$D$13:$D$101)=$E244)*((Adders!$E$13:$E$101)=$F244)*(Adders!I$13:I$101)) + VLOOKUP($H244,Adders!$B$5:$G$8,$N$11,FALSE)  +  MD!$D$2 ) * IF($D244="NJ",1.07,1))/$L$10, CHOOSE($M$10,$L$9,$M$9) )</f>
        <v xml:space="preserve"> 78.97 </v>
      </c>
      <c r="L244" s="176" t="str">
        <f>TEXT(   (SUMPRODUCT( ((LMPMain!$H$9:$H$1000)=$E244)*((LMPMain!$J$9:$J$1000)=$F244)*((LMPMain!$O$9:$O$1000)=$C244)*(LMPMain!R$9:R$1000) ) +  ( SUMPRODUCT( ((Adders!$D$13:$D$101)=$E244)*((Adders!$E$13:$E$101)=$F244)*(Adders!G$13:G$101)) + VLOOKUP($H244,Adders!$B$5:$G$8,L$11,FALSE)  +  NJ!$D$2 ) * IF($D244="NJ",1.07,1))/$L$10, CHOOSE($M$10,$L$9,$M$9) )</f>
        <v xml:space="preserve"> 35.62 </v>
      </c>
      <c r="M244" s="176" t="str">
        <f>TEXT(   (SUMPRODUCT( ((LMPMain!$H$9:$H$1000)=$E244)*((LMPMain!$J$9:$J$1000)=$F244)*((LMPMain!$O$9:$O$1000)=$C244)*(LMPMain!S$9:S$1000) ) +  ( SUMPRODUCT( ((Adders!$D$13:$D$101)=$E244)*((Adders!$E$13:$E$101)=$F244)*(Adders!H$13:H$101)) + VLOOKUP($H244,Adders!$B$5:$G$8,M$11,FALSE)  +  NJ!$D$2 ) * IF($D244="NJ",1.07,1))/$L$10, CHOOSE($M$10,$L$9,$M$9) )</f>
        <v xml:space="preserve"> 34.54 </v>
      </c>
      <c r="N244" s="177" t="str">
        <f>TEXT(   (SUMPRODUCT( ((LMPMain!$H$9:$H$1000)=$E244)*((LMPMain!$J$9:$J$1000)=$F244)*((LMPMain!$O$9:$O$1000)=$C244)*(LMPMain!T$9:T$1000) ) +  ( SUMPRODUCT( ((Adders!$D$13:$D$101)=$E244)*((Adders!$E$13:$E$101)=$F244)*(Adders!I$13:I$101)) + VLOOKUP($H244,Adders!$B$5:$G$8,N$11,FALSE)  +  NJ!$D$2 ) * IF($D244="NJ",1.07,1))/$L$10, CHOOSE($M$10,$L$9,$M$9) )</f>
        <v xml:space="preserve"> 34.50 </v>
      </c>
      <c r="O244" s="112"/>
    </row>
    <row r="245" spans="2:15" x14ac:dyDescent="0.25">
      <c r="B245" s="108"/>
      <c r="C245" s="127">
        <f t="shared" si="7"/>
        <v>42309</v>
      </c>
      <c r="D245" s="128" t="s">
        <v>39</v>
      </c>
      <c r="E245" s="129" t="s">
        <v>44</v>
      </c>
      <c r="F245" s="128" t="s">
        <v>46</v>
      </c>
      <c r="G245" s="129" t="str">
        <f t="shared" si="8"/>
        <v>RC_3T7</v>
      </c>
      <c r="H245" s="130" t="s">
        <v>61</v>
      </c>
      <c r="I245" s="178" t="str">
        <f>TEXT(   (SUMPRODUCT( ((Main!$H$9:$H$1000)=$E245)*((Main!$J$9:$J$1000)=$F245)*((Main!$O$9:$O$1000)=$C245)*(Main!R$9:R$1000) ) +  ( SUMPRODUCT( ((Adders!$D$13:$D$101)=$E245)*((Adders!$E$13:$E$101)=$F245)*(Adders!G$13:G$101)) + VLOOKUP($H245,Adders!$B$5:$G$8,L$11,FALSE)  +  MD!$D$2 ) * IF($D245="NJ",1.07,1))/$L$10, CHOOSE($M$10,$L$9,$M$9) )</f>
        <v xml:space="preserve"> 82.23 </v>
      </c>
      <c r="J245" s="178" t="str">
        <f>TEXT(   (SUMPRODUCT( ((Main!$H$9:$H$1000)=$E245)*((Main!$J$9:$J$1000)=$F245)*((Main!$O$9:$O$1000)=$C245)*(Main!S$9:S$1000) ) +  ( SUMPRODUCT( ((Adders!$D$13:$D$101)=$E245)*((Adders!$E$13:$E$101)=$F245)*(Adders!H$13:H$101)) + VLOOKUP($H245,Adders!$B$5:$G$8,M$11,FALSE)  +  MD!$D$2 ) * IF($D245="NJ",1.07,1))/$L$10, CHOOSE($M$10,$L$9,$M$9) )</f>
        <v xml:space="preserve"> 82.32 </v>
      </c>
      <c r="K245" s="179" t="str">
        <f>TEXT(   (SUMPRODUCT( ((Main!$H$9:$H$1000)=$E245)*((Main!$J$9:$J$1000)=$F245)*((Main!$O$9:$O$1000)=$C245)*(Main!T$9:T$1000) ) +  ( SUMPRODUCT( ((Adders!$D$13:$D$101)=$E245)*((Adders!$E$13:$E$101)=$F245)*(Adders!I$13:I$101)) + VLOOKUP($H245,Adders!$B$5:$G$8,$N$11,FALSE)  +  MD!$D$2 ) * IF($D245="NJ",1.07,1))/$L$10, CHOOSE($M$10,$L$9,$M$9) )</f>
        <v xml:space="preserve"> 81.50 </v>
      </c>
      <c r="L245" s="178" t="str">
        <f>TEXT(   (SUMPRODUCT( ((LMPMain!$H$9:$H$1000)=$E245)*((LMPMain!$J$9:$J$1000)=$F245)*((LMPMain!$O$9:$O$1000)=$C245)*(LMPMain!R$9:R$1000) ) +  ( SUMPRODUCT( ((Adders!$D$13:$D$101)=$E245)*((Adders!$E$13:$E$101)=$F245)*(Adders!G$13:G$101)) + VLOOKUP($H245,Adders!$B$5:$G$8,L$11,FALSE)  +  NJ!$D$2 ) * IF($D245="NJ",1.07,1))/$L$10, CHOOSE($M$10,$L$9,$M$9) )</f>
        <v xml:space="preserve"> 37.98 </v>
      </c>
      <c r="M245" s="178" t="str">
        <f>TEXT(   (SUMPRODUCT( ((LMPMain!$H$9:$H$1000)=$E245)*((LMPMain!$J$9:$J$1000)=$F245)*((LMPMain!$O$9:$O$1000)=$C245)*(LMPMain!S$9:S$1000) ) +  ( SUMPRODUCT( ((Adders!$D$13:$D$101)=$E245)*((Adders!$E$13:$E$101)=$F245)*(Adders!H$13:H$101)) + VLOOKUP($H245,Adders!$B$5:$G$8,M$11,FALSE)  +  NJ!$D$2 ) * IF($D245="NJ",1.07,1))/$L$10, CHOOSE($M$10,$L$9,$M$9) )</f>
        <v xml:space="preserve"> 37.16 </v>
      </c>
      <c r="N245" s="179" t="str">
        <f>TEXT(   (SUMPRODUCT( ((LMPMain!$H$9:$H$1000)=$E245)*((LMPMain!$J$9:$J$1000)=$F245)*((LMPMain!$O$9:$O$1000)=$C245)*(LMPMain!T$9:T$1000) ) +  ( SUMPRODUCT( ((Adders!$D$13:$D$101)=$E245)*((Adders!$E$13:$E$101)=$F245)*(Adders!I$13:I$101)) + VLOOKUP($H245,Adders!$B$5:$G$8,N$11,FALSE)  +  NJ!$D$2 ) * IF($D245="NJ",1.07,1))/$L$10, CHOOSE($M$10,$L$9,$M$9) )</f>
        <v xml:space="preserve"> 37.03 </v>
      </c>
      <c r="O245" s="112"/>
    </row>
    <row r="246" spans="2:15" x14ac:dyDescent="0.25">
      <c r="B246" s="108"/>
      <c r="C246" s="131">
        <f t="shared" si="7"/>
        <v>42309</v>
      </c>
      <c r="D246" s="132" t="s">
        <v>39</v>
      </c>
      <c r="E246" s="133" t="s">
        <v>44</v>
      </c>
      <c r="F246" s="132" t="s">
        <v>46</v>
      </c>
      <c r="G246" s="133" t="str">
        <f t="shared" si="8"/>
        <v>RC_3T7</v>
      </c>
      <c r="H246" s="134" t="s">
        <v>62</v>
      </c>
      <c r="I246" s="173" t="str">
        <f>TEXT(   (SUMPRODUCT( ((Main!$H$9:$H$1000)=$E246)*((Main!$J$9:$J$1000)=$F246)*((Main!$O$9:$O$1000)=$C246)*(Main!R$9:R$1000) ) +  ( SUMPRODUCT( ((Adders!$D$13:$D$101)=$E246)*((Adders!$E$13:$E$101)=$F246)*(Adders!G$13:G$101)) + VLOOKUP($H246,Adders!$B$5:$G$8,L$11,FALSE)  +  MD!$D$2 ) * IF($D246="NJ",1.07,1))/$L$10, CHOOSE($M$10,$L$9,$M$9) )</f>
        <v xml:space="preserve"> 80.63 </v>
      </c>
      <c r="J246" s="173" t="str">
        <f>TEXT(   (SUMPRODUCT( ((Main!$H$9:$H$1000)=$E246)*((Main!$J$9:$J$1000)=$F246)*((Main!$O$9:$O$1000)=$C246)*(Main!S$9:S$1000) ) +  ( SUMPRODUCT( ((Adders!$D$13:$D$101)=$E246)*((Adders!$E$13:$E$101)=$F246)*(Adders!H$13:H$101)) + VLOOKUP($H246,Adders!$B$5:$G$8,M$11,FALSE)  +  MD!$D$2 ) * IF($D246="NJ",1.07,1))/$L$10, CHOOSE($M$10,$L$9,$M$9) )</f>
        <v xml:space="preserve"> 80.72 </v>
      </c>
      <c r="K246" s="174" t="str">
        <f>TEXT(   (SUMPRODUCT( ((Main!$H$9:$H$1000)=$E246)*((Main!$J$9:$J$1000)=$F246)*((Main!$O$9:$O$1000)=$C246)*(Main!T$9:T$1000) ) +  ( SUMPRODUCT( ((Adders!$D$13:$D$101)=$E246)*((Adders!$E$13:$E$101)=$F246)*(Adders!I$13:I$101)) + VLOOKUP($H246,Adders!$B$5:$G$8,$N$11,FALSE)  +  MD!$D$2 ) * IF($D246="NJ",1.07,1))/$L$10, CHOOSE($M$10,$L$9,$M$9) )</f>
        <v xml:space="preserve"> 79.90 </v>
      </c>
      <c r="L246" s="173" t="str">
        <f>TEXT(   (SUMPRODUCT( ((LMPMain!$H$9:$H$1000)=$E246)*((LMPMain!$J$9:$J$1000)=$F246)*((LMPMain!$O$9:$O$1000)=$C246)*(LMPMain!R$9:R$1000) ) +  ( SUMPRODUCT( ((Adders!$D$13:$D$101)=$E246)*((Adders!$E$13:$E$101)=$F246)*(Adders!G$13:G$101)) + VLOOKUP($H246,Adders!$B$5:$G$8,L$11,FALSE)  +  NJ!$D$2 ) * IF($D246="NJ",1.07,1))/$L$10, CHOOSE($M$10,$L$9,$M$9) )</f>
        <v xml:space="preserve"> 36.38 </v>
      </c>
      <c r="M246" s="173" t="str">
        <f>TEXT(   (SUMPRODUCT( ((LMPMain!$H$9:$H$1000)=$E246)*((LMPMain!$J$9:$J$1000)=$F246)*((LMPMain!$O$9:$O$1000)=$C246)*(LMPMain!S$9:S$1000) ) +  ( SUMPRODUCT( ((Adders!$D$13:$D$101)=$E246)*((Adders!$E$13:$E$101)=$F246)*(Adders!H$13:H$101)) + VLOOKUP($H246,Adders!$B$5:$G$8,M$11,FALSE)  +  NJ!$D$2 ) * IF($D246="NJ",1.07,1))/$L$10, CHOOSE($M$10,$L$9,$M$9) )</f>
        <v xml:space="preserve"> 35.56 </v>
      </c>
      <c r="N246" s="174" t="str">
        <f>TEXT(   (SUMPRODUCT( ((LMPMain!$H$9:$H$1000)=$E246)*((LMPMain!$J$9:$J$1000)=$F246)*((LMPMain!$O$9:$O$1000)=$C246)*(LMPMain!T$9:T$1000) ) +  ( SUMPRODUCT( ((Adders!$D$13:$D$101)=$E246)*((Adders!$E$13:$E$101)=$F246)*(Adders!I$13:I$101)) + VLOOKUP($H246,Adders!$B$5:$G$8,N$11,FALSE)  +  NJ!$D$2 ) * IF($D246="NJ",1.07,1))/$L$10, CHOOSE($M$10,$L$9,$M$9) )</f>
        <v xml:space="preserve"> 35.43 </v>
      </c>
      <c r="O246" s="112"/>
    </row>
    <row r="247" spans="2:15" x14ac:dyDescent="0.25">
      <c r="B247" s="108"/>
      <c r="C247" s="135">
        <f t="shared" si="7"/>
        <v>42309</v>
      </c>
      <c r="D247" s="136" t="s">
        <v>39</v>
      </c>
      <c r="E247" s="137" t="s">
        <v>44</v>
      </c>
      <c r="F247" s="136" t="s">
        <v>46</v>
      </c>
      <c r="G247" s="137" t="str">
        <f t="shared" si="8"/>
        <v>RC_3T7</v>
      </c>
      <c r="H247" s="138" t="s">
        <v>690</v>
      </c>
      <c r="I247" s="176" t="str">
        <f>TEXT(   (SUMPRODUCT( ((Main!$H$9:$H$1000)=$E247)*((Main!$J$9:$J$1000)=$F247)*((Main!$O$9:$O$1000)=$C247)*(Main!R$9:R$1000) ) +  ( SUMPRODUCT( ((Adders!$D$13:$D$101)=$E247)*((Adders!$E$13:$E$101)=$F247)*(Adders!G$13:G$101)) + VLOOKUP($H247,Adders!$B$5:$G$8,L$11,FALSE)  +  MD!$D$2 ) * IF($D247="NJ",1.07,1))/$L$10, CHOOSE($M$10,$L$9,$M$9) )</f>
        <v xml:space="preserve"> 79.58 </v>
      </c>
      <c r="J247" s="176" t="str">
        <f>TEXT(   (SUMPRODUCT( ((Main!$H$9:$H$1000)=$E247)*((Main!$J$9:$J$1000)=$F247)*((Main!$O$9:$O$1000)=$C247)*(Main!S$9:S$1000) ) +  ( SUMPRODUCT( ((Adders!$D$13:$D$101)=$E247)*((Adders!$E$13:$E$101)=$F247)*(Adders!H$13:H$101)) + VLOOKUP($H247,Adders!$B$5:$G$8,M$11,FALSE)  +  MD!$D$2 ) * IF($D247="NJ",1.07,1))/$L$10, CHOOSE($M$10,$L$9,$M$9) )</f>
        <v xml:space="preserve"> 79.67 </v>
      </c>
      <c r="K247" s="177" t="str">
        <f>TEXT(   (SUMPRODUCT( ((Main!$H$9:$H$1000)=$E247)*((Main!$J$9:$J$1000)=$F247)*((Main!$O$9:$O$1000)=$C247)*(Main!T$9:T$1000) ) +  ( SUMPRODUCT( ((Adders!$D$13:$D$101)=$E247)*((Adders!$E$13:$E$101)=$F247)*(Adders!I$13:I$101)) + VLOOKUP($H247,Adders!$B$5:$G$8,$N$11,FALSE)  +  MD!$D$2 ) * IF($D247="NJ",1.07,1))/$L$10, CHOOSE($M$10,$L$9,$M$9) )</f>
        <v xml:space="preserve"> 78.85 </v>
      </c>
      <c r="L247" s="176" t="str">
        <f>TEXT(   (SUMPRODUCT( ((LMPMain!$H$9:$H$1000)=$E247)*((LMPMain!$J$9:$J$1000)=$F247)*((LMPMain!$O$9:$O$1000)=$C247)*(LMPMain!R$9:R$1000) ) +  ( SUMPRODUCT( ((Adders!$D$13:$D$101)=$E247)*((Adders!$E$13:$E$101)=$F247)*(Adders!G$13:G$101)) + VLOOKUP($H247,Adders!$B$5:$G$8,L$11,FALSE)  +  NJ!$D$2 ) * IF($D247="NJ",1.07,1))/$L$10, CHOOSE($M$10,$L$9,$M$9) )</f>
        <v xml:space="preserve"> 35.33 </v>
      </c>
      <c r="M247" s="176" t="str">
        <f>TEXT(   (SUMPRODUCT( ((LMPMain!$H$9:$H$1000)=$E247)*((LMPMain!$J$9:$J$1000)=$F247)*((LMPMain!$O$9:$O$1000)=$C247)*(LMPMain!S$9:S$1000) ) +  ( SUMPRODUCT( ((Adders!$D$13:$D$101)=$E247)*((Adders!$E$13:$E$101)=$F247)*(Adders!H$13:H$101)) + VLOOKUP($H247,Adders!$B$5:$G$8,M$11,FALSE)  +  NJ!$D$2 ) * IF($D247="NJ",1.07,1))/$L$10, CHOOSE($M$10,$L$9,$M$9) )</f>
        <v xml:space="preserve"> 34.51 </v>
      </c>
      <c r="N247" s="177" t="str">
        <f>TEXT(   (SUMPRODUCT( ((LMPMain!$H$9:$H$1000)=$E247)*((LMPMain!$J$9:$J$1000)=$F247)*((LMPMain!$O$9:$O$1000)=$C247)*(LMPMain!T$9:T$1000) ) +  ( SUMPRODUCT( ((Adders!$D$13:$D$101)=$E247)*((Adders!$E$13:$E$101)=$F247)*(Adders!I$13:I$101)) + VLOOKUP($H247,Adders!$B$5:$G$8,N$11,FALSE)  +  NJ!$D$2 ) * IF($D247="NJ",1.07,1))/$L$10, CHOOSE($M$10,$L$9,$M$9) )</f>
        <v xml:space="preserve"> 34.38 </v>
      </c>
      <c r="O247" s="112"/>
    </row>
    <row r="248" spans="2:15" x14ac:dyDescent="0.25">
      <c r="B248" s="108"/>
      <c r="C248" s="127">
        <f t="shared" si="7"/>
        <v>42339</v>
      </c>
      <c r="D248" s="128" t="s">
        <v>39</v>
      </c>
      <c r="E248" s="129" t="s">
        <v>44</v>
      </c>
      <c r="F248" s="128" t="s">
        <v>46</v>
      </c>
      <c r="G248" s="129" t="str">
        <f t="shared" si="8"/>
        <v>RC_3T7</v>
      </c>
      <c r="H248" s="130" t="s">
        <v>61</v>
      </c>
      <c r="I248" s="178" t="str">
        <f>TEXT(   (SUMPRODUCT( ((Main!$H$9:$H$1000)=$E248)*((Main!$J$9:$J$1000)=$F248)*((Main!$O$9:$O$1000)=$C248)*(Main!R$9:R$1000) ) +  ( SUMPRODUCT( ((Adders!$D$13:$D$101)=$E248)*((Adders!$E$13:$E$101)=$F248)*(Adders!G$13:G$101)) + VLOOKUP($H248,Adders!$B$5:$G$8,L$11,FALSE)  +  MD!$D$2 ) * IF($D248="NJ",1.07,1))/$L$10, CHOOSE($M$10,$L$9,$M$9) )</f>
        <v xml:space="preserve"> 81.90 </v>
      </c>
      <c r="J248" s="178" t="str">
        <f>TEXT(   (SUMPRODUCT( ((Main!$H$9:$H$1000)=$E248)*((Main!$J$9:$J$1000)=$F248)*((Main!$O$9:$O$1000)=$C248)*(Main!S$9:S$1000) ) +  ( SUMPRODUCT( ((Adders!$D$13:$D$101)=$E248)*((Adders!$E$13:$E$101)=$F248)*(Adders!H$13:H$101)) + VLOOKUP($H248,Adders!$B$5:$G$8,M$11,FALSE)  +  MD!$D$2 ) * IF($D248="NJ",1.07,1))/$L$10, CHOOSE($M$10,$L$9,$M$9) )</f>
        <v xml:space="preserve"> 82.31 </v>
      </c>
      <c r="K248" s="179" t="str">
        <f>TEXT(   (SUMPRODUCT( ((Main!$H$9:$H$1000)=$E248)*((Main!$J$9:$J$1000)=$F248)*((Main!$O$9:$O$1000)=$C248)*(Main!T$9:T$1000) ) +  ( SUMPRODUCT( ((Adders!$D$13:$D$101)=$E248)*((Adders!$E$13:$E$101)=$F248)*(Adders!I$13:I$101)) + VLOOKUP($H248,Adders!$B$5:$G$8,$N$11,FALSE)  +  MD!$D$2 ) * IF($D248="NJ",1.07,1))/$L$10, CHOOSE($M$10,$L$9,$M$9) )</f>
        <v xml:space="preserve"> 81.52 </v>
      </c>
      <c r="L248" s="178" t="str">
        <f>TEXT(   (SUMPRODUCT( ((LMPMain!$H$9:$H$1000)=$E248)*((LMPMain!$J$9:$J$1000)=$F248)*((LMPMain!$O$9:$O$1000)=$C248)*(LMPMain!R$9:R$1000) ) +  ( SUMPRODUCT( ((Adders!$D$13:$D$101)=$E248)*((Adders!$E$13:$E$101)=$F248)*(Adders!G$13:G$101)) + VLOOKUP($H248,Adders!$B$5:$G$8,L$11,FALSE)  +  NJ!$D$2 ) * IF($D248="NJ",1.07,1))/$L$10, CHOOSE($M$10,$L$9,$M$9) )</f>
        <v xml:space="preserve"> 37.68 </v>
      </c>
      <c r="M248" s="178" t="str">
        <f>TEXT(   (SUMPRODUCT( ((LMPMain!$H$9:$H$1000)=$E248)*((LMPMain!$J$9:$J$1000)=$F248)*((LMPMain!$O$9:$O$1000)=$C248)*(LMPMain!S$9:S$1000) ) +  ( SUMPRODUCT( ((Adders!$D$13:$D$101)=$E248)*((Adders!$E$13:$E$101)=$F248)*(Adders!H$13:H$101)) + VLOOKUP($H248,Adders!$B$5:$G$8,M$11,FALSE)  +  NJ!$D$2 ) * IF($D248="NJ",1.07,1))/$L$10, CHOOSE($M$10,$L$9,$M$9) )</f>
        <v xml:space="preserve"> 37.03 </v>
      </c>
      <c r="N248" s="179" t="str">
        <f>TEXT(   (SUMPRODUCT( ((LMPMain!$H$9:$H$1000)=$E248)*((LMPMain!$J$9:$J$1000)=$F248)*((LMPMain!$O$9:$O$1000)=$C248)*(LMPMain!T$9:T$1000) ) +  ( SUMPRODUCT( ((Adders!$D$13:$D$101)=$E248)*((Adders!$E$13:$E$101)=$F248)*(Adders!I$13:I$101)) + VLOOKUP($H248,Adders!$B$5:$G$8,N$11,FALSE)  +  NJ!$D$2 ) * IF($D248="NJ",1.07,1))/$L$10, CHOOSE($M$10,$L$9,$M$9) )</f>
        <v xml:space="preserve"> 37.00 </v>
      </c>
      <c r="O248" s="112"/>
    </row>
    <row r="249" spans="2:15" x14ac:dyDescent="0.25">
      <c r="B249" s="108"/>
      <c r="C249" s="131">
        <f t="shared" si="7"/>
        <v>42339</v>
      </c>
      <c r="D249" s="132" t="s">
        <v>39</v>
      </c>
      <c r="E249" s="133" t="s">
        <v>44</v>
      </c>
      <c r="F249" s="132" t="s">
        <v>46</v>
      </c>
      <c r="G249" s="133" t="str">
        <f t="shared" si="8"/>
        <v>RC_3T7</v>
      </c>
      <c r="H249" s="134" t="s">
        <v>62</v>
      </c>
      <c r="I249" s="173" t="str">
        <f>TEXT(   (SUMPRODUCT( ((Main!$H$9:$H$1000)=$E249)*((Main!$J$9:$J$1000)=$F249)*((Main!$O$9:$O$1000)=$C249)*(Main!R$9:R$1000) ) +  ( SUMPRODUCT( ((Adders!$D$13:$D$101)=$E249)*((Adders!$E$13:$E$101)=$F249)*(Adders!G$13:G$101)) + VLOOKUP($H249,Adders!$B$5:$G$8,L$11,FALSE)  +  MD!$D$2 ) * IF($D249="NJ",1.07,1))/$L$10, CHOOSE($M$10,$L$9,$M$9) )</f>
        <v xml:space="preserve"> 80.30 </v>
      </c>
      <c r="J249" s="173" t="str">
        <f>TEXT(   (SUMPRODUCT( ((Main!$H$9:$H$1000)=$E249)*((Main!$J$9:$J$1000)=$F249)*((Main!$O$9:$O$1000)=$C249)*(Main!S$9:S$1000) ) +  ( SUMPRODUCT( ((Adders!$D$13:$D$101)=$E249)*((Adders!$E$13:$E$101)=$F249)*(Adders!H$13:H$101)) + VLOOKUP($H249,Adders!$B$5:$G$8,M$11,FALSE)  +  MD!$D$2 ) * IF($D249="NJ",1.07,1))/$L$10, CHOOSE($M$10,$L$9,$M$9) )</f>
        <v xml:space="preserve"> 80.71 </v>
      </c>
      <c r="K249" s="174" t="str">
        <f>TEXT(   (SUMPRODUCT( ((Main!$H$9:$H$1000)=$E249)*((Main!$J$9:$J$1000)=$F249)*((Main!$O$9:$O$1000)=$C249)*(Main!T$9:T$1000) ) +  ( SUMPRODUCT( ((Adders!$D$13:$D$101)=$E249)*((Adders!$E$13:$E$101)=$F249)*(Adders!I$13:I$101)) + VLOOKUP($H249,Adders!$B$5:$G$8,$N$11,FALSE)  +  MD!$D$2 ) * IF($D249="NJ",1.07,1))/$L$10, CHOOSE($M$10,$L$9,$M$9) )</f>
        <v xml:space="preserve"> 79.92 </v>
      </c>
      <c r="L249" s="173" t="str">
        <f>TEXT(   (SUMPRODUCT( ((LMPMain!$H$9:$H$1000)=$E249)*((LMPMain!$J$9:$J$1000)=$F249)*((LMPMain!$O$9:$O$1000)=$C249)*(LMPMain!R$9:R$1000) ) +  ( SUMPRODUCT( ((Adders!$D$13:$D$101)=$E249)*((Adders!$E$13:$E$101)=$F249)*(Adders!G$13:G$101)) + VLOOKUP($H249,Adders!$B$5:$G$8,L$11,FALSE)  +  NJ!$D$2 ) * IF($D249="NJ",1.07,1))/$L$10, CHOOSE($M$10,$L$9,$M$9) )</f>
        <v xml:space="preserve"> 36.08 </v>
      </c>
      <c r="M249" s="173" t="str">
        <f>TEXT(   (SUMPRODUCT( ((LMPMain!$H$9:$H$1000)=$E249)*((LMPMain!$J$9:$J$1000)=$F249)*((LMPMain!$O$9:$O$1000)=$C249)*(LMPMain!S$9:S$1000) ) +  ( SUMPRODUCT( ((Adders!$D$13:$D$101)=$E249)*((Adders!$E$13:$E$101)=$F249)*(Adders!H$13:H$101)) + VLOOKUP($H249,Adders!$B$5:$G$8,M$11,FALSE)  +  NJ!$D$2 ) * IF($D249="NJ",1.07,1))/$L$10, CHOOSE($M$10,$L$9,$M$9) )</f>
        <v xml:space="preserve"> 35.43 </v>
      </c>
      <c r="N249" s="174" t="str">
        <f>TEXT(   (SUMPRODUCT( ((LMPMain!$H$9:$H$1000)=$E249)*((LMPMain!$J$9:$J$1000)=$F249)*((LMPMain!$O$9:$O$1000)=$C249)*(LMPMain!T$9:T$1000) ) +  ( SUMPRODUCT( ((Adders!$D$13:$D$101)=$E249)*((Adders!$E$13:$E$101)=$F249)*(Adders!I$13:I$101)) + VLOOKUP($H249,Adders!$B$5:$G$8,N$11,FALSE)  +  NJ!$D$2 ) * IF($D249="NJ",1.07,1))/$L$10, CHOOSE($M$10,$L$9,$M$9) )</f>
        <v xml:space="preserve"> 35.40 </v>
      </c>
      <c r="O249" s="112"/>
    </row>
    <row r="250" spans="2:15" x14ac:dyDescent="0.25">
      <c r="B250" s="108"/>
      <c r="C250" s="135">
        <f t="shared" si="7"/>
        <v>42339</v>
      </c>
      <c r="D250" s="136" t="s">
        <v>39</v>
      </c>
      <c r="E250" s="137" t="s">
        <v>44</v>
      </c>
      <c r="F250" s="136" t="s">
        <v>46</v>
      </c>
      <c r="G250" s="137" t="str">
        <f t="shared" si="8"/>
        <v>RC_3T7</v>
      </c>
      <c r="H250" s="138" t="s">
        <v>690</v>
      </c>
      <c r="I250" s="176" t="str">
        <f>TEXT(   (SUMPRODUCT( ((Main!$H$9:$H$1000)=$E250)*((Main!$J$9:$J$1000)=$F250)*((Main!$O$9:$O$1000)=$C250)*(Main!R$9:R$1000) ) +  ( SUMPRODUCT( ((Adders!$D$13:$D$101)=$E250)*((Adders!$E$13:$E$101)=$F250)*(Adders!G$13:G$101)) + VLOOKUP($H250,Adders!$B$5:$G$8,L$11,FALSE)  +  MD!$D$2 ) * IF($D250="NJ",1.07,1))/$L$10, CHOOSE($M$10,$L$9,$M$9) )</f>
        <v xml:space="preserve"> 79.25 </v>
      </c>
      <c r="J250" s="176" t="str">
        <f>TEXT(   (SUMPRODUCT( ((Main!$H$9:$H$1000)=$E250)*((Main!$J$9:$J$1000)=$F250)*((Main!$O$9:$O$1000)=$C250)*(Main!S$9:S$1000) ) +  ( SUMPRODUCT( ((Adders!$D$13:$D$101)=$E250)*((Adders!$E$13:$E$101)=$F250)*(Adders!H$13:H$101)) + VLOOKUP($H250,Adders!$B$5:$G$8,M$11,FALSE)  +  MD!$D$2 ) * IF($D250="NJ",1.07,1))/$L$10, CHOOSE($M$10,$L$9,$M$9) )</f>
        <v xml:space="preserve"> 79.66 </v>
      </c>
      <c r="K250" s="177" t="str">
        <f>TEXT(   (SUMPRODUCT( ((Main!$H$9:$H$1000)=$E250)*((Main!$J$9:$J$1000)=$F250)*((Main!$O$9:$O$1000)=$C250)*(Main!T$9:T$1000) ) +  ( SUMPRODUCT( ((Adders!$D$13:$D$101)=$E250)*((Adders!$E$13:$E$101)=$F250)*(Adders!I$13:I$101)) + VLOOKUP($H250,Adders!$B$5:$G$8,$N$11,FALSE)  +  MD!$D$2 ) * IF($D250="NJ",1.07,1))/$L$10, CHOOSE($M$10,$L$9,$M$9) )</f>
        <v xml:space="preserve"> 78.87 </v>
      </c>
      <c r="L250" s="176" t="str">
        <f>TEXT(   (SUMPRODUCT( ((LMPMain!$H$9:$H$1000)=$E250)*((LMPMain!$J$9:$J$1000)=$F250)*((LMPMain!$O$9:$O$1000)=$C250)*(LMPMain!R$9:R$1000) ) +  ( SUMPRODUCT( ((Adders!$D$13:$D$101)=$E250)*((Adders!$E$13:$E$101)=$F250)*(Adders!G$13:G$101)) + VLOOKUP($H250,Adders!$B$5:$G$8,L$11,FALSE)  +  NJ!$D$2 ) * IF($D250="NJ",1.07,1))/$L$10, CHOOSE($M$10,$L$9,$M$9) )</f>
        <v xml:space="preserve"> 35.03 </v>
      </c>
      <c r="M250" s="176" t="str">
        <f>TEXT(   (SUMPRODUCT( ((LMPMain!$H$9:$H$1000)=$E250)*((LMPMain!$J$9:$J$1000)=$F250)*((LMPMain!$O$9:$O$1000)=$C250)*(LMPMain!S$9:S$1000) ) +  ( SUMPRODUCT( ((Adders!$D$13:$D$101)=$E250)*((Adders!$E$13:$E$101)=$F250)*(Adders!H$13:H$101)) + VLOOKUP($H250,Adders!$B$5:$G$8,M$11,FALSE)  +  NJ!$D$2 ) * IF($D250="NJ",1.07,1))/$L$10, CHOOSE($M$10,$L$9,$M$9) )</f>
        <v xml:space="preserve"> 34.38 </v>
      </c>
      <c r="N250" s="177" t="str">
        <f>TEXT(   (SUMPRODUCT( ((LMPMain!$H$9:$H$1000)=$E250)*((LMPMain!$J$9:$J$1000)=$F250)*((LMPMain!$O$9:$O$1000)=$C250)*(LMPMain!T$9:T$1000) ) +  ( SUMPRODUCT( ((Adders!$D$13:$D$101)=$E250)*((Adders!$E$13:$E$101)=$F250)*(Adders!I$13:I$101)) + VLOOKUP($H250,Adders!$B$5:$G$8,N$11,FALSE)  +  NJ!$D$2 ) * IF($D250="NJ",1.07,1))/$L$10, CHOOSE($M$10,$L$9,$M$9) )</f>
        <v xml:space="preserve"> 34.35 </v>
      </c>
      <c r="O250" s="112"/>
    </row>
    <row r="251" spans="2:15" x14ac:dyDescent="0.25">
      <c r="B251" s="108"/>
      <c r="C251" s="127">
        <f t="shared" si="7"/>
        <v>42370</v>
      </c>
      <c r="D251" s="128" t="s">
        <v>39</v>
      </c>
      <c r="E251" s="129" t="s">
        <v>44</v>
      </c>
      <c r="F251" s="128" t="s">
        <v>46</v>
      </c>
      <c r="G251" s="129" t="str">
        <f t="shared" si="8"/>
        <v>RC_3T7</v>
      </c>
      <c r="H251" s="130" t="s">
        <v>61</v>
      </c>
      <c r="I251" s="178" t="str">
        <f>TEXT(   (SUMPRODUCT( ((Main!$H$9:$H$1000)=$E251)*((Main!$J$9:$J$1000)=$F251)*((Main!$O$9:$O$1000)=$C251)*(Main!R$9:R$1000) ) +  ( SUMPRODUCT( ((Adders!$D$13:$D$101)=$E251)*((Adders!$E$13:$E$101)=$F251)*(Adders!G$13:G$101)) + VLOOKUP($H251,Adders!$B$5:$G$8,L$11,FALSE)  +  MD!$D$2 ) * IF($D251="NJ",1.07,1))/$L$10, CHOOSE($M$10,$L$9,$M$9) )</f>
        <v xml:space="preserve"> 81.35 </v>
      </c>
      <c r="J251" s="178" t="str">
        <f>TEXT(   (SUMPRODUCT( ((Main!$H$9:$H$1000)=$E251)*((Main!$J$9:$J$1000)=$F251)*((Main!$O$9:$O$1000)=$C251)*(Main!S$9:S$1000) ) +  ( SUMPRODUCT( ((Adders!$D$13:$D$101)=$E251)*((Adders!$E$13:$E$101)=$F251)*(Adders!H$13:H$101)) + VLOOKUP($H251,Adders!$B$5:$G$8,M$11,FALSE)  +  MD!$D$2 ) * IF($D251="NJ",1.07,1))/$L$10, CHOOSE($M$10,$L$9,$M$9) )</f>
        <v xml:space="preserve"> 82.28 </v>
      </c>
      <c r="K251" s="179" t="str">
        <f>TEXT(   (SUMPRODUCT( ((Main!$H$9:$H$1000)=$E251)*((Main!$J$9:$J$1000)=$F251)*((Main!$O$9:$O$1000)=$C251)*(Main!T$9:T$1000) ) +  ( SUMPRODUCT( ((Adders!$D$13:$D$101)=$E251)*((Adders!$E$13:$E$101)=$F251)*(Adders!I$13:I$101)) + VLOOKUP($H251,Adders!$B$5:$G$8,$N$11,FALSE)  +  MD!$D$2 ) * IF($D251="NJ",1.07,1))/$L$10, CHOOSE($M$10,$L$9,$M$9) )</f>
        <v xml:space="preserve"> 81.33 </v>
      </c>
      <c r="L251" s="178" t="str">
        <f>TEXT(   (SUMPRODUCT( ((LMPMain!$H$9:$H$1000)=$E251)*((LMPMain!$J$9:$J$1000)=$F251)*((LMPMain!$O$9:$O$1000)=$C251)*(LMPMain!R$9:R$1000) ) +  ( SUMPRODUCT( ((Adders!$D$13:$D$101)=$E251)*((Adders!$E$13:$E$101)=$F251)*(Adders!G$13:G$101)) + VLOOKUP($H251,Adders!$B$5:$G$8,L$11,FALSE)  +  NJ!$D$2 ) * IF($D251="NJ",1.07,1))/$L$10, CHOOSE($M$10,$L$9,$M$9) )</f>
        <v xml:space="preserve"> 37.39 </v>
      </c>
      <c r="M251" s="178" t="str">
        <f>TEXT(   (SUMPRODUCT( ((LMPMain!$H$9:$H$1000)=$E251)*((LMPMain!$J$9:$J$1000)=$F251)*((LMPMain!$O$9:$O$1000)=$C251)*(LMPMain!S$9:S$1000) ) +  ( SUMPRODUCT( ((Adders!$D$13:$D$101)=$E251)*((Adders!$E$13:$E$101)=$F251)*(Adders!H$13:H$101)) + VLOOKUP($H251,Adders!$B$5:$G$8,M$11,FALSE)  +  NJ!$D$2 ) * IF($D251="NJ",1.07,1))/$L$10, CHOOSE($M$10,$L$9,$M$9) )</f>
        <v xml:space="preserve"> 37.04 </v>
      </c>
      <c r="N251" s="179" t="str">
        <f>TEXT(   (SUMPRODUCT( ((LMPMain!$H$9:$H$1000)=$E251)*((LMPMain!$J$9:$J$1000)=$F251)*((LMPMain!$O$9:$O$1000)=$C251)*(LMPMain!T$9:T$1000) ) +  ( SUMPRODUCT( ((Adders!$D$13:$D$101)=$E251)*((Adders!$E$13:$E$101)=$F251)*(Adders!I$13:I$101)) + VLOOKUP($H251,Adders!$B$5:$G$8,N$11,FALSE)  +  NJ!$D$2 ) * IF($D251="NJ",1.07,1))/$L$10, CHOOSE($M$10,$L$9,$M$9) )</f>
        <v xml:space="preserve"> 36.89 </v>
      </c>
      <c r="O251" s="112"/>
    </row>
    <row r="252" spans="2:15" x14ac:dyDescent="0.25">
      <c r="B252" s="108"/>
      <c r="C252" s="131">
        <f t="shared" si="7"/>
        <v>42370</v>
      </c>
      <c r="D252" s="132" t="s">
        <v>39</v>
      </c>
      <c r="E252" s="133" t="s">
        <v>44</v>
      </c>
      <c r="F252" s="132" t="s">
        <v>46</v>
      </c>
      <c r="G252" s="133" t="str">
        <f t="shared" si="8"/>
        <v>RC_3T7</v>
      </c>
      <c r="H252" s="134" t="s">
        <v>62</v>
      </c>
      <c r="I252" s="173" t="str">
        <f>TEXT(   (SUMPRODUCT( ((Main!$H$9:$H$1000)=$E252)*((Main!$J$9:$J$1000)=$F252)*((Main!$O$9:$O$1000)=$C252)*(Main!R$9:R$1000) ) +  ( SUMPRODUCT( ((Adders!$D$13:$D$101)=$E252)*((Adders!$E$13:$E$101)=$F252)*(Adders!G$13:G$101)) + VLOOKUP($H252,Adders!$B$5:$G$8,L$11,FALSE)  +  MD!$D$2 ) * IF($D252="NJ",1.07,1))/$L$10, CHOOSE($M$10,$L$9,$M$9) )</f>
        <v xml:space="preserve"> 79.75 </v>
      </c>
      <c r="J252" s="173" t="str">
        <f>TEXT(   (SUMPRODUCT( ((Main!$H$9:$H$1000)=$E252)*((Main!$J$9:$J$1000)=$F252)*((Main!$O$9:$O$1000)=$C252)*(Main!S$9:S$1000) ) +  ( SUMPRODUCT( ((Adders!$D$13:$D$101)=$E252)*((Adders!$E$13:$E$101)=$F252)*(Adders!H$13:H$101)) + VLOOKUP($H252,Adders!$B$5:$G$8,M$11,FALSE)  +  MD!$D$2 ) * IF($D252="NJ",1.07,1))/$L$10, CHOOSE($M$10,$L$9,$M$9) )</f>
        <v xml:space="preserve"> 80.68 </v>
      </c>
      <c r="K252" s="174" t="str">
        <f>TEXT(   (SUMPRODUCT( ((Main!$H$9:$H$1000)=$E252)*((Main!$J$9:$J$1000)=$F252)*((Main!$O$9:$O$1000)=$C252)*(Main!T$9:T$1000) ) +  ( SUMPRODUCT( ((Adders!$D$13:$D$101)=$E252)*((Adders!$E$13:$E$101)=$F252)*(Adders!I$13:I$101)) + VLOOKUP($H252,Adders!$B$5:$G$8,$N$11,FALSE)  +  MD!$D$2 ) * IF($D252="NJ",1.07,1))/$L$10, CHOOSE($M$10,$L$9,$M$9) )</f>
        <v xml:space="preserve"> 79.73 </v>
      </c>
      <c r="L252" s="173" t="str">
        <f>TEXT(   (SUMPRODUCT( ((LMPMain!$H$9:$H$1000)=$E252)*((LMPMain!$J$9:$J$1000)=$F252)*((LMPMain!$O$9:$O$1000)=$C252)*(LMPMain!R$9:R$1000) ) +  ( SUMPRODUCT( ((Adders!$D$13:$D$101)=$E252)*((Adders!$E$13:$E$101)=$F252)*(Adders!G$13:G$101)) + VLOOKUP($H252,Adders!$B$5:$G$8,L$11,FALSE)  +  NJ!$D$2 ) * IF($D252="NJ",1.07,1))/$L$10, CHOOSE($M$10,$L$9,$M$9) )</f>
        <v xml:space="preserve"> 35.79 </v>
      </c>
      <c r="M252" s="173" t="str">
        <f>TEXT(   (SUMPRODUCT( ((LMPMain!$H$9:$H$1000)=$E252)*((LMPMain!$J$9:$J$1000)=$F252)*((LMPMain!$O$9:$O$1000)=$C252)*(LMPMain!S$9:S$1000) ) +  ( SUMPRODUCT( ((Adders!$D$13:$D$101)=$E252)*((Adders!$E$13:$E$101)=$F252)*(Adders!H$13:H$101)) + VLOOKUP($H252,Adders!$B$5:$G$8,M$11,FALSE)  +  NJ!$D$2 ) * IF($D252="NJ",1.07,1))/$L$10, CHOOSE($M$10,$L$9,$M$9) )</f>
        <v xml:space="preserve"> 35.44 </v>
      </c>
      <c r="N252" s="174" t="str">
        <f>TEXT(   (SUMPRODUCT( ((LMPMain!$H$9:$H$1000)=$E252)*((LMPMain!$J$9:$J$1000)=$F252)*((LMPMain!$O$9:$O$1000)=$C252)*(LMPMain!T$9:T$1000) ) +  ( SUMPRODUCT( ((Adders!$D$13:$D$101)=$E252)*((Adders!$E$13:$E$101)=$F252)*(Adders!I$13:I$101)) + VLOOKUP($H252,Adders!$B$5:$G$8,N$11,FALSE)  +  NJ!$D$2 ) * IF($D252="NJ",1.07,1))/$L$10, CHOOSE($M$10,$L$9,$M$9) )</f>
        <v xml:space="preserve"> 35.29 </v>
      </c>
      <c r="O252" s="112"/>
    </row>
    <row r="253" spans="2:15" x14ac:dyDescent="0.25">
      <c r="B253" s="108"/>
      <c r="C253" s="135">
        <f t="shared" si="7"/>
        <v>42370</v>
      </c>
      <c r="D253" s="136" t="s">
        <v>39</v>
      </c>
      <c r="E253" s="137" t="s">
        <v>44</v>
      </c>
      <c r="F253" s="136" t="s">
        <v>46</v>
      </c>
      <c r="G253" s="137" t="str">
        <f t="shared" si="8"/>
        <v>RC_3T7</v>
      </c>
      <c r="H253" s="138" t="s">
        <v>690</v>
      </c>
      <c r="I253" s="176" t="str">
        <f>TEXT(   (SUMPRODUCT( ((Main!$H$9:$H$1000)=$E253)*((Main!$J$9:$J$1000)=$F253)*((Main!$O$9:$O$1000)=$C253)*(Main!R$9:R$1000) ) +  ( SUMPRODUCT( ((Adders!$D$13:$D$101)=$E253)*((Adders!$E$13:$E$101)=$F253)*(Adders!G$13:G$101)) + VLOOKUP($H253,Adders!$B$5:$G$8,L$11,FALSE)  +  MD!$D$2 ) * IF($D253="NJ",1.07,1))/$L$10, CHOOSE($M$10,$L$9,$M$9) )</f>
        <v xml:space="preserve"> 78.70 </v>
      </c>
      <c r="J253" s="176" t="str">
        <f>TEXT(   (SUMPRODUCT( ((Main!$H$9:$H$1000)=$E253)*((Main!$J$9:$J$1000)=$F253)*((Main!$O$9:$O$1000)=$C253)*(Main!S$9:S$1000) ) +  ( SUMPRODUCT( ((Adders!$D$13:$D$101)=$E253)*((Adders!$E$13:$E$101)=$F253)*(Adders!H$13:H$101)) + VLOOKUP($H253,Adders!$B$5:$G$8,M$11,FALSE)  +  MD!$D$2 ) * IF($D253="NJ",1.07,1))/$L$10, CHOOSE($M$10,$L$9,$M$9) )</f>
        <v xml:space="preserve"> 79.63 </v>
      </c>
      <c r="K253" s="177" t="str">
        <f>TEXT(   (SUMPRODUCT( ((Main!$H$9:$H$1000)=$E253)*((Main!$J$9:$J$1000)=$F253)*((Main!$O$9:$O$1000)=$C253)*(Main!T$9:T$1000) ) +  ( SUMPRODUCT( ((Adders!$D$13:$D$101)=$E253)*((Adders!$E$13:$E$101)=$F253)*(Adders!I$13:I$101)) + VLOOKUP($H253,Adders!$B$5:$G$8,$N$11,FALSE)  +  MD!$D$2 ) * IF($D253="NJ",1.07,1))/$L$10, CHOOSE($M$10,$L$9,$M$9) )</f>
        <v xml:space="preserve"> 78.68 </v>
      </c>
      <c r="L253" s="176" t="str">
        <f>TEXT(   (SUMPRODUCT( ((LMPMain!$H$9:$H$1000)=$E253)*((LMPMain!$J$9:$J$1000)=$F253)*((LMPMain!$O$9:$O$1000)=$C253)*(LMPMain!R$9:R$1000) ) +  ( SUMPRODUCT( ((Adders!$D$13:$D$101)=$E253)*((Adders!$E$13:$E$101)=$F253)*(Adders!G$13:G$101)) + VLOOKUP($H253,Adders!$B$5:$G$8,L$11,FALSE)  +  NJ!$D$2 ) * IF($D253="NJ",1.07,1))/$L$10, CHOOSE($M$10,$L$9,$M$9) )</f>
        <v xml:space="preserve"> 34.74 </v>
      </c>
      <c r="M253" s="176" t="str">
        <f>TEXT(   (SUMPRODUCT( ((LMPMain!$H$9:$H$1000)=$E253)*((LMPMain!$J$9:$J$1000)=$F253)*((LMPMain!$O$9:$O$1000)=$C253)*(LMPMain!S$9:S$1000) ) +  ( SUMPRODUCT( ((Adders!$D$13:$D$101)=$E253)*((Adders!$E$13:$E$101)=$F253)*(Adders!H$13:H$101)) + VLOOKUP($H253,Adders!$B$5:$G$8,M$11,FALSE)  +  NJ!$D$2 ) * IF($D253="NJ",1.07,1))/$L$10, CHOOSE($M$10,$L$9,$M$9) )</f>
        <v xml:space="preserve"> 34.39 </v>
      </c>
      <c r="N253" s="177" t="str">
        <f>TEXT(   (SUMPRODUCT( ((LMPMain!$H$9:$H$1000)=$E253)*((LMPMain!$J$9:$J$1000)=$F253)*((LMPMain!$O$9:$O$1000)=$C253)*(LMPMain!T$9:T$1000) ) +  ( SUMPRODUCT( ((Adders!$D$13:$D$101)=$E253)*((Adders!$E$13:$E$101)=$F253)*(Adders!I$13:I$101)) + VLOOKUP($H253,Adders!$B$5:$G$8,N$11,FALSE)  +  NJ!$D$2 ) * IF($D253="NJ",1.07,1))/$L$10, CHOOSE($M$10,$L$9,$M$9) )</f>
        <v xml:space="preserve"> 34.24 </v>
      </c>
      <c r="O253" s="112"/>
    </row>
    <row r="254" spans="2:15" x14ac:dyDescent="0.25">
      <c r="B254" s="108"/>
      <c r="C254" s="127">
        <f t="shared" si="7"/>
        <v>42401</v>
      </c>
      <c r="D254" s="128" t="s">
        <v>39</v>
      </c>
      <c r="E254" s="129" t="s">
        <v>44</v>
      </c>
      <c r="F254" s="128" t="s">
        <v>46</v>
      </c>
      <c r="G254" s="129" t="str">
        <f t="shared" si="8"/>
        <v>RC_3T7</v>
      </c>
      <c r="H254" s="130" t="s">
        <v>61</v>
      </c>
      <c r="I254" s="178" t="str">
        <f>TEXT(   (SUMPRODUCT( ((Main!$H$9:$H$1000)=$E254)*((Main!$J$9:$J$1000)=$F254)*((Main!$O$9:$O$1000)=$C254)*(Main!R$9:R$1000) ) +  ( SUMPRODUCT( ((Adders!$D$13:$D$101)=$E254)*((Adders!$E$13:$E$101)=$F254)*(Adders!G$13:G$101)) + VLOOKUP($H254,Adders!$B$5:$G$8,L$11,FALSE)  +  MD!$D$2 ) * IF($D254="NJ",1.07,1))/$L$10, CHOOSE($M$10,$L$9,$M$9) )</f>
        <v xml:space="preserve"> 81.16 </v>
      </c>
      <c r="J254" s="178" t="str">
        <f>TEXT(   (SUMPRODUCT( ((Main!$H$9:$H$1000)=$E254)*((Main!$J$9:$J$1000)=$F254)*((Main!$O$9:$O$1000)=$C254)*(Main!S$9:S$1000) ) +  ( SUMPRODUCT( ((Adders!$D$13:$D$101)=$E254)*((Adders!$E$13:$E$101)=$F254)*(Adders!H$13:H$101)) + VLOOKUP($H254,Adders!$B$5:$G$8,M$11,FALSE)  +  MD!$D$2 ) * IF($D254="NJ",1.07,1))/$L$10, CHOOSE($M$10,$L$9,$M$9) )</f>
        <v xml:space="preserve"> 81.60 </v>
      </c>
      <c r="K254" s="179" t="str">
        <f>TEXT(   (SUMPRODUCT( ((Main!$H$9:$H$1000)=$E254)*((Main!$J$9:$J$1000)=$F254)*((Main!$O$9:$O$1000)=$C254)*(Main!T$9:T$1000) ) +  ( SUMPRODUCT( ((Adders!$D$13:$D$101)=$E254)*((Adders!$E$13:$E$101)=$F254)*(Adders!I$13:I$101)) + VLOOKUP($H254,Adders!$B$5:$G$8,$N$11,FALSE)  +  MD!$D$2 ) * IF($D254="NJ",1.07,1))/$L$10, CHOOSE($M$10,$L$9,$M$9) )</f>
        <v xml:space="preserve"> 81.38 </v>
      </c>
      <c r="L254" s="178" t="str">
        <f>TEXT(   (SUMPRODUCT( ((LMPMain!$H$9:$H$1000)=$E254)*((LMPMain!$J$9:$J$1000)=$F254)*((LMPMain!$O$9:$O$1000)=$C254)*(LMPMain!R$9:R$1000) ) +  ( SUMPRODUCT( ((Adders!$D$13:$D$101)=$E254)*((Adders!$E$13:$E$101)=$F254)*(Adders!G$13:G$101)) + VLOOKUP($H254,Adders!$B$5:$G$8,L$11,FALSE)  +  NJ!$D$2 ) * IF($D254="NJ",1.07,1))/$L$10, CHOOSE($M$10,$L$9,$M$9) )</f>
        <v xml:space="preserve"> 37.06 </v>
      </c>
      <c r="M254" s="178" t="str">
        <f>TEXT(   (SUMPRODUCT( ((LMPMain!$H$9:$H$1000)=$E254)*((LMPMain!$J$9:$J$1000)=$F254)*((LMPMain!$O$9:$O$1000)=$C254)*(LMPMain!S$9:S$1000) ) +  ( SUMPRODUCT( ((Adders!$D$13:$D$101)=$E254)*((Adders!$E$13:$E$101)=$F254)*(Adders!H$13:H$101)) + VLOOKUP($H254,Adders!$B$5:$G$8,M$11,FALSE)  +  NJ!$D$2 ) * IF($D254="NJ",1.07,1))/$L$10, CHOOSE($M$10,$L$9,$M$9) )</f>
        <v xml:space="preserve"> 37.01 </v>
      </c>
      <c r="N254" s="179" t="str">
        <f>TEXT(   (SUMPRODUCT( ((LMPMain!$H$9:$H$1000)=$E254)*((LMPMain!$J$9:$J$1000)=$F254)*((LMPMain!$O$9:$O$1000)=$C254)*(LMPMain!T$9:T$1000) ) +  ( SUMPRODUCT( ((Adders!$D$13:$D$101)=$E254)*((Adders!$E$13:$E$101)=$F254)*(Adders!I$13:I$101)) + VLOOKUP($H254,Adders!$B$5:$G$8,N$11,FALSE)  +  NJ!$D$2 ) * IF($D254="NJ",1.07,1))/$L$10, CHOOSE($M$10,$L$9,$M$9) )</f>
        <v xml:space="preserve"> 36.80 </v>
      </c>
      <c r="O254" s="112"/>
    </row>
    <row r="255" spans="2:15" x14ac:dyDescent="0.25">
      <c r="B255" s="108"/>
      <c r="C255" s="131">
        <f t="shared" si="7"/>
        <v>42401</v>
      </c>
      <c r="D255" s="132" t="s">
        <v>39</v>
      </c>
      <c r="E255" s="133" t="s">
        <v>44</v>
      </c>
      <c r="F255" s="132" t="s">
        <v>46</v>
      </c>
      <c r="G255" s="133" t="str">
        <f t="shared" si="8"/>
        <v>RC_3T7</v>
      </c>
      <c r="H255" s="134" t="s">
        <v>62</v>
      </c>
      <c r="I255" s="173" t="str">
        <f>TEXT(   (SUMPRODUCT( ((Main!$H$9:$H$1000)=$E255)*((Main!$J$9:$J$1000)=$F255)*((Main!$O$9:$O$1000)=$C255)*(Main!R$9:R$1000) ) +  ( SUMPRODUCT( ((Adders!$D$13:$D$101)=$E255)*((Adders!$E$13:$E$101)=$F255)*(Adders!G$13:G$101)) + VLOOKUP($H255,Adders!$B$5:$G$8,L$11,FALSE)  +  MD!$D$2 ) * IF($D255="NJ",1.07,1))/$L$10, CHOOSE($M$10,$L$9,$M$9) )</f>
        <v xml:space="preserve"> 79.56 </v>
      </c>
      <c r="J255" s="173" t="str">
        <f>TEXT(   (SUMPRODUCT( ((Main!$H$9:$H$1000)=$E255)*((Main!$J$9:$J$1000)=$F255)*((Main!$O$9:$O$1000)=$C255)*(Main!S$9:S$1000) ) +  ( SUMPRODUCT( ((Adders!$D$13:$D$101)=$E255)*((Adders!$E$13:$E$101)=$F255)*(Adders!H$13:H$101)) + VLOOKUP($H255,Adders!$B$5:$G$8,M$11,FALSE)  +  MD!$D$2 ) * IF($D255="NJ",1.07,1))/$L$10, CHOOSE($M$10,$L$9,$M$9) )</f>
        <v xml:space="preserve"> 80.00 </v>
      </c>
      <c r="K255" s="174" t="str">
        <f>TEXT(   (SUMPRODUCT( ((Main!$H$9:$H$1000)=$E255)*((Main!$J$9:$J$1000)=$F255)*((Main!$O$9:$O$1000)=$C255)*(Main!T$9:T$1000) ) +  ( SUMPRODUCT( ((Adders!$D$13:$D$101)=$E255)*((Adders!$E$13:$E$101)=$F255)*(Adders!I$13:I$101)) + VLOOKUP($H255,Adders!$B$5:$G$8,$N$11,FALSE)  +  MD!$D$2 ) * IF($D255="NJ",1.07,1))/$L$10, CHOOSE($M$10,$L$9,$M$9) )</f>
        <v xml:space="preserve"> 79.78 </v>
      </c>
      <c r="L255" s="173" t="str">
        <f>TEXT(   (SUMPRODUCT( ((LMPMain!$H$9:$H$1000)=$E255)*((LMPMain!$J$9:$J$1000)=$F255)*((LMPMain!$O$9:$O$1000)=$C255)*(LMPMain!R$9:R$1000) ) +  ( SUMPRODUCT( ((Adders!$D$13:$D$101)=$E255)*((Adders!$E$13:$E$101)=$F255)*(Adders!G$13:G$101)) + VLOOKUP($H255,Adders!$B$5:$G$8,L$11,FALSE)  +  NJ!$D$2 ) * IF($D255="NJ",1.07,1))/$L$10, CHOOSE($M$10,$L$9,$M$9) )</f>
        <v xml:space="preserve"> 35.46 </v>
      </c>
      <c r="M255" s="173" t="str">
        <f>TEXT(   (SUMPRODUCT( ((LMPMain!$H$9:$H$1000)=$E255)*((LMPMain!$J$9:$J$1000)=$F255)*((LMPMain!$O$9:$O$1000)=$C255)*(LMPMain!S$9:S$1000) ) +  ( SUMPRODUCT( ((Adders!$D$13:$D$101)=$E255)*((Adders!$E$13:$E$101)=$F255)*(Adders!H$13:H$101)) + VLOOKUP($H255,Adders!$B$5:$G$8,M$11,FALSE)  +  NJ!$D$2 ) * IF($D255="NJ",1.07,1))/$L$10, CHOOSE($M$10,$L$9,$M$9) )</f>
        <v xml:space="preserve"> 35.41 </v>
      </c>
      <c r="N255" s="174" t="str">
        <f>TEXT(   (SUMPRODUCT( ((LMPMain!$H$9:$H$1000)=$E255)*((LMPMain!$J$9:$J$1000)=$F255)*((LMPMain!$O$9:$O$1000)=$C255)*(LMPMain!T$9:T$1000) ) +  ( SUMPRODUCT( ((Adders!$D$13:$D$101)=$E255)*((Adders!$E$13:$E$101)=$F255)*(Adders!I$13:I$101)) + VLOOKUP($H255,Adders!$B$5:$G$8,N$11,FALSE)  +  NJ!$D$2 ) * IF($D255="NJ",1.07,1))/$L$10, CHOOSE($M$10,$L$9,$M$9) )</f>
        <v xml:space="preserve"> 35.20 </v>
      </c>
      <c r="O255" s="112"/>
    </row>
    <row r="256" spans="2:15" x14ac:dyDescent="0.25">
      <c r="B256" s="108"/>
      <c r="C256" s="135">
        <f t="shared" si="7"/>
        <v>42401</v>
      </c>
      <c r="D256" s="136" t="s">
        <v>39</v>
      </c>
      <c r="E256" s="137" t="s">
        <v>44</v>
      </c>
      <c r="F256" s="136" t="s">
        <v>46</v>
      </c>
      <c r="G256" s="137" t="str">
        <f t="shared" si="8"/>
        <v>RC_3T7</v>
      </c>
      <c r="H256" s="138" t="s">
        <v>690</v>
      </c>
      <c r="I256" s="176" t="str">
        <f>TEXT(   (SUMPRODUCT( ((Main!$H$9:$H$1000)=$E256)*((Main!$J$9:$J$1000)=$F256)*((Main!$O$9:$O$1000)=$C256)*(Main!R$9:R$1000) ) +  ( SUMPRODUCT( ((Adders!$D$13:$D$101)=$E256)*((Adders!$E$13:$E$101)=$F256)*(Adders!G$13:G$101)) + VLOOKUP($H256,Adders!$B$5:$G$8,L$11,FALSE)  +  MD!$D$2 ) * IF($D256="NJ",1.07,1))/$L$10, CHOOSE($M$10,$L$9,$M$9) )</f>
        <v xml:space="preserve"> 78.51 </v>
      </c>
      <c r="J256" s="176" t="str">
        <f>TEXT(   (SUMPRODUCT( ((Main!$H$9:$H$1000)=$E256)*((Main!$J$9:$J$1000)=$F256)*((Main!$O$9:$O$1000)=$C256)*(Main!S$9:S$1000) ) +  ( SUMPRODUCT( ((Adders!$D$13:$D$101)=$E256)*((Adders!$E$13:$E$101)=$F256)*(Adders!H$13:H$101)) + VLOOKUP($H256,Adders!$B$5:$G$8,M$11,FALSE)  +  MD!$D$2 ) * IF($D256="NJ",1.07,1))/$L$10, CHOOSE($M$10,$L$9,$M$9) )</f>
        <v xml:space="preserve"> 78.95 </v>
      </c>
      <c r="K256" s="177" t="str">
        <f>TEXT(   (SUMPRODUCT( ((Main!$H$9:$H$1000)=$E256)*((Main!$J$9:$J$1000)=$F256)*((Main!$O$9:$O$1000)=$C256)*(Main!T$9:T$1000) ) +  ( SUMPRODUCT( ((Adders!$D$13:$D$101)=$E256)*((Adders!$E$13:$E$101)=$F256)*(Adders!I$13:I$101)) + VLOOKUP($H256,Adders!$B$5:$G$8,$N$11,FALSE)  +  MD!$D$2 ) * IF($D256="NJ",1.07,1))/$L$10, CHOOSE($M$10,$L$9,$M$9) )</f>
        <v xml:space="preserve"> 78.73 </v>
      </c>
      <c r="L256" s="176" t="str">
        <f>TEXT(   (SUMPRODUCT( ((LMPMain!$H$9:$H$1000)=$E256)*((LMPMain!$J$9:$J$1000)=$F256)*((LMPMain!$O$9:$O$1000)=$C256)*(LMPMain!R$9:R$1000) ) +  ( SUMPRODUCT( ((Adders!$D$13:$D$101)=$E256)*((Adders!$E$13:$E$101)=$F256)*(Adders!G$13:G$101)) + VLOOKUP($H256,Adders!$B$5:$G$8,L$11,FALSE)  +  NJ!$D$2 ) * IF($D256="NJ",1.07,1))/$L$10, CHOOSE($M$10,$L$9,$M$9) )</f>
        <v xml:space="preserve"> 34.41 </v>
      </c>
      <c r="M256" s="176" t="str">
        <f>TEXT(   (SUMPRODUCT( ((LMPMain!$H$9:$H$1000)=$E256)*((LMPMain!$J$9:$J$1000)=$F256)*((LMPMain!$O$9:$O$1000)=$C256)*(LMPMain!S$9:S$1000) ) +  ( SUMPRODUCT( ((Adders!$D$13:$D$101)=$E256)*((Adders!$E$13:$E$101)=$F256)*(Adders!H$13:H$101)) + VLOOKUP($H256,Adders!$B$5:$G$8,M$11,FALSE)  +  NJ!$D$2 ) * IF($D256="NJ",1.07,1))/$L$10, CHOOSE($M$10,$L$9,$M$9) )</f>
        <v xml:space="preserve"> 34.36 </v>
      </c>
      <c r="N256" s="177" t="str">
        <f>TEXT(   (SUMPRODUCT( ((LMPMain!$H$9:$H$1000)=$E256)*((LMPMain!$J$9:$J$1000)=$F256)*((LMPMain!$O$9:$O$1000)=$C256)*(LMPMain!T$9:T$1000) ) +  ( SUMPRODUCT( ((Adders!$D$13:$D$101)=$E256)*((Adders!$E$13:$E$101)=$F256)*(Adders!I$13:I$101)) + VLOOKUP($H256,Adders!$B$5:$G$8,N$11,FALSE)  +  NJ!$D$2 ) * IF($D256="NJ",1.07,1))/$L$10, CHOOSE($M$10,$L$9,$M$9) )</f>
        <v xml:space="preserve"> 34.15 </v>
      </c>
      <c r="O256" s="112"/>
    </row>
    <row r="257" spans="2:15" x14ac:dyDescent="0.25">
      <c r="B257" s="108"/>
      <c r="C257" s="127">
        <f t="shared" si="7"/>
        <v>42430</v>
      </c>
      <c r="D257" s="128" t="s">
        <v>39</v>
      </c>
      <c r="E257" s="129" t="s">
        <v>44</v>
      </c>
      <c r="F257" s="128" t="s">
        <v>46</v>
      </c>
      <c r="G257" s="129" t="str">
        <f t="shared" si="8"/>
        <v>RC_3T7</v>
      </c>
      <c r="H257" s="130" t="s">
        <v>61</v>
      </c>
      <c r="I257" s="178" t="str">
        <f>TEXT(   (SUMPRODUCT( ((Main!$H$9:$H$1000)=$E257)*((Main!$J$9:$J$1000)=$F257)*((Main!$O$9:$O$1000)=$C257)*(Main!R$9:R$1000) ) +  ( SUMPRODUCT( ((Adders!$D$13:$D$101)=$E257)*((Adders!$E$13:$E$101)=$F257)*(Adders!G$13:G$101)) + VLOOKUP($H257,Adders!$B$5:$G$8,L$11,FALSE)  +  MD!$D$2 ) * IF($D257="NJ",1.07,1))/$L$10, CHOOSE($M$10,$L$9,$M$9) )</f>
        <v xml:space="preserve"> 80.94 </v>
      </c>
      <c r="J257" s="178" t="str">
        <f>TEXT(   (SUMPRODUCT( ((Main!$H$9:$H$1000)=$E257)*((Main!$J$9:$J$1000)=$F257)*((Main!$O$9:$O$1000)=$C257)*(Main!S$9:S$1000) ) +  ( SUMPRODUCT( ((Adders!$D$13:$D$101)=$E257)*((Adders!$E$13:$E$101)=$F257)*(Adders!H$13:H$101)) + VLOOKUP($H257,Adders!$B$5:$G$8,M$11,FALSE)  +  MD!$D$2 ) * IF($D257="NJ",1.07,1))/$L$10, CHOOSE($M$10,$L$9,$M$9) )</f>
        <v xml:space="preserve"> 81.03 </v>
      </c>
      <c r="K257" s="179" t="str">
        <f>TEXT(   (SUMPRODUCT( ((Main!$H$9:$H$1000)=$E257)*((Main!$J$9:$J$1000)=$F257)*((Main!$O$9:$O$1000)=$C257)*(Main!T$9:T$1000) ) +  ( SUMPRODUCT( ((Adders!$D$13:$D$101)=$E257)*((Adders!$E$13:$E$101)=$F257)*(Adders!I$13:I$101)) + VLOOKUP($H257,Adders!$B$5:$G$8,$N$11,FALSE)  +  MD!$D$2 ) * IF($D257="NJ",1.07,1))/$L$10, CHOOSE($M$10,$L$9,$M$9) )</f>
        <v xml:space="preserve"> 81.44 </v>
      </c>
      <c r="L257" s="178" t="str">
        <f>TEXT(   (SUMPRODUCT( ((LMPMain!$H$9:$H$1000)=$E257)*((LMPMain!$J$9:$J$1000)=$F257)*((LMPMain!$O$9:$O$1000)=$C257)*(LMPMain!R$9:R$1000) ) +  ( SUMPRODUCT( ((Adders!$D$13:$D$101)=$E257)*((Adders!$E$13:$E$101)=$F257)*(Adders!G$13:G$101)) + VLOOKUP($H257,Adders!$B$5:$G$8,L$11,FALSE)  +  NJ!$D$2 ) * IF($D257="NJ",1.07,1))/$L$10, CHOOSE($M$10,$L$9,$M$9) )</f>
        <v xml:space="preserve"> 36.76 </v>
      </c>
      <c r="M257" s="178" t="str">
        <f>TEXT(   (SUMPRODUCT( ((LMPMain!$H$9:$H$1000)=$E257)*((LMPMain!$J$9:$J$1000)=$F257)*((LMPMain!$O$9:$O$1000)=$C257)*(LMPMain!S$9:S$1000) ) +  ( SUMPRODUCT( ((Adders!$D$13:$D$101)=$E257)*((Adders!$E$13:$E$101)=$F257)*(Adders!H$13:H$101)) + VLOOKUP($H257,Adders!$B$5:$G$8,M$11,FALSE)  +  NJ!$D$2 ) * IF($D257="NJ",1.07,1))/$L$10, CHOOSE($M$10,$L$9,$M$9) )</f>
        <v xml:space="preserve"> 36.87 </v>
      </c>
      <c r="N257" s="179" t="str">
        <f>TEXT(   (SUMPRODUCT( ((LMPMain!$H$9:$H$1000)=$E257)*((LMPMain!$J$9:$J$1000)=$F257)*((LMPMain!$O$9:$O$1000)=$C257)*(LMPMain!T$9:T$1000) ) +  ( SUMPRODUCT( ((Adders!$D$13:$D$101)=$E257)*((Adders!$E$13:$E$101)=$F257)*(Adders!I$13:I$101)) + VLOOKUP($H257,Adders!$B$5:$G$8,N$11,FALSE)  +  NJ!$D$2 ) * IF($D257="NJ",1.07,1))/$L$10, CHOOSE($M$10,$L$9,$M$9) )</f>
        <v xml:space="preserve"> 36.71 </v>
      </c>
      <c r="O257" s="112"/>
    </row>
    <row r="258" spans="2:15" x14ac:dyDescent="0.25">
      <c r="B258" s="108"/>
      <c r="C258" s="131">
        <f t="shared" si="7"/>
        <v>42430</v>
      </c>
      <c r="D258" s="132" t="s">
        <v>39</v>
      </c>
      <c r="E258" s="133" t="s">
        <v>44</v>
      </c>
      <c r="F258" s="132" t="s">
        <v>46</v>
      </c>
      <c r="G258" s="133" t="str">
        <f t="shared" si="8"/>
        <v>RC_3T7</v>
      </c>
      <c r="H258" s="134" t="s">
        <v>62</v>
      </c>
      <c r="I258" s="173" t="str">
        <f>TEXT(   (SUMPRODUCT( ((Main!$H$9:$H$1000)=$E258)*((Main!$J$9:$J$1000)=$F258)*((Main!$O$9:$O$1000)=$C258)*(Main!R$9:R$1000) ) +  ( SUMPRODUCT( ((Adders!$D$13:$D$101)=$E258)*((Adders!$E$13:$E$101)=$F258)*(Adders!G$13:G$101)) + VLOOKUP($H258,Adders!$B$5:$G$8,L$11,FALSE)  +  MD!$D$2 ) * IF($D258="NJ",1.07,1))/$L$10, CHOOSE($M$10,$L$9,$M$9) )</f>
        <v xml:space="preserve"> 79.34 </v>
      </c>
      <c r="J258" s="173" t="str">
        <f>TEXT(   (SUMPRODUCT( ((Main!$H$9:$H$1000)=$E258)*((Main!$J$9:$J$1000)=$F258)*((Main!$O$9:$O$1000)=$C258)*(Main!S$9:S$1000) ) +  ( SUMPRODUCT( ((Adders!$D$13:$D$101)=$E258)*((Adders!$E$13:$E$101)=$F258)*(Adders!H$13:H$101)) + VLOOKUP($H258,Adders!$B$5:$G$8,M$11,FALSE)  +  MD!$D$2 ) * IF($D258="NJ",1.07,1))/$L$10, CHOOSE($M$10,$L$9,$M$9) )</f>
        <v xml:space="preserve"> 79.43 </v>
      </c>
      <c r="K258" s="174" t="str">
        <f>TEXT(   (SUMPRODUCT( ((Main!$H$9:$H$1000)=$E258)*((Main!$J$9:$J$1000)=$F258)*((Main!$O$9:$O$1000)=$C258)*(Main!T$9:T$1000) ) +  ( SUMPRODUCT( ((Adders!$D$13:$D$101)=$E258)*((Adders!$E$13:$E$101)=$F258)*(Adders!I$13:I$101)) + VLOOKUP($H258,Adders!$B$5:$G$8,$N$11,FALSE)  +  MD!$D$2 ) * IF($D258="NJ",1.07,1))/$L$10, CHOOSE($M$10,$L$9,$M$9) )</f>
        <v xml:space="preserve"> 79.84 </v>
      </c>
      <c r="L258" s="173" t="str">
        <f>TEXT(   (SUMPRODUCT( ((LMPMain!$H$9:$H$1000)=$E258)*((LMPMain!$J$9:$J$1000)=$F258)*((LMPMain!$O$9:$O$1000)=$C258)*(LMPMain!R$9:R$1000) ) +  ( SUMPRODUCT( ((Adders!$D$13:$D$101)=$E258)*((Adders!$E$13:$E$101)=$F258)*(Adders!G$13:G$101)) + VLOOKUP($H258,Adders!$B$5:$G$8,L$11,FALSE)  +  NJ!$D$2 ) * IF($D258="NJ",1.07,1))/$L$10, CHOOSE($M$10,$L$9,$M$9) )</f>
        <v xml:space="preserve"> 35.16 </v>
      </c>
      <c r="M258" s="173" t="str">
        <f>TEXT(   (SUMPRODUCT( ((LMPMain!$H$9:$H$1000)=$E258)*((LMPMain!$J$9:$J$1000)=$F258)*((LMPMain!$O$9:$O$1000)=$C258)*(LMPMain!S$9:S$1000) ) +  ( SUMPRODUCT( ((Adders!$D$13:$D$101)=$E258)*((Adders!$E$13:$E$101)=$F258)*(Adders!H$13:H$101)) + VLOOKUP($H258,Adders!$B$5:$G$8,M$11,FALSE)  +  NJ!$D$2 ) * IF($D258="NJ",1.07,1))/$L$10, CHOOSE($M$10,$L$9,$M$9) )</f>
        <v xml:space="preserve"> 35.27 </v>
      </c>
      <c r="N258" s="174" t="str">
        <f>TEXT(   (SUMPRODUCT( ((LMPMain!$H$9:$H$1000)=$E258)*((LMPMain!$J$9:$J$1000)=$F258)*((LMPMain!$O$9:$O$1000)=$C258)*(LMPMain!T$9:T$1000) ) +  ( SUMPRODUCT( ((Adders!$D$13:$D$101)=$E258)*((Adders!$E$13:$E$101)=$F258)*(Adders!I$13:I$101)) + VLOOKUP($H258,Adders!$B$5:$G$8,N$11,FALSE)  +  NJ!$D$2 ) * IF($D258="NJ",1.07,1))/$L$10, CHOOSE($M$10,$L$9,$M$9) )</f>
        <v xml:space="preserve"> 35.11 </v>
      </c>
      <c r="O258" s="112"/>
    </row>
    <row r="259" spans="2:15" x14ac:dyDescent="0.25">
      <c r="B259" s="108"/>
      <c r="C259" s="135">
        <f t="shared" si="7"/>
        <v>42430</v>
      </c>
      <c r="D259" s="136" t="s">
        <v>39</v>
      </c>
      <c r="E259" s="137" t="s">
        <v>44</v>
      </c>
      <c r="F259" s="136" t="s">
        <v>46</v>
      </c>
      <c r="G259" s="137" t="str">
        <f t="shared" si="8"/>
        <v>RC_3T7</v>
      </c>
      <c r="H259" s="138" t="s">
        <v>690</v>
      </c>
      <c r="I259" s="176" t="str">
        <f>TEXT(   (SUMPRODUCT( ((Main!$H$9:$H$1000)=$E259)*((Main!$J$9:$J$1000)=$F259)*((Main!$O$9:$O$1000)=$C259)*(Main!R$9:R$1000) ) +  ( SUMPRODUCT( ((Adders!$D$13:$D$101)=$E259)*((Adders!$E$13:$E$101)=$F259)*(Adders!G$13:G$101)) + VLOOKUP($H259,Adders!$B$5:$G$8,L$11,FALSE)  +  MD!$D$2 ) * IF($D259="NJ",1.07,1))/$L$10, CHOOSE($M$10,$L$9,$M$9) )</f>
        <v xml:space="preserve"> 78.29 </v>
      </c>
      <c r="J259" s="176" t="str">
        <f>TEXT(   (SUMPRODUCT( ((Main!$H$9:$H$1000)=$E259)*((Main!$J$9:$J$1000)=$F259)*((Main!$O$9:$O$1000)=$C259)*(Main!S$9:S$1000) ) +  ( SUMPRODUCT( ((Adders!$D$13:$D$101)=$E259)*((Adders!$E$13:$E$101)=$F259)*(Adders!H$13:H$101)) + VLOOKUP($H259,Adders!$B$5:$G$8,M$11,FALSE)  +  MD!$D$2 ) * IF($D259="NJ",1.07,1))/$L$10, CHOOSE($M$10,$L$9,$M$9) )</f>
        <v xml:space="preserve"> 78.38 </v>
      </c>
      <c r="K259" s="177" t="str">
        <f>TEXT(   (SUMPRODUCT( ((Main!$H$9:$H$1000)=$E259)*((Main!$J$9:$J$1000)=$F259)*((Main!$O$9:$O$1000)=$C259)*(Main!T$9:T$1000) ) +  ( SUMPRODUCT( ((Adders!$D$13:$D$101)=$E259)*((Adders!$E$13:$E$101)=$F259)*(Adders!I$13:I$101)) + VLOOKUP($H259,Adders!$B$5:$G$8,$N$11,FALSE)  +  MD!$D$2 ) * IF($D259="NJ",1.07,1))/$L$10, CHOOSE($M$10,$L$9,$M$9) )</f>
        <v xml:space="preserve"> 78.79 </v>
      </c>
      <c r="L259" s="176" t="str">
        <f>TEXT(   (SUMPRODUCT( ((LMPMain!$H$9:$H$1000)=$E259)*((LMPMain!$J$9:$J$1000)=$F259)*((LMPMain!$O$9:$O$1000)=$C259)*(LMPMain!R$9:R$1000) ) +  ( SUMPRODUCT( ((Adders!$D$13:$D$101)=$E259)*((Adders!$E$13:$E$101)=$F259)*(Adders!G$13:G$101)) + VLOOKUP($H259,Adders!$B$5:$G$8,L$11,FALSE)  +  NJ!$D$2 ) * IF($D259="NJ",1.07,1))/$L$10, CHOOSE($M$10,$L$9,$M$9) )</f>
        <v xml:space="preserve"> 34.11 </v>
      </c>
      <c r="M259" s="176" t="str">
        <f>TEXT(   (SUMPRODUCT( ((LMPMain!$H$9:$H$1000)=$E259)*((LMPMain!$J$9:$J$1000)=$F259)*((LMPMain!$O$9:$O$1000)=$C259)*(LMPMain!S$9:S$1000) ) +  ( SUMPRODUCT( ((Adders!$D$13:$D$101)=$E259)*((Adders!$E$13:$E$101)=$F259)*(Adders!H$13:H$101)) + VLOOKUP($H259,Adders!$B$5:$G$8,M$11,FALSE)  +  NJ!$D$2 ) * IF($D259="NJ",1.07,1))/$L$10, CHOOSE($M$10,$L$9,$M$9) )</f>
        <v xml:space="preserve"> 34.22 </v>
      </c>
      <c r="N259" s="177" t="str">
        <f>TEXT(   (SUMPRODUCT( ((LMPMain!$H$9:$H$1000)=$E259)*((LMPMain!$J$9:$J$1000)=$F259)*((LMPMain!$O$9:$O$1000)=$C259)*(LMPMain!T$9:T$1000) ) +  ( SUMPRODUCT( ((Adders!$D$13:$D$101)=$E259)*((Adders!$E$13:$E$101)=$F259)*(Adders!I$13:I$101)) + VLOOKUP($H259,Adders!$B$5:$G$8,N$11,FALSE)  +  NJ!$D$2 ) * IF($D259="NJ",1.07,1))/$L$10, CHOOSE($M$10,$L$9,$M$9) )</f>
        <v xml:space="preserve"> 34.06 </v>
      </c>
      <c r="O259" s="112"/>
    </row>
    <row r="260" spans="2:15" x14ac:dyDescent="0.25">
      <c r="B260" s="108"/>
      <c r="C260" s="127">
        <f t="shared" si="7"/>
        <v>42461</v>
      </c>
      <c r="D260" s="128" t="s">
        <v>39</v>
      </c>
      <c r="E260" s="129" t="s">
        <v>44</v>
      </c>
      <c r="F260" s="128" t="s">
        <v>46</v>
      </c>
      <c r="G260" s="129" t="str">
        <f t="shared" si="8"/>
        <v>RC_3T7</v>
      </c>
      <c r="H260" s="130" t="s">
        <v>61</v>
      </c>
      <c r="I260" s="178" t="str">
        <f>TEXT(   (SUMPRODUCT( ((Main!$H$9:$H$1000)=$E260)*((Main!$J$9:$J$1000)=$F260)*((Main!$O$9:$O$1000)=$C260)*(Main!R$9:R$1000) ) +  ( SUMPRODUCT( ((Adders!$D$13:$D$101)=$E260)*((Adders!$E$13:$E$101)=$F260)*(Adders!G$13:G$101)) + VLOOKUP($H260,Adders!$B$5:$G$8,L$11,FALSE)  +  MD!$D$2 ) * IF($D260="NJ",1.07,1))/$L$10, CHOOSE($M$10,$L$9,$M$9) )</f>
        <v xml:space="preserve"> 80.68 </v>
      </c>
      <c r="J260" s="178" t="str">
        <f>TEXT(   (SUMPRODUCT( ((Main!$H$9:$H$1000)=$E260)*((Main!$J$9:$J$1000)=$F260)*((Main!$O$9:$O$1000)=$C260)*(Main!S$9:S$1000) ) +  ( SUMPRODUCT( ((Adders!$D$13:$D$101)=$E260)*((Adders!$E$13:$E$101)=$F260)*(Adders!H$13:H$101)) + VLOOKUP($H260,Adders!$B$5:$G$8,M$11,FALSE)  +  MD!$D$2 ) * IF($D260="NJ",1.07,1))/$L$10, CHOOSE($M$10,$L$9,$M$9) )</f>
        <v xml:space="preserve"> 80.45 </v>
      </c>
      <c r="K260" s="179" t="str">
        <f>TEXT(   (SUMPRODUCT( ((Main!$H$9:$H$1000)=$E260)*((Main!$J$9:$J$1000)=$F260)*((Main!$O$9:$O$1000)=$C260)*(Main!T$9:T$1000) ) +  ( SUMPRODUCT( ((Adders!$D$13:$D$101)=$E260)*((Adders!$E$13:$E$101)=$F260)*(Adders!I$13:I$101)) + VLOOKUP($H260,Adders!$B$5:$G$8,$N$11,FALSE)  +  MD!$D$2 ) * IF($D260="NJ",1.07,1))/$L$10, CHOOSE($M$10,$L$9,$M$9) )</f>
        <v xml:space="preserve"> 81.33 </v>
      </c>
      <c r="L260" s="178" t="str">
        <f>TEXT(   (SUMPRODUCT( ((LMPMain!$H$9:$H$1000)=$E260)*((LMPMain!$J$9:$J$1000)=$F260)*((LMPMain!$O$9:$O$1000)=$C260)*(LMPMain!R$9:R$1000) ) +  ( SUMPRODUCT( ((Adders!$D$13:$D$101)=$E260)*((Adders!$E$13:$E$101)=$F260)*(Adders!G$13:G$101)) + VLOOKUP($H260,Adders!$B$5:$G$8,L$11,FALSE)  +  NJ!$D$2 ) * IF($D260="NJ",1.07,1))/$L$10, CHOOSE($M$10,$L$9,$M$9) )</f>
        <v xml:space="preserve"> 36.44 </v>
      </c>
      <c r="M260" s="178" t="str">
        <f>TEXT(   (SUMPRODUCT( ((LMPMain!$H$9:$H$1000)=$E260)*((LMPMain!$J$9:$J$1000)=$F260)*((LMPMain!$O$9:$O$1000)=$C260)*(LMPMain!S$9:S$1000) ) +  ( SUMPRODUCT( ((Adders!$D$13:$D$101)=$E260)*((Adders!$E$13:$E$101)=$F260)*(Adders!H$13:H$101)) + VLOOKUP($H260,Adders!$B$5:$G$8,M$11,FALSE)  +  NJ!$D$2 ) * IF($D260="NJ",1.07,1))/$L$10, CHOOSE($M$10,$L$9,$M$9) )</f>
        <v xml:space="preserve"> 36.62 </v>
      </c>
      <c r="N260" s="179" t="str">
        <f>TEXT(   (SUMPRODUCT( ((LMPMain!$H$9:$H$1000)=$E260)*((LMPMain!$J$9:$J$1000)=$F260)*((LMPMain!$O$9:$O$1000)=$C260)*(LMPMain!T$9:T$1000) ) +  ( SUMPRODUCT( ((Adders!$D$13:$D$101)=$E260)*((Adders!$E$13:$E$101)=$F260)*(Adders!I$13:I$101)) + VLOOKUP($H260,Adders!$B$5:$G$8,N$11,FALSE)  +  NJ!$D$2 ) * IF($D260="NJ",1.07,1))/$L$10, CHOOSE($M$10,$L$9,$M$9) )</f>
        <v xml:space="preserve"> 36.62 </v>
      </c>
      <c r="O260" s="112"/>
    </row>
    <row r="261" spans="2:15" x14ac:dyDescent="0.25">
      <c r="B261" s="108"/>
      <c r="C261" s="131">
        <f t="shared" si="7"/>
        <v>42461</v>
      </c>
      <c r="D261" s="132" t="s">
        <v>39</v>
      </c>
      <c r="E261" s="133" t="s">
        <v>44</v>
      </c>
      <c r="F261" s="132" t="s">
        <v>46</v>
      </c>
      <c r="G261" s="133" t="str">
        <f t="shared" si="8"/>
        <v>RC_3T7</v>
      </c>
      <c r="H261" s="134" t="s">
        <v>62</v>
      </c>
      <c r="I261" s="173" t="str">
        <f>TEXT(   (SUMPRODUCT( ((Main!$H$9:$H$1000)=$E261)*((Main!$J$9:$J$1000)=$F261)*((Main!$O$9:$O$1000)=$C261)*(Main!R$9:R$1000) ) +  ( SUMPRODUCT( ((Adders!$D$13:$D$101)=$E261)*((Adders!$E$13:$E$101)=$F261)*(Adders!G$13:G$101)) + VLOOKUP($H261,Adders!$B$5:$G$8,L$11,FALSE)  +  MD!$D$2 ) * IF($D261="NJ",1.07,1))/$L$10, CHOOSE($M$10,$L$9,$M$9) )</f>
        <v xml:space="preserve"> 79.08 </v>
      </c>
      <c r="J261" s="173" t="str">
        <f>TEXT(   (SUMPRODUCT( ((Main!$H$9:$H$1000)=$E261)*((Main!$J$9:$J$1000)=$F261)*((Main!$O$9:$O$1000)=$C261)*(Main!S$9:S$1000) ) +  ( SUMPRODUCT( ((Adders!$D$13:$D$101)=$E261)*((Adders!$E$13:$E$101)=$F261)*(Adders!H$13:H$101)) + VLOOKUP($H261,Adders!$B$5:$G$8,M$11,FALSE)  +  MD!$D$2 ) * IF($D261="NJ",1.07,1))/$L$10, CHOOSE($M$10,$L$9,$M$9) )</f>
        <v xml:space="preserve"> 78.85 </v>
      </c>
      <c r="K261" s="174" t="str">
        <f>TEXT(   (SUMPRODUCT( ((Main!$H$9:$H$1000)=$E261)*((Main!$J$9:$J$1000)=$F261)*((Main!$O$9:$O$1000)=$C261)*(Main!T$9:T$1000) ) +  ( SUMPRODUCT( ((Adders!$D$13:$D$101)=$E261)*((Adders!$E$13:$E$101)=$F261)*(Adders!I$13:I$101)) + VLOOKUP($H261,Adders!$B$5:$G$8,$N$11,FALSE)  +  MD!$D$2 ) * IF($D261="NJ",1.07,1))/$L$10, CHOOSE($M$10,$L$9,$M$9) )</f>
        <v xml:space="preserve"> 79.73 </v>
      </c>
      <c r="L261" s="173" t="str">
        <f>TEXT(   (SUMPRODUCT( ((LMPMain!$H$9:$H$1000)=$E261)*((LMPMain!$J$9:$J$1000)=$F261)*((LMPMain!$O$9:$O$1000)=$C261)*(LMPMain!R$9:R$1000) ) +  ( SUMPRODUCT( ((Adders!$D$13:$D$101)=$E261)*((Adders!$E$13:$E$101)=$F261)*(Adders!G$13:G$101)) + VLOOKUP($H261,Adders!$B$5:$G$8,L$11,FALSE)  +  NJ!$D$2 ) * IF($D261="NJ",1.07,1))/$L$10, CHOOSE($M$10,$L$9,$M$9) )</f>
        <v xml:space="preserve"> 34.84 </v>
      </c>
      <c r="M261" s="173" t="str">
        <f>TEXT(   (SUMPRODUCT( ((LMPMain!$H$9:$H$1000)=$E261)*((LMPMain!$J$9:$J$1000)=$F261)*((LMPMain!$O$9:$O$1000)=$C261)*(LMPMain!S$9:S$1000) ) +  ( SUMPRODUCT( ((Adders!$D$13:$D$101)=$E261)*((Adders!$E$13:$E$101)=$F261)*(Adders!H$13:H$101)) + VLOOKUP($H261,Adders!$B$5:$G$8,M$11,FALSE)  +  NJ!$D$2 ) * IF($D261="NJ",1.07,1))/$L$10, CHOOSE($M$10,$L$9,$M$9) )</f>
        <v xml:space="preserve"> 35.02 </v>
      </c>
      <c r="N261" s="174" t="str">
        <f>TEXT(   (SUMPRODUCT( ((LMPMain!$H$9:$H$1000)=$E261)*((LMPMain!$J$9:$J$1000)=$F261)*((LMPMain!$O$9:$O$1000)=$C261)*(LMPMain!T$9:T$1000) ) +  ( SUMPRODUCT( ((Adders!$D$13:$D$101)=$E261)*((Adders!$E$13:$E$101)=$F261)*(Adders!I$13:I$101)) + VLOOKUP($H261,Adders!$B$5:$G$8,N$11,FALSE)  +  NJ!$D$2 ) * IF($D261="NJ",1.07,1))/$L$10, CHOOSE($M$10,$L$9,$M$9) )</f>
        <v xml:space="preserve"> 35.02 </v>
      </c>
      <c r="O261" s="112"/>
    </row>
    <row r="262" spans="2:15" x14ac:dyDescent="0.25">
      <c r="B262" s="108"/>
      <c r="C262" s="135">
        <f t="shared" si="7"/>
        <v>42461</v>
      </c>
      <c r="D262" s="136" t="s">
        <v>39</v>
      </c>
      <c r="E262" s="137" t="s">
        <v>44</v>
      </c>
      <c r="F262" s="136" t="s">
        <v>46</v>
      </c>
      <c r="G262" s="137" t="str">
        <f t="shared" si="8"/>
        <v>RC_3T7</v>
      </c>
      <c r="H262" s="138" t="s">
        <v>690</v>
      </c>
      <c r="I262" s="176" t="str">
        <f>TEXT(   (SUMPRODUCT( ((Main!$H$9:$H$1000)=$E262)*((Main!$J$9:$J$1000)=$F262)*((Main!$O$9:$O$1000)=$C262)*(Main!R$9:R$1000) ) +  ( SUMPRODUCT( ((Adders!$D$13:$D$101)=$E262)*((Adders!$E$13:$E$101)=$F262)*(Adders!G$13:G$101)) + VLOOKUP($H262,Adders!$B$5:$G$8,L$11,FALSE)  +  MD!$D$2 ) * IF($D262="NJ",1.07,1))/$L$10, CHOOSE($M$10,$L$9,$M$9) )</f>
        <v xml:space="preserve"> 78.03 </v>
      </c>
      <c r="J262" s="176" t="str">
        <f>TEXT(   (SUMPRODUCT( ((Main!$H$9:$H$1000)=$E262)*((Main!$J$9:$J$1000)=$F262)*((Main!$O$9:$O$1000)=$C262)*(Main!S$9:S$1000) ) +  ( SUMPRODUCT( ((Adders!$D$13:$D$101)=$E262)*((Adders!$E$13:$E$101)=$F262)*(Adders!H$13:H$101)) + VLOOKUP($H262,Adders!$B$5:$G$8,M$11,FALSE)  +  MD!$D$2 ) * IF($D262="NJ",1.07,1))/$L$10, CHOOSE($M$10,$L$9,$M$9) )</f>
        <v xml:space="preserve"> 77.80 </v>
      </c>
      <c r="K262" s="177" t="str">
        <f>TEXT(   (SUMPRODUCT( ((Main!$H$9:$H$1000)=$E262)*((Main!$J$9:$J$1000)=$F262)*((Main!$O$9:$O$1000)=$C262)*(Main!T$9:T$1000) ) +  ( SUMPRODUCT( ((Adders!$D$13:$D$101)=$E262)*((Adders!$E$13:$E$101)=$F262)*(Adders!I$13:I$101)) + VLOOKUP($H262,Adders!$B$5:$G$8,$N$11,FALSE)  +  MD!$D$2 ) * IF($D262="NJ",1.07,1))/$L$10, CHOOSE($M$10,$L$9,$M$9) )</f>
        <v xml:space="preserve"> 78.68 </v>
      </c>
      <c r="L262" s="176" t="str">
        <f>TEXT(   (SUMPRODUCT( ((LMPMain!$H$9:$H$1000)=$E262)*((LMPMain!$J$9:$J$1000)=$F262)*((LMPMain!$O$9:$O$1000)=$C262)*(LMPMain!R$9:R$1000) ) +  ( SUMPRODUCT( ((Adders!$D$13:$D$101)=$E262)*((Adders!$E$13:$E$101)=$F262)*(Adders!G$13:G$101)) + VLOOKUP($H262,Adders!$B$5:$G$8,L$11,FALSE)  +  NJ!$D$2 ) * IF($D262="NJ",1.07,1))/$L$10, CHOOSE($M$10,$L$9,$M$9) )</f>
        <v xml:space="preserve"> 33.79 </v>
      </c>
      <c r="M262" s="176" t="str">
        <f>TEXT(   (SUMPRODUCT( ((LMPMain!$H$9:$H$1000)=$E262)*((LMPMain!$J$9:$J$1000)=$F262)*((LMPMain!$O$9:$O$1000)=$C262)*(LMPMain!S$9:S$1000) ) +  ( SUMPRODUCT( ((Adders!$D$13:$D$101)=$E262)*((Adders!$E$13:$E$101)=$F262)*(Adders!H$13:H$101)) + VLOOKUP($H262,Adders!$B$5:$G$8,M$11,FALSE)  +  NJ!$D$2 ) * IF($D262="NJ",1.07,1))/$L$10, CHOOSE($M$10,$L$9,$M$9) )</f>
        <v xml:space="preserve"> 33.97 </v>
      </c>
      <c r="N262" s="177" t="str">
        <f>TEXT(   (SUMPRODUCT( ((LMPMain!$H$9:$H$1000)=$E262)*((LMPMain!$J$9:$J$1000)=$F262)*((LMPMain!$O$9:$O$1000)=$C262)*(LMPMain!T$9:T$1000) ) +  ( SUMPRODUCT( ((Adders!$D$13:$D$101)=$E262)*((Adders!$E$13:$E$101)=$F262)*(Adders!I$13:I$101)) + VLOOKUP($H262,Adders!$B$5:$G$8,N$11,FALSE)  +  NJ!$D$2 ) * IF($D262="NJ",1.07,1))/$L$10, CHOOSE($M$10,$L$9,$M$9) )</f>
        <v xml:space="preserve"> 33.97 </v>
      </c>
      <c r="O262" s="112"/>
    </row>
    <row r="263" spans="2:15" x14ac:dyDescent="0.25">
      <c r="B263" s="108"/>
      <c r="C263" s="127">
        <f t="shared" si="7"/>
        <v>42491</v>
      </c>
      <c r="D263" s="128" t="s">
        <v>39</v>
      </c>
      <c r="E263" s="129" t="s">
        <v>44</v>
      </c>
      <c r="F263" s="128" t="s">
        <v>46</v>
      </c>
      <c r="G263" s="129" t="str">
        <f t="shared" si="8"/>
        <v>RC_3T7</v>
      </c>
      <c r="H263" s="130" t="s">
        <v>61</v>
      </c>
      <c r="I263" s="178" t="str">
        <f>TEXT(   (SUMPRODUCT( ((Main!$H$9:$H$1000)=$E263)*((Main!$J$9:$J$1000)=$F263)*((Main!$O$9:$O$1000)=$C263)*(Main!R$9:R$1000) ) +  ( SUMPRODUCT( ((Adders!$D$13:$D$101)=$E263)*((Adders!$E$13:$E$101)=$F263)*(Adders!G$13:G$101)) + VLOOKUP($H263,Adders!$B$5:$G$8,L$11,FALSE)  +  MD!$D$2 ) * IF($D263="NJ",1.07,1))/$L$10, CHOOSE($M$10,$L$9,$M$9) )</f>
        <v xml:space="preserve"> 80.36 </v>
      </c>
      <c r="J263" s="178" t="str">
        <f>TEXT(   (SUMPRODUCT( ((Main!$H$9:$H$1000)=$E263)*((Main!$J$9:$J$1000)=$F263)*((Main!$O$9:$O$1000)=$C263)*(Main!S$9:S$1000) ) +  ( SUMPRODUCT( ((Adders!$D$13:$D$101)=$E263)*((Adders!$E$13:$E$101)=$F263)*(Adders!H$13:H$101)) + VLOOKUP($H263,Adders!$B$5:$G$8,M$11,FALSE)  +  MD!$D$2 ) * IF($D263="NJ",1.07,1))/$L$10, CHOOSE($M$10,$L$9,$M$9) )</f>
        <v xml:space="preserve"> 79.90 </v>
      </c>
      <c r="K263" s="179" t="str">
        <f>TEXT(   (SUMPRODUCT( ((Main!$H$9:$H$1000)=$E263)*((Main!$J$9:$J$1000)=$F263)*((Main!$O$9:$O$1000)=$C263)*(Main!T$9:T$1000) ) +  ( SUMPRODUCT( ((Adders!$D$13:$D$101)=$E263)*((Adders!$E$13:$E$101)=$F263)*(Adders!I$13:I$101)) + VLOOKUP($H263,Adders!$B$5:$G$8,$N$11,FALSE)  +  MD!$D$2 ) * IF($D263="NJ",1.07,1))/$L$10, CHOOSE($M$10,$L$9,$M$9) )</f>
        <v xml:space="preserve"> 81.27 </v>
      </c>
      <c r="L263" s="178" t="str">
        <f>TEXT(   (SUMPRODUCT( ((LMPMain!$H$9:$H$1000)=$E263)*((LMPMain!$J$9:$J$1000)=$F263)*((LMPMain!$O$9:$O$1000)=$C263)*(LMPMain!R$9:R$1000) ) +  ( SUMPRODUCT( ((Adders!$D$13:$D$101)=$E263)*((Adders!$E$13:$E$101)=$F263)*(Adders!G$13:G$101)) + VLOOKUP($H263,Adders!$B$5:$G$8,L$11,FALSE)  +  NJ!$D$2 ) * IF($D263="NJ",1.07,1))/$L$10, CHOOSE($M$10,$L$9,$M$9) )</f>
        <v xml:space="preserve"> 36.12 </v>
      </c>
      <c r="M263" s="178" t="str">
        <f>TEXT(   (SUMPRODUCT( ((LMPMain!$H$9:$H$1000)=$E263)*((LMPMain!$J$9:$J$1000)=$F263)*((LMPMain!$O$9:$O$1000)=$C263)*(LMPMain!S$9:S$1000) ) +  ( SUMPRODUCT( ((Adders!$D$13:$D$101)=$E263)*((Adders!$E$13:$E$101)=$F263)*(Adders!H$13:H$101)) + VLOOKUP($H263,Adders!$B$5:$G$8,M$11,FALSE)  +  NJ!$D$2 ) * IF($D263="NJ",1.07,1))/$L$10, CHOOSE($M$10,$L$9,$M$9) )</f>
        <v xml:space="preserve"> 36.29 </v>
      </c>
      <c r="N263" s="179" t="str">
        <f>TEXT(   (SUMPRODUCT( ((LMPMain!$H$9:$H$1000)=$E263)*((LMPMain!$J$9:$J$1000)=$F263)*((LMPMain!$O$9:$O$1000)=$C263)*(LMPMain!T$9:T$1000) ) +  ( SUMPRODUCT( ((Adders!$D$13:$D$101)=$E263)*((Adders!$E$13:$E$101)=$F263)*(Adders!I$13:I$101)) + VLOOKUP($H263,Adders!$B$5:$G$8,N$11,FALSE)  +  NJ!$D$2 ) * IF($D263="NJ",1.07,1))/$L$10, CHOOSE($M$10,$L$9,$M$9) )</f>
        <v xml:space="preserve"> 36.51 </v>
      </c>
      <c r="O263" s="112"/>
    </row>
    <row r="264" spans="2:15" x14ac:dyDescent="0.25">
      <c r="B264" s="108"/>
      <c r="C264" s="131">
        <f t="shared" si="7"/>
        <v>42491</v>
      </c>
      <c r="D264" s="132" t="s">
        <v>39</v>
      </c>
      <c r="E264" s="133" t="s">
        <v>44</v>
      </c>
      <c r="F264" s="132" t="s">
        <v>46</v>
      </c>
      <c r="G264" s="133" t="str">
        <f t="shared" si="8"/>
        <v>RC_3T7</v>
      </c>
      <c r="H264" s="134" t="s">
        <v>62</v>
      </c>
      <c r="I264" s="173" t="str">
        <f>TEXT(   (SUMPRODUCT( ((Main!$H$9:$H$1000)=$E264)*((Main!$J$9:$J$1000)=$F264)*((Main!$O$9:$O$1000)=$C264)*(Main!R$9:R$1000) ) +  ( SUMPRODUCT( ((Adders!$D$13:$D$101)=$E264)*((Adders!$E$13:$E$101)=$F264)*(Adders!G$13:G$101)) + VLOOKUP($H264,Adders!$B$5:$G$8,L$11,FALSE)  +  MD!$D$2 ) * IF($D264="NJ",1.07,1))/$L$10, CHOOSE($M$10,$L$9,$M$9) )</f>
        <v xml:space="preserve"> 78.76 </v>
      </c>
      <c r="J264" s="173" t="str">
        <f>TEXT(   (SUMPRODUCT( ((Main!$H$9:$H$1000)=$E264)*((Main!$J$9:$J$1000)=$F264)*((Main!$O$9:$O$1000)=$C264)*(Main!S$9:S$1000) ) +  ( SUMPRODUCT( ((Adders!$D$13:$D$101)=$E264)*((Adders!$E$13:$E$101)=$F264)*(Adders!H$13:H$101)) + VLOOKUP($H264,Adders!$B$5:$G$8,M$11,FALSE)  +  MD!$D$2 ) * IF($D264="NJ",1.07,1))/$L$10, CHOOSE($M$10,$L$9,$M$9) )</f>
        <v xml:space="preserve"> 78.30 </v>
      </c>
      <c r="K264" s="174" t="str">
        <f>TEXT(   (SUMPRODUCT( ((Main!$H$9:$H$1000)=$E264)*((Main!$J$9:$J$1000)=$F264)*((Main!$O$9:$O$1000)=$C264)*(Main!T$9:T$1000) ) +  ( SUMPRODUCT( ((Adders!$D$13:$D$101)=$E264)*((Adders!$E$13:$E$101)=$F264)*(Adders!I$13:I$101)) + VLOOKUP($H264,Adders!$B$5:$G$8,$N$11,FALSE)  +  MD!$D$2 ) * IF($D264="NJ",1.07,1))/$L$10, CHOOSE($M$10,$L$9,$M$9) )</f>
        <v xml:space="preserve"> 79.67 </v>
      </c>
      <c r="L264" s="173" t="str">
        <f>TEXT(   (SUMPRODUCT( ((LMPMain!$H$9:$H$1000)=$E264)*((LMPMain!$J$9:$J$1000)=$F264)*((LMPMain!$O$9:$O$1000)=$C264)*(LMPMain!R$9:R$1000) ) +  ( SUMPRODUCT( ((Adders!$D$13:$D$101)=$E264)*((Adders!$E$13:$E$101)=$F264)*(Adders!G$13:G$101)) + VLOOKUP($H264,Adders!$B$5:$G$8,L$11,FALSE)  +  NJ!$D$2 ) * IF($D264="NJ",1.07,1))/$L$10, CHOOSE($M$10,$L$9,$M$9) )</f>
        <v xml:space="preserve"> 34.52 </v>
      </c>
      <c r="M264" s="173" t="str">
        <f>TEXT(   (SUMPRODUCT( ((LMPMain!$H$9:$H$1000)=$E264)*((LMPMain!$J$9:$J$1000)=$F264)*((LMPMain!$O$9:$O$1000)=$C264)*(LMPMain!S$9:S$1000) ) +  ( SUMPRODUCT( ((Adders!$D$13:$D$101)=$E264)*((Adders!$E$13:$E$101)=$F264)*(Adders!H$13:H$101)) + VLOOKUP($H264,Adders!$B$5:$G$8,M$11,FALSE)  +  NJ!$D$2 ) * IF($D264="NJ",1.07,1))/$L$10, CHOOSE($M$10,$L$9,$M$9) )</f>
        <v xml:space="preserve"> 34.69 </v>
      </c>
      <c r="N264" s="174" t="str">
        <f>TEXT(   (SUMPRODUCT( ((LMPMain!$H$9:$H$1000)=$E264)*((LMPMain!$J$9:$J$1000)=$F264)*((LMPMain!$O$9:$O$1000)=$C264)*(LMPMain!T$9:T$1000) ) +  ( SUMPRODUCT( ((Adders!$D$13:$D$101)=$E264)*((Adders!$E$13:$E$101)=$F264)*(Adders!I$13:I$101)) + VLOOKUP($H264,Adders!$B$5:$G$8,N$11,FALSE)  +  NJ!$D$2 ) * IF($D264="NJ",1.07,1))/$L$10, CHOOSE($M$10,$L$9,$M$9) )</f>
        <v xml:space="preserve"> 34.91 </v>
      </c>
      <c r="O264" s="112"/>
    </row>
    <row r="265" spans="2:15" x14ac:dyDescent="0.25">
      <c r="B265" s="108"/>
      <c r="C265" s="135">
        <f t="shared" si="7"/>
        <v>42491</v>
      </c>
      <c r="D265" s="136" t="s">
        <v>39</v>
      </c>
      <c r="E265" s="137" t="s">
        <v>44</v>
      </c>
      <c r="F265" s="136" t="s">
        <v>46</v>
      </c>
      <c r="G265" s="137" t="str">
        <f t="shared" si="8"/>
        <v>RC_3T7</v>
      </c>
      <c r="H265" s="138" t="s">
        <v>690</v>
      </c>
      <c r="I265" s="176" t="str">
        <f>TEXT(   (SUMPRODUCT( ((Main!$H$9:$H$1000)=$E265)*((Main!$J$9:$J$1000)=$F265)*((Main!$O$9:$O$1000)=$C265)*(Main!R$9:R$1000) ) +  ( SUMPRODUCT( ((Adders!$D$13:$D$101)=$E265)*((Adders!$E$13:$E$101)=$F265)*(Adders!G$13:G$101)) + VLOOKUP($H265,Adders!$B$5:$G$8,L$11,FALSE)  +  MD!$D$2 ) * IF($D265="NJ",1.07,1))/$L$10, CHOOSE($M$10,$L$9,$M$9) )</f>
        <v xml:space="preserve"> 77.71 </v>
      </c>
      <c r="J265" s="176" t="str">
        <f>TEXT(   (SUMPRODUCT( ((Main!$H$9:$H$1000)=$E265)*((Main!$J$9:$J$1000)=$F265)*((Main!$O$9:$O$1000)=$C265)*(Main!S$9:S$1000) ) +  ( SUMPRODUCT( ((Adders!$D$13:$D$101)=$E265)*((Adders!$E$13:$E$101)=$F265)*(Adders!H$13:H$101)) + VLOOKUP($H265,Adders!$B$5:$G$8,M$11,FALSE)  +  MD!$D$2 ) * IF($D265="NJ",1.07,1))/$L$10, CHOOSE($M$10,$L$9,$M$9) )</f>
        <v xml:space="preserve"> 77.25 </v>
      </c>
      <c r="K265" s="177" t="str">
        <f>TEXT(   (SUMPRODUCT( ((Main!$H$9:$H$1000)=$E265)*((Main!$J$9:$J$1000)=$F265)*((Main!$O$9:$O$1000)=$C265)*(Main!T$9:T$1000) ) +  ( SUMPRODUCT( ((Adders!$D$13:$D$101)=$E265)*((Adders!$E$13:$E$101)=$F265)*(Adders!I$13:I$101)) + VLOOKUP($H265,Adders!$B$5:$G$8,$N$11,FALSE)  +  MD!$D$2 ) * IF($D265="NJ",1.07,1))/$L$10, CHOOSE($M$10,$L$9,$M$9) )</f>
        <v xml:space="preserve"> 78.62 </v>
      </c>
      <c r="L265" s="176" t="str">
        <f>TEXT(   (SUMPRODUCT( ((LMPMain!$H$9:$H$1000)=$E265)*((LMPMain!$J$9:$J$1000)=$F265)*((LMPMain!$O$9:$O$1000)=$C265)*(LMPMain!R$9:R$1000) ) +  ( SUMPRODUCT( ((Adders!$D$13:$D$101)=$E265)*((Adders!$E$13:$E$101)=$F265)*(Adders!G$13:G$101)) + VLOOKUP($H265,Adders!$B$5:$G$8,L$11,FALSE)  +  NJ!$D$2 ) * IF($D265="NJ",1.07,1))/$L$10, CHOOSE($M$10,$L$9,$M$9) )</f>
        <v xml:space="preserve"> 33.47 </v>
      </c>
      <c r="M265" s="176" t="str">
        <f>TEXT(   (SUMPRODUCT( ((LMPMain!$H$9:$H$1000)=$E265)*((LMPMain!$J$9:$J$1000)=$F265)*((LMPMain!$O$9:$O$1000)=$C265)*(LMPMain!S$9:S$1000) ) +  ( SUMPRODUCT( ((Adders!$D$13:$D$101)=$E265)*((Adders!$E$13:$E$101)=$F265)*(Adders!H$13:H$101)) + VLOOKUP($H265,Adders!$B$5:$G$8,M$11,FALSE)  +  NJ!$D$2 ) * IF($D265="NJ",1.07,1))/$L$10, CHOOSE($M$10,$L$9,$M$9) )</f>
        <v xml:space="preserve"> 33.64 </v>
      </c>
      <c r="N265" s="177" t="str">
        <f>TEXT(   (SUMPRODUCT( ((LMPMain!$H$9:$H$1000)=$E265)*((LMPMain!$J$9:$J$1000)=$F265)*((LMPMain!$O$9:$O$1000)=$C265)*(LMPMain!T$9:T$1000) ) +  ( SUMPRODUCT( ((Adders!$D$13:$D$101)=$E265)*((Adders!$E$13:$E$101)=$F265)*(Adders!I$13:I$101)) + VLOOKUP($H265,Adders!$B$5:$G$8,N$11,FALSE)  +  NJ!$D$2 ) * IF($D265="NJ",1.07,1))/$L$10, CHOOSE($M$10,$L$9,$M$9) )</f>
        <v xml:space="preserve"> 33.86 </v>
      </c>
      <c r="O265" s="112"/>
    </row>
    <row r="266" spans="2:15" x14ac:dyDescent="0.25">
      <c r="B266" s="108"/>
      <c r="C266" s="127">
        <f t="shared" si="7"/>
        <v>42156</v>
      </c>
      <c r="D266" s="128" t="s">
        <v>39</v>
      </c>
      <c r="E266" s="129" t="s">
        <v>47</v>
      </c>
      <c r="F266" s="128" t="s">
        <v>7</v>
      </c>
      <c r="G266" s="129" t="str">
        <f>VLOOKUP(SUMPRODUCT( ((LMPMain!$H$9:$H$1000)=$E266)*((LMPMain!$J$9:$J$1000)=$F266)*((LMPMain!$O$9:$O$1000)=$C266)*(LMPMain!A$9:A$1000)),LMPMain!$A$9:$K$1000,11,FALSE)</f>
        <v>General Service</v>
      </c>
      <c r="H266" s="130" t="s">
        <v>61</v>
      </c>
      <c r="I266" s="178" t="str">
        <f>TEXT(   (SUMPRODUCT( ((Main!$H$9:$H$1000)=$E266)*((Main!$J$9:$J$1000)=$F266)*((Main!$O$9:$O$1000)=$C266)*(Main!R$9:R$1000) ) +  ( SUMPRODUCT( ((Adders!$D$13:$D$101)=$E266)*((Adders!$E$13:$E$101)=$F266)*(Adders!G$13:G$101)) + VLOOKUP($H266,Adders!$B$5:$G$8,L$11,FALSE)  +  MD!$D$2 ) * IF($D266="NJ",1.07,1))/$L$10, CHOOSE($M$10,$L$9,$M$9) )</f>
        <v xml:space="preserve"> 76.89 </v>
      </c>
      <c r="J266" s="178" t="str">
        <f>TEXT(   (SUMPRODUCT( ((Main!$H$9:$H$1000)=$E266)*((Main!$J$9:$J$1000)=$F266)*((Main!$O$9:$O$1000)=$C266)*(Main!S$9:S$1000) ) +  ( SUMPRODUCT( ((Adders!$D$13:$D$101)=$E266)*((Adders!$E$13:$E$101)=$F266)*(Adders!H$13:H$101)) + VLOOKUP($H266,Adders!$B$5:$G$8,M$11,FALSE)  +  MD!$D$2 ) * IF($D266="NJ",1.07,1))/$L$10, CHOOSE($M$10,$L$9,$M$9) )</f>
        <v xml:space="preserve"> 74.77 </v>
      </c>
      <c r="K266" s="179" t="str">
        <f>TEXT(   (SUMPRODUCT( ((Main!$H$9:$H$1000)=$E266)*((Main!$J$9:$J$1000)=$F266)*((Main!$O$9:$O$1000)=$C266)*(Main!T$9:T$1000) ) +  ( SUMPRODUCT( ((Adders!$D$13:$D$101)=$E266)*((Adders!$E$13:$E$101)=$F266)*(Adders!I$13:I$101)) + VLOOKUP($H266,Adders!$B$5:$G$8,$N$11,FALSE)  +  MD!$D$2 ) * IF($D266="NJ",1.07,1))/$L$10, CHOOSE($M$10,$L$9,$M$9) )</f>
        <v xml:space="preserve"> 73.39 </v>
      </c>
      <c r="L266" s="178" t="str">
        <f>TEXT(   (SUMPRODUCT( ((LMPMain!$H$9:$H$1000)=$E266)*((LMPMain!$J$9:$J$1000)=$F266)*((LMPMain!$O$9:$O$1000)=$C266)*(LMPMain!R$9:R$1000) ) +  ( SUMPRODUCT( ((Adders!$D$13:$D$101)=$E266)*((Adders!$E$13:$E$101)=$F266)*(Adders!G$13:G$101)) + VLOOKUP($H266,Adders!$B$5:$G$8,L$11,FALSE)  +  NJ!$D$2 ) * IF($D266="NJ",1.07,1))/$L$10, CHOOSE($M$10,$L$9,$M$9) )</f>
        <v xml:space="preserve"> 37.09 </v>
      </c>
      <c r="M266" s="178" t="str">
        <f>TEXT(   (SUMPRODUCT( ((LMPMain!$H$9:$H$1000)=$E266)*((LMPMain!$J$9:$J$1000)=$F266)*((LMPMain!$O$9:$O$1000)=$C266)*(LMPMain!S$9:S$1000) ) +  ( SUMPRODUCT( ((Adders!$D$13:$D$101)=$E266)*((Adders!$E$13:$E$101)=$F266)*(Adders!H$13:H$101)) + VLOOKUP($H266,Adders!$B$5:$G$8,M$11,FALSE)  +  NJ!$D$2 ) * IF($D266="NJ",1.07,1))/$L$10, CHOOSE($M$10,$L$9,$M$9) )</f>
        <v xml:space="preserve"> 35.41 </v>
      </c>
      <c r="N266" s="179" t="str">
        <f>TEXT(   (SUMPRODUCT( ((LMPMain!$H$9:$H$1000)=$E266)*((LMPMain!$J$9:$J$1000)=$F266)*((LMPMain!$O$9:$O$1000)=$C266)*(LMPMain!T$9:T$1000) ) +  ( SUMPRODUCT( ((Adders!$D$13:$D$101)=$E266)*((Adders!$E$13:$E$101)=$F266)*(Adders!I$13:I$101)) + VLOOKUP($H266,Adders!$B$5:$G$8,N$11,FALSE)  +  NJ!$D$2 ) * IF($D266="NJ",1.07,1))/$L$10, CHOOSE($M$10,$L$9,$M$9) )</f>
        <v xml:space="preserve"> 33.54 </v>
      </c>
      <c r="O266" s="112"/>
    </row>
    <row r="267" spans="2:15" x14ac:dyDescent="0.25">
      <c r="B267" s="108"/>
      <c r="C267" s="131">
        <f t="shared" si="7"/>
        <v>42156</v>
      </c>
      <c r="D267" s="132" t="s">
        <v>39</v>
      </c>
      <c r="E267" s="133" t="s">
        <v>47</v>
      </c>
      <c r="F267" s="132" t="s">
        <v>7</v>
      </c>
      <c r="G267" s="133" t="str">
        <f>G266</f>
        <v>General Service</v>
      </c>
      <c r="H267" s="134" t="s">
        <v>62</v>
      </c>
      <c r="I267" s="173" t="str">
        <f>TEXT(   (SUMPRODUCT( ((Main!$H$9:$H$1000)=$E267)*((Main!$J$9:$J$1000)=$F267)*((Main!$O$9:$O$1000)=$C267)*(Main!R$9:R$1000) ) +  ( SUMPRODUCT( ((Adders!$D$13:$D$101)=$E267)*((Adders!$E$13:$E$101)=$F267)*(Adders!G$13:G$101)) + VLOOKUP($H267,Adders!$B$5:$G$8,L$11,FALSE)  +  MD!$D$2 ) * IF($D267="NJ",1.07,1))/$L$10, CHOOSE($M$10,$L$9,$M$9) )</f>
        <v xml:space="preserve"> 75.29 </v>
      </c>
      <c r="J267" s="173" t="str">
        <f>TEXT(   (SUMPRODUCT( ((Main!$H$9:$H$1000)=$E267)*((Main!$J$9:$J$1000)=$F267)*((Main!$O$9:$O$1000)=$C267)*(Main!S$9:S$1000) ) +  ( SUMPRODUCT( ((Adders!$D$13:$D$101)=$E267)*((Adders!$E$13:$E$101)=$F267)*(Adders!H$13:H$101)) + VLOOKUP($H267,Adders!$B$5:$G$8,M$11,FALSE)  +  MD!$D$2 ) * IF($D267="NJ",1.07,1))/$L$10, CHOOSE($M$10,$L$9,$M$9) )</f>
        <v xml:space="preserve"> 73.17 </v>
      </c>
      <c r="K267" s="174" t="str">
        <f>TEXT(   (SUMPRODUCT( ((Main!$H$9:$H$1000)=$E267)*((Main!$J$9:$J$1000)=$F267)*((Main!$O$9:$O$1000)=$C267)*(Main!T$9:T$1000) ) +  ( SUMPRODUCT( ((Adders!$D$13:$D$101)=$E267)*((Adders!$E$13:$E$101)=$F267)*(Adders!I$13:I$101)) + VLOOKUP($H267,Adders!$B$5:$G$8,$N$11,FALSE)  +  MD!$D$2 ) * IF($D267="NJ",1.07,1))/$L$10, CHOOSE($M$10,$L$9,$M$9) )</f>
        <v xml:space="preserve"> 71.79 </v>
      </c>
      <c r="L267" s="173" t="str">
        <f>TEXT(   (SUMPRODUCT( ((LMPMain!$H$9:$H$1000)=$E267)*((LMPMain!$J$9:$J$1000)=$F267)*((LMPMain!$O$9:$O$1000)=$C267)*(LMPMain!R$9:R$1000) ) +  ( SUMPRODUCT( ((Adders!$D$13:$D$101)=$E267)*((Adders!$E$13:$E$101)=$F267)*(Adders!G$13:G$101)) + VLOOKUP($H267,Adders!$B$5:$G$8,L$11,FALSE)  +  NJ!$D$2 ) * IF($D267="NJ",1.07,1))/$L$10, CHOOSE($M$10,$L$9,$M$9) )</f>
        <v xml:space="preserve"> 35.49 </v>
      </c>
      <c r="M267" s="173" t="str">
        <f>TEXT(   (SUMPRODUCT( ((LMPMain!$H$9:$H$1000)=$E267)*((LMPMain!$J$9:$J$1000)=$F267)*((LMPMain!$O$9:$O$1000)=$C267)*(LMPMain!S$9:S$1000) ) +  ( SUMPRODUCT( ((Adders!$D$13:$D$101)=$E267)*((Adders!$E$13:$E$101)=$F267)*(Adders!H$13:H$101)) + VLOOKUP($H267,Adders!$B$5:$G$8,M$11,FALSE)  +  NJ!$D$2 ) * IF($D267="NJ",1.07,1))/$L$10, CHOOSE($M$10,$L$9,$M$9) )</f>
        <v xml:space="preserve"> 33.81 </v>
      </c>
      <c r="N267" s="174" t="str">
        <f>TEXT(   (SUMPRODUCT( ((LMPMain!$H$9:$H$1000)=$E267)*((LMPMain!$J$9:$J$1000)=$F267)*((LMPMain!$O$9:$O$1000)=$C267)*(LMPMain!T$9:T$1000) ) +  ( SUMPRODUCT( ((Adders!$D$13:$D$101)=$E267)*((Adders!$E$13:$E$101)=$F267)*(Adders!I$13:I$101)) + VLOOKUP($H267,Adders!$B$5:$G$8,N$11,FALSE)  +  NJ!$D$2 ) * IF($D267="NJ",1.07,1))/$L$10, CHOOSE($M$10,$L$9,$M$9) )</f>
        <v xml:space="preserve"> 31.94 </v>
      </c>
      <c r="O267" s="112"/>
    </row>
    <row r="268" spans="2:15" x14ac:dyDescent="0.25">
      <c r="B268" s="108"/>
      <c r="C268" s="135">
        <f t="shared" si="7"/>
        <v>42156</v>
      </c>
      <c r="D268" s="136" t="s">
        <v>39</v>
      </c>
      <c r="E268" s="137" t="s">
        <v>47</v>
      </c>
      <c r="F268" s="136" t="s">
        <v>7</v>
      </c>
      <c r="G268" s="137" t="str">
        <f>G267</f>
        <v>General Service</v>
      </c>
      <c r="H268" s="138" t="s">
        <v>690</v>
      </c>
      <c r="I268" s="176" t="str">
        <f>TEXT(   (SUMPRODUCT( ((Main!$H$9:$H$1000)=$E268)*((Main!$J$9:$J$1000)=$F268)*((Main!$O$9:$O$1000)=$C268)*(Main!R$9:R$1000) ) +  ( SUMPRODUCT( ((Adders!$D$13:$D$101)=$E268)*((Adders!$E$13:$E$101)=$F268)*(Adders!G$13:G$101)) + VLOOKUP($H268,Adders!$B$5:$G$8,L$11,FALSE)  +  MD!$D$2 ) * IF($D268="NJ",1.07,1))/$L$10, CHOOSE($M$10,$L$9,$M$9) )</f>
        <v xml:space="preserve"> 74.24 </v>
      </c>
      <c r="J268" s="176" t="str">
        <f>TEXT(   (SUMPRODUCT( ((Main!$H$9:$H$1000)=$E268)*((Main!$J$9:$J$1000)=$F268)*((Main!$O$9:$O$1000)=$C268)*(Main!S$9:S$1000) ) +  ( SUMPRODUCT( ((Adders!$D$13:$D$101)=$E268)*((Adders!$E$13:$E$101)=$F268)*(Adders!H$13:H$101)) + VLOOKUP($H268,Adders!$B$5:$G$8,M$11,FALSE)  +  MD!$D$2 ) * IF($D268="NJ",1.07,1))/$L$10, CHOOSE($M$10,$L$9,$M$9) )</f>
        <v xml:space="preserve"> 72.12 </v>
      </c>
      <c r="K268" s="177" t="str">
        <f>TEXT(   (SUMPRODUCT( ((Main!$H$9:$H$1000)=$E268)*((Main!$J$9:$J$1000)=$F268)*((Main!$O$9:$O$1000)=$C268)*(Main!T$9:T$1000) ) +  ( SUMPRODUCT( ((Adders!$D$13:$D$101)=$E268)*((Adders!$E$13:$E$101)=$F268)*(Adders!I$13:I$101)) + VLOOKUP($H268,Adders!$B$5:$G$8,$N$11,FALSE)  +  MD!$D$2 ) * IF($D268="NJ",1.07,1))/$L$10, CHOOSE($M$10,$L$9,$M$9) )</f>
        <v xml:space="preserve"> 70.74 </v>
      </c>
      <c r="L268" s="176" t="str">
        <f>TEXT(   (SUMPRODUCT( ((LMPMain!$H$9:$H$1000)=$E268)*((LMPMain!$J$9:$J$1000)=$F268)*((LMPMain!$O$9:$O$1000)=$C268)*(LMPMain!R$9:R$1000) ) +  ( SUMPRODUCT( ((Adders!$D$13:$D$101)=$E268)*((Adders!$E$13:$E$101)=$F268)*(Adders!G$13:G$101)) + VLOOKUP($H268,Adders!$B$5:$G$8,L$11,FALSE)  +  NJ!$D$2 ) * IF($D268="NJ",1.07,1))/$L$10, CHOOSE($M$10,$L$9,$M$9) )</f>
        <v xml:space="preserve"> 34.44 </v>
      </c>
      <c r="M268" s="176" t="str">
        <f>TEXT(   (SUMPRODUCT( ((LMPMain!$H$9:$H$1000)=$E268)*((LMPMain!$J$9:$J$1000)=$F268)*((LMPMain!$O$9:$O$1000)=$C268)*(LMPMain!S$9:S$1000) ) +  ( SUMPRODUCT( ((Adders!$D$13:$D$101)=$E268)*((Adders!$E$13:$E$101)=$F268)*(Adders!H$13:H$101)) + VLOOKUP($H268,Adders!$B$5:$G$8,M$11,FALSE)  +  NJ!$D$2 ) * IF($D268="NJ",1.07,1))/$L$10, CHOOSE($M$10,$L$9,$M$9) )</f>
        <v xml:space="preserve"> 32.76 </v>
      </c>
      <c r="N268" s="177" t="str">
        <f>TEXT(   (SUMPRODUCT( ((LMPMain!$H$9:$H$1000)=$E268)*((LMPMain!$J$9:$J$1000)=$F268)*((LMPMain!$O$9:$O$1000)=$C268)*(LMPMain!T$9:T$1000) ) +  ( SUMPRODUCT( ((Adders!$D$13:$D$101)=$E268)*((Adders!$E$13:$E$101)=$F268)*(Adders!I$13:I$101)) + VLOOKUP($H268,Adders!$B$5:$G$8,N$11,FALSE)  +  NJ!$D$2 ) * IF($D268="NJ",1.07,1))/$L$10, CHOOSE($M$10,$L$9,$M$9) )</f>
        <v xml:space="preserve"> 30.89 </v>
      </c>
      <c r="O268" s="112"/>
    </row>
    <row r="269" spans="2:15" x14ac:dyDescent="0.25">
      <c r="B269" s="108"/>
      <c r="C269" s="127">
        <f t="shared" si="7"/>
        <v>42186</v>
      </c>
      <c r="D269" s="128" t="s">
        <v>39</v>
      </c>
      <c r="E269" s="129" t="s">
        <v>47</v>
      </c>
      <c r="F269" s="128" t="s">
        <v>7</v>
      </c>
      <c r="G269" s="129" t="str">
        <f t="shared" si="8"/>
        <v>General Service</v>
      </c>
      <c r="H269" s="130" t="s">
        <v>61</v>
      </c>
      <c r="I269" s="178" t="str">
        <f>TEXT(   (SUMPRODUCT( ((Main!$H$9:$H$1000)=$E269)*((Main!$J$9:$J$1000)=$F269)*((Main!$O$9:$O$1000)=$C269)*(Main!R$9:R$1000) ) +  ( SUMPRODUCT( ((Adders!$D$13:$D$101)=$E269)*((Adders!$E$13:$E$101)=$F269)*(Adders!G$13:G$101)) + VLOOKUP($H269,Adders!$B$5:$G$8,L$11,FALSE)  +  MD!$D$2 ) * IF($D269="NJ",1.07,1))/$L$10, CHOOSE($M$10,$L$9,$M$9) )</f>
        <v xml:space="preserve"> 76.42 </v>
      </c>
      <c r="J269" s="178" t="str">
        <f>TEXT(   (SUMPRODUCT( ((Main!$H$9:$H$1000)=$E269)*((Main!$J$9:$J$1000)=$F269)*((Main!$O$9:$O$1000)=$C269)*(Main!S$9:S$1000) ) +  ( SUMPRODUCT( ((Adders!$D$13:$D$101)=$E269)*((Adders!$E$13:$E$101)=$F269)*(Adders!H$13:H$101)) + VLOOKUP($H269,Adders!$B$5:$G$8,M$11,FALSE)  +  MD!$D$2 ) * IF($D269="NJ",1.07,1))/$L$10, CHOOSE($M$10,$L$9,$M$9) )</f>
        <v xml:space="preserve"> 74.12 </v>
      </c>
      <c r="K269" s="179" t="str">
        <f>TEXT(   (SUMPRODUCT( ((Main!$H$9:$H$1000)=$E269)*((Main!$J$9:$J$1000)=$F269)*((Main!$O$9:$O$1000)=$C269)*(Main!T$9:T$1000) ) +  ( SUMPRODUCT( ((Adders!$D$13:$D$101)=$E269)*((Adders!$E$13:$E$101)=$F269)*(Adders!I$13:I$101)) + VLOOKUP($H269,Adders!$B$5:$G$8,$N$11,FALSE)  +  MD!$D$2 ) * IF($D269="NJ",1.07,1))/$L$10, CHOOSE($M$10,$L$9,$M$9) )</f>
        <v xml:space="preserve"> 73.46 </v>
      </c>
      <c r="L269" s="178" t="str">
        <f>TEXT(   (SUMPRODUCT( ((LMPMain!$H$9:$H$1000)=$E269)*((LMPMain!$J$9:$J$1000)=$F269)*((LMPMain!$O$9:$O$1000)=$C269)*(LMPMain!R$9:R$1000) ) +  ( SUMPRODUCT( ((Adders!$D$13:$D$101)=$E269)*((Adders!$E$13:$E$101)=$F269)*(Adders!G$13:G$101)) + VLOOKUP($H269,Adders!$B$5:$G$8,L$11,FALSE)  +  NJ!$D$2 ) * IF($D269="NJ",1.07,1))/$L$10, CHOOSE($M$10,$L$9,$M$9) )</f>
        <v xml:space="preserve"> 36.55 </v>
      </c>
      <c r="M269" s="178" t="str">
        <f>TEXT(   (SUMPRODUCT( ((LMPMain!$H$9:$H$1000)=$E269)*((LMPMain!$J$9:$J$1000)=$F269)*((LMPMain!$O$9:$O$1000)=$C269)*(LMPMain!S$9:S$1000) ) +  ( SUMPRODUCT( ((Adders!$D$13:$D$101)=$E269)*((Adders!$E$13:$E$101)=$F269)*(Adders!H$13:H$101)) + VLOOKUP($H269,Adders!$B$5:$G$8,M$11,FALSE)  +  NJ!$D$2 ) * IF($D269="NJ",1.07,1))/$L$10, CHOOSE($M$10,$L$9,$M$9) )</f>
        <v xml:space="preserve"> 34.89 </v>
      </c>
      <c r="N269" s="179" t="str">
        <f>TEXT(   (SUMPRODUCT( ((LMPMain!$H$9:$H$1000)=$E269)*((LMPMain!$J$9:$J$1000)=$F269)*((LMPMain!$O$9:$O$1000)=$C269)*(LMPMain!T$9:T$1000) ) +  ( SUMPRODUCT( ((Adders!$D$13:$D$101)=$E269)*((Adders!$E$13:$E$101)=$F269)*(Adders!I$13:I$101)) + VLOOKUP($H269,Adders!$B$5:$G$8,N$11,FALSE)  +  NJ!$D$2 ) * IF($D269="NJ",1.07,1))/$L$10, CHOOSE($M$10,$L$9,$M$9) )</f>
        <v xml:space="preserve"> 33.57 </v>
      </c>
      <c r="O269" s="112"/>
    </row>
    <row r="270" spans="2:15" x14ac:dyDescent="0.25">
      <c r="B270" s="108"/>
      <c r="C270" s="131">
        <f t="shared" si="7"/>
        <v>42186</v>
      </c>
      <c r="D270" s="132" t="s">
        <v>39</v>
      </c>
      <c r="E270" s="133" t="s">
        <v>47</v>
      </c>
      <c r="F270" s="132" t="s">
        <v>7</v>
      </c>
      <c r="G270" s="133" t="str">
        <f t="shared" si="8"/>
        <v>General Service</v>
      </c>
      <c r="H270" s="134" t="s">
        <v>62</v>
      </c>
      <c r="I270" s="173" t="str">
        <f>TEXT(   (SUMPRODUCT( ((Main!$H$9:$H$1000)=$E270)*((Main!$J$9:$J$1000)=$F270)*((Main!$O$9:$O$1000)=$C270)*(Main!R$9:R$1000) ) +  ( SUMPRODUCT( ((Adders!$D$13:$D$101)=$E270)*((Adders!$E$13:$E$101)=$F270)*(Adders!G$13:G$101)) + VLOOKUP($H270,Adders!$B$5:$G$8,L$11,FALSE)  +  MD!$D$2 ) * IF($D270="NJ",1.07,1))/$L$10, CHOOSE($M$10,$L$9,$M$9) )</f>
        <v xml:space="preserve"> 74.82 </v>
      </c>
      <c r="J270" s="173" t="str">
        <f>TEXT(   (SUMPRODUCT( ((Main!$H$9:$H$1000)=$E270)*((Main!$J$9:$J$1000)=$F270)*((Main!$O$9:$O$1000)=$C270)*(Main!S$9:S$1000) ) +  ( SUMPRODUCT( ((Adders!$D$13:$D$101)=$E270)*((Adders!$E$13:$E$101)=$F270)*(Adders!H$13:H$101)) + VLOOKUP($H270,Adders!$B$5:$G$8,M$11,FALSE)  +  MD!$D$2 ) * IF($D270="NJ",1.07,1))/$L$10, CHOOSE($M$10,$L$9,$M$9) )</f>
        <v xml:space="preserve"> 72.52 </v>
      </c>
      <c r="K270" s="174" t="str">
        <f>TEXT(   (SUMPRODUCT( ((Main!$H$9:$H$1000)=$E270)*((Main!$J$9:$J$1000)=$F270)*((Main!$O$9:$O$1000)=$C270)*(Main!T$9:T$1000) ) +  ( SUMPRODUCT( ((Adders!$D$13:$D$101)=$E270)*((Adders!$E$13:$E$101)=$F270)*(Adders!I$13:I$101)) + VLOOKUP($H270,Adders!$B$5:$G$8,$N$11,FALSE)  +  MD!$D$2 ) * IF($D270="NJ",1.07,1))/$L$10, CHOOSE($M$10,$L$9,$M$9) )</f>
        <v xml:space="preserve"> 71.86 </v>
      </c>
      <c r="L270" s="173" t="str">
        <f>TEXT(   (SUMPRODUCT( ((LMPMain!$H$9:$H$1000)=$E270)*((LMPMain!$J$9:$J$1000)=$F270)*((LMPMain!$O$9:$O$1000)=$C270)*(LMPMain!R$9:R$1000) ) +  ( SUMPRODUCT( ((Adders!$D$13:$D$101)=$E270)*((Adders!$E$13:$E$101)=$F270)*(Adders!G$13:G$101)) + VLOOKUP($H270,Adders!$B$5:$G$8,L$11,FALSE)  +  NJ!$D$2 ) * IF($D270="NJ",1.07,1))/$L$10, CHOOSE($M$10,$L$9,$M$9) )</f>
        <v xml:space="preserve"> 34.95 </v>
      </c>
      <c r="M270" s="173" t="str">
        <f>TEXT(   (SUMPRODUCT( ((LMPMain!$H$9:$H$1000)=$E270)*((LMPMain!$J$9:$J$1000)=$F270)*((LMPMain!$O$9:$O$1000)=$C270)*(LMPMain!S$9:S$1000) ) +  ( SUMPRODUCT( ((Adders!$D$13:$D$101)=$E270)*((Adders!$E$13:$E$101)=$F270)*(Adders!H$13:H$101)) + VLOOKUP($H270,Adders!$B$5:$G$8,M$11,FALSE)  +  NJ!$D$2 ) * IF($D270="NJ",1.07,1))/$L$10, CHOOSE($M$10,$L$9,$M$9) )</f>
        <v xml:space="preserve"> 33.29 </v>
      </c>
      <c r="N270" s="174" t="str">
        <f>TEXT(   (SUMPRODUCT( ((LMPMain!$H$9:$H$1000)=$E270)*((LMPMain!$J$9:$J$1000)=$F270)*((LMPMain!$O$9:$O$1000)=$C270)*(LMPMain!T$9:T$1000) ) +  ( SUMPRODUCT( ((Adders!$D$13:$D$101)=$E270)*((Adders!$E$13:$E$101)=$F270)*(Adders!I$13:I$101)) + VLOOKUP($H270,Adders!$B$5:$G$8,N$11,FALSE)  +  NJ!$D$2 ) * IF($D270="NJ",1.07,1))/$L$10, CHOOSE($M$10,$L$9,$M$9) )</f>
        <v xml:space="preserve"> 31.97 </v>
      </c>
      <c r="O270" s="112"/>
    </row>
    <row r="271" spans="2:15" x14ac:dyDescent="0.25">
      <c r="B271" s="108"/>
      <c r="C271" s="135">
        <f t="shared" si="7"/>
        <v>42186</v>
      </c>
      <c r="D271" s="136" t="s">
        <v>39</v>
      </c>
      <c r="E271" s="137" t="s">
        <v>47</v>
      </c>
      <c r="F271" s="136" t="s">
        <v>7</v>
      </c>
      <c r="G271" s="137" t="str">
        <f t="shared" si="8"/>
        <v>General Service</v>
      </c>
      <c r="H271" s="138" t="s">
        <v>690</v>
      </c>
      <c r="I271" s="176" t="str">
        <f>TEXT(   (SUMPRODUCT( ((Main!$H$9:$H$1000)=$E271)*((Main!$J$9:$J$1000)=$F271)*((Main!$O$9:$O$1000)=$C271)*(Main!R$9:R$1000) ) +  ( SUMPRODUCT( ((Adders!$D$13:$D$101)=$E271)*((Adders!$E$13:$E$101)=$F271)*(Adders!G$13:G$101)) + VLOOKUP($H271,Adders!$B$5:$G$8,L$11,FALSE)  +  MD!$D$2 ) * IF($D271="NJ",1.07,1))/$L$10, CHOOSE($M$10,$L$9,$M$9) )</f>
        <v xml:space="preserve"> 73.77 </v>
      </c>
      <c r="J271" s="176" t="str">
        <f>TEXT(   (SUMPRODUCT( ((Main!$H$9:$H$1000)=$E271)*((Main!$J$9:$J$1000)=$F271)*((Main!$O$9:$O$1000)=$C271)*(Main!S$9:S$1000) ) +  ( SUMPRODUCT( ((Adders!$D$13:$D$101)=$E271)*((Adders!$E$13:$E$101)=$F271)*(Adders!H$13:H$101)) + VLOOKUP($H271,Adders!$B$5:$G$8,M$11,FALSE)  +  MD!$D$2 ) * IF($D271="NJ",1.07,1))/$L$10, CHOOSE($M$10,$L$9,$M$9) )</f>
        <v xml:space="preserve"> 71.47 </v>
      </c>
      <c r="K271" s="177" t="str">
        <f>TEXT(   (SUMPRODUCT( ((Main!$H$9:$H$1000)=$E271)*((Main!$J$9:$J$1000)=$F271)*((Main!$O$9:$O$1000)=$C271)*(Main!T$9:T$1000) ) +  ( SUMPRODUCT( ((Adders!$D$13:$D$101)=$E271)*((Adders!$E$13:$E$101)=$F271)*(Adders!I$13:I$101)) + VLOOKUP($H271,Adders!$B$5:$G$8,$N$11,FALSE)  +  MD!$D$2 ) * IF($D271="NJ",1.07,1))/$L$10, CHOOSE($M$10,$L$9,$M$9) )</f>
        <v xml:space="preserve"> 70.81 </v>
      </c>
      <c r="L271" s="176" t="str">
        <f>TEXT(   (SUMPRODUCT( ((LMPMain!$H$9:$H$1000)=$E271)*((LMPMain!$J$9:$J$1000)=$F271)*((LMPMain!$O$9:$O$1000)=$C271)*(LMPMain!R$9:R$1000) ) +  ( SUMPRODUCT( ((Adders!$D$13:$D$101)=$E271)*((Adders!$E$13:$E$101)=$F271)*(Adders!G$13:G$101)) + VLOOKUP($H271,Adders!$B$5:$G$8,L$11,FALSE)  +  NJ!$D$2 ) * IF($D271="NJ",1.07,1))/$L$10, CHOOSE($M$10,$L$9,$M$9) )</f>
        <v xml:space="preserve"> 33.90 </v>
      </c>
      <c r="M271" s="176" t="str">
        <f>TEXT(   (SUMPRODUCT( ((LMPMain!$H$9:$H$1000)=$E271)*((LMPMain!$J$9:$J$1000)=$F271)*((LMPMain!$O$9:$O$1000)=$C271)*(LMPMain!S$9:S$1000) ) +  ( SUMPRODUCT( ((Adders!$D$13:$D$101)=$E271)*((Adders!$E$13:$E$101)=$F271)*(Adders!H$13:H$101)) + VLOOKUP($H271,Adders!$B$5:$G$8,M$11,FALSE)  +  NJ!$D$2 ) * IF($D271="NJ",1.07,1))/$L$10, CHOOSE($M$10,$L$9,$M$9) )</f>
        <v xml:space="preserve"> 32.24 </v>
      </c>
      <c r="N271" s="177" t="str">
        <f>TEXT(   (SUMPRODUCT( ((LMPMain!$H$9:$H$1000)=$E271)*((LMPMain!$J$9:$J$1000)=$F271)*((LMPMain!$O$9:$O$1000)=$C271)*(LMPMain!T$9:T$1000) ) +  ( SUMPRODUCT( ((Adders!$D$13:$D$101)=$E271)*((Adders!$E$13:$E$101)=$F271)*(Adders!I$13:I$101)) + VLOOKUP($H271,Adders!$B$5:$G$8,N$11,FALSE)  +  NJ!$D$2 ) * IF($D271="NJ",1.07,1))/$L$10, CHOOSE($M$10,$L$9,$M$9) )</f>
        <v xml:space="preserve"> 30.92 </v>
      </c>
      <c r="O271" s="112"/>
    </row>
    <row r="272" spans="2:15" x14ac:dyDescent="0.25">
      <c r="B272" s="108"/>
      <c r="C272" s="127">
        <f t="shared" si="7"/>
        <v>42217</v>
      </c>
      <c r="D272" s="128" t="s">
        <v>39</v>
      </c>
      <c r="E272" s="129" t="s">
        <v>47</v>
      </c>
      <c r="F272" s="128" t="s">
        <v>7</v>
      </c>
      <c r="G272" s="129" t="str">
        <f t="shared" si="8"/>
        <v>General Service</v>
      </c>
      <c r="H272" s="130" t="s">
        <v>61</v>
      </c>
      <c r="I272" s="178" t="str">
        <f>TEXT(   (SUMPRODUCT( ((Main!$H$9:$H$1000)=$E272)*((Main!$J$9:$J$1000)=$F272)*((Main!$O$9:$O$1000)=$C272)*(Main!R$9:R$1000) ) +  ( SUMPRODUCT( ((Adders!$D$13:$D$101)=$E272)*((Adders!$E$13:$E$101)=$F272)*(Adders!G$13:G$101)) + VLOOKUP($H272,Adders!$B$5:$G$8,L$11,FALSE)  +  MD!$D$2 ) * IF($D272="NJ",1.07,1))/$L$10, CHOOSE($M$10,$L$9,$M$9) )</f>
        <v xml:space="preserve"> 75.70 </v>
      </c>
      <c r="J272" s="178" t="str">
        <f>TEXT(   (SUMPRODUCT( ((Main!$H$9:$H$1000)=$E272)*((Main!$J$9:$J$1000)=$F272)*((Main!$O$9:$O$1000)=$C272)*(Main!S$9:S$1000) ) +  ( SUMPRODUCT( ((Adders!$D$13:$D$101)=$E272)*((Adders!$E$13:$E$101)=$F272)*(Adders!H$13:H$101)) + VLOOKUP($H272,Adders!$B$5:$G$8,M$11,FALSE)  +  MD!$D$2 ) * IF($D272="NJ",1.07,1))/$L$10, CHOOSE($M$10,$L$9,$M$9) )</f>
        <v xml:space="preserve"> 74.01 </v>
      </c>
      <c r="K272" s="179" t="str">
        <f>TEXT(   (SUMPRODUCT( ((Main!$H$9:$H$1000)=$E272)*((Main!$J$9:$J$1000)=$F272)*((Main!$O$9:$O$1000)=$C272)*(Main!T$9:T$1000) ) +  ( SUMPRODUCT( ((Adders!$D$13:$D$101)=$E272)*((Adders!$E$13:$E$101)=$F272)*(Adders!I$13:I$101)) + VLOOKUP($H272,Adders!$B$5:$G$8,$N$11,FALSE)  +  MD!$D$2 ) * IF($D272="NJ",1.07,1))/$L$10, CHOOSE($M$10,$L$9,$M$9) )</f>
        <v xml:space="preserve"> 73.50 </v>
      </c>
      <c r="L272" s="178" t="str">
        <f>TEXT(   (SUMPRODUCT( ((LMPMain!$H$9:$H$1000)=$E272)*((LMPMain!$J$9:$J$1000)=$F272)*((LMPMain!$O$9:$O$1000)=$C272)*(LMPMain!R$9:R$1000) ) +  ( SUMPRODUCT( ((Adders!$D$13:$D$101)=$E272)*((Adders!$E$13:$E$101)=$F272)*(Adders!G$13:G$101)) + VLOOKUP($H272,Adders!$B$5:$G$8,L$11,FALSE)  +  NJ!$D$2 ) * IF($D272="NJ",1.07,1))/$L$10, CHOOSE($M$10,$L$9,$M$9) )</f>
        <v xml:space="preserve"> 35.98 </v>
      </c>
      <c r="M272" s="178" t="str">
        <f>TEXT(   (SUMPRODUCT( ((LMPMain!$H$9:$H$1000)=$E272)*((LMPMain!$J$9:$J$1000)=$F272)*((LMPMain!$O$9:$O$1000)=$C272)*(LMPMain!S$9:S$1000) ) +  ( SUMPRODUCT( ((Adders!$D$13:$D$101)=$E272)*((Adders!$E$13:$E$101)=$F272)*(Adders!H$13:H$101)) + VLOOKUP($H272,Adders!$B$5:$G$8,M$11,FALSE)  +  NJ!$D$2 ) * IF($D272="NJ",1.07,1))/$L$10, CHOOSE($M$10,$L$9,$M$9) )</f>
        <v xml:space="preserve"> 34.44 </v>
      </c>
      <c r="N272" s="179" t="str">
        <f>TEXT(   (SUMPRODUCT( ((LMPMain!$H$9:$H$1000)=$E272)*((LMPMain!$J$9:$J$1000)=$F272)*((LMPMain!$O$9:$O$1000)=$C272)*(LMPMain!T$9:T$1000) ) +  ( SUMPRODUCT( ((Adders!$D$13:$D$101)=$E272)*((Adders!$E$13:$E$101)=$F272)*(Adders!I$13:I$101)) + VLOOKUP($H272,Adders!$B$5:$G$8,N$11,FALSE)  +  NJ!$D$2 ) * IF($D272="NJ",1.07,1))/$L$10, CHOOSE($M$10,$L$9,$M$9) )</f>
        <v xml:space="preserve"> 33.59 </v>
      </c>
      <c r="O272" s="112"/>
    </row>
    <row r="273" spans="2:15" x14ac:dyDescent="0.25">
      <c r="B273" s="108"/>
      <c r="C273" s="131">
        <f t="shared" si="7"/>
        <v>42217</v>
      </c>
      <c r="D273" s="132" t="s">
        <v>39</v>
      </c>
      <c r="E273" s="133" t="s">
        <v>47</v>
      </c>
      <c r="F273" s="132" t="s">
        <v>7</v>
      </c>
      <c r="G273" s="133" t="str">
        <f t="shared" si="8"/>
        <v>General Service</v>
      </c>
      <c r="H273" s="134" t="s">
        <v>62</v>
      </c>
      <c r="I273" s="173" t="str">
        <f>TEXT(   (SUMPRODUCT( ((Main!$H$9:$H$1000)=$E273)*((Main!$J$9:$J$1000)=$F273)*((Main!$O$9:$O$1000)=$C273)*(Main!R$9:R$1000) ) +  ( SUMPRODUCT( ((Adders!$D$13:$D$101)=$E273)*((Adders!$E$13:$E$101)=$F273)*(Adders!G$13:G$101)) + VLOOKUP($H273,Adders!$B$5:$G$8,L$11,FALSE)  +  MD!$D$2 ) * IF($D273="NJ",1.07,1))/$L$10, CHOOSE($M$10,$L$9,$M$9) )</f>
        <v xml:space="preserve"> 74.10 </v>
      </c>
      <c r="J273" s="173" t="str">
        <f>TEXT(   (SUMPRODUCT( ((Main!$H$9:$H$1000)=$E273)*((Main!$J$9:$J$1000)=$F273)*((Main!$O$9:$O$1000)=$C273)*(Main!S$9:S$1000) ) +  ( SUMPRODUCT( ((Adders!$D$13:$D$101)=$E273)*((Adders!$E$13:$E$101)=$F273)*(Adders!H$13:H$101)) + VLOOKUP($H273,Adders!$B$5:$G$8,M$11,FALSE)  +  MD!$D$2 ) * IF($D273="NJ",1.07,1))/$L$10, CHOOSE($M$10,$L$9,$M$9) )</f>
        <v xml:space="preserve"> 72.41 </v>
      </c>
      <c r="K273" s="174" t="str">
        <f>TEXT(   (SUMPRODUCT( ((Main!$H$9:$H$1000)=$E273)*((Main!$J$9:$J$1000)=$F273)*((Main!$O$9:$O$1000)=$C273)*(Main!T$9:T$1000) ) +  ( SUMPRODUCT( ((Adders!$D$13:$D$101)=$E273)*((Adders!$E$13:$E$101)=$F273)*(Adders!I$13:I$101)) + VLOOKUP($H273,Adders!$B$5:$G$8,$N$11,FALSE)  +  MD!$D$2 ) * IF($D273="NJ",1.07,1))/$L$10, CHOOSE($M$10,$L$9,$M$9) )</f>
        <v xml:space="preserve"> 71.90 </v>
      </c>
      <c r="L273" s="173" t="str">
        <f>TEXT(   (SUMPRODUCT( ((LMPMain!$H$9:$H$1000)=$E273)*((LMPMain!$J$9:$J$1000)=$F273)*((LMPMain!$O$9:$O$1000)=$C273)*(LMPMain!R$9:R$1000) ) +  ( SUMPRODUCT( ((Adders!$D$13:$D$101)=$E273)*((Adders!$E$13:$E$101)=$F273)*(Adders!G$13:G$101)) + VLOOKUP($H273,Adders!$B$5:$G$8,L$11,FALSE)  +  NJ!$D$2 ) * IF($D273="NJ",1.07,1))/$L$10, CHOOSE($M$10,$L$9,$M$9) )</f>
        <v xml:space="preserve"> 34.38 </v>
      </c>
      <c r="M273" s="173" t="str">
        <f>TEXT(   (SUMPRODUCT( ((LMPMain!$H$9:$H$1000)=$E273)*((LMPMain!$J$9:$J$1000)=$F273)*((LMPMain!$O$9:$O$1000)=$C273)*(LMPMain!S$9:S$1000) ) +  ( SUMPRODUCT( ((Adders!$D$13:$D$101)=$E273)*((Adders!$E$13:$E$101)=$F273)*(Adders!H$13:H$101)) + VLOOKUP($H273,Adders!$B$5:$G$8,M$11,FALSE)  +  NJ!$D$2 ) * IF($D273="NJ",1.07,1))/$L$10, CHOOSE($M$10,$L$9,$M$9) )</f>
        <v xml:space="preserve"> 32.84 </v>
      </c>
      <c r="N273" s="174" t="str">
        <f>TEXT(   (SUMPRODUCT( ((LMPMain!$H$9:$H$1000)=$E273)*((LMPMain!$J$9:$J$1000)=$F273)*((LMPMain!$O$9:$O$1000)=$C273)*(LMPMain!T$9:T$1000) ) +  ( SUMPRODUCT( ((Adders!$D$13:$D$101)=$E273)*((Adders!$E$13:$E$101)=$F273)*(Adders!I$13:I$101)) + VLOOKUP($H273,Adders!$B$5:$G$8,N$11,FALSE)  +  NJ!$D$2 ) * IF($D273="NJ",1.07,1))/$L$10, CHOOSE($M$10,$L$9,$M$9) )</f>
        <v xml:space="preserve"> 31.99 </v>
      </c>
      <c r="O273" s="112"/>
    </row>
    <row r="274" spans="2:15" x14ac:dyDescent="0.25">
      <c r="B274" s="108"/>
      <c r="C274" s="135">
        <f t="shared" si="7"/>
        <v>42217</v>
      </c>
      <c r="D274" s="136" t="s">
        <v>39</v>
      </c>
      <c r="E274" s="137" t="s">
        <v>47</v>
      </c>
      <c r="F274" s="136" t="s">
        <v>7</v>
      </c>
      <c r="G274" s="137" t="str">
        <f t="shared" si="8"/>
        <v>General Service</v>
      </c>
      <c r="H274" s="138" t="s">
        <v>690</v>
      </c>
      <c r="I274" s="176" t="str">
        <f>TEXT(   (SUMPRODUCT( ((Main!$H$9:$H$1000)=$E274)*((Main!$J$9:$J$1000)=$F274)*((Main!$O$9:$O$1000)=$C274)*(Main!R$9:R$1000) ) +  ( SUMPRODUCT( ((Adders!$D$13:$D$101)=$E274)*((Adders!$E$13:$E$101)=$F274)*(Adders!G$13:G$101)) + VLOOKUP($H274,Adders!$B$5:$G$8,L$11,FALSE)  +  MD!$D$2 ) * IF($D274="NJ",1.07,1))/$L$10, CHOOSE($M$10,$L$9,$M$9) )</f>
        <v xml:space="preserve"> 73.05 </v>
      </c>
      <c r="J274" s="176" t="str">
        <f>TEXT(   (SUMPRODUCT( ((Main!$H$9:$H$1000)=$E274)*((Main!$J$9:$J$1000)=$F274)*((Main!$O$9:$O$1000)=$C274)*(Main!S$9:S$1000) ) +  ( SUMPRODUCT( ((Adders!$D$13:$D$101)=$E274)*((Adders!$E$13:$E$101)=$F274)*(Adders!H$13:H$101)) + VLOOKUP($H274,Adders!$B$5:$G$8,M$11,FALSE)  +  MD!$D$2 ) * IF($D274="NJ",1.07,1))/$L$10, CHOOSE($M$10,$L$9,$M$9) )</f>
        <v xml:space="preserve"> 71.36 </v>
      </c>
      <c r="K274" s="177" t="str">
        <f>TEXT(   (SUMPRODUCT( ((Main!$H$9:$H$1000)=$E274)*((Main!$J$9:$J$1000)=$F274)*((Main!$O$9:$O$1000)=$C274)*(Main!T$9:T$1000) ) +  ( SUMPRODUCT( ((Adders!$D$13:$D$101)=$E274)*((Adders!$E$13:$E$101)=$F274)*(Adders!I$13:I$101)) + VLOOKUP($H274,Adders!$B$5:$G$8,$N$11,FALSE)  +  MD!$D$2 ) * IF($D274="NJ",1.07,1))/$L$10, CHOOSE($M$10,$L$9,$M$9) )</f>
        <v xml:space="preserve"> 70.85 </v>
      </c>
      <c r="L274" s="176" t="str">
        <f>TEXT(   (SUMPRODUCT( ((LMPMain!$H$9:$H$1000)=$E274)*((LMPMain!$J$9:$J$1000)=$F274)*((LMPMain!$O$9:$O$1000)=$C274)*(LMPMain!R$9:R$1000) ) +  ( SUMPRODUCT( ((Adders!$D$13:$D$101)=$E274)*((Adders!$E$13:$E$101)=$F274)*(Adders!G$13:G$101)) + VLOOKUP($H274,Adders!$B$5:$G$8,L$11,FALSE)  +  NJ!$D$2 ) * IF($D274="NJ",1.07,1))/$L$10, CHOOSE($M$10,$L$9,$M$9) )</f>
        <v xml:space="preserve"> 33.33 </v>
      </c>
      <c r="M274" s="176" t="str">
        <f>TEXT(   (SUMPRODUCT( ((LMPMain!$H$9:$H$1000)=$E274)*((LMPMain!$J$9:$J$1000)=$F274)*((LMPMain!$O$9:$O$1000)=$C274)*(LMPMain!S$9:S$1000) ) +  ( SUMPRODUCT( ((Adders!$D$13:$D$101)=$E274)*((Adders!$E$13:$E$101)=$F274)*(Adders!H$13:H$101)) + VLOOKUP($H274,Adders!$B$5:$G$8,M$11,FALSE)  +  NJ!$D$2 ) * IF($D274="NJ",1.07,1))/$L$10, CHOOSE($M$10,$L$9,$M$9) )</f>
        <v xml:space="preserve"> 31.79 </v>
      </c>
      <c r="N274" s="177" t="str">
        <f>TEXT(   (SUMPRODUCT( ((LMPMain!$H$9:$H$1000)=$E274)*((LMPMain!$J$9:$J$1000)=$F274)*((LMPMain!$O$9:$O$1000)=$C274)*(LMPMain!T$9:T$1000) ) +  ( SUMPRODUCT( ((Adders!$D$13:$D$101)=$E274)*((Adders!$E$13:$E$101)=$F274)*(Adders!I$13:I$101)) + VLOOKUP($H274,Adders!$B$5:$G$8,N$11,FALSE)  +  NJ!$D$2 ) * IF($D274="NJ",1.07,1))/$L$10, CHOOSE($M$10,$L$9,$M$9) )</f>
        <v xml:space="preserve"> 30.94 </v>
      </c>
      <c r="O274" s="112"/>
    </row>
    <row r="275" spans="2:15" x14ac:dyDescent="0.25">
      <c r="B275" s="108"/>
      <c r="C275" s="127">
        <f t="shared" si="7"/>
        <v>42248</v>
      </c>
      <c r="D275" s="128" t="s">
        <v>39</v>
      </c>
      <c r="E275" s="129" t="s">
        <v>47</v>
      </c>
      <c r="F275" s="128" t="s">
        <v>7</v>
      </c>
      <c r="G275" s="129" t="str">
        <f t="shared" si="8"/>
        <v>General Service</v>
      </c>
      <c r="H275" s="130" t="s">
        <v>61</v>
      </c>
      <c r="I275" s="178" t="str">
        <f>TEXT(   (SUMPRODUCT( ((Main!$H$9:$H$1000)=$E275)*((Main!$J$9:$J$1000)=$F275)*((Main!$O$9:$O$1000)=$C275)*(Main!R$9:R$1000) ) +  ( SUMPRODUCT( ((Adders!$D$13:$D$101)=$E275)*((Adders!$E$13:$E$101)=$F275)*(Adders!G$13:G$101)) + VLOOKUP($H275,Adders!$B$5:$G$8,L$11,FALSE)  +  MD!$D$2 ) * IF($D275="NJ",1.07,1))/$L$10, CHOOSE($M$10,$L$9,$M$9) )</f>
        <v xml:space="preserve"> 75.16 </v>
      </c>
      <c r="J275" s="178" t="str">
        <f>TEXT(   (SUMPRODUCT( ((Main!$H$9:$H$1000)=$E275)*((Main!$J$9:$J$1000)=$F275)*((Main!$O$9:$O$1000)=$C275)*(Main!S$9:S$1000) ) +  ( SUMPRODUCT( ((Adders!$D$13:$D$101)=$E275)*((Adders!$E$13:$E$101)=$F275)*(Adders!H$13:H$101)) + VLOOKUP($H275,Adders!$B$5:$G$8,M$11,FALSE)  +  MD!$D$2 ) * IF($D275="NJ",1.07,1))/$L$10, CHOOSE($M$10,$L$9,$M$9) )</f>
        <v xml:space="preserve"> 73.88 </v>
      </c>
      <c r="K275" s="179" t="str">
        <f>TEXT(   (SUMPRODUCT( ((Main!$H$9:$H$1000)=$E275)*((Main!$J$9:$J$1000)=$F275)*((Main!$O$9:$O$1000)=$C275)*(Main!T$9:T$1000) ) +  ( SUMPRODUCT( ((Adders!$D$13:$D$101)=$E275)*((Adders!$E$13:$E$101)=$F275)*(Adders!I$13:I$101)) + VLOOKUP($H275,Adders!$B$5:$G$8,$N$11,FALSE)  +  MD!$D$2 ) * IF($D275="NJ",1.07,1))/$L$10, CHOOSE($M$10,$L$9,$M$9) )</f>
        <v xml:space="preserve"> 73.62 </v>
      </c>
      <c r="L275" s="178" t="str">
        <f>TEXT(   (SUMPRODUCT( ((LMPMain!$H$9:$H$1000)=$E275)*((LMPMain!$J$9:$J$1000)=$F275)*((LMPMain!$O$9:$O$1000)=$C275)*(LMPMain!R$9:R$1000) ) +  ( SUMPRODUCT( ((Adders!$D$13:$D$101)=$E275)*((Adders!$E$13:$E$101)=$F275)*(Adders!G$13:G$101)) + VLOOKUP($H275,Adders!$B$5:$G$8,L$11,FALSE)  +  NJ!$D$2 ) * IF($D275="NJ",1.07,1))/$L$10, CHOOSE($M$10,$L$9,$M$9) )</f>
        <v xml:space="preserve"> 35.37 </v>
      </c>
      <c r="M275" s="178" t="str">
        <f>TEXT(   (SUMPRODUCT( ((LMPMain!$H$9:$H$1000)=$E275)*((LMPMain!$J$9:$J$1000)=$F275)*((LMPMain!$O$9:$O$1000)=$C275)*(LMPMain!S$9:S$1000) ) +  ( SUMPRODUCT( ((Adders!$D$13:$D$101)=$E275)*((Adders!$E$13:$E$101)=$F275)*(Adders!H$13:H$101)) + VLOOKUP($H275,Adders!$B$5:$G$8,M$11,FALSE)  +  NJ!$D$2 ) * IF($D275="NJ",1.07,1))/$L$10, CHOOSE($M$10,$L$9,$M$9) )</f>
        <v xml:space="preserve"> 33.98 </v>
      </c>
      <c r="N275" s="179" t="str">
        <f>TEXT(   (SUMPRODUCT( ((LMPMain!$H$9:$H$1000)=$E275)*((LMPMain!$J$9:$J$1000)=$F275)*((LMPMain!$O$9:$O$1000)=$C275)*(LMPMain!T$9:T$1000) ) +  ( SUMPRODUCT( ((Adders!$D$13:$D$101)=$E275)*((Adders!$E$13:$E$101)=$F275)*(Adders!I$13:I$101)) + VLOOKUP($H275,Adders!$B$5:$G$8,N$11,FALSE)  +  NJ!$D$2 ) * IF($D275="NJ",1.07,1))/$L$10, CHOOSE($M$10,$L$9,$M$9) )</f>
        <v xml:space="preserve"> 33.59 </v>
      </c>
      <c r="O275" s="112"/>
    </row>
    <row r="276" spans="2:15" x14ac:dyDescent="0.25">
      <c r="B276" s="108"/>
      <c r="C276" s="131">
        <f t="shared" si="7"/>
        <v>42248</v>
      </c>
      <c r="D276" s="132" t="s">
        <v>39</v>
      </c>
      <c r="E276" s="133" t="s">
        <v>47</v>
      </c>
      <c r="F276" s="132" t="s">
        <v>7</v>
      </c>
      <c r="G276" s="133" t="str">
        <f t="shared" si="8"/>
        <v>General Service</v>
      </c>
      <c r="H276" s="134" t="s">
        <v>62</v>
      </c>
      <c r="I276" s="173" t="str">
        <f>TEXT(   (SUMPRODUCT( ((Main!$H$9:$H$1000)=$E276)*((Main!$J$9:$J$1000)=$F276)*((Main!$O$9:$O$1000)=$C276)*(Main!R$9:R$1000) ) +  ( SUMPRODUCT( ((Adders!$D$13:$D$101)=$E276)*((Adders!$E$13:$E$101)=$F276)*(Adders!G$13:G$101)) + VLOOKUP($H276,Adders!$B$5:$G$8,L$11,FALSE)  +  MD!$D$2 ) * IF($D276="NJ",1.07,1))/$L$10, CHOOSE($M$10,$L$9,$M$9) )</f>
        <v xml:space="preserve"> 73.56 </v>
      </c>
      <c r="J276" s="173" t="str">
        <f>TEXT(   (SUMPRODUCT( ((Main!$H$9:$H$1000)=$E276)*((Main!$J$9:$J$1000)=$F276)*((Main!$O$9:$O$1000)=$C276)*(Main!S$9:S$1000) ) +  ( SUMPRODUCT( ((Adders!$D$13:$D$101)=$E276)*((Adders!$E$13:$E$101)=$F276)*(Adders!H$13:H$101)) + VLOOKUP($H276,Adders!$B$5:$G$8,M$11,FALSE)  +  MD!$D$2 ) * IF($D276="NJ",1.07,1))/$L$10, CHOOSE($M$10,$L$9,$M$9) )</f>
        <v xml:space="preserve"> 72.28 </v>
      </c>
      <c r="K276" s="174" t="str">
        <f>TEXT(   (SUMPRODUCT( ((Main!$H$9:$H$1000)=$E276)*((Main!$J$9:$J$1000)=$F276)*((Main!$O$9:$O$1000)=$C276)*(Main!T$9:T$1000) ) +  ( SUMPRODUCT( ((Adders!$D$13:$D$101)=$E276)*((Adders!$E$13:$E$101)=$F276)*(Adders!I$13:I$101)) + VLOOKUP($H276,Adders!$B$5:$G$8,$N$11,FALSE)  +  MD!$D$2 ) * IF($D276="NJ",1.07,1))/$L$10, CHOOSE($M$10,$L$9,$M$9) )</f>
        <v xml:space="preserve"> 72.02 </v>
      </c>
      <c r="L276" s="173" t="str">
        <f>TEXT(   (SUMPRODUCT( ((LMPMain!$H$9:$H$1000)=$E276)*((LMPMain!$J$9:$J$1000)=$F276)*((LMPMain!$O$9:$O$1000)=$C276)*(LMPMain!R$9:R$1000) ) +  ( SUMPRODUCT( ((Adders!$D$13:$D$101)=$E276)*((Adders!$E$13:$E$101)=$F276)*(Adders!G$13:G$101)) + VLOOKUP($H276,Adders!$B$5:$G$8,L$11,FALSE)  +  NJ!$D$2 ) * IF($D276="NJ",1.07,1))/$L$10, CHOOSE($M$10,$L$9,$M$9) )</f>
        <v xml:space="preserve"> 33.77 </v>
      </c>
      <c r="M276" s="173" t="str">
        <f>TEXT(   (SUMPRODUCT( ((LMPMain!$H$9:$H$1000)=$E276)*((LMPMain!$J$9:$J$1000)=$F276)*((LMPMain!$O$9:$O$1000)=$C276)*(LMPMain!S$9:S$1000) ) +  ( SUMPRODUCT( ((Adders!$D$13:$D$101)=$E276)*((Adders!$E$13:$E$101)=$F276)*(Adders!H$13:H$101)) + VLOOKUP($H276,Adders!$B$5:$G$8,M$11,FALSE)  +  NJ!$D$2 ) * IF($D276="NJ",1.07,1))/$L$10, CHOOSE($M$10,$L$9,$M$9) )</f>
        <v xml:space="preserve"> 32.38 </v>
      </c>
      <c r="N276" s="174" t="str">
        <f>TEXT(   (SUMPRODUCT( ((LMPMain!$H$9:$H$1000)=$E276)*((LMPMain!$J$9:$J$1000)=$F276)*((LMPMain!$O$9:$O$1000)=$C276)*(LMPMain!T$9:T$1000) ) +  ( SUMPRODUCT( ((Adders!$D$13:$D$101)=$E276)*((Adders!$E$13:$E$101)=$F276)*(Adders!I$13:I$101)) + VLOOKUP($H276,Adders!$B$5:$G$8,N$11,FALSE)  +  NJ!$D$2 ) * IF($D276="NJ",1.07,1))/$L$10, CHOOSE($M$10,$L$9,$M$9) )</f>
        <v xml:space="preserve"> 31.99 </v>
      </c>
      <c r="O276" s="112"/>
    </row>
    <row r="277" spans="2:15" x14ac:dyDescent="0.25">
      <c r="B277" s="108"/>
      <c r="C277" s="135">
        <f t="shared" si="7"/>
        <v>42248</v>
      </c>
      <c r="D277" s="136" t="s">
        <v>39</v>
      </c>
      <c r="E277" s="137" t="s">
        <v>47</v>
      </c>
      <c r="F277" s="136" t="s">
        <v>7</v>
      </c>
      <c r="G277" s="137" t="str">
        <f t="shared" si="8"/>
        <v>General Service</v>
      </c>
      <c r="H277" s="138" t="s">
        <v>690</v>
      </c>
      <c r="I277" s="176" t="str">
        <f>TEXT(   (SUMPRODUCT( ((Main!$H$9:$H$1000)=$E277)*((Main!$J$9:$J$1000)=$F277)*((Main!$O$9:$O$1000)=$C277)*(Main!R$9:R$1000) ) +  ( SUMPRODUCT( ((Adders!$D$13:$D$101)=$E277)*((Adders!$E$13:$E$101)=$F277)*(Adders!G$13:G$101)) + VLOOKUP($H277,Adders!$B$5:$G$8,L$11,FALSE)  +  MD!$D$2 ) * IF($D277="NJ",1.07,1))/$L$10, CHOOSE($M$10,$L$9,$M$9) )</f>
        <v xml:space="preserve"> 72.51 </v>
      </c>
      <c r="J277" s="176" t="str">
        <f>TEXT(   (SUMPRODUCT( ((Main!$H$9:$H$1000)=$E277)*((Main!$J$9:$J$1000)=$F277)*((Main!$O$9:$O$1000)=$C277)*(Main!S$9:S$1000) ) +  ( SUMPRODUCT( ((Adders!$D$13:$D$101)=$E277)*((Adders!$E$13:$E$101)=$F277)*(Adders!H$13:H$101)) + VLOOKUP($H277,Adders!$B$5:$G$8,M$11,FALSE)  +  MD!$D$2 ) * IF($D277="NJ",1.07,1))/$L$10, CHOOSE($M$10,$L$9,$M$9) )</f>
        <v xml:space="preserve"> 71.23 </v>
      </c>
      <c r="K277" s="177" t="str">
        <f>TEXT(   (SUMPRODUCT( ((Main!$H$9:$H$1000)=$E277)*((Main!$J$9:$J$1000)=$F277)*((Main!$O$9:$O$1000)=$C277)*(Main!T$9:T$1000) ) +  ( SUMPRODUCT( ((Adders!$D$13:$D$101)=$E277)*((Adders!$E$13:$E$101)=$F277)*(Adders!I$13:I$101)) + VLOOKUP($H277,Adders!$B$5:$G$8,$N$11,FALSE)  +  MD!$D$2 ) * IF($D277="NJ",1.07,1))/$L$10, CHOOSE($M$10,$L$9,$M$9) )</f>
        <v xml:space="preserve"> 70.97 </v>
      </c>
      <c r="L277" s="176" t="str">
        <f>TEXT(   (SUMPRODUCT( ((LMPMain!$H$9:$H$1000)=$E277)*((LMPMain!$J$9:$J$1000)=$F277)*((LMPMain!$O$9:$O$1000)=$C277)*(LMPMain!R$9:R$1000) ) +  ( SUMPRODUCT( ((Adders!$D$13:$D$101)=$E277)*((Adders!$E$13:$E$101)=$F277)*(Adders!G$13:G$101)) + VLOOKUP($H277,Adders!$B$5:$G$8,L$11,FALSE)  +  NJ!$D$2 ) * IF($D277="NJ",1.07,1))/$L$10, CHOOSE($M$10,$L$9,$M$9) )</f>
        <v xml:space="preserve"> 32.72 </v>
      </c>
      <c r="M277" s="176" t="str">
        <f>TEXT(   (SUMPRODUCT( ((LMPMain!$H$9:$H$1000)=$E277)*((LMPMain!$J$9:$J$1000)=$F277)*((LMPMain!$O$9:$O$1000)=$C277)*(LMPMain!S$9:S$1000) ) +  ( SUMPRODUCT( ((Adders!$D$13:$D$101)=$E277)*((Adders!$E$13:$E$101)=$F277)*(Adders!H$13:H$101)) + VLOOKUP($H277,Adders!$B$5:$G$8,M$11,FALSE)  +  NJ!$D$2 ) * IF($D277="NJ",1.07,1))/$L$10, CHOOSE($M$10,$L$9,$M$9) )</f>
        <v xml:space="preserve"> 31.33 </v>
      </c>
      <c r="N277" s="177" t="str">
        <f>TEXT(   (SUMPRODUCT( ((LMPMain!$H$9:$H$1000)=$E277)*((LMPMain!$J$9:$J$1000)=$F277)*((LMPMain!$O$9:$O$1000)=$C277)*(LMPMain!T$9:T$1000) ) +  ( SUMPRODUCT( ((Adders!$D$13:$D$101)=$E277)*((Adders!$E$13:$E$101)=$F277)*(Adders!I$13:I$101)) + VLOOKUP($H277,Adders!$B$5:$G$8,N$11,FALSE)  +  NJ!$D$2 ) * IF($D277="NJ",1.07,1))/$L$10, CHOOSE($M$10,$L$9,$M$9) )</f>
        <v xml:space="preserve"> 30.94 </v>
      </c>
      <c r="O277" s="112"/>
    </row>
    <row r="278" spans="2:15" x14ac:dyDescent="0.25">
      <c r="B278" s="108"/>
      <c r="C278" s="127">
        <f t="shared" si="7"/>
        <v>42278</v>
      </c>
      <c r="D278" s="128" t="s">
        <v>39</v>
      </c>
      <c r="E278" s="129" t="s">
        <v>47</v>
      </c>
      <c r="F278" s="128" t="s">
        <v>7</v>
      </c>
      <c r="G278" s="129" t="str">
        <f t="shared" si="8"/>
        <v>General Service</v>
      </c>
      <c r="H278" s="130" t="s">
        <v>61</v>
      </c>
      <c r="I278" s="178" t="str">
        <f>TEXT(   (SUMPRODUCT( ((Main!$H$9:$H$1000)=$E278)*((Main!$J$9:$J$1000)=$F278)*((Main!$O$9:$O$1000)=$C278)*(Main!R$9:R$1000) ) +  ( SUMPRODUCT( ((Adders!$D$13:$D$101)=$E278)*((Adders!$E$13:$E$101)=$F278)*(Adders!G$13:G$101)) + VLOOKUP($H278,Adders!$B$5:$G$8,L$11,FALSE)  +  MD!$D$2 ) * IF($D278="NJ",1.07,1))/$L$10, CHOOSE($M$10,$L$9,$M$9) )</f>
        <v xml:space="preserve"> 74.54 </v>
      </c>
      <c r="J278" s="178" t="str">
        <f>TEXT(   (SUMPRODUCT( ((Main!$H$9:$H$1000)=$E278)*((Main!$J$9:$J$1000)=$F278)*((Main!$O$9:$O$1000)=$C278)*(Main!S$9:S$1000) ) +  ( SUMPRODUCT( ((Adders!$D$13:$D$101)=$E278)*((Adders!$E$13:$E$101)=$F278)*(Adders!H$13:H$101)) + VLOOKUP($H278,Adders!$B$5:$G$8,M$11,FALSE)  +  MD!$D$2 ) * IF($D278="NJ",1.07,1))/$L$10, CHOOSE($M$10,$L$9,$M$9) )</f>
        <v xml:space="preserve"> 73.52 </v>
      </c>
      <c r="K278" s="179" t="str">
        <f>TEXT(   (SUMPRODUCT( ((Main!$H$9:$H$1000)=$E278)*((Main!$J$9:$J$1000)=$F278)*((Main!$O$9:$O$1000)=$C278)*(Main!T$9:T$1000) ) +  ( SUMPRODUCT( ((Adders!$D$13:$D$101)=$E278)*((Adders!$E$13:$E$101)=$F278)*(Adders!I$13:I$101)) + VLOOKUP($H278,Adders!$B$5:$G$8,$N$11,FALSE)  +  MD!$D$2 ) * IF($D278="NJ",1.07,1))/$L$10, CHOOSE($M$10,$L$9,$M$9) )</f>
        <v xml:space="preserve"> 73.61 </v>
      </c>
      <c r="L278" s="178" t="str">
        <f>TEXT(   (SUMPRODUCT( ((LMPMain!$H$9:$H$1000)=$E278)*((LMPMain!$J$9:$J$1000)=$F278)*((LMPMain!$O$9:$O$1000)=$C278)*(LMPMain!R$9:R$1000) ) +  ( SUMPRODUCT( ((Adders!$D$13:$D$101)=$E278)*((Adders!$E$13:$E$101)=$F278)*(Adders!G$13:G$101)) + VLOOKUP($H278,Adders!$B$5:$G$8,L$11,FALSE)  +  NJ!$D$2 ) * IF($D278="NJ",1.07,1))/$L$10, CHOOSE($M$10,$L$9,$M$9) )</f>
        <v xml:space="preserve"> 34.80 </v>
      </c>
      <c r="M278" s="178" t="str">
        <f>TEXT(   (SUMPRODUCT( ((LMPMain!$H$9:$H$1000)=$E278)*((LMPMain!$J$9:$J$1000)=$F278)*((LMPMain!$O$9:$O$1000)=$C278)*(LMPMain!S$9:S$1000) ) +  ( SUMPRODUCT( ((Adders!$D$13:$D$101)=$E278)*((Adders!$E$13:$E$101)=$F278)*(Adders!H$13:H$101)) + VLOOKUP($H278,Adders!$B$5:$G$8,M$11,FALSE)  +  NJ!$D$2 ) * IF($D278="NJ",1.07,1))/$L$10, CHOOSE($M$10,$L$9,$M$9) )</f>
        <v xml:space="preserve"> 33.33 </v>
      </c>
      <c r="N278" s="179" t="str">
        <f>TEXT(   (SUMPRODUCT( ((LMPMain!$H$9:$H$1000)=$E278)*((LMPMain!$J$9:$J$1000)=$F278)*((LMPMain!$O$9:$O$1000)=$C278)*(LMPMain!T$9:T$1000) ) +  ( SUMPRODUCT( ((Adders!$D$13:$D$101)=$E278)*((Adders!$E$13:$E$101)=$F278)*(Adders!I$13:I$101)) + VLOOKUP($H278,Adders!$B$5:$G$8,N$11,FALSE)  +  NJ!$D$2 ) * IF($D278="NJ",1.07,1))/$L$10, CHOOSE($M$10,$L$9,$M$9) )</f>
        <v xml:space="preserve"> 33.60 </v>
      </c>
      <c r="O278" s="112"/>
    </row>
    <row r="279" spans="2:15" x14ac:dyDescent="0.25">
      <c r="B279" s="108"/>
      <c r="C279" s="131">
        <f t="shared" si="7"/>
        <v>42278</v>
      </c>
      <c r="D279" s="132" t="s">
        <v>39</v>
      </c>
      <c r="E279" s="133" t="s">
        <v>47</v>
      </c>
      <c r="F279" s="132" t="s">
        <v>7</v>
      </c>
      <c r="G279" s="133" t="str">
        <f t="shared" si="8"/>
        <v>General Service</v>
      </c>
      <c r="H279" s="134" t="s">
        <v>62</v>
      </c>
      <c r="I279" s="173" t="str">
        <f>TEXT(   (SUMPRODUCT( ((Main!$H$9:$H$1000)=$E279)*((Main!$J$9:$J$1000)=$F279)*((Main!$O$9:$O$1000)=$C279)*(Main!R$9:R$1000) ) +  ( SUMPRODUCT( ((Adders!$D$13:$D$101)=$E279)*((Adders!$E$13:$E$101)=$F279)*(Adders!G$13:G$101)) + VLOOKUP($H279,Adders!$B$5:$G$8,L$11,FALSE)  +  MD!$D$2 ) * IF($D279="NJ",1.07,1))/$L$10, CHOOSE($M$10,$L$9,$M$9) )</f>
        <v xml:space="preserve"> 72.94 </v>
      </c>
      <c r="J279" s="173" t="str">
        <f>TEXT(   (SUMPRODUCT( ((Main!$H$9:$H$1000)=$E279)*((Main!$J$9:$J$1000)=$F279)*((Main!$O$9:$O$1000)=$C279)*(Main!S$9:S$1000) ) +  ( SUMPRODUCT( ((Adders!$D$13:$D$101)=$E279)*((Adders!$E$13:$E$101)=$F279)*(Adders!H$13:H$101)) + VLOOKUP($H279,Adders!$B$5:$G$8,M$11,FALSE)  +  MD!$D$2 ) * IF($D279="NJ",1.07,1))/$L$10, CHOOSE($M$10,$L$9,$M$9) )</f>
        <v xml:space="preserve"> 71.92 </v>
      </c>
      <c r="K279" s="174" t="str">
        <f>TEXT(   (SUMPRODUCT( ((Main!$H$9:$H$1000)=$E279)*((Main!$J$9:$J$1000)=$F279)*((Main!$O$9:$O$1000)=$C279)*(Main!T$9:T$1000) ) +  ( SUMPRODUCT( ((Adders!$D$13:$D$101)=$E279)*((Adders!$E$13:$E$101)=$F279)*(Adders!I$13:I$101)) + VLOOKUP($H279,Adders!$B$5:$G$8,$N$11,FALSE)  +  MD!$D$2 ) * IF($D279="NJ",1.07,1))/$L$10, CHOOSE($M$10,$L$9,$M$9) )</f>
        <v xml:space="preserve"> 72.01 </v>
      </c>
      <c r="L279" s="173" t="str">
        <f>TEXT(   (SUMPRODUCT( ((LMPMain!$H$9:$H$1000)=$E279)*((LMPMain!$J$9:$J$1000)=$F279)*((LMPMain!$O$9:$O$1000)=$C279)*(LMPMain!R$9:R$1000) ) +  ( SUMPRODUCT( ((Adders!$D$13:$D$101)=$E279)*((Adders!$E$13:$E$101)=$F279)*(Adders!G$13:G$101)) + VLOOKUP($H279,Adders!$B$5:$G$8,L$11,FALSE)  +  NJ!$D$2 ) * IF($D279="NJ",1.07,1))/$L$10, CHOOSE($M$10,$L$9,$M$9) )</f>
        <v xml:space="preserve"> 33.20 </v>
      </c>
      <c r="M279" s="173" t="str">
        <f>TEXT(   (SUMPRODUCT( ((LMPMain!$H$9:$H$1000)=$E279)*((LMPMain!$J$9:$J$1000)=$F279)*((LMPMain!$O$9:$O$1000)=$C279)*(LMPMain!S$9:S$1000) ) +  ( SUMPRODUCT( ((Adders!$D$13:$D$101)=$E279)*((Adders!$E$13:$E$101)=$F279)*(Adders!H$13:H$101)) + VLOOKUP($H279,Adders!$B$5:$G$8,M$11,FALSE)  +  NJ!$D$2 ) * IF($D279="NJ",1.07,1))/$L$10, CHOOSE($M$10,$L$9,$M$9) )</f>
        <v xml:space="preserve"> 31.73 </v>
      </c>
      <c r="N279" s="174" t="str">
        <f>TEXT(   (SUMPRODUCT( ((LMPMain!$H$9:$H$1000)=$E279)*((LMPMain!$J$9:$J$1000)=$F279)*((LMPMain!$O$9:$O$1000)=$C279)*(LMPMain!T$9:T$1000) ) +  ( SUMPRODUCT( ((Adders!$D$13:$D$101)=$E279)*((Adders!$E$13:$E$101)=$F279)*(Adders!I$13:I$101)) + VLOOKUP($H279,Adders!$B$5:$G$8,N$11,FALSE)  +  NJ!$D$2 ) * IF($D279="NJ",1.07,1))/$L$10, CHOOSE($M$10,$L$9,$M$9) )</f>
        <v xml:space="preserve"> 32.00 </v>
      </c>
      <c r="O279" s="112"/>
    </row>
    <row r="280" spans="2:15" x14ac:dyDescent="0.25">
      <c r="B280" s="108"/>
      <c r="C280" s="135">
        <f t="shared" si="7"/>
        <v>42278</v>
      </c>
      <c r="D280" s="136" t="s">
        <v>39</v>
      </c>
      <c r="E280" s="137" t="s">
        <v>47</v>
      </c>
      <c r="F280" s="136" t="s">
        <v>7</v>
      </c>
      <c r="G280" s="137" t="str">
        <f t="shared" si="8"/>
        <v>General Service</v>
      </c>
      <c r="H280" s="138" t="s">
        <v>690</v>
      </c>
      <c r="I280" s="176" t="str">
        <f>TEXT(   (SUMPRODUCT( ((Main!$H$9:$H$1000)=$E280)*((Main!$J$9:$J$1000)=$F280)*((Main!$O$9:$O$1000)=$C280)*(Main!R$9:R$1000) ) +  ( SUMPRODUCT( ((Adders!$D$13:$D$101)=$E280)*((Adders!$E$13:$E$101)=$F280)*(Adders!G$13:G$101)) + VLOOKUP($H280,Adders!$B$5:$G$8,L$11,FALSE)  +  MD!$D$2 ) * IF($D280="NJ",1.07,1))/$L$10, CHOOSE($M$10,$L$9,$M$9) )</f>
        <v xml:space="preserve"> 71.89 </v>
      </c>
      <c r="J280" s="176" t="str">
        <f>TEXT(   (SUMPRODUCT( ((Main!$H$9:$H$1000)=$E280)*((Main!$J$9:$J$1000)=$F280)*((Main!$O$9:$O$1000)=$C280)*(Main!S$9:S$1000) ) +  ( SUMPRODUCT( ((Adders!$D$13:$D$101)=$E280)*((Adders!$E$13:$E$101)=$F280)*(Adders!H$13:H$101)) + VLOOKUP($H280,Adders!$B$5:$G$8,M$11,FALSE)  +  MD!$D$2 ) * IF($D280="NJ",1.07,1))/$L$10, CHOOSE($M$10,$L$9,$M$9) )</f>
        <v xml:space="preserve"> 70.87 </v>
      </c>
      <c r="K280" s="177" t="str">
        <f>TEXT(   (SUMPRODUCT( ((Main!$H$9:$H$1000)=$E280)*((Main!$J$9:$J$1000)=$F280)*((Main!$O$9:$O$1000)=$C280)*(Main!T$9:T$1000) ) +  ( SUMPRODUCT( ((Adders!$D$13:$D$101)=$E280)*((Adders!$E$13:$E$101)=$F280)*(Adders!I$13:I$101)) + VLOOKUP($H280,Adders!$B$5:$G$8,$N$11,FALSE)  +  MD!$D$2 ) * IF($D280="NJ",1.07,1))/$L$10, CHOOSE($M$10,$L$9,$M$9) )</f>
        <v xml:space="preserve"> 70.96 </v>
      </c>
      <c r="L280" s="176" t="str">
        <f>TEXT(   (SUMPRODUCT( ((LMPMain!$H$9:$H$1000)=$E280)*((LMPMain!$J$9:$J$1000)=$F280)*((LMPMain!$O$9:$O$1000)=$C280)*(LMPMain!R$9:R$1000) ) +  ( SUMPRODUCT( ((Adders!$D$13:$D$101)=$E280)*((Adders!$E$13:$E$101)=$F280)*(Adders!G$13:G$101)) + VLOOKUP($H280,Adders!$B$5:$G$8,L$11,FALSE)  +  NJ!$D$2 ) * IF($D280="NJ",1.07,1))/$L$10, CHOOSE($M$10,$L$9,$M$9) )</f>
        <v xml:space="preserve"> 32.15 </v>
      </c>
      <c r="M280" s="176" t="str">
        <f>TEXT(   (SUMPRODUCT( ((LMPMain!$H$9:$H$1000)=$E280)*((LMPMain!$J$9:$J$1000)=$F280)*((LMPMain!$O$9:$O$1000)=$C280)*(LMPMain!S$9:S$1000) ) +  ( SUMPRODUCT( ((Adders!$D$13:$D$101)=$E280)*((Adders!$E$13:$E$101)=$F280)*(Adders!H$13:H$101)) + VLOOKUP($H280,Adders!$B$5:$G$8,M$11,FALSE)  +  NJ!$D$2 ) * IF($D280="NJ",1.07,1))/$L$10, CHOOSE($M$10,$L$9,$M$9) )</f>
        <v xml:space="preserve"> 30.68 </v>
      </c>
      <c r="N280" s="177" t="str">
        <f>TEXT(   (SUMPRODUCT( ((LMPMain!$H$9:$H$1000)=$E280)*((LMPMain!$J$9:$J$1000)=$F280)*((LMPMain!$O$9:$O$1000)=$C280)*(LMPMain!T$9:T$1000) ) +  ( SUMPRODUCT( ((Adders!$D$13:$D$101)=$E280)*((Adders!$E$13:$E$101)=$F280)*(Adders!I$13:I$101)) + VLOOKUP($H280,Adders!$B$5:$G$8,N$11,FALSE)  +  NJ!$D$2 ) * IF($D280="NJ",1.07,1))/$L$10, CHOOSE($M$10,$L$9,$M$9) )</f>
        <v xml:space="preserve"> 30.95 </v>
      </c>
      <c r="O280" s="112"/>
    </row>
    <row r="281" spans="2:15" x14ac:dyDescent="0.25">
      <c r="B281" s="108"/>
      <c r="C281" s="127">
        <f t="shared" si="7"/>
        <v>42309</v>
      </c>
      <c r="D281" s="128" t="s">
        <v>39</v>
      </c>
      <c r="E281" s="129" t="s">
        <v>47</v>
      </c>
      <c r="F281" s="128" t="s">
        <v>7</v>
      </c>
      <c r="G281" s="129" t="str">
        <f t="shared" si="8"/>
        <v>General Service</v>
      </c>
      <c r="H281" s="130" t="s">
        <v>61</v>
      </c>
      <c r="I281" s="178" t="str">
        <f>TEXT(   (SUMPRODUCT( ((Main!$H$9:$H$1000)=$E281)*((Main!$J$9:$J$1000)=$F281)*((Main!$O$9:$O$1000)=$C281)*(Main!R$9:R$1000) ) +  ( SUMPRODUCT( ((Adders!$D$13:$D$101)=$E281)*((Adders!$E$13:$E$101)=$F281)*(Adders!G$13:G$101)) + VLOOKUP($H281,Adders!$B$5:$G$8,L$11,FALSE)  +  MD!$D$2 ) * IF($D281="NJ",1.07,1))/$L$10, CHOOSE($M$10,$L$9,$M$9) )</f>
        <v xml:space="preserve"> 73.92 </v>
      </c>
      <c r="J281" s="178" t="str">
        <f>TEXT(   (SUMPRODUCT( ((Main!$H$9:$H$1000)=$E281)*((Main!$J$9:$J$1000)=$F281)*((Main!$O$9:$O$1000)=$C281)*(Main!S$9:S$1000) ) +  ( SUMPRODUCT( ((Adders!$D$13:$D$101)=$E281)*((Adders!$E$13:$E$101)=$F281)*(Adders!H$13:H$101)) + VLOOKUP($H281,Adders!$B$5:$G$8,M$11,FALSE)  +  MD!$D$2 ) * IF($D281="NJ",1.07,1))/$L$10, CHOOSE($M$10,$L$9,$M$9) )</f>
        <v xml:space="preserve"> 72.80 </v>
      </c>
      <c r="K281" s="179" t="str">
        <f>TEXT(   (SUMPRODUCT( ((Main!$H$9:$H$1000)=$E281)*((Main!$J$9:$J$1000)=$F281)*((Main!$O$9:$O$1000)=$C281)*(Main!T$9:T$1000) ) +  ( SUMPRODUCT( ((Adders!$D$13:$D$101)=$E281)*((Adders!$E$13:$E$101)=$F281)*(Adders!I$13:I$101)) + VLOOKUP($H281,Adders!$B$5:$G$8,$N$11,FALSE)  +  MD!$D$2 ) * IF($D281="NJ",1.07,1))/$L$10, CHOOSE($M$10,$L$9,$M$9) )</f>
        <v xml:space="preserve"> 73.63 </v>
      </c>
      <c r="L281" s="178" t="str">
        <f>TEXT(   (SUMPRODUCT( ((LMPMain!$H$9:$H$1000)=$E281)*((LMPMain!$J$9:$J$1000)=$F281)*((LMPMain!$O$9:$O$1000)=$C281)*(LMPMain!R$9:R$1000) ) +  ( SUMPRODUCT( ((Adders!$D$13:$D$101)=$E281)*((Adders!$E$13:$E$101)=$F281)*(Adders!G$13:G$101)) + VLOOKUP($H281,Adders!$B$5:$G$8,L$11,FALSE)  +  NJ!$D$2 ) * IF($D281="NJ",1.07,1))/$L$10, CHOOSE($M$10,$L$9,$M$9) )</f>
        <v xml:space="preserve"> 34.21 </v>
      </c>
      <c r="M281" s="178" t="str">
        <f>TEXT(   (SUMPRODUCT( ((LMPMain!$H$9:$H$1000)=$E281)*((LMPMain!$J$9:$J$1000)=$F281)*((LMPMain!$O$9:$O$1000)=$C281)*(LMPMain!S$9:S$1000) ) +  ( SUMPRODUCT( ((Adders!$D$13:$D$101)=$E281)*((Adders!$E$13:$E$101)=$F281)*(Adders!H$13:H$101)) + VLOOKUP($H281,Adders!$B$5:$G$8,M$11,FALSE)  +  NJ!$D$2 ) * IF($D281="NJ",1.07,1))/$L$10, CHOOSE($M$10,$L$9,$M$9) )</f>
        <v xml:space="preserve"> 32.63 </v>
      </c>
      <c r="N281" s="179" t="str">
        <f>TEXT(   (SUMPRODUCT( ((LMPMain!$H$9:$H$1000)=$E281)*((LMPMain!$J$9:$J$1000)=$F281)*((LMPMain!$O$9:$O$1000)=$C281)*(LMPMain!T$9:T$1000) ) +  ( SUMPRODUCT( ((Adders!$D$13:$D$101)=$E281)*((Adders!$E$13:$E$101)=$F281)*(Adders!I$13:I$101)) + VLOOKUP($H281,Adders!$B$5:$G$8,N$11,FALSE)  +  NJ!$D$2 ) * IF($D281="NJ",1.07,1))/$L$10, CHOOSE($M$10,$L$9,$M$9) )</f>
        <v xml:space="preserve"> 33.60 </v>
      </c>
      <c r="O281" s="112"/>
    </row>
    <row r="282" spans="2:15" x14ac:dyDescent="0.25">
      <c r="B282" s="108"/>
      <c r="C282" s="131">
        <f t="shared" si="7"/>
        <v>42309</v>
      </c>
      <c r="D282" s="132" t="s">
        <v>39</v>
      </c>
      <c r="E282" s="133" t="s">
        <v>47</v>
      </c>
      <c r="F282" s="132" t="s">
        <v>7</v>
      </c>
      <c r="G282" s="133" t="str">
        <f t="shared" si="8"/>
        <v>General Service</v>
      </c>
      <c r="H282" s="134" t="s">
        <v>62</v>
      </c>
      <c r="I282" s="173" t="str">
        <f>TEXT(   (SUMPRODUCT( ((Main!$H$9:$H$1000)=$E282)*((Main!$J$9:$J$1000)=$F282)*((Main!$O$9:$O$1000)=$C282)*(Main!R$9:R$1000) ) +  ( SUMPRODUCT( ((Adders!$D$13:$D$101)=$E282)*((Adders!$E$13:$E$101)=$F282)*(Adders!G$13:G$101)) + VLOOKUP($H282,Adders!$B$5:$G$8,L$11,FALSE)  +  MD!$D$2 ) * IF($D282="NJ",1.07,1))/$L$10, CHOOSE($M$10,$L$9,$M$9) )</f>
        <v xml:space="preserve"> 72.32 </v>
      </c>
      <c r="J282" s="173" t="str">
        <f>TEXT(   (SUMPRODUCT( ((Main!$H$9:$H$1000)=$E282)*((Main!$J$9:$J$1000)=$F282)*((Main!$O$9:$O$1000)=$C282)*(Main!S$9:S$1000) ) +  ( SUMPRODUCT( ((Adders!$D$13:$D$101)=$E282)*((Adders!$E$13:$E$101)=$F282)*(Adders!H$13:H$101)) + VLOOKUP($H282,Adders!$B$5:$G$8,M$11,FALSE)  +  MD!$D$2 ) * IF($D282="NJ",1.07,1))/$L$10, CHOOSE($M$10,$L$9,$M$9) )</f>
        <v xml:space="preserve"> 71.20 </v>
      </c>
      <c r="K282" s="174" t="str">
        <f>TEXT(   (SUMPRODUCT( ((Main!$H$9:$H$1000)=$E282)*((Main!$J$9:$J$1000)=$F282)*((Main!$O$9:$O$1000)=$C282)*(Main!T$9:T$1000) ) +  ( SUMPRODUCT( ((Adders!$D$13:$D$101)=$E282)*((Adders!$E$13:$E$101)=$F282)*(Adders!I$13:I$101)) + VLOOKUP($H282,Adders!$B$5:$G$8,$N$11,FALSE)  +  MD!$D$2 ) * IF($D282="NJ",1.07,1))/$L$10, CHOOSE($M$10,$L$9,$M$9) )</f>
        <v xml:space="preserve"> 72.03 </v>
      </c>
      <c r="L282" s="173" t="str">
        <f>TEXT(   (SUMPRODUCT( ((LMPMain!$H$9:$H$1000)=$E282)*((LMPMain!$J$9:$J$1000)=$F282)*((LMPMain!$O$9:$O$1000)=$C282)*(LMPMain!R$9:R$1000) ) +  ( SUMPRODUCT( ((Adders!$D$13:$D$101)=$E282)*((Adders!$E$13:$E$101)=$F282)*(Adders!G$13:G$101)) + VLOOKUP($H282,Adders!$B$5:$G$8,L$11,FALSE)  +  NJ!$D$2 ) * IF($D282="NJ",1.07,1))/$L$10, CHOOSE($M$10,$L$9,$M$9) )</f>
        <v xml:space="preserve"> 32.61 </v>
      </c>
      <c r="M282" s="173" t="str">
        <f>TEXT(   (SUMPRODUCT( ((LMPMain!$H$9:$H$1000)=$E282)*((LMPMain!$J$9:$J$1000)=$F282)*((LMPMain!$O$9:$O$1000)=$C282)*(LMPMain!S$9:S$1000) ) +  ( SUMPRODUCT( ((Adders!$D$13:$D$101)=$E282)*((Adders!$E$13:$E$101)=$F282)*(Adders!H$13:H$101)) + VLOOKUP($H282,Adders!$B$5:$G$8,M$11,FALSE)  +  NJ!$D$2 ) * IF($D282="NJ",1.07,1))/$L$10, CHOOSE($M$10,$L$9,$M$9) )</f>
        <v xml:space="preserve"> 31.03 </v>
      </c>
      <c r="N282" s="174" t="str">
        <f>TEXT(   (SUMPRODUCT( ((LMPMain!$H$9:$H$1000)=$E282)*((LMPMain!$J$9:$J$1000)=$F282)*((LMPMain!$O$9:$O$1000)=$C282)*(LMPMain!T$9:T$1000) ) +  ( SUMPRODUCT( ((Adders!$D$13:$D$101)=$E282)*((Adders!$E$13:$E$101)=$F282)*(Adders!I$13:I$101)) + VLOOKUP($H282,Adders!$B$5:$G$8,N$11,FALSE)  +  NJ!$D$2 ) * IF($D282="NJ",1.07,1))/$L$10, CHOOSE($M$10,$L$9,$M$9) )</f>
        <v xml:space="preserve"> 32.00 </v>
      </c>
      <c r="O282" s="112"/>
    </row>
    <row r="283" spans="2:15" x14ac:dyDescent="0.25">
      <c r="B283" s="108"/>
      <c r="C283" s="135">
        <f t="shared" si="7"/>
        <v>42309</v>
      </c>
      <c r="D283" s="136" t="s">
        <v>39</v>
      </c>
      <c r="E283" s="137" t="s">
        <v>47</v>
      </c>
      <c r="F283" s="136" t="s">
        <v>7</v>
      </c>
      <c r="G283" s="137" t="str">
        <f t="shared" si="8"/>
        <v>General Service</v>
      </c>
      <c r="H283" s="138" t="s">
        <v>690</v>
      </c>
      <c r="I283" s="176" t="str">
        <f>TEXT(   (SUMPRODUCT( ((Main!$H$9:$H$1000)=$E283)*((Main!$J$9:$J$1000)=$F283)*((Main!$O$9:$O$1000)=$C283)*(Main!R$9:R$1000) ) +  ( SUMPRODUCT( ((Adders!$D$13:$D$101)=$E283)*((Adders!$E$13:$E$101)=$F283)*(Adders!G$13:G$101)) + VLOOKUP($H283,Adders!$B$5:$G$8,L$11,FALSE)  +  MD!$D$2 ) * IF($D283="NJ",1.07,1))/$L$10, CHOOSE($M$10,$L$9,$M$9) )</f>
        <v xml:space="preserve"> 71.27 </v>
      </c>
      <c r="J283" s="176" t="str">
        <f>TEXT(   (SUMPRODUCT( ((Main!$H$9:$H$1000)=$E283)*((Main!$J$9:$J$1000)=$F283)*((Main!$O$9:$O$1000)=$C283)*(Main!S$9:S$1000) ) +  ( SUMPRODUCT( ((Adders!$D$13:$D$101)=$E283)*((Adders!$E$13:$E$101)=$F283)*(Adders!H$13:H$101)) + VLOOKUP($H283,Adders!$B$5:$G$8,M$11,FALSE)  +  MD!$D$2 ) * IF($D283="NJ",1.07,1))/$L$10, CHOOSE($M$10,$L$9,$M$9) )</f>
        <v xml:space="preserve"> 70.15 </v>
      </c>
      <c r="K283" s="177" t="str">
        <f>TEXT(   (SUMPRODUCT( ((Main!$H$9:$H$1000)=$E283)*((Main!$J$9:$J$1000)=$F283)*((Main!$O$9:$O$1000)=$C283)*(Main!T$9:T$1000) ) +  ( SUMPRODUCT( ((Adders!$D$13:$D$101)=$E283)*((Adders!$E$13:$E$101)=$F283)*(Adders!I$13:I$101)) + VLOOKUP($H283,Adders!$B$5:$G$8,$N$11,FALSE)  +  MD!$D$2 ) * IF($D283="NJ",1.07,1))/$L$10, CHOOSE($M$10,$L$9,$M$9) )</f>
        <v xml:space="preserve"> 70.98 </v>
      </c>
      <c r="L283" s="176" t="str">
        <f>TEXT(   (SUMPRODUCT( ((LMPMain!$H$9:$H$1000)=$E283)*((LMPMain!$J$9:$J$1000)=$F283)*((LMPMain!$O$9:$O$1000)=$C283)*(LMPMain!R$9:R$1000) ) +  ( SUMPRODUCT( ((Adders!$D$13:$D$101)=$E283)*((Adders!$E$13:$E$101)=$F283)*(Adders!G$13:G$101)) + VLOOKUP($H283,Adders!$B$5:$G$8,L$11,FALSE)  +  NJ!$D$2 ) * IF($D283="NJ",1.07,1))/$L$10, CHOOSE($M$10,$L$9,$M$9) )</f>
        <v xml:space="preserve"> 31.56 </v>
      </c>
      <c r="M283" s="176" t="str">
        <f>TEXT(   (SUMPRODUCT( ((LMPMain!$H$9:$H$1000)=$E283)*((LMPMain!$J$9:$J$1000)=$F283)*((LMPMain!$O$9:$O$1000)=$C283)*(LMPMain!S$9:S$1000) ) +  ( SUMPRODUCT( ((Adders!$D$13:$D$101)=$E283)*((Adders!$E$13:$E$101)=$F283)*(Adders!H$13:H$101)) + VLOOKUP($H283,Adders!$B$5:$G$8,M$11,FALSE)  +  NJ!$D$2 ) * IF($D283="NJ",1.07,1))/$L$10, CHOOSE($M$10,$L$9,$M$9) )</f>
        <v xml:space="preserve"> 29.98 </v>
      </c>
      <c r="N283" s="177" t="str">
        <f>TEXT(   (SUMPRODUCT( ((LMPMain!$H$9:$H$1000)=$E283)*((LMPMain!$J$9:$J$1000)=$F283)*((LMPMain!$O$9:$O$1000)=$C283)*(LMPMain!T$9:T$1000) ) +  ( SUMPRODUCT( ((Adders!$D$13:$D$101)=$E283)*((Adders!$E$13:$E$101)=$F283)*(Adders!I$13:I$101)) + VLOOKUP($H283,Adders!$B$5:$G$8,N$11,FALSE)  +  NJ!$D$2 ) * IF($D283="NJ",1.07,1))/$L$10, CHOOSE($M$10,$L$9,$M$9) )</f>
        <v xml:space="preserve"> 30.95 </v>
      </c>
      <c r="O283" s="112"/>
    </row>
    <row r="284" spans="2:15" x14ac:dyDescent="0.25">
      <c r="B284" s="108"/>
      <c r="C284" s="127">
        <f t="shared" si="7"/>
        <v>42339</v>
      </c>
      <c r="D284" s="128" t="s">
        <v>39</v>
      </c>
      <c r="E284" s="129" t="s">
        <v>47</v>
      </c>
      <c r="F284" s="128" t="s">
        <v>7</v>
      </c>
      <c r="G284" s="129" t="str">
        <f t="shared" si="8"/>
        <v>General Service</v>
      </c>
      <c r="H284" s="130" t="s">
        <v>61</v>
      </c>
      <c r="I284" s="178" t="str">
        <f>TEXT(   (SUMPRODUCT( ((Main!$H$9:$H$1000)=$E284)*((Main!$J$9:$J$1000)=$F284)*((Main!$O$9:$O$1000)=$C284)*(Main!R$9:R$1000) ) +  ( SUMPRODUCT( ((Adders!$D$13:$D$101)=$E284)*((Adders!$E$13:$E$101)=$F284)*(Adders!G$13:G$101)) + VLOOKUP($H284,Adders!$B$5:$G$8,L$11,FALSE)  +  MD!$D$2 ) * IF($D284="NJ",1.07,1))/$L$10, CHOOSE($M$10,$L$9,$M$9) )</f>
        <v xml:space="preserve"> 73.31 </v>
      </c>
      <c r="J284" s="178" t="str">
        <f>TEXT(   (SUMPRODUCT( ((Main!$H$9:$H$1000)=$E284)*((Main!$J$9:$J$1000)=$F284)*((Main!$O$9:$O$1000)=$C284)*(Main!S$9:S$1000) ) +  ( SUMPRODUCT( ((Adders!$D$13:$D$101)=$E284)*((Adders!$E$13:$E$101)=$F284)*(Adders!H$13:H$101)) + VLOOKUP($H284,Adders!$B$5:$G$8,M$11,FALSE)  +  MD!$D$2 ) * IF($D284="NJ",1.07,1))/$L$10, CHOOSE($M$10,$L$9,$M$9) )</f>
        <v xml:space="preserve"> 72.08 </v>
      </c>
      <c r="K284" s="179" t="str">
        <f>TEXT(   (SUMPRODUCT( ((Main!$H$9:$H$1000)=$E284)*((Main!$J$9:$J$1000)=$F284)*((Main!$O$9:$O$1000)=$C284)*(Main!T$9:T$1000) ) +  ( SUMPRODUCT( ((Adders!$D$13:$D$101)=$E284)*((Adders!$E$13:$E$101)=$F284)*(Adders!I$13:I$101)) + VLOOKUP($H284,Adders!$B$5:$G$8,$N$11,FALSE)  +  MD!$D$2 ) * IF($D284="NJ",1.07,1))/$L$10, CHOOSE($M$10,$L$9,$M$9) )</f>
        <v xml:space="preserve"> 73.64 </v>
      </c>
      <c r="L284" s="178" t="str">
        <f>TEXT(   (SUMPRODUCT( ((LMPMain!$H$9:$H$1000)=$E284)*((LMPMain!$J$9:$J$1000)=$F284)*((LMPMain!$O$9:$O$1000)=$C284)*(LMPMain!R$9:R$1000) ) +  ( SUMPRODUCT( ((Adders!$D$13:$D$101)=$E284)*((Adders!$E$13:$E$101)=$F284)*(Adders!G$13:G$101)) + VLOOKUP($H284,Adders!$B$5:$G$8,L$11,FALSE)  +  NJ!$D$2 ) * IF($D284="NJ",1.07,1))/$L$10, CHOOSE($M$10,$L$9,$M$9) )</f>
        <v xml:space="preserve"> 33.61 </v>
      </c>
      <c r="M284" s="178" t="str">
        <f>TEXT(   (SUMPRODUCT( ((LMPMain!$H$9:$H$1000)=$E284)*((LMPMain!$J$9:$J$1000)=$F284)*((LMPMain!$O$9:$O$1000)=$C284)*(LMPMain!S$9:S$1000) ) +  ( SUMPRODUCT( ((Adders!$D$13:$D$101)=$E284)*((Adders!$E$13:$E$101)=$F284)*(Adders!H$13:H$101)) + VLOOKUP($H284,Adders!$B$5:$G$8,M$11,FALSE)  +  NJ!$D$2 ) * IF($D284="NJ",1.07,1))/$L$10, CHOOSE($M$10,$L$9,$M$9) )</f>
        <v xml:space="preserve"> 31.88 </v>
      </c>
      <c r="N284" s="179" t="str">
        <f>TEXT(   (SUMPRODUCT( ((LMPMain!$H$9:$H$1000)=$E284)*((LMPMain!$J$9:$J$1000)=$F284)*((LMPMain!$O$9:$O$1000)=$C284)*(LMPMain!T$9:T$1000) ) +  ( SUMPRODUCT( ((Adders!$D$13:$D$101)=$E284)*((Adders!$E$13:$E$101)=$F284)*(Adders!I$13:I$101)) + VLOOKUP($H284,Adders!$B$5:$G$8,N$11,FALSE)  +  NJ!$D$2 ) * IF($D284="NJ",1.07,1))/$L$10, CHOOSE($M$10,$L$9,$M$9) )</f>
        <v xml:space="preserve"> 33.59 </v>
      </c>
      <c r="O284" s="112"/>
    </row>
    <row r="285" spans="2:15" x14ac:dyDescent="0.25">
      <c r="B285" s="108"/>
      <c r="C285" s="131">
        <f t="shared" si="7"/>
        <v>42339</v>
      </c>
      <c r="D285" s="132" t="s">
        <v>39</v>
      </c>
      <c r="E285" s="133" t="s">
        <v>47</v>
      </c>
      <c r="F285" s="132" t="s">
        <v>7</v>
      </c>
      <c r="G285" s="133" t="str">
        <f t="shared" si="8"/>
        <v>General Service</v>
      </c>
      <c r="H285" s="134" t="s">
        <v>62</v>
      </c>
      <c r="I285" s="173" t="str">
        <f>TEXT(   (SUMPRODUCT( ((Main!$H$9:$H$1000)=$E285)*((Main!$J$9:$J$1000)=$F285)*((Main!$O$9:$O$1000)=$C285)*(Main!R$9:R$1000) ) +  ( SUMPRODUCT( ((Adders!$D$13:$D$101)=$E285)*((Adders!$E$13:$E$101)=$F285)*(Adders!G$13:G$101)) + VLOOKUP($H285,Adders!$B$5:$G$8,L$11,FALSE)  +  MD!$D$2 ) * IF($D285="NJ",1.07,1))/$L$10, CHOOSE($M$10,$L$9,$M$9) )</f>
        <v xml:space="preserve"> 71.71 </v>
      </c>
      <c r="J285" s="173" t="str">
        <f>TEXT(   (SUMPRODUCT( ((Main!$H$9:$H$1000)=$E285)*((Main!$J$9:$J$1000)=$F285)*((Main!$O$9:$O$1000)=$C285)*(Main!S$9:S$1000) ) +  ( SUMPRODUCT( ((Adders!$D$13:$D$101)=$E285)*((Adders!$E$13:$E$101)=$F285)*(Adders!H$13:H$101)) + VLOOKUP($H285,Adders!$B$5:$G$8,M$11,FALSE)  +  MD!$D$2 ) * IF($D285="NJ",1.07,1))/$L$10, CHOOSE($M$10,$L$9,$M$9) )</f>
        <v xml:space="preserve"> 70.48 </v>
      </c>
      <c r="K285" s="174" t="str">
        <f>TEXT(   (SUMPRODUCT( ((Main!$H$9:$H$1000)=$E285)*((Main!$J$9:$J$1000)=$F285)*((Main!$O$9:$O$1000)=$C285)*(Main!T$9:T$1000) ) +  ( SUMPRODUCT( ((Adders!$D$13:$D$101)=$E285)*((Adders!$E$13:$E$101)=$F285)*(Adders!I$13:I$101)) + VLOOKUP($H285,Adders!$B$5:$G$8,$N$11,FALSE)  +  MD!$D$2 ) * IF($D285="NJ",1.07,1))/$L$10, CHOOSE($M$10,$L$9,$M$9) )</f>
        <v xml:space="preserve"> 72.04 </v>
      </c>
      <c r="L285" s="173" t="str">
        <f>TEXT(   (SUMPRODUCT( ((LMPMain!$H$9:$H$1000)=$E285)*((LMPMain!$J$9:$J$1000)=$F285)*((LMPMain!$O$9:$O$1000)=$C285)*(LMPMain!R$9:R$1000) ) +  ( SUMPRODUCT( ((Adders!$D$13:$D$101)=$E285)*((Adders!$E$13:$E$101)=$F285)*(Adders!G$13:G$101)) + VLOOKUP($H285,Adders!$B$5:$G$8,L$11,FALSE)  +  NJ!$D$2 ) * IF($D285="NJ",1.07,1))/$L$10, CHOOSE($M$10,$L$9,$M$9) )</f>
        <v xml:space="preserve"> 32.01 </v>
      </c>
      <c r="M285" s="173" t="str">
        <f>TEXT(   (SUMPRODUCT( ((LMPMain!$H$9:$H$1000)=$E285)*((LMPMain!$J$9:$J$1000)=$F285)*((LMPMain!$O$9:$O$1000)=$C285)*(LMPMain!S$9:S$1000) ) +  ( SUMPRODUCT( ((Adders!$D$13:$D$101)=$E285)*((Adders!$E$13:$E$101)=$F285)*(Adders!H$13:H$101)) + VLOOKUP($H285,Adders!$B$5:$G$8,M$11,FALSE)  +  NJ!$D$2 ) * IF($D285="NJ",1.07,1))/$L$10, CHOOSE($M$10,$L$9,$M$9) )</f>
        <v xml:space="preserve"> 30.28 </v>
      </c>
      <c r="N285" s="174" t="str">
        <f>TEXT(   (SUMPRODUCT( ((LMPMain!$H$9:$H$1000)=$E285)*((LMPMain!$J$9:$J$1000)=$F285)*((LMPMain!$O$9:$O$1000)=$C285)*(LMPMain!T$9:T$1000) ) +  ( SUMPRODUCT( ((Adders!$D$13:$D$101)=$E285)*((Adders!$E$13:$E$101)=$F285)*(Adders!I$13:I$101)) + VLOOKUP($H285,Adders!$B$5:$G$8,N$11,FALSE)  +  NJ!$D$2 ) * IF($D285="NJ",1.07,1))/$L$10, CHOOSE($M$10,$L$9,$M$9) )</f>
        <v xml:space="preserve"> 31.99 </v>
      </c>
      <c r="O285" s="112"/>
    </row>
    <row r="286" spans="2:15" x14ac:dyDescent="0.25">
      <c r="B286" s="108"/>
      <c r="C286" s="135">
        <f t="shared" si="7"/>
        <v>42339</v>
      </c>
      <c r="D286" s="136" t="s">
        <v>39</v>
      </c>
      <c r="E286" s="137" t="s">
        <v>47</v>
      </c>
      <c r="F286" s="136" t="s">
        <v>7</v>
      </c>
      <c r="G286" s="137" t="str">
        <f t="shared" si="8"/>
        <v>General Service</v>
      </c>
      <c r="H286" s="138" t="s">
        <v>690</v>
      </c>
      <c r="I286" s="176" t="str">
        <f>TEXT(   (SUMPRODUCT( ((Main!$H$9:$H$1000)=$E286)*((Main!$J$9:$J$1000)=$F286)*((Main!$O$9:$O$1000)=$C286)*(Main!R$9:R$1000) ) +  ( SUMPRODUCT( ((Adders!$D$13:$D$101)=$E286)*((Adders!$E$13:$E$101)=$F286)*(Adders!G$13:G$101)) + VLOOKUP($H286,Adders!$B$5:$G$8,L$11,FALSE)  +  MD!$D$2 ) * IF($D286="NJ",1.07,1))/$L$10, CHOOSE($M$10,$L$9,$M$9) )</f>
        <v xml:space="preserve"> 70.66 </v>
      </c>
      <c r="J286" s="176" t="str">
        <f>TEXT(   (SUMPRODUCT( ((Main!$H$9:$H$1000)=$E286)*((Main!$J$9:$J$1000)=$F286)*((Main!$O$9:$O$1000)=$C286)*(Main!S$9:S$1000) ) +  ( SUMPRODUCT( ((Adders!$D$13:$D$101)=$E286)*((Adders!$E$13:$E$101)=$F286)*(Adders!H$13:H$101)) + VLOOKUP($H286,Adders!$B$5:$G$8,M$11,FALSE)  +  MD!$D$2 ) * IF($D286="NJ",1.07,1))/$L$10, CHOOSE($M$10,$L$9,$M$9) )</f>
        <v xml:space="preserve"> 69.43 </v>
      </c>
      <c r="K286" s="177" t="str">
        <f>TEXT(   (SUMPRODUCT( ((Main!$H$9:$H$1000)=$E286)*((Main!$J$9:$J$1000)=$F286)*((Main!$O$9:$O$1000)=$C286)*(Main!T$9:T$1000) ) +  ( SUMPRODUCT( ((Adders!$D$13:$D$101)=$E286)*((Adders!$E$13:$E$101)=$F286)*(Adders!I$13:I$101)) + VLOOKUP($H286,Adders!$B$5:$G$8,$N$11,FALSE)  +  MD!$D$2 ) * IF($D286="NJ",1.07,1))/$L$10, CHOOSE($M$10,$L$9,$M$9) )</f>
        <v xml:space="preserve"> 70.99 </v>
      </c>
      <c r="L286" s="176" t="str">
        <f>TEXT(   (SUMPRODUCT( ((LMPMain!$H$9:$H$1000)=$E286)*((LMPMain!$J$9:$J$1000)=$F286)*((LMPMain!$O$9:$O$1000)=$C286)*(LMPMain!R$9:R$1000) ) +  ( SUMPRODUCT( ((Adders!$D$13:$D$101)=$E286)*((Adders!$E$13:$E$101)=$F286)*(Adders!G$13:G$101)) + VLOOKUP($H286,Adders!$B$5:$G$8,L$11,FALSE)  +  NJ!$D$2 ) * IF($D286="NJ",1.07,1))/$L$10, CHOOSE($M$10,$L$9,$M$9) )</f>
        <v xml:space="preserve"> 30.96 </v>
      </c>
      <c r="M286" s="176" t="str">
        <f>TEXT(   (SUMPRODUCT( ((LMPMain!$H$9:$H$1000)=$E286)*((LMPMain!$J$9:$J$1000)=$F286)*((LMPMain!$O$9:$O$1000)=$C286)*(LMPMain!S$9:S$1000) ) +  ( SUMPRODUCT( ((Adders!$D$13:$D$101)=$E286)*((Adders!$E$13:$E$101)=$F286)*(Adders!H$13:H$101)) + VLOOKUP($H286,Adders!$B$5:$G$8,M$11,FALSE)  +  NJ!$D$2 ) * IF($D286="NJ",1.07,1))/$L$10, CHOOSE($M$10,$L$9,$M$9) )</f>
        <v xml:space="preserve"> 29.23 </v>
      </c>
      <c r="N286" s="177" t="str">
        <f>TEXT(   (SUMPRODUCT( ((LMPMain!$H$9:$H$1000)=$E286)*((LMPMain!$J$9:$J$1000)=$F286)*((LMPMain!$O$9:$O$1000)=$C286)*(LMPMain!T$9:T$1000) ) +  ( SUMPRODUCT( ((Adders!$D$13:$D$101)=$E286)*((Adders!$E$13:$E$101)=$F286)*(Adders!I$13:I$101)) + VLOOKUP($H286,Adders!$B$5:$G$8,N$11,FALSE)  +  NJ!$D$2 ) * IF($D286="NJ",1.07,1))/$L$10, CHOOSE($M$10,$L$9,$M$9) )</f>
        <v xml:space="preserve"> 30.94 </v>
      </c>
      <c r="O286" s="112"/>
    </row>
    <row r="287" spans="2:15" x14ac:dyDescent="0.25">
      <c r="B287" s="108"/>
      <c r="C287" s="127">
        <f t="shared" si="7"/>
        <v>42370</v>
      </c>
      <c r="D287" s="128" t="s">
        <v>39</v>
      </c>
      <c r="E287" s="129" t="s">
        <v>47</v>
      </c>
      <c r="F287" s="128" t="s">
        <v>7</v>
      </c>
      <c r="G287" s="129" t="str">
        <f t="shared" si="8"/>
        <v>General Service</v>
      </c>
      <c r="H287" s="130" t="s">
        <v>61</v>
      </c>
      <c r="I287" s="178" t="str">
        <f>TEXT(   (SUMPRODUCT( ((Main!$H$9:$H$1000)=$E287)*((Main!$J$9:$J$1000)=$F287)*((Main!$O$9:$O$1000)=$C287)*(Main!R$9:R$1000) ) +  ( SUMPRODUCT( ((Adders!$D$13:$D$101)=$E287)*((Adders!$E$13:$E$101)=$F287)*(Adders!G$13:G$101)) + VLOOKUP($H287,Adders!$B$5:$G$8,L$11,FALSE)  +  MD!$D$2 ) * IF($D287="NJ",1.07,1))/$L$10, CHOOSE($M$10,$L$9,$M$9) )</f>
        <v xml:space="preserve"> 72.52 </v>
      </c>
      <c r="J287" s="178" t="str">
        <f>TEXT(   (SUMPRODUCT( ((Main!$H$9:$H$1000)=$E287)*((Main!$J$9:$J$1000)=$F287)*((Main!$O$9:$O$1000)=$C287)*(Main!S$9:S$1000) ) +  ( SUMPRODUCT( ((Adders!$D$13:$D$101)=$E287)*((Adders!$E$13:$E$101)=$F287)*(Adders!H$13:H$101)) + VLOOKUP($H287,Adders!$B$5:$G$8,M$11,FALSE)  +  MD!$D$2 ) * IF($D287="NJ",1.07,1))/$L$10, CHOOSE($M$10,$L$9,$M$9) )</f>
        <v xml:space="preserve"> 72.24 </v>
      </c>
      <c r="K287" s="179" t="str">
        <f>TEXT(   (SUMPRODUCT( ((Main!$H$9:$H$1000)=$E287)*((Main!$J$9:$J$1000)=$F287)*((Main!$O$9:$O$1000)=$C287)*(Main!T$9:T$1000) ) +  ( SUMPRODUCT( ((Adders!$D$13:$D$101)=$E287)*((Adders!$E$13:$E$101)=$F287)*(Adders!I$13:I$101)) + VLOOKUP($H287,Adders!$B$5:$G$8,$N$11,FALSE)  +  MD!$D$2 ) * IF($D287="NJ",1.07,1))/$L$10, CHOOSE($M$10,$L$9,$M$9) )</f>
        <v xml:space="preserve"> 73.57 </v>
      </c>
      <c r="L287" s="178" t="str">
        <f>TEXT(   (SUMPRODUCT( ((LMPMain!$H$9:$H$1000)=$E287)*((LMPMain!$J$9:$J$1000)=$F287)*((LMPMain!$O$9:$O$1000)=$C287)*(LMPMain!R$9:R$1000) ) +  ( SUMPRODUCT( ((Adders!$D$13:$D$101)=$E287)*((Adders!$E$13:$E$101)=$F287)*(Adders!G$13:G$101)) + VLOOKUP($H287,Adders!$B$5:$G$8,L$11,FALSE)  +  NJ!$D$2 ) * IF($D287="NJ",1.07,1))/$L$10, CHOOSE($M$10,$L$9,$M$9) )</f>
        <v xml:space="preserve"> 33.01 </v>
      </c>
      <c r="M287" s="178" t="str">
        <f>TEXT(   (SUMPRODUCT( ((LMPMain!$H$9:$H$1000)=$E287)*((LMPMain!$J$9:$J$1000)=$F287)*((LMPMain!$O$9:$O$1000)=$C287)*(LMPMain!S$9:S$1000) ) +  ( SUMPRODUCT( ((Adders!$D$13:$D$101)=$E287)*((Adders!$E$13:$E$101)=$F287)*(Adders!H$13:H$101)) + VLOOKUP($H287,Adders!$B$5:$G$8,M$11,FALSE)  +  NJ!$D$2 ) * IF($D287="NJ",1.07,1))/$L$10, CHOOSE($M$10,$L$9,$M$9) )</f>
        <v xml:space="preserve"> 31.98 </v>
      </c>
      <c r="N287" s="179" t="str">
        <f>TEXT(   (SUMPRODUCT( ((LMPMain!$H$9:$H$1000)=$E287)*((LMPMain!$J$9:$J$1000)=$F287)*((LMPMain!$O$9:$O$1000)=$C287)*(LMPMain!T$9:T$1000) ) +  ( SUMPRODUCT( ((Adders!$D$13:$D$101)=$E287)*((Adders!$E$13:$E$101)=$F287)*(Adders!I$13:I$101)) + VLOOKUP($H287,Adders!$B$5:$G$8,N$11,FALSE)  +  NJ!$D$2 ) * IF($D287="NJ",1.07,1))/$L$10, CHOOSE($M$10,$L$9,$M$9) )</f>
        <v xml:space="preserve"> 33.60 </v>
      </c>
      <c r="O287" s="112"/>
    </row>
    <row r="288" spans="2:15" x14ac:dyDescent="0.25">
      <c r="B288" s="108"/>
      <c r="C288" s="131">
        <f t="shared" si="7"/>
        <v>42370</v>
      </c>
      <c r="D288" s="132" t="s">
        <v>39</v>
      </c>
      <c r="E288" s="133" t="s">
        <v>47</v>
      </c>
      <c r="F288" s="132" t="s">
        <v>7</v>
      </c>
      <c r="G288" s="133" t="str">
        <f t="shared" si="8"/>
        <v>General Service</v>
      </c>
      <c r="H288" s="134" t="s">
        <v>62</v>
      </c>
      <c r="I288" s="173" t="str">
        <f>TEXT(   (SUMPRODUCT( ((Main!$H$9:$H$1000)=$E288)*((Main!$J$9:$J$1000)=$F288)*((Main!$O$9:$O$1000)=$C288)*(Main!R$9:R$1000) ) +  ( SUMPRODUCT( ((Adders!$D$13:$D$101)=$E288)*((Adders!$E$13:$E$101)=$F288)*(Adders!G$13:G$101)) + VLOOKUP($H288,Adders!$B$5:$G$8,L$11,FALSE)  +  MD!$D$2 ) * IF($D288="NJ",1.07,1))/$L$10, CHOOSE($M$10,$L$9,$M$9) )</f>
        <v xml:space="preserve"> 70.92 </v>
      </c>
      <c r="J288" s="173" t="str">
        <f>TEXT(   (SUMPRODUCT( ((Main!$H$9:$H$1000)=$E288)*((Main!$J$9:$J$1000)=$F288)*((Main!$O$9:$O$1000)=$C288)*(Main!S$9:S$1000) ) +  ( SUMPRODUCT( ((Adders!$D$13:$D$101)=$E288)*((Adders!$E$13:$E$101)=$F288)*(Adders!H$13:H$101)) + VLOOKUP($H288,Adders!$B$5:$G$8,M$11,FALSE)  +  MD!$D$2 ) * IF($D288="NJ",1.07,1))/$L$10, CHOOSE($M$10,$L$9,$M$9) )</f>
        <v xml:space="preserve"> 70.64 </v>
      </c>
      <c r="K288" s="174" t="str">
        <f>TEXT(   (SUMPRODUCT( ((Main!$H$9:$H$1000)=$E288)*((Main!$J$9:$J$1000)=$F288)*((Main!$O$9:$O$1000)=$C288)*(Main!T$9:T$1000) ) +  ( SUMPRODUCT( ((Adders!$D$13:$D$101)=$E288)*((Adders!$E$13:$E$101)=$F288)*(Adders!I$13:I$101)) + VLOOKUP($H288,Adders!$B$5:$G$8,$N$11,FALSE)  +  MD!$D$2 ) * IF($D288="NJ",1.07,1))/$L$10, CHOOSE($M$10,$L$9,$M$9) )</f>
        <v xml:space="preserve"> 71.97 </v>
      </c>
      <c r="L288" s="173" t="str">
        <f>TEXT(   (SUMPRODUCT( ((LMPMain!$H$9:$H$1000)=$E288)*((LMPMain!$J$9:$J$1000)=$F288)*((LMPMain!$O$9:$O$1000)=$C288)*(LMPMain!R$9:R$1000) ) +  ( SUMPRODUCT( ((Adders!$D$13:$D$101)=$E288)*((Adders!$E$13:$E$101)=$F288)*(Adders!G$13:G$101)) + VLOOKUP($H288,Adders!$B$5:$G$8,L$11,FALSE)  +  NJ!$D$2 ) * IF($D288="NJ",1.07,1))/$L$10, CHOOSE($M$10,$L$9,$M$9) )</f>
        <v xml:space="preserve"> 31.41 </v>
      </c>
      <c r="M288" s="173" t="str">
        <f>TEXT(   (SUMPRODUCT( ((LMPMain!$H$9:$H$1000)=$E288)*((LMPMain!$J$9:$J$1000)=$F288)*((LMPMain!$O$9:$O$1000)=$C288)*(LMPMain!S$9:S$1000) ) +  ( SUMPRODUCT( ((Adders!$D$13:$D$101)=$E288)*((Adders!$E$13:$E$101)=$F288)*(Adders!H$13:H$101)) + VLOOKUP($H288,Adders!$B$5:$G$8,M$11,FALSE)  +  NJ!$D$2 ) * IF($D288="NJ",1.07,1))/$L$10, CHOOSE($M$10,$L$9,$M$9) )</f>
        <v xml:space="preserve"> 30.38 </v>
      </c>
      <c r="N288" s="174" t="str">
        <f>TEXT(   (SUMPRODUCT( ((LMPMain!$H$9:$H$1000)=$E288)*((LMPMain!$J$9:$J$1000)=$F288)*((LMPMain!$O$9:$O$1000)=$C288)*(LMPMain!T$9:T$1000) ) +  ( SUMPRODUCT( ((Adders!$D$13:$D$101)=$E288)*((Adders!$E$13:$E$101)=$F288)*(Adders!I$13:I$101)) + VLOOKUP($H288,Adders!$B$5:$G$8,N$11,FALSE)  +  NJ!$D$2 ) * IF($D288="NJ",1.07,1))/$L$10, CHOOSE($M$10,$L$9,$M$9) )</f>
        <v xml:space="preserve"> 32.00 </v>
      </c>
      <c r="O288" s="112"/>
    </row>
    <row r="289" spans="2:15" x14ac:dyDescent="0.25">
      <c r="B289" s="108"/>
      <c r="C289" s="135">
        <f t="shared" si="7"/>
        <v>42370</v>
      </c>
      <c r="D289" s="136" t="s">
        <v>39</v>
      </c>
      <c r="E289" s="137" t="s">
        <v>47</v>
      </c>
      <c r="F289" s="136" t="s">
        <v>7</v>
      </c>
      <c r="G289" s="137" t="str">
        <f t="shared" si="8"/>
        <v>General Service</v>
      </c>
      <c r="H289" s="138" t="s">
        <v>690</v>
      </c>
      <c r="I289" s="176" t="str">
        <f>TEXT(   (SUMPRODUCT( ((Main!$H$9:$H$1000)=$E289)*((Main!$J$9:$J$1000)=$F289)*((Main!$O$9:$O$1000)=$C289)*(Main!R$9:R$1000) ) +  ( SUMPRODUCT( ((Adders!$D$13:$D$101)=$E289)*((Adders!$E$13:$E$101)=$F289)*(Adders!G$13:G$101)) + VLOOKUP($H289,Adders!$B$5:$G$8,L$11,FALSE)  +  MD!$D$2 ) * IF($D289="NJ",1.07,1))/$L$10, CHOOSE($M$10,$L$9,$M$9) )</f>
        <v xml:space="preserve"> 69.87 </v>
      </c>
      <c r="J289" s="176" t="str">
        <f>TEXT(   (SUMPRODUCT( ((Main!$H$9:$H$1000)=$E289)*((Main!$J$9:$J$1000)=$F289)*((Main!$O$9:$O$1000)=$C289)*(Main!S$9:S$1000) ) +  ( SUMPRODUCT( ((Adders!$D$13:$D$101)=$E289)*((Adders!$E$13:$E$101)=$F289)*(Adders!H$13:H$101)) + VLOOKUP($H289,Adders!$B$5:$G$8,M$11,FALSE)  +  MD!$D$2 ) * IF($D289="NJ",1.07,1))/$L$10, CHOOSE($M$10,$L$9,$M$9) )</f>
        <v xml:space="preserve"> 69.59 </v>
      </c>
      <c r="K289" s="177" t="str">
        <f>TEXT(   (SUMPRODUCT( ((Main!$H$9:$H$1000)=$E289)*((Main!$J$9:$J$1000)=$F289)*((Main!$O$9:$O$1000)=$C289)*(Main!T$9:T$1000) ) +  ( SUMPRODUCT( ((Adders!$D$13:$D$101)=$E289)*((Adders!$E$13:$E$101)=$F289)*(Adders!I$13:I$101)) + VLOOKUP($H289,Adders!$B$5:$G$8,$N$11,FALSE)  +  MD!$D$2 ) * IF($D289="NJ",1.07,1))/$L$10, CHOOSE($M$10,$L$9,$M$9) )</f>
        <v xml:space="preserve"> 70.92 </v>
      </c>
      <c r="L289" s="176" t="str">
        <f>TEXT(   (SUMPRODUCT( ((LMPMain!$H$9:$H$1000)=$E289)*((LMPMain!$J$9:$J$1000)=$F289)*((LMPMain!$O$9:$O$1000)=$C289)*(LMPMain!R$9:R$1000) ) +  ( SUMPRODUCT( ((Adders!$D$13:$D$101)=$E289)*((Adders!$E$13:$E$101)=$F289)*(Adders!G$13:G$101)) + VLOOKUP($H289,Adders!$B$5:$G$8,L$11,FALSE)  +  NJ!$D$2 ) * IF($D289="NJ",1.07,1))/$L$10, CHOOSE($M$10,$L$9,$M$9) )</f>
        <v xml:space="preserve"> 30.36 </v>
      </c>
      <c r="M289" s="176" t="str">
        <f>TEXT(   (SUMPRODUCT( ((LMPMain!$H$9:$H$1000)=$E289)*((LMPMain!$J$9:$J$1000)=$F289)*((LMPMain!$O$9:$O$1000)=$C289)*(LMPMain!S$9:S$1000) ) +  ( SUMPRODUCT( ((Adders!$D$13:$D$101)=$E289)*((Adders!$E$13:$E$101)=$F289)*(Adders!H$13:H$101)) + VLOOKUP($H289,Adders!$B$5:$G$8,M$11,FALSE)  +  NJ!$D$2 ) * IF($D289="NJ",1.07,1))/$L$10, CHOOSE($M$10,$L$9,$M$9) )</f>
        <v xml:space="preserve"> 29.33 </v>
      </c>
      <c r="N289" s="177" t="str">
        <f>TEXT(   (SUMPRODUCT( ((LMPMain!$H$9:$H$1000)=$E289)*((LMPMain!$J$9:$J$1000)=$F289)*((LMPMain!$O$9:$O$1000)=$C289)*(LMPMain!T$9:T$1000) ) +  ( SUMPRODUCT( ((Adders!$D$13:$D$101)=$E289)*((Adders!$E$13:$E$101)=$F289)*(Adders!I$13:I$101)) + VLOOKUP($H289,Adders!$B$5:$G$8,N$11,FALSE)  +  NJ!$D$2 ) * IF($D289="NJ",1.07,1))/$L$10, CHOOSE($M$10,$L$9,$M$9) )</f>
        <v xml:space="preserve"> 30.95 </v>
      </c>
      <c r="O289" s="112"/>
    </row>
    <row r="290" spans="2:15" x14ac:dyDescent="0.25">
      <c r="B290" s="108"/>
      <c r="C290" s="127">
        <f t="shared" si="7"/>
        <v>42401</v>
      </c>
      <c r="D290" s="128" t="s">
        <v>39</v>
      </c>
      <c r="E290" s="129" t="s">
        <v>47</v>
      </c>
      <c r="F290" s="128" t="s">
        <v>7</v>
      </c>
      <c r="G290" s="129" t="str">
        <f t="shared" si="8"/>
        <v>General Service</v>
      </c>
      <c r="H290" s="130" t="s">
        <v>61</v>
      </c>
      <c r="I290" s="178" t="str">
        <f>TEXT(   (SUMPRODUCT( ((Main!$H$9:$H$1000)=$E290)*((Main!$J$9:$J$1000)=$F290)*((Main!$O$9:$O$1000)=$C290)*(Main!R$9:R$1000) ) +  ( SUMPRODUCT( ((Adders!$D$13:$D$101)=$E290)*((Adders!$E$13:$E$101)=$F290)*(Adders!G$13:G$101)) + VLOOKUP($H290,Adders!$B$5:$G$8,L$11,FALSE)  +  MD!$D$2 ) * IF($D290="NJ",1.07,1))/$L$10, CHOOSE($M$10,$L$9,$M$9) )</f>
        <v xml:space="preserve"> 72.09 </v>
      </c>
      <c r="J290" s="178" t="str">
        <f>TEXT(   (SUMPRODUCT( ((Main!$H$9:$H$1000)=$E290)*((Main!$J$9:$J$1000)=$F290)*((Main!$O$9:$O$1000)=$C290)*(Main!S$9:S$1000) ) +  ( SUMPRODUCT( ((Adders!$D$13:$D$101)=$E290)*((Adders!$E$13:$E$101)=$F290)*(Adders!H$13:H$101)) + VLOOKUP($H290,Adders!$B$5:$G$8,M$11,FALSE)  +  MD!$D$2 ) * IF($D290="NJ",1.07,1))/$L$10, CHOOSE($M$10,$L$9,$M$9) )</f>
        <v xml:space="preserve"> 72.11 </v>
      </c>
      <c r="K290" s="179" t="str">
        <f>TEXT(   (SUMPRODUCT( ((Main!$H$9:$H$1000)=$E290)*((Main!$J$9:$J$1000)=$F290)*((Main!$O$9:$O$1000)=$C290)*(Main!T$9:T$1000) ) +  ( SUMPRODUCT( ((Adders!$D$13:$D$101)=$E290)*((Adders!$E$13:$E$101)=$F290)*(Adders!I$13:I$101)) + VLOOKUP($H290,Adders!$B$5:$G$8,$N$11,FALSE)  +  MD!$D$2 ) * IF($D290="NJ",1.07,1))/$L$10, CHOOSE($M$10,$L$9,$M$9) )</f>
        <v xml:space="preserve"> 73.80 </v>
      </c>
      <c r="L290" s="178" t="str">
        <f>TEXT(   (SUMPRODUCT( ((LMPMain!$H$9:$H$1000)=$E290)*((LMPMain!$J$9:$J$1000)=$F290)*((LMPMain!$O$9:$O$1000)=$C290)*(LMPMain!R$9:R$1000) ) +  ( SUMPRODUCT( ((Adders!$D$13:$D$101)=$E290)*((Adders!$E$13:$E$101)=$F290)*(Adders!G$13:G$101)) + VLOOKUP($H290,Adders!$B$5:$G$8,L$11,FALSE)  +  NJ!$D$2 ) * IF($D290="NJ",1.07,1))/$L$10, CHOOSE($M$10,$L$9,$M$9) )</f>
        <v xml:space="preserve"> 32.38 </v>
      </c>
      <c r="M290" s="178" t="str">
        <f>TEXT(   (SUMPRODUCT( ((LMPMain!$H$9:$H$1000)=$E290)*((LMPMain!$J$9:$J$1000)=$F290)*((LMPMain!$O$9:$O$1000)=$C290)*(LMPMain!S$9:S$1000) ) +  ( SUMPRODUCT( ((Adders!$D$13:$D$101)=$E290)*((Adders!$E$13:$E$101)=$F290)*(Adders!H$13:H$101)) + VLOOKUP($H290,Adders!$B$5:$G$8,M$11,FALSE)  +  NJ!$D$2 ) * IF($D290="NJ",1.07,1))/$L$10, CHOOSE($M$10,$L$9,$M$9) )</f>
        <v xml:space="preserve"> 32.01 </v>
      </c>
      <c r="N290" s="179" t="str">
        <f>TEXT(   (SUMPRODUCT( ((LMPMain!$H$9:$H$1000)=$E290)*((LMPMain!$J$9:$J$1000)=$F290)*((LMPMain!$O$9:$O$1000)=$C290)*(LMPMain!T$9:T$1000) ) +  ( SUMPRODUCT( ((Adders!$D$13:$D$101)=$E290)*((Adders!$E$13:$E$101)=$F290)*(Adders!I$13:I$101)) + VLOOKUP($H290,Adders!$B$5:$G$8,N$11,FALSE)  +  NJ!$D$2 ) * IF($D290="NJ",1.07,1))/$L$10, CHOOSE($M$10,$L$9,$M$9) )</f>
        <v xml:space="preserve"> 33.63 </v>
      </c>
      <c r="O290" s="112"/>
    </row>
    <row r="291" spans="2:15" x14ac:dyDescent="0.25">
      <c r="B291" s="108"/>
      <c r="C291" s="131">
        <f t="shared" si="7"/>
        <v>42401</v>
      </c>
      <c r="D291" s="132" t="s">
        <v>39</v>
      </c>
      <c r="E291" s="133" t="s">
        <v>47</v>
      </c>
      <c r="F291" s="132" t="s">
        <v>7</v>
      </c>
      <c r="G291" s="133" t="str">
        <f t="shared" si="8"/>
        <v>General Service</v>
      </c>
      <c r="H291" s="134" t="s">
        <v>62</v>
      </c>
      <c r="I291" s="173" t="str">
        <f>TEXT(   (SUMPRODUCT( ((Main!$H$9:$H$1000)=$E291)*((Main!$J$9:$J$1000)=$F291)*((Main!$O$9:$O$1000)=$C291)*(Main!R$9:R$1000) ) +  ( SUMPRODUCT( ((Adders!$D$13:$D$101)=$E291)*((Adders!$E$13:$E$101)=$F291)*(Adders!G$13:G$101)) + VLOOKUP($H291,Adders!$B$5:$G$8,L$11,FALSE)  +  MD!$D$2 ) * IF($D291="NJ",1.07,1))/$L$10, CHOOSE($M$10,$L$9,$M$9) )</f>
        <v xml:space="preserve"> 70.49 </v>
      </c>
      <c r="J291" s="173" t="str">
        <f>TEXT(   (SUMPRODUCT( ((Main!$H$9:$H$1000)=$E291)*((Main!$J$9:$J$1000)=$F291)*((Main!$O$9:$O$1000)=$C291)*(Main!S$9:S$1000) ) +  ( SUMPRODUCT( ((Adders!$D$13:$D$101)=$E291)*((Adders!$E$13:$E$101)=$F291)*(Adders!H$13:H$101)) + VLOOKUP($H291,Adders!$B$5:$G$8,M$11,FALSE)  +  MD!$D$2 ) * IF($D291="NJ",1.07,1))/$L$10, CHOOSE($M$10,$L$9,$M$9) )</f>
        <v xml:space="preserve"> 70.51 </v>
      </c>
      <c r="K291" s="174" t="str">
        <f>TEXT(   (SUMPRODUCT( ((Main!$H$9:$H$1000)=$E291)*((Main!$J$9:$J$1000)=$F291)*((Main!$O$9:$O$1000)=$C291)*(Main!T$9:T$1000) ) +  ( SUMPRODUCT( ((Adders!$D$13:$D$101)=$E291)*((Adders!$E$13:$E$101)=$F291)*(Adders!I$13:I$101)) + VLOOKUP($H291,Adders!$B$5:$G$8,$N$11,FALSE)  +  MD!$D$2 ) * IF($D291="NJ",1.07,1))/$L$10, CHOOSE($M$10,$L$9,$M$9) )</f>
        <v xml:space="preserve"> 72.20 </v>
      </c>
      <c r="L291" s="173" t="str">
        <f>TEXT(   (SUMPRODUCT( ((LMPMain!$H$9:$H$1000)=$E291)*((LMPMain!$J$9:$J$1000)=$F291)*((LMPMain!$O$9:$O$1000)=$C291)*(LMPMain!R$9:R$1000) ) +  ( SUMPRODUCT( ((Adders!$D$13:$D$101)=$E291)*((Adders!$E$13:$E$101)=$F291)*(Adders!G$13:G$101)) + VLOOKUP($H291,Adders!$B$5:$G$8,L$11,FALSE)  +  NJ!$D$2 ) * IF($D291="NJ",1.07,1))/$L$10, CHOOSE($M$10,$L$9,$M$9) )</f>
        <v xml:space="preserve"> 30.78 </v>
      </c>
      <c r="M291" s="173" t="str">
        <f>TEXT(   (SUMPRODUCT( ((LMPMain!$H$9:$H$1000)=$E291)*((LMPMain!$J$9:$J$1000)=$F291)*((LMPMain!$O$9:$O$1000)=$C291)*(LMPMain!S$9:S$1000) ) +  ( SUMPRODUCT( ((Adders!$D$13:$D$101)=$E291)*((Adders!$E$13:$E$101)=$F291)*(Adders!H$13:H$101)) + VLOOKUP($H291,Adders!$B$5:$G$8,M$11,FALSE)  +  NJ!$D$2 ) * IF($D291="NJ",1.07,1))/$L$10, CHOOSE($M$10,$L$9,$M$9) )</f>
        <v xml:space="preserve"> 30.41 </v>
      </c>
      <c r="N291" s="174" t="str">
        <f>TEXT(   (SUMPRODUCT( ((LMPMain!$H$9:$H$1000)=$E291)*((LMPMain!$J$9:$J$1000)=$F291)*((LMPMain!$O$9:$O$1000)=$C291)*(LMPMain!T$9:T$1000) ) +  ( SUMPRODUCT( ((Adders!$D$13:$D$101)=$E291)*((Adders!$E$13:$E$101)=$F291)*(Adders!I$13:I$101)) + VLOOKUP($H291,Adders!$B$5:$G$8,N$11,FALSE)  +  NJ!$D$2 ) * IF($D291="NJ",1.07,1))/$L$10, CHOOSE($M$10,$L$9,$M$9) )</f>
        <v xml:space="preserve"> 32.03 </v>
      </c>
      <c r="O291" s="112"/>
    </row>
    <row r="292" spans="2:15" x14ac:dyDescent="0.25">
      <c r="B292" s="108"/>
      <c r="C292" s="135">
        <f t="shared" si="7"/>
        <v>42401</v>
      </c>
      <c r="D292" s="136" t="s">
        <v>39</v>
      </c>
      <c r="E292" s="137" t="s">
        <v>47</v>
      </c>
      <c r="F292" s="136" t="s">
        <v>7</v>
      </c>
      <c r="G292" s="137" t="str">
        <f t="shared" si="8"/>
        <v>General Service</v>
      </c>
      <c r="H292" s="138" t="s">
        <v>690</v>
      </c>
      <c r="I292" s="176" t="str">
        <f>TEXT(   (SUMPRODUCT( ((Main!$H$9:$H$1000)=$E292)*((Main!$J$9:$J$1000)=$F292)*((Main!$O$9:$O$1000)=$C292)*(Main!R$9:R$1000) ) +  ( SUMPRODUCT( ((Adders!$D$13:$D$101)=$E292)*((Adders!$E$13:$E$101)=$F292)*(Adders!G$13:G$101)) + VLOOKUP($H292,Adders!$B$5:$G$8,L$11,FALSE)  +  MD!$D$2 ) * IF($D292="NJ",1.07,1))/$L$10, CHOOSE($M$10,$L$9,$M$9) )</f>
        <v xml:space="preserve"> 69.44 </v>
      </c>
      <c r="J292" s="176" t="str">
        <f>TEXT(   (SUMPRODUCT( ((Main!$H$9:$H$1000)=$E292)*((Main!$J$9:$J$1000)=$F292)*((Main!$O$9:$O$1000)=$C292)*(Main!S$9:S$1000) ) +  ( SUMPRODUCT( ((Adders!$D$13:$D$101)=$E292)*((Adders!$E$13:$E$101)=$F292)*(Adders!H$13:H$101)) + VLOOKUP($H292,Adders!$B$5:$G$8,M$11,FALSE)  +  MD!$D$2 ) * IF($D292="NJ",1.07,1))/$L$10, CHOOSE($M$10,$L$9,$M$9) )</f>
        <v xml:space="preserve"> 69.46 </v>
      </c>
      <c r="K292" s="177" t="str">
        <f>TEXT(   (SUMPRODUCT( ((Main!$H$9:$H$1000)=$E292)*((Main!$J$9:$J$1000)=$F292)*((Main!$O$9:$O$1000)=$C292)*(Main!T$9:T$1000) ) +  ( SUMPRODUCT( ((Adders!$D$13:$D$101)=$E292)*((Adders!$E$13:$E$101)=$F292)*(Adders!I$13:I$101)) + VLOOKUP($H292,Adders!$B$5:$G$8,$N$11,FALSE)  +  MD!$D$2 ) * IF($D292="NJ",1.07,1))/$L$10, CHOOSE($M$10,$L$9,$M$9) )</f>
        <v xml:space="preserve"> 71.15 </v>
      </c>
      <c r="L292" s="176" t="str">
        <f>TEXT(   (SUMPRODUCT( ((LMPMain!$H$9:$H$1000)=$E292)*((LMPMain!$J$9:$J$1000)=$F292)*((LMPMain!$O$9:$O$1000)=$C292)*(LMPMain!R$9:R$1000) ) +  ( SUMPRODUCT( ((Adders!$D$13:$D$101)=$E292)*((Adders!$E$13:$E$101)=$F292)*(Adders!G$13:G$101)) + VLOOKUP($H292,Adders!$B$5:$G$8,L$11,FALSE)  +  NJ!$D$2 ) * IF($D292="NJ",1.07,1))/$L$10, CHOOSE($M$10,$L$9,$M$9) )</f>
        <v xml:space="preserve"> 29.73 </v>
      </c>
      <c r="M292" s="176" t="str">
        <f>TEXT(   (SUMPRODUCT( ((LMPMain!$H$9:$H$1000)=$E292)*((LMPMain!$J$9:$J$1000)=$F292)*((LMPMain!$O$9:$O$1000)=$C292)*(LMPMain!S$9:S$1000) ) +  ( SUMPRODUCT( ((Adders!$D$13:$D$101)=$E292)*((Adders!$E$13:$E$101)=$F292)*(Adders!H$13:H$101)) + VLOOKUP($H292,Adders!$B$5:$G$8,M$11,FALSE)  +  NJ!$D$2 ) * IF($D292="NJ",1.07,1))/$L$10, CHOOSE($M$10,$L$9,$M$9) )</f>
        <v xml:space="preserve"> 29.36 </v>
      </c>
      <c r="N292" s="177" t="str">
        <f>TEXT(   (SUMPRODUCT( ((LMPMain!$H$9:$H$1000)=$E292)*((LMPMain!$J$9:$J$1000)=$F292)*((LMPMain!$O$9:$O$1000)=$C292)*(LMPMain!T$9:T$1000) ) +  ( SUMPRODUCT( ((Adders!$D$13:$D$101)=$E292)*((Adders!$E$13:$E$101)=$F292)*(Adders!I$13:I$101)) + VLOOKUP($H292,Adders!$B$5:$G$8,N$11,FALSE)  +  NJ!$D$2 ) * IF($D292="NJ",1.07,1))/$L$10, CHOOSE($M$10,$L$9,$M$9) )</f>
        <v xml:space="preserve"> 30.98 </v>
      </c>
      <c r="O292" s="112"/>
    </row>
    <row r="293" spans="2:15" x14ac:dyDescent="0.25">
      <c r="B293" s="108"/>
      <c r="C293" s="127">
        <f t="shared" si="7"/>
        <v>42430</v>
      </c>
      <c r="D293" s="128" t="s">
        <v>39</v>
      </c>
      <c r="E293" s="129" t="s">
        <v>47</v>
      </c>
      <c r="F293" s="128" t="s">
        <v>7</v>
      </c>
      <c r="G293" s="129" t="str">
        <f t="shared" si="8"/>
        <v>General Service</v>
      </c>
      <c r="H293" s="130" t="s">
        <v>61</v>
      </c>
      <c r="I293" s="178" t="str">
        <f>TEXT(   (SUMPRODUCT( ((Main!$H$9:$H$1000)=$E293)*((Main!$J$9:$J$1000)=$F293)*((Main!$O$9:$O$1000)=$C293)*(Main!R$9:R$1000) ) +  ( SUMPRODUCT( ((Adders!$D$13:$D$101)=$E293)*((Adders!$E$13:$E$101)=$F293)*(Adders!G$13:G$101)) + VLOOKUP($H293,Adders!$B$5:$G$8,L$11,FALSE)  +  MD!$D$2 ) * IF($D293="NJ",1.07,1))/$L$10, CHOOSE($M$10,$L$9,$M$9) )</f>
        <v xml:space="preserve"> 71.64 </v>
      </c>
      <c r="J293" s="178" t="str">
        <f>TEXT(   (SUMPRODUCT( ((Main!$H$9:$H$1000)=$E293)*((Main!$J$9:$J$1000)=$F293)*((Main!$O$9:$O$1000)=$C293)*(Main!S$9:S$1000) ) +  ( SUMPRODUCT( ((Adders!$D$13:$D$101)=$E293)*((Adders!$E$13:$E$101)=$F293)*(Adders!H$13:H$101)) + VLOOKUP($H293,Adders!$B$5:$G$8,M$11,FALSE)  +  MD!$D$2 ) * IF($D293="NJ",1.07,1))/$L$10, CHOOSE($M$10,$L$9,$M$9) )</f>
        <v xml:space="preserve"> 72.09 </v>
      </c>
      <c r="K293" s="179" t="str">
        <f>TEXT(   (SUMPRODUCT( ((Main!$H$9:$H$1000)=$E293)*((Main!$J$9:$J$1000)=$F293)*((Main!$O$9:$O$1000)=$C293)*(Main!T$9:T$1000) ) +  ( SUMPRODUCT( ((Adders!$D$13:$D$101)=$E293)*((Adders!$E$13:$E$101)=$F293)*(Adders!I$13:I$101)) + VLOOKUP($H293,Adders!$B$5:$G$8,$N$11,FALSE)  +  MD!$D$2 ) * IF($D293="NJ",1.07,1))/$L$10, CHOOSE($M$10,$L$9,$M$9) )</f>
        <v xml:space="preserve"> 73.98 </v>
      </c>
      <c r="L293" s="178" t="str">
        <f>TEXT(   (SUMPRODUCT( ((LMPMain!$H$9:$H$1000)=$E293)*((LMPMain!$J$9:$J$1000)=$F293)*((LMPMain!$O$9:$O$1000)=$C293)*(LMPMain!R$9:R$1000) ) +  ( SUMPRODUCT( ((Adders!$D$13:$D$101)=$E293)*((Adders!$E$13:$E$101)=$F293)*(Adders!G$13:G$101)) + VLOOKUP($H293,Adders!$B$5:$G$8,L$11,FALSE)  +  NJ!$D$2 ) * IF($D293="NJ",1.07,1))/$L$10, CHOOSE($M$10,$L$9,$M$9) )</f>
        <v xml:space="preserve"> 31.79 </v>
      </c>
      <c r="M293" s="178" t="str">
        <f>TEXT(   (SUMPRODUCT( ((LMPMain!$H$9:$H$1000)=$E293)*((LMPMain!$J$9:$J$1000)=$F293)*((LMPMain!$O$9:$O$1000)=$C293)*(LMPMain!S$9:S$1000) ) +  ( SUMPRODUCT( ((Adders!$D$13:$D$101)=$E293)*((Adders!$E$13:$E$101)=$F293)*(Adders!H$13:H$101)) + VLOOKUP($H293,Adders!$B$5:$G$8,M$11,FALSE)  +  NJ!$D$2 ) * IF($D293="NJ",1.07,1))/$L$10, CHOOSE($M$10,$L$9,$M$9) )</f>
        <v xml:space="preserve"> 32.06 </v>
      </c>
      <c r="N293" s="179" t="str">
        <f>TEXT(   (SUMPRODUCT( ((LMPMain!$H$9:$H$1000)=$E293)*((LMPMain!$J$9:$J$1000)=$F293)*((LMPMain!$O$9:$O$1000)=$C293)*(LMPMain!T$9:T$1000) ) +  ( SUMPRODUCT( ((Adders!$D$13:$D$101)=$E293)*((Adders!$E$13:$E$101)=$F293)*(Adders!I$13:I$101)) + VLOOKUP($H293,Adders!$B$5:$G$8,N$11,FALSE)  +  NJ!$D$2 ) * IF($D293="NJ",1.07,1))/$L$10, CHOOSE($M$10,$L$9,$M$9) )</f>
        <v xml:space="preserve"> 33.65 </v>
      </c>
      <c r="O293" s="112"/>
    </row>
    <row r="294" spans="2:15" x14ac:dyDescent="0.25">
      <c r="B294" s="108"/>
      <c r="C294" s="131">
        <f t="shared" si="7"/>
        <v>42430</v>
      </c>
      <c r="D294" s="132" t="s">
        <v>39</v>
      </c>
      <c r="E294" s="133" t="s">
        <v>47</v>
      </c>
      <c r="F294" s="132" t="s">
        <v>7</v>
      </c>
      <c r="G294" s="133" t="str">
        <f t="shared" si="8"/>
        <v>General Service</v>
      </c>
      <c r="H294" s="134" t="s">
        <v>62</v>
      </c>
      <c r="I294" s="173" t="str">
        <f>TEXT(   (SUMPRODUCT( ((Main!$H$9:$H$1000)=$E294)*((Main!$J$9:$J$1000)=$F294)*((Main!$O$9:$O$1000)=$C294)*(Main!R$9:R$1000) ) +  ( SUMPRODUCT( ((Adders!$D$13:$D$101)=$E294)*((Adders!$E$13:$E$101)=$F294)*(Adders!G$13:G$101)) + VLOOKUP($H294,Adders!$B$5:$G$8,L$11,FALSE)  +  MD!$D$2 ) * IF($D294="NJ",1.07,1))/$L$10, CHOOSE($M$10,$L$9,$M$9) )</f>
        <v xml:space="preserve"> 70.04 </v>
      </c>
      <c r="J294" s="173" t="str">
        <f>TEXT(   (SUMPRODUCT( ((Main!$H$9:$H$1000)=$E294)*((Main!$J$9:$J$1000)=$F294)*((Main!$O$9:$O$1000)=$C294)*(Main!S$9:S$1000) ) +  ( SUMPRODUCT( ((Adders!$D$13:$D$101)=$E294)*((Adders!$E$13:$E$101)=$F294)*(Adders!H$13:H$101)) + VLOOKUP($H294,Adders!$B$5:$G$8,M$11,FALSE)  +  MD!$D$2 ) * IF($D294="NJ",1.07,1))/$L$10, CHOOSE($M$10,$L$9,$M$9) )</f>
        <v xml:space="preserve"> 70.49 </v>
      </c>
      <c r="K294" s="174" t="str">
        <f>TEXT(   (SUMPRODUCT( ((Main!$H$9:$H$1000)=$E294)*((Main!$J$9:$J$1000)=$F294)*((Main!$O$9:$O$1000)=$C294)*(Main!T$9:T$1000) ) +  ( SUMPRODUCT( ((Adders!$D$13:$D$101)=$E294)*((Adders!$E$13:$E$101)=$F294)*(Adders!I$13:I$101)) + VLOOKUP($H294,Adders!$B$5:$G$8,$N$11,FALSE)  +  MD!$D$2 ) * IF($D294="NJ",1.07,1))/$L$10, CHOOSE($M$10,$L$9,$M$9) )</f>
        <v xml:space="preserve"> 72.38 </v>
      </c>
      <c r="L294" s="173" t="str">
        <f>TEXT(   (SUMPRODUCT( ((LMPMain!$H$9:$H$1000)=$E294)*((LMPMain!$J$9:$J$1000)=$F294)*((LMPMain!$O$9:$O$1000)=$C294)*(LMPMain!R$9:R$1000) ) +  ( SUMPRODUCT( ((Adders!$D$13:$D$101)=$E294)*((Adders!$E$13:$E$101)=$F294)*(Adders!G$13:G$101)) + VLOOKUP($H294,Adders!$B$5:$G$8,L$11,FALSE)  +  NJ!$D$2 ) * IF($D294="NJ",1.07,1))/$L$10, CHOOSE($M$10,$L$9,$M$9) )</f>
        <v xml:space="preserve"> 30.19 </v>
      </c>
      <c r="M294" s="173" t="str">
        <f>TEXT(   (SUMPRODUCT( ((LMPMain!$H$9:$H$1000)=$E294)*((LMPMain!$J$9:$J$1000)=$F294)*((LMPMain!$O$9:$O$1000)=$C294)*(LMPMain!S$9:S$1000) ) +  ( SUMPRODUCT( ((Adders!$D$13:$D$101)=$E294)*((Adders!$E$13:$E$101)=$F294)*(Adders!H$13:H$101)) + VLOOKUP($H294,Adders!$B$5:$G$8,M$11,FALSE)  +  NJ!$D$2 ) * IF($D294="NJ",1.07,1))/$L$10, CHOOSE($M$10,$L$9,$M$9) )</f>
        <v xml:space="preserve"> 30.46 </v>
      </c>
      <c r="N294" s="174" t="str">
        <f>TEXT(   (SUMPRODUCT( ((LMPMain!$H$9:$H$1000)=$E294)*((LMPMain!$J$9:$J$1000)=$F294)*((LMPMain!$O$9:$O$1000)=$C294)*(LMPMain!T$9:T$1000) ) +  ( SUMPRODUCT( ((Adders!$D$13:$D$101)=$E294)*((Adders!$E$13:$E$101)=$F294)*(Adders!I$13:I$101)) + VLOOKUP($H294,Adders!$B$5:$G$8,N$11,FALSE)  +  NJ!$D$2 ) * IF($D294="NJ",1.07,1))/$L$10, CHOOSE($M$10,$L$9,$M$9) )</f>
        <v xml:space="preserve"> 32.05 </v>
      </c>
      <c r="O294" s="112"/>
    </row>
    <row r="295" spans="2:15" x14ac:dyDescent="0.25">
      <c r="B295" s="108"/>
      <c r="C295" s="135">
        <f t="shared" si="7"/>
        <v>42430</v>
      </c>
      <c r="D295" s="136" t="s">
        <v>39</v>
      </c>
      <c r="E295" s="137" t="s">
        <v>47</v>
      </c>
      <c r="F295" s="136" t="s">
        <v>7</v>
      </c>
      <c r="G295" s="137" t="str">
        <f t="shared" si="8"/>
        <v>General Service</v>
      </c>
      <c r="H295" s="138" t="s">
        <v>690</v>
      </c>
      <c r="I295" s="176" t="str">
        <f>TEXT(   (SUMPRODUCT( ((Main!$H$9:$H$1000)=$E295)*((Main!$J$9:$J$1000)=$F295)*((Main!$O$9:$O$1000)=$C295)*(Main!R$9:R$1000) ) +  ( SUMPRODUCT( ((Adders!$D$13:$D$101)=$E295)*((Adders!$E$13:$E$101)=$F295)*(Adders!G$13:G$101)) + VLOOKUP($H295,Adders!$B$5:$G$8,L$11,FALSE)  +  MD!$D$2 ) * IF($D295="NJ",1.07,1))/$L$10, CHOOSE($M$10,$L$9,$M$9) )</f>
        <v xml:space="preserve"> 68.99 </v>
      </c>
      <c r="J295" s="176" t="str">
        <f>TEXT(   (SUMPRODUCT( ((Main!$H$9:$H$1000)=$E295)*((Main!$J$9:$J$1000)=$F295)*((Main!$O$9:$O$1000)=$C295)*(Main!S$9:S$1000) ) +  ( SUMPRODUCT( ((Adders!$D$13:$D$101)=$E295)*((Adders!$E$13:$E$101)=$F295)*(Adders!H$13:H$101)) + VLOOKUP($H295,Adders!$B$5:$G$8,M$11,FALSE)  +  MD!$D$2 ) * IF($D295="NJ",1.07,1))/$L$10, CHOOSE($M$10,$L$9,$M$9) )</f>
        <v xml:space="preserve"> 69.44 </v>
      </c>
      <c r="K295" s="177" t="str">
        <f>TEXT(   (SUMPRODUCT( ((Main!$H$9:$H$1000)=$E295)*((Main!$J$9:$J$1000)=$F295)*((Main!$O$9:$O$1000)=$C295)*(Main!T$9:T$1000) ) +  ( SUMPRODUCT( ((Adders!$D$13:$D$101)=$E295)*((Adders!$E$13:$E$101)=$F295)*(Adders!I$13:I$101)) + VLOOKUP($H295,Adders!$B$5:$G$8,$N$11,FALSE)  +  MD!$D$2 ) * IF($D295="NJ",1.07,1))/$L$10, CHOOSE($M$10,$L$9,$M$9) )</f>
        <v xml:space="preserve"> 71.33 </v>
      </c>
      <c r="L295" s="176" t="str">
        <f>TEXT(   (SUMPRODUCT( ((LMPMain!$H$9:$H$1000)=$E295)*((LMPMain!$J$9:$J$1000)=$F295)*((LMPMain!$O$9:$O$1000)=$C295)*(LMPMain!R$9:R$1000) ) +  ( SUMPRODUCT( ((Adders!$D$13:$D$101)=$E295)*((Adders!$E$13:$E$101)=$F295)*(Adders!G$13:G$101)) + VLOOKUP($H295,Adders!$B$5:$G$8,L$11,FALSE)  +  NJ!$D$2 ) * IF($D295="NJ",1.07,1))/$L$10, CHOOSE($M$10,$L$9,$M$9) )</f>
        <v xml:space="preserve"> 29.14 </v>
      </c>
      <c r="M295" s="176" t="str">
        <f>TEXT(   (SUMPRODUCT( ((LMPMain!$H$9:$H$1000)=$E295)*((LMPMain!$J$9:$J$1000)=$F295)*((LMPMain!$O$9:$O$1000)=$C295)*(LMPMain!S$9:S$1000) ) +  ( SUMPRODUCT( ((Adders!$D$13:$D$101)=$E295)*((Adders!$E$13:$E$101)=$F295)*(Adders!H$13:H$101)) + VLOOKUP($H295,Adders!$B$5:$G$8,M$11,FALSE)  +  NJ!$D$2 ) * IF($D295="NJ",1.07,1))/$L$10, CHOOSE($M$10,$L$9,$M$9) )</f>
        <v xml:space="preserve"> 29.41 </v>
      </c>
      <c r="N295" s="177" t="str">
        <f>TEXT(   (SUMPRODUCT( ((LMPMain!$H$9:$H$1000)=$E295)*((LMPMain!$J$9:$J$1000)=$F295)*((LMPMain!$O$9:$O$1000)=$C295)*(LMPMain!T$9:T$1000) ) +  ( SUMPRODUCT( ((Adders!$D$13:$D$101)=$E295)*((Adders!$E$13:$E$101)=$F295)*(Adders!I$13:I$101)) + VLOOKUP($H295,Adders!$B$5:$G$8,N$11,FALSE)  +  NJ!$D$2 ) * IF($D295="NJ",1.07,1))/$L$10, CHOOSE($M$10,$L$9,$M$9) )</f>
        <v xml:space="preserve"> 31.00 </v>
      </c>
      <c r="O295" s="112"/>
    </row>
    <row r="296" spans="2:15" x14ac:dyDescent="0.25">
      <c r="B296" s="108"/>
      <c r="C296" s="127">
        <f t="shared" si="7"/>
        <v>42461</v>
      </c>
      <c r="D296" s="128" t="s">
        <v>39</v>
      </c>
      <c r="E296" s="129" t="s">
        <v>47</v>
      </c>
      <c r="F296" s="128" t="s">
        <v>7</v>
      </c>
      <c r="G296" s="129" t="str">
        <f t="shared" si="8"/>
        <v>General Service</v>
      </c>
      <c r="H296" s="130" t="s">
        <v>61</v>
      </c>
      <c r="I296" s="178" t="str">
        <f>TEXT(   (SUMPRODUCT( ((Main!$H$9:$H$1000)=$E296)*((Main!$J$9:$J$1000)=$F296)*((Main!$O$9:$O$1000)=$C296)*(Main!R$9:R$1000) ) +  ( SUMPRODUCT( ((Adders!$D$13:$D$101)=$E296)*((Adders!$E$13:$E$101)=$F296)*(Adders!G$13:G$101)) + VLOOKUP($H296,Adders!$B$5:$G$8,L$11,FALSE)  +  MD!$D$2 ) * IF($D296="NJ",1.07,1))/$L$10, CHOOSE($M$10,$L$9,$M$9) )</f>
        <v xml:space="preserve"> 71.12 </v>
      </c>
      <c r="J296" s="178" t="str">
        <f>TEXT(   (SUMPRODUCT( ((Main!$H$9:$H$1000)=$E296)*((Main!$J$9:$J$1000)=$F296)*((Main!$O$9:$O$1000)=$C296)*(Main!S$9:S$1000) ) +  ( SUMPRODUCT( ((Adders!$D$13:$D$101)=$E296)*((Adders!$E$13:$E$101)=$F296)*(Adders!H$13:H$101)) + VLOOKUP($H296,Adders!$B$5:$G$8,M$11,FALSE)  +  MD!$D$2 ) * IF($D296="NJ",1.07,1))/$L$10, CHOOSE($M$10,$L$9,$M$9) )</f>
        <v xml:space="preserve"> 72.05 </v>
      </c>
      <c r="K296" s="179" t="str">
        <f>TEXT(   (SUMPRODUCT( ((Main!$H$9:$H$1000)=$E296)*((Main!$J$9:$J$1000)=$F296)*((Main!$O$9:$O$1000)=$C296)*(Main!T$9:T$1000) ) +  ( SUMPRODUCT( ((Adders!$D$13:$D$101)=$E296)*((Adders!$E$13:$E$101)=$F296)*(Adders!I$13:I$101)) + VLOOKUP($H296,Adders!$B$5:$G$8,$N$11,FALSE)  +  MD!$D$2 ) * IF($D296="NJ",1.07,1))/$L$10, CHOOSE($M$10,$L$9,$M$9) )</f>
        <v xml:space="preserve"> 73.99 </v>
      </c>
      <c r="L296" s="178" t="str">
        <f>TEXT(   (SUMPRODUCT( ((LMPMain!$H$9:$H$1000)=$E296)*((LMPMain!$J$9:$J$1000)=$F296)*((LMPMain!$O$9:$O$1000)=$C296)*(LMPMain!R$9:R$1000) ) +  ( SUMPRODUCT( ((Adders!$D$13:$D$101)=$E296)*((Adders!$E$13:$E$101)=$F296)*(Adders!G$13:G$101)) + VLOOKUP($H296,Adders!$B$5:$G$8,L$11,FALSE)  +  NJ!$D$2 ) * IF($D296="NJ",1.07,1))/$L$10, CHOOSE($M$10,$L$9,$M$9) )</f>
        <v xml:space="preserve"> 31.18 </v>
      </c>
      <c r="M296" s="178" t="str">
        <f>TEXT(   (SUMPRODUCT( ((LMPMain!$H$9:$H$1000)=$E296)*((LMPMain!$J$9:$J$1000)=$F296)*((LMPMain!$O$9:$O$1000)=$C296)*(LMPMain!S$9:S$1000) ) +  ( SUMPRODUCT( ((Adders!$D$13:$D$101)=$E296)*((Adders!$E$13:$E$101)=$F296)*(Adders!H$13:H$101)) + VLOOKUP($H296,Adders!$B$5:$G$8,M$11,FALSE)  +  NJ!$D$2 ) * IF($D296="NJ",1.07,1))/$L$10, CHOOSE($M$10,$L$9,$M$9) )</f>
        <v xml:space="preserve"> 32.26 </v>
      </c>
      <c r="N296" s="179" t="str">
        <f>TEXT(   (SUMPRODUCT( ((LMPMain!$H$9:$H$1000)=$E296)*((LMPMain!$J$9:$J$1000)=$F296)*((LMPMain!$O$9:$O$1000)=$C296)*(LMPMain!T$9:T$1000) ) +  ( SUMPRODUCT( ((Adders!$D$13:$D$101)=$E296)*((Adders!$E$13:$E$101)=$F296)*(Adders!I$13:I$101)) + VLOOKUP($H296,Adders!$B$5:$G$8,N$11,FALSE)  +  NJ!$D$2 ) * IF($D296="NJ",1.07,1))/$L$10, CHOOSE($M$10,$L$9,$M$9) )</f>
        <v xml:space="preserve"> 33.69 </v>
      </c>
      <c r="O296" s="112"/>
    </row>
    <row r="297" spans="2:15" x14ac:dyDescent="0.25">
      <c r="B297" s="108"/>
      <c r="C297" s="131">
        <f t="shared" si="7"/>
        <v>42461</v>
      </c>
      <c r="D297" s="132" t="s">
        <v>39</v>
      </c>
      <c r="E297" s="133" t="s">
        <v>47</v>
      </c>
      <c r="F297" s="132" t="s">
        <v>7</v>
      </c>
      <c r="G297" s="133" t="str">
        <f t="shared" si="8"/>
        <v>General Service</v>
      </c>
      <c r="H297" s="134" t="s">
        <v>62</v>
      </c>
      <c r="I297" s="173" t="str">
        <f>TEXT(   (SUMPRODUCT( ((Main!$H$9:$H$1000)=$E297)*((Main!$J$9:$J$1000)=$F297)*((Main!$O$9:$O$1000)=$C297)*(Main!R$9:R$1000) ) +  ( SUMPRODUCT( ((Adders!$D$13:$D$101)=$E297)*((Adders!$E$13:$E$101)=$F297)*(Adders!G$13:G$101)) + VLOOKUP($H297,Adders!$B$5:$G$8,L$11,FALSE)  +  MD!$D$2 ) * IF($D297="NJ",1.07,1))/$L$10, CHOOSE($M$10,$L$9,$M$9) )</f>
        <v xml:space="preserve"> 69.52 </v>
      </c>
      <c r="J297" s="173" t="str">
        <f>TEXT(   (SUMPRODUCT( ((Main!$H$9:$H$1000)=$E297)*((Main!$J$9:$J$1000)=$F297)*((Main!$O$9:$O$1000)=$C297)*(Main!S$9:S$1000) ) +  ( SUMPRODUCT( ((Adders!$D$13:$D$101)=$E297)*((Adders!$E$13:$E$101)=$F297)*(Adders!H$13:H$101)) + VLOOKUP($H297,Adders!$B$5:$G$8,M$11,FALSE)  +  MD!$D$2 ) * IF($D297="NJ",1.07,1))/$L$10, CHOOSE($M$10,$L$9,$M$9) )</f>
        <v xml:space="preserve"> 70.45 </v>
      </c>
      <c r="K297" s="174" t="str">
        <f>TEXT(   (SUMPRODUCT( ((Main!$H$9:$H$1000)=$E297)*((Main!$J$9:$J$1000)=$F297)*((Main!$O$9:$O$1000)=$C297)*(Main!T$9:T$1000) ) +  ( SUMPRODUCT( ((Adders!$D$13:$D$101)=$E297)*((Adders!$E$13:$E$101)=$F297)*(Adders!I$13:I$101)) + VLOOKUP($H297,Adders!$B$5:$G$8,$N$11,FALSE)  +  MD!$D$2 ) * IF($D297="NJ",1.07,1))/$L$10, CHOOSE($M$10,$L$9,$M$9) )</f>
        <v xml:space="preserve"> 72.39 </v>
      </c>
      <c r="L297" s="173" t="str">
        <f>TEXT(   (SUMPRODUCT( ((LMPMain!$H$9:$H$1000)=$E297)*((LMPMain!$J$9:$J$1000)=$F297)*((LMPMain!$O$9:$O$1000)=$C297)*(LMPMain!R$9:R$1000) ) +  ( SUMPRODUCT( ((Adders!$D$13:$D$101)=$E297)*((Adders!$E$13:$E$101)=$F297)*(Adders!G$13:G$101)) + VLOOKUP($H297,Adders!$B$5:$G$8,L$11,FALSE)  +  NJ!$D$2 ) * IF($D297="NJ",1.07,1))/$L$10, CHOOSE($M$10,$L$9,$M$9) )</f>
        <v xml:space="preserve"> 29.58 </v>
      </c>
      <c r="M297" s="173" t="str">
        <f>TEXT(   (SUMPRODUCT( ((LMPMain!$H$9:$H$1000)=$E297)*((LMPMain!$J$9:$J$1000)=$F297)*((LMPMain!$O$9:$O$1000)=$C297)*(LMPMain!S$9:S$1000) ) +  ( SUMPRODUCT( ((Adders!$D$13:$D$101)=$E297)*((Adders!$E$13:$E$101)=$F297)*(Adders!H$13:H$101)) + VLOOKUP($H297,Adders!$B$5:$G$8,M$11,FALSE)  +  NJ!$D$2 ) * IF($D297="NJ",1.07,1))/$L$10, CHOOSE($M$10,$L$9,$M$9) )</f>
        <v xml:space="preserve"> 30.66 </v>
      </c>
      <c r="N297" s="174" t="str">
        <f>TEXT(   (SUMPRODUCT( ((LMPMain!$H$9:$H$1000)=$E297)*((LMPMain!$J$9:$J$1000)=$F297)*((LMPMain!$O$9:$O$1000)=$C297)*(LMPMain!T$9:T$1000) ) +  ( SUMPRODUCT( ((Adders!$D$13:$D$101)=$E297)*((Adders!$E$13:$E$101)=$F297)*(Adders!I$13:I$101)) + VLOOKUP($H297,Adders!$B$5:$G$8,N$11,FALSE)  +  NJ!$D$2 ) * IF($D297="NJ",1.07,1))/$L$10, CHOOSE($M$10,$L$9,$M$9) )</f>
        <v xml:space="preserve"> 32.09 </v>
      </c>
      <c r="O297" s="112"/>
    </row>
    <row r="298" spans="2:15" x14ac:dyDescent="0.25">
      <c r="B298" s="108"/>
      <c r="C298" s="135">
        <f t="shared" si="7"/>
        <v>42461</v>
      </c>
      <c r="D298" s="136" t="s">
        <v>39</v>
      </c>
      <c r="E298" s="137" t="s">
        <v>47</v>
      </c>
      <c r="F298" s="136" t="s">
        <v>7</v>
      </c>
      <c r="G298" s="137" t="str">
        <f t="shared" si="8"/>
        <v>General Service</v>
      </c>
      <c r="H298" s="138" t="s">
        <v>690</v>
      </c>
      <c r="I298" s="176" t="str">
        <f>TEXT(   (SUMPRODUCT( ((Main!$H$9:$H$1000)=$E298)*((Main!$J$9:$J$1000)=$F298)*((Main!$O$9:$O$1000)=$C298)*(Main!R$9:R$1000) ) +  ( SUMPRODUCT( ((Adders!$D$13:$D$101)=$E298)*((Adders!$E$13:$E$101)=$F298)*(Adders!G$13:G$101)) + VLOOKUP($H298,Adders!$B$5:$G$8,L$11,FALSE)  +  MD!$D$2 ) * IF($D298="NJ",1.07,1))/$L$10, CHOOSE($M$10,$L$9,$M$9) )</f>
        <v xml:space="preserve"> 68.47 </v>
      </c>
      <c r="J298" s="176" t="str">
        <f>TEXT(   (SUMPRODUCT( ((Main!$H$9:$H$1000)=$E298)*((Main!$J$9:$J$1000)=$F298)*((Main!$O$9:$O$1000)=$C298)*(Main!S$9:S$1000) ) +  ( SUMPRODUCT( ((Adders!$D$13:$D$101)=$E298)*((Adders!$E$13:$E$101)=$F298)*(Adders!H$13:H$101)) + VLOOKUP($H298,Adders!$B$5:$G$8,M$11,FALSE)  +  MD!$D$2 ) * IF($D298="NJ",1.07,1))/$L$10, CHOOSE($M$10,$L$9,$M$9) )</f>
        <v xml:space="preserve"> 69.40 </v>
      </c>
      <c r="K298" s="177" t="str">
        <f>TEXT(   (SUMPRODUCT( ((Main!$H$9:$H$1000)=$E298)*((Main!$J$9:$J$1000)=$F298)*((Main!$O$9:$O$1000)=$C298)*(Main!T$9:T$1000) ) +  ( SUMPRODUCT( ((Adders!$D$13:$D$101)=$E298)*((Adders!$E$13:$E$101)=$F298)*(Adders!I$13:I$101)) + VLOOKUP($H298,Adders!$B$5:$G$8,$N$11,FALSE)  +  MD!$D$2 ) * IF($D298="NJ",1.07,1))/$L$10, CHOOSE($M$10,$L$9,$M$9) )</f>
        <v xml:space="preserve"> 71.34 </v>
      </c>
      <c r="L298" s="176" t="str">
        <f>TEXT(   (SUMPRODUCT( ((LMPMain!$H$9:$H$1000)=$E298)*((LMPMain!$J$9:$J$1000)=$F298)*((LMPMain!$O$9:$O$1000)=$C298)*(LMPMain!R$9:R$1000) ) +  ( SUMPRODUCT( ((Adders!$D$13:$D$101)=$E298)*((Adders!$E$13:$E$101)=$F298)*(Adders!G$13:G$101)) + VLOOKUP($H298,Adders!$B$5:$G$8,L$11,FALSE)  +  NJ!$D$2 ) * IF($D298="NJ",1.07,1))/$L$10, CHOOSE($M$10,$L$9,$M$9) )</f>
        <v xml:space="preserve"> 28.53 </v>
      </c>
      <c r="M298" s="176" t="str">
        <f>TEXT(   (SUMPRODUCT( ((LMPMain!$H$9:$H$1000)=$E298)*((LMPMain!$J$9:$J$1000)=$F298)*((LMPMain!$O$9:$O$1000)=$C298)*(LMPMain!S$9:S$1000) ) +  ( SUMPRODUCT( ((Adders!$D$13:$D$101)=$E298)*((Adders!$E$13:$E$101)=$F298)*(Adders!H$13:H$101)) + VLOOKUP($H298,Adders!$B$5:$G$8,M$11,FALSE)  +  NJ!$D$2 ) * IF($D298="NJ",1.07,1))/$L$10, CHOOSE($M$10,$L$9,$M$9) )</f>
        <v xml:space="preserve"> 29.61 </v>
      </c>
      <c r="N298" s="177" t="str">
        <f>TEXT(   (SUMPRODUCT( ((LMPMain!$H$9:$H$1000)=$E298)*((LMPMain!$J$9:$J$1000)=$F298)*((LMPMain!$O$9:$O$1000)=$C298)*(LMPMain!T$9:T$1000) ) +  ( SUMPRODUCT( ((Adders!$D$13:$D$101)=$E298)*((Adders!$E$13:$E$101)=$F298)*(Adders!I$13:I$101)) + VLOOKUP($H298,Adders!$B$5:$G$8,N$11,FALSE)  +  NJ!$D$2 ) * IF($D298="NJ",1.07,1))/$L$10, CHOOSE($M$10,$L$9,$M$9) )</f>
        <v xml:space="preserve"> 31.04 </v>
      </c>
      <c r="O298" s="112"/>
    </row>
    <row r="299" spans="2:15" x14ac:dyDescent="0.25">
      <c r="B299" s="108"/>
      <c r="C299" s="127">
        <f t="shared" si="7"/>
        <v>42491</v>
      </c>
      <c r="D299" s="128" t="s">
        <v>39</v>
      </c>
      <c r="E299" s="129" t="s">
        <v>47</v>
      </c>
      <c r="F299" s="128" t="s">
        <v>7</v>
      </c>
      <c r="G299" s="129" t="str">
        <f t="shared" si="8"/>
        <v>General Service</v>
      </c>
      <c r="H299" s="130" t="s">
        <v>61</v>
      </c>
      <c r="I299" s="178" t="str">
        <f>TEXT(   (SUMPRODUCT( ((Main!$H$9:$H$1000)=$E299)*((Main!$J$9:$J$1000)=$F299)*((Main!$O$9:$O$1000)=$C299)*(Main!R$9:R$1000) ) +  ( SUMPRODUCT( ((Adders!$D$13:$D$101)=$E299)*((Adders!$E$13:$E$101)=$F299)*(Adders!G$13:G$101)) + VLOOKUP($H299,Adders!$B$5:$G$8,L$11,FALSE)  +  MD!$D$2 ) * IF($D299="NJ",1.07,1))/$L$10, CHOOSE($M$10,$L$9,$M$9) )</f>
        <v xml:space="preserve"> 70.53 </v>
      </c>
      <c r="J299" s="178" t="str">
        <f>TEXT(   (SUMPRODUCT( ((Main!$H$9:$H$1000)=$E299)*((Main!$J$9:$J$1000)=$F299)*((Main!$O$9:$O$1000)=$C299)*(Main!S$9:S$1000) ) +  ( SUMPRODUCT( ((Adders!$D$13:$D$101)=$E299)*((Adders!$E$13:$E$101)=$F299)*(Adders!H$13:H$101)) + VLOOKUP($H299,Adders!$B$5:$G$8,M$11,FALSE)  +  MD!$D$2 ) * IF($D299="NJ",1.07,1))/$L$10, CHOOSE($M$10,$L$9,$M$9) )</f>
        <v xml:space="preserve"> 72.39 </v>
      </c>
      <c r="K299" s="179" t="str">
        <f>TEXT(   (SUMPRODUCT( ((Main!$H$9:$H$1000)=$E299)*((Main!$J$9:$J$1000)=$F299)*((Main!$O$9:$O$1000)=$C299)*(Main!T$9:T$1000) ) +  ( SUMPRODUCT( ((Adders!$D$13:$D$101)=$E299)*((Adders!$E$13:$E$101)=$F299)*(Adders!I$13:I$101)) + VLOOKUP($H299,Adders!$B$5:$G$8,$N$11,FALSE)  +  MD!$D$2 ) * IF($D299="NJ",1.07,1))/$L$10, CHOOSE($M$10,$L$9,$M$9) )</f>
        <v xml:space="preserve"> 74.08 </v>
      </c>
      <c r="L299" s="178" t="str">
        <f>TEXT(   (SUMPRODUCT( ((LMPMain!$H$9:$H$1000)=$E299)*((LMPMain!$J$9:$J$1000)=$F299)*((LMPMain!$O$9:$O$1000)=$C299)*(LMPMain!R$9:R$1000) ) +  ( SUMPRODUCT( ((Adders!$D$13:$D$101)=$E299)*((Adders!$E$13:$E$101)=$F299)*(Adders!G$13:G$101)) + VLOOKUP($H299,Adders!$B$5:$G$8,L$11,FALSE)  +  NJ!$D$2 ) * IF($D299="NJ",1.07,1))/$L$10, CHOOSE($M$10,$L$9,$M$9) )</f>
        <v xml:space="preserve"> 30.61 </v>
      </c>
      <c r="M299" s="178" t="str">
        <f>TEXT(   (SUMPRODUCT( ((LMPMain!$H$9:$H$1000)=$E299)*((LMPMain!$J$9:$J$1000)=$F299)*((LMPMain!$O$9:$O$1000)=$C299)*(LMPMain!S$9:S$1000) ) +  ( SUMPRODUCT( ((Adders!$D$13:$D$101)=$E299)*((Adders!$E$13:$E$101)=$F299)*(Adders!H$13:H$101)) + VLOOKUP($H299,Adders!$B$5:$G$8,M$11,FALSE)  +  NJ!$D$2 ) * IF($D299="NJ",1.07,1))/$L$10, CHOOSE($M$10,$L$9,$M$9) )</f>
        <v xml:space="preserve"> 32.58 </v>
      </c>
      <c r="N299" s="179" t="str">
        <f>TEXT(   (SUMPRODUCT( ((LMPMain!$H$9:$H$1000)=$E299)*((LMPMain!$J$9:$J$1000)=$F299)*((LMPMain!$O$9:$O$1000)=$C299)*(LMPMain!T$9:T$1000) ) +  ( SUMPRODUCT( ((Adders!$D$13:$D$101)=$E299)*((Adders!$E$13:$E$101)=$F299)*(Adders!I$13:I$101)) + VLOOKUP($H299,Adders!$B$5:$G$8,N$11,FALSE)  +  NJ!$D$2 ) * IF($D299="NJ",1.07,1))/$L$10, CHOOSE($M$10,$L$9,$M$9) )</f>
        <v xml:space="preserve"> 33.73 </v>
      </c>
      <c r="O299" s="112"/>
    </row>
    <row r="300" spans="2:15" x14ac:dyDescent="0.25">
      <c r="B300" s="108"/>
      <c r="C300" s="131">
        <f t="shared" si="7"/>
        <v>42491</v>
      </c>
      <c r="D300" s="132" t="s">
        <v>39</v>
      </c>
      <c r="E300" s="133" t="s">
        <v>47</v>
      </c>
      <c r="F300" s="132" t="s">
        <v>7</v>
      </c>
      <c r="G300" s="133" t="str">
        <f t="shared" si="8"/>
        <v>General Service</v>
      </c>
      <c r="H300" s="134" t="s">
        <v>62</v>
      </c>
      <c r="I300" s="173" t="str">
        <f>TEXT(   (SUMPRODUCT( ((Main!$H$9:$H$1000)=$E300)*((Main!$J$9:$J$1000)=$F300)*((Main!$O$9:$O$1000)=$C300)*(Main!R$9:R$1000) ) +  ( SUMPRODUCT( ((Adders!$D$13:$D$101)=$E300)*((Adders!$E$13:$E$101)=$F300)*(Adders!G$13:G$101)) + VLOOKUP($H300,Adders!$B$5:$G$8,L$11,FALSE)  +  MD!$D$2 ) * IF($D300="NJ",1.07,1))/$L$10, CHOOSE($M$10,$L$9,$M$9) )</f>
        <v xml:space="preserve"> 68.93 </v>
      </c>
      <c r="J300" s="173" t="str">
        <f>TEXT(   (SUMPRODUCT( ((Main!$H$9:$H$1000)=$E300)*((Main!$J$9:$J$1000)=$F300)*((Main!$O$9:$O$1000)=$C300)*(Main!S$9:S$1000) ) +  ( SUMPRODUCT( ((Adders!$D$13:$D$101)=$E300)*((Adders!$E$13:$E$101)=$F300)*(Adders!H$13:H$101)) + VLOOKUP($H300,Adders!$B$5:$G$8,M$11,FALSE)  +  MD!$D$2 ) * IF($D300="NJ",1.07,1))/$L$10, CHOOSE($M$10,$L$9,$M$9) )</f>
        <v xml:space="preserve"> 70.79 </v>
      </c>
      <c r="K300" s="174" t="str">
        <f>TEXT(   (SUMPRODUCT( ((Main!$H$9:$H$1000)=$E300)*((Main!$J$9:$J$1000)=$F300)*((Main!$O$9:$O$1000)=$C300)*(Main!T$9:T$1000) ) +  ( SUMPRODUCT( ((Adders!$D$13:$D$101)=$E300)*((Adders!$E$13:$E$101)=$F300)*(Adders!I$13:I$101)) + VLOOKUP($H300,Adders!$B$5:$G$8,$N$11,FALSE)  +  MD!$D$2 ) * IF($D300="NJ",1.07,1))/$L$10, CHOOSE($M$10,$L$9,$M$9) )</f>
        <v xml:space="preserve"> 72.48 </v>
      </c>
      <c r="L300" s="173" t="str">
        <f>TEXT(   (SUMPRODUCT( ((LMPMain!$H$9:$H$1000)=$E300)*((LMPMain!$J$9:$J$1000)=$F300)*((LMPMain!$O$9:$O$1000)=$C300)*(LMPMain!R$9:R$1000) ) +  ( SUMPRODUCT( ((Adders!$D$13:$D$101)=$E300)*((Adders!$E$13:$E$101)=$F300)*(Adders!G$13:G$101)) + VLOOKUP($H300,Adders!$B$5:$G$8,L$11,FALSE)  +  NJ!$D$2 ) * IF($D300="NJ",1.07,1))/$L$10, CHOOSE($M$10,$L$9,$M$9) )</f>
        <v xml:space="preserve"> 29.01 </v>
      </c>
      <c r="M300" s="173" t="str">
        <f>TEXT(   (SUMPRODUCT( ((LMPMain!$H$9:$H$1000)=$E300)*((LMPMain!$J$9:$J$1000)=$F300)*((LMPMain!$O$9:$O$1000)=$C300)*(LMPMain!S$9:S$1000) ) +  ( SUMPRODUCT( ((Adders!$D$13:$D$101)=$E300)*((Adders!$E$13:$E$101)=$F300)*(Adders!H$13:H$101)) + VLOOKUP($H300,Adders!$B$5:$G$8,M$11,FALSE)  +  NJ!$D$2 ) * IF($D300="NJ",1.07,1))/$L$10, CHOOSE($M$10,$L$9,$M$9) )</f>
        <v xml:space="preserve"> 30.98 </v>
      </c>
      <c r="N300" s="174" t="str">
        <f>TEXT(   (SUMPRODUCT( ((LMPMain!$H$9:$H$1000)=$E300)*((LMPMain!$J$9:$J$1000)=$F300)*((LMPMain!$O$9:$O$1000)=$C300)*(LMPMain!T$9:T$1000) ) +  ( SUMPRODUCT( ((Adders!$D$13:$D$101)=$E300)*((Adders!$E$13:$E$101)=$F300)*(Adders!I$13:I$101)) + VLOOKUP($H300,Adders!$B$5:$G$8,N$11,FALSE)  +  NJ!$D$2 ) * IF($D300="NJ",1.07,1))/$L$10, CHOOSE($M$10,$L$9,$M$9) )</f>
        <v xml:space="preserve"> 32.13 </v>
      </c>
      <c r="O300" s="112"/>
    </row>
    <row r="301" spans="2:15" ht="15.75" thickBot="1" x14ac:dyDescent="0.3">
      <c r="B301" s="108"/>
      <c r="C301" s="135">
        <f t="shared" si="7"/>
        <v>42491</v>
      </c>
      <c r="D301" s="136" t="s">
        <v>39</v>
      </c>
      <c r="E301" s="137" t="s">
        <v>47</v>
      </c>
      <c r="F301" s="136" t="s">
        <v>7</v>
      </c>
      <c r="G301" s="137" t="str">
        <f t="shared" si="8"/>
        <v>General Service</v>
      </c>
      <c r="H301" s="138" t="s">
        <v>690</v>
      </c>
      <c r="I301" s="176" t="str">
        <f>TEXT(   (SUMPRODUCT( ((Main!$H$9:$H$1000)=$E301)*((Main!$J$9:$J$1000)=$F301)*((Main!$O$9:$O$1000)=$C301)*(Main!R$9:R$1000) ) +  ( SUMPRODUCT( ((Adders!$D$13:$D$101)=$E301)*((Adders!$E$13:$E$101)=$F301)*(Adders!G$13:G$101)) + VLOOKUP($H301,Adders!$B$5:$G$8,L$11,FALSE)  +  MD!$D$2 ) * IF($D301="NJ",1.07,1))/$L$10, CHOOSE($M$10,$L$9,$M$9) )</f>
        <v xml:space="preserve"> 67.88 </v>
      </c>
      <c r="J301" s="176" t="str">
        <f>TEXT(   (SUMPRODUCT( ((Main!$H$9:$H$1000)=$E301)*((Main!$J$9:$J$1000)=$F301)*((Main!$O$9:$O$1000)=$C301)*(Main!S$9:S$1000) ) +  ( SUMPRODUCT( ((Adders!$D$13:$D$101)=$E301)*((Adders!$E$13:$E$101)=$F301)*(Adders!H$13:H$101)) + VLOOKUP($H301,Adders!$B$5:$G$8,M$11,FALSE)  +  MD!$D$2 ) * IF($D301="NJ",1.07,1))/$L$10, CHOOSE($M$10,$L$9,$M$9) )</f>
        <v xml:space="preserve"> 69.74 </v>
      </c>
      <c r="K301" s="203" t="str">
        <f>TEXT(   (SUMPRODUCT( ((Main!$H$9:$H$1000)=$E301)*((Main!$J$9:$J$1000)=$F301)*((Main!$O$9:$O$1000)=$C301)*(Main!T$9:T$1000) ) +  ( SUMPRODUCT( ((Adders!$D$13:$D$101)=$E301)*((Adders!$E$13:$E$101)=$F301)*(Adders!I$13:I$101)) + VLOOKUP($H301,Adders!$B$5:$G$8,$N$11,FALSE)  +  MD!$D$2 ) * IF($D301="NJ",1.07,1))/$L$10, CHOOSE($M$10,$L$9,$M$9) )</f>
        <v xml:space="preserve"> 71.43 </v>
      </c>
      <c r="L301" s="176" t="str">
        <f>TEXT(   (SUMPRODUCT( ((LMPMain!$H$9:$H$1000)=$E301)*((LMPMain!$J$9:$J$1000)=$F301)*((LMPMain!$O$9:$O$1000)=$C301)*(LMPMain!R$9:R$1000) ) +  ( SUMPRODUCT( ((Adders!$D$13:$D$101)=$E301)*((Adders!$E$13:$E$101)=$F301)*(Adders!G$13:G$101)) + VLOOKUP($H301,Adders!$B$5:$G$8,L$11,FALSE)  +  NJ!$D$2 ) * IF($D301="NJ",1.07,1))/$L$10, CHOOSE($M$10,$L$9,$M$9) )</f>
        <v xml:space="preserve"> 27.96 </v>
      </c>
      <c r="M301" s="176" t="str">
        <f>TEXT(   (SUMPRODUCT( ((LMPMain!$H$9:$H$1000)=$E301)*((LMPMain!$J$9:$J$1000)=$F301)*((LMPMain!$O$9:$O$1000)=$C301)*(LMPMain!S$9:S$1000) ) +  ( SUMPRODUCT( ((Adders!$D$13:$D$101)=$E301)*((Adders!$E$13:$E$101)=$F301)*(Adders!H$13:H$101)) + VLOOKUP($H301,Adders!$B$5:$G$8,M$11,FALSE)  +  NJ!$D$2 ) * IF($D301="NJ",1.07,1))/$L$10, CHOOSE($M$10,$L$9,$M$9) )</f>
        <v xml:space="preserve"> 29.93 </v>
      </c>
      <c r="N301" s="203" t="str">
        <f>TEXT(   (SUMPRODUCT( ((LMPMain!$H$9:$H$1000)=$E301)*((LMPMain!$J$9:$J$1000)=$F301)*((LMPMain!$O$9:$O$1000)=$C301)*(LMPMain!T$9:T$1000) ) +  ( SUMPRODUCT( ((Adders!$D$13:$D$101)=$E301)*((Adders!$E$13:$E$101)=$F301)*(Adders!I$13:I$101)) + VLOOKUP($H301,Adders!$B$5:$G$8,N$11,FALSE)  +  NJ!$D$2 ) * IF($D301="NJ",1.07,1))/$L$10, CHOOSE($M$10,$L$9,$M$9) )</f>
        <v xml:space="preserve"> 31.08 </v>
      </c>
      <c r="O301" s="112"/>
    </row>
    <row r="302" spans="2:15" s="2" customFormat="1" ht="7.5" customHeight="1" thickBot="1" x14ac:dyDescent="0.2">
      <c r="B302" s="5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7"/>
    </row>
    <row r="303" spans="2:15" s="2" customFormat="1" ht="15.75" x14ac:dyDescent="0.25">
      <c r="B303" s="5"/>
      <c r="C303" s="165" t="s">
        <v>739</v>
      </c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4"/>
      <c r="O303" s="7"/>
    </row>
    <row r="304" spans="2:15" s="2" customFormat="1" ht="10.5" x14ac:dyDescent="0.15">
      <c r="B304" s="5"/>
      <c r="C304" s="5" t="s">
        <v>740</v>
      </c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7"/>
      <c r="O304" s="7"/>
    </row>
    <row r="305" spans="2:15" s="2" customFormat="1" ht="10.5" x14ac:dyDescent="0.15">
      <c r="B305" s="5"/>
      <c r="C305" s="5" t="s">
        <v>741</v>
      </c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7"/>
      <c r="O305" s="7"/>
    </row>
    <row r="306" spans="2:15" s="2" customFormat="1" ht="10.5" x14ac:dyDescent="0.15">
      <c r="B306" s="5"/>
      <c r="C306" s="5" t="s">
        <v>742</v>
      </c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7"/>
      <c r="O306" s="7"/>
    </row>
    <row r="307" spans="2:15" s="2" customFormat="1" ht="10.5" x14ac:dyDescent="0.15">
      <c r="B307" s="5"/>
      <c r="C307" s="5" t="s">
        <v>743</v>
      </c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7"/>
      <c r="O307" s="7"/>
    </row>
    <row r="308" spans="2:15" s="2" customFormat="1" ht="10.5" x14ac:dyDescent="0.15">
      <c r="B308" s="5"/>
      <c r="C308" s="5" t="s">
        <v>744</v>
      </c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7"/>
      <c r="O308" s="7"/>
    </row>
    <row r="309" spans="2:15" s="2" customFormat="1" ht="10.5" x14ac:dyDescent="0.15">
      <c r="B309" s="5"/>
      <c r="C309" s="5" t="s">
        <v>745</v>
      </c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7"/>
      <c r="O309" s="7"/>
    </row>
    <row r="310" spans="2:15" s="2" customFormat="1" ht="11.25" thickBot="1" x14ac:dyDescent="0.2">
      <c r="B310" s="5"/>
      <c r="C310" s="5" t="s">
        <v>746</v>
      </c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7"/>
      <c r="O310" s="7"/>
    </row>
    <row r="311" spans="2:15" s="2" customFormat="1" ht="15.75" thickBot="1" x14ac:dyDescent="0.3">
      <c r="B311" s="5"/>
      <c r="C311" s="8" t="s">
        <v>19</v>
      </c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10"/>
      <c r="O311" s="7"/>
    </row>
    <row r="312" spans="2:15" ht="15.75" thickBot="1" x14ac:dyDescent="0.3">
      <c r="B312" s="139"/>
      <c r="C312" s="140"/>
      <c r="D312" s="140"/>
      <c r="E312" s="140"/>
      <c r="F312" s="140"/>
      <c r="G312" s="140"/>
      <c r="H312" s="140"/>
      <c r="I312" s="140"/>
      <c r="J312" s="140"/>
      <c r="K312" s="140"/>
      <c r="L312" s="140"/>
      <c r="M312" s="140"/>
      <c r="N312" s="140"/>
      <c r="O312" s="141"/>
    </row>
  </sheetData>
  <sheetProtection algorithmName="SHA-512" hashValue="ZaPkYRKTcDd2McHtBTtjKuy7LnbDMZbFrUAjO4m5KNOFM9cBeC8+NOS+esylYSUuQGjaeHU3lC5mhiopsOXyAQ==" saltValue="qT836wAusvUqxAnru/cbiQ==" spinCount="100000" sheet="1" scenarios="1" autoFilter="0"/>
  <autoFilter ref="C13:H13"/>
  <mergeCells count="3">
    <mergeCell ref="C6:F7"/>
    <mergeCell ref="C8:C9"/>
    <mergeCell ref="M2:N2"/>
  </mergeCells>
  <dataValidations disablePrompts="1" count="2">
    <dataValidation type="list" allowBlank="1" showInputMessage="1" showErrorMessage="1" sqref="M2:N2">
      <formula1>"Prices in $/MWh,Prices in $/kWh"</formula1>
    </dataValidation>
    <dataValidation type="decimal" allowBlank="1" showErrorMessage="1" errorTitle="Invalid Input" error="Please enter numerical value." promptTitle="Broker Fee" sqref="D2">
      <formula1>-99</formula1>
      <formula2>99</formula2>
    </dataValidation>
  </dataValidations>
  <printOptions horizontalCentered="1"/>
  <pageMargins left="0.5" right="0.45" top="0.5" bottom="0.5" header="0.3" footer="0.3"/>
  <pageSetup scale="67" fitToHeight="7" orientation="portrait" r:id="rId1"/>
  <headerFooter>
    <oddFooter>Page &amp;P of &amp;N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-0.249977111117893"/>
    <pageSetUpPr autoPageBreaks="0"/>
  </sheetPr>
  <dimension ref="A1:U895"/>
  <sheetViews>
    <sheetView showGridLines="0" zoomScale="85" zoomScaleNormal="85" workbookViewId="0">
      <pane xSplit="5" ySplit="8" topLeftCell="F9" activePane="bottomRight" state="frozen"/>
      <selection activeCell="A2" sqref="A2:F2"/>
      <selection pane="topRight" activeCell="A2" sqref="A2:F2"/>
      <selection pane="bottomLeft" activeCell="A2" sqref="A2:F2"/>
      <selection pane="bottomRight" activeCell="A2" sqref="A2:F2"/>
    </sheetView>
  </sheetViews>
  <sheetFormatPr defaultRowHeight="11.25" x14ac:dyDescent="0.2"/>
  <cols>
    <col min="1" max="1" width="3.83203125" style="15" customWidth="1"/>
    <col min="2" max="4" width="9.33203125" style="15"/>
    <col min="5" max="5" width="22.6640625" style="15" customWidth="1"/>
    <col min="6" max="7" width="9.33203125" style="15"/>
    <col min="8" max="9" width="16.1640625" style="15" bestFit="1" customWidth="1"/>
    <col min="10" max="10" width="9.33203125" style="15"/>
    <col min="11" max="11" width="22.6640625" style="15" customWidth="1"/>
    <col min="12" max="16384" width="9.33203125" style="15"/>
  </cols>
  <sheetData>
    <row r="1" spans="1:21" ht="15.75" x14ac:dyDescent="0.25">
      <c r="B1" s="12" t="s">
        <v>88</v>
      </c>
      <c r="C1" s="13"/>
      <c r="D1" s="13"/>
      <c r="E1" s="13"/>
      <c r="F1" s="13"/>
      <c r="G1" s="13"/>
      <c r="H1" s="13"/>
      <c r="I1" s="13"/>
      <c r="J1" s="14" t="s">
        <v>89</v>
      </c>
      <c r="K1" s="13"/>
      <c r="O1" s="80"/>
      <c r="P1" s="14" t="s">
        <v>107</v>
      </c>
      <c r="Q1" s="13"/>
      <c r="S1" s="146" t="s">
        <v>108</v>
      </c>
      <c r="T1" s="147"/>
    </row>
    <row r="2" spans="1:21" x14ac:dyDescent="0.2">
      <c r="B2" s="13"/>
      <c r="C2" s="13"/>
      <c r="D2" s="13"/>
      <c r="E2" s="13"/>
      <c r="F2" s="13"/>
      <c r="G2" s="13"/>
      <c r="H2" s="13"/>
      <c r="I2" s="13"/>
      <c r="J2" s="16" t="s">
        <v>75</v>
      </c>
      <c r="K2" s="188">
        <v>42129</v>
      </c>
      <c r="N2" s="17"/>
      <c r="O2" s="16" t="s">
        <v>87</v>
      </c>
      <c r="P2" s="218" t="s">
        <v>109</v>
      </c>
      <c r="Q2" s="218"/>
      <c r="S2" s="148" t="s">
        <v>110</v>
      </c>
      <c r="T2" s="149">
        <v>41792</v>
      </c>
    </row>
    <row r="3" spans="1:21" x14ac:dyDescent="0.2">
      <c r="B3" s="18">
        <v>895</v>
      </c>
      <c r="C3" s="13" t="s">
        <v>80</v>
      </c>
      <c r="D3" s="13"/>
      <c r="E3" s="13"/>
      <c r="F3" s="13"/>
      <c r="G3" s="13"/>
      <c r="H3" s="13"/>
      <c r="I3" s="13"/>
      <c r="J3" s="16" t="s">
        <v>84</v>
      </c>
      <c r="K3" s="186">
        <v>42128.368263888886</v>
      </c>
      <c r="N3" s="17"/>
      <c r="O3" s="16" t="s">
        <v>111</v>
      </c>
      <c r="P3" s="219">
        <v>41851</v>
      </c>
      <c r="Q3" s="219"/>
      <c r="S3" s="148" t="s">
        <v>112</v>
      </c>
      <c r="T3" s="147">
        <v>1</v>
      </c>
    </row>
    <row r="4" spans="1:21" x14ac:dyDescent="0.2">
      <c r="B4" s="18">
        <v>36</v>
      </c>
      <c r="C4" s="13" t="s">
        <v>76</v>
      </c>
      <c r="D4" s="13"/>
      <c r="E4" s="13"/>
      <c r="F4" s="13"/>
      <c r="G4" s="13"/>
      <c r="H4" s="13"/>
      <c r="I4" s="13"/>
      <c r="J4" s="16" t="s">
        <v>87</v>
      </c>
      <c r="K4" s="185" t="s">
        <v>109</v>
      </c>
      <c r="N4" s="17"/>
      <c r="O4" s="16" t="s">
        <v>113</v>
      </c>
      <c r="P4" s="220">
        <v>41789.536539351851</v>
      </c>
      <c r="Q4" s="220"/>
      <c r="S4" s="150" t="s">
        <v>114</v>
      </c>
      <c r="T4" s="151">
        <v>41851</v>
      </c>
    </row>
    <row r="5" spans="1:21" x14ac:dyDescent="0.2">
      <c r="B5" s="21">
        <v>12</v>
      </c>
      <c r="C5" s="13" t="s">
        <v>692</v>
      </c>
      <c r="D5" s="13"/>
      <c r="E5" s="13"/>
      <c r="F5" s="13"/>
      <c r="G5" s="13"/>
      <c r="H5" s="13"/>
      <c r="I5" s="13"/>
      <c r="J5" s="16" t="s">
        <v>74</v>
      </c>
      <c r="K5" s="187">
        <v>42156</v>
      </c>
      <c r="N5" s="17"/>
      <c r="O5" s="16" t="s">
        <v>116</v>
      </c>
      <c r="P5" s="221">
        <v>42156</v>
      </c>
      <c r="Q5" s="221"/>
      <c r="S5" s="148" t="s">
        <v>117</v>
      </c>
      <c r="T5" s="147">
        <v>35</v>
      </c>
    </row>
    <row r="6" spans="1:21" x14ac:dyDescent="0.2">
      <c r="B6" s="21">
        <v>24</v>
      </c>
      <c r="C6" s="13" t="s">
        <v>90</v>
      </c>
      <c r="D6" s="13"/>
      <c r="E6" s="13"/>
      <c r="F6" s="13"/>
      <c r="G6" s="13"/>
      <c r="H6" s="13"/>
      <c r="I6" s="13"/>
      <c r="J6" s="16" t="s">
        <v>78</v>
      </c>
      <c r="K6" s="187">
        <v>42491</v>
      </c>
      <c r="N6" s="17"/>
      <c r="P6" s="22"/>
    </row>
    <row r="8" spans="1:21" ht="22.5" x14ac:dyDescent="0.2">
      <c r="B8" s="23" t="s">
        <v>79</v>
      </c>
      <c r="C8" s="23" t="s">
        <v>77</v>
      </c>
      <c r="D8" s="24" t="s">
        <v>81</v>
      </c>
      <c r="E8" s="25" t="s">
        <v>49</v>
      </c>
      <c r="F8" s="25" t="s">
        <v>2</v>
      </c>
      <c r="G8" s="25" t="s">
        <v>55</v>
      </c>
      <c r="H8" s="25" t="s">
        <v>65</v>
      </c>
      <c r="I8" s="25" t="s">
        <v>66</v>
      </c>
      <c r="J8" s="25" t="s">
        <v>4</v>
      </c>
      <c r="K8" s="25" t="s">
        <v>67</v>
      </c>
      <c r="L8" s="26" t="s">
        <v>85</v>
      </c>
      <c r="M8" s="26" t="s">
        <v>82</v>
      </c>
      <c r="N8" s="26" t="s">
        <v>83</v>
      </c>
      <c r="O8" s="27" t="s">
        <v>68</v>
      </c>
      <c r="P8" s="27" t="s">
        <v>86</v>
      </c>
      <c r="Q8" s="28" t="s">
        <v>69</v>
      </c>
      <c r="R8" s="28" t="s">
        <v>70</v>
      </c>
      <c r="S8" s="28" t="s">
        <v>71</v>
      </c>
      <c r="T8" s="28" t="s">
        <v>72</v>
      </c>
      <c r="U8" s="28" t="s">
        <v>73</v>
      </c>
    </row>
    <row r="9" spans="1:21" x14ac:dyDescent="0.2">
      <c r="A9" s="89">
        <v>1</v>
      </c>
      <c r="B9" s="29">
        <v>1</v>
      </c>
      <c r="C9" s="29">
        <v>1</v>
      </c>
      <c r="D9" s="30" t="s">
        <v>748</v>
      </c>
      <c r="E9" s="31" t="s">
        <v>119</v>
      </c>
      <c r="F9" s="31" t="s">
        <v>31</v>
      </c>
      <c r="G9" s="31" t="s">
        <v>120</v>
      </c>
      <c r="H9" s="31" t="s">
        <v>32</v>
      </c>
      <c r="I9" s="31" t="s">
        <v>32</v>
      </c>
      <c r="J9" s="31" t="s">
        <v>33</v>
      </c>
      <c r="K9" s="31" t="s">
        <v>121</v>
      </c>
      <c r="L9" s="32">
        <v>19440</v>
      </c>
      <c r="M9" s="33">
        <v>41851</v>
      </c>
      <c r="N9" s="32" t="s">
        <v>122</v>
      </c>
      <c r="O9" s="34">
        <v>42156</v>
      </c>
      <c r="P9" s="35">
        <v>44</v>
      </c>
      <c r="Q9" s="145">
        <v>90.13</v>
      </c>
      <c r="R9" s="145">
        <v>95.37</v>
      </c>
      <c r="S9" s="145">
        <v>92.19</v>
      </c>
      <c r="T9" s="145">
        <v>93.41</v>
      </c>
      <c r="U9" s="145">
        <v>93.66</v>
      </c>
    </row>
    <row r="10" spans="1:21" x14ac:dyDescent="0.2">
      <c r="A10" s="89">
        <f>A9+1</f>
        <v>2</v>
      </c>
      <c r="B10" s="29">
        <v>1</v>
      </c>
      <c r="C10" s="29">
        <v>2</v>
      </c>
      <c r="D10" s="30" t="s">
        <v>749</v>
      </c>
      <c r="E10" s="31" t="s">
        <v>124</v>
      </c>
      <c r="F10" s="31" t="s">
        <v>31</v>
      </c>
      <c r="G10" s="31" t="s">
        <v>120</v>
      </c>
      <c r="H10" s="31" t="s">
        <v>32</v>
      </c>
      <c r="I10" s="31" t="s">
        <v>32</v>
      </c>
      <c r="J10" s="31" t="s">
        <v>34</v>
      </c>
      <c r="K10" s="31" t="s">
        <v>125</v>
      </c>
      <c r="L10" s="35">
        <v>19441</v>
      </c>
      <c r="M10" s="36">
        <v>41851</v>
      </c>
      <c r="N10" s="35" t="s">
        <v>122</v>
      </c>
      <c r="O10" s="34">
        <v>42156</v>
      </c>
      <c r="P10" s="35">
        <v>44</v>
      </c>
      <c r="Q10" s="145">
        <v>90.12</v>
      </c>
      <c r="R10" s="145">
        <v>94.65</v>
      </c>
      <c r="S10" s="145">
        <v>91.77</v>
      </c>
      <c r="T10" s="145">
        <v>92.71</v>
      </c>
      <c r="U10" s="145">
        <v>92.47</v>
      </c>
    </row>
    <row r="11" spans="1:21" x14ac:dyDescent="0.2">
      <c r="A11" s="89">
        <f t="shared" ref="A11:A74" si="0">A10+1</f>
        <v>3</v>
      </c>
      <c r="B11" s="29">
        <v>1</v>
      </c>
      <c r="C11" s="29">
        <v>3</v>
      </c>
      <c r="D11" s="30" t="s">
        <v>750</v>
      </c>
      <c r="E11" s="31" t="s">
        <v>127</v>
      </c>
      <c r="F11" s="31" t="s">
        <v>20</v>
      </c>
      <c r="G11" s="31" t="s">
        <v>120</v>
      </c>
      <c r="H11" s="31" t="s">
        <v>63</v>
      </c>
      <c r="I11" s="31" t="s">
        <v>128</v>
      </c>
      <c r="J11" s="31" t="s">
        <v>15</v>
      </c>
      <c r="K11" s="31" t="s">
        <v>129</v>
      </c>
      <c r="L11" s="35">
        <v>19442</v>
      </c>
      <c r="M11" s="36">
        <v>41851</v>
      </c>
      <c r="N11" s="35" t="s">
        <v>122</v>
      </c>
      <c r="O11" s="34">
        <v>42156</v>
      </c>
      <c r="P11" s="35">
        <v>44</v>
      </c>
      <c r="Q11" s="145">
        <v>67.67</v>
      </c>
      <c r="R11" s="145">
        <v>70.7</v>
      </c>
      <c r="S11" s="145">
        <v>67.459999999999994</v>
      </c>
      <c r="T11" s="145">
        <v>67.41</v>
      </c>
      <c r="U11" s="145">
        <v>66.959999999999994</v>
      </c>
    </row>
    <row r="12" spans="1:21" x14ac:dyDescent="0.2">
      <c r="A12" s="89">
        <f t="shared" si="0"/>
        <v>4</v>
      </c>
      <c r="B12" s="29">
        <v>1</v>
      </c>
      <c r="C12" s="29">
        <v>4</v>
      </c>
      <c r="D12" s="30" t="s">
        <v>751</v>
      </c>
      <c r="E12" s="31" t="s">
        <v>131</v>
      </c>
      <c r="F12" s="31" t="s">
        <v>20</v>
      </c>
      <c r="G12" s="31" t="s">
        <v>120</v>
      </c>
      <c r="H12" s="31" t="s">
        <v>63</v>
      </c>
      <c r="I12" s="31" t="s">
        <v>128</v>
      </c>
      <c r="J12" s="31" t="s">
        <v>21</v>
      </c>
      <c r="K12" s="31" t="s">
        <v>132</v>
      </c>
      <c r="L12" s="35">
        <v>19443</v>
      </c>
      <c r="M12" s="36">
        <v>41851</v>
      </c>
      <c r="N12" s="35" t="s">
        <v>122</v>
      </c>
      <c r="O12" s="34">
        <v>42156</v>
      </c>
      <c r="P12" s="35">
        <v>44</v>
      </c>
      <c r="Q12" s="145">
        <v>70.34</v>
      </c>
      <c r="R12" s="145">
        <v>72.599999999999994</v>
      </c>
      <c r="S12" s="145">
        <v>69.650000000000006</v>
      </c>
      <c r="T12" s="145">
        <v>69.319999999999993</v>
      </c>
      <c r="U12" s="145">
        <v>68.87</v>
      </c>
    </row>
    <row r="13" spans="1:21" x14ac:dyDescent="0.2">
      <c r="A13" s="89">
        <f t="shared" si="0"/>
        <v>5</v>
      </c>
      <c r="B13" s="29">
        <v>1</v>
      </c>
      <c r="C13" s="29">
        <v>5</v>
      </c>
      <c r="D13" s="30" t="s">
        <v>752</v>
      </c>
      <c r="E13" s="31" t="s">
        <v>134</v>
      </c>
      <c r="F13" s="31" t="s">
        <v>20</v>
      </c>
      <c r="G13" s="31" t="s">
        <v>120</v>
      </c>
      <c r="H13" s="31" t="s">
        <v>63</v>
      </c>
      <c r="I13" s="31" t="s">
        <v>128</v>
      </c>
      <c r="J13" s="31" t="s">
        <v>16</v>
      </c>
      <c r="K13" s="31" t="s">
        <v>135</v>
      </c>
      <c r="L13" s="35">
        <v>19444</v>
      </c>
      <c r="M13" s="36">
        <v>41851</v>
      </c>
      <c r="N13" s="35" t="s">
        <v>122</v>
      </c>
      <c r="O13" s="34">
        <v>42156</v>
      </c>
      <c r="P13" s="35">
        <v>44</v>
      </c>
      <c r="Q13" s="145">
        <v>68.36</v>
      </c>
      <c r="R13" s="145">
        <v>71.62</v>
      </c>
      <c r="S13" s="145">
        <v>68.319999999999993</v>
      </c>
      <c r="T13" s="145">
        <v>68.3</v>
      </c>
      <c r="U13" s="145">
        <v>67.83</v>
      </c>
    </row>
    <row r="14" spans="1:21" x14ac:dyDescent="0.2">
      <c r="A14" s="89">
        <f t="shared" si="0"/>
        <v>6</v>
      </c>
      <c r="B14" s="29">
        <v>1</v>
      </c>
      <c r="C14" s="29">
        <v>6</v>
      </c>
      <c r="D14" s="30" t="s">
        <v>753</v>
      </c>
      <c r="E14" s="31" t="s">
        <v>137</v>
      </c>
      <c r="F14" s="31" t="s">
        <v>25</v>
      </c>
      <c r="G14" s="31" t="s">
        <v>138</v>
      </c>
      <c r="H14" s="31" t="s">
        <v>139</v>
      </c>
      <c r="I14" s="31" t="s">
        <v>29</v>
      </c>
      <c r="J14" s="31" t="s">
        <v>30</v>
      </c>
      <c r="K14" s="31" t="s">
        <v>140</v>
      </c>
      <c r="L14" s="35">
        <v>19445</v>
      </c>
      <c r="M14" s="36">
        <v>41792</v>
      </c>
      <c r="N14" s="35" t="s">
        <v>122</v>
      </c>
      <c r="O14" s="34">
        <v>42156</v>
      </c>
      <c r="P14" s="35">
        <v>44</v>
      </c>
      <c r="Q14" s="145">
        <v>53.16</v>
      </c>
      <c r="R14" s="145">
        <v>55.84</v>
      </c>
      <c r="S14" s="145">
        <v>55.74</v>
      </c>
      <c r="T14" s="145">
        <v>56.88</v>
      </c>
      <c r="U14" s="145">
        <v>58.15</v>
      </c>
    </row>
    <row r="15" spans="1:21" x14ac:dyDescent="0.2">
      <c r="A15" s="89">
        <f t="shared" si="0"/>
        <v>7</v>
      </c>
      <c r="B15" s="29">
        <v>1</v>
      </c>
      <c r="C15" s="29">
        <v>7</v>
      </c>
      <c r="D15" s="30" t="s">
        <v>754</v>
      </c>
      <c r="E15" s="31" t="s">
        <v>142</v>
      </c>
      <c r="F15" s="31" t="s">
        <v>39</v>
      </c>
      <c r="G15" s="31" t="s">
        <v>120</v>
      </c>
      <c r="H15" s="31" t="s">
        <v>40</v>
      </c>
      <c r="I15" s="31" t="s">
        <v>40</v>
      </c>
      <c r="J15" s="31" t="s">
        <v>42</v>
      </c>
      <c r="K15" s="31" t="s">
        <v>135</v>
      </c>
      <c r="L15" s="35">
        <v>19447</v>
      </c>
      <c r="M15" s="36">
        <v>41851</v>
      </c>
      <c r="N15" s="35" t="s">
        <v>122</v>
      </c>
      <c r="O15" s="34">
        <v>42156</v>
      </c>
      <c r="P15" s="35">
        <v>44</v>
      </c>
      <c r="Q15" s="145">
        <v>79.150000000000006</v>
      </c>
      <c r="R15" s="145">
        <v>83.05</v>
      </c>
      <c r="S15" s="145">
        <v>80.22</v>
      </c>
      <c r="T15" s="145">
        <v>80.87</v>
      </c>
      <c r="U15" s="145">
        <v>80.73</v>
      </c>
    </row>
    <row r="16" spans="1:21" x14ac:dyDescent="0.2">
      <c r="A16" s="89">
        <f t="shared" si="0"/>
        <v>8</v>
      </c>
      <c r="B16" s="29">
        <v>1</v>
      </c>
      <c r="C16" s="29">
        <v>8</v>
      </c>
      <c r="D16" s="30" t="s">
        <v>755</v>
      </c>
      <c r="E16" s="31" t="s">
        <v>144</v>
      </c>
      <c r="F16" s="31" t="s">
        <v>39</v>
      </c>
      <c r="G16" s="31" t="s">
        <v>120</v>
      </c>
      <c r="H16" s="31" t="s">
        <v>40</v>
      </c>
      <c r="I16" s="31" t="s">
        <v>40</v>
      </c>
      <c r="J16" s="31" t="s">
        <v>41</v>
      </c>
      <c r="K16" s="31" t="s">
        <v>132</v>
      </c>
      <c r="L16" s="35">
        <v>19446</v>
      </c>
      <c r="M16" s="36">
        <v>41851</v>
      </c>
      <c r="N16" s="35" t="s">
        <v>122</v>
      </c>
      <c r="O16" s="34">
        <v>42156</v>
      </c>
      <c r="P16" s="35">
        <v>44</v>
      </c>
      <c r="Q16" s="145">
        <v>81.19</v>
      </c>
      <c r="R16" s="145">
        <v>83.92</v>
      </c>
      <c r="S16" s="145">
        <v>81.489999999999995</v>
      </c>
      <c r="T16" s="145">
        <v>81.739999999999995</v>
      </c>
      <c r="U16" s="145">
        <v>81.67</v>
      </c>
    </row>
    <row r="17" spans="1:21" x14ac:dyDescent="0.2">
      <c r="A17" s="89">
        <f t="shared" si="0"/>
        <v>9</v>
      </c>
      <c r="B17" s="29">
        <v>1</v>
      </c>
      <c r="C17" s="29">
        <v>9</v>
      </c>
      <c r="D17" s="30" t="s">
        <v>756</v>
      </c>
      <c r="E17" s="31" t="s">
        <v>146</v>
      </c>
      <c r="F17" s="31" t="s">
        <v>39</v>
      </c>
      <c r="G17" s="31" t="s">
        <v>120</v>
      </c>
      <c r="H17" s="31" t="s">
        <v>40</v>
      </c>
      <c r="I17" s="31" t="s">
        <v>40</v>
      </c>
      <c r="J17" s="31" t="s">
        <v>7</v>
      </c>
      <c r="K17" s="31" t="s">
        <v>129</v>
      </c>
      <c r="L17" s="35">
        <v>19448</v>
      </c>
      <c r="M17" s="36">
        <v>41851</v>
      </c>
      <c r="N17" s="35" t="s">
        <v>122</v>
      </c>
      <c r="O17" s="34">
        <v>42156</v>
      </c>
      <c r="P17" s="35">
        <v>44</v>
      </c>
      <c r="Q17" s="145">
        <v>77.930000000000007</v>
      </c>
      <c r="R17" s="145">
        <v>82.14</v>
      </c>
      <c r="S17" s="145">
        <v>79.23</v>
      </c>
      <c r="T17" s="145">
        <v>79.97</v>
      </c>
      <c r="U17" s="145">
        <v>79.81</v>
      </c>
    </row>
    <row r="18" spans="1:21" x14ac:dyDescent="0.2">
      <c r="A18" s="89">
        <f t="shared" si="0"/>
        <v>10</v>
      </c>
      <c r="B18" s="29">
        <v>1</v>
      </c>
      <c r="C18" s="29">
        <v>10</v>
      </c>
      <c r="D18" s="30" t="s">
        <v>757</v>
      </c>
      <c r="E18" s="31" t="s">
        <v>148</v>
      </c>
      <c r="F18" s="31" t="s">
        <v>25</v>
      </c>
      <c r="G18" s="31" t="s">
        <v>120</v>
      </c>
      <c r="H18" s="31" t="s">
        <v>149</v>
      </c>
      <c r="I18" s="31" t="s">
        <v>26</v>
      </c>
      <c r="J18" s="31" t="s">
        <v>27</v>
      </c>
      <c r="K18" s="31" t="s">
        <v>150</v>
      </c>
      <c r="L18" s="35">
        <v>19449</v>
      </c>
      <c r="M18" s="36">
        <v>41851</v>
      </c>
      <c r="N18" s="35" t="s">
        <v>122</v>
      </c>
      <c r="O18" s="34">
        <v>42156</v>
      </c>
      <c r="P18" s="35">
        <v>44</v>
      </c>
      <c r="Q18" s="145">
        <v>63.85</v>
      </c>
      <c r="R18" s="145">
        <v>65.540000000000006</v>
      </c>
      <c r="S18" s="145">
        <v>62.74</v>
      </c>
      <c r="T18" s="145">
        <v>62.23</v>
      </c>
      <c r="U18" s="145">
        <v>63.81</v>
      </c>
    </row>
    <row r="19" spans="1:21" x14ac:dyDescent="0.2">
      <c r="A19" s="89">
        <f t="shared" si="0"/>
        <v>11</v>
      </c>
      <c r="B19" s="29">
        <v>1</v>
      </c>
      <c r="C19" s="29">
        <v>11</v>
      </c>
      <c r="D19" s="30" t="s">
        <v>758</v>
      </c>
      <c r="E19" s="31" t="s">
        <v>152</v>
      </c>
      <c r="F19" s="31" t="s">
        <v>25</v>
      </c>
      <c r="G19" s="31" t="s">
        <v>120</v>
      </c>
      <c r="H19" s="31" t="s">
        <v>149</v>
      </c>
      <c r="I19" s="31" t="s">
        <v>26</v>
      </c>
      <c r="J19" s="31" t="s">
        <v>28</v>
      </c>
      <c r="K19" s="31" t="s">
        <v>153</v>
      </c>
      <c r="L19" s="35">
        <v>19450</v>
      </c>
      <c r="M19" s="36">
        <v>41851</v>
      </c>
      <c r="N19" s="35" t="s">
        <v>122</v>
      </c>
      <c r="O19" s="34">
        <v>42156</v>
      </c>
      <c r="P19" s="35">
        <v>44</v>
      </c>
      <c r="Q19" s="145">
        <v>62.85</v>
      </c>
      <c r="R19" s="145">
        <v>64.7</v>
      </c>
      <c r="S19" s="145">
        <v>61.84</v>
      </c>
      <c r="T19" s="145">
        <v>61.38</v>
      </c>
      <c r="U19" s="145">
        <v>62.97</v>
      </c>
    </row>
    <row r="20" spans="1:21" x14ac:dyDescent="0.2">
      <c r="A20" s="89">
        <f t="shared" si="0"/>
        <v>12</v>
      </c>
      <c r="B20" s="29">
        <v>1</v>
      </c>
      <c r="C20" s="29">
        <v>12</v>
      </c>
      <c r="D20" s="30" t="s">
        <v>759</v>
      </c>
      <c r="E20" s="31" t="s">
        <v>155</v>
      </c>
      <c r="F20" s="31" t="s">
        <v>20</v>
      </c>
      <c r="G20" s="31" t="s">
        <v>120</v>
      </c>
      <c r="H20" s="31" t="s">
        <v>105</v>
      </c>
      <c r="I20" s="31" t="s">
        <v>156</v>
      </c>
      <c r="J20" s="31" t="s">
        <v>22</v>
      </c>
      <c r="K20" s="31" t="s">
        <v>157</v>
      </c>
      <c r="L20" s="35">
        <v>19451</v>
      </c>
      <c r="M20" s="36">
        <v>41851</v>
      </c>
      <c r="N20" s="35" t="s">
        <v>122</v>
      </c>
      <c r="O20" s="34">
        <v>42156</v>
      </c>
      <c r="P20" s="35">
        <v>44</v>
      </c>
      <c r="Q20" s="145">
        <v>61.93</v>
      </c>
      <c r="R20" s="145">
        <v>63.18</v>
      </c>
      <c r="S20" s="145">
        <v>60.26</v>
      </c>
      <c r="T20" s="145">
        <v>59.66</v>
      </c>
      <c r="U20" s="145">
        <v>61.04</v>
      </c>
    </row>
    <row r="21" spans="1:21" x14ac:dyDescent="0.2">
      <c r="A21" s="89">
        <f t="shared" si="0"/>
        <v>13</v>
      </c>
      <c r="B21" s="29">
        <v>1</v>
      </c>
      <c r="C21" s="29">
        <v>13</v>
      </c>
      <c r="D21" s="30" t="s">
        <v>760</v>
      </c>
      <c r="E21" s="31" t="s">
        <v>159</v>
      </c>
      <c r="F21" s="31" t="s">
        <v>39</v>
      </c>
      <c r="G21" s="31" t="s">
        <v>120</v>
      </c>
      <c r="H21" s="31" t="s">
        <v>43</v>
      </c>
      <c r="I21" s="31" t="s">
        <v>43</v>
      </c>
      <c r="J21" s="31" t="s">
        <v>7</v>
      </c>
      <c r="K21" s="31" t="s">
        <v>140</v>
      </c>
      <c r="L21" s="35">
        <v>19452</v>
      </c>
      <c r="M21" s="36">
        <v>41851</v>
      </c>
      <c r="N21" s="35" t="s">
        <v>122</v>
      </c>
      <c r="O21" s="34">
        <v>42156</v>
      </c>
      <c r="P21" s="35">
        <v>44</v>
      </c>
      <c r="Q21" s="145">
        <v>82.37</v>
      </c>
      <c r="R21" s="145">
        <v>85.74</v>
      </c>
      <c r="S21" s="145">
        <v>83.53</v>
      </c>
      <c r="T21" s="145">
        <v>83.92</v>
      </c>
      <c r="U21" s="145">
        <v>84</v>
      </c>
    </row>
    <row r="22" spans="1:21" x14ac:dyDescent="0.2">
      <c r="A22" s="89">
        <f t="shared" si="0"/>
        <v>14</v>
      </c>
      <c r="B22" s="29">
        <v>1</v>
      </c>
      <c r="C22" s="29">
        <v>14</v>
      </c>
      <c r="D22" s="30" t="s">
        <v>761</v>
      </c>
      <c r="E22" s="31" t="s">
        <v>161</v>
      </c>
      <c r="F22" s="31" t="s">
        <v>6</v>
      </c>
      <c r="G22" s="31" t="s">
        <v>120</v>
      </c>
      <c r="H22" s="31" t="s">
        <v>48</v>
      </c>
      <c r="I22" s="31" t="s">
        <v>48</v>
      </c>
      <c r="J22" s="31" t="s">
        <v>7</v>
      </c>
      <c r="K22" s="31" t="s">
        <v>140</v>
      </c>
      <c r="L22" s="35">
        <v>19453</v>
      </c>
      <c r="M22" s="36">
        <v>41851</v>
      </c>
      <c r="N22" s="35" t="s">
        <v>122</v>
      </c>
      <c r="O22" s="34">
        <v>42156</v>
      </c>
      <c r="P22" s="35">
        <v>44</v>
      </c>
      <c r="Q22" s="145">
        <v>70.489999999999995</v>
      </c>
      <c r="R22" s="145">
        <v>72.709999999999994</v>
      </c>
      <c r="S22" s="145">
        <v>69.680000000000007</v>
      </c>
      <c r="T22" s="145">
        <v>69.34</v>
      </c>
      <c r="U22" s="145">
        <v>70.84</v>
      </c>
    </row>
    <row r="23" spans="1:21" x14ac:dyDescent="0.2">
      <c r="A23" s="89">
        <f t="shared" si="0"/>
        <v>15</v>
      </c>
      <c r="B23" s="29">
        <v>1</v>
      </c>
      <c r="C23" s="29">
        <v>15</v>
      </c>
      <c r="D23" s="30" t="s">
        <v>762</v>
      </c>
      <c r="E23" s="31" t="s">
        <v>163</v>
      </c>
      <c r="F23" s="31" t="s">
        <v>20</v>
      </c>
      <c r="G23" s="31" t="s">
        <v>120</v>
      </c>
      <c r="H23" s="31" t="s">
        <v>23</v>
      </c>
      <c r="I23" s="31" t="s">
        <v>164</v>
      </c>
      <c r="J23" s="31" t="s">
        <v>24</v>
      </c>
      <c r="K23" s="31" t="s">
        <v>140</v>
      </c>
      <c r="L23" s="35">
        <v>19454</v>
      </c>
      <c r="M23" s="36">
        <v>41851</v>
      </c>
      <c r="N23" s="35" t="s">
        <v>122</v>
      </c>
      <c r="O23" s="34">
        <v>42156</v>
      </c>
      <c r="P23" s="35">
        <v>44</v>
      </c>
      <c r="Q23" s="145">
        <v>59.13</v>
      </c>
      <c r="R23" s="145">
        <v>61.08</v>
      </c>
      <c r="S23" s="145">
        <v>58.08</v>
      </c>
      <c r="T23" s="145">
        <v>57.58</v>
      </c>
      <c r="U23" s="145">
        <v>58.97</v>
      </c>
    </row>
    <row r="24" spans="1:21" x14ac:dyDescent="0.2">
      <c r="A24" s="89">
        <f t="shared" si="0"/>
        <v>16</v>
      </c>
      <c r="B24" s="29">
        <v>1</v>
      </c>
      <c r="C24" s="29">
        <v>16</v>
      </c>
      <c r="D24" s="30" t="s">
        <v>763</v>
      </c>
      <c r="E24" s="31" t="s">
        <v>166</v>
      </c>
      <c r="F24" s="31" t="s">
        <v>20</v>
      </c>
      <c r="G24" s="31" t="s">
        <v>120</v>
      </c>
      <c r="H24" s="31" t="s">
        <v>64</v>
      </c>
      <c r="I24" s="31" t="s">
        <v>167</v>
      </c>
      <c r="J24" s="31" t="s">
        <v>7</v>
      </c>
      <c r="K24" s="31" t="s">
        <v>140</v>
      </c>
      <c r="L24" s="35">
        <v>19455</v>
      </c>
      <c r="M24" s="36">
        <v>41851</v>
      </c>
      <c r="N24" s="35" t="s">
        <v>122</v>
      </c>
      <c r="O24" s="34">
        <v>42156</v>
      </c>
      <c r="P24" s="35">
        <v>44</v>
      </c>
      <c r="Q24" s="145">
        <v>83.99</v>
      </c>
      <c r="R24" s="145">
        <v>83.62</v>
      </c>
      <c r="S24" s="145">
        <v>76.7</v>
      </c>
      <c r="T24" s="145">
        <v>73.36</v>
      </c>
      <c r="U24" s="145">
        <v>71.44</v>
      </c>
    </row>
    <row r="25" spans="1:21" x14ac:dyDescent="0.2">
      <c r="A25" s="89">
        <f t="shared" si="0"/>
        <v>17</v>
      </c>
      <c r="B25" s="29">
        <v>1</v>
      </c>
      <c r="C25" s="29">
        <v>17</v>
      </c>
      <c r="D25" s="30" t="s">
        <v>764</v>
      </c>
      <c r="E25" s="31" t="s">
        <v>169</v>
      </c>
      <c r="F25" s="31" t="s">
        <v>31</v>
      </c>
      <c r="G25" s="31" t="s">
        <v>120</v>
      </c>
      <c r="H25" s="31" t="s">
        <v>35</v>
      </c>
      <c r="I25" s="31" t="s">
        <v>35</v>
      </c>
      <c r="J25" s="31" t="s">
        <v>9</v>
      </c>
      <c r="K25" s="31" t="s">
        <v>135</v>
      </c>
      <c r="L25" s="35">
        <v>19456</v>
      </c>
      <c r="M25" s="36">
        <v>41851</v>
      </c>
      <c r="N25" s="35" t="s">
        <v>122</v>
      </c>
      <c r="O25" s="34">
        <v>42156</v>
      </c>
      <c r="P25" s="35">
        <v>44</v>
      </c>
      <c r="Q25" s="145">
        <v>87.67</v>
      </c>
      <c r="R25" s="145">
        <v>91.95</v>
      </c>
      <c r="S25" s="145">
        <v>89.52</v>
      </c>
      <c r="T25" s="145">
        <v>90.35</v>
      </c>
      <c r="U25" s="145">
        <v>90.78</v>
      </c>
    </row>
    <row r="26" spans="1:21" x14ac:dyDescent="0.2">
      <c r="A26" s="89">
        <f t="shared" si="0"/>
        <v>18</v>
      </c>
      <c r="B26" s="29">
        <v>1</v>
      </c>
      <c r="C26" s="29">
        <v>18</v>
      </c>
      <c r="D26" s="30" t="s">
        <v>765</v>
      </c>
      <c r="E26" s="31" t="s">
        <v>171</v>
      </c>
      <c r="F26" s="31" t="s">
        <v>31</v>
      </c>
      <c r="G26" s="31" t="s">
        <v>120</v>
      </c>
      <c r="H26" s="31" t="s">
        <v>35</v>
      </c>
      <c r="I26" s="31" t="s">
        <v>35</v>
      </c>
      <c r="J26" s="31" t="s">
        <v>10</v>
      </c>
      <c r="K26" s="31" t="s">
        <v>132</v>
      </c>
      <c r="L26" s="35">
        <v>19457</v>
      </c>
      <c r="M26" s="36">
        <v>41851</v>
      </c>
      <c r="N26" s="35" t="s">
        <v>122</v>
      </c>
      <c r="O26" s="34">
        <v>42156</v>
      </c>
      <c r="P26" s="35">
        <v>44</v>
      </c>
      <c r="Q26" s="145">
        <v>96.58</v>
      </c>
      <c r="R26" s="145">
        <v>94.87</v>
      </c>
      <c r="S26" s="145">
        <v>94.31</v>
      </c>
      <c r="T26" s="145">
        <v>93.34</v>
      </c>
      <c r="U26" s="145">
        <v>93.82</v>
      </c>
    </row>
    <row r="27" spans="1:21" x14ac:dyDescent="0.2">
      <c r="A27" s="89">
        <f t="shared" si="0"/>
        <v>19</v>
      </c>
      <c r="B27" s="29">
        <v>1</v>
      </c>
      <c r="C27" s="29">
        <v>19</v>
      </c>
      <c r="D27" s="30" t="s">
        <v>766</v>
      </c>
      <c r="E27" s="31" t="s">
        <v>173</v>
      </c>
      <c r="F27" s="31" t="s">
        <v>31</v>
      </c>
      <c r="G27" s="31" t="s">
        <v>120</v>
      </c>
      <c r="H27" s="31" t="s">
        <v>35</v>
      </c>
      <c r="I27" s="31" t="s">
        <v>35</v>
      </c>
      <c r="J27" s="31" t="s">
        <v>11</v>
      </c>
      <c r="K27" s="31" t="s">
        <v>129</v>
      </c>
      <c r="L27" s="35">
        <v>19458</v>
      </c>
      <c r="M27" s="36">
        <v>41851</v>
      </c>
      <c r="N27" s="35" t="s">
        <v>122</v>
      </c>
      <c r="O27" s="34">
        <v>42156</v>
      </c>
      <c r="P27" s="35">
        <v>44</v>
      </c>
      <c r="Q27" s="145">
        <v>90.19</v>
      </c>
      <c r="R27" s="145">
        <v>92.58</v>
      </c>
      <c r="S27" s="145">
        <v>90.76</v>
      </c>
      <c r="T27" s="145">
        <v>90.96</v>
      </c>
      <c r="U27" s="145">
        <v>91.39</v>
      </c>
    </row>
    <row r="28" spans="1:21" x14ac:dyDescent="0.2">
      <c r="A28" s="89">
        <f t="shared" si="0"/>
        <v>20</v>
      </c>
      <c r="B28" s="29">
        <v>1</v>
      </c>
      <c r="C28" s="29">
        <v>20</v>
      </c>
      <c r="D28" s="30" t="s">
        <v>767</v>
      </c>
      <c r="E28" s="31" t="s">
        <v>175</v>
      </c>
      <c r="F28" s="31" t="s">
        <v>6</v>
      </c>
      <c r="G28" s="31" t="s">
        <v>120</v>
      </c>
      <c r="H28" s="31" t="s">
        <v>176</v>
      </c>
      <c r="I28" s="31" t="s">
        <v>177</v>
      </c>
      <c r="J28" s="31" t="s">
        <v>9</v>
      </c>
      <c r="K28" s="31" t="s">
        <v>135</v>
      </c>
      <c r="L28" s="35">
        <v>19460</v>
      </c>
      <c r="M28" s="36">
        <v>41851</v>
      </c>
      <c r="N28" s="35" t="s">
        <v>122</v>
      </c>
      <c r="O28" s="34">
        <v>42156</v>
      </c>
      <c r="P28" s="35">
        <v>44</v>
      </c>
      <c r="Q28" s="145">
        <v>70.39</v>
      </c>
      <c r="R28" s="145">
        <v>74.010000000000005</v>
      </c>
      <c r="S28" s="145">
        <v>71.34</v>
      </c>
      <c r="T28" s="145">
        <v>71.81</v>
      </c>
      <c r="U28" s="145">
        <v>71.55</v>
      </c>
    </row>
    <row r="29" spans="1:21" x14ac:dyDescent="0.2">
      <c r="A29" s="89">
        <f t="shared" si="0"/>
        <v>21</v>
      </c>
      <c r="B29" s="29">
        <v>1</v>
      </c>
      <c r="C29" s="29">
        <v>21</v>
      </c>
      <c r="D29" s="30" t="s">
        <v>768</v>
      </c>
      <c r="E29" s="31" t="s">
        <v>179</v>
      </c>
      <c r="F29" s="31" t="s">
        <v>6</v>
      </c>
      <c r="G29" s="31" t="s">
        <v>120</v>
      </c>
      <c r="H29" s="31" t="s">
        <v>176</v>
      </c>
      <c r="I29" s="31" t="s">
        <v>177</v>
      </c>
      <c r="J29" s="31" t="s">
        <v>10</v>
      </c>
      <c r="K29" s="31" t="s">
        <v>132</v>
      </c>
      <c r="L29" s="35">
        <v>19459</v>
      </c>
      <c r="M29" s="36">
        <v>41851</v>
      </c>
      <c r="N29" s="35" t="s">
        <v>122</v>
      </c>
      <c r="O29" s="34">
        <v>42156</v>
      </c>
      <c r="P29" s="35">
        <v>44</v>
      </c>
      <c r="Q29" s="145">
        <v>71.88</v>
      </c>
      <c r="R29" s="145">
        <v>75.08</v>
      </c>
      <c r="S29" s="145">
        <v>72.569999999999993</v>
      </c>
      <c r="T29" s="145">
        <v>72.88</v>
      </c>
      <c r="U29" s="145">
        <v>72.64</v>
      </c>
    </row>
    <row r="30" spans="1:21" x14ac:dyDescent="0.2">
      <c r="A30" s="89">
        <f t="shared" si="0"/>
        <v>22</v>
      </c>
      <c r="B30" s="29">
        <v>1</v>
      </c>
      <c r="C30" s="29">
        <v>22</v>
      </c>
      <c r="D30" s="30" t="s">
        <v>769</v>
      </c>
      <c r="E30" s="31" t="s">
        <v>181</v>
      </c>
      <c r="F30" s="31" t="s">
        <v>6</v>
      </c>
      <c r="G30" s="31" t="s">
        <v>120</v>
      </c>
      <c r="H30" s="31" t="s">
        <v>176</v>
      </c>
      <c r="I30" s="31" t="s">
        <v>177</v>
      </c>
      <c r="J30" s="31" t="s">
        <v>11</v>
      </c>
      <c r="K30" s="31" t="s">
        <v>129</v>
      </c>
      <c r="L30" s="35">
        <v>19461</v>
      </c>
      <c r="M30" s="36">
        <v>41851</v>
      </c>
      <c r="N30" s="35" t="s">
        <v>122</v>
      </c>
      <c r="O30" s="34">
        <v>42156</v>
      </c>
      <c r="P30" s="35">
        <v>44</v>
      </c>
      <c r="Q30" s="145">
        <v>69.75</v>
      </c>
      <c r="R30" s="145">
        <v>74.05</v>
      </c>
      <c r="S30" s="145">
        <v>71.150000000000006</v>
      </c>
      <c r="T30" s="145">
        <v>71.86</v>
      </c>
      <c r="U30" s="145">
        <v>71.650000000000006</v>
      </c>
    </row>
    <row r="31" spans="1:21" x14ac:dyDescent="0.2">
      <c r="A31" s="89">
        <f t="shared" si="0"/>
        <v>23</v>
      </c>
      <c r="B31" s="29">
        <v>1</v>
      </c>
      <c r="C31" s="29">
        <v>23</v>
      </c>
      <c r="D31" s="30" t="s">
        <v>770</v>
      </c>
      <c r="E31" s="31" t="s">
        <v>183</v>
      </c>
      <c r="F31" s="31" t="s">
        <v>6</v>
      </c>
      <c r="G31" s="31" t="s">
        <v>120</v>
      </c>
      <c r="H31" s="31" t="s">
        <v>13</v>
      </c>
      <c r="I31" s="31" t="s">
        <v>13</v>
      </c>
      <c r="J31" s="31" t="s">
        <v>7</v>
      </c>
      <c r="K31" s="31" t="s">
        <v>140</v>
      </c>
      <c r="L31" s="35">
        <v>19462</v>
      </c>
      <c r="M31" s="36">
        <v>41851</v>
      </c>
      <c r="N31" s="35" t="s">
        <v>122</v>
      </c>
      <c r="O31" s="34">
        <v>42156</v>
      </c>
      <c r="P31" s="35">
        <v>44</v>
      </c>
      <c r="Q31" s="145">
        <v>74.86</v>
      </c>
      <c r="R31" s="145">
        <v>78.260000000000005</v>
      </c>
      <c r="S31" s="145">
        <v>75.66</v>
      </c>
      <c r="T31" s="145">
        <v>76.150000000000006</v>
      </c>
      <c r="U31" s="145">
        <v>76.010000000000005</v>
      </c>
    </row>
    <row r="32" spans="1:21" x14ac:dyDescent="0.2">
      <c r="A32" s="89">
        <f t="shared" si="0"/>
        <v>24</v>
      </c>
      <c r="B32" s="29">
        <v>1</v>
      </c>
      <c r="C32" s="29">
        <v>24</v>
      </c>
      <c r="D32" s="30" t="s">
        <v>771</v>
      </c>
      <c r="E32" s="31" t="s">
        <v>185</v>
      </c>
      <c r="F32" s="31" t="s">
        <v>6</v>
      </c>
      <c r="G32" s="31" t="s">
        <v>120</v>
      </c>
      <c r="H32" s="31" t="s">
        <v>12</v>
      </c>
      <c r="I32" s="31" t="s">
        <v>186</v>
      </c>
      <c r="J32" s="31" t="s">
        <v>9</v>
      </c>
      <c r="K32" s="31" t="s">
        <v>135</v>
      </c>
      <c r="L32" s="35">
        <v>19463</v>
      </c>
      <c r="M32" s="36">
        <v>41851</v>
      </c>
      <c r="N32" s="35" t="s">
        <v>122</v>
      </c>
      <c r="O32" s="34">
        <v>42156</v>
      </c>
      <c r="P32" s="35">
        <v>44</v>
      </c>
      <c r="Q32" s="145">
        <v>71.19</v>
      </c>
      <c r="R32" s="145">
        <v>73.73</v>
      </c>
      <c r="S32" s="145">
        <v>71.400000000000006</v>
      </c>
      <c r="T32" s="145">
        <v>71.61</v>
      </c>
      <c r="U32" s="145">
        <v>71.34</v>
      </c>
    </row>
    <row r="33" spans="1:21" x14ac:dyDescent="0.2">
      <c r="A33" s="89">
        <f t="shared" si="0"/>
        <v>25</v>
      </c>
      <c r="B33" s="29">
        <v>1</v>
      </c>
      <c r="C33" s="29">
        <v>25</v>
      </c>
      <c r="D33" s="30" t="s">
        <v>772</v>
      </c>
      <c r="E33" s="31" t="s">
        <v>188</v>
      </c>
      <c r="F33" s="31" t="s">
        <v>6</v>
      </c>
      <c r="G33" s="31" t="s">
        <v>120</v>
      </c>
      <c r="H33" s="31" t="s">
        <v>12</v>
      </c>
      <c r="I33" s="31" t="s">
        <v>186</v>
      </c>
      <c r="J33" s="31" t="s">
        <v>10</v>
      </c>
      <c r="K33" s="31" t="s">
        <v>132</v>
      </c>
      <c r="L33" s="35">
        <v>19464</v>
      </c>
      <c r="M33" s="36">
        <v>41851</v>
      </c>
      <c r="N33" s="35" t="s">
        <v>122</v>
      </c>
      <c r="O33" s="34">
        <v>42156</v>
      </c>
      <c r="P33" s="35">
        <v>44</v>
      </c>
      <c r="Q33" s="145">
        <v>72.680000000000007</v>
      </c>
      <c r="R33" s="145">
        <v>74.92</v>
      </c>
      <c r="S33" s="145">
        <v>72.7</v>
      </c>
      <c r="T33" s="145">
        <v>72.8</v>
      </c>
      <c r="U33" s="145">
        <v>72.53</v>
      </c>
    </row>
    <row r="34" spans="1:21" x14ac:dyDescent="0.2">
      <c r="A34" s="89">
        <f t="shared" si="0"/>
        <v>26</v>
      </c>
      <c r="B34" s="29">
        <v>1</v>
      </c>
      <c r="C34" s="29">
        <v>26</v>
      </c>
      <c r="D34" s="30" t="s">
        <v>773</v>
      </c>
      <c r="E34" s="31" t="s">
        <v>190</v>
      </c>
      <c r="F34" s="31" t="s">
        <v>6</v>
      </c>
      <c r="G34" s="31" t="s">
        <v>120</v>
      </c>
      <c r="H34" s="31" t="s">
        <v>12</v>
      </c>
      <c r="I34" s="31" t="s">
        <v>186</v>
      </c>
      <c r="J34" s="31" t="s">
        <v>11</v>
      </c>
      <c r="K34" s="31" t="s">
        <v>129</v>
      </c>
      <c r="L34" s="35">
        <v>19465</v>
      </c>
      <c r="M34" s="36">
        <v>41851</v>
      </c>
      <c r="N34" s="35" t="s">
        <v>122</v>
      </c>
      <c r="O34" s="34">
        <v>42156</v>
      </c>
      <c r="P34" s="35">
        <v>44</v>
      </c>
      <c r="Q34" s="145">
        <v>74.489999999999995</v>
      </c>
      <c r="R34" s="145">
        <v>74.38</v>
      </c>
      <c r="S34" s="145">
        <v>72.819999999999993</v>
      </c>
      <c r="T34" s="145">
        <v>72.290000000000006</v>
      </c>
      <c r="U34" s="145">
        <v>72.05</v>
      </c>
    </row>
    <row r="35" spans="1:21" x14ac:dyDescent="0.2">
      <c r="A35" s="89">
        <f t="shared" si="0"/>
        <v>27</v>
      </c>
      <c r="B35" s="29">
        <v>1</v>
      </c>
      <c r="C35" s="29">
        <v>27</v>
      </c>
      <c r="D35" s="30" t="s">
        <v>774</v>
      </c>
      <c r="E35" s="31" t="s">
        <v>192</v>
      </c>
      <c r="F35" s="31" t="s">
        <v>6</v>
      </c>
      <c r="G35" s="31" t="s">
        <v>120</v>
      </c>
      <c r="H35" s="31" t="s">
        <v>100</v>
      </c>
      <c r="I35" s="31" t="s">
        <v>193</v>
      </c>
      <c r="J35" s="31" t="s">
        <v>7</v>
      </c>
      <c r="K35" s="31" t="s">
        <v>140</v>
      </c>
      <c r="L35" s="35">
        <v>19466</v>
      </c>
      <c r="M35" s="36">
        <v>41851</v>
      </c>
      <c r="N35" s="35" t="s">
        <v>122</v>
      </c>
      <c r="O35" s="34">
        <v>42156</v>
      </c>
      <c r="P35" s="35">
        <v>44</v>
      </c>
      <c r="Q35" s="145">
        <v>90.71</v>
      </c>
      <c r="R35" s="145">
        <v>89.01</v>
      </c>
      <c r="S35" s="145">
        <v>82.61</v>
      </c>
      <c r="T35" s="145">
        <v>78.819999999999993</v>
      </c>
      <c r="U35" s="145">
        <v>76.86</v>
      </c>
    </row>
    <row r="36" spans="1:21" x14ac:dyDescent="0.2">
      <c r="A36" s="89">
        <f t="shared" si="0"/>
        <v>28</v>
      </c>
      <c r="B36" s="29">
        <v>1</v>
      </c>
      <c r="C36" s="29">
        <v>28</v>
      </c>
      <c r="D36" s="30" t="s">
        <v>775</v>
      </c>
      <c r="E36" s="31" t="s">
        <v>195</v>
      </c>
      <c r="F36" s="31" t="s">
        <v>39</v>
      </c>
      <c r="G36" s="31" t="s">
        <v>120</v>
      </c>
      <c r="H36" s="31" t="s">
        <v>44</v>
      </c>
      <c r="I36" s="31" t="s">
        <v>44</v>
      </c>
      <c r="J36" s="31" t="s">
        <v>7</v>
      </c>
      <c r="K36" s="31" t="s">
        <v>140</v>
      </c>
      <c r="L36" s="35">
        <v>19467</v>
      </c>
      <c r="M36" s="36">
        <v>41851</v>
      </c>
      <c r="N36" s="35" t="s">
        <v>122</v>
      </c>
      <c r="O36" s="34">
        <v>42156</v>
      </c>
      <c r="P36" s="35">
        <v>44</v>
      </c>
      <c r="Q36" s="145">
        <v>80.53</v>
      </c>
      <c r="R36" s="145">
        <v>82.55</v>
      </c>
      <c r="S36" s="145">
        <v>80.540000000000006</v>
      </c>
      <c r="T36" s="145">
        <v>80.63</v>
      </c>
      <c r="U36" s="145">
        <v>80.72</v>
      </c>
    </row>
    <row r="37" spans="1:21" x14ac:dyDescent="0.2">
      <c r="A37" s="89">
        <f t="shared" si="0"/>
        <v>29</v>
      </c>
      <c r="B37" s="29">
        <v>1</v>
      </c>
      <c r="C37" s="29">
        <v>29</v>
      </c>
      <c r="D37" s="30" t="s">
        <v>776</v>
      </c>
      <c r="E37" s="31" t="s">
        <v>197</v>
      </c>
      <c r="F37" s="31" t="s">
        <v>39</v>
      </c>
      <c r="G37" s="31" t="s">
        <v>120</v>
      </c>
      <c r="H37" s="31" t="s">
        <v>44</v>
      </c>
      <c r="I37" s="31" t="s">
        <v>44</v>
      </c>
      <c r="J37" s="31" t="s">
        <v>45</v>
      </c>
      <c r="K37" s="31" t="s">
        <v>198</v>
      </c>
      <c r="L37" s="35">
        <v>19468</v>
      </c>
      <c r="M37" s="36">
        <v>41851</v>
      </c>
      <c r="N37" s="35" t="s">
        <v>122</v>
      </c>
      <c r="O37" s="34">
        <v>42156</v>
      </c>
      <c r="P37" s="35">
        <v>44</v>
      </c>
      <c r="Q37" s="145">
        <v>77.39</v>
      </c>
      <c r="R37" s="145">
        <v>80.45</v>
      </c>
      <c r="S37" s="145">
        <v>78.11</v>
      </c>
      <c r="T37" s="145">
        <v>78.53</v>
      </c>
      <c r="U37" s="145">
        <v>78.59</v>
      </c>
    </row>
    <row r="38" spans="1:21" x14ac:dyDescent="0.2">
      <c r="A38" s="89">
        <f t="shared" si="0"/>
        <v>30</v>
      </c>
      <c r="B38" s="29">
        <v>1</v>
      </c>
      <c r="C38" s="29">
        <v>30</v>
      </c>
      <c r="D38" s="30" t="s">
        <v>777</v>
      </c>
      <c r="E38" s="31" t="s">
        <v>200</v>
      </c>
      <c r="F38" s="31" t="s">
        <v>39</v>
      </c>
      <c r="G38" s="31" t="s">
        <v>120</v>
      </c>
      <c r="H38" s="31" t="s">
        <v>44</v>
      </c>
      <c r="I38" s="31" t="s">
        <v>44</v>
      </c>
      <c r="J38" s="31" t="s">
        <v>46</v>
      </c>
      <c r="K38" s="31" t="s">
        <v>46</v>
      </c>
      <c r="L38" s="35">
        <v>19469</v>
      </c>
      <c r="M38" s="36">
        <v>41851</v>
      </c>
      <c r="N38" s="35" t="s">
        <v>122</v>
      </c>
      <c r="O38" s="34">
        <v>42156</v>
      </c>
      <c r="P38" s="35">
        <v>44</v>
      </c>
      <c r="Q38" s="145">
        <v>76.92</v>
      </c>
      <c r="R38" s="145">
        <v>79.819999999999993</v>
      </c>
      <c r="S38" s="145">
        <v>77.47</v>
      </c>
      <c r="T38" s="145">
        <v>77.849999999999994</v>
      </c>
      <c r="U38" s="145">
        <v>78</v>
      </c>
    </row>
    <row r="39" spans="1:21" x14ac:dyDescent="0.2">
      <c r="A39" s="89">
        <f t="shared" si="0"/>
        <v>31</v>
      </c>
      <c r="B39" s="29">
        <v>1</v>
      </c>
      <c r="C39" s="29">
        <v>31</v>
      </c>
      <c r="D39" s="30" t="s">
        <v>778</v>
      </c>
      <c r="E39" s="31" t="s">
        <v>202</v>
      </c>
      <c r="F39" s="31" t="s">
        <v>39</v>
      </c>
      <c r="G39" s="31" t="s">
        <v>120</v>
      </c>
      <c r="H39" s="31" t="s">
        <v>47</v>
      </c>
      <c r="I39" s="31" t="s">
        <v>47</v>
      </c>
      <c r="J39" s="31" t="s">
        <v>7</v>
      </c>
      <c r="K39" s="31" t="s">
        <v>140</v>
      </c>
      <c r="L39" s="35">
        <v>19470</v>
      </c>
      <c r="M39" s="36">
        <v>41851</v>
      </c>
      <c r="N39" s="35" t="s">
        <v>122</v>
      </c>
      <c r="O39" s="34">
        <v>42156</v>
      </c>
      <c r="P39" s="35">
        <v>44</v>
      </c>
      <c r="Q39" s="145">
        <v>74.03</v>
      </c>
      <c r="R39" s="145">
        <v>72.739999999999995</v>
      </c>
      <c r="S39" s="145">
        <v>70.62</v>
      </c>
      <c r="T39" s="145">
        <v>69.239999999999995</v>
      </c>
      <c r="U39" s="145">
        <v>70.95</v>
      </c>
    </row>
    <row r="40" spans="1:21" x14ac:dyDescent="0.2">
      <c r="A40" s="89">
        <f t="shared" si="0"/>
        <v>32</v>
      </c>
      <c r="B40" s="29">
        <v>1</v>
      </c>
      <c r="C40" s="29">
        <v>32</v>
      </c>
      <c r="D40" s="30" t="s">
        <v>779</v>
      </c>
      <c r="E40" s="31" t="s">
        <v>204</v>
      </c>
      <c r="F40" s="31" t="s">
        <v>6</v>
      </c>
      <c r="G40" s="31" t="s">
        <v>120</v>
      </c>
      <c r="H40" s="31" t="s">
        <v>14</v>
      </c>
      <c r="I40" s="31" t="s">
        <v>14</v>
      </c>
      <c r="J40" s="31" t="s">
        <v>15</v>
      </c>
      <c r="K40" s="31" t="s">
        <v>129</v>
      </c>
      <c r="L40" s="35">
        <v>19471</v>
      </c>
      <c r="M40" s="36">
        <v>41851</v>
      </c>
      <c r="N40" s="35" t="s">
        <v>122</v>
      </c>
      <c r="O40" s="34">
        <v>42156</v>
      </c>
      <c r="P40" s="35">
        <v>44</v>
      </c>
      <c r="Q40" s="145">
        <v>77.84</v>
      </c>
      <c r="R40" s="145">
        <v>80.55</v>
      </c>
      <c r="S40" s="145">
        <v>78.3</v>
      </c>
      <c r="T40" s="145">
        <v>78.349999999999994</v>
      </c>
      <c r="U40" s="145">
        <v>78.02</v>
      </c>
    </row>
    <row r="41" spans="1:21" x14ac:dyDescent="0.2">
      <c r="A41" s="89">
        <f t="shared" si="0"/>
        <v>33</v>
      </c>
      <c r="B41" s="29">
        <v>1</v>
      </c>
      <c r="C41" s="29">
        <v>33</v>
      </c>
      <c r="D41" s="30" t="s">
        <v>780</v>
      </c>
      <c r="E41" s="31" t="s">
        <v>206</v>
      </c>
      <c r="F41" s="31" t="s">
        <v>6</v>
      </c>
      <c r="G41" s="31" t="s">
        <v>120</v>
      </c>
      <c r="H41" s="31" t="s">
        <v>14</v>
      </c>
      <c r="I41" s="31" t="s">
        <v>14</v>
      </c>
      <c r="J41" s="31" t="s">
        <v>16</v>
      </c>
      <c r="K41" s="31" t="s">
        <v>135</v>
      </c>
      <c r="L41" s="35">
        <v>19472</v>
      </c>
      <c r="M41" s="36">
        <v>41851</v>
      </c>
      <c r="N41" s="35" t="s">
        <v>122</v>
      </c>
      <c r="O41" s="34">
        <v>42156</v>
      </c>
      <c r="P41" s="35">
        <v>44</v>
      </c>
      <c r="Q41" s="145">
        <v>78.8</v>
      </c>
      <c r="R41" s="145">
        <v>81.77</v>
      </c>
      <c r="S41" s="145">
        <v>79.459999999999994</v>
      </c>
      <c r="T41" s="145">
        <v>79.599999999999994</v>
      </c>
      <c r="U41" s="145">
        <v>79.28</v>
      </c>
    </row>
    <row r="42" spans="1:21" x14ac:dyDescent="0.2">
      <c r="A42" s="89">
        <f t="shared" si="0"/>
        <v>34</v>
      </c>
      <c r="B42" s="29">
        <v>1</v>
      </c>
      <c r="C42" s="29">
        <v>34</v>
      </c>
      <c r="D42" s="30" t="s">
        <v>781</v>
      </c>
      <c r="E42" s="31" t="s">
        <v>208</v>
      </c>
      <c r="F42" s="31" t="s">
        <v>31</v>
      </c>
      <c r="G42" s="31" t="s">
        <v>120</v>
      </c>
      <c r="H42" s="31" t="s">
        <v>36</v>
      </c>
      <c r="I42" s="31" t="s">
        <v>36</v>
      </c>
      <c r="J42" s="31" t="s">
        <v>37</v>
      </c>
      <c r="K42" s="31" t="s">
        <v>209</v>
      </c>
      <c r="L42" s="35">
        <v>19473</v>
      </c>
      <c r="M42" s="36">
        <v>41851</v>
      </c>
      <c r="N42" s="35" t="s">
        <v>122</v>
      </c>
      <c r="O42" s="34">
        <v>42156</v>
      </c>
      <c r="P42" s="35">
        <v>44</v>
      </c>
      <c r="Q42" s="145">
        <v>95.37</v>
      </c>
      <c r="R42" s="145">
        <v>99.91</v>
      </c>
      <c r="S42" s="145">
        <v>99.56</v>
      </c>
      <c r="T42" s="145">
        <v>101.36</v>
      </c>
      <c r="U42" s="145">
        <v>102.7</v>
      </c>
    </row>
    <row r="43" spans="1:21" x14ac:dyDescent="0.2">
      <c r="A43" s="89">
        <f t="shared" si="0"/>
        <v>35</v>
      </c>
      <c r="B43" s="29">
        <v>1</v>
      </c>
      <c r="C43" s="29">
        <v>35</v>
      </c>
      <c r="D43" s="30" t="s">
        <v>782</v>
      </c>
      <c r="E43" s="31" t="s">
        <v>211</v>
      </c>
      <c r="F43" s="31" t="s">
        <v>31</v>
      </c>
      <c r="G43" s="31" t="s">
        <v>120</v>
      </c>
      <c r="H43" s="31" t="s">
        <v>36</v>
      </c>
      <c r="I43" s="31" t="s">
        <v>36</v>
      </c>
      <c r="J43" s="31" t="s">
        <v>38</v>
      </c>
      <c r="K43" s="31" t="s">
        <v>212</v>
      </c>
      <c r="L43" s="35">
        <v>19474</v>
      </c>
      <c r="M43" s="36">
        <v>41851</v>
      </c>
      <c r="N43" s="35" t="s">
        <v>122</v>
      </c>
      <c r="O43" s="34">
        <v>42156</v>
      </c>
      <c r="P43" s="35">
        <v>44</v>
      </c>
      <c r="Q43" s="145">
        <v>93.5</v>
      </c>
      <c r="R43" s="145">
        <v>98.26</v>
      </c>
      <c r="S43" s="145">
        <v>97.83</v>
      </c>
      <c r="T43" s="145">
        <v>99.74</v>
      </c>
      <c r="U43" s="145">
        <v>101.02</v>
      </c>
    </row>
    <row r="44" spans="1:21" x14ac:dyDescent="0.2">
      <c r="A44" s="89">
        <f t="shared" si="0"/>
        <v>36</v>
      </c>
      <c r="B44" s="29">
        <v>1</v>
      </c>
      <c r="C44" s="29">
        <v>36</v>
      </c>
      <c r="D44" s="30" t="s">
        <v>783</v>
      </c>
      <c r="E44" s="31" t="s">
        <v>214</v>
      </c>
      <c r="F44" s="31" t="s">
        <v>6</v>
      </c>
      <c r="G44" s="31" t="s">
        <v>120</v>
      </c>
      <c r="H44" s="31" t="s">
        <v>17</v>
      </c>
      <c r="I44" s="31" t="s">
        <v>215</v>
      </c>
      <c r="J44" s="31" t="s">
        <v>18</v>
      </c>
      <c r="K44" s="31" t="s">
        <v>140</v>
      </c>
      <c r="L44" s="35">
        <v>19475</v>
      </c>
      <c r="M44" s="36">
        <v>41851</v>
      </c>
      <c r="N44" s="35" t="s">
        <v>122</v>
      </c>
      <c r="O44" s="34">
        <v>42156</v>
      </c>
      <c r="P44" s="35">
        <v>44</v>
      </c>
      <c r="Q44" s="145">
        <v>66.73</v>
      </c>
      <c r="R44" s="145">
        <v>68.5</v>
      </c>
      <c r="S44" s="145">
        <v>65.39</v>
      </c>
      <c r="T44" s="145">
        <v>64.819999999999993</v>
      </c>
      <c r="U44" s="145">
        <v>66.19</v>
      </c>
    </row>
    <row r="45" spans="1:21" x14ac:dyDescent="0.2">
      <c r="A45" s="89">
        <f t="shared" si="0"/>
        <v>37</v>
      </c>
      <c r="B45" s="20"/>
      <c r="C45" s="20"/>
      <c r="D45" s="20"/>
      <c r="O45" s="37"/>
      <c r="P45" s="37"/>
    </row>
    <row r="46" spans="1:21" x14ac:dyDescent="0.2">
      <c r="A46" s="89">
        <f t="shared" si="0"/>
        <v>38</v>
      </c>
      <c r="B46" s="38">
        <v>2</v>
      </c>
      <c r="C46" s="38">
        <v>1</v>
      </c>
      <c r="D46" s="38" t="s">
        <v>784</v>
      </c>
      <c r="E46" s="39" t="s">
        <v>119</v>
      </c>
      <c r="F46" s="39" t="s">
        <v>31</v>
      </c>
      <c r="G46" s="39" t="s">
        <v>120</v>
      </c>
      <c r="H46" s="39" t="s">
        <v>32</v>
      </c>
      <c r="I46" s="39" t="s">
        <v>32</v>
      </c>
      <c r="J46" s="39" t="s">
        <v>33</v>
      </c>
      <c r="K46" s="39" t="s">
        <v>121</v>
      </c>
      <c r="L46" s="40">
        <v>19440</v>
      </c>
      <c r="M46" s="41">
        <v>41851</v>
      </c>
      <c r="N46" s="40" t="s">
        <v>122</v>
      </c>
      <c r="O46" s="42">
        <v>42186</v>
      </c>
      <c r="P46" s="40">
        <v>45</v>
      </c>
      <c r="Q46" s="145">
        <v>91.3</v>
      </c>
      <c r="R46" s="145">
        <v>95.18</v>
      </c>
      <c r="S46" s="145">
        <v>92.36</v>
      </c>
      <c r="T46" s="145">
        <v>93.38</v>
      </c>
      <c r="U46" s="145">
        <v>94.13</v>
      </c>
    </row>
    <row r="47" spans="1:21" x14ac:dyDescent="0.2">
      <c r="A47" s="89">
        <f t="shared" si="0"/>
        <v>39</v>
      </c>
      <c r="B47" s="38">
        <v>2</v>
      </c>
      <c r="C47" s="38">
        <v>2</v>
      </c>
      <c r="D47" s="38" t="s">
        <v>785</v>
      </c>
      <c r="E47" s="39" t="s">
        <v>124</v>
      </c>
      <c r="F47" s="39" t="s">
        <v>31</v>
      </c>
      <c r="G47" s="39" t="s">
        <v>120</v>
      </c>
      <c r="H47" s="39" t="s">
        <v>32</v>
      </c>
      <c r="I47" s="39" t="s">
        <v>32</v>
      </c>
      <c r="J47" s="39" t="s">
        <v>34</v>
      </c>
      <c r="K47" s="39" t="s">
        <v>125</v>
      </c>
      <c r="L47" s="40">
        <v>19441</v>
      </c>
      <c r="M47" s="41">
        <v>41851</v>
      </c>
      <c r="N47" s="40" t="s">
        <v>122</v>
      </c>
      <c r="O47" s="42">
        <v>42186</v>
      </c>
      <c r="P47" s="40">
        <v>45</v>
      </c>
      <c r="Q47" s="145">
        <v>90.99</v>
      </c>
      <c r="R47" s="145">
        <v>94.47</v>
      </c>
      <c r="S47" s="145">
        <v>91.79</v>
      </c>
      <c r="T47" s="145">
        <v>92.68</v>
      </c>
      <c r="U47" s="145">
        <v>92.78</v>
      </c>
    </row>
    <row r="48" spans="1:21" x14ac:dyDescent="0.2">
      <c r="A48" s="89">
        <f t="shared" si="0"/>
        <v>40</v>
      </c>
      <c r="B48" s="38">
        <v>2</v>
      </c>
      <c r="C48" s="38">
        <v>3</v>
      </c>
      <c r="D48" s="38" t="s">
        <v>786</v>
      </c>
      <c r="E48" s="39" t="s">
        <v>127</v>
      </c>
      <c r="F48" s="39" t="s">
        <v>20</v>
      </c>
      <c r="G48" s="39" t="s">
        <v>120</v>
      </c>
      <c r="H48" s="39" t="s">
        <v>63</v>
      </c>
      <c r="I48" s="39" t="s">
        <v>128</v>
      </c>
      <c r="J48" s="39" t="s">
        <v>15</v>
      </c>
      <c r="K48" s="39" t="s">
        <v>129</v>
      </c>
      <c r="L48" s="40">
        <v>19442</v>
      </c>
      <c r="M48" s="41">
        <v>41851</v>
      </c>
      <c r="N48" s="40" t="s">
        <v>122</v>
      </c>
      <c r="O48" s="42">
        <v>42186</v>
      </c>
      <c r="P48" s="40">
        <v>45</v>
      </c>
      <c r="Q48" s="145">
        <v>67.459999999999994</v>
      </c>
      <c r="R48" s="145">
        <v>70.23</v>
      </c>
      <c r="S48" s="145">
        <v>66.930000000000007</v>
      </c>
      <c r="T48" s="145">
        <v>67.209999999999994</v>
      </c>
      <c r="U48" s="145">
        <v>66.91</v>
      </c>
    </row>
    <row r="49" spans="1:21" x14ac:dyDescent="0.2">
      <c r="A49" s="89">
        <f t="shared" si="0"/>
        <v>41</v>
      </c>
      <c r="B49" s="38">
        <v>2</v>
      </c>
      <c r="C49" s="38">
        <v>4</v>
      </c>
      <c r="D49" s="38" t="s">
        <v>787</v>
      </c>
      <c r="E49" s="39" t="s">
        <v>131</v>
      </c>
      <c r="F49" s="39" t="s">
        <v>20</v>
      </c>
      <c r="G49" s="39" t="s">
        <v>120</v>
      </c>
      <c r="H49" s="39" t="s">
        <v>63</v>
      </c>
      <c r="I49" s="39" t="s">
        <v>128</v>
      </c>
      <c r="J49" s="39" t="s">
        <v>21</v>
      </c>
      <c r="K49" s="39" t="s">
        <v>132</v>
      </c>
      <c r="L49" s="40">
        <v>19443</v>
      </c>
      <c r="M49" s="41">
        <v>41851</v>
      </c>
      <c r="N49" s="40" t="s">
        <v>122</v>
      </c>
      <c r="O49" s="42">
        <v>42186</v>
      </c>
      <c r="P49" s="40">
        <v>45</v>
      </c>
      <c r="Q49" s="145">
        <v>70.7</v>
      </c>
      <c r="R49" s="145">
        <v>72.150000000000006</v>
      </c>
      <c r="S49" s="145">
        <v>69.290000000000006</v>
      </c>
      <c r="T49" s="145">
        <v>69.13</v>
      </c>
      <c r="U49" s="145">
        <v>68.84</v>
      </c>
    </row>
    <row r="50" spans="1:21" x14ac:dyDescent="0.2">
      <c r="A50" s="89">
        <f t="shared" si="0"/>
        <v>42</v>
      </c>
      <c r="B50" s="38">
        <v>2</v>
      </c>
      <c r="C50" s="38">
        <v>5</v>
      </c>
      <c r="D50" s="38" t="s">
        <v>788</v>
      </c>
      <c r="E50" s="39" t="s">
        <v>134</v>
      </c>
      <c r="F50" s="39" t="s">
        <v>20</v>
      </c>
      <c r="G50" s="39" t="s">
        <v>120</v>
      </c>
      <c r="H50" s="39" t="s">
        <v>63</v>
      </c>
      <c r="I50" s="39" t="s">
        <v>128</v>
      </c>
      <c r="J50" s="39" t="s">
        <v>16</v>
      </c>
      <c r="K50" s="39" t="s">
        <v>135</v>
      </c>
      <c r="L50" s="40">
        <v>19444</v>
      </c>
      <c r="M50" s="41">
        <v>41851</v>
      </c>
      <c r="N50" s="40" t="s">
        <v>122</v>
      </c>
      <c r="O50" s="42">
        <v>42186</v>
      </c>
      <c r="P50" s="40">
        <v>45</v>
      </c>
      <c r="Q50" s="145">
        <v>69.040000000000006</v>
      </c>
      <c r="R50" s="145">
        <v>71.17</v>
      </c>
      <c r="S50" s="145">
        <v>68.099999999999994</v>
      </c>
      <c r="T50" s="145">
        <v>68.11</v>
      </c>
      <c r="U50" s="145">
        <v>67.8</v>
      </c>
    </row>
    <row r="51" spans="1:21" x14ac:dyDescent="0.2">
      <c r="A51" s="89">
        <f t="shared" si="0"/>
        <v>43</v>
      </c>
      <c r="B51" s="38">
        <v>2</v>
      </c>
      <c r="C51" s="38">
        <v>6</v>
      </c>
      <c r="D51" s="38" t="s">
        <v>789</v>
      </c>
      <c r="E51" s="39" t="s">
        <v>137</v>
      </c>
      <c r="F51" s="39" t="s">
        <v>25</v>
      </c>
      <c r="G51" s="39" t="s">
        <v>138</v>
      </c>
      <c r="H51" s="39" t="s">
        <v>139</v>
      </c>
      <c r="I51" s="39" t="s">
        <v>29</v>
      </c>
      <c r="J51" s="39" t="s">
        <v>30</v>
      </c>
      <c r="K51" s="39" t="s">
        <v>140</v>
      </c>
      <c r="L51" s="40">
        <v>19445</v>
      </c>
      <c r="M51" s="41">
        <v>41792</v>
      </c>
      <c r="N51" s="40" t="s">
        <v>122</v>
      </c>
      <c r="O51" s="42">
        <v>42186</v>
      </c>
      <c r="P51" s="40">
        <v>45</v>
      </c>
      <c r="Q51" s="145">
        <v>52.98</v>
      </c>
      <c r="R51" s="145">
        <v>55.96</v>
      </c>
      <c r="S51" s="145">
        <v>55.67</v>
      </c>
      <c r="T51" s="145">
        <v>57.06</v>
      </c>
      <c r="U51" s="145">
        <v>58.35</v>
      </c>
    </row>
    <row r="52" spans="1:21" x14ac:dyDescent="0.2">
      <c r="A52" s="89">
        <f t="shared" si="0"/>
        <v>44</v>
      </c>
      <c r="B52" s="38">
        <v>2</v>
      </c>
      <c r="C52" s="38">
        <v>7</v>
      </c>
      <c r="D52" s="38" t="s">
        <v>790</v>
      </c>
      <c r="E52" s="39" t="s">
        <v>142</v>
      </c>
      <c r="F52" s="39" t="s">
        <v>39</v>
      </c>
      <c r="G52" s="39" t="s">
        <v>120</v>
      </c>
      <c r="H52" s="39" t="s">
        <v>40</v>
      </c>
      <c r="I52" s="39" t="s">
        <v>40</v>
      </c>
      <c r="J52" s="39" t="s">
        <v>42</v>
      </c>
      <c r="K52" s="39" t="s">
        <v>135</v>
      </c>
      <c r="L52" s="40">
        <v>19447</v>
      </c>
      <c r="M52" s="41">
        <v>41851</v>
      </c>
      <c r="N52" s="40" t="s">
        <v>122</v>
      </c>
      <c r="O52" s="42">
        <v>42186</v>
      </c>
      <c r="P52" s="40">
        <v>45</v>
      </c>
      <c r="Q52" s="145">
        <v>79.7</v>
      </c>
      <c r="R52" s="145">
        <v>82.72</v>
      </c>
      <c r="S52" s="145">
        <v>80.05</v>
      </c>
      <c r="T52" s="145">
        <v>80.73</v>
      </c>
      <c r="U52" s="145">
        <v>81.069999999999993</v>
      </c>
    </row>
    <row r="53" spans="1:21" x14ac:dyDescent="0.2">
      <c r="A53" s="89">
        <f t="shared" si="0"/>
        <v>45</v>
      </c>
      <c r="B53" s="38">
        <v>2</v>
      </c>
      <c r="C53" s="38">
        <v>8</v>
      </c>
      <c r="D53" s="38" t="s">
        <v>791</v>
      </c>
      <c r="E53" s="39" t="s">
        <v>144</v>
      </c>
      <c r="F53" s="39" t="s">
        <v>39</v>
      </c>
      <c r="G53" s="39" t="s">
        <v>120</v>
      </c>
      <c r="H53" s="39" t="s">
        <v>40</v>
      </c>
      <c r="I53" s="39" t="s">
        <v>40</v>
      </c>
      <c r="J53" s="39" t="s">
        <v>41</v>
      </c>
      <c r="K53" s="39" t="s">
        <v>132</v>
      </c>
      <c r="L53" s="40">
        <v>19446</v>
      </c>
      <c r="M53" s="41">
        <v>41851</v>
      </c>
      <c r="N53" s="40" t="s">
        <v>122</v>
      </c>
      <c r="O53" s="42">
        <v>42186</v>
      </c>
      <c r="P53" s="40">
        <v>45</v>
      </c>
      <c r="Q53" s="145">
        <v>81.209999999999994</v>
      </c>
      <c r="R53" s="145">
        <v>83.59</v>
      </c>
      <c r="S53" s="145">
        <v>81.11</v>
      </c>
      <c r="T53" s="145">
        <v>81.599999999999994</v>
      </c>
      <c r="U53" s="145">
        <v>82.01</v>
      </c>
    </row>
    <row r="54" spans="1:21" x14ac:dyDescent="0.2">
      <c r="A54" s="89">
        <f t="shared" si="0"/>
        <v>46</v>
      </c>
      <c r="B54" s="38">
        <v>2</v>
      </c>
      <c r="C54" s="38">
        <v>9</v>
      </c>
      <c r="D54" s="38" t="s">
        <v>792</v>
      </c>
      <c r="E54" s="39" t="s">
        <v>146</v>
      </c>
      <c r="F54" s="39" t="s">
        <v>39</v>
      </c>
      <c r="G54" s="39" t="s">
        <v>120</v>
      </c>
      <c r="H54" s="39" t="s">
        <v>40</v>
      </c>
      <c r="I54" s="39" t="s">
        <v>40</v>
      </c>
      <c r="J54" s="39" t="s">
        <v>7</v>
      </c>
      <c r="K54" s="39" t="s">
        <v>129</v>
      </c>
      <c r="L54" s="40">
        <v>19448</v>
      </c>
      <c r="M54" s="41">
        <v>41851</v>
      </c>
      <c r="N54" s="40" t="s">
        <v>122</v>
      </c>
      <c r="O54" s="42">
        <v>42186</v>
      </c>
      <c r="P54" s="40">
        <v>45</v>
      </c>
      <c r="Q54" s="145">
        <v>78.38</v>
      </c>
      <c r="R54" s="145">
        <v>81.8</v>
      </c>
      <c r="S54" s="145">
        <v>79</v>
      </c>
      <c r="T54" s="145">
        <v>79.83</v>
      </c>
      <c r="U54" s="145">
        <v>80.14</v>
      </c>
    </row>
    <row r="55" spans="1:21" x14ac:dyDescent="0.2">
      <c r="A55" s="89">
        <f t="shared" si="0"/>
        <v>47</v>
      </c>
      <c r="B55" s="38">
        <v>2</v>
      </c>
      <c r="C55" s="38">
        <v>10</v>
      </c>
      <c r="D55" s="38" t="s">
        <v>793</v>
      </c>
      <c r="E55" s="39" t="s">
        <v>148</v>
      </c>
      <c r="F55" s="39" t="s">
        <v>25</v>
      </c>
      <c r="G55" s="39" t="s">
        <v>120</v>
      </c>
      <c r="H55" s="39" t="s">
        <v>149</v>
      </c>
      <c r="I55" s="39" t="s">
        <v>26</v>
      </c>
      <c r="J55" s="39" t="s">
        <v>27</v>
      </c>
      <c r="K55" s="39" t="s">
        <v>150</v>
      </c>
      <c r="L55" s="40">
        <v>19449</v>
      </c>
      <c r="M55" s="41">
        <v>41851</v>
      </c>
      <c r="N55" s="40" t="s">
        <v>122</v>
      </c>
      <c r="O55" s="42">
        <v>42186</v>
      </c>
      <c r="P55" s="40">
        <v>45</v>
      </c>
      <c r="Q55" s="145">
        <v>63.55</v>
      </c>
      <c r="R55" s="145">
        <v>65.069999999999993</v>
      </c>
      <c r="S55" s="145">
        <v>62.16</v>
      </c>
      <c r="T55" s="145">
        <v>62.28</v>
      </c>
      <c r="U55" s="145">
        <v>63.97</v>
      </c>
    </row>
    <row r="56" spans="1:21" x14ac:dyDescent="0.2">
      <c r="A56" s="89">
        <f t="shared" si="0"/>
        <v>48</v>
      </c>
      <c r="B56" s="38">
        <v>2</v>
      </c>
      <c r="C56" s="38">
        <v>11</v>
      </c>
      <c r="D56" s="38" t="s">
        <v>794</v>
      </c>
      <c r="E56" s="39" t="s">
        <v>152</v>
      </c>
      <c r="F56" s="39" t="s">
        <v>25</v>
      </c>
      <c r="G56" s="39" t="s">
        <v>120</v>
      </c>
      <c r="H56" s="39" t="s">
        <v>149</v>
      </c>
      <c r="I56" s="39" t="s">
        <v>26</v>
      </c>
      <c r="J56" s="39" t="s">
        <v>28</v>
      </c>
      <c r="K56" s="39" t="s">
        <v>153</v>
      </c>
      <c r="L56" s="40">
        <v>19450</v>
      </c>
      <c r="M56" s="41">
        <v>41851</v>
      </c>
      <c r="N56" s="40" t="s">
        <v>122</v>
      </c>
      <c r="O56" s="42">
        <v>42186</v>
      </c>
      <c r="P56" s="40">
        <v>45</v>
      </c>
      <c r="Q56" s="145">
        <v>62.6</v>
      </c>
      <c r="R56" s="145">
        <v>64.22</v>
      </c>
      <c r="S56" s="145">
        <v>61.28</v>
      </c>
      <c r="T56" s="145">
        <v>61.43</v>
      </c>
      <c r="U56" s="145">
        <v>63.13</v>
      </c>
    </row>
    <row r="57" spans="1:21" x14ac:dyDescent="0.2">
      <c r="A57" s="89">
        <f t="shared" si="0"/>
        <v>49</v>
      </c>
      <c r="B57" s="38">
        <v>2</v>
      </c>
      <c r="C57" s="38">
        <v>12</v>
      </c>
      <c r="D57" s="38" t="s">
        <v>795</v>
      </c>
      <c r="E57" s="39" t="s">
        <v>155</v>
      </c>
      <c r="F57" s="39" t="s">
        <v>20</v>
      </c>
      <c r="G57" s="39" t="s">
        <v>120</v>
      </c>
      <c r="H57" s="39" t="s">
        <v>105</v>
      </c>
      <c r="I57" s="39" t="s">
        <v>156</v>
      </c>
      <c r="J57" s="39" t="s">
        <v>22</v>
      </c>
      <c r="K57" s="39" t="s">
        <v>157</v>
      </c>
      <c r="L57" s="40">
        <v>19451</v>
      </c>
      <c r="M57" s="41">
        <v>41851</v>
      </c>
      <c r="N57" s="40" t="s">
        <v>122</v>
      </c>
      <c r="O57" s="42">
        <v>42186</v>
      </c>
      <c r="P57" s="40">
        <v>45</v>
      </c>
      <c r="Q57" s="145">
        <v>61.69</v>
      </c>
      <c r="R57" s="145">
        <v>62.63</v>
      </c>
      <c r="S57" s="145">
        <v>59.7</v>
      </c>
      <c r="T57" s="145">
        <v>59.67</v>
      </c>
      <c r="U57" s="145">
        <v>61.16</v>
      </c>
    </row>
    <row r="58" spans="1:21" x14ac:dyDescent="0.2">
      <c r="A58" s="89">
        <f t="shared" si="0"/>
        <v>50</v>
      </c>
      <c r="B58" s="38">
        <v>2</v>
      </c>
      <c r="C58" s="38">
        <v>13</v>
      </c>
      <c r="D58" s="38" t="s">
        <v>796</v>
      </c>
      <c r="E58" s="39" t="s">
        <v>159</v>
      </c>
      <c r="F58" s="39" t="s">
        <v>39</v>
      </c>
      <c r="G58" s="39" t="s">
        <v>120</v>
      </c>
      <c r="H58" s="39" t="s">
        <v>43</v>
      </c>
      <c r="I58" s="39" t="s">
        <v>43</v>
      </c>
      <c r="J58" s="39" t="s">
        <v>7</v>
      </c>
      <c r="K58" s="39" t="s">
        <v>140</v>
      </c>
      <c r="L58" s="40">
        <v>19452</v>
      </c>
      <c r="M58" s="41">
        <v>41851</v>
      </c>
      <c r="N58" s="40" t="s">
        <v>122</v>
      </c>
      <c r="O58" s="42">
        <v>42186</v>
      </c>
      <c r="P58" s="40">
        <v>45</v>
      </c>
      <c r="Q58" s="145">
        <v>83.14</v>
      </c>
      <c r="R58" s="145">
        <v>85.59</v>
      </c>
      <c r="S58" s="145">
        <v>83.55</v>
      </c>
      <c r="T58" s="145">
        <v>83.89</v>
      </c>
      <c r="U58" s="145">
        <v>84.49</v>
      </c>
    </row>
    <row r="59" spans="1:21" x14ac:dyDescent="0.2">
      <c r="A59" s="89">
        <f t="shared" si="0"/>
        <v>51</v>
      </c>
      <c r="B59" s="38">
        <v>2</v>
      </c>
      <c r="C59" s="38">
        <v>14</v>
      </c>
      <c r="D59" s="38" t="s">
        <v>797</v>
      </c>
      <c r="E59" s="39" t="s">
        <v>161</v>
      </c>
      <c r="F59" s="39" t="s">
        <v>6</v>
      </c>
      <c r="G59" s="39" t="s">
        <v>120</v>
      </c>
      <c r="H59" s="39" t="s">
        <v>48</v>
      </c>
      <c r="I59" s="39" t="s">
        <v>48</v>
      </c>
      <c r="J59" s="39" t="s">
        <v>7</v>
      </c>
      <c r="K59" s="39" t="s">
        <v>140</v>
      </c>
      <c r="L59" s="40">
        <v>19453</v>
      </c>
      <c r="M59" s="41">
        <v>41851</v>
      </c>
      <c r="N59" s="40" t="s">
        <v>122</v>
      </c>
      <c r="O59" s="42">
        <v>42186</v>
      </c>
      <c r="P59" s="40">
        <v>45</v>
      </c>
      <c r="Q59" s="145">
        <v>70.44</v>
      </c>
      <c r="R59" s="145">
        <v>72.239999999999995</v>
      </c>
      <c r="S59" s="145">
        <v>69.2</v>
      </c>
      <c r="T59" s="145">
        <v>69.400000000000006</v>
      </c>
      <c r="U59" s="145">
        <v>71</v>
      </c>
    </row>
    <row r="60" spans="1:21" x14ac:dyDescent="0.2">
      <c r="A60" s="89">
        <f t="shared" si="0"/>
        <v>52</v>
      </c>
      <c r="B60" s="38">
        <v>2</v>
      </c>
      <c r="C60" s="38">
        <v>15</v>
      </c>
      <c r="D60" s="38" t="s">
        <v>798</v>
      </c>
      <c r="E60" s="39" t="s">
        <v>163</v>
      </c>
      <c r="F60" s="39" t="s">
        <v>20</v>
      </c>
      <c r="G60" s="39" t="s">
        <v>120</v>
      </c>
      <c r="H60" s="39" t="s">
        <v>23</v>
      </c>
      <c r="I60" s="39" t="s">
        <v>164</v>
      </c>
      <c r="J60" s="39" t="s">
        <v>24</v>
      </c>
      <c r="K60" s="39" t="s">
        <v>140</v>
      </c>
      <c r="L60" s="40">
        <v>19454</v>
      </c>
      <c r="M60" s="41">
        <v>41851</v>
      </c>
      <c r="N60" s="40" t="s">
        <v>122</v>
      </c>
      <c r="O60" s="42">
        <v>42186</v>
      </c>
      <c r="P60" s="40">
        <v>45</v>
      </c>
      <c r="Q60" s="145">
        <v>59.42</v>
      </c>
      <c r="R60" s="145">
        <v>60.6</v>
      </c>
      <c r="S60" s="145">
        <v>57.68</v>
      </c>
      <c r="T60" s="145">
        <v>57.61</v>
      </c>
      <c r="U60" s="145">
        <v>59.11</v>
      </c>
    </row>
    <row r="61" spans="1:21" x14ac:dyDescent="0.2">
      <c r="A61" s="89">
        <f t="shared" si="0"/>
        <v>53</v>
      </c>
      <c r="B61" s="38">
        <v>2</v>
      </c>
      <c r="C61" s="38">
        <v>16</v>
      </c>
      <c r="D61" s="38" t="s">
        <v>799</v>
      </c>
      <c r="E61" s="39" t="s">
        <v>166</v>
      </c>
      <c r="F61" s="39" t="s">
        <v>20</v>
      </c>
      <c r="G61" s="39" t="s">
        <v>120</v>
      </c>
      <c r="H61" s="39" t="s">
        <v>64</v>
      </c>
      <c r="I61" s="39" t="s">
        <v>167</v>
      </c>
      <c r="J61" s="39" t="s">
        <v>7</v>
      </c>
      <c r="K61" s="39" t="s">
        <v>140</v>
      </c>
      <c r="L61" s="40">
        <v>19455</v>
      </c>
      <c r="M61" s="41">
        <v>41851</v>
      </c>
      <c r="N61" s="40" t="s">
        <v>122</v>
      </c>
      <c r="O61" s="42">
        <v>42186</v>
      </c>
      <c r="P61" s="40">
        <v>45</v>
      </c>
      <c r="Q61" s="145">
        <v>83.23</v>
      </c>
      <c r="R61" s="145">
        <v>81.98</v>
      </c>
      <c r="S61" s="145">
        <v>75.239999999999995</v>
      </c>
      <c r="T61" s="145">
        <v>72.680000000000007</v>
      </c>
      <c r="U61" s="145">
        <v>71.59</v>
      </c>
    </row>
    <row r="62" spans="1:21" x14ac:dyDescent="0.2">
      <c r="A62" s="89">
        <f t="shared" si="0"/>
        <v>54</v>
      </c>
      <c r="B62" s="38">
        <v>2</v>
      </c>
      <c r="C62" s="38">
        <v>17</v>
      </c>
      <c r="D62" s="38" t="s">
        <v>800</v>
      </c>
      <c r="E62" s="39" t="s">
        <v>169</v>
      </c>
      <c r="F62" s="39" t="s">
        <v>31</v>
      </c>
      <c r="G62" s="39" t="s">
        <v>120</v>
      </c>
      <c r="H62" s="39" t="s">
        <v>35</v>
      </c>
      <c r="I62" s="39" t="s">
        <v>35</v>
      </c>
      <c r="J62" s="39" t="s">
        <v>9</v>
      </c>
      <c r="K62" s="39" t="s">
        <v>135</v>
      </c>
      <c r="L62" s="40">
        <v>19456</v>
      </c>
      <c r="M62" s="41">
        <v>41851</v>
      </c>
      <c r="N62" s="40" t="s">
        <v>122</v>
      </c>
      <c r="O62" s="42">
        <v>42186</v>
      </c>
      <c r="P62" s="40">
        <v>45</v>
      </c>
      <c r="Q62" s="145">
        <v>88.39</v>
      </c>
      <c r="R62" s="145">
        <v>91.8</v>
      </c>
      <c r="S62" s="145">
        <v>89.51</v>
      </c>
      <c r="T62" s="145">
        <v>90.33</v>
      </c>
      <c r="U62" s="145">
        <v>91.34</v>
      </c>
    </row>
    <row r="63" spans="1:21" x14ac:dyDescent="0.2">
      <c r="A63" s="89">
        <f t="shared" si="0"/>
        <v>55</v>
      </c>
      <c r="B63" s="38">
        <v>2</v>
      </c>
      <c r="C63" s="38">
        <v>18</v>
      </c>
      <c r="D63" s="38" t="s">
        <v>801</v>
      </c>
      <c r="E63" s="39" t="s">
        <v>171</v>
      </c>
      <c r="F63" s="39" t="s">
        <v>31</v>
      </c>
      <c r="G63" s="39" t="s">
        <v>120</v>
      </c>
      <c r="H63" s="39" t="s">
        <v>35</v>
      </c>
      <c r="I63" s="39" t="s">
        <v>35</v>
      </c>
      <c r="J63" s="39" t="s">
        <v>10</v>
      </c>
      <c r="K63" s="39" t="s">
        <v>132</v>
      </c>
      <c r="L63" s="40">
        <v>19457</v>
      </c>
      <c r="M63" s="41">
        <v>41851</v>
      </c>
      <c r="N63" s="40" t="s">
        <v>122</v>
      </c>
      <c r="O63" s="42">
        <v>42186</v>
      </c>
      <c r="P63" s="40">
        <v>45</v>
      </c>
      <c r="Q63" s="145">
        <v>95.76</v>
      </c>
      <c r="R63" s="145">
        <v>94.76</v>
      </c>
      <c r="S63" s="145">
        <v>93.77</v>
      </c>
      <c r="T63" s="145">
        <v>93.34</v>
      </c>
      <c r="U63" s="145">
        <v>94.38</v>
      </c>
    </row>
    <row r="64" spans="1:21" x14ac:dyDescent="0.2">
      <c r="A64" s="89">
        <f t="shared" si="0"/>
        <v>56</v>
      </c>
      <c r="B64" s="38">
        <v>2</v>
      </c>
      <c r="C64" s="38">
        <v>19</v>
      </c>
      <c r="D64" s="38" t="s">
        <v>802</v>
      </c>
      <c r="E64" s="39" t="s">
        <v>173</v>
      </c>
      <c r="F64" s="39" t="s">
        <v>31</v>
      </c>
      <c r="G64" s="39" t="s">
        <v>120</v>
      </c>
      <c r="H64" s="39" t="s">
        <v>35</v>
      </c>
      <c r="I64" s="39" t="s">
        <v>35</v>
      </c>
      <c r="J64" s="39" t="s">
        <v>11</v>
      </c>
      <c r="K64" s="39" t="s">
        <v>129</v>
      </c>
      <c r="L64" s="40">
        <v>19458</v>
      </c>
      <c r="M64" s="41">
        <v>41851</v>
      </c>
      <c r="N64" s="40" t="s">
        <v>122</v>
      </c>
      <c r="O64" s="42">
        <v>42186</v>
      </c>
      <c r="P64" s="40">
        <v>45</v>
      </c>
      <c r="Q64" s="145">
        <v>89.87</v>
      </c>
      <c r="R64" s="145">
        <v>92.4</v>
      </c>
      <c r="S64" s="145">
        <v>90.37</v>
      </c>
      <c r="T64" s="145">
        <v>90.92</v>
      </c>
      <c r="U64" s="145">
        <v>91.92</v>
      </c>
    </row>
    <row r="65" spans="1:21" x14ac:dyDescent="0.2">
      <c r="A65" s="89">
        <f t="shared" si="0"/>
        <v>57</v>
      </c>
      <c r="B65" s="38">
        <v>2</v>
      </c>
      <c r="C65" s="38">
        <v>20</v>
      </c>
      <c r="D65" s="38" t="s">
        <v>803</v>
      </c>
      <c r="E65" s="39" t="s">
        <v>175</v>
      </c>
      <c r="F65" s="39" t="s">
        <v>6</v>
      </c>
      <c r="G65" s="39" t="s">
        <v>120</v>
      </c>
      <c r="H65" s="39" t="s">
        <v>176</v>
      </c>
      <c r="I65" s="39" t="s">
        <v>177</v>
      </c>
      <c r="J65" s="39" t="s">
        <v>9</v>
      </c>
      <c r="K65" s="39" t="s">
        <v>135</v>
      </c>
      <c r="L65" s="40">
        <v>19460</v>
      </c>
      <c r="M65" s="41">
        <v>41851</v>
      </c>
      <c r="N65" s="40" t="s">
        <v>122</v>
      </c>
      <c r="O65" s="42">
        <v>42186</v>
      </c>
      <c r="P65" s="40">
        <v>45</v>
      </c>
      <c r="Q65" s="145">
        <v>71.010000000000005</v>
      </c>
      <c r="R65" s="145">
        <v>73.66</v>
      </c>
      <c r="S65" s="145">
        <v>71.22</v>
      </c>
      <c r="T65" s="145">
        <v>71.62</v>
      </c>
      <c r="U65" s="145">
        <v>71.83</v>
      </c>
    </row>
    <row r="66" spans="1:21" x14ac:dyDescent="0.2">
      <c r="A66" s="89">
        <f t="shared" si="0"/>
        <v>58</v>
      </c>
      <c r="B66" s="38">
        <v>2</v>
      </c>
      <c r="C66" s="38">
        <v>21</v>
      </c>
      <c r="D66" s="38" t="s">
        <v>804</v>
      </c>
      <c r="E66" s="39" t="s">
        <v>179</v>
      </c>
      <c r="F66" s="39" t="s">
        <v>6</v>
      </c>
      <c r="G66" s="39" t="s">
        <v>120</v>
      </c>
      <c r="H66" s="39" t="s">
        <v>176</v>
      </c>
      <c r="I66" s="39" t="s">
        <v>177</v>
      </c>
      <c r="J66" s="39" t="s">
        <v>10</v>
      </c>
      <c r="K66" s="39" t="s">
        <v>132</v>
      </c>
      <c r="L66" s="40">
        <v>19459</v>
      </c>
      <c r="M66" s="41">
        <v>41851</v>
      </c>
      <c r="N66" s="40" t="s">
        <v>122</v>
      </c>
      <c r="O66" s="42">
        <v>42186</v>
      </c>
      <c r="P66" s="40">
        <v>45</v>
      </c>
      <c r="Q66" s="145">
        <v>72.3</v>
      </c>
      <c r="R66" s="145">
        <v>74.73</v>
      </c>
      <c r="S66" s="145">
        <v>72.37</v>
      </c>
      <c r="T66" s="145">
        <v>72.7</v>
      </c>
      <c r="U66" s="145">
        <v>72.92</v>
      </c>
    </row>
    <row r="67" spans="1:21" x14ac:dyDescent="0.2">
      <c r="A67" s="89">
        <f t="shared" si="0"/>
        <v>59</v>
      </c>
      <c r="B67" s="38">
        <v>2</v>
      </c>
      <c r="C67" s="38">
        <v>22</v>
      </c>
      <c r="D67" s="38" t="s">
        <v>805</v>
      </c>
      <c r="E67" s="39" t="s">
        <v>181</v>
      </c>
      <c r="F67" s="39" t="s">
        <v>6</v>
      </c>
      <c r="G67" s="39" t="s">
        <v>120</v>
      </c>
      <c r="H67" s="39" t="s">
        <v>176</v>
      </c>
      <c r="I67" s="39" t="s">
        <v>177</v>
      </c>
      <c r="J67" s="39" t="s">
        <v>11</v>
      </c>
      <c r="K67" s="39" t="s">
        <v>129</v>
      </c>
      <c r="L67" s="40">
        <v>19461</v>
      </c>
      <c r="M67" s="41">
        <v>41851</v>
      </c>
      <c r="N67" s="40" t="s">
        <v>122</v>
      </c>
      <c r="O67" s="42">
        <v>42186</v>
      </c>
      <c r="P67" s="40">
        <v>45</v>
      </c>
      <c r="Q67" s="145">
        <v>70</v>
      </c>
      <c r="R67" s="145">
        <v>73.7</v>
      </c>
      <c r="S67" s="145">
        <v>70.89</v>
      </c>
      <c r="T67" s="145">
        <v>71.69</v>
      </c>
      <c r="U67" s="145">
        <v>71.930000000000007</v>
      </c>
    </row>
    <row r="68" spans="1:21" x14ac:dyDescent="0.2">
      <c r="A68" s="89">
        <f t="shared" si="0"/>
        <v>60</v>
      </c>
      <c r="B68" s="38">
        <v>2</v>
      </c>
      <c r="C68" s="38">
        <v>23</v>
      </c>
      <c r="D68" s="38" t="s">
        <v>806</v>
      </c>
      <c r="E68" s="39" t="s">
        <v>183</v>
      </c>
      <c r="F68" s="39" t="s">
        <v>6</v>
      </c>
      <c r="G68" s="39" t="s">
        <v>120</v>
      </c>
      <c r="H68" s="39" t="s">
        <v>13</v>
      </c>
      <c r="I68" s="39" t="s">
        <v>13</v>
      </c>
      <c r="J68" s="39" t="s">
        <v>7</v>
      </c>
      <c r="K68" s="39" t="s">
        <v>140</v>
      </c>
      <c r="L68" s="40">
        <v>19462</v>
      </c>
      <c r="M68" s="41">
        <v>41851</v>
      </c>
      <c r="N68" s="40" t="s">
        <v>122</v>
      </c>
      <c r="O68" s="42">
        <v>42186</v>
      </c>
      <c r="P68" s="40">
        <v>45</v>
      </c>
      <c r="Q68" s="145">
        <v>75.58</v>
      </c>
      <c r="R68" s="145">
        <v>77.97</v>
      </c>
      <c r="S68" s="145">
        <v>75.62</v>
      </c>
      <c r="T68" s="145">
        <v>76.03</v>
      </c>
      <c r="U68" s="145">
        <v>76.47</v>
      </c>
    </row>
    <row r="69" spans="1:21" x14ac:dyDescent="0.2">
      <c r="A69" s="89">
        <f t="shared" si="0"/>
        <v>61</v>
      </c>
      <c r="B69" s="38">
        <v>2</v>
      </c>
      <c r="C69" s="38">
        <v>24</v>
      </c>
      <c r="D69" s="38" t="s">
        <v>807</v>
      </c>
      <c r="E69" s="39" t="s">
        <v>185</v>
      </c>
      <c r="F69" s="39" t="s">
        <v>6</v>
      </c>
      <c r="G69" s="39" t="s">
        <v>120</v>
      </c>
      <c r="H69" s="39" t="s">
        <v>12</v>
      </c>
      <c r="I69" s="39" t="s">
        <v>186</v>
      </c>
      <c r="J69" s="39" t="s">
        <v>9</v>
      </c>
      <c r="K69" s="39" t="s">
        <v>135</v>
      </c>
      <c r="L69" s="40">
        <v>19463</v>
      </c>
      <c r="M69" s="41">
        <v>41851</v>
      </c>
      <c r="N69" s="40" t="s">
        <v>122</v>
      </c>
      <c r="O69" s="42">
        <v>42186</v>
      </c>
      <c r="P69" s="40">
        <v>45</v>
      </c>
      <c r="Q69" s="145">
        <v>71.430000000000007</v>
      </c>
      <c r="R69" s="145">
        <v>73.44</v>
      </c>
      <c r="S69" s="145">
        <v>71.14</v>
      </c>
      <c r="T69" s="145">
        <v>71.48</v>
      </c>
      <c r="U69" s="145">
        <v>71.67</v>
      </c>
    </row>
    <row r="70" spans="1:21" x14ac:dyDescent="0.2">
      <c r="A70" s="89">
        <f t="shared" si="0"/>
        <v>62</v>
      </c>
      <c r="B70" s="38">
        <v>2</v>
      </c>
      <c r="C70" s="38">
        <v>25</v>
      </c>
      <c r="D70" s="38" t="s">
        <v>808</v>
      </c>
      <c r="E70" s="39" t="s">
        <v>188</v>
      </c>
      <c r="F70" s="39" t="s">
        <v>6</v>
      </c>
      <c r="G70" s="39" t="s">
        <v>120</v>
      </c>
      <c r="H70" s="39" t="s">
        <v>12</v>
      </c>
      <c r="I70" s="39" t="s">
        <v>186</v>
      </c>
      <c r="J70" s="39" t="s">
        <v>10</v>
      </c>
      <c r="K70" s="39" t="s">
        <v>132</v>
      </c>
      <c r="L70" s="40">
        <v>19464</v>
      </c>
      <c r="M70" s="41">
        <v>41851</v>
      </c>
      <c r="N70" s="40" t="s">
        <v>122</v>
      </c>
      <c r="O70" s="42">
        <v>42186</v>
      </c>
      <c r="P70" s="40">
        <v>45</v>
      </c>
      <c r="Q70" s="145">
        <v>72.7</v>
      </c>
      <c r="R70" s="145">
        <v>74.62</v>
      </c>
      <c r="S70" s="145">
        <v>72.349999999999994</v>
      </c>
      <c r="T70" s="145">
        <v>72.66</v>
      </c>
      <c r="U70" s="145">
        <v>72.86</v>
      </c>
    </row>
    <row r="71" spans="1:21" x14ac:dyDescent="0.2">
      <c r="A71" s="89">
        <f t="shared" si="0"/>
        <v>63</v>
      </c>
      <c r="B71" s="38">
        <v>2</v>
      </c>
      <c r="C71" s="38">
        <v>26</v>
      </c>
      <c r="D71" s="38" t="s">
        <v>809</v>
      </c>
      <c r="E71" s="39" t="s">
        <v>190</v>
      </c>
      <c r="F71" s="39" t="s">
        <v>6</v>
      </c>
      <c r="G71" s="39" t="s">
        <v>120</v>
      </c>
      <c r="H71" s="39" t="s">
        <v>12</v>
      </c>
      <c r="I71" s="39" t="s">
        <v>186</v>
      </c>
      <c r="J71" s="39" t="s">
        <v>11</v>
      </c>
      <c r="K71" s="39" t="s">
        <v>129</v>
      </c>
      <c r="L71" s="40">
        <v>19465</v>
      </c>
      <c r="M71" s="41">
        <v>41851</v>
      </c>
      <c r="N71" s="40" t="s">
        <v>122</v>
      </c>
      <c r="O71" s="42">
        <v>42186</v>
      </c>
      <c r="P71" s="40">
        <v>45</v>
      </c>
      <c r="Q71" s="145">
        <v>72.03</v>
      </c>
      <c r="R71" s="145">
        <v>74.06</v>
      </c>
      <c r="S71" s="145">
        <v>71.680000000000007</v>
      </c>
      <c r="T71" s="145">
        <v>72.14</v>
      </c>
      <c r="U71" s="145">
        <v>72.36</v>
      </c>
    </row>
    <row r="72" spans="1:21" x14ac:dyDescent="0.2">
      <c r="A72" s="89">
        <f t="shared" si="0"/>
        <v>64</v>
      </c>
      <c r="B72" s="38">
        <v>2</v>
      </c>
      <c r="C72" s="38">
        <v>27</v>
      </c>
      <c r="D72" s="38" t="s">
        <v>810</v>
      </c>
      <c r="E72" s="39" t="s">
        <v>192</v>
      </c>
      <c r="F72" s="39" t="s">
        <v>6</v>
      </c>
      <c r="G72" s="39" t="s">
        <v>120</v>
      </c>
      <c r="H72" s="39" t="s">
        <v>100</v>
      </c>
      <c r="I72" s="39" t="s">
        <v>193</v>
      </c>
      <c r="J72" s="39" t="s">
        <v>7</v>
      </c>
      <c r="K72" s="39" t="s">
        <v>140</v>
      </c>
      <c r="L72" s="40">
        <v>19466</v>
      </c>
      <c r="M72" s="41">
        <v>41851</v>
      </c>
      <c r="N72" s="40" t="s">
        <v>122</v>
      </c>
      <c r="O72" s="42">
        <v>42186</v>
      </c>
      <c r="P72" s="40">
        <v>45</v>
      </c>
      <c r="Q72" s="145">
        <v>89.07</v>
      </c>
      <c r="R72" s="145">
        <v>87.37</v>
      </c>
      <c r="S72" s="145">
        <v>80.87</v>
      </c>
      <c r="T72" s="145">
        <v>78.14</v>
      </c>
      <c r="U72" s="145">
        <v>76.989999999999995</v>
      </c>
    </row>
    <row r="73" spans="1:21" x14ac:dyDescent="0.2">
      <c r="A73" s="89">
        <f t="shared" si="0"/>
        <v>65</v>
      </c>
      <c r="B73" s="38">
        <v>2</v>
      </c>
      <c r="C73" s="38">
        <v>28</v>
      </c>
      <c r="D73" s="38" t="s">
        <v>811</v>
      </c>
      <c r="E73" s="39" t="s">
        <v>195</v>
      </c>
      <c r="F73" s="39" t="s">
        <v>39</v>
      </c>
      <c r="G73" s="39" t="s">
        <v>120</v>
      </c>
      <c r="H73" s="39" t="s">
        <v>44</v>
      </c>
      <c r="I73" s="39" t="s">
        <v>44</v>
      </c>
      <c r="J73" s="39" t="s">
        <v>7</v>
      </c>
      <c r="K73" s="39" t="s">
        <v>140</v>
      </c>
      <c r="L73" s="40">
        <v>19467</v>
      </c>
      <c r="M73" s="41">
        <v>41851</v>
      </c>
      <c r="N73" s="40" t="s">
        <v>122</v>
      </c>
      <c r="O73" s="42">
        <v>42186</v>
      </c>
      <c r="P73" s="40">
        <v>45</v>
      </c>
      <c r="Q73" s="145">
        <v>80.209999999999994</v>
      </c>
      <c r="R73" s="145">
        <v>82.38</v>
      </c>
      <c r="S73" s="145">
        <v>80.09</v>
      </c>
      <c r="T73" s="145">
        <v>80.55</v>
      </c>
      <c r="U73" s="145">
        <v>81.14</v>
      </c>
    </row>
    <row r="74" spans="1:21" x14ac:dyDescent="0.2">
      <c r="A74" s="89">
        <f t="shared" si="0"/>
        <v>66</v>
      </c>
      <c r="B74" s="38">
        <v>2</v>
      </c>
      <c r="C74" s="38">
        <v>29</v>
      </c>
      <c r="D74" s="38" t="s">
        <v>812</v>
      </c>
      <c r="E74" s="39" t="s">
        <v>197</v>
      </c>
      <c r="F74" s="39" t="s">
        <v>39</v>
      </c>
      <c r="G74" s="39" t="s">
        <v>120</v>
      </c>
      <c r="H74" s="39" t="s">
        <v>44</v>
      </c>
      <c r="I74" s="39" t="s">
        <v>44</v>
      </c>
      <c r="J74" s="39" t="s">
        <v>45</v>
      </c>
      <c r="K74" s="39" t="s">
        <v>198</v>
      </c>
      <c r="L74" s="40">
        <v>19468</v>
      </c>
      <c r="M74" s="41">
        <v>41851</v>
      </c>
      <c r="N74" s="40" t="s">
        <v>122</v>
      </c>
      <c r="O74" s="42">
        <v>42186</v>
      </c>
      <c r="P74" s="40">
        <v>45</v>
      </c>
      <c r="Q74" s="145">
        <v>77.790000000000006</v>
      </c>
      <c r="R74" s="145">
        <v>80.290000000000006</v>
      </c>
      <c r="S74" s="145">
        <v>77.91</v>
      </c>
      <c r="T74" s="145">
        <v>78.45</v>
      </c>
      <c r="U74" s="145">
        <v>79.010000000000005</v>
      </c>
    </row>
    <row r="75" spans="1:21" x14ac:dyDescent="0.2">
      <c r="A75" s="89">
        <f t="shared" ref="A75:A138" si="1">A74+1</f>
        <v>67</v>
      </c>
      <c r="B75" s="38">
        <v>2</v>
      </c>
      <c r="C75" s="38">
        <v>30</v>
      </c>
      <c r="D75" s="38" t="s">
        <v>813</v>
      </c>
      <c r="E75" s="39" t="s">
        <v>200</v>
      </c>
      <c r="F75" s="39" t="s">
        <v>39</v>
      </c>
      <c r="G75" s="39" t="s">
        <v>120</v>
      </c>
      <c r="H75" s="39" t="s">
        <v>44</v>
      </c>
      <c r="I75" s="39" t="s">
        <v>44</v>
      </c>
      <c r="J75" s="39" t="s">
        <v>46</v>
      </c>
      <c r="K75" s="39" t="s">
        <v>46</v>
      </c>
      <c r="L75" s="40">
        <v>19469</v>
      </c>
      <c r="M75" s="41">
        <v>41851</v>
      </c>
      <c r="N75" s="40" t="s">
        <v>122</v>
      </c>
      <c r="O75" s="42">
        <v>42186</v>
      </c>
      <c r="P75" s="40">
        <v>45</v>
      </c>
      <c r="Q75" s="145">
        <v>76.680000000000007</v>
      </c>
      <c r="R75" s="145">
        <v>79.61</v>
      </c>
      <c r="S75" s="145">
        <v>77.03</v>
      </c>
      <c r="T75" s="145">
        <v>77.77</v>
      </c>
      <c r="U75" s="145">
        <v>78.39</v>
      </c>
    </row>
    <row r="76" spans="1:21" x14ac:dyDescent="0.2">
      <c r="A76" s="89">
        <f t="shared" si="1"/>
        <v>68</v>
      </c>
      <c r="B76" s="38">
        <v>2</v>
      </c>
      <c r="C76" s="38">
        <v>31</v>
      </c>
      <c r="D76" s="38" t="s">
        <v>814</v>
      </c>
      <c r="E76" s="39" t="s">
        <v>202</v>
      </c>
      <c r="F76" s="39" t="s">
        <v>39</v>
      </c>
      <c r="G76" s="39" t="s">
        <v>120</v>
      </c>
      <c r="H76" s="39" t="s">
        <v>47</v>
      </c>
      <c r="I76" s="39" t="s">
        <v>47</v>
      </c>
      <c r="J76" s="39" t="s">
        <v>7</v>
      </c>
      <c r="K76" s="39" t="s">
        <v>140</v>
      </c>
      <c r="L76" s="40">
        <v>19470</v>
      </c>
      <c r="M76" s="41">
        <v>41851</v>
      </c>
      <c r="N76" s="40" t="s">
        <v>122</v>
      </c>
      <c r="O76" s="42">
        <v>42186</v>
      </c>
      <c r="P76" s="40">
        <v>45</v>
      </c>
      <c r="Q76" s="145">
        <v>73.63</v>
      </c>
      <c r="R76" s="145">
        <v>72.27</v>
      </c>
      <c r="S76" s="145">
        <v>69.97</v>
      </c>
      <c r="T76" s="145">
        <v>69.31</v>
      </c>
      <c r="U76" s="145">
        <v>71.16</v>
      </c>
    </row>
    <row r="77" spans="1:21" x14ac:dyDescent="0.2">
      <c r="A77" s="89">
        <f t="shared" si="1"/>
        <v>69</v>
      </c>
      <c r="B77" s="38">
        <v>2</v>
      </c>
      <c r="C77" s="38">
        <v>32</v>
      </c>
      <c r="D77" s="38" t="s">
        <v>815</v>
      </c>
      <c r="E77" s="39" t="s">
        <v>204</v>
      </c>
      <c r="F77" s="39" t="s">
        <v>6</v>
      </c>
      <c r="G77" s="39" t="s">
        <v>120</v>
      </c>
      <c r="H77" s="39" t="s">
        <v>14</v>
      </c>
      <c r="I77" s="39" t="s">
        <v>14</v>
      </c>
      <c r="J77" s="39" t="s">
        <v>15</v>
      </c>
      <c r="K77" s="39" t="s">
        <v>129</v>
      </c>
      <c r="L77" s="40">
        <v>19471</v>
      </c>
      <c r="M77" s="41">
        <v>41851</v>
      </c>
      <c r="N77" s="40" t="s">
        <v>122</v>
      </c>
      <c r="O77" s="42">
        <v>42186</v>
      </c>
      <c r="P77" s="40">
        <v>45</v>
      </c>
      <c r="Q77" s="145">
        <v>77.63</v>
      </c>
      <c r="R77" s="145">
        <v>80.290000000000006</v>
      </c>
      <c r="S77" s="145">
        <v>77.89</v>
      </c>
      <c r="T77" s="145">
        <v>78.23</v>
      </c>
      <c r="U77" s="145">
        <v>78.37</v>
      </c>
    </row>
    <row r="78" spans="1:21" x14ac:dyDescent="0.2">
      <c r="A78" s="89">
        <f t="shared" si="1"/>
        <v>70</v>
      </c>
      <c r="B78" s="38">
        <v>2</v>
      </c>
      <c r="C78" s="38">
        <v>33</v>
      </c>
      <c r="D78" s="38" t="s">
        <v>816</v>
      </c>
      <c r="E78" s="39" t="s">
        <v>206</v>
      </c>
      <c r="F78" s="39" t="s">
        <v>6</v>
      </c>
      <c r="G78" s="39" t="s">
        <v>120</v>
      </c>
      <c r="H78" s="39" t="s">
        <v>14</v>
      </c>
      <c r="I78" s="39" t="s">
        <v>14</v>
      </c>
      <c r="J78" s="39" t="s">
        <v>16</v>
      </c>
      <c r="K78" s="39" t="s">
        <v>135</v>
      </c>
      <c r="L78" s="40">
        <v>19472</v>
      </c>
      <c r="M78" s="41">
        <v>41851</v>
      </c>
      <c r="N78" s="40" t="s">
        <v>122</v>
      </c>
      <c r="O78" s="42">
        <v>42186</v>
      </c>
      <c r="P78" s="40">
        <v>45</v>
      </c>
      <c r="Q78" s="145">
        <v>79.03</v>
      </c>
      <c r="R78" s="145">
        <v>81.53</v>
      </c>
      <c r="S78" s="145">
        <v>79.209999999999994</v>
      </c>
      <c r="T78" s="145">
        <v>79.48</v>
      </c>
      <c r="U78" s="145">
        <v>79.650000000000006</v>
      </c>
    </row>
    <row r="79" spans="1:21" x14ac:dyDescent="0.2">
      <c r="A79" s="89">
        <f t="shared" si="1"/>
        <v>71</v>
      </c>
      <c r="B79" s="38">
        <v>2</v>
      </c>
      <c r="C79" s="38">
        <v>34</v>
      </c>
      <c r="D79" s="38" t="s">
        <v>817</v>
      </c>
      <c r="E79" s="39" t="s">
        <v>208</v>
      </c>
      <c r="F79" s="39" t="s">
        <v>31</v>
      </c>
      <c r="G79" s="39" t="s">
        <v>120</v>
      </c>
      <c r="H79" s="39" t="s">
        <v>36</v>
      </c>
      <c r="I79" s="39" t="s">
        <v>36</v>
      </c>
      <c r="J79" s="39" t="s">
        <v>37</v>
      </c>
      <c r="K79" s="39" t="s">
        <v>209</v>
      </c>
      <c r="L79" s="40">
        <v>19473</v>
      </c>
      <c r="M79" s="41">
        <v>41851</v>
      </c>
      <c r="N79" s="40" t="s">
        <v>122</v>
      </c>
      <c r="O79" s="42">
        <v>42186</v>
      </c>
      <c r="P79" s="40">
        <v>45</v>
      </c>
      <c r="Q79" s="145">
        <v>96.25</v>
      </c>
      <c r="R79" s="145">
        <v>100.36</v>
      </c>
      <c r="S79" s="145">
        <v>99.94</v>
      </c>
      <c r="T79" s="145">
        <v>101.62</v>
      </c>
      <c r="U79" s="145">
        <v>103.19</v>
      </c>
    </row>
    <row r="80" spans="1:21" x14ac:dyDescent="0.2">
      <c r="A80" s="89">
        <f t="shared" si="1"/>
        <v>72</v>
      </c>
      <c r="B80" s="38">
        <v>2</v>
      </c>
      <c r="C80" s="38">
        <v>35</v>
      </c>
      <c r="D80" s="38" t="s">
        <v>818</v>
      </c>
      <c r="E80" s="39" t="s">
        <v>211</v>
      </c>
      <c r="F80" s="39" t="s">
        <v>31</v>
      </c>
      <c r="G80" s="39" t="s">
        <v>120</v>
      </c>
      <c r="H80" s="39" t="s">
        <v>36</v>
      </c>
      <c r="I80" s="39" t="s">
        <v>36</v>
      </c>
      <c r="J80" s="39" t="s">
        <v>38</v>
      </c>
      <c r="K80" s="39" t="s">
        <v>212</v>
      </c>
      <c r="L80" s="40">
        <v>19474</v>
      </c>
      <c r="M80" s="41">
        <v>41851</v>
      </c>
      <c r="N80" s="40" t="s">
        <v>122</v>
      </c>
      <c r="O80" s="42">
        <v>42186</v>
      </c>
      <c r="P80" s="40">
        <v>45</v>
      </c>
      <c r="Q80" s="145">
        <v>94.62</v>
      </c>
      <c r="R80" s="145">
        <v>98.71</v>
      </c>
      <c r="S80" s="145">
        <v>98.32</v>
      </c>
      <c r="T80" s="145">
        <v>99.99</v>
      </c>
      <c r="U80" s="145">
        <v>101.51</v>
      </c>
    </row>
    <row r="81" spans="1:21" x14ac:dyDescent="0.2">
      <c r="A81" s="89">
        <f t="shared" si="1"/>
        <v>73</v>
      </c>
      <c r="B81" s="38">
        <v>2</v>
      </c>
      <c r="C81" s="38">
        <v>36</v>
      </c>
      <c r="D81" s="38" t="s">
        <v>819</v>
      </c>
      <c r="E81" s="39" t="s">
        <v>214</v>
      </c>
      <c r="F81" s="39" t="s">
        <v>6</v>
      </c>
      <c r="G81" s="39" t="s">
        <v>120</v>
      </c>
      <c r="H81" s="39" t="s">
        <v>17</v>
      </c>
      <c r="I81" s="39" t="s">
        <v>215</v>
      </c>
      <c r="J81" s="39" t="s">
        <v>18</v>
      </c>
      <c r="K81" s="39" t="s">
        <v>140</v>
      </c>
      <c r="L81" s="40">
        <v>19475</v>
      </c>
      <c r="M81" s="41">
        <v>41851</v>
      </c>
      <c r="N81" s="40" t="s">
        <v>122</v>
      </c>
      <c r="O81" s="42">
        <v>42186</v>
      </c>
      <c r="P81" s="40">
        <v>45</v>
      </c>
      <c r="Q81" s="145">
        <v>66.790000000000006</v>
      </c>
      <c r="R81" s="145">
        <v>67.94</v>
      </c>
      <c r="S81" s="145">
        <v>64.89</v>
      </c>
      <c r="T81" s="145">
        <v>64.819999999999993</v>
      </c>
      <c r="U81" s="145">
        <v>66.33</v>
      </c>
    </row>
    <row r="82" spans="1:21" x14ac:dyDescent="0.2">
      <c r="A82" s="89">
        <f t="shared" si="1"/>
        <v>74</v>
      </c>
      <c r="B82" s="20"/>
      <c r="C82" s="20"/>
      <c r="D82" s="20"/>
    </row>
    <row r="83" spans="1:21" x14ac:dyDescent="0.2">
      <c r="A83" s="89">
        <f t="shared" si="1"/>
        <v>75</v>
      </c>
      <c r="B83" s="43">
        <v>3</v>
      </c>
      <c r="C83" s="43">
        <v>1</v>
      </c>
      <c r="D83" s="38" t="s">
        <v>820</v>
      </c>
      <c r="E83" s="44" t="s">
        <v>119</v>
      </c>
      <c r="F83" s="44" t="s">
        <v>31</v>
      </c>
      <c r="G83" s="44" t="s">
        <v>120</v>
      </c>
      <c r="H83" s="44" t="s">
        <v>32</v>
      </c>
      <c r="I83" s="44" t="s">
        <v>32</v>
      </c>
      <c r="J83" s="44" t="s">
        <v>33</v>
      </c>
      <c r="K83" s="44" t="s">
        <v>121</v>
      </c>
      <c r="L83" s="40">
        <v>19440</v>
      </c>
      <c r="M83" s="41">
        <v>41851</v>
      </c>
      <c r="N83" s="40" t="s">
        <v>122</v>
      </c>
      <c r="O83" s="42">
        <v>42217</v>
      </c>
      <c r="P83" s="40">
        <v>46</v>
      </c>
      <c r="Q83" s="145">
        <v>93.71</v>
      </c>
      <c r="R83" s="145">
        <v>94.42</v>
      </c>
      <c r="S83" s="145">
        <v>93.07</v>
      </c>
      <c r="T83" s="145">
        <v>93.18</v>
      </c>
      <c r="U83" s="145">
        <v>94.66</v>
      </c>
    </row>
    <row r="84" spans="1:21" x14ac:dyDescent="0.2">
      <c r="A84" s="89">
        <f t="shared" si="1"/>
        <v>76</v>
      </c>
      <c r="B84" s="43">
        <v>3</v>
      </c>
      <c r="C84" s="43">
        <v>2</v>
      </c>
      <c r="D84" s="38" t="s">
        <v>821</v>
      </c>
      <c r="E84" s="44" t="s">
        <v>124</v>
      </c>
      <c r="F84" s="44" t="s">
        <v>31</v>
      </c>
      <c r="G84" s="44" t="s">
        <v>120</v>
      </c>
      <c r="H84" s="44" t="s">
        <v>32</v>
      </c>
      <c r="I84" s="44" t="s">
        <v>32</v>
      </c>
      <c r="J84" s="44" t="s">
        <v>34</v>
      </c>
      <c r="K84" s="44" t="s">
        <v>125</v>
      </c>
      <c r="L84" s="40">
        <v>19441</v>
      </c>
      <c r="M84" s="41">
        <v>41851</v>
      </c>
      <c r="N84" s="40" t="s">
        <v>122</v>
      </c>
      <c r="O84" s="42">
        <v>42217</v>
      </c>
      <c r="P84" s="40">
        <v>46</v>
      </c>
      <c r="Q84" s="145">
        <v>93.11</v>
      </c>
      <c r="R84" s="145">
        <v>93.82</v>
      </c>
      <c r="S84" s="145">
        <v>92.4</v>
      </c>
      <c r="T84" s="145">
        <v>92.5</v>
      </c>
      <c r="U84" s="145">
        <v>93.19</v>
      </c>
    </row>
    <row r="85" spans="1:21" x14ac:dyDescent="0.2">
      <c r="A85" s="89">
        <f t="shared" si="1"/>
        <v>77</v>
      </c>
      <c r="B85" s="43">
        <v>3</v>
      </c>
      <c r="C85" s="43">
        <v>3</v>
      </c>
      <c r="D85" s="38" t="s">
        <v>822</v>
      </c>
      <c r="E85" s="44" t="s">
        <v>127</v>
      </c>
      <c r="F85" s="44" t="s">
        <v>20</v>
      </c>
      <c r="G85" s="44" t="s">
        <v>120</v>
      </c>
      <c r="H85" s="44" t="s">
        <v>63</v>
      </c>
      <c r="I85" s="44" t="s">
        <v>128</v>
      </c>
      <c r="J85" s="44" t="s">
        <v>15</v>
      </c>
      <c r="K85" s="44" t="s">
        <v>129</v>
      </c>
      <c r="L85" s="40">
        <v>19442</v>
      </c>
      <c r="M85" s="41">
        <v>41851</v>
      </c>
      <c r="N85" s="40" t="s">
        <v>122</v>
      </c>
      <c r="O85" s="42">
        <v>42217</v>
      </c>
      <c r="P85" s="40">
        <v>46</v>
      </c>
      <c r="Q85" s="145">
        <v>68.53</v>
      </c>
      <c r="R85" s="145">
        <v>69.63</v>
      </c>
      <c r="S85" s="145">
        <v>67.08</v>
      </c>
      <c r="T85" s="145">
        <v>67.069999999999993</v>
      </c>
      <c r="U85" s="145">
        <v>66.95</v>
      </c>
    </row>
    <row r="86" spans="1:21" x14ac:dyDescent="0.2">
      <c r="A86" s="89">
        <f t="shared" si="1"/>
        <v>78</v>
      </c>
      <c r="B86" s="43">
        <v>3</v>
      </c>
      <c r="C86" s="43">
        <v>4</v>
      </c>
      <c r="D86" s="38" t="s">
        <v>823</v>
      </c>
      <c r="E86" s="44" t="s">
        <v>131</v>
      </c>
      <c r="F86" s="44" t="s">
        <v>20</v>
      </c>
      <c r="G86" s="44" t="s">
        <v>120</v>
      </c>
      <c r="H86" s="44" t="s">
        <v>63</v>
      </c>
      <c r="I86" s="44" t="s">
        <v>128</v>
      </c>
      <c r="J86" s="44" t="s">
        <v>21</v>
      </c>
      <c r="K86" s="44" t="s">
        <v>132</v>
      </c>
      <c r="L86" s="40">
        <v>19443</v>
      </c>
      <c r="M86" s="41">
        <v>41851</v>
      </c>
      <c r="N86" s="40" t="s">
        <v>122</v>
      </c>
      <c r="O86" s="42">
        <v>42217</v>
      </c>
      <c r="P86" s="40">
        <v>46</v>
      </c>
      <c r="Q86" s="145">
        <v>71.819999999999993</v>
      </c>
      <c r="R86" s="145">
        <v>71.55</v>
      </c>
      <c r="S86" s="145">
        <v>69.41</v>
      </c>
      <c r="T86" s="145">
        <v>69.02</v>
      </c>
      <c r="U86" s="145">
        <v>68.91</v>
      </c>
    </row>
    <row r="87" spans="1:21" x14ac:dyDescent="0.2">
      <c r="A87" s="89">
        <f t="shared" si="1"/>
        <v>79</v>
      </c>
      <c r="B87" s="43">
        <v>3</v>
      </c>
      <c r="C87" s="43">
        <v>5</v>
      </c>
      <c r="D87" s="38" t="s">
        <v>824</v>
      </c>
      <c r="E87" s="44" t="s">
        <v>134</v>
      </c>
      <c r="F87" s="44" t="s">
        <v>20</v>
      </c>
      <c r="G87" s="44" t="s">
        <v>120</v>
      </c>
      <c r="H87" s="44" t="s">
        <v>63</v>
      </c>
      <c r="I87" s="44" t="s">
        <v>128</v>
      </c>
      <c r="J87" s="44" t="s">
        <v>16</v>
      </c>
      <c r="K87" s="44" t="s">
        <v>135</v>
      </c>
      <c r="L87" s="40">
        <v>19444</v>
      </c>
      <c r="M87" s="41">
        <v>41851</v>
      </c>
      <c r="N87" s="40" t="s">
        <v>122</v>
      </c>
      <c r="O87" s="42">
        <v>42217</v>
      </c>
      <c r="P87" s="40">
        <v>46</v>
      </c>
      <c r="Q87" s="145">
        <v>70.709999999999994</v>
      </c>
      <c r="R87" s="145">
        <v>70.59</v>
      </c>
      <c r="S87" s="145">
        <v>68.38</v>
      </c>
      <c r="T87" s="145">
        <v>68.010000000000005</v>
      </c>
      <c r="U87" s="145">
        <v>67.88</v>
      </c>
    </row>
    <row r="88" spans="1:21" x14ac:dyDescent="0.2">
      <c r="A88" s="89">
        <f t="shared" si="1"/>
        <v>80</v>
      </c>
      <c r="B88" s="43">
        <v>3</v>
      </c>
      <c r="C88" s="43">
        <v>6</v>
      </c>
      <c r="D88" s="38" t="s">
        <v>825</v>
      </c>
      <c r="E88" s="44" t="s">
        <v>137</v>
      </c>
      <c r="F88" s="44" t="s">
        <v>25</v>
      </c>
      <c r="G88" s="44" t="s">
        <v>138</v>
      </c>
      <c r="H88" s="44" t="s">
        <v>139</v>
      </c>
      <c r="I88" s="44" t="s">
        <v>29</v>
      </c>
      <c r="J88" s="44" t="s">
        <v>30</v>
      </c>
      <c r="K88" s="44" t="s">
        <v>140</v>
      </c>
      <c r="L88" s="40">
        <v>19445</v>
      </c>
      <c r="M88" s="41">
        <v>41851</v>
      </c>
      <c r="N88" s="40" t="s">
        <v>122</v>
      </c>
      <c r="O88" s="42">
        <v>42217</v>
      </c>
      <c r="P88" s="40">
        <v>46</v>
      </c>
      <c r="Q88" s="145">
        <v>54.05</v>
      </c>
      <c r="R88" s="145">
        <v>56.24</v>
      </c>
      <c r="S88" s="145">
        <v>56.23</v>
      </c>
      <c r="T88" s="145">
        <v>57.35</v>
      </c>
      <c r="U88" s="145">
        <v>58.65</v>
      </c>
    </row>
    <row r="89" spans="1:21" x14ac:dyDescent="0.2">
      <c r="A89" s="89">
        <f t="shared" si="1"/>
        <v>81</v>
      </c>
      <c r="B89" s="43">
        <v>3</v>
      </c>
      <c r="C89" s="43">
        <v>7</v>
      </c>
      <c r="D89" s="38" t="s">
        <v>826</v>
      </c>
      <c r="E89" s="44" t="s">
        <v>142</v>
      </c>
      <c r="F89" s="44" t="s">
        <v>39</v>
      </c>
      <c r="G89" s="44" t="s">
        <v>120</v>
      </c>
      <c r="H89" s="44" t="s">
        <v>40</v>
      </c>
      <c r="I89" s="44" t="s">
        <v>40</v>
      </c>
      <c r="J89" s="44" t="s">
        <v>42</v>
      </c>
      <c r="K89" s="44" t="s">
        <v>135</v>
      </c>
      <c r="L89" s="40">
        <v>19447</v>
      </c>
      <c r="M89" s="41">
        <v>41851</v>
      </c>
      <c r="N89" s="40" t="s">
        <v>122</v>
      </c>
      <c r="O89" s="42">
        <v>42217</v>
      </c>
      <c r="P89" s="40">
        <v>46</v>
      </c>
      <c r="Q89" s="145">
        <v>81.47</v>
      </c>
      <c r="R89" s="145">
        <v>82.18</v>
      </c>
      <c r="S89" s="145">
        <v>80.510000000000005</v>
      </c>
      <c r="T89" s="145">
        <v>80.599999999999994</v>
      </c>
      <c r="U89" s="145">
        <v>81.489999999999995</v>
      </c>
    </row>
    <row r="90" spans="1:21" x14ac:dyDescent="0.2">
      <c r="A90" s="89">
        <f t="shared" si="1"/>
        <v>82</v>
      </c>
      <c r="B90" s="43">
        <v>3</v>
      </c>
      <c r="C90" s="43">
        <v>8</v>
      </c>
      <c r="D90" s="38" t="s">
        <v>827</v>
      </c>
      <c r="E90" s="44" t="s">
        <v>144</v>
      </c>
      <c r="F90" s="44" t="s">
        <v>39</v>
      </c>
      <c r="G90" s="44" t="s">
        <v>120</v>
      </c>
      <c r="H90" s="44" t="s">
        <v>40</v>
      </c>
      <c r="I90" s="44" t="s">
        <v>40</v>
      </c>
      <c r="J90" s="44" t="s">
        <v>41</v>
      </c>
      <c r="K90" s="44" t="s">
        <v>132</v>
      </c>
      <c r="L90" s="40">
        <v>19446</v>
      </c>
      <c r="M90" s="41">
        <v>41851</v>
      </c>
      <c r="N90" s="40" t="s">
        <v>122</v>
      </c>
      <c r="O90" s="42">
        <v>42217</v>
      </c>
      <c r="P90" s="40">
        <v>46</v>
      </c>
      <c r="Q90" s="145">
        <v>82.64</v>
      </c>
      <c r="R90" s="145">
        <v>83.03</v>
      </c>
      <c r="S90" s="145">
        <v>81.45</v>
      </c>
      <c r="T90" s="145">
        <v>81.459999999999994</v>
      </c>
      <c r="U90" s="145">
        <v>82.43</v>
      </c>
    </row>
    <row r="91" spans="1:21" x14ac:dyDescent="0.2">
      <c r="A91" s="89">
        <f t="shared" si="1"/>
        <v>83</v>
      </c>
      <c r="B91" s="43">
        <v>3</v>
      </c>
      <c r="C91" s="43">
        <v>9</v>
      </c>
      <c r="D91" s="38" t="s">
        <v>828</v>
      </c>
      <c r="E91" s="44" t="s">
        <v>146</v>
      </c>
      <c r="F91" s="44" t="s">
        <v>39</v>
      </c>
      <c r="G91" s="44" t="s">
        <v>120</v>
      </c>
      <c r="H91" s="44" t="s">
        <v>40</v>
      </c>
      <c r="I91" s="44" t="s">
        <v>40</v>
      </c>
      <c r="J91" s="44" t="s">
        <v>7</v>
      </c>
      <c r="K91" s="44" t="s">
        <v>129</v>
      </c>
      <c r="L91" s="40">
        <v>19448</v>
      </c>
      <c r="M91" s="41">
        <v>41851</v>
      </c>
      <c r="N91" s="40" t="s">
        <v>122</v>
      </c>
      <c r="O91" s="42">
        <v>42217</v>
      </c>
      <c r="P91" s="40">
        <v>46</v>
      </c>
      <c r="Q91" s="145">
        <v>80.540000000000006</v>
      </c>
      <c r="R91" s="145">
        <v>81.27</v>
      </c>
      <c r="S91" s="145">
        <v>79.59</v>
      </c>
      <c r="T91" s="145">
        <v>79.7</v>
      </c>
      <c r="U91" s="145">
        <v>80.540000000000006</v>
      </c>
    </row>
    <row r="92" spans="1:21" x14ac:dyDescent="0.2">
      <c r="A92" s="89">
        <f t="shared" si="1"/>
        <v>84</v>
      </c>
      <c r="B92" s="43">
        <v>3</v>
      </c>
      <c r="C92" s="43">
        <v>10</v>
      </c>
      <c r="D92" s="38" t="s">
        <v>829</v>
      </c>
      <c r="E92" s="44" t="s">
        <v>148</v>
      </c>
      <c r="F92" s="44" t="s">
        <v>25</v>
      </c>
      <c r="G92" s="44" t="s">
        <v>120</v>
      </c>
      <c r="H92" s="44" t="s">
        <v>149</v>
      </c>
      <c r="I92" s="44" t="s">
        <v>26</v>
      </c>
      <c r="J92" s="44" t="s">
        <v>27</v>
      </c>
      <c r="K92" s="44" t="s">
        <v>150</v>
      </c>
      <c r="L92" s="40">
        <v>19449</v>
      </c>
      <c r="M92" s="41">
        <v>41851</v>
      </c>
      <c r="N92" s="40" t="s">
        <v>122</v>
      </c>
      <c r="O92" s="42">
        <v>42217</v>
      </c>
      <c r="P92" s="40">
        <v>46</v>
      </c>
      <c r="Q92" s="145">
        <v>63.47</v>
      </c>
      <c r="R92" s="145">
        <v>64.44</v>
      </c>
      <c r="S92" s="145">
        <v>61.89</v>
      </c>
      <c r="T92" s="145">
        <v>62.41</v>
      </c>
      <c r="U92" s="145">
        <v>64.23</v>
      </c>
    </row>
    <row r="93" spans="1:21" x14ac:dyDescent="0.2">
      <c r="A93" s="89">
        <f t="shared" si="1"/>
        <v>85</v>
      </c>
      <c r="B93" s="43">
        <v>3</v>
      </c>
      <c r="C93" s="43">
        <v>11</v>
      </c>
      <c r="D93" s="38" t="s">
        <v>830</v>
      </c>
      <c r="E93" s="44" t="s">
        <v>152</v>
      </c>
      <c r="F93" s="44" t="s">
        <v>25</v>
      </c>
      <c r="G93" s="44" t="s">
        <v>120</v>
      </c>
      <c r="H93" s="44" t="s">
        <v>149</v>
      </c>
      <c r="I93" s="44" t="s">
        <v>26</v>
      </c>
      <c r="J93" s="44" t="s">
        <v>28</v>
      </c>
      <c r="K93" s="44" t="s">
        <v>153</v>
      </c>
      <c r="L93" s="40">
        <v>19450</v>
      </c>
      <c r="M93" s="41">
        <v>41851</v>
      </c>
      <c r="N93" s="40" t="s">
        <v>122</v>
      </c>
      <c r="O93" s="42">
        <v>42217</v>
      </c>
      <c r="P93" s="40">
        <v>46</v>
      </c>
      <c r="Q93" s="145">
        <v>62.59</v>
      </c>
      <c r="R93" s="145">
        <v>63.61</v>
      </c>
      <c r="S93" s="145">
        <v>61.04</v>
      </c>
      <c r="T93" s="145">
        <v>61.57</v>
      </c>
      <c r="U93" s="145">
        <v>63.39</v>
      </c>
    </row>
    <row r="94" spans="1:21" x14ac:dyDescent="0.2">
      <c r="A94" s="89">
        <f t="shared" si="1"/>
        <v>86</v>
      </c>
      <c r="B94" s="43">
        <v>3</v>
      </c>
      <c r="C94" s="43">
        <v>12</v>
      </c>
      <c r="D94" s="38" t="s">
        <v>831</v>
      </c>
      <c r="E94" s="44" t="s">
        <v>155</v>
      </c>
      <c r="F94" s="44" t="s">
        <v>20</v>
      </c>
      <c r="G94" s="44" t="s">
        <v>120</v>
      </c>
      <c r="H94" s="44" t="s">
        <v>105</v>
      </c>
      <c r="I94" s="44" t="s">
        <v>156</v>
      </c>
      <c r="J94" s="44" t="s">
        <v>22</v>
      </c>
      <c r="K94" s="44" t="s">
        <v>157</v>
      </c>
      <c r="L94" s="40">
        <v>19451</v>
      </c>
      <c r="M94" s="41">
        <v>41851</v>
      </c>
      <c r="N94" s="40" t="s">
        <v>122</v>
      </c>
      <c r="O94" s="42">
        <v>42217</v>
      </c>
      <c r="P94" s="40">
        <v>46</v>
      </c>
      <c r="Q94" s="145">
        <v>61.41</v>
      </c>
      <c r="R94" s="145">
        <v>61.98</v>
      </c>
      <c r="S94" s="145">
        <v>59.4</v>
      </c>
      <c r="T94" s="145">
        <v>59.71</v>
      </c>
      <c r="U94" s="145">
        <v>61.36</v>
      </c>
    </row>
    <row r="95" spans="1:21" x14ac:dyDescent="0.2">
      <c r="A95" s="89">
        <f t="shared" si="1"/>
        <v>87</v>
      </c>
      <c r="B95" s="43">
        <v>3</v>
      </c>
      <c r="C95" s="43">
        <v>13</v>
      </c>
      <c r="D95" s="38" t="s">
        <v>832</v>
      </c>
      <c r="E95" s="44" t="s">
        <v>159</v>
      </c>
      <c r="F95" s="44" t="s">
        <v>39</v>
      </c>
      <c r="G95" s="44" t="s">
        <v>120</v>
      </c>
      <c r="H95" s="44" t="s">
        <v>43</v>
      </c>
      <c r="I95" s="44" t="s">
        <v>43</v>
      </c>
      <c r="J95" s="44" t="s">
        <v>7</v>
      </c>
      <c r="K95" s="44" t="s">
        <v>140</v>
      </c>
      <c r="L95" s="40">
        <v>19452</v>
      </c>
      <c r="M95" s="41">
        <v>41851</v>
      </c>
      <c r="N95" s="40" t="s">
        <v>122</v>
      </c>
      <c r="O95" s="42">
        <v>42217</v>
      </c>
      <c r="P95" s="40">
        <v>46</v>
      </c>
      <c r="Q95" s="145">
        <v>84.5</v>
      </c>
      <c r="R95" s="145">
        <v>84.96</v>
      </c>
      <c r="S95" s="145">
        <v>83.88</v>
      </c>
      <c r="T95" s="145">
        <v>83.72</v>
      </c>
      <c r="U95" s="145">
        <v>84.98</v>
      </c>
    </row>
    <row r="96" spans="1:21" x14ac:dyDescent="0.2">
      <c r="A96" s="89">
        <f t="shared" si="1"/>
        <v>88</v>
      </c>
      <c r="B96" s="43">
        <v>3</v>
      </c>
      <c r="C96" s="43">
        <v>14</v>
      </c>
      <c r="D96" s="38" t="s">
        <v>833</v>
      </c>
      <c r="E96" s="44" t="s">
        <v>161</v>
      </c>
      <c r="F96" s="44" t="s">
        <v>6</v>
      </c>
      <c r="G96" s="44" t="s">
        <v>120</v>
      </c>
      <c r="H96" s="44" t="s">
        <v>48</v>
      </c>
      <c r="I96" s="44" t="s">
        <v>48</v>
      </c>
      <c r="J96" s="44" t="s">
        <v>7</v>
      </c>
      <c r="K96" s="44" t="s">
        <v>140</v>
      </c>
      <c r="L96" s="40">
        <v>19453</v>
      </c>
      <c r="M96" s="41">
        <v>41851</v>
      </c>
      <c r="N96" s="40" t="s">
        <v>122</v>
      </c>
      <c r="O96" s="42">
        <v>42217</v>
      </c>
      <c r="P96" s="40">
        <v>46</v>
      </c>
      <c r="Q96" s="145">
        <v>71.38</v>
      </c>
      <c r="R96" s="145">
        <v>71.62</v>
      </c>
      <c r="S96" s="145">
        <v>69.28</v>
      </c>
      <c r="T96" s="145">
        <v>69.5</v>
      </c>
      <c r="U96" s="145">
        <v>71.22</v>
      </c>
    </row>
    <row r="97" spans="1:21" x14ac:dyDescent="0.2">
      <c r="A97" s="89">
        <f t="shared" si="1"/>
        <v>89</v>
      </c>
      <c r="B97" s="43">
        <v>3</v>
      </c>
      <c r="C97" s="43">
        <v>15</v>
      </c>
      <c r="D97" s="38" t="s">
        <v>834</v>
      </c>
      <c r="E97" s="44" t="s">
        <v>163</v>
      </c>
      <c r="F97" s="44" t="s">
        <v>20</v>
      </c>
      <c r="G97" s="44" t="s">
        <v>120</v>
      </c>
      <c r="H97" s="44" t="s">
        <v>23</v>
      </c>
      <c r="I97" s="44" t="s">
        <v>164</v>
      </c>
      <c r="J97" s="44" t="s">
        <v>24</v>
      </c>
      <c r="K97" s="44" t="s">
        <v>140</v>
      </c>
      <c r="L97" s="40">
        <v>19454</v>
      </c>
      <c r="M97" s="41">
        <v>41851</v>
      </c>
      <c r="N97" s="40" t="s">
        <v>122</v>
      </c>
      <c r="O97" s="42">
        <v>42217</v>
      </c>
      <c r="P97" s="40">
        <v>46</v>
      </c>
      <c r="Q97" s="145">
        <v>60.14</v>
      </c>
      <c r="R97" s="145">
        <v>59.95</v>
      </c>
      <c r="S97" s="145">
        <v>57.63</v>
      </c>
      <c r="T97" s="145">
        <v>57.71</v>
      </c>
      <c r="U97" s="145">
        <v>59.35</v>
      </c>
    </row>
    <row r="98" spans="1:21" x14ac:dyDescent="0.2">
      <c r="A98" s="89">
        <f t="shared" si="1"/>
        <v>90</v>
      </c>
      <c r="B98" s="43">
        <v>3</v>
      </c>
      <c r="C98" s="43">
        <v>16</v>
      </c>
      <c r="D98" s="38" t="s">
        <v>835</v>
      </c>
      <c r="E98" s="44" t="s">
        <v>166</v>
      </c>
      <c r="F98" s="44" t="s">
        <v>20</v>
      </c>
      <c r="G98" s="44" t="s">
        <v>120</v>
      </c>
      <c r="H98" s="44" t="s">
        <v>64</v>
      </c>
      <c r="I98" s="44" t="s">
        <v>167</v>
      </c>
      <c r="J98" s="44" t="s">
        <v>7</v>
      </c>
      <c r="K98" s="44" t="s">
        <v>140</v>
      </c>
      <c r="L98" s="40">
        <v>19455</v>
      </c>
      <c r="M98" s="41">
        <v>41851</v>
      </c>
      <c r="N98" s="40" t="s">
        <v>122</v>
      </c>
      <c r="O98" s="42">
        <v>42217</v>
      </c>
      <c r="P98" s="40">
        <v>46</v>
      </c>
      <c r="Q98" s="145">
        <v>82.1</v>
      </c>
      <c r="R98" s="145">
        <v>80.14</v>
      </c>
      <c r="S98" s="145">
        <v>73.92</v>
      </c>
      <c r="T98" s="145">
        <v>72.010000000000005</v>
      </c>
      <c r="U98" s="145">
        <v>71.790000000000006</v>
      </c>
    </row>
    <row r="99" spans="1:21" x14ac:dyDescent="0.2">
      <c r="A99" s="89">
        <f t="shared" si="1"/>
        <v>91</v>
      </c>
      <c r="B99" s="43">
        <v>3</v>
      </c>
      <c r="C99" s="43">
        <v>17</v>
      </c>
      <c r="D99" s="38" t="s">
        <v>836</v>
      </c>
      <c r="E99" s="44" t="s">
        <v>169</v>
      </c>
      <c r="F99" s="44" t="s">
        <v>31</v>
      </c>
      <c r="G99" s="44" t="s">
        <v>120</v>
      </c>
      <c r="H99" s="44" t="s">
        <v>35</v>
      </c>
      <c r="I99" s="44" t="s">
        <v>35</v>
      </c>
      <c r="J99" s="44" t="s">
        <v>9</v>
      </c>
      <c r="K99" s="44" t="s">
        <v>135</v>
      </c>
      <c r="L99" s="40">
        <v>19456</v>
      </c>
      <c r="M99" s="41">
        <v>41851</v>
      </c>
      <c r="N99" s="40" t="s">
        <v>122</v>
      </c>
      <c r="O99" s="42">
        <v>42217</v>
      </c>
      <c r="P99" s="40">
        <v>46</v>
      </c>
      <c r="Q99" s="145">
        <v>90.89</v>
      </c>
      <c r="R99" s="145">
        <v>91.3</v>
      </c>
      <c r="S99" s="145">
        <v>90.22</v>
      </c>
      <c r="T99" s="145">
        <v>90.31</v>
      </c>
      <c r="U99" s="145">
        <v>92.02</v>
      </c>
    </row>
    <row r="100" spans="1:21" x14ac:dyDescent="0.2">
      <c r="A100" s="89">
        <f t="shared" si="1"/>
        <v>92</v>
      </c>
      <c r="B100" s="43">
        <v>3</v>
      </c>
      <c r="C100" s="43">
        <v>18</v>
      </c>
      <c r="D100" s="38" t="s">
        <v>837</v>
      </c>
      <c r="E100" s="44" t="s">
        <v>171</v>
      </c>
      <c r="F100" s="44" t="s">
        <v>31</v>
      </c>
      <c r="G100" s="44" t="s">
        <v>120</v>
      </c>
      <c r="H100" s="44" t="s">
        <v>35</v>
      </c>
      <c r="I100" s="44" t="s">
        <v>35</v>
      </c>
      <c r="J100" s="44" t="s">
        <v>10</v>
      </c>
      <c r="K100" s="44" t="s">
        <v>132</v>
      </c>
      <c r="L100" s="40">
        <v>19457</v>
      </c>
      <c r="M100" s="41">
        <v>41851</v>
      </c>
      <c r="N100" s="40" t="s">
        <v>122</v>
      </c>
      <c r="O100" s="42">
        <v>42217</v>
      </c>
      <c r="P100" s="40">
        <v>46</v>
      </c>
      <c r="Q100" s="145">
        <v>97.48</v>
      </c>
      <c r="R100" s="145">
        <v>94.26</v>
      </c>
      <c r="S100" s="145">
        <v>94.2</v>
      </c>
      <c r="T100" s="145">
        <v>93.29</v>
      </c>
      <c r="U100" s="145">
        <v>95</v>
      </c>
    </row>
    <row r="101" spans="1:21" x14ac:dyDescent="0.2">
      <c r="A101" s="89">
        <f t="shared" si="1"/>
        <v>93</v>
      </c>
      <c r="B101" s="43">
        <v>3</v>
      </c>
      <c r="C101" s="43">
        <v>19</v>
      </c>
      <c r="D101" s="38" t="s">
        <v>838</v>
      </c>
      <c r="E101" s="44" t="s">
        <v>173</v>
      </c>
      <c r="F101" s="44" t="s">
        <v>31</v>
      </c>
      <c r="G101" s="44" t="s">
        <v>120</v>
      </c>
      <c r="H101" s="44" t="s">
        <v>35</v>
      </c>
      <c r="I101" s="44" t="s">
        <v>35</v>
      </c>
      <c r="J101" s="44" t="s">
        <v>11</v>
      </c>
      <c r="K101" s="44" t="s">
        <v>129</v>
      </c>
      <c r="L101" s="40">
        <v>19458</v>
      </c>
      <c r="M101" s="41">
        <v>41851</v>
      </c>
      <c r="N101" s="40" t="s">
        <v>122</v>
      </c>
      <c r="O101" s="42">
        <v>42217</v>
      </c>
      <c r="P101" s="40">
        <v>46</v>
      </c>
      <c r="Q101" s="145">
        <v>91.97</v>
      </c>
      <c r="R101" s="145">
        <v>91.91</v>
      </c>
      <c r="S101" s="145">
        <v>90.95</v>
      </c>
      <c r="T101" s="145">
        <v>90.88</v>
      </c>
      <c r="U101" s="145">
        <v>92.53</v>
      </c>
    </row>
    <row r="102" spans="1:21" x14ac:dyDescent="0.2">
      <c r="A102" s="89">
        <f t="shared" si="1"/>
        <v>94</v>
      </c>
      <c r="B102" s="43">
        <v>3</v>
      </c>
      <c r="C102" s="43">
        <v>20</v>
      </c>
      <c r="D102" s="38" t="s">
        <v>839</v>
      </c>
      <c r="E102" s="44" t="s">
        <v>175</v>
      </c>
      <c r="F102" s="44" t="s">
        <v>6</v>
      </c>
      <c r="G102" s="44" t="s">
        <v>120</v>
      </c>
      <c r="H102" s="44" t="s">
        <v>176</v>
      </c>
      <c r="I102" s="44" t="s">
        <v>177</v>
      </c>
      <c r="J102" s="44" t="s">
        <v>9</v>
      </c>
      <c r="K102" s="44" t="s">
        <v>135</v>
      </c>
      <c r="L102" s="40">
        <v>19460</v>
      </c>
      <c r="M102" s="41">
        <v>41851</v>
      </c>
      <c r="N102" s="40" t="s">
        <v>122</v>
      </c>
      <c r="O102" s="42">
        <v>42217</v>
      </c>
      <c r="P102" s="40">
        <v>46</v>
      </c>
      <c r="Q102" s="145">
        <v>72.42</v>
      </c>
      <c r="R102" s="145">
        <v>73.19</v>
      </c>
      <c r="S102" s="145">
        <v>71.53</v>
      </c>
      <c r="T102" s="145">
        <v>71.52</v>
      </c>
      <c r="U102" s="145">
        <v>72.33</v>
      </c>
    </row>
    <row r="103" spans="1:21" x14ac:dyDescent="0.2">
      <c r="A103" s="89">
        <f t="shared" si="1"/>
        <v>95</v>
      </c>
      <c r="B103" s="43">
        <v>3</v>
      </c>
      <c r="C103" s="43">
        <v>21</v>
      </c>
      <c r="D103" s="38" t="s">
        <v>840</v>
      </c>
      <c r="E103" s="44" t="s">
        <v>179</v>
      </c>
      <c r="F103" s="44" t="s">
        <v>6</v>
      </c>
      <c r="G103" s="44" t="s">
        <v>120</v>
      </c>
      <c r="H103" s="44" t="s">
        <v>176</v>
      </c>
      <c r="I103" s="44" t="s">
        <v>177</v>
      </c>
      <c r="J103" s="44" t="s">
        <v>10</v>
      </c>
      <c r="K103" s="44" t="s">
        <v>132</v>
      </c>
      <c r="L103" s="40">
        <v>19459</v>
      </c>
      <c r="M103" s="41">
        <v>41851</v>
      </c>
      <c r="N103" s="40" t="s">
        <v>122</v>
      </c>
      <c r="O103" s="42">
        <v>42217</v>
      </c>
      <c r="P103" s="40">
        <v>46</v>
      </c>
      <c r="Q103" s="145">
        <v>73.53</v>
      </c>
      <c r="R103" s="145">
        <v>74.25</v>
      </c>
      <c r="S103" s="145">
        <v>72.61</v>
      </c>
      <c r="T103" s="145">
        <v>72.59</v>
      </c>
      <c r="U103" s="145">
        <v>73.430000000000007</v>
      </c>
    </row>
    <row r="104" spans="1:21" x14ac:dyDescent="0.2">
      <c r="A104" s="89">
        <f t="shared" si="1"/>
        <v>96</v>
      </c>
      <c r="B104" s="43">
        <v>3</v>
      </c>
      <c r="C104" s="43">
        <v>22</v>
      </c>
      <c r="D104" s="38" t="s">
        <v>841</v>
      </c>
      <c r="E104" s="44" t="s">
        <v>181</v>
      </c>
      <c r="F104" s="44" t="s">
        <v>6</v>
      </c>
      <c r="G104" s="44" t="s">
        <v>120</v>
      </c>
      <c r="H104" s="44" t="s">
        <v>176</v>
      </c>
      <c r="I104" s="44" t="s">
        <v>177</v>
      </c>
      <c r="J104" s="44" t="s">
        <v>11</v>
      </c>
      <c r="K104" s="44" t="s">
        <v>129</v>
      </c>
      <c r="L104" s="40">
        <v>19461</v>
      </c>
      <c r="M104" s="41">
        <v>41851</v>
      </c>
      <c r="N104" s="40" t="s">
        <v>122</v>
      </c>
      <c r="O104" s="42">
        <v>42217</v>
      </c>
      <c r="P104" s="40">
        <v>46</v>
      </c>
      <c r="Q104" s="145">
        <v>71.25</v>
      </c>
      <c r="R104" s="145">
        <v>73.239999999999995</v>
      </c>
      <c r="S104" s="145">
        <v>71.17</v>
      </c>
      <c r="T104" s="145">
        <v>71.569999999999993</v>
      </c>
      <c r="U104" s="145">
        <v>72.400000000000006</v>
      </c>
    </row>
    <row r="105" spans="1:21" x14ac:dyDescent="0.2">
      <c r="A105" s="89">
        <f t="shared" si="1"/>
        <v>97</v>
      </c>
      <c r="B105" s="43">
        <v>3</v>
      </c>
      <c r="C105" s="43">
        <v>23</v>
      </c>
      <c r="D105" s="38" t="s">
        <v>842</v>
      </c>
      <c r="E105" s="44" t="s">
        <v>183</v>
      </c>
      <c r="F105" s="44" t="s">
        <v>6</v>
      </c>
      <c r="G105" s="44" t="s">
        <v>120</v>
      </c>
      <c r="H105" s="44" t="s">
        <v>13</v>
      </c>
      <c r="I105" s="44" t="s">
        <v>13</v>
      </c>
      <c r="J105" s="44" t="s">
        <v>7</v>
      </c>
      <c r="K105" s="44" t="s">
        <v>140</v>
      </c>
      <c r="L105" s="40">
        <v>19462</v>
      </c>
      <c r="M105" s="41">
        <v>41851</v>
      </c>
      <c r="N105" s="40" t="s">
        <v>122</v>
      </c>
      <c r="O105" s="42">
        <v>42217</v>
      </c>
      <c r="P105" s="40">
        <v>46</v>
      </c>
      <c r="Q105" s="145">
        <v>77.55</v>
      </c>
      <c r="R105" s="145">
        <v>77.34</v>
      </c>
      <c r="S105" s="145">
        <v>76.09</v>
      </c>
      <c r="T105" s="145">
        <v>75.84</v>
      </c>
      <c r="U105" s="145">
        <v>76.959999999999994</v>
      </c>
    </row>
    <row r="106" spans="1:21" x14ac:dyDescent="0.2">
      <c r="A106" s="89">
        <f t="shared" si="1"/>
        <v>98</v>
      </c>
      <c r="B106" s="43">
        <v>3</v>
      </c>
      <c r="C106" s="43">
        <v>24</v>
      </c>
      <c r="D106" s="38" t="s">
        <v>843</v>
      </c>
      <c r="E106" s="44" t="s">
        <v>185</v>
      </c>
      <c r="F106" s="44" t="s">
        <v>6</v>
      </c>
      <c r="G106" s="44" t="s">
        <v>120</v>
      </c>
      <c r="H106" s="44" t="s">
        <v>12</v>
      </c>
      <c r="I106" s="44" t="s">
        <v>186</v>
      </c>
      <c r="J106" s="44" t="s">
        <v>9</v>
      </c>
      <c r="K106" s="44" t="s">
        <v>135</v>
      </c>
      <c r="L106" s="40">
        <v>19463</v>
      </c>
      <c r="M106" s="41">
        <v>41851</v>
      </c>
      <c r="N106" s="40" t="s">
        <v>122</v>
      </c>
      <c r="O106" s="42">
        <v>42217</v>
      </c>
      <c r="P106" s="40">
        <v>46</v>
      </c>
      <c r="Q106" s="145">
        <v>72.25</v>
      </c>
      <c r="R106" s="145">
        <v>72.98</v>
      </c>
      <c r="S106" s="145">
        <v>71.27</v>
      </c>
      <c r="T106" s="145">
        <v>71.349999999999994</v>
      </c>
      <c r="U106" s="145">
        <v>72.06</v>
      </c>
    </row>
    <row r="107" spans="1:21" x14ac:dyDescent="0.2">
      <c r="A107" s="89">
        <f t="shared" si="1"/>
        <v>99</v>
      </c>
      <c r="B107" s="43">
        <v>3</v>
      </c>
      <c r="C107" s="43">
        <v>25</v>
      </c>
      <c r="D107" s="38" t="s">
        <v>844</v>
      </c>
      <c r="E107" s="44" t="s">
        <v>188</v>
      </c>
      <c r="F107" s="44" t="s">
        <v>6</v>
      </c>
      <c r="G107" s="44" t="s">
        <v>120</v>
      </c>
      <c r="H107" s="44" t="s">
        <v>12</v>
      </c>
      <c r="I107" s="44" t="s">
        <v>186</v>
      </c>
      <c r="J107" s="44" t="s">
        <v>10</v>
      </c>
      <c r="K107" s="44" t="s">
        <v>132</v>
      </c>
      <c r="L107" s="40">
        <v>19464</v>
      </c>
      <c r="M107" s="41">
        <v>41851</v>
      </c>
      <c r="N107" s="40" t="s">
        <v>122</v>
      </c>
      <c r="O107" s="42">
        <v>42217</v>
      </c>
      <c r="P107" s="40">
        <v>46</v>
      </c>
      <c r="Q107" s="145">
        <v>73.290000000000006</v>
      </c>
      <c r="R107" s="145">
        <v>74.16</v>
      </c>
      <c r="S107" s="145">
        <v>72.400000000000006</v>
      </c>
      <c r="T107" s="145">
        <v>72.540000000000006</v>
      </c>
      <c r="U107" s="145">
        <v>73.260000000000005</v>
      </c>
    </row>
    <row r="108" spans="1:21" x14ac:dyDescent="0.2">
      <c r="A108" s="89">
        <f t="shared" si="1"/>
        <v>100</v>
      </c>
      <c r="B108" s="43">
        <v>3</v>
      </c>
      <c r="C108" s="43">
        <v>26</v>
      </c>
      <c r="D108" s="38" t="s">
        <v>845</v>
      </c>
      <c r="E108" s="44" t="s">
        <v>190</v>
      </c>
      <c r="F108" s="44" t="s">
        <v>6</v>
      </c>
      <c r="G108" s="44" t="s">
        <v>120</v>
      </c>
      <c r="H108" s="44" t="s">
        <v>12</v>
      </c>
      <c r="I108" s="44" t="s">
        <v>186</v>
      </c>
      <c r="J108" s="44" t="s">
        <v>11</v>
      </c>
      <c r="K108" s="44" t="s">
        <v>129</v>
      </c>
      <c r="L108" s="40">
        <v>19465</v>
      </c>
      <c r="M108" s="41">
        <v>41851</v>
      </c>
      <c r="N108" s="40" t="s">
        <v>122</v>
      </c>
      <c r="O108" s="42">
        <v>42217</v>
      </c>
      <c r="P108" s="40">
        <v>46</v>
      </c>
      <c r="Q108" s="145">
        <v>71.88</v>
      </c>
      <c r="R108" s="145">
        <v>73.599999999999994</v>
      </c>
      <c r="S108" s="145">
        <v>71.53</v>
      </c>
      <c r="T108" s="145">
        <v>71.98</v>
      </c>
      <c r="U108" s="145">
        <v>72.709999999999994</v>
      </c>
    </row>
    <row r="109" spans="1:21" x14ac:dyDescent="0.2">
      <c r="A109" s="89">
        <f t="shared" si="1"/>
        <v>101</v>
      </c>
      <c r="B109" s="43">
        <v>3</v>
      </c>
      <c r="C109" s="43">
        <v>27</v>
      </c>
      <c r="D109" s="38" t="s">
        <v>846</v>
      </c>
      <c r="E109" s="44" t="s">
        <v>192</v>
      </c>
      <c r="F109" s="44" t="s">
        <v>6</v>
      </c>
      <c r="G109" s="44" t="s">
        <v>120</v>
      </c>
      <c r="H109" s="44" t="s">
        <v>100</v>
      </c>
      <c r="I109" s="44" t="s">
        <v>193</v>
      </c>
      <c r="J109" s="44" t="s">
        <v>7</v>
      </c>
      <c r="K109" s="44" t="s">
        <v>140</v>
      </c>
      <c r="L109" s="40">
        <v>19466</v>
      </c>
      <c r="M109" s="41">
        <v>41851</v>
      </c>
      <c r="N109" s="40" t="s">
        <v>122</v>
      </c>
      <c r="O109" s="42">
        <v>42217</v>
      </c>
      <c r="P109" s="40">
        <v>46</v>
      </c>
      <c r="Q109" s="145">
        <v>85.8</v>
      </c>
      <c r="R109" s="145">
        <v>85.61</v>
      </c>
      <c r="S109" s="145">
        <v>78.790000000000006</v>
      </c>
      <c r="T109" s="145">
        <v>77.53</v>
      </c>
      <c r="U109" s="145">
        <v>77.260000000000005</v>
      </c>
    </row>
    <row r="110" spans="1:21" x14ac:dyDescent="0.2">
      <c r="A110" s="89">
        <f t="shared" si="1"/>
        <v>102</v>
      </c>
      <c r="B110" s="43">
        <v>3</v>
      </c>
      <c r="C110" s="43">
        <v>28</v>
      </c>
      <c r="D110" s="38" t="s">
        <v>847</v>
      </c>
      <c r="E110" s="44" t="s">
        <v>195</v>
      </c>
      <c r="F110" s="44" t="s">
        <v>39</v>
      </c>
      <c r="G110" s="44" t="s">
        <v>120</v>
      </c>
      <c r="H110" s="44" t="s">
        <v>44</v>
      </c>
      <c r="I110" s="44" t="s">
        <v>44</v>
      </c>
      <c r="J110" s="44" t="s">
        <v>7</v>
      </c>
      <c r="K110" s="44" t="s">
        <v>140</v>
      </c>
      <c r="L110" s="40">
        <v>19467</v>
      </c>
      <c r="M110" s="41">
        <v>41851</v>
      </c>
      <c r="N110" s="40" t="s">
        <v>122</v>
      </c>
      <c r="O110" s="42">
        <v>42217</v>
      </c>
      <c r="P110" s="40">
        <v>46</v>
      </c>
      <c r="Q110" s="145">
        <v>81.3</v>
      </c>
      <c r="R110" s="145">
        <v>81.849999999999994</v>
      </c>
      <c r="S110" s="145">
        <v>80.319999999999993</v>
      </c>
      <c r="T110" s="145">
        <v>80.41</v>
      </c>
      <c r="U110" s="145">
        <v>81.58</v>
      </c>
    </row>
    <row r="111" spans="1:21" x14ac:dyDescent="0.2">
      <c r="A111" s="89">
        <f t="shared" si="1"/>
        <v>103</v>
      </c>
      <c r="B111" s="43">
        <v>3</v>
      </c>
      <c r="C111" s="43">
        <v>29</v>
      </c>
      <c r="D111" s="38" t="s">
        <v>848</v>
      </c>
      <c r="E111" s="44" t="s">
        <v>197</v>
      </c>
      <c r="F111" s="44" t="s">
        <v>39</v>
      </c>
      <c r="G111" s="44" t="s">
        <v>120</v>
      </c>
      <c r="H111" s="44" t="s">
        <v>44</v>
      </c>
      <c r="I111" s="44" t="s">
        <v>44</v>
      </c>
      <c r="J111" s="44" t="s">
        <v>45</v>
      </c>
      <c r="K111" s="44" t="s">
        <v>198</v>
      </c>
      <c r="L111" s="40">
        <v>19468</v>
      </c>
      <c r="M111" s="41">
        <v>41851</v>
      </c>
      <c r="N111" s="40" t="s">
        <v>122</v>
      </c>
      <c r="O111" s="42">
        <v>42217</v>
      </c>
      <c r="P111" s="40">
        <v>46</v>
      </c>
      <c r="Q111" s="145">
        <v>79.47</v>
      </c>
      <c r="R111" s="145">
        <v>79.73</v>
      </c>
      <c r="S111" s="145">
        <v>78.33</v>
      </c>
      <c r="T111" s="145">
        <v>78.3</v>
      </c>
      <c r="U111" s="145">
        <v>79.459999999999994</v>
      </c>
    </row>
    <row r="112" spans="1:21" x14ac:dyDescent="0.2">
      <c r="A112" s="89">
        <f t="shared" si="1"/>
        <v>104</v>
      </c>
      <c r="B112" s="43">
        <v>3</v>
      </c>
      <c r="C112" s="43">
        <v>30</v>
      </c>
      <c r="D112" s="38" t="s">
        <v>849</v>
      </c>
      <c r="E112" s="44" t="s">
        <v>200</v>
      </c>
      <c r="F112" s="44" t="s">
        <v>39</v>
      </c>
      <c r="G112" s="44" t="s">
        <v>120</v>
      </c>
      <c r="H112" s="44" t="s">
        <v>44</v>
      </c>
      <c r="I112" s="44" t="s">
        <v>44</v>
      </c>
      <c r="J112" s="44" t="s">
        <v>46</v>
      </c>
      <c r="K112" s="44" t="s">
        <v>46</v>
      </c>
      <c r="L112" s="40">
        <v>19469</v>
      </c>
      <c r="M112" s="41">
        <v>41851</v>
      </c>
      <c r="N112" s="40" t="s">
        <v>122</v>
      </c>
      <c r="O112" s="42">
        <v>42217</v>
      </c>
      <c r="P112" s="40">
        <v>46</v>
      </c>
      <c r="Q112" s="145">
        <v>78.040000000000006</v>
      </c>
      <c r="R112" s="145">
        <v>79.09</v>
      </c>
      <c r="S112" s="145">
        <v>77.36</v>
      </c>
      <c r="T112" s="145">
        <v>77.599999999999994</v>
      </c>
      <c r="U112" s="145">
        <v>78.790000000000006</v>
      </c>
    </row>
    <row r="113" spans="1:21" x14ac:dyDescent="0.2">
      <c r="A113" s="89">
        <f t="shared" si="1"/>
        <v>105</v>
      </c>
      <c r="B113" s="43">
        <v>3</v>
      </c>
      <c r="C113" s="43">
        <v>31</v>
      </c>
      <c r="D113" s="38" t="s">
        <v>850</v>
      </c>
      <c r="E113" s="44" t="s">
        <v>202</v>
      </c>
      <c r="F113" s="44" t="s">
        <v>39</v>
      </c>
      <c r="G113" s="44" t="s">
        <v>120</v>
      </c>
      <c r="H113" s="44" t="s">
        <v>47</v>
      </c>
      <c r="I113" s="44" t="s">
        <v>47</v>
      </c>
      <c r="J113" s="44" t="s">
        <v>7</v>
      </c>
      <c r="K113" s="44" t="s">
        <v>140</v>
      </c>
      <c r="L113" s="40">
        <v>19470</v>
      </c>
      <c r="M113" s="41">
        <v>41851</v>
      </c>
      <c r="N113" s="40" t="s">
        <v>122</v>
      </c>
      <c r="O113" s="42">
        <v>42217</v>
      </c>
      <c r="P113" s="40">
        <v>46</v>
      </c>
      <c r="Q113" s="145">
        <v>74.14</v>
      </c>
      <c r="R113" s="145">
        <v>71.55</v>
      </c>
      <c r="S113" s="145">
        <v>69.86</v>
      </c>
      <c r="T113" s="145">
        <v>69.349999999999994</v>
      </c>
      <c r="U113" s="145">
        <v>71.38</v>
      </c>
    </row>
    <row r="114" spans="1:21" x14ac:dyDescent="0.2">
      <c r="A114" s="89">
        <f t="shared" si="1"/>
        <v>106</v>
      </c>
      <c r="B114" s="43">
        <v>3</v>
      </c>
      <c r="C114" s="43">
        <v>32</v>
      </c>
      <c r="D114" s="38" t="s">
        <v>851</v>
      </c>
      <c r="E114" s="44" t="s">
        <v>204</v>
      </c>
      <c r="F114" s="44" t="s">
        <v>6</v>
      </c>
      <c r="G114" s="44" t="s">
        <v>120</v>
      </c>
      <c r="H114" s="44" t="s">
        <v>14</v>
      </c>
      <c r="I114" s="44" t="s">
        <v>14</v>
      </c>
      <c r="J114" s="44" t="s">
        <v>15</v>
      </c>
      <c r="K114" s="44" t="s">
        <v>129</v>
      </c>
      <c r="L114" s="40">
        <v>19471</v>
      </c>
      <c r="M114" s="41">
        <v>41851</v>
      </c>
      <c r="N114" s="40" t="s">
        <v>122</v>
      </c>
      <c r="O114" s="42">
        <v>42217</v>
      </c>
      <c r="P114" s="40">
        <v>46</v>
      </c>
      <c r="Q114" s="145">
        <v>79.13</v>
      </c>
      <c r="R114" s="145">
        <v>79.739999999999995</v>
      </c>
      <c r="S114" s="145">
        <v>78.209999999999994</v>
      </c>
      <c r="T114" s="145">
        <v>78.08</v>
      </c>
      <c r="U114" s="145">
        <v>78.8</v>
      </c>
    </row>
    <row r="115" spans="1:21" x14ac:dyDescent="0.2">
      <c r="A115" s="89">
        <f t="shared" si="1"/>
        <v>107</v>
      </c>
      <c r="B115" s="43">
        <v>3</v>
      </c>
      <c r="C115" s="43">
        <v>33</v>
      </c>
      <c r="D115" s="38" t="s">
        <v>852</v>
      </c>
      <c r="E115" s="44" t="s">
        <v>206</v>
      </c>
      <c r="F115" s="44" t="s">
        <v>6</v>
      </c>
      <c r="G115" s="44" t="s">
        <v>120</v>
      </c>
      <c r="H115" s="44" t="s">
        <v>14</v>
      </c>
      <c r="I115" s="44" t="s">
        <v>14</v>
      </c>
      <c r="J115" s="44" t="s">
        <v>16</v>
      </c>
      <c r="K115" s="44" t="s">
        <v>135</v>
      </c>
      <c r="L115" s="40">
        <v>19472</v>
      </c>
      <c r="M115" s="41">
        <v>41851</v>
      </c>
      <c r="N115" s="40" t="s">
        <v>122</v>
      </c>
      <c r="O115" s="42">
        <v>42217</v>
      </c>
      <c r="P115" s="40">
        <v>46</v>
      </c>
      <c r="Q115" s="145">
        <v>80.75</v>
      </c>
      <c r="R115" s="145">
        <v>80.98</v>
      </c>
      <c r="S115" s="145">
        <v>79.59</v>
      </c>
      <c r="T115" s="145">
        <v>79.349999999999994</v>
      </c>
      <c r="U115" s="145">
        <v>80.12</v>
      </c>
    </row>
    <row r="116" spans="1:21" x14ac:dyDescent="0.2">
      <c r="A116" s="89">
        <f t="shared" si="1"/>
        <v>108</v>
      </c>
      <c r="B116" s="43">
        <v>3</v>
      </c>
      <c r="C116" s="43">
        <v>34</v>
      </c>
      <c r="D116" s="38" t="s">
        <v>853</v>
      </c>
      <c r="E116" s="44" t="s">
        <v>208</v>
      </c>
      <c r="F116" s="44" t="s">
        <v>31</v>
      </c>
      <c r="G116" s="44" t="s">
        <v>120</v>
      </c>
      <c r="H116" s="44" t="s">
        <v>36</v>
      </c>
      <c r="I116" s="44" t="s">
        <v>36</v>
      </c>
      <c r="J116" s="44" t="s">
        <v>37</v>
      </c>
      <c r="K116" s="44" t="s">
        <v>209</v>
      </c>
      <c r="L116" s="40">
        <v>19473</v>
      </c>
      <c r="M116" s="41">
        <v>41851</v>
      </c>
      <c r="N116" s="40" t="s">
        <v>122</v>
      </c>
      <c r="O116" s="42">
        <v>42217</v>
      </c>
      <c r="P116" s="40">
        <v>46</v>
      </c>
      <c r="Q116" s="145">
        <v>98.97</v>
      </c>
      <c r="R116" s="145">
        <v>100.48</v>
      </c>
      <c r="S116" s="145">
        <v>101.03</v>
      </c>
      <c r="T116" s="145">
        <v>101.89</v>
      </c>
      <c r="U116" s="145">
        <v>103.79</v>
      </c>
    </row>
    <row r="117" spans="1:21" x14ac:dyDescent="0.2">
      <c r="A117" s="89">
        <f t="shared" si="1"/>
        <v>109</v>
      </c>
      <c r="B117" s="43">
        <v>3</v>
      </c>
      <c r="C117" s="43">
        <v>35</v>
      </c>
      <c r="D117" s="38" t="s">
        <v>854</v>
      </c>
      <c r="E117" s="44" t="s">
        <v>211</v>
      </c>
      <c r="F117" s="44" t="s">
        <v>31</v>
      </c>
      <c r="G117" s="44" t="s">
        <v>120</v>
      </c>
      <c r="H117" s="44" t="s">
        <v>36</v>
      </c>
      <c r="I117" s="44" t="s">
        <v>36</v>
      </c>
      <c r="J117" s="44" t="s">
        <v>38</v>
      </c>
      <c r="K117" s="44" t="s">
        <v>212</v>
      </c>
      <c r="L117" s="40">
        <v>19474</v>
      </c>
      <c r="M117" s="41">
        <v>41851</v>
      </c>
      <c r="N117" s="40" t="s">
        <v>122</v>
      </c>
      <c r="O117" s="42">
        <v>42217</v>
      </c>
      <c r="P117" s="40">
        <v>46</v>
      </c>
      <c r="Q117" s="145">
        <v>97.8</v>
      </c>
      <c r="R117" s="145">
        <v>98.84</v>
      </c>
      <c r="S117" s="145">
        <v>99.56</v>
      </c>
      <c r="T117" s="145">
        <v>100.26</v>
      </c>
      <c r="U117" s="145">
        <v>102.1</v>
      </c>
    </row>
    <row r="118" spans="1:21" x14ac:dyDescent="0.2">
      <c r="A118" s="89">
        <f t="shared" si="1"/>
        <v>110</v>
      </c>
      <c r="B118" s="43">
        <v>3</v>
      </c>
      <c r="C118" s="43">
        <v>36</v>
      </c>
      <c r="D118" s="38" t="s">
        <v>855</v>
      </c>
      <c r="E118" s="44" t="s">
        <v>214</v>
      </c>
      <c r="F118" s="44" t="s">
        <v>6</v>
      </c>
      <c r="G118" s="44" t="s">
        <v>120</v>
      </c>
      <c r="H118" s="44" t="s">
        <v>17</v>
      </c>
      <c r="I118" s="44" t="s">
        <v>215</v>
      </c>
      <c r="J118" s="44" t="s">
        <v>18</v>
      </c>
      <c r="K118" s="44" t="s">
        <v>140</v>
      </c>
      <c r="L118" s="40">
        <v>19475</v>
      </c>
      <c r="M118" s="41">
        <v>41851</v>
      </c>
      <c r="N118" s="40" t="s">
        <v>122</v>
      </c>
      <c r="O118" s="42">
        <v>42217</v>
      </c>
      <c r="P118" s="40">
        <v>46</v>
      </c>
      <c r="Q118" s="145">
        <v>67.010000000000005</v>
      </c>
      <c r="R118" s="145">
        <v>67.23</v>
      </c>
      <c r="S118" s="145">
        <v>64.62</v>
      </c>
      <c r="T118" s="145">
        <v>64.87</v>
      </c>
      <c r="U118" s="145">
        <v>66.540000000000006</v>
      </c>
    </row>
    <row r="119" spans="1:21" x14ac:dyDescent="0.2">
      <c r="A119" s="89">
        <f t="shared" si="1"/>
        <v>111</v>
      </c>
      <c r="B119" s="20"/>
      <c r="C119" s="20"/>
      <c r="D119" s="20"/>
    </row>
    <row r="120" spans="1:21" x14ac:dyDescent="0.2">
      <c r="A120" s="89">
        <f t="shared" si="1"/>
        <v>112</v>
      </c>
      <c r="B120" s="43">
        <v>4</v>
      </c>
      <c r="C120" s="43">
        <v>1</v>
      </c>
      <c r="D120" s="38" t="s">
        <v>856</v>
      </c>
      <c r="E120" s="44" t="s">
        <v>119</v>
      </c>
      <c r="F120" s="44" t="s">
        <v>31</v>
      </c>
      <c r="G120" s="44" t="s">
        <v>120</v>
      </c>
      <c r="H120" s="44" t="s">
        <v>32</v>
      </c>
      <c r="I120" s="44" t="s">
        <v>32</v>
      </c>
      <c r="J120" s="44" t="s">
        <v>33</v>
      </c>
      <c r="K120" s="44" t="s">
        <v>121</v>
      </c>
      <c r="L120" s="40">
        <v>19440</v>
      </c>
      <c r="M120" s="41">
        <v>41851</v>
      </c>
      <c r="N120" s="40" t="s">
        <v>122</v>
      </c>
      <c r="O120" s="42">
        <v>42248</v>
      </c>
      <c r="P120" s="40">
        <v>47</v>
      </c>
      <c r="Q120" s="145">
        <v>97.58</v>
      </c>
      <c r="R120" s="145">
        <v>94.21</v>
      </c>
      <c r="S120" s="145">
        <v>94.09</v>
      </c>
      <c r="T120" s="145">
        <v>93.25</v>
      </c>
      <c r="U120" s="145">
        <v>95.31</v>
      </c>
    </row>
    <row r="121" spans="1:21" x14ac:dyDescent="0.2">
      <c r="A121" s="89">
        <f t="shared" si="1"/>
        <v>113</v>
      </c>
      <c r="B121" s="43">
        <v>4</v>
      </c>
      <c r="C121" s="43">
        <v>2</v>
      </c>
      <c r="D121" s="38" t="s">
        <v>857</v>
      </c>
      <c r="E121" s="44" t="s">
        <v>124</v>
      </c>
      <c r="F121" s="44" t="s">
        <v>31</v>
      </c>
      <c r="G121" s="44" t="s">
        <v>120</v>
      </c>
      <c r="H121" s="44" t="s">
        <v>32</v>
      </c>
      <c r="I121" s="44" t="s">
        <v>32</v>
      </c>
      <c r="J121" s="44" t="s">
        <v>34</v>
      </c>
      <c r="K121" s="44" t="s">
        <v>125</v>
      </c>
      <c r="L121" s="40">
        <v>19441</v>
      </c>
      <c r="M121" s="41">
        <v>41851</v>
      </c>
      <c r="N121" s="40" t="s">
        <v>122</v>
      </c>
      <c r="O121" s="42">
        <v>42248</v>
      </c>
      <c r="P121" s="40">
        <v>47</v>
      </c>
      <c r="Q121" s="145">
        <v>96.23</v>
      </c>
      <c r="R121" s="145">
        <v>93.53</v>
      </c>
      <c r="S121" s="145">
        <v>93.23</v>
      </c>
      <c r="T121" s="145">
        <v>92.51</v>
      </c>
      <c r="U121" s="145">
        <v>93.66</v>
      </c>
    </row>
    <row r="122" spans="1:21" x14ac:dyDescent="0.2">
      <c r="A122" s="89">
        <f t="shared" si="1"/>
        <v>114</v>
      </c>
      <c r="B122" s="43">
        <v>4</v>
      </c>
      <c r="C122" s="43">
        <v>3</v>
      </c>
      <c r="D122" s="38" t="s">
        <v>858</v>
      </c>
      <c r="E122" s="44" t="s">
        <v>127</v>
      </c>
      <c r="F122" s="44" t="s">
        <v>20</v>
      </c>
      <c r="G122" s="44" t="s">
        <v>120</v>
      </c>
      <c r="H122" s="44" t="s">
        <v>63</v>
      </c>
      <c r="I122" s="44" t="s">
        <v>128</v>
      </c>
      <c r="J122" s="44" t="s">
        <v>15</v>
      </c>
      <c r="K122" s="44" t="s">
        <v>129</v>
      </c>
      <c r="L122" s="40">
        <v>19442</v>
      </c>
      <c r="M122" s="41">
        <v>41851</v>
      </c>
      <c r="N122" s="40" t="s">
        <v>122</v>
      </c>
      <c r="O122" s="42">
        <v>42248</v>
      </c>
      <c r="P122" s="40">
        <v>47</v>
      </c>
      <c r="Q122" s="145">
        <v>70.150000000000006</v>
      </c>
      <c r="R122" s="145">
        <v>69.180000000000007</v>
      </c>
      <c r="S122" s="145">
        <v>67.349999999999994</v>
      </c>
      <c r="T122" s="145">
        <v>67</v>
      </c>
      <c r="U122" s="145">
        <v>67</v>
      </c>
    </row>
    <row r="123" spans="1:21" x14ac:dyDescent="0.2">
      <c r="A123" s="89">
        <f t="shared" si="1"/>
        <v>115</v>
      </c>
      <c r="B123" s="43">
        <v>4</v>
      </c>
      <c r="C123" s="43">
        <v>4</v>
      </c>
      <c r="D123" s="38" t="s">
        <v>859</v>
      </c>
      <c r="E123" s="44" t="s">
        <v>131</v>
      </c>
      <c r="F123" s="44" t="s">
        <v>20</v>
      </c>
      <c r="G123" s="44" t="s">
        <v>120</v>
      </c>
      <c r="H123" s="44" t="s">
        <v>63</v>
      </c>
      <c r="I123" s="44" t="s">
        <v>128</v>
      </c>
      <c r="J123" s="44" t="s">
        <v>21</v>
      </c>
      <c r="K123" s="44" t="s">
        <v>132</v>
      </c>
      <c r="L123" s="40">
        <v>19443</v>
      </c>
      <c r="M123" s="41">
        <v>41851</v>
      </c>
      <c r="N123" s="40" t="s">
        <v>122</v>
      </c>
      <c r="O123" s="42">
        <v>42248</v>
      </c>
      <c r="P123" s="40">
        <v>47</v>
      </c>
      <c r="Q123" s="145">
        <v>73.38</v>
      </c>
      <c r="R123" s="145">
        <v>71.11</v>
      </c>
      <c r="S123" s="145">
        <v>69.599999999999994</v>
      </c>
      <c r="T123" s="145">
        <v>68.959999999999994</v>
      </c>
      <c r="U123" s="145">
        <v>68.989999999999995</v>
      </c>
    </row>
    <row r="124" spans="1:21" x14ac:dyDescent="0.2">
      <c r="A124" s="89">
        <f t="shared" si="1"/>
        <v>116</v>
      </c>
      <c r="B124" s="43">
        <v>4</v>
      </c>
      <c r="C124" s="43">
        <v>5</v>
      </c>
      <c r="D124" s="38" t="s">
        <v>860</v>
      </c>
      <c r="E124" s="44" t="s">
        <v>134</v>
      </c>
      <c r="F124" s="44" t="s">
        <v>20</v>
      </c>
      <c r="G124" s="44" t="s">
        <v>120</v>
      </c>
      <c r="H124" s="44" t="s">
        <v>63</v>
      </c>
      <c r="I124" s="44" t="s">
        <v>128</v>
      </c>
      <c r="J124" s="44" t="s">
        <v>16</v>
      </c>
      <c r="K124" s="44" t="s">
        <v>135</v>
      </c>
      <c r="L124" s="40">
        <v>19444</v>
      </c>
      <c r="M124" s="41">
        <v>41851</v>
      </c>
      <c r="N124" s="40" t="s">
        <v>122</v>
      </c>
      <c r="O124" s="42">
        <v>42248</v>
      </c>
      <c r="P124" s="40">
        <v>47</v>
      </c>
      <c r="Q124" s="145">
        <v>72.8</v>
      </c>
      <c r="R124" s="145">
        <v>70.13</v>
      </c>
      <c r="S124" s="145">
        <v>68.709999999999994</v>
      </c>
      <c r="T124" s="145">
        <v>67.94</v>
      </c>
      <c r="U124" s="145">
        <v>67.94</v>
      </c>
    </row>
    <row r="125" spans="1:21" x14ac:dyDescent="0.2">
      <c r="A125" s="89">
        <f t="shared" si="1"/>
        <v>117</v>
      </c>
      <c r="B125" s="43">
        <v>4</v>
      </c>
      <c r="C125" s="43">
        <v>6</v>
      </c>
      <c r="D125" s="38" t="s">
        <v>861</v>
      </c>
      <c r="E125" s="44" t="s">
        <v>137</v>
      </c>
      <c r="F125" s="44" t="s">
        <v>25</v>
      </c>
      <c r="G125" s="44" t="s">
        <v>138</v>
      </c>
      <c r="H125" s="44" t="s">
        <v>139</v>
      </c>
      <c r="I125" s="44" t="s">
        <v>29</v>
      </c>
      <c r="J125" s="44" t="s">
        <v>30</v>
      </c>
      <c r="K125" s="44" t="s">
        <v>140</v>
      </c>
      <c r="L125" s="40">
        <v>19445</v>
      </c>
      <c r="M125" s="41">
        <v>41851</v>
      </c>
      <c r="N125" s="40" t="s">
        <v>122</v>
      </c>
      <c r="O125" s="42">
        <v>42248</v>
      </c>
      <c r="P125" s="40">
        <v>47</v>
      </c>
      <c r="Q125" s="145">
        <v>55.42</v>
      </c>
      <c r="R125" s="145">
        <v>56.63</v>
      </c>
      <c r="S125" s="145">
        <v>56.79</v>
      </c>
      <c r="T125" s="145">
        <v>57.67</v>
      </c>
      <c r="U125" s="145">
        <v>58.95</v>
      </c>
    </row>
    <row r="126" spans="1:21" x14ac:dyDescent="0.2">
      <c r="A126" s="89">
        <f t="shared" si="1"/>
        <v>118</v>
      </c>
      <c r="B126" s="43">
        <v>4</v>
      </c>
      <c r="C126" s="43">
        <v>7</v>
      </c>
      <c r="D126" s="38" t="s">
        <v>862</v>
      </c>
      <c r="E126" s="44" t="s">
        <v>142</v>
      </c>
      <c r="F126" s="44" t="s">
        <v>39</v>
      </c>
      <c r="G126" s="44" t="s">
        <v>120</v>
      </c>
      <c r="H126" s="44" t="s">
        <v>40</v>
      </c>
      <c r="I126" s="44" t="s">
        <v>40</v>
      </c>
      <c r="J126" s="44" t="s">
        <v>42</v>
      </c>
      <c r="K126" s="44" t="s">
        <v>135</v>
      </c>
      <c r="L126" s="40">
        <v>19447</v>
      </c>
      <c r="M126" s="41">
        <v>41851</v>
      </c>
      <c r="N126" s="40" t="s">
        <v>122</v>
      </c>
      <c r="O126" s="42">
        <v>42248</v>
      </c>
      <c r="P126" s="40">
        <v>47</v>
      </c>
      <c r="Q126" s="145">
        <v>83.71</v>
      </c>
      <c r="R126" s="145">
        <v>81.83</v>
      </c>
      <c r="S126" s="145">
        <v>81.040000000000006</v>
      </c>
      <c r="T126" s="145">
        <v>80.56</v>
      </c>
      <c r="U126" s="145">
        <v>81.95</v>
      </c>
    </row>
    <row r="127" spans="1:21" x14ac:dyDescent="0.2">
      <c r="A127" s="89">
        <f t="shared" si="1"/>
        <v>119</v>
      </c>
      <c r="B127" s="43">
        <v>4</v>
      </c>
      <c r="C127" s="43">
        <v>8</v>
      </c>
      <c r="D127" s="38" t="s">
        <v>863</v>
      </c>
      <c r="E127" s="44" t="s">
        <v>144</v>
      </c>
      <c r="F127" s="44" t="s">
        <v>39</v>
      </c>
      <c r="G127" s="44" t="s">
        <v>120</v>
      </c>
      <c r="H127" s="44" t="s">
        <v>40</v>
      </c>
      <c r="I127" s="44" t="s">
        <v>40</v>
      </c>
      <c r="J127" s="44" t="s">
        <v>41</v>
      </c>
      <c r="K127" s="44" t="s">
        <v>132</v>
      </c>
      <c r="L127" s="40">
        <v>19446</v>
      </c>
      <c r="M127" s="41">
        <v>41851</v>
      </c>
      <c r="N127" s="40" t="s">
        <v>122</v>
      </c>
      <c r="O127" s="42">
        <v>42248</v>
      </c>
      <c r="P127" s="40">
        <v>47</v>
      </c>
      <c r="Q127" s="145">
        <v>84.28</v>
      </c>
      <c r="R127" s="145">
        <v>82.69</v>
      </c>
      <c r="S127" s="145">
        <v>81.819999999999993</v>
      </c>
      <c r="T127" s="145">
        <v>81.430000000000007</v>
      </c>
      <c r="U127" s="145">
        <v>82.89</v>
      </c>
    </row>
    <row r="128" spans="1:21" x14ac:dyDescent="0.2">
      <c r="A128" s="89">
        <f t="shared" si="1"/>
        <v>120</v>
      </c>
      <c r="B128" s="43">
        <v>4</v>
      </c>
      <c r="C128" s="43">
        <v>9</v>
      </c>
      <c r="D128" s="38" t="s">
        <v>864</v>
      </c>
      <c r="E128" s="44" t="s">
        <v>146</v>
      </c>
      <c r="F128" s="44" t="s">
        <v>39</v>
      </c>
      <c r="G128" s="44" t="s">
        <v>120</v>
      </c>
      <c r="H128" s="44" t="s">
        <v>40</v>
      </c>
      <c r="I128" s="44" t="s">
        <v>40</v>
      </c>
      <c r="J128" s="44" t="s">
        <v>7</v>
      </c>
      <c r="K128" s="44" t="s">
        <v>129</v>
      </c>
      <c r="L128" s="40">
        <v>19448</v>
      </c>
      <c r="M128" s="41">
        <v>41851</v>
      </c>
      <c r="N128" s="40" t="s">
        <v>122</v>
      </c>
      <c r="O128" s="42">
        <v>42248</v>
      </c>
      <c r="P128" s="40">
        <v>47</v>
      </c>
      <c r="Q128" s="145">
        <v>83</v>
      </c>
      <c r="R128" s="145">
        <v>80.959999999999994</v>
      </c>
      <c r="S128" s="145">
        <v>80.22</v>
      </c>
      <c r="T128" s="145">
        <v>79.67</v>
      </c>
      <c r="U128" s="145">
        <v>80.989999999999995</v>
      </c>
    </row>
    <row r="129" spans="1:21" x14ac:dyDescent="0.2">
      <c r="A129" s="89">
        <f t="shared" si="1"/>
        <v>121</v>
      </c>
      <c r="B129" s="43">
        <v>4</v>
      </c>
      <c r="C129" s="43">
        <v>10</v>
      </c>
      <c r="D129" s="38" t="s">
        <v>865</v>
      </c>
      <c r="E129" s="44" t="s">
        <v>148</v>
      </c>
      <c r="F129" s="44" t="s">
        <v>25</v>
      </c>
      <c r="G129" s="44" t="s">
        <v>120</v>
      </c>
      <c r="H129" s="44" t="s">
        <v>149</v>
      </c>
      <c r="I129" s="44" t="s">
        <v>26</v>
      </c>
      <c r="J129" s="44" t="s">
        <v>27</v>
      </c>
      <c r="K129" s="44" t="s">
        <v>150</v>
      </c>
      <c r="L129" s="40">
        <v>19449</v>
      </c>
      <c r="M129" s="41">
        <v>41851</v>
      </c>
      <c r="N129" s="40" t="s">
        <v>122</v>
      </c>
      <c r="O129" s="42">
        <v>42248</v>
      </c>
      <c r="P129" s="40">
        <v>47</v>
      </c>
      <c r="Q129" s="145">
        <v>64.38</v>
      </c>
      <c r="R129" s="145">
        <v>63.97</v>
      </c>
      <c r="S129" s="145">
        <v>61.91</v>
      </c>
      <c r="T129" s="145">
        <v>62.6</v>
      </c>
      <c r="U129" s="145">
        <v>64.5</v>
      </c>
    </row>
    <row r="130" spans="1:21" x14ac:dyDescent="0.2">
      <c r="A130" s="89">
        <f t="shared" si="1"/>
        <v>122</v>
      </c>
      <c r="B130" s="43">
        <v>4</v>
      </c>
      <c r="C130" s="43">
        <v>11</v>
      </c>
      <c r="D130" s="38" t="s">
        <v>866</v>
      </c>
      <c r="E130" s="44" t="s">
        <v>152</v>
      </c>
      <c r="F130" s="44" t="s">
        <v>25</v>
      </c>
      <c r="G130" s="44" t="s">
        <v>120</v>
      </c>
      <c r="H130" s="44" t="s">
        <v>149</v>
      </c>
      <c r="I130" s="44" t="s">
        <v>26</v>
      </c>
      <c r="J130" s="44" t="s">
        <v>28</v>
      </c>
      <c r="K130" s="44" t="s">
        <v>153</v>
      </c>
      <c r="L130" s="40">
        <v>19450</v>
      </c>
      <c r="M130" s="41">
        <v>41851</v>
      </c>
      <c r="N130" s="40" t="s">
        <v>122</v>
      </c>
      <c r="O130" s="42">
        <v>42248</v>
      </c>
      <c r="P130" s="40">
        <v>47</v>
      </c>
      <c r="Q130" s="145">
        <v>63.51</v>
      </c>
      <c r="R130" s="145">
        <v>63.13</v>
      </c>
      <c r="S130" s="145">
        <v>61.07</v>
      </c>
      <c r="T130" s="145">
        <v>61.76</v>
      </c>
      <c r="U130" s="145">
        <v>63.65</v>
      </c>
    </row>
    <row r="131" spans="1:21" x14ac:dyDescent="0.2">
      <c r="A131" s="89">
        <f t="shared" si="1"/>
        <v>123</v>
      </c>
      <c r="B131" s="43">
        <v>4</v>
      </c>
      <c r="C131" s="43">
        <v>12</v>
      </c>
      <c r="D131" s="38" t="s">
        <v>867</v>
      </c>
      <c r="E131" s="44" t="s">
        <v>155</v>
      </c>
      <c r="F131" s="44" t="s">
        <v>20</v>
      </c>
      <c r="G131" s="44" t="s">
        <v>120</v>
      </c>
      <c r="H131" s="44" t="s">
        <v>105</v>
      </c>
      <c r="I131" s="44" t="s">
        <v>156</v>
      </c>
      <c r="J131" s="44" t="s">
        <v>22</v>
      </c>
      <c r="K131" s="44" t="s">
        <v>157</v>
      </c>
      <c r="L131" s="40">
        <v>19451</v>
      </c>
      <c r="M131" s="41">
        <v>41851</v>
      </c>
      <c r="N131" s="40" t="s">
        <v>122</v>
      </c>
      <c r="O131" s="42">
        <v>42248</v>
      </c>
      <c r="P131" s="40">
        <v>47</v>
      </c>
      <c r="Q131" s="145">
        <v>61.68</v>
      </c>
      <c r="R131" s="145">
        <v>61.41</v>
      </c>
      <c r="S131" s="145">
        <v>59.25</v>
      </c>
      <c r="T131" s="145">
        <v>59.8</v>
      </c>
      <c r="U131" s="145">
        <v>61.53</v>
      </c>
    </row>
    <row r="132" spans="1:21" x14ac:dyDescent="0.2">
      <c r="A132" s="89">
        <f t="shared" si="1"/>
        <v>124</v>
      </c>
      <c r="B132" s="43">
        <v>4</v>
      </c>
      <c r="C132" s="43">
        <v>13</v>
      </c>
      <c r="D132" s="38" t="s">
        <v>868</v>
      </c>
      <c r="E132" s="44" t="s">
        <v>159</v>
      </c>
      <c r="F132" s="44" t="s">
        <v>39</v>
      </c>
      <c r="G132" s="44" t="s">
        <v>120</v>
      </c>
      <c r="H132" s="44" t="s">
        <v>43</v>
      </c>
      <c r="I132" s="44" t="s">
        <v>43</v>
      </c>
      <c r="J132" s="44" t="s">
        <v>7</v>
      </c>
      <c r="K132" s="44" t="s">
        <v>140</v>
      </c>
      <c r="L132" s="40">
        <v>19452</v>
      </c>
      <c r="M132" s="41">
        <v>41851</v>
      </c>
      <c r="N132" s="40" t="s">
        <v>122</v>
      </c>
      <c r="O132" s="42">
        <v>42248</v>
      </c>
      <c r="P132" s="40">
        <v>47</v>
      </c>
      <c r="Q132" s="145">
        <v>86.75</v>
      </c>
      <c r="R132" s="145">
        <v>84.83</v>
      </c>
      <c r="S132" s="145">
        <v>84.42</v>
      </c>
      <c r="T132" s="145">
        <v>83.79</v>
      </c>
      <c r="U132" s="145">
        <v>85.58</v>
      </c>
    </row>
    <row r="133" spans="1:21" x14ac:dyDescent="0.2">
      <c r="A133" s="89">
        <f t="shared" si="1"/>
        <v>125</v>
      </c>
      <c r="B133" s="43">
        <v>4</v>
      </c>
      <c r="C133" s="43">
        <v>14</v>
      </c>
      <c r="D133" s="38" t="s">
        <v>869</v>
      </c>
      <c r="E133" s="44" t="s">
        <v>161</v>
      </c>
      <c r="F133" s="44" t="s">
        <v>6</v>
      </c>
      <c r="G133" s="44" t="s">
        <v>120</v>
      </c>
      <c r="H133" s="44" t="s">
        <v>48</v>
      </c>
      <c r="I133" s="44" t="s">
        <v>48</v>
      </c>
      <c r="J133" s="44" t="s">
        <v>7</v>
      </c>
      <c r="K133" s="44" t="s">
        <v>140</v>
      </c>
      <c r="L133" s="40">
        <v>19453</v>
      </c>
      <c r="M133" s="41">
        <v>41851</v>
      </c>
      <c r="N133" s="40" t="s">
        <v>122</v>
      </c>
      <c r="O133" s="42">
        <v>42248</v>
      </c>
      <c r="P133" s="40">
        <v>47</v>
      </c>
      <c r="Q133" s="145">
        <v>72.88</v>
      </c>
      <c r="R133" s="145">
        <v>71.14</v>
      </c>
      <c r="S133" s="145">
        <v>69.48</v>
      </c>
      <c r="T133" s="145">
        <v>69.67</v>
      </c>
      <c r="U133" s="145">
        <v>71.47</v>
      </c>
    </row>
    <row r="134" spans="1:21" x14ac:dyDescent="0.2">
      <c r="A134" s="89">
        <f t="shared" si="1"/>
        <v>126</v>
      </c>
      <c r="B134" s="43">
        <v>4</v>
      </c>
      <c r="C134" s="43">
        <v>15</v>
      </c>
      <c r="D134" s="38" t="s">
        <v>870</v>
      </c>
      <c r="E134" s="44" t="s">
        <v>163</v>
      </c>
      <c r="F134" s="44" t="s">
        <v>20</v>
      </c>
      <c r="G134" s="44" t="s">
        <v>120</v>
      </c>
      <c r="H134" s="44" t="s">
        <v>23</v>
      </c>
      <c r="I134" s="44" t="s">
        <v>164</v>
      </c>
      <c r="J134" s="44" t="s">
        <v>24</v>
      </c>
      <c r="K134" s="44" t="s">
        <v>140</v>
      </c>
      <c r="L134" s="40">
        <v>19454</v>
      </c>
      <c r="M134" s="41">
        <v>41851</v>
      </c>
      <c r="N134" s="40" t="s">
        <v>122</v>
      </c>
      <c r="O134" s="42">
        <v>42248</v>
      </c>
      <c r="P134" s="40">
        <v>47</v>
      </c>
      <c r="Q134" s="145">
        <v>61.47</v>
      </c>
      <c r="R134" s="145">
        <v>59.46</v>
      </c>
      <c r="S134" s="145">
        <v>57.72</v>
      </c>
      <c r="T134" s="145">
        <v>57.88</v>
      </c>
      <c r="U134" s="145">
        <v>59.59</v>
      </c>
    </row>
    <row r="135" spans="1:21" x14ac:dyDescent="0.2">
      <c r="A135" s="89">
        <f t="shared" si="1"/>
        <v>127</v>
      </c>
      <c r="B135" s="43">
        <v>4</v>
      </c>
      <c r="C135" s="43">
        <v>16</v>
      </c>
      <c r="D135" s="38" t="s">
        <v>871</v>
      </c>
      <c r="E135" s="44" t="s">
        <v>166</v>
      </c>
      <c r="F135" s="44" t="s">
        <v>20</v>
      </c>
      <c r="G135" s="44" t="s">
        <v>120</v>
      </c>
      <c r="H135" s="44" t="s">
        <v>64</v>
      </c>
      <c r="I135" s="44" t="s">
        <v>167</v>
      </c>
      <c r="J135" s="44" t="s">
        <v>7</v>
      </c>
      <c r="K135" s="44" t="s">
        <v>140</v>
      </c>
      <c r="L135" s="40">
        <v>19455</v>
      </c>
      <c r="M135" s="41">
        <v>41851</v>
      </c>
      <c r="N135" s="40" t="s">
        <v>122</v>
      </c>
      <c r="O135" s="42">
        <v>42248</v>
      </c>
      <c r="P135" s="40">
        <v>47</v>
      </c>
      <c r="Q135" s="145">
        <v>81.62</v>
      </c>
      <c r="R135" s="145">
        <v>78.489999999999995</v>
      </c>
      <c r="S135" s="145">
        <v>72.84</v>
      </c>
      <c r="T135" s="145">
        <v>71.44</v>
      </c>
      <c r="U135" s="145">
        <v>72.03</v>
      </c>
    </row>
    <row r="136" spans="1:21" x14ac:dyDescent="0.2">
      <c r="A136" s="89">
        <f t="shared" si="1"/>
        <v>128</v>
      </c>
      <c r="B136" s="43">
        <v>4</v>
      </c>
      <c r="C136" s="43">
        <v>17</v>
      </c>
      <c r="D136" s="38" t="s">
        <v>872</v>
      </c>
      <c r="E136" s="44" t="s">
        <v>169</v>
      </c>
      <c r="F136" s="44" t="s">
        <v>31</v>
      </c>
      <c r="G136" s="44" t="s">
        <v>120</v>
      </c>
      <c r="H136" s="44" t="s">
        <v>35</v>
      </c>
      <c r="I136" s="44" t="s">
        <v>35</v>
      </c>
      <c r="J136" s="44" t="s">
        <v>9</v>
      </c>
      <c r="K136" s="44" t="s">
        <v>135</v>
      </c>
      <c r="L136" s="40">
        <v>19456</v>
      </c>
      <c r="M136" s="41">
        <v>41851</v>
      </c>
      <c r="N136" s="40" t="s">
        <v>122</v>
      </c>
      <c r="O136" s="42">
        <v>42248</v>
      </c>
      <c r="P136" s="40">
        <v>47</v>
      </c>
      <c r="Q136" s="145">
        <v>93.82</v>
      </c>
      <c r="R136" s="145">
        <v>91.15</v>
      </c>
      <c r="S136" s="145">
        <v>90.98</v>
      </c>
      <c r="T136" s="145">
        <v>90.44</v>
      </c>
      <c r="U136" s="145">
        <v>92.74</v>
      </c>
    </row>
    <row r="137" spans="1:21" x14ac:dyDescent="0.2">
      <c r="A137" s="89">
        <f t="shared" si="1"/>
        <v>129</v>
      </c>
      <c r="B137" s="43">
        <v>4</v>
      </c>
      <c r="C137" s="43">
        <v>18</v>
      </c>
      <c r="D137" s="38" t="s">
        <v>873</v>
      </c>
      <c r="E137" s="44" t="s">
        <v>171</v>
      </c>
      <c r="F137" s="44" t="s">
        <v>31</v>
      </c>
      <c r="G137" s="44" t="s">
        <v>120</v>
      </c>
      <c r="H137" s="44" t="s">
        <v>35</v>
      </c>
      <c r="I137" s="44" t="s">
        <v>35</v>
      </c>
      <c r="J137" s="44" t="s">
        <v>10</v>
      </c>
      <c r="K137" s="44" t="s">
        <v>132</v>
      </c>
      <c r="L137" s="40">
        <v>19457</v>
      </c>
      <c r="M137" s="41">
        <v>41851</v>
      </c>
      <c r="N137" s="40" t="s">
        <v>122</v>
      </c>
      <c r="O137" s="42">
        <v>42248</v>
      </c>
      <c r="P137" s="40">
        <v>47</v>
      </c>
      <c r="Q137" s="145">
        <v>99.02</v>
      </c>
      <c r="R137" s="145">
        <v>94.08</v>
      </c>
      <c r="S137" s="145">
        <v>94.57</v>
      </c>
      <c r="T137" s="145">
        <v>93.37</v>
      </c>
      <c r="U137" s="145">
        <v>95.66</v>
      </c>
    </row>
    <row r="138" spans="1:21" x14ac:dyDescent="0.2">
      <c r="A138" s="89">
        <f t="shared" si="1"/>
        <v>130</v>
      </c>
      <c r="B138" s="43">
        <v>4</v>
      </c>
      <c r="C138" s="43">
        <v>19</v>
      </c>
      <c r="D138" s="38" t="s">
        <v>874</v>
      </c>
      <c r="E138" s="44" t="s">
        <v>173</v>
      </c>
      <c r="F138" s="44" t="s">
        <v>31</v>
      </c>
      <c r="G138" s="44" t="s">
        <v>120</v>
      </c>
      <c r="H138" s="44" t="s">
        <v>35</v>
      </c>
      <c r="I138" s="44" t="s">
        <v>35</v>
      </c>
      <c r="J138" s="44" t="s">
        <v>11</v>
      </c>
      <c r="K138" s="44" t="s">
        <v>129</v>
      </c>
      <c r="L138" s="40">
        <v>19458</v>
      </c>
      <c r="M138" s="41">
        <v>41851</v>
      </c>
      <c r="N138" s="40" t="s">
        <v>122</v>
      </c>
      <c r="O138" s="42">
        <v>42248</v>
      </c>
      <c r="P138" s="40">
        <v>47</v>
      </c>
      <c r="Q138" s="145">
        <v>93.81</v>
      </c>
      <c r="R138" s="145">
        <v>91.73</v>
      </c>
      <c r="S138" s="145">
        <v>91.4</v>
      </c>
      <c r="T138" s="145">
        <v>90.95</v>
      </c>
      <c r="U138" s="145">
        <v>93.19</v>
      </c>
    </row>
    <row r="139" spans="1:21" x14ac:dyDescent="0.2">
      <c r="A139" s="89">
        <f t="shared" ref="A139:A202" si="2">A138+1</f>
        <v>131</v>
      </c>
      <c r="B139" s="43">
        <v>4</v>
      </c>
      <c r="C139" s="43">
        <v>20</v>
      </c>
      <c r="D139" s="38" t="s">
        <v>875</v>
      </c>
      <c r="E139" s="44" t="s">
        <v>175</v>
      </c>
      <c r="F139" s="44" t="s">
        <v>6</v>
      </c>
      <c r="G139" s="44" t="s">
        <v>120</v>
      </c>
      <c r="H139" s="44" t="s">
        <v>176</v>
      </c>
      <c r="I139" s="44" t="s">
        <v>177</v>
      </c>
      <c r="J139" s="44" t="s">
        <v>9</v>
      </c>
      <c r="K139" s="44" t="s">
        <v>135</v>
      </c>
      <c r="L139" s="40">
        <v>19460</v>
      </c>
      <c r="M139" s="41">
        <v>41851</v>
      </c>
      <c r="N139" s="40" t="s">
        <v>122</v>
      </c>
      <c r="O139" s="42">
        <v>42248</v>
      </c>
      <c r="P139" s="40">
        <v>47</v>
      </c>
      <c r="Q139" s="145">
        <v>74.42</v>
      </c>
      <c r="R139" s="145">
        <v>72.94</v>
      </c>
      <c r="S139" s="145">
        <v>71.98</v>
      </c>
      <c r="T139" s="145">
        <v>71.52</v>
      </c>
      <c r="U139" s="145">
        <v>72.849999999999994</v>
      </c>
    </row>
    <row r="140" spans="1:21" x14ac:dyDescent="0.2">
      <c r="A140" s="89">
        <f t="shared" si="2"/>
        <v>132</v>
      </c>
      <c r="B140" s="43">
        <v>4</v>
      </c>
      <c r="C140" s="43">
        <v>21</v>
      </c>
      <c r="D140" s="38" t="s">
        <v>876</v>
      </c>
      <c r="E140" s="44" t="s">
        <v>179</v>
      </c>
      <c r="F140" s="44" t="s">
        <v>6</v>
      </c>
      <c r="G140" s="44" t="s">
        <v>120</v>
      </c>
      <c r="H140" s="44" t="s">
        <v>176</v>
      </c>
      <c r="I140" s="44" t="s">
        <v>177</v>
      </c>
      <c r="J140" s="44" t="s">
        <v>10</v>
      </c>
      <c r="K140" s="44" t="s">
        <v>132</v>
      </c>
      <c r="L140" s="40">
        <v>19459</v>
      </c>
      <c r="M140" s="41">
        <v>41851</v>
      </c>
      <c r="N140" s="40" t="s">
        <v>122</v>
      </c>
      <c r="O140" s="42">
        <v>42248</v>
      </c>
      <c r="P140" s="40">
        <v>47</v>
      </c>
      <c r="Q140" s="145">
        <v>75.36</v>
      </c>
      <c r="R140" s="145">
        <v>74.010000000000005</v>
      </c>
      <c r="S140" s="145">
        <v>73</v>
      </c>
      <c r="T140" s="145">
        <v>72.61</v>
      </c>
      <c r="U140" s="145">
        <v>73.97</v>
      </c>
    </row>
    <row r="141" spans="1:21" x14ac:dyDescent="0.2">
      <c r="A141" s="89">
        <f t="shared" si="2"/>
        <v>133</v>
      </c>
      <c r="B141" s="43">
        <v>4</v>
      </c>
      <c r="C141" s="43">
        <v>22</v>
      </c>
      <c r="D141" s="38" t="s">
        <v>877</v>
      </c>
      <c r="E141" s="44" t="s">
        <v>181</v>
      </c>
      <c r="F141" s="44" t="s">
        <v>6</v>
      </c>
      <c r="G141" s="44" t="s">
        <v>120</v>
      </c>
      <c r="H141" s="44" t="s">
        <v>176</v>
      </c>
      <c r="I141" s="44" t="s">
        <v>177</v>
      </c>
      <c r="J141" s="44" t="s">
        <v>11</v>
      </c>
      <c r="K141" s="44" t="s">
        <v>129</v>
      </c>
      <c r="L141" s="40">
        <v>19461</v>
      </c>
      <c r="M141" s="41">
        <v>41851</v>
      </c>
      <c r="N141" s="40" t="s">
        <v>122</v>
      </c>
      <c r="O141" s="42">
        <v>42248</v>
      </c>
      <c r="P141" s="40">
        <v>47</v>
      </c>
      <c r="Q141" s="145">
        <v>72.84</v>
      </c>
      <c r="R141" s="145">
        <v>72.989999999999995</v>
      </c>
      <c r="S141" s="145">
        <v>71.53</v>
      </c>
      <c r="T141" s="145">
        <v>71.56</v>
      </c>
      <c r="U141" s="145">
        <v>72.900000000000006</v>
      </c>
    </row>
    <row r="142" spans="1:21" x14ac:dyDescent="0.2">
      <c r="A142" s="89">
        <f t="shared" si="2"/>
        <v>134</v>
      </c>
      <c r="B142" s="43">
        <v>4</v>
      </c>
      <c r="C142" s="43">
        <v>23</v>
      </c>
      <c r="D142" s="38" t="s">
        <v>878</v>
      </c>
      <c r="E142" s="44" t="s">
        <v>183</v>
      </c>
      <c r="F142" s="44" t="s">
        <v>6</v>
      </c>
      <c r="G142" s="44" t="s">
        <v>120</v>
      </c>
      <c r="H142" s="44" t="s">
        <v>13</v>
      </c>
      <c r="I142" s="44" t="s">
        <v>13</v>
      </c>
      <c r="J142" s="44" t="s">
        <v>7</v>
      </c>
      <c r="K142" s="44" t="s">
        <v>140</v>
      </c>
      <c r="L142" s="40">
        <v>19462</v>
      </c>
      <c r="M142" s="41">
        <v>41851</v>
      </c>
      <c r="N142" s="40" t="s">
        <v>122</v>
      </c>
      <c r="O142" s="42">
        <v>42248</v>
      </c>
      <c r="P142" s="40">
        <v>47</v>
      </c>
      <c r="Q142" s="145">
        <v>79.73</v>
      </c>
      <c r="R142" s="145">
        <v>77.02</v>
      </c>
      <c r="S142" s="145">
        <v>76.540000000000006</v>
      </c>
      <c r="T142" s="145">
        <v>75.8</v>
      </c>
      <c r="U142" s="145">
        <v>77.5</v>
      </c>
    </row>
    <row r="143" spans="1:21" x14ac:dyDescent="0.2">
      <c r="A143" s="89">
        <f t="shared" si="2"/>
        <v>135</v>
      </c>
      <c r="B143" s="43">
        <v>4</v>
      </c>
      <c r="C143" s="43">
        <v>24</v>
      </c>
      <c r="D143" s="38" t="s">
        <v>879</v>
      </c>
      <c r="E143" s="44" t="s">
        <v>185</v>
      </c>
      <c r="F143" s="44" t="s">
        <v>6</v>
      </c>
      <c r="G143" s="44" t="s">
        <v>120</v>
      </c>
      <c r="H143" s="44" t="s">
        <v>12</v>
      </c>
      <c r="I143" s="44" t="s">
        <v>186</v>
      </c>
      <c r="J143" s="44" t="s">
        <v>9</v>
      </c>
      <c r="K143" s="44" t="s">
        <v>135</v>
      </c>
      <c r="L143" s="40">
        <v>19463</v>
      </c>
      <c r="M143" s="41">
        <v>41851</v>
      </c>
      <c r="N143" s="40" t="s">
        <v>122</v>
      </c>
      <c r="O143" s="42">
        <v>42248</v>
      </c>
      <c r="P143" s="40">
        <v>47</v>
      </c>
      <c r="Q143" s="145">
        <v>73.55</v>
      </c>
      <c r="R143" s="145">
        <v>72.67</v>
      </c>
      <c r="S143" s="145">
        <v>71.540000000000006</v>
      </c>
      <c r="T143" s="145">
        <v>71.28</v>
      </c>
      <c r="U143" s="145">
        <v>72.459999999999994</v>
      </c>
    </row>
    <row r="144" spans="1:21" x14ac:dyDescent="0.2">
      <c r="A144" s="89">
        <f t="shared" si="2"/>
        <v>136</v>
      </c>
      <c r="B144" s="43">
        <v>4</v>
      </c>
      <c r="C144" s="43">
        <v>25</v>
      </c>
      <c r="D144" s="38" t="s">
        <v>880</v>
      </c>
      <c r="E144" s="44" t="s">
        <v>188</v>
      </c>
      <c r="F144" s="44" t="s">
        <v>6</v>
      </c>
      <c r="G144" s="44" t="s">
        <v>120</v>
      </c>
      <c r="H144" s="44" t="s">
        <v>12</v>
      </c>
      <c r="I144" s="44" t="s">
        <v>186</v>
      </c>
      <c r="J144" s="44" t="s">
        <v>10</v>
      </c>
      <c r="K144" s="44" t="s">
        <v>132</v>
      </c>
      <c r="L144" s="40">
        <v>19464</v>
      </c>
      <c r="M144" s="41">
        <v>41851</v>
      </c>
      <c r="N144" s="40" t="s">
        <v>122</v>
      </c>
      <c r="O144" s="42">
        <v>42248</v>
      </c>
      <c r="P144" s="40">
        <v>47</v>
      </c>
      <c r="Q144" s="145">
        <v>74.33</v>
      </c>
      <c r="R144" s="145">
        <v>73.849999999999994</v>
      </c>
      <c r="S144" s="145">
        <v>72.59</v>
      </c>
      <c r="T144" s="145">
        <v>72.48</v>
      </c>
      <c r="U144" s="145">
        <v>73.67</v>
      </c>
    </row>
    <row r="145" spans="1:21" x14ac:dyDescent="0.2">
      <c r="A145" s="89">
        <f t="shared" si="2"/>
        <v>137</v>
      </c>
      <c r="B145" s="43">
        <v>4</v>
      </c>
      <c r="C145" s="43">
        <v>26</v>
      </c>
      <c r="D145" s="38" t="s">
        <v>881</v>
      </c>
      <c r="E145" s="44" t="s">
        <v>190</v>
      </c>
      <c r="F145" s="44" t="s">
        <v>6</v>
      </c>
      <c r="G145" s="44" t="s">
        <v>120</v>
      </c>
      <c r="H145" s="44" t="s">
        <v>12</v>
      </c>
      <c r="I145" s="44" t="s">
        <v>186</v>
      </c>
      <c r="J145" s="44" t="s">
        <v>11</v>
      </c>
      <c r="K145" s="44" t="s">
        <v>129</v>
      </c>
      <c r="L145" s="40">
        <v>19465</v>
      </c>
      <c r="M145" s="41">
        <v>41851</v>
      </c>
      <c r="N145" s="40" t="s">
        <v>122</v>
      </c>
      <c r="O145" s="42">
        <v>42248</v>
      </c>
      <c r="P145" s="40">
        <v>47</v>
      </c>
      <c r="Q145" s="145">
        <v>71.739999999999995</v>
      </c>
      <c r="R145" s="145">
        <v>73.290000000000006</v>
      </c>
      <c r="S145" s="145">
        <v>71.39</v>
      </c>
      <c r="T145" s="145">
        <v>71.900000000000006</v>
      </c>
      <c r="U145" s="145">
        <v>73.08</v>
      </c>
    </row>
    <row r="146" spans="1:21" x14ac:dyDescent="0.2">
      <c r="A146" s="89">
        <f t="shared" si="2"/>
        <v>138</v>
      </c>
      <c r="B146" s="43">
        <v>4</v>
      </c>
      <c r="C146" s="43">
        <v>27</v>
      </c>
      <c r="D146" s="38" t="s">
        <v>882</v>
      </c>
      <c r="E146" s="44" t="s">
        <v>192</v>
      </c>
      <c r="F146" s="44" t="s">
        <v>6</v>
      </c>
      <c r="G146" s="44" t="s">
        <v>120</v>
      </c>
      <c r="H146" s="44" t="s">
        <v>100</v>
      </c>
      <c r="I146" s="44" t="s">
        <v>193</v>
      </c>
      <c r="J146" s="44" t="s">
        <v>7</v>
      </c>
      <c r="K146" s="44" t="s">
        <v>140</v>
      </c>
      <c r="L146" s="40">
        <v>19466</v>
      </c>
      <c r="M146" s="41">
        <v>41851</v>
      </c>
      <c r="N146" s="40" t="s">
        <v>122</v>
      </c>
      <c r="O146" s="42">
        <v>42248</v>
      </c>
      <c r="P146" s="40">
        <v>47</v>
      </c>
      <c r="Q146" s="145">
        <v>84.75</v>
      </c>
      <c r="R146" s="145">
        <v>83.92</v>
      </c>
      <c r="S146" s="145">
        <v>77.52</v>
      </c>
      <c r="T146" s="145">
        <v>76.92</v>
      </c>
      <c r="U146" s="145">
        <v>77.44</v>
      </c>
    </row>
    <row r="147" spans="1:21" x14ac:dyDescent="0.2">
      <c r="A147" s="89">
        <f t="shared" si="2"/>
        <v>139</v>
      </c>
      <c r="B147" s="43">
        <v>4</v>
      </c>
      <c r="C147" s="43">
        <v>28</v>
      </c>
      <c r="D147" s="38" t="s">
        <v>883</v>
      </c>
      <c r="E147" s="44" t="s">
        <v>195</v>
      </c>
      <c r="F147" s="44" t="s">
        <v>39</v>
      </c>
      <c r="G147" s="44" t="s">
        <v>120</v>
      </c>
      <c r="H147" s="44" t="s">
        <v>44</v>
      </c>
      <c r="I147" s="44" t="s">
        <v>44</v>
      </c>
      <c r="J147" s="44" t="s">
        <v>7</v>
      </c>
      <c r="K147" s="44" t="s">
        <v>140</v>
      </c>
      <c r="L147" s="40">
        <v>19467</v>
      </c>
      <c r="M147" s="41">
        <v>41851</v>
      </c>
      <c r="N147" s="40" t="s">
        <v>122</v>
      </c>
      <c r="O147" s="42">
        <v>42248</v>
      </c>
      <c r="P147" s="40">
        <v>47</v>
      </c>
      <c r="Q147" s="145">
        <v>82.35</v>
      </c>
      <c r="R147" s="145">
        <v>81.59</v>
      </c>
      <c r="S147" s="145">
        <v>80.510000000000005</v>
      </c>
      <c r="T147" s="145">
        <v>80.430000000000007</v>
      </c>
      <c r="U147" s="145">
        <v>82.11</v>
      </c>
    </row>
    <row r="148" spans="1:21" x14ac:dyDescent="0.2">
      <c r="A148" s="89">
        <f t="shared" si="2"/>
        <v>140</v>
      </c>
      <c r="B148" s="43">
        <v>4</v>
      </c>
      <c r="C148" s="43">
        <v>29</v>
      </c>
      <c r="D148" s="38" t="s">
        <v>884</v>
      </c>
      <c r="E148" s="44" t="s">
        <v>197</v>
      </c>
      <c r="F148" s="44" t="s">
        <v>39</v>
      </c>
      <c r="G148" s="44" t="s">
        <v>120</v>
      </c>
      <c r="H148" s="44" t="s">
        <v>44</v>
      </c>
      <c r="I148" s="44" t="s">
        <v>44</v>
      </c>
      <c r="J148" s="44" t="s">
        <v>45</v>
      </c>
      <c r="K148" s="44" t="s">
        <v>198</v>
      </c>
      <c r="L148" s="40">
        <v>19468</v>
      </c>
      <c r="M148" s="41">
        <v>41851</v>
      </c>
      <c r="N148" s="40" t="s">
        <v>122</v>
      </c>
      <c r="O148" s="42">
        <v>42248</v>
      </c>
      <c r="P148" s="40">
        <v>47</v>
      </c>
      <c r="Q148" s="145">
        <v>81.569999999999993</v>
      </c>
      <c r="R148" s="145">
        <v>79.489999999999995</v>
      </c>
      <c r="S148" s="145">
        <v>78.84</v>
      </c>
      <c r="T148" s="145">
        <v>78.33</v>
      </c>
      <c r="U148" s="145">
        <v>79.989999999999995</v>
      </c>
    </row>
    <row r="149" spans="1:21" x14ac:dyDescent="0.2">
      <c r="A149" s="89">
        <f t="shared" si="2"/>
        <v>141</v>
      </c>
      <c r="B149" s="43">
        <v>4</v>
      </c>
      <c r="C149" s="43">
        <v>30</v>
      </c>
      <c r="D149" s="38" t="s">
        <v>885</v>
      </c>
      <c r="E149" s="44" t="s">
        <v>200</v>
      </c>
      <c r="F149" s="44" t="s">
        <v>39</v>
      </c>
      <c r="G149" s="44" t="s">
        <v>120</v>
      </c>
      <c r="H149" s="44" t="s">
        <v>44</v>
      </c>
      <c r="I149" s="44" t="s">
        <v>44</v>
      </c>
      <c r="J149" s="44" t="s">
        <v>46</v>
      </c>
      <c r="K149" s="44" t="s">
        <v>46</v>
      </c>
      <c r="L149" s="40">
        <v>19469</v>
      </c>
      <c r="M149" s="41">
        <v>41851</v>
      </c>
      <c r="N149" s="40" t="s">
        <v>122</v>
      </c>
      <c r="O149" s="42">
        <v>42248</v>
      </c>
      <c r="P149" s="40">
        <v>47</v>
      </c>
      <c r="Q149" s="145">
        <v>79.650000000000006</v>
      </c>
      <c r="R149" s="145">
        <v>78.84</v>
      </c>
      <c r="S149" s="145">
        <v>77.77</v>
      </c>
      <c r="T149" s="145">
        <v>77.599999999999994</v>
      </c>
      <c r="U149" s="145">
        <v>79.28</v>
      </c>
    </row>
    <row r="150" spans="1:21" x14ac:dyDescent="0.2">
      <c r="A150" s="89">
        <f t="shared" si="2"/>
        <v>142</v>
      </c>
      <c r="B150" s="43">
        <v>4</v>
      </c>
      <c r="C150" s="43">
        <v>31</v>
      </c>
      <c r="D150" s="38" t="s">
        <v>886</v>
      </c>
      <c r="E150" s="44" t="s">
        <v>202</v>
      </c>
      <c r="F150" s="44" t="s">
        <v>39</v>
      </c>
      <c r="G150" s="44" t="s">
        <v>120</v>
      </c>
      <c r="H150" s="44" t="s">
        <v>47</v>
      </c>
      <c r="I150" s="44" t="s">
        <v>47</v>
      </c>
      <c r="J150" s="44" t="s">
        <v>7</v>
      </c>
      <c r="K150" s="44" t="s">
        <v>140</v>
      </c>
      <c r="L150" s="40">
        <v>19470</v>
      </c>
      <c r="M150" s="41">
        <v>41851</v>
      </c>
      <c r="N150" s="40" t="s">
        <v>122</v>
      </c>
      <c r="O150" s="42">
        <v>42248</v>
      </c>
      <c r="P150" s="40">
        <v>47</v>
      </c>
      <c r="Q150" s="145">
        <v>74.62</v>
      </c>
      <c r="R150" s="145">
        <v>71.010000000000005</v>
      </c>
      <c r="S150" s="145">
        <v>69.73</v>
      </c>
      <c r="T150" s="145">
        <v>69.47</v>
      </c>
      <c r="U150" s="145">
        <v>71.62</v>
      </c>
    </row>
    <row r="151" spans="1:21" x14ac:dyDescent="0.2">
      <c r="A151" s="89">
        <f t="shared" si="2"/>
        <v>143</v>
      </c>
      <c r="B151" s="43">
        <v>4</v>
      </c>
      <c r="C151" s="43">
        <v>32</v>
      </c>
      <c r="D151" s="38" t="s">
        <v>887</v>
      </c>
      <c r="E151" s="44" t="s">
        <v>204</v>
      </c>
      <c r="F151" s="44" t="s">
        <v>6</v>
      </c>
      <c r="G151" s="44" t="s">
        <v>120</v>
      </c>
      <c r="H151" s="44" t="s">
        <v>14</v>
      </c>
      <c r="I151" s="44" t="s">
        <v>14</v>
      </c>
      <c r="J151" s="44" t="s">
        <v>15</v>
      </c>
      <c r="K151" s="44" t="s">
        <v>129</v>
      </c>
      <c r="L151" s="40">
        <v>19471</v>
      </c>
      <c r="M151" s="41">
        <v>41851</v>
      </c>
      <c r="N151" s="40" t="s">
        <v>122</v>
      </c>
      <c r="O151" s="42">
        <v>42248</v>
      </c>
      <c r="P151" s="40">
        <v>47</v>
      </c>
      <c r="Q151" s="145">
        <v>80.680000000000007</v>
      </c>
      <c r="R151" s="145">
        <v>79.47</v>
      </c>
      <c r="S151" s="145">
        <v>78.59</v>
      </c>
      <c r="T151" s="145">
        <v>78.06</v>
      </c>
      <c r="U151" s="145">
        <v>79.290000000000006</v>
      </c>
    </row>
    <row r="152" spans="1:21" x14ac:dyDescent="0.2">
      <c r="A152" s="89">
        <f t="shared" si="2"/>
        <v>144</v>
      </c>
      <c r="B152" s="43">
        <v>4</v>
      </c>
      <c r="C152" s="43">
        <v>33</v>
      </c>
      <c r="D152" s="38" t="s">
        <v>888</v>
      </c>
      <c r="E152" s="44" t="s">
        <v>206</v>
      </c>
      <c r="F152" s="44" t="s">
        <v>6</v>
      </c>
      <c r="G152" s="44" t="s">
        <v>120</v>
      </c>
      <c r="H152" s="44" t="s">
        <v>14</v>
      </c>
      <c r="I152" s="44" t="s">
        <v>14</v>
      </c>
      <c r="J152" s="44" t="s">
        <v>16</v>
      </c>
      <c r="K152" s="44" t="s">
        <v>135</v>
      </c>
      <c r="L152" s="40">
        <v>19472</v>
      </c>
      <c r="M152" s="41">
        <v>41851</v>
      </c>
      <c r="N152" s="40" t="s">
        <v>122</v>
      </c>
      <c r="O152" s="42">
        <v>42248</v>
      </c>
      <c r="P152" s="40">
        <v>47</v>
      </c>
      <c r="Q152" s="145">
        <v>82.66</v>
      </c>
      <c r="R152" s="145">
        <v>80.709999999999994</v>
      </c>
      <c r="S152" s="145">
        <v>80.08</v>
      </c>
      <c r="T152" s="145">
        <v>79.36</v>
      </c>
      <c r="U152" s="145">
        <v>80.650000000000006</v>
      </c>
    </row>
    <row r="153" spans="1:21" x14ac:dyDescent="0.2">
      <c r="A153" s="89">
        <f t="shared" si="2"/>
        <v>145</v>
      </c>
      <c r="B153" s="43">
        <v>4</v>
      </c>
      <c r="C153" s="43">
        <v>34</v>
      </c>
      <c r="D153" s="38" t="s">
        <v>889</v>
      </c>
      <c r="E153" s="44" t="s">
        <v>208</v>
      </c>
      <c r="F153" s="44" t="s">
        <v>31</v>
      </c>
      <c r="G153" s="44" t="s">
        <v>120</v>
      </c>
      <c r="H153" s="44" t="s">
        <v>36</v>
      </c>
      <c r="I153" s="44" t="s">
        <v>36</v>
      </c>
      <c r="J153" s="44" t="s">
        <v>37</v>
      </c>
      <c r="K153" s="44" t="s">
        <v>209</v>
      </c>
      <c r="L153" s="40">
        <v>19473</v>
      </c>
      <c r="M153" s="41">
        <v>41851</v>
      </c>
      <c r="N153" s="40" t="s">
        <v>122</v>
      </c>
      <c r="O153" s="42">
        <v>42248</v>
      </c>
      <c r="P153" s="40">
        <v>47</v>
      </c>
      <c r="Q153" s="145">
        <v>101.92</v>
      </c>
      <c r="R153" s="145">
        <v>100.87</v>
      </c>
      <c r="S153" s="145">
        <v>102.1</v>
      </c>
      <c r="T153" s="145">
        <v>102.27</v>
      </c>
      <c r="U153" s="145">
        <v>104.42</v>
      </c>
    </row>
    <row r="154" spans="1:21" x14ac:dyDescent="0.2">
      <c r="A154" s="89">
        <f t="shared" si="2"/>
        <v>146</v>
      </c>
      <c r="B154" s="43">
        <v>4</v>
      </c>
      <c r="C154" s="43">
        <v>35</v>
      </c>
      <c r="D154" s="38" t="s">
        <v>890</v>
      </c>
      <c r="E154" s="44" t="s">
        <v>211</v>
      </c>
      <c r="F154" s="44" t="s">
        <v>31</v>
      </c>
      <c r="G154" s="44" t="s">
        <v>120</v>
      </c>
      <c r="H154" s="44" t="s">
        <v>36</v>
      </c>
      <c r="I154" s="44" t="s">
        <v>36</v>
      </c>
      <c r="J154" s="44" t="s">
        <v>38</v>
      </c>
      <c r="K154" s="44" t="s">
        <v>212</v>
      </c>
      <c r="L154" s="40">
        <v>19474</v>
      </c>
      <c r="M154" s="41">
        <v>41851</v>
      </c>
      <c r="N154" s="40" t="s">
        <v>122</v>
      </c>
      <c r="O154" s="42">
        <v>42248</v>
      </c>
      <c r="P154" s="40">
        <v>47</v>
      </c>
      <c r="Q154" s="145">
        <v>100.9</v>
      </c>
      <c r="R154" s="145">
        <v>99.21</v>
      </c>
      <c r="S154" s="145">
        <v>100.69</v>
      </c>
      <c r="T154" s="145">
        <v>100.54</v>
      </c>
      <c r="U154" s="145">
        <v>102.65</v>
      </c>
    </row>
    <row r="155" spans="1:21" x14ac:dyDescent="0.2">
      <c r="A155" s="89">
        <f t="shared" si="2"/>
        <v>147</v>
      </c>
      <c r="B155" s="43">
        <v>4</v>
      </c>
      <c r="C155" s="43">
        <v>36</v>
      </c>
      <c r="D155" s="38" t="s">
        <v>891</v>
      </c>
      <c r="E155" s="44" t="s">
        <v>214</v>
      </c>
      <c r="F155" s="44" t="s">
        <v>6</v>
      </c>
      <c r="G155" s="44" t="s">
        <v>120</v>
      </c>
      <c r="H155" s="44" t="s">
        <v>17</v>
      </c>
      <c r="I155" s="44" t="s">
        <v>215</v>
      </c>
      <c r="J155" s="44" t="s">
        <v>18</v>
      </c>
      <c r="K155" s="44" t="s">
        <v>140</v>
      </c>
      <c r="L155" s="40">
        <v>19475</v>
      </c>
      <c r="M155" s="41">
        <v>41851</v>
      </c>
      <c r="N155" s="40" t="s">
        <v>122</v>
      </c>
      <c r="O155" s="42">
        <v>42248</v>
      </c>
      <c r="P155" s="40">
        <v>47</v>
      </c>
      <c r="Q155" s="145">
        <v>67.55</v>
      </c>
      <c r="R155" s="145">
        <v>66.66</v>
      </c>
      <c r="S155" s="145">
        <v>64.47</v>
      </c>
      <c r="T155" s="145">
        <v>64.97</v>
      </c>
      <c r="U155" s="145">
        <v>66.739999999999995</v>
      </c>
    </row>
    <row r="156" spans="1:21" x14ac:dyDescent="0.2">
      <c r="A156" s="89">
        <f t="shared" si="2"/>
        <v>148</v>
      </c>
      <c r="B156" s="20"/>
      <c r="C156" s="20"/>
      <c r="D156" s="20"/>
    </row>
    <row r="157" spans="1:21" x14ac:dyDescent="0.2">
      <c r="A157" s="89">
        <f t="shared" si="2"/>
        <v>149</v>
      </c>
      <c r="B157" s="43">
        <v>5</v>
      </c>
      <c r="C157" s="43">
        <v>1</v>
      </c>
      <c r="D157" s="38" t="s">
        <v>892</v>
      </c>
      <c r="E157" s="44" t="s">
        <v>119</v>
      </c>
      <c r="F157" s="44" t="s">
        <v>31</v>
      </c>
      <c r="G157" s="44" t="s">
        <v>120</v>
      </c>
      <c r="H157" s="44" t="s">
        <v>32</v>
      </c>
      <c r="I157" s="44" t="s">
        <v>32</v>
      </c>
      <c r="J157" s="44" t="s">
        <v>33</v>
      </c>
      <c r="K157" s="44" t="s">
        <v>121</v>
      </c>
      <c r="L157" s="40">
        <v>19440</v>
      </c>
      <c r="M157" s="41">
        <v>41851</v>
      </c>
      <c r="N157" s="40" t="s">
        <v>122</v>
      </c>
      <c r="O157" s="42">
        <v>42278</v>
      </c>
      <c r="P157" s="40">
        <v>48</v>
      </c>
      <c r="Q157" s="145">
        <v>101.47</v>
      </c>
      <c r="R157" s="145">
        <v>93.95</v>
      </c>
      <c r="S157" s="145">
        <v>95.02</v>
      </c>
      <c r="T157" s="145">
        <v>93.22</v>
      </c>
      <c r="U157" s="145">
        <v>95.61</v>
      </c>
    </row>
    <row r="158" spans="1:21" x14ac:dyDescent="0.2">
      <c r="A158" s="89">
        <f t="shared" si="2"/>
        <v>150</v>
      </c>
      <c r="B158" s="43">
        <v>5</v>
      </c>
      <c r="C158" s="43">
        <v>2</v>
      </c>
      <c r="D158" s="38" t="s">
        <v>893</v>
      </c>
      <c r="E158" s="44" t="s">
        <v>124</v>
      </c>
      <c r="F158" s="44" t="s">
        <v>31</v>
      </c>
      <c r="G158" s="44" t="s">
        <v>120</v>
      </c>
      <c r="H158" s="44" t="s">
        <v>32</v>
      </c>
      <c r="I158" s="44" t="s">
        <v>32</v>
      </c>
      <c r="J158" s="44" t="s">
        <v>34</v>
      </c>
      <c r="K158" s="44" t="s">
        <v>125</v>
      </c>
      <c r="L158" s="40">
        <v>19441</v>
      </c>
      <c r="M158" s="41">
        <v>41851</v>
      </c>
      <c r="N158" s="40" t="s">
        <v>122</v>
      </c>
      <c r="O158" s="42">
        <v>42278</v>
      </c>
      <c r="P158" s="40">
        <v>48</v>
      </c>
      <c r="Q158" s="145">
        <v>99.13</v>
      </c>
      <c r="R158" s="145">
        <v>93.23</v>
      </c>
      <c r="S158" s="145">
        <v>93.93</v>
      </c>
      <c r="T158" s="145">
        <v>92.44</v>
      </c>
      <c r="U158" s="145">
        <v>93.84</v>
      </c>
    </row>
    <row r="159" spans="1:21" x14ac:dyDescent="0.2">
      <c r="A159" s="89">
        <f t="shared" si="2"/>
        <v>151</v>
      </c>
      <c r="B159" s="43">
        <v>5</v>
      </c>
      <c r="C159" s="43">
        <v>3</v>
      </c>
      <c r="D159" s="38" t="s">
        <v>894</v>
      </c>
      <c r="E159" s="44" t="s">
        <v>127</v>
      </c>
      <c r="F159" s="44" t="s">
        <v>20</v>
      </c>
      <c r="G159" s="44" t="s">
        <v>120</v>
      </c>
      <c r="H159" s="44" t="s">
        <v>63</v>
      </c>
      <c r="I159" s="44" t="s">
        <v>128</v>
      </c>
      <c r="J159" s="44" t="s">
        <v>15</v>
      </c>
      <c r="K159" s="44" t="s">
        <v>129</v>
      </c>
      <c r="L159" s="40">
        <v>19442</v>
      </c>
      <c r="M159" s="41">
        <v>41851</v>
      </c>
      <c r="N159" s="40" t="s">
        <v>122</v>
      </c>
      <c r="O159" s="42">
        <v>42278</v>
      </c>
      <c r="P159" s="40">
        <v>48</v>
      </c>
      <c r="Q159" s="145">
        <v>71.95</v>
      </c>
      <c r="R159" s="145">
        <v>68.58</v>
      </c>
      <c r="S159" s="145">
        <v>67.56</v>
      </c>
      <c r="T159" s="145">
        <v>66.75</v>
      </c>
      <c r="U159" s="145">
        <v>66.92</v>
      </c>
    </row>
    <row r="160" spans="1:21" x14ac:dyDescent="0.2">
      <c r="A160" s="89">
        <f t="shared" si="2"/>
        <v>152</v>
      </c>
      <c r="B160" s="43">
        <v>5</v>
      </c>
      <c r="C160" s="43">
        <v>4</v>
      </c>
      <c r="D160" s="38" t="s">
        <v>895</v>
      </c>
      <c r="E160" s="44" t="s">
        <v>131</v>
      </c>
      <c r="F160" s="44" t="s">
        <v>20</v>
      </c>
      <c r="G160" s="44" t="s">
        <v>120</v>
      </c>
      <c r="H160" s="44" t="s">
        <v>63</v>
      </c>
      <c r="I160" s="44" t="s">
        <v>128</v>
      </c>
      <c r="J160" s="44" t="s">
        <v>21</v>
      </c>
      <c r="K160" s="44" t="s">
        <v>132</v>
      </c>
      <c r="L160" s="40">
        <v>19443</v>
      </c>
      <c r="M160" s="41">
        <v>41851</v>
      </c>
      <c r="N160" s="40" t="s">
        <v>122</v>
      </c>
      <c r="O160" s="42">
        <v>42278</v>
      </c>
      <c r="P160" s="40">
        <v>48</v>
      </c>
      <c r="Q160" s="145">
        <v>74.84</v>
      </c>
      <c r="R160" s="145">
        <v>70.52</v>
      </c>
      <c r="S160" s="145">
        <v>69.69</v>
      </c>
      <c r="T160" s="145">
        <v>68.709999999999994</v>
      </c>
      <c r="U160" s="145">
        <v>68.91</v>
      </c>
    </row>
    <row r="161" spans="1:21" x14ac:dyDescent="0.2">
      <c r="A161" s="89">
        <f t="shared" si="2"/>
        <v>153</v>
      </c>
      <c r="B161" s="43">
        <v>5</v>
      </c>
      <c r="C161" s="43">
        <v>5</v>
      </c>
      <c r="D161" s="38" t="s">
        <v>896</v>
      </c>
      <c r="E161" s="44" t="s">
        <v>134</v>
      </c>
      <c r="F161" s="44" t="s">
        <v>20</v>
      </c>
      <c r="G161" s="44" t="s">
        <v>120</v>
      </c>
      <c r="H161" s="44" t="s">
        <v>63</v>
      </c>
      <c r="I161" s="44" t="s">
        <v>128</v>
      </c>
      <c r="J161" s="44" t="s">
        <v>16</v>
      </c>
      <c r="K161" s="44" t="s">
        <v>135</v>
      </c>
      <c r="L161" s="40">
        <v>19444</v>
      </c>
      <c r="M161" s="41">
        <v>41851</v>
      </c>
      <c r="N161" s="40" t="s">
        <v>122</v>
      </c>
      <c r="O161" s="42">
        <v>42278</v>
      </c>
      <c r="P161" s="40">
        <v>48</v>
      </c>
      <c r="Q161" s="145">
        <v>74.92</v>
      </c>
      <c r="R161" s="145">
        <v>69.540000000000006</v>
      </c>
      <c r="S161" s="145">
        <v>68.94</v>
      </c>
      <c r="T161" s="145">
        <v>67.69</v>
      </c>
      <c r="U161" s="145">
        <v>67.87</v>
      </c>
    </row>
    <row r="162" spans="1:21" x14ac:dyDescent="0.2">
      <c r="A162" s="89">
        <f t="shared" si="2"/>
        <v>154</v>
      </c>
      <c r="B162" s="43">
        <v>5</v>
      </c>
      <c r="C162" s="43">
        <v>6</v>
      </c>
      <c r="D162" s="38" t="s">
        <v>897</v>
      </c>
      <c r="E162" s="44" t="s">
        <v>137</v>
      </c>
      <c r="F162" s="44" t="s">
        <v>25</v>
      </c>
      <c r="G162" s="44" t="s">
        <v>138</v>
      </c>
      <c r="H162" s="44" t="s">
        <v>139</v>
      </c>
      <c r="I162" s="44" t="s">
        <v>29</v>
      </c>
      <c r="J162" s="44" t="s">
        <v>30</v>
      </c>
      <c r="K162" s="44" t="s">
        <v>140</v>
      </c>
      <c r="L162" s="40">
        <v>19445</v>
      </c>
      <c r="M162" s="41">
        <v>41851</v>
      </c>
      <c r="N162" s="40" t="s">
        <v>122</v>
      </c>
      <c r="O162" s="42">
        <v>42278</v>
      </c>
      <c r="P162" s="40">
        <v>48</v>
      </c>
      <c r="Q162" s="145">
        <v>57.2</v>
      </c>
      <c r="R162" s="145">
        <v>56.82</v>
      </c>
      <c r="S162" s="145">
        <v>57.44</v>
      </c>
      <c r="T162" s="145">
        <v>57.91</v>
      </c>
      <c r="U162" s="145">
        <v>59.18</v>
      </c>
    </row>
    <row r="163" spans="1:21" x14ac:dyDescent="0.2">
      <c r="A163" s="89">
        <f t="shared" si="2"/>
        <v>155</v>
      </c>
      <c r="B163" s="43">
        <v>5</v>
      </c>
      <c r="C163" s="43">
        <v>7</v>
      </c>
      <c r="D163" s="38" t="s">
        <v>898</v>
      </c>
      <c r="E163" s="44" t="s">
        <v>142</v>
      </c>
      <c r="F163" s="44" t="s">
        <v>39</v>
      </c>
      <c r="G163" s="44" t="s">
        <v>120</v>
      </c>
      <c r="H163" s="44" t="s">
        <v>40</v>
      </c>
      <c r="I163" s="44" t="s">
        <v>40</v>
      </c>
      <c r="J163" s="44" t="s">
        <v>42</v>
      </c>
      <c r="K163" s="44" t="s">
        <v>135</v>
      </c>
      <c r="L163" s="40">
        <v>19447</v>
      </c>
      <c r="M163" s="41">
        <v>41851</v>
      </c>
      <c r="N163" s="40" t="s">
        <v>122</v>
      </c>
      <c r="O163" s="42">
        <v>42278</v>
      </c>
      <c r="P163" s="40">
        <v>48</v>
      </c>
      <c r="Q163" s="145">
        <v>85.76</v>
      </c>
      <c r="R163" s="145">
        <v>81.44</v>
      </c>
      <c r="S163" s="145">
        <v>81.459999999999994</v>
      </c>
      <c r="T163" s="145">
        <v>80.39</v>
      </c>
      <c r="U163" s="145">
        <v>82.27</v>
      </c>
    </row>
    <row r="164" spans="1:21" x14ac:dyDescent="0.2">
      <c r="A164" s="89">
        <f t="shared" si="2"/>
        <v>156</v>
      </c>
      <c r="B164" s="43">
        <v>5</v>
      </c>
      <c r="C164" s="43">
        <v>8</v>
      </c>
      <c r="D164" s="38" t="s">
        <v>899</v>
      </c>
      <c r="E164" s="44" t="s">
        <v>144</v>
      </c>
      <c r="F164" s="44" t="s">
        <v>39</v>
      </c>
      <c r="G164" s="44" t="s">
        <v>120</v>
      </c>
      <c r="H164" s="44" t="s">
        <v>40</v>
      </c>
      <c r="I164" s="44" t="s">
        <v>40</v>
      </c>
      <c r="J164" s="44" t="s">
        <v>41</v>
      </c>
      <c r="K164" s="44" t="s">
        <v>132</v>
      </c>
      <c r="L164" s="40">
        <v>19446</v>
      </c>
      <c r="M164" s="41">
        <v>41851</v>
      </c>
      <c r="N164" s="40" t="s">
        <v>122</v>
      </c>
      <c r="O164" s="42">
        <v>42278</v>
      </c>
      <c r="P164" s="40">
        <v>48</v>
      </c>
      <c r="Q164" s="145">
        <v>85.68</v>
      </c>
      <c r="R164" s="145">
        <v>82.31</v>
      </c>
      <c r="S164" s="145">
        <v>82.06</v>
      </c>
      <c r="T164" s="145">
        <v>81.260000000000005</v>
      </c>
      <c r="U164" s="145">
        <v>83.21</v>
      </c>
    </row>
    <row r="165" spans="1:21" x14ac:dyDescent="0.2">
      <c r="A165" s="89">
        <f t="shared" si="2"/>
        <v>157</v>
      </c>
      <c r="B165" s="43">
        <v>5</v>
      </c>
      <c r="C165" s="43">
        <v>9</v>
      </c>
      <c r="D165" s="38" t="s">
        <v>900</v>
      </c>
      <c r="E165" s="44" t="s">
        <v>146</v>
      </c>
      <c r="F165" s="44" t="s">
        <v>39</v>
      </c>
      <c r="G165" s="44" t="s">
        <v>120</v>
      </c>
      <c r="H165" s="44" t="s">
        <v>40</v>
      </c>
      <c r="I165" s="44" t="s">
        <v>40</v>
      </c>
      <c r="J165" s="44" t="s">
        <v>7</v>
      </c>
      <c r="K165" s="44" t="s">
        <v>129</v>
      </c>
      <c r="L165" s="40">
        <v>19448</v>
      </c>
      <c r="M165" s="41">
        <v>41851</v>
      </c>
      <c r="N165" s="40" t="s">
        <v>122</v>
      </c>
      <c r="O165" s="42">
        <v>42278</v>
      </c>
      <c r="P165" s="40">
        <v>48</v>
      </c>
      <c r="Q165" s="145">
        <v>84.84</v>
      </c>
      <c r="R165" s="145">
        <v>80.569999999999993</v>
      </c>
      <c r="S165" s="145">
        <v>80.599999999999994</v>
      </c>
      <c r="T165" s="145">
        <v>79.5</v>
      </c>
      <c r="U165" s="145">
        <v>81.31</v>
      </c>
    </row>
    <row r="166" spans="1:21" x14ac:dyDescent="0.2">
      <c r="A166" s="89">
        <f t="shared" si="2"/>
        <v>158</v>
      </c>
      <c r="B166" s="43">
        <v>5</v>
      </c>
      <c r="C166" s="43">
        <v>10</v>
      </c>
      <c r="D166" s="38" t="s">
        <v>901</v>
      </c>
      <c r="E166" s="44" t="s">
        <v>148</v>
      </c>
      <c r="F166" s="44" t="s">
        <v>25</v>
      </c>
      <c r="G166" s="44" t="s">
        <v>120</v>
      </c>
      <c r="H166" s="44" t="s">
        <v>149</v>
      </c>
      <c r="I166" s="44" t="s">
        <v>26</v>
      </c>
      <c r="J166" s="44" t="s">
        <v>27</v>
      </c>
      <c r="K166" s="44" t="s">
        <v>150</v>
      </c>
      <c r="L166" s="40">
        <v>19449</v>
      </c>
      <c r="M166" s="41">
        <v>41851</v>
      </c>
      <c r="N166" s="40" t="s">
        <v>122</v>
      </c>
      <c r="O166" s="42">
        <v>42278</v>
      </c>
      <c r="P166" s="40">
        <v>48</v>
      </c>
      <c r="Q166" s="145">
        <v>65.7</v>
      </c>
      <c r="R166" s="145">
        <v>63.36</v>
      </c>
      <c r="S166" s="145">
        <v>61.97</v>
      </c>
      <c r="T166" s="145">
        <v>62.6</v>
      </c>
      <c r="U166" s="145">
        <v>64.62</v>
      </c>
    </row>
    <row r="167" spans="1:21" x14ac:dyDescent="0.2">
      <c r="A167" s="89">
        <f t="shared" si="2"/>
        <v>159</v>
      </c>
      <c r="B167" s="43">
        <v>5</v>
      </c>
      <c r="C167" s="43">
        <v>11</v>
      </c>
      <c r="D167" s="38" t="s">
        <v>902</v>
      </c>
      <c r="E167" s="44" t="s">
        <v>152</v>
      </c>
      <c r="F167" s="44" t="s">
        <v>25</v>
      </c>
      <c r="G167" s="44" t="s">
        <v>120</v>
      </c>
      <c r="H167" s="44" t="s">
        <v>149</v>
      </c>
      <c r="I167" s="44" t="s">
        <v>26</v>
      </c>
      <c r="J167" s="44" t="s">
        <v>28</v>
      </c>
      <c r="K167" s="44" t="s">
        <v>153</v>
      </c>
      <c r="L167" s="40">
        <v>19450</v>
      </c>
      <c r="M167" s="41">
        <v>41851</v>
      </c>
      <c r="N167" s="40" t="s">
        <v>122</v>
      </c>
      <c r="O167" s="42">
        <v>42278</v>
      </c>
      <c r="P167" s="40">
        <v>48</v>
      </c>
      <c r="Q167" s="145">
        <v>64.84</v>
      </c>
      <c r="R167" s="145">
        <v>62.51</v>
      </c>
      <c r="S167" s="145">
        <v>61.13</v>
      </c>
      <c r="T167" s="145">
        <v>61.76</v>
      </c>
      <c r="U167" s="145">
        <v>63.78</v>
      </c>
    </row>
    <row r="168" spans="1:21" x14ac:dyDescent="0.2">
      <c r="A168" s="89">
        <f t="shared" si="2"/>
        <v>160</v>
      </c>
      <c r="B168" s="43">
        <v>5</v>
      </c>
      <c r="C168" s="43">
        <v>12</v>
      </c>
      <c r="D168" s="38" t="s">
        <v>903</v>
      </c>
      <c r="E168" s="44" t="s">
        <v>155</v>
      </c>
      <c r="F168" s="44" t="s">
        <v>20</v>
      </c>
      <c r="G168" s="44" t="s">
        <v>120</v>
      </c>
      <c r="H168" s="44" t="s">
        <v>105</v>
      </c>
      <c r="I168" s="44" t="s">
        <v>156</v>
      </c>
      <c r="J168" s="44" t="s">
        <v>22</v>
      </c>
      <c r="K168" s="44" t="s">
        <v>157</v>
      </c>
      <c r="L168" s="40">
        <v>19451</v>
      </c>
      <c r="M168" s="41">
        <v>41851</v>
      </c>
      <c r="N168" s="40" t="s">
        <v>122</v>
      </c>
      <c r="O168" s="42">
        <v>42278</v>
      </c>
      <c r="P168" s="40">
        <v>48</v>
      </c>
      <c r="Q168" s="145">
        <v>61.19</v>
      </c>
      <c r="R168" s="145">
        <v>60.72</v>
      </c>
      <c r="S168" s="145">
        <v>58.8</v>
      </c>
      <c r="T168" s="145">
        <v>59.75</v>
      </c>
      <c r="U168" s="145">
        <v>61.61</v>
      </c>
    </row>
    <row r="169" spans="1:21" x14ac:dyDescent="0.2">
      <c r="A169" s="89">
        <f t="shared" si="2"/>
        <v>161</v>
      </c>
      <c r="B169" s="43">
        <v>5</v>
      </c>
      <c r="C169" s="43">
        <v>13</v>
      </c>
      <c r="D169" s="38" t="s">
        <v>904</v>
      </c>
      <c r="E169" s="44" t="s">
        <v>159</v>
      </c>
      <c r="F169" s="44" t="s">
        <v>39</v>
      </c>
      <c r="G169" s="44" t="s">
        <v>120</v>
      </c>
      <c r="H169" s="44" t="s">
        <v>43</v>
      </c>
      <c r="I169" s="44" t="s">
        <v>43</v>
      </c>
      <c r="J169" s="44" t="s">
        <v>7</v>
      </c>
      <c r="K169" s="44" t="s">
        <v>140</v>
      </c>
      <c r="L169" s="40">
        <v>19452</v>
      </c>
      <c r="M169" s="41">
        <v>41851</v>
      </c>
      <c r="N169" s="40" t="s">
        <v>122</v>
      </c>
      <c r="O169" s="42">
        <v>42278</v>
      </c>
      <c r="P169" s="40">
        <v>48</v>
      </c>
      <c r="Q169" s="145">
        <v>88.87</v>
      </c>
      <c r="R169" s="145">
        <v>84.59</v>
      </c>
      <c r="S169" s="145">
        <v>84.83</v>
      </c>
      <c r="T169" s="145">
        <v>83.72</v>
      </c>
      <c r="U169" s="145">
        <v>86.04</v>
      </c>
    </row>
    <row r="170" spans="1:21" x14ac:dyDescent="0.2">
      <c r="A170" s="89">
        <f t="shared" si="2"/>
        <v>162</v>
      </c>
      <c r="B170" s="43">
        <v>5</v>
      </c>
      <c r="C170" s="43">
        <v>14</v>
      </c>
      <c r="D170" s="38" t="s">
        <v>905</v>
      </c>
      <c r="E170" s="44" t="s">
        <v>161</v>
      </c>
      <c r="F170" s="44" t="s">
        <v>6</v>
      </c>
      <c r="G170" s="44" t="s">
        <v>120</v>
      </c>
      <c r="H170" s="44" t="s">
        <v>48</v>
      </c>
      <c r="I170" s="44" t="s">
        <v>48</v>
      </c>
      <c r="J170" s="44" t="s">
        <v>7</v>
      </c>
      <c r="K170" s="44" t="s">
        <v>140</v>
      </c>
      <c r="L170" s="40">
        <v>19453</v>
      </c>
      <c r="M170" s="41">
        <v>41851</v>
      </c>
      <c r="N170" s="40" t="s">
        <v>122</v>
      </c>
      <c r="O170" s="42">
        <v>42278</v>
      </c>
      <c r="P170" s="40">
        <v>48</v>
      </c>
      <c r="Q170" s="145">
        <v>74.069999999999993</v>
      </c>
      <c r="R170" s="145">
        <v>70.52</v>
      </c>
      <c r="S170" s="145">
        <v>69.5</v>
      </c>
      <c r="T170" s="145">
        <v>69.66</v>
      </c>
      <c r="U170" s="145">
        <v>71.58</v>
      </c>
    </row>
    <row r="171" spans="1:21" x14ac:dyDescent="0.2">
      <c r="A171" s="89">
        <f t="shared" si="2"/>
        <v>163</v>
      </c>
      <c r="B171" s="43">
        <v>5</v>
      </c>
      <c r="C171" s="43">
        <v>15</v>
      </c>
      <c r="D171" s="38" t="s">
        <v>906</v>
      </c>
      <c r="E171" s="44" t="s">
        <v>163</v>
      </c>
      <c r="F171" s="44" t="s">
        <v>20</v>
      </c>
      <c r="G171" s="44" t="s">
        <v>120</v>
      </c>
      <c r="H171" s="44" t="s">
        <v>23</v>
      </c>
      <c r="I171" s="44" t="s">
        <v>164</v>
      </c>
      <c r="J171" s="44" t="s">
        <v>24</v>
      </c>
      <c r="K171" s="44" t="s">
        <v>140</v>
      </c>
      <c r="L171" s="40">
        <v>19454</v>
      </c>
      <c r="M171" s="41">
        <v>41851</v>
      </c>
      <c r="N171" s="40" t="s">
        <v>122</v>
      </c>
      <c r="O171" s="42">
        <v>42278</v>
      </c>
      <c r="P171" s="40">
        <v>48</v>
      </c>
      <c r="Q171" s="145">
        <v>62.81</v>
      </c>
      <c r="R171" s="145">
        <v>58.82</v>
      </c>
      <c r="S171" s="145">
        <v>57.73</v>
      </c>
      <c r="T171" s="145">
        <v>57.84</v>
      </c>
      <c r="U171" s="145">
        <v>59.69</v>
      </c>
    </row>
    <row r="172" spans="1:21" x14ac:dyDescent="0.2">
      <c r="A172" s="89">
        <f t="shared" si="2"/>
        <v>164</v>
      </c>
      <c r="B172" s="43">
        <v>5</v>
      </c>
      <c r="C172" s="43">
        <v>16</v>
      </c>
      <c r="D172" s="38" t="s">
        <v>907</v>
      </c>
      <c r="E172" s="44" t="s">
        <v>166</v>
      </c>
      <c r="F172" s="44" t="s">
        <v>20</v>
      </c>
      <c r="G172" s="44" t="s">
        <v>120</v>
      </c>
      <c r="H172" s="44" t="s">
        <v>64</v>
      </c>
      <c r="I172" s="44" t="s">
        <v>167</v>
      </c>
      <c r="J172" s="44" t="s">
        <v>7</v>
      </c>
      <c r="K172" s="44" t="s">
        <v>140</v>
      </c>
      <c r="L172" s="40">
        <v>19455</v>
      </c>
      <c r="M172" s="41">
        <v>41851</v>
      </c>
      <c r="N172" s="40" t="s">
        <v>122</v>
      </c>
      <c r="O172" s="42">
        <v>42278</v>
      </c>
      <c r="P172" s="40">
        <v>48</v>
      </c>
      <c r="Q172" s="145">
        <v>82.09</v>
      </c>
      <c r="R172" s="145">
        <v>76.709999999999994</v>
      </c>
      <c r="S172" s="145">
        <v>71.900000000000006</v>
      </c>
      <c r="T172" s="145">
        <v>70.69</v>
      </c>
      <c r="U172" s="145">
        <v>72.11</v>
      </c>
    </row>
    <row r="173" spans="1:21" x14ac:dyDescent="0.2">
      <c r="A173" s="89">
        <f t="shared" si="2"/>
        <v>165</v>
      </c>
      <c r="B173" s="43">
        <v>5</v>
      </c>
      <c r="C173" s="43">
        <v>17</v>
      </c>
      <c r="D173" s="38" t="s">
        <v>908</v>
      </c>
      <c r="E173" s="44" t="s">
        <v>169</v>
      </c>
      <c r="F173" s="44" t="s">
        <v>31</v>
      </c>
      <c r="G173" s="44" t="s">
        <v>120</v>
      </c>
      <c r="H173" s="44" t="s">
        <v>35</v>
      </c>
      <c r="I173" s="44" t="s">
        <v>35</v>
      </c>
      <c r="J173" s="44" t="s">
        <v>9</v>
      </c>
      <c r="K173" s="44" t="s">
        <v>135</v>
      </c>
      <c r="L173" s="40">
        <v>19456</v>
      </c>
      <c r="M173" s="41">
        <v>41851</v>
      </c>
      <c r="N173" s="40" t="s">
        <v>122</v>
      </c>
      <c r="O173" s="42">
        <v>42278</v>
      </c>
      <c r="P173" s="40">
        <v>48</v>
      </c>
      <c r="Q173" s="145">
        <v>95.6</v>
      </c>
      <c r="R173" s="145">
        <v>90.95</v>
      </c>
      <c r="S173" s="145">
        <v>91.36</v>
      </c>
      <c r="T173" s="145">
        <v>90.39</v>
      </c>
      <c r="U173" s="145">
        <v>93.27</v>
      </c>
    </row>
    <row r="174" spans="1:21" x14ac:dyDescent="0.2">
      <c r="A174" s="89">
        <f t="shared" si="2"/>
        <v>166</v>
      </c>
      <c r="B174" s="43">
        <v>5</v>
      </c>
      <c r="C174" s="43">
        <v>18</v>
      </c>
      <c r="D174" s="38" t="s">
        <v>909</v>
      </c>
      <c r="E174" s="44" t="s">
        <v>171</v>
      </c>
      <c r="F174" s="44" t="s">
        <v>31</v>
      </c>
      <c r="G174" s="44" t="s">
        <v>120</v>
      </c>
      <c r="H174" s="44" t="s">
        <v>35</v>
      </c>
      <c r="I174" s="44" t="s">
        <v>35</v>
      </c>
      <c r="J174" s="44" t="s">
        <v>10</v>
      </c>
      <c r="K174" s="44" t="s">
        <v>132</v>
      </c>
      <c r="L174" s="40">
        <v>19457</v>
      </c>
      <c r="M174" s="41">
        <v>41851</v>
      </c>
      <c r="N174" s="40" t="s">
        <v>122</v>
      </c>
      <c r="O174" s="42">
        <v>42278</v>
      </c>
      <c r="P174" s="40">
        <v>48</v>
      </c>
      <c r="Q174" s="145">
        <v>97.84</v>
      </c>
      <c r="R174" s="145">
        <v>93.84</v>
      </c>
      <c r="S174" s="145">
        <v>94.15</v>
      </c>
      <c r="T174" s="145">
        <v>93.29</v>
      </c>
      <c r="U174" s="145">
        <v>96.15</v>
      </c>
    </row>
    <row r="175" spans="1:21" x14ac:dyDescent="0.2">
      <c r="A175" s="89">
        <f t="shared" si="2"/>
        <v>167</v>
      </c>
      <c r="B175" s="43">
        <v>5</v>
      </c>
      <c r="C175" s="43">
        <v>19</v>
      </c>
      <c r="D175" s="38" t="s">
        <v>910</v>
      </c>
      <c r="E175" s="44" t="s">
        <v>173</v>
      </c>
      <c r="F175" s="44" t="s">
        <v>31</v>
      </c>
      <c r="G175" s="44" t="s">
        <v>120</v>
      </c>
      <c r="H175" s="44" t="s">
        <v>35</v>
      </c>
      <c r="I175" s="44" t="s">
        <v>35</v>
      </c>
      <c r="J175" s="44" t="s">
        <v>11</v>
      </c>
      <c r="K175" s="44" t="s">
        <v>129</v>
      </c>
      <c r="L175" s="40">
        <v>19458</v>
      </c>
      <c r="M175" s="41">
        <v>41851</v>
      </c>
      <c r="N175" s="40" t="s">
        <v>122</v>
      </c>
      <c r="O175" s="42">
        <v>42278</v>
      </c>
      <c r="P175" s="40">
        <v>48</v>
      </c>
      <c r="Q175" s="145">
        <v>94.3</v>
      </c>
      <c r="R175" s="145">
        <v>91.49</v>
      </c>
      <c r="S175" s="145">
        <v>91.42</v>
      </c>
      <c r="T175" s="145">
        <v>90.88</v>
      </c>
      <c r="U175" s="145">
        <v>93.68</v>
      </c>
    </row>
    <row r="176" spans="1:21" x14ac:dyDescent="0.2">
      <c r="A176" s="89">
        <f t="shared" si="2"/>
        <v>168</v>
      </c>
      <c r="B176" s="43">
        <v>5</v>
      </c>
      <c r="C176" s="43">
        <v>20</v>
      </c>
      <c r="D176" s="38" t="s">
        <v>911</v>
      </c>
      <c r="E176" s="44" t="s">
        <v>175</v>
      </c>
      <c r="F176" s="44" t="s">
        <v>6</v>
      </c>
      <c r="G176" s="44" t="s">
        <v>120</v>
      </c>
      <c r="H176" s="44" t="s">
        <v>176</v>
      </c>
      <c r="I176" s="44" t="s">
        <v>177</v>
      </c>
      <c r="J176" s="44" t="s">
        <v>9</v>
      </c>
      <c r="K176" s="44" t="s">
        <v>135</v>
      </c>
      <c r="L176" s="40">
        <v>19460</v>
      </c>
      <c r="M176" s="41">
        <v>41851</v>
      </c>
      <c r="N176" s="40" t="s">
        <v>122</v>
      </c>
      <c r="O176" s="42">
        <v>42278</v>
      </c>
      <c r="P176" s="40">
        <v>48</v>
      </c>
      <c r="Q176" s="145">
        <v>75.87</v>
      </c>
      <c r="R176" s="145">
        <v>72.540000000000006</v>
      </c>
      <c r="S176" s="145">
        <v>72.2</v>
      </c>
      <c r="T176" s="145">
        <v>71.349999999999994</v>
      </c>
      <c r="U176" s="145">
        <v>73.19</v>
      </c>
    </row>
    <row r="177" spans="1:21" x14ac:dyDescent="0.2">
      <c r="A177" s="89">
        <f t="shared" si="2"/>
        <v>169</v>
      </c>
      <c r="B177" s="43">
        <v>5</v>
      </c>
      <c r="C177" s="43">
        <v>21</v>
      </c>
      <c r="D177" s="38" t="s">
        <v>912</v>
      </c>
      <c r="E177" s="44" t="s">
        <v>179</v>
      </c>
      <c r="F177" s="44" t="s">
        <v>6</v>
      </c>
      <c r="G177" s="44" t="s">
        <v>120</v>
      </c>
      <c r="H177" s="44" t="s">
        <v>176</v>
      </c>
      <c r="I177" s="44" t="s">
        <v>177</v>
      </c>
      <c r="J177" s="44" t="s">
        <v>10</v>
      </c>
      <c r="K177" s="44" t="s">
        <v>132</v>
      </c>
      <c r="L177" s="40">
        <v>19459</v>
      </c>
      <c r="M177" s="41">
        <v>41851</v>
      </c>
      <c r="N177" s="40" t="s">
        <v>122</v>
      </c>
      <c r="O177" s="42">
        <v>42278</v>
      </c>
      <c r="P177" s="40">
        <v>48</v>
      </c>
      <c r="Q177" s="145">
        <v>76.58</v>
      </c>
      <c r="R177" s="145">
        <v>73.63</v>
      </c>
      <c r="S177" s="145">
        <v>73.150000000000006</v>
      </c>
      <c r="T177" s="145">
        <v>72.45</v>
      </c>
      <c r="U177" s="145">
        <v>74.31</v>
      </c>
    </row>
    <row r="178" spans="1:21" x14ac:dyDescent="0.2">
      <c r="A178" s="89">
        <f t="shared" si="2"/>
        <v>170</v>
      </c>
      <c r="B178" s="43">
        <v>5</v>
      </c>
      <c r="C178" s="43">
        <v>22</v>
      </c>
      <c r="D178" s="38" t="s">
        <v>913</v>
      </c>
      <c r="E178" s="44" t="s">
        <v>181</v>
      </c>
      <c r="F178" s="44" t="s">
        <v>6</v>
      </c>
      <c r="G178" s="44" t="s">
        <v>120</v>
      </c>
      <c r="H178" s="44" t="s">
        <v>176</v>
      </c>
      <c r="I178" s="44" t="s">
        <v>177</v>
      </c>
      <c r="J178" s="44" t="s">
        <v>11</v>
      </c>
      <c r="K178" s="44" t="s">
        <v>129</v>
      </c>
      <c r="L178" s="40">
        <v>19461</v>
      </c>
      <c r="M178" s="41">
        <v>41851</v>
      </c>
      <c r="N178" s="40" t="s">
        <v>122</v>
      </c>
      <c r="O178" s="42">
        <v>42278</v>
      </c>
      <c r="P178" s="40">
        <v>48</v>
      </c>
      <c r="Q178" s="145">
        <v>74.77</v>
      </c>
      <c r="R178" s="145">
        <v>72.58</v>
      </c>
      <c r="S178" s="145">
        <v>71.94</v>
      </c>
      <c r="T178" s="145">
        <v>71.39</v>
      </c>
      <c r="U178" s="145">
        <v>73.239999999999995</v>
      </c>
    </row>
    <row r="179" spans="1:21" x14ac:dyDescent="0.2">
      <c r="A179" s="89">
        <f t="shared" si="2"/>
        <v>171</v>
      </c>
      <c r="B179" s="43">
        <v>5</v>
      </c>
      <c r="C179" s="43">
        <v>23</v>
      </c>
      <c r="D179" s="38" t="s">
        <v>914</v>
      </c>
      <c r="E179" s="44" t="s">
        <v>183</v>
      </c>
      <c r="F179" s="44" t="s">
        <v>6</v>
      </c>
      <c r="G179" s="44" t="s">
        <v>120</v>
      </c>
      <c r="H179" s="44" t="s">
        <v>13</v>
      </c>
      <c r="I179" s="44" t="s">
        <v>13</v>
      </c>
      <c r="J179" s="44" t="s">
        <v>7</v>
      </c>
      <c r="K179" s="44" t="s">
        <v>140</v>
      </c>
      <c r="L179" s="40">
        <v>19462</v>
      </c>
      <c r="M179" s="41">
        <v>41851</v>
      </c>
      <c r="N179" s="40" t="s">
        <v>122</v>
      </c>
      <c r="O179" s="42">
        <v>42278</v>
      </c>
      <c r="P179" s="40">
        <v>48</v>
      </c>
      <c r="Q179" s="145">
        <v>81.510000000000005</v>
      </c>
      <c r="R179" s="145">
        <v>76.75</v>
      </c>
      <c r="S179" s="145">
        <v>76.91</v>
      </c>
      <c r="T179" s="145">
        <v>75.7</v>
      </c>
      <c r="U179" s="145">
        <v>78.03</v>
      </c>
    </row>
    <row r="180" spans="1:21" x14ac:dyDescent="0.2">
      <c r="A180" s="89">
        <f t="shared" si="2"/>
        <v>172</v>
      </c>
      <c r="B180" s="43">
        <v>5</v>
      </c>
      <c r="C180" s="43">
        <v>24</v>
      </c>
      <c r="D180" s="38" t="s">
        <v>915</v>
      </c>
      <c r="E180" s="44" t="s">
        <v>185</v>
      </c>
      <c r="F180" s="44" t="s">
        <v>6</v>
      </c>
      <c r="G180" s="44" t="s">
        <v>120</v>
      </c>
      <c r="H180" s="44" t="s">
        <v>12</v>
      </c>
      <c r="I180" s="44" t="s">
        <v>186</v>
      </c>
      <c r="J180" s="44" t="s">
        <v>9</v>
      </c>
      <c r="K180" s="44" t="s">
        <v>135</v>
      </c>
      <c r="L180" s="40">
        <v>19463</v>
      </c>
      <c r="M180" s="41">
        <v>41851</v>
      </c>
      <c r="N180" s="40" t="s">
        <v>122</v>
      </c>
      <c r="O180" s="42">
        <v>42278</v>
      </c>
      <c r="P180" s="40">
        <v>48</v>
      </c>
      <c r="Q180" s="145">
        <v>74.78</v>
      </c>
      <c r="R180" s="145">
        <v>72.25</v>
      </c>
      <c r="S180" s="145">
        <v>71.739999999999995</v>
      </c>
      <c r="T180" s="145">
        <v>71.09</v>
      </c>
      <c r="U180" s="145">
        <v>72.760000000000005</v>
      </c>
    </row>
    <row r="181" spans="1:21" x14ac:dyDescent="0.2">
      <c r="A181" s="89">
        <f t="shared" si="2"/>
        <v>173</v>
      </c>
      <c r="B181" s="43">
        <v>5</v>
      </c>
      <c r="C181" s="43">
        <v>25</v>
      </c>
      <c r="D181" s="38" t="s">
        <v>916</v>
      </c>
      <c r="E181" s="44" t="s">
        <v>188</v>
      </c>
      <c r="F181" s="44" t="s">
        <v>6</v>
      </c>
      <c r="G181" s="44" t="s">
        <v>120</v>
      </c>
      <c r="H181" s="44" t="s">
        <v>12</v>
      </c>
      <c r="I181" s="44" t="s">
        <v>186</v>
      </c>
      <c r="J181" s="44" t="s">
        <v>10</v>
      </c>
      <c r="K181" s="44" t="s">
        <v>132</v>
      </c>
      <c r="L181" s="40">
        <v>19464</v>
      </c>
      <c r="M181" s="41">
        <v>41851</v>
      </c>
      <c r="N181" s="40" t="s">
        <v>122</v>
      </c>
      <c r="O181" s="42">
        <v>42278</v>
      </c>
      <c r="P181" s="40">
        <v>48</v>
      </c>
      <c r="Q181" s="145">
        <v>75.41</v>
      </c>
      <c r="R181" s="145">
        <v>73.44</v>
      </c>
      <c r="S181" s="145">
        <v>72.75</v>
      </c>
      <c r="T181" s="145">
        <v>72.290000000000006</v>
      </c>
      <c r="U181" s="145">
        <v>73.97</v>
      </c>
    </row>
    <row r="182" spans="1:21" x14ac:dyDescent="0.2">
      <c r="A182" s="89">
        <f t="shared" si="2"/>
        <v>174</v>
      </c>
      <c r="B182" s="43">
        <v>5</v>
      </c>
      <c r="C182" s="43">
        <v>26</v>
      </c>
      <c r="D182" s="38" t="s">
        <v>917</v>
      </c>
      <c r="E182" s="44" t="s">
        <v>190</v>
      </c>
      <c r="F182" s="44" t="s">
        <v>6</v>
      </c>
      <c r="G182" s="44" t="s">
        <v>120</v>
      </c>
      <c r="H182" s="44" t="s">
        <v>12</v>
      </c>
      <c r="I182" s="44" t="s">
        <v>186</v>
      </c>
      <c r="J182" s="44" t="s">
        <v>11</v>
      </c>
      <c r="K182" s="44" t="s">
        <v>129</v>
      </c>
      <c r="L182" s="40">
        <v>19465</v>
      </c>
      <c r="M182" s="41">
        <v>41851</v>
      </c>
      <c r="N182" s="40" t="s">
        <v>122</v>
      </c>
      <c r="O182" s="42">
        <v>42278</v>
      </c>
      <c r="P182" s="40">
        <v>48</v>
      </c>
      <c r="Q182" s="145">
        <v>72.09</v>
      </c>
      <c r="R182" s="145">
        <v>72.88</v>
      </c>
      <c r="S182" s="145">
        <v>71.33</v>
      </c>
      <c r="T182" s="145">
        <v>71.7</v>
      </c>
      <c r="U182" s="145">
        <v>73.349999999999994</v>
      </c>
    </row>
    <row r="183" spans="1:21" x14ac:dyDescent="0.2">
      <c r="A183" s="89">
        <f t="shared" si="2"/>
        <v>175</v>
      </c>
      <c r="B183" s="43">
        <v>5</v>
      </c>
      <c r="C183" s="43">
        <v>27</v>
      </c>
      <c r="D183" s="38" t="s">
        <v>918</v>
      </c>
      <c r="E183" s="44" t="s">
        <v>192</v>
      </c>
      <c r="F183" s="44" t="s">
        <v>6</v>
      </c>
      <c r="G183" s="44" t="s">
        <v>120</v>
      </c>
      <c r="H183" s="44" t="s">
        <v>100</v>
      </c>
      <c r="I183" s="44" t="s">
        <v>193</v>
      </c>
      <c r="J183" s="44" t="s">
        <v>7</v>
      </c>
      <c r="K183" s="44" t="s">
        <v>140</v>
      </c>
      <c r="L183" s="40">
        <v>19466</v>
      </c>
      <c r="M183" s="41">
        <v>41851</v>
      </c>
      <c r="N183" s="40" t="s">
        <v>122</v>
      </c>
      <c r="O183" s="42">
        <v>42278</v>
      </c>
      <c r="P183" s="40">
        <v>48</v>
      </c>
      <c r="Q183" s="145">
        <v>85.53</v>
      </c>
      <c r="R183" s="145">
        <v>82.16</v>
      </c>
      <c r="S183" s="145">
        <v>76.709999999999994</v>
      </c>
      <c r="T183" s="145">
        <v>76.2</v>
      </c>
      <c r="U183" s="145">
        <v>77.540000000000006</v>
      </c>
    </row>
    <row r="184" spans="1:21" x14ac:dyDescent="0.2">
      <c r="A184" s="89">
        <f t="shared" si="2"/>
        <v>176</v>
      </c>
      <c r="B184" s="43">
        <v>5</v>
      </c>
      <c r="C184" s="43">
        <v>28</v>
      </c>
      <c r="D184" s="38" t="s">
        <v>919</v>
      </c>
      <c r="E184" s="44" t="s">
        <v>195</v>
      </c>
      <c r="F184" s="44" t="s">
        <v>39</v>
      </c>
      <c r="G184" s="44" t="s">
        <v>120</v>
      </c>
      <c r="H184" s="44" t="s">
        <v>44</v>
      </c>
      <c r="I184" s="44" t="s">
        <v>44</v>
      </c>
      <c r="J184" s="44" t="s">
        <v>7</v>
      </c>
      <c r="K184" s="44" t="s">
        <v>140</v>
      </c>
      <c r="L184" s="40">
        <v>19467</v>
      </c>
      <c r="M184" s="41">
        <v>41851</v>
      </c>
      <c r="N184" s="40" t="s">
        <v>122</v>
      </c>
      <c r="O184" s="42">
        <v>42278</v>
      </c>
      <c r="P184" s="40">
        <v>48</v>
      </c>
      <c r="Q184" s="145">
        <v>83.19</v>
      </c>
      <c r="R184" s="145">
        <v>81.290000000000006</v>
      </c>
      <c r="S184" s="145">
        <v>80.63</v>
      </c>
      <c r="T184" s="145">
        <v>80.349999999999994</v>
      </c>
      <c r="U184" s="145">
        <v>82.52</v>
      </c>
    </row>
    <row r="185" spans="1:21" x14ac:dyDescent="0.2">
      <c r="A185" s="89">
        <f t="shared" si="2"/>
        <v>177</v>
      </c>
      <c r="B185" s="43">
        <v>5</v>
      </c>
      <c r="C185" s="43">
        <v>29</v>
      </c>
      <c r="D185" s="38" t="s">
        <v>920</v>
      </c>
      <c r="E185" s="44" t="s">
        <v>197</v>
      </c>
      <c r="F185" s="44" t="s">
        <v>39</v>
      </c>
      <c r="G185" s="44" t="s">
        <v>120</v>
      </c>
      <c r="H185" s="44" t="s">
        <v>44</v>
      </c>
      <c r="I185" s="44" t="s">
        <v>44</v>
      </c>
      <c r="J185" s="44" t="s">
        <v>45</v>
      </c>
      <c r="K185" s="44" t="s">
        <v>198</v>
      </c>
      <c r="L185" s="40">
        <v>19468</v>
      </c>
      <c r="M185" s="41">
        <v>41851</v>
      </c>
      <c r="N185" s="40" t="s">
        <v>122</v>
      </c>
      <c r="O185" s="42">
        <v>42278</v>
      </c>
      <c r="P185" s="40">
        <v>48</v>
      </c>
      <c r="Q185" s="145">
        <v>83.35</v>
      </c>
      <c r="R185" s="145">
        <v>79.19</v>
      </c>
      <c r="S185" s="145">
        <v>79.209999999999994</v>
      </c>
      <c r="T185" s="145">
        <v>78.239999999999995</v>
      </c>
      <c r="U185" s="145">
        <v>80.41</v>
      </c>
    </row>
    <row r="186" spans="1:21" x14ac:dyDescent="0.2">
      <c r="A186" s="89">
        <f t="shared" si="2"/>
        <v>178</v>
      </c>
      <c r="B186" s="43">
        <v>5</v>
      </c>
      <c r="C186" s="43">
        <v>30</v>
      </c>
      <c r="D186" s="38" t="s">
        <v>921</v>
      </c>
      <c r="E186" s="44" t="s">
        <v>200</v>
      </c>
      <c r="F186" s="44" t="s">
        <v>39</v>
      </c>
      <c r="G186" s="44" t="s">
        <v>120</v>
      </c>
      <c r="H186" s="44" t="s">
        <v>44</v>
      </c>
      <c r="I186" s="44" t="s">
        <v>44</v>
      </c>
      <c r="J186" s="44" t="s">
        <v>46</v>
      </c>
      <c r="K186" s="44" t="s">
        <v>46</v>
      </c>
      <c r="L186" s="40">
        <v>19469</v>
      </c>
      <c r="M186" s="41">
        <v>41851</v>
      </c>
      <c r="N186" s="40" t="s">
        <v>122</v>
      </c>
      <c r="O186" s="42">
        <v>42278</v>
      </c>
      <c r="P186" s="40">
        <v>48</v>
      </c>
      <c r="Q186" s="145">
        <v>80.790000000000006</v>
      </c>
      <c r="R186" s="145">
        <v>78.489999999999995</v>
      </c>
      <c r="S186" s="145">
        <v>78</v>
      </c>
      <c r="T186" s="145">
        <v>77.47</v>
      </c>
      <c r="U186" s="145">
        <v>79.64</v>
      </c>
    </row>
    <row r="187" spans="1:21" x14ac:dyDescent="0.2">
      <c r="A187" s="89">
        <f t="shared" si="2"/>
        <v>179</v>
      </c>
      <c r="B187" s="43">
        <v>5</v>
      </c>
      <c r="C187" s="43">
        <v>31</v>
      </c>
      <c r="D187" s="38" t="s">
        <v>922</v>
      </c>
      <c r="E187" s="44" t="s">
        <v>202</v>
      </c>
      <c r="F187" s="44" t="s">
        <v>39</v>
      </c>
      <c r="G187" s="44" t="s">
        <v>120</v>
      </c>
      <c r="H187" s="44" t="s">
        <v>47</v>
      </c>
      <c r="I187" s="44" t="s">
        <v>47</v>
      </c>
      <c r="J187" s="44" t="s">
        <v>7</v>
      </c>
      <c r="K187" s="44" t="s">
        <v>140</v>
      </c>
      <c r="L187" s="40">
        <v>19470</v>
      </c>
      <c r="M187" s="41">
        <v>41851</v>
      </c>
      <c r="N187" s="40" t="s">
        <v>122</v>
      </c>
      <c r="O187" s="42">
        <v>42278</v>
      </c>
      <c r="P187" s="40">
        <v>48</v>
      </c>
      <c r="Q187" s="145">
        <v>74.260000000000005</v>
      </c>
      <c r="R187" s="145">
        <v>70.39</v>
      </c>
      <c r="S187" s="145">
        <v>69.37</v>
      </c>
      <c r="T187" s="145">
        <v>69.459999999999994</v>
      </c>
      <c r="U187" s="145">
        <v>71.760000000000005</v>
      </c>
    </row>
    <row r="188" spans="1:21" x14ac:dyDescent="0.2">
      <c r="A188" s="89">
        <f t="shared" si="2"/>
        <v>180</v>
      </c>
      <c r="B188" s="43">
        <v>5</v>
      </c>
      <c r="C188" s="43">
        <v>32</v>
      </c>
      <c r="D188" s="38" t="s">
        <v>923</v>
      </c>
      <c r="E188" s="44" t="s">
        <v>204</v>
      </c>
      <c r="F188" s="44" t="s">
        <v>6</v>
      </c>
      <c r="G188" s="44" t="s">
        <v>120</v>
      </c>
      <c r="H188" s="44" t="s">
        <v>14</v>
      </c>
      <c r="I188" s="44" t="s">
        <v>14</v>
      </c>
      <c r="J188" s="44" t="s">
        <v>15</v>
      </c>
      <c r="K188" s="44" t="s">
        <v>129</v>
      </c>
      <c r="L188" s="40">
        <v>19471</v>
      </c>
      <c r="M188" s="41">
        <v>41851</v>
      </c>
      <c r="N188" s="40" t="s">
        <v>122</v>
      </c>
      <c r="O188" s="42">
        <v>42278</v>
      </c>
      <c r="P188" s="40">
        <v>48</v>
      </c>
      <c r="Q188" s="145">
        <v>81.739999999999995</v>
      </c>
      <c r="R188" s="145">
        <v>79.150000000000006</v>
      </c>
      <c r="S188" s="145">
        <v>78.680000000000007</v>
      </c>
      <c r="T188" s="145">
        <v>77.94</v>
      </c>
      <c r="U188" s="145">
        <v>79.63</v>
      </c>
    </row>
    <row r="189" spans="1:21" x14ac:dyDescent="0.2">
      <c r="A189" s="89">
        <f t="shared" si="2"/>
        <v>181</v>
      </c>
      <c r="B189" s="43">
        <v>5</v>
      </c>
      <c r="C189" s="43">
        <v>33</v>
      </c>
      <c r="D189" s="38" t="s">
        <v>924</v>
      </c>
      <c r="E189" s="44" t="s">
        <v>206</v>
      </c>
      <c r="F189" s="44" t="s">
        <v>6</v>
      </c>
      <c r="G189" s="44" t="s">
        <v>120</v>
      </c>
      <c r="H189" s="44" t="s">
        <v>14</v>
      </c>
      <c r="I189" s="44" t="s">
        <v>14</v>
      </c>
      <c r="J189" s="44" t="s">
        <v>16</v>
      </c>
      <c r="K189" s="44" t="s">
        <v>135</v>
      </c>
      <c r="L189" s="40">
        <v>19472</v>
      </c>
      <c r="M189" s="41">
        <v>41851</v>
      </c>
      <c r="N189" s="40" t="s">
        <v>122</v>
      </c>
      <c r="O189" s="42">
        <v>42278</v>
      </c>
      <c r="P189" s="40">
        <v>48</v>
      </c>
      <c r="Q189" s="145">
        <v>84.06</v>
      </c>
      <c r="R189" s="145">
        <v>80.400000000000006</v>
      </c>
      <c r="S189" s="145">
        <v>80.260000000000005</v>
      </c>
      <c r="T189" s="145">
        <v>79.239999999999995</v>
      </c>
      <c r="U189" s="145">
        <v>81</v>
      </c>
    </row>
    <row r="190" spans="1:21" x14ac:dyDescent="0.2">
      <c r="A190" s="89">
        <f t="shared" si="2"/>
        <v>182</v>
      </c>
      <c r="B190" s="43">
        <v>5</v>
      </c>
      <c r="C190" s="43">
        <v>34</v>
      </c>
      <c r="D190" s="38" t="s">
        <v>925</v>
      </c>
      <c r="E190" s="44" t="s">
        <v>208</v>
      </c>
      <c r="F190" s="44" t="s">
        <v>31</v>
      </c>
      <c r="G190" s="44" t="s">
        <v>120</v>
      </c>
      <c r="H190" s="44" t="s">
        <v>36</v>
      </c>
      <c r="I190" s="44" t="s">
        <v>36</v>
      </c>
      <c r="J190" s="44" t="s">
        <v>37</v>
      </c>
      <c r="K190" s="44" t="s">
        <v>209</v>
      </c>
      <c r="L190" s="40">
        <v>19473</v>
      </c>
      <c r="M190" s="41">
        <v>41851</v>
      </c>
      <c r="N190" s="40" t="s">
        <v>122</v>
      </c>
      <c r="O190" s="42">
        <v>42278</v>
      </c>
      <c r="P190" s="40">
        <v>48</v>
      </c>
      <c r="Q190" s="145">
        <v>103.93</v>
      </c>
      <c r="R190" s="145">
        <v>101.15</v>
      </c>
      <c r="S190" s="145">
        <v>102.92</v>
      </c>
      <c r="T190" s="145">
        <v>102.45</v>
      </c>
      <c r="U190" s="145">
        <v>104.88</v>
      </c>
    </row>
    <row r="191" spans="1:21" x14ac:dyDescent="0.2">
      <c r="A191" s="89">
        <f t="shared" si="2"/>
        <v>183</v>
      </c>
      <c r="B191" s="43">
        <v>5</v>
      </c>
      <c r="C191" s="43">
        <v>35</v>
      </c>
      <c r="D191" s="38" t="s">
        <v>926</v>
      </c>
      <c r="E191" s="44" t="s">
        <v>211</v>
      </c>
      <c r="F191" s="44" t="s">
        <v>31</v>
      </c>
      <c r="G191" s="44" t="s">
        <v>120</v>
      </c>
      <c r="H191" s="44" t="s">
        <v>36</v>
      </c>
      <c r="I191" s="44" t="s">
        <v>36</v>
      </c>
      <c r="J191" s="44" t="s">
        <v>38</v>
      </c>
      <c r="K191" s="44" t="s">
        <v>212</v>
      </c>
      <c r="L191" s="40">
        <v>19474</v>
      </c>
      <c r="M191" s="41">
        <v>41851</v>
      </c>
      <c r="N191" s="40" t="s">
        <v>122</v>
      </c>
      <c r="O191" s="42">
        <v>42278</v>
      </c>
      <c r="P191" s="40">
        <v>48</v>
      </c>
      <c r="Q191" s="145">
        <v>102.85</v>
      </c>
      <c r="R191" s="145">
        <v>99.5</v>
      </c>
      <c r="S191" s="145">
        <v>101.49</v>
      </c>
      <c r="T191" s="145">
        <v>100.74</v>
      </c>
      <c r="U191" s="145">
        <v>103.12</v>
      </c>
    </row>
    <row r="192" spans="1:21" x14ac:dyDescent="0.2">
      <c r="A192" s="89">
        <f t="shared" si="2"/>
        <v>184</v>
      </c>
      <c r="B192" s="43">
        <v>5</v>
      </c>
      <c r="C192" s="43">
        <v>36</v>
      </c>
      <c r="D192" s="38" t="s">
        <v>927</v>
      </c>
      <c r="E192" s="44" t="s">
        <v>214</v>
      </c>
      <c r="F192" s="44" t="s">
        <v>6</v>
      </c>
      <c r="G192" s="44" t="s">
        <v>120</v>
      </c>
      <c r="H192" s="44" t="s">
        <v>17</v>
      </c>
      <c r="I192" s="44" t="s">
        <v>215</v>
      </c>
      <c r="J192" s="44" t="s">
        <v>18</v>
      </c>
      <c r="K192" s="44" t="s">
        <v>140</v>
      </c>
      <c r="L192" s="40">
        <v>19475</v>
      </c>
      <c r="M192" s="41">
        <v>41851</v>
      </c>
      <c r="N192" s="40" t="s">
        <v>122</v>
      </c>
      <c r="O192" s="42">
        <v>42278</v>
      </c>
      <c r="P192" s="40">
        <v>48</v>
      </c>
      <c r="Q192" s="145">
        <v>68.89</v>
      </c>
      <c r="R192" s="145">
        <v>65.97</v>
      </c>
      <c r="S192" s="145">
        <v>64.55</v>
      </c>
      <c r="T192" s="145">
        <v>64.91</v>
      </c>
      <c r="U192" s="145">
        <v>66.83</v>
      </c>
    </row>
    <row r="193" spans="1:21" x14ac:dyDescent="0.2">
      <c r="A193" s="89">
        <f t="shared" si="2"/>
        <v>185</v>
      </c>
      <c r="B193" s="20"/>
      <c r="C193" s="20"/>
      <c r="D193" s="20"/>
    </row>
    <row r="194" spans="1:21" x14ac:dyDescent="0.2">
      <c r="A194" s="89">
        <f t="shared" si="2"/>
        <v>186</v>
      </c>
      <c r="B194" s="43">
        <v>6</v>
      </c>
      <c r="C194" s="43">
        <v>1</v>
      </c>
      <c r="D194" s="38" t="s">
        <v>928</v>
      </c>
      <c r="E194" s="44" t="s">
        <v>119</v>
      </c>
      <c r="F194" s="44" t="s">
        <v>31</v>
      </c>
      <c r="G194" s="44" t="s">
        <v>120</v>
      </c>
      <c r="H194" s="44" t="s">
        <v>32</v>
      </c>
      <c r="I194" s="44" t="s">
        <v>32</v>
      </c>
      <c r="J194" s="44" t="s">
        <v>33</v>
      </c>
      <c r="K194" s="44" t="s">
        <v>121</v>
      </c>
      <c r="L194" s="40">
        <v>19440</v>
      </c>
      <c r="M194" s="41">
        <v>41851</v>
      </c>
      <c r="N194" s="40" t="s">
        <v>122</v>
      </c>
      <c r="O194" s="42">
        <v>42309</v>
      </c>
      <c r="P194" s="40">
        <v>49</v>
      </c>
      <c r="Q194" s="145">
        <v>102.77</v>
      </c>
      <c r="R194" s="145">
        <v>93.63</v>
      </c>
      <c r="S194" s="145">
        <v>95.11</v>
      </c>
      <c r="T194" s="145">
        <v>93.15</v>
      </c>
      <c r="U194" s="145">
        <v>95.98</v>
      </c>
    </row>
    <row r="195" spans="1:21" x14ac:dyDescent="0.2">
      <c r="A195" s="89">
        <f t="shared" si="2"/>
        <v>187</v>
      </c>
      <c r="B195" s="43">
        <v>6</v>
      </c>
      <c r="C195" s="43">
        <v>2</v>
      </c>
      <c r="D195" s="38" t="s">
        <v>929</v>
      </c>
      <c r="E195" s="44" t="s">
        <v>124</v>
      </c>
      <c r="F195" s="44" t="s">
        <v>31</v>
      </c>
      <c r="G195" s="44" t="s">
        <v>120</v>
      </c>
      <c r="H195" s="44" t="s">
        <v>32</v>
      </c>
      <c r="I195" s="44" t="s">
        <v>32</v>
      </c>
      <c r="J195" s="44" t="s">
        <v>34</v>
      </c>
      <c r="K195" s="44" t="s">
        <v>125</v>
      </c>
      <c r="L195" s="40">
        <v>19441</v>
      </c>
      <c r="M195" s="41">
        <v>41851</v>
      </c>
      <c r="N195" s="40" t="s">
        <v>122</v>
      </c>
      <c r="O195" s="42">
        <v>42309</v>
      </c>
      <c r="P195" s="40">
        <v>49</v>
      </c>
      <c r="Q195" s="145">
        <v>100.13</v>
      </c>
      <c r="R195" s="145">
        <v>92.91</v>
      </c>
      <c r="S195" s="145">
        <v>93.98</v>
      </c>
      <c r="T195" s="145">
        <v>92.38</v>
      </c>
      <c r="U195" s="145">
        <v>94.1</v>
      </c>
    </row>
    <row r="196" spans="1:21" x14ac:dyDescent="0.2">
      <c r="A196" s="89">
        <f t="shared" si="2"/>
        <v>188</v>
      </c>
      <c r="B196" s="43">
        <v>6</v>
      </c>
      <c r="C196" s="43">
        <v>3</v>
      </c>
      <c r="D196" s="38" t="s">
        <v>930</v>
      </c>
      <c r="E196" s="44" t="s">
        <v>127</v>
      </c>
      <c r="F196" s="44" t="s">
        <v>20</v>
      </c>
      <c r="G196" s="44" t="s">
        <v>120</v>
      </c>
      <c r="H196" s="44" t="s">
        <v>63</v>
      </c>
      <c r="I196" s="44" t="s">
        <v>128</v>
      </c>
      <c r="J196" s="44" t="s">
        <v>15</v>
      </c>
      <c r="K196" s="44" t="s">
        <v>129</v>
      </c>
      <c r="L196" s="40">
        <v>19442</v>
      </c>
      <c r="M196" s="41">
        <v>41851</v>
      </c>
      <c r="N196" s="40" t="s">
        <v>122</v>
      </c>
      <c r="O196" s="42">
        <v>42309</v>
      </c>
      <c r="P196" s="40">
        <v>49</v>
      </c>
      <c r="Q196" s="145">
        <v>73.069999999999993</v>
      </c>
      <c r="R196" s="145">
        <v>67.92</v>
      </c>
      <c r="S196" s="145">
        <v>67.48</v>
      </c>
      <c r="T196" s="145">
        <v>66.48</v>
      </c>
      <c r="U196" s="145">
        <v>66.84</v>
      </c>
    </row>
    <row r="197" spans="1:21" x14ac:dyDescent="0.2">
      <c r="A197" s="89">
        <f t="shared" si="2"/>
        <v>189</v>
      </c>
      <c r="B197" s="43">
        <v>6</v>
      </c>
      <c r="C197" s="43">
        <v>4</v>
      </c>
      <c r="D197" s="38" t="s">
        <v>931</v>
      </c>
      <c r="E197" s="44" t="s">
        <v>131</v>
      </c>
      <c r="F197" s="44" t="s">
        <v>20</v>
      </c>
      <c r="G197" s="44" t="s">
        <v>120</v>
      </c>
      <c r="H197" s="44" t="s">
        <v>63</v>
      </c>
      <c r="I197" s="44" t="s">
        <v>128</v>
      </c>
      <c r="J197" s="44" t="s">
        <v>21</v>
      </c>
      <c r="K197" s="44" t="s">
        <v>132</v>
      </c>
      <c r="L197" s="40">
        <v>19443</v>
      </c>
      <c r="M197" s="41">
        <v>41851</v>
      </c>
      <c r="N197" s="40" t="s">
        <v>122</v>
      </c>
      <c r="O197" s="42">
        <v>42309</v>
      </c>
      <c r="P197" s="40">
        <v>49</v>
      </c>
      <c r="Q197" s="145">
        <v>75.2</v>
      </c>
      <c r="R197" s="145">
        <v>69.87</v>
      </c>
      <c r="S197" s="145">
        <v>69.39</v>
      </c>
      <c r="T197" s="145">
        <v>68.45</v>
      </c>
      <c r="U197" s="145">
        <v>68.84</v>
      </c>
    </row>
    <row r="198" spans="1:21" x14ac:dyDescent="0.2">
      <c r="A198" s="89">
        <f t="shared" si="2"/>
        <v>190</v>
      </c>
      <c r="B198" s="43">
        <v>6</v>
      </c>
      <c r="C198" s="43">
        <v>5</v>
      </c>
      <c r="D198" s="38" t="s">
        <v>932</v>
      </c>
      <c r="E198" s="44" t="s">
        <v>134</v>
      </c>
      <c r="F198" s="44" t="s">
        <v>20</v>
      </c>
      <c r="G198" s="44" t="s">
        <v>120</v>
      </c>
      <c r="H198" s="44" t="s">
        <v>63</v>
      </c>
      <c r="I198" s="44" t="s">
        <v>128</v>
      </c>
      <c r="J198" s="44" t="s">
        <v>16</v>
      </c>
      <c r="K198" s="44" t="s">
        <v>135</v>
      </c>
      <c r="L198" s="40">
        <v>19444</v>
      </c>
      <c r="M198" s="41">
        <v>41851</v>
      </c>
      <c r="N198" s="40" t="s">
        <v>122</v>
      </c>
      <c r="O198" s="42">
        <v>42309</v>
      </c>
      <c r="P198" s="40">
        <v>49</v>
      </c>
      <c r="Q198" s="145">
        <v>75.86</v>
      </c>
      <c r="R198" s="145">
        <v>68.89</v>
      </c>
      <c r="S198" s="145">
        <v>68.77</v>
      </c>
      <c r="T198" s="145">
        <v>67.42</v>
      </c>
      <c r="U198" s="145">
        <v>67.8</v>
      </c>
    </row>
    <row r="199" spans="1:21" x14ac:dyDescent="0.2">
      <c r="A199" s="89">
        <f t="shared" si="2"/>
        <v>191</v>
      </c>
      <c r="B199" s="43">
        <v>6</v>
      </c>
      <c r="C199" s="43">
        <v>6</v>
      </c>
      <c r="D199" s="38" t="s">
        <v>933</v>
      </c>
      <c r="E199" s="44" t="s">
        <v>137</v>
      </c>
      <c r="F199" s="44" t="s">
        <v>25</v>
      </c>
      <c r="G199" s="44" t="s">
        <v>138</v>
      </c>
      <c r="H199" s="44" t="s">
        <v>139</v>
      </c>
      <c r="I199" s="44" t="s">
        <v>29</v>
      </c>
      <c r="J199" s="44" t="s">
        <v>30</v>
      </c>
      <c r="K199" s="44" t="s">
        <v>140</v>
      </c>
      <c r="L199" s="40">
        <v>19445</v>
      </c>
      <c r="M199" s="41">
        <v>41851</v>
      </c>
      <c r="N199" s="40" t="s">
        <v>122</v>
      </c>
      <c r="O199" s="42">
        <v>42309</v>
      </c>
      <c r="P199" s="40">
        <v>49</v>
      </c>
      <c r="Q199" s="145">
        <v>58.47</v>
      </c>
      <c r="R199" s="145">
        <v>56.95</v>
      </c>
      <c r="S199" s="145">
        <v>57.92</v>
      </c>
      <c r="T199" s="145">
        <v>58.13</v>
      </c>
      <c r="U199" s="145">
        <v>59.41</v>
      </c>
    </row>
    <row r="200" spans="1:21" x14ac:dyDescent="0.2">
      <c r="A200" s="89">
        <f t="shared" si="2"/>
        <v>192</v>
      </c>
      <c r="B200" s="43">
        <v>6</v>
      </c>
      <c r="C200" s="43">
        <v>7</v>
      </c>
      <c r="D200" s="38" t="s">
        <v>934</v>
      </c>
      <c r="E200" s="44" t="s">
        <v>142</v>
      </c>
      <c r="F200" s="44" t="s">
        <v>39</v>
      </c>
      <c r="G200" s="44" t="s">
        <v>120</v>
      </c>
      <c r="H200" s="44" t="s">
        <v>40</v>
      </c>
      <c r="I200" s="44" t="s">
        <v>40</v>
      </c>
      <c r="J200" s="44" t="s">
        <v>42</v>
      </c>
      <c r="K200" s="44" t="s">
        <v>135</v>
      </c>
      <c r="L200" s="40">
        <v>19447</v>
      </c>
      <c r="M200" s="41">
        <v>41851</v>
      </c>
      <c r="N200" s="40" t="s">
        <v>122</v>
      </c>
      <c r="O200" s="42">
        <v>42309</v>
      </c>
      <c r="P200" s="40">
        <v>49</v>
      </c>
      <c r="Q200" s="145">
        <v>87.21</v>
      </c>
      <c r="R200" s="145">
        <v>81.11</v>
      </c>
      <c r="S200" s="145">
        <v>81.64</v>
      </c>
      <c r="T200" s="145">
        <v>80.28</v>
      </c>
      <c r="U200" s="145">
        <v>82.66</v>
      </c>
    </row>
    <row r="201" spans="1:21" x14ac:dyDescent="0.2">
      <c r="A201" s="89">
        <f t="shared" si="2"/>
        <v>193</v>
      </c>
      <c r="B201" s="43">
        <v>6</v>
      </c>
      <c r="C201" s="43">
        <v>8</v>
      </c>
      <c r="D201" s="38" t="s">
        <v>935</v>
      </c>
      <c r="E201" s="44" t="s">
        <v>144</v>
      </c>
      <c r="F201" s="44" t="s">
        <v>39</v>
      </c>
      <c r="G201" s="44" t="s">
        <v>120</v>
      </c>
      <c r="H201" s="44" t="s">
        <v>40</v>
      </c>
      <c r="I201" s="44" t="s">
        <v>40</v>
      </c>
      <c r="J201" s="44" t="s">
        <v>41</v>
      </c>
      <c r="K201" s="44" t="s">
        <v>132</v>
      </c>
      <c r="L201" s="40">
        <v>19446</v>
      </c>
      <c r="M201" s="41">
        <v>41851</v>
      </c>
      <c r="N201" s="40" t="s">
        <v>122</v>
      </c>
      <c r="O201" s="42">
        <v>42309</v>
      </c>
      <c r="P201" s="40">
        <v>49</v>
      </c>
      <c r="Q201" s="145">
        <v>86.31</v>
      </c>
      <c r="R201" s="145">
        <v>81.98</v>
      </c>
      <c r="S201" s="145">
        <v>82.03</v>
      </c>
      <c r="T201" s="145">
        <v>81.150000000000006</v>
      </c>
      <c r="U201" s="145">
        <v>83.58</v>
      </c>
    </row>
    <row r="202" spans="1:21" x14ac:dyDescent="0.2">
      <c r="A202" s="89">
        <f t="shared" si="2"/>
        <v>194</v>
      </c>
      <c r="B202" s="43">
        <v>6</v>
      </c>
      <c r="C202" s="43">
        <v>9</v>
      </c>
      <c r="D202" s="38" t="s">
        <v>936</v>
      </c>
      <c r="E202" s="44" t="s">
        <v>146</v>
      </c>
      <c r="F202" s="44" t="s">
        <v>39</v>
      </c>
      <c r="G202" s="44" t="s">
        <v>120</v>
      </c>
      <c r="H202" s="44" t="s">
        <v>40</v>
      </c>
      <c r="I202" s="44" t="s">
        <v>40</v>
      </c>
      <c r="J202" s="44" t="s">
        <v>7</v>
      </c>
      <c r="K202" s="44" t="s">
        <v>129</v>
      </c>
      <c r="L202" s="40">
        <v>19448</v>
      </c>
      <c r="M202" s="41">
        <v>41851</v>
      </c>
      <c r="N202" s="40" t="s">
        <v>122</v>
      </c>
      <c r="O202" s="42">
        <v>42309</v>
      </c>
      <c r="P202" s="40">
        <v>49</v>
      </c>
      <c r="Q202" s="145">
        <v>86.1</v>
      </c>
      <c r="R202" s="145">
        <v>80.22</v>
      </c>
      <c r="S202" s="145">
        <v>80.73</v>
      </c>
      <c r="T202" s="145">
        <v>79.39</v>
      </c>
      <c r="U202" s="145">
        <v>81.69</v>
      </c>
    </row>
    <row r="203" spans="1:21" x14ac:dyDescent="0.2">
      <c r="A203" s="89">
        <f t="shared" ref="A203:A266" si="3">A202+1</f>
        <v>195</v>
      </c>
      <c r="B203" s="43">
        <v>6</v>
      </c>
      <c r="C203" s="43">
        <v>10</v>
      </c>
      <c r="D203" s="38" t="s">
        <v>937</v>
      </c>
      <c r="E203" s="44" t="s">
        <v>148</v>
      </c>
      <c r="F203" s="44" t="s">
        <v>25</v>
      </c>
      <c r="G203" s="44" t="s">
        <v>120</v>
      </c>
      <c r="H203" s="44" t="s">
        <v>149</v>
      </c>
      <c r="I203" s="44" t="s">
        <v>26</v>
      </c>
      <c r="J203" s="44" t="s">
        <v>27</v>
      </c>
      <c r="K203" s="44" t="s">
        <v>150</v>
      </c>
      <c r="L203" s="40">
        <v>19449</v>
      </c>
      <c r="M203" s="41">
        <v>41851</v>
      </c>
      <c r="N203" s="40" t="s">
        <v>122</v>
      </c>
      <c r="O203" s="42">
        <v>42309</v>
      </c>
      <c r="P203" s="40">
        <v>49</v>
      </c>
      <c r="Q203" s="145">
        <v>66.7</v>
      </c>
      <c r="R203" s="145">
        <v>62.73</v>
      </c>
      <c r="S203" s="145">
        <v>61.86</v>
      </c>
      <c r="T203" s="145">
        <v>62.62</v>
      </c>
      <c r="U203" s="145">
        <v>64.77</v>
      </c>
    </row>
    <row r="204" spans="1:21" x14ac:dyDescent="0.2">
      <c r="A204" s="89">
        <f t="shared" si="3"/>
        <v>196</v>
      </c>
      <c r="B204" s="43">
        <v>6</v>
      </c>
      <c r="C204" s="43">
        <v>11</v>
      </c>
      <c r="D204" s="38" t="s">
        <v>938</v>
      </c>
      <c r="E204" s="44" t="s">
        <v>152</v>
      </c>
      <c r="F204" s="44" t="s">
        <v>25</v>
      </c>
      <c r="G204" s="44" t="s">
        <v>120</v>
      </c>
      <c r="H204" s="44" t="s">
        <v>149</v>
      </c>
      <c r="I204" s="44" t="s">
        <v>26</v>
      </c>
      <c r="J204" s="44" t="s">
        <v>28</v>
      </c>
      <c r="K204" s="44" t="s">
        <v>153</v>
      </c>
      <c r="L204" s="40">
        <v>19450</v>
      </c>
      <c r="M204" s="41">
        <v>41851</v>
      </c>
      <c r="N204" s="40" t="s">
        <v>122</v>
      </c>
      <c r="O204" s="42">
        <v>42309</v>
      </c>
      <c r="P204" s="40">
        <v>49</v>
      </c>
      <c r="Q204" s="145">
        <v>65.92</v>
      </c>
      <c r="R204" s="145">
        <v>61.89</v>
      </c>
      <c r="S204" s="145">
        <v>61.05</v>
      </c>
      <c r="T204" s="145">
        <v>61.78</v>
      </c>
      <c r="U204" s="145">
        <v>63.93</v>
      </c>
    </row>
    <row r="205" spans="1:21" x14ac:dyDescent="0.2">
      <c r="A205" s="89">
        <f t="shared" si="3"/>
        <v>197</v>
      </c>
      <c r="B205" s="43">
        <v>6</v>
      </c>
      <c r="C205" s="43">
        <v>12</v>
      </c>
      <c r="D205" s="38" t="s">
        <v>939</v>
      </c>
      <c r="E205" s="44" t="s">
        <v>155</v>
      </c>
      <c r="F205" s="44" t="s">
        <v>20</v>
      </c>
      <c r="G205" s="44" t="s">
        <v>120</v>
      </c>
      <c r="H205" s="44" t="s">
        <v>105</v>
      </c>
      <c r="I205" s="44" t="s">
        <v>156</v>
      </c>
      <c r="J205" s="44" t="s">
        <v>22</v>
      </c>
      <c r="K205" s="44" t="s">
        <v>157</v>
      </c>
      <c r="L205" s="40">
        <v>19451</v>
      </c>
      <c r="M205" s="41">
        <v>41851</v>
      </c>
      <c r="N205" s="40" t="s">
        <v>122</v>
      </c>
      <c r="O205" s="42">
        <v>42309</v>
      </c>
      <c r="P205" s="40">
        <v>49</v>
      </c>
      <c r="Q205" s="145">
        <v>62.65</v>
      </c>
      <c r="R205" s="145">
        <v>60.03</v>
      </c>
      <c r="S205" s="145">
        <v>58.86</v>
      </c>
      <c r="T205" s="145">
        <v>59.71</v>
      </c>
      <c r="U205" s="145">
        <v>61.74</v>
      </c>
    </row>
    <row r="206" spans="1:21" x14ac:dyDescent="0.2">
      <c r="A206" s="89">
        <f t="shared" si="3"/>
        <v>198</v>
      </c>
      <c r="B206" s="43">
        <v>6</v>
      </c>
      <c r="C206" s="43">
        <v>13</v>
      </c>
      <c r="D206" s="38" t="s">
        <v>940</v>
      </c>
      <c r="E206" s="44" t="s">
        <v>159</v>
      </c>
      <c r="F206" s="44" t="s">
        <v>39</v>
      </c>
      <c r="G206" s="44" t="s">
        <v>120</v>
      </c>
      <c r="H206" s="44" t="s">
        <v>43</v>
      </c>
      <c r="I206" s="44" t="s">
        <v>43</v>
      </c>
      <c r="J206" s="44" t="s">
        <v>7</v>
      </c>
      <c r="K206" s="44" t="s">
        <v>140</v>
      </c>
      <c r="L206" s="40">
        <v>19452</v>
      </c>
      <c r="M206" s="41">
        <v>41851</v>
      </c>
      <c r="N206" s="40" t="s">
        <v>122</v>
      </c>
      <c r="O206" s="42">
        <v>42309</v>
      </c>
      <c r="P206" s="40">
        <v>49</v>
      </c>
      <c r="Q206" s="145">
        <v>89.78</v>
      </c>
      <c r="R206" s="145">
        <v>84.37</v>
      </c>
      <c r="S206" s="145">
        <v>84.83</v>
      </c>
      <c r="T206" s="145">
        <v>83.66</v>
      </c>
      <c r="U206" s="145">
        <v>86.53</v>
      </c>
    </row>
    <row r="207" spans="1:21" x14ac:dyDescent="0.2">
      <c r="A207" s="89">
        <f t="shared" si="3"/>
        <v>199</v>
      </c>
      <c r="B207" s="43">
        <v>6</v>
      </c>
      <c r="C207" s="43">
        <v>14</v>
      </c>
      <c r="D207" s="38" t="s">
        <v>941</v>
      </c>
      <c r="E207" s="44" t="s">
        <v>161</v>
      </c>
      <c r="F207" s="44" t="s">
        <v>6</v>
      </c>
      <c r="G207" s="44" t="s">
        <v>120</v>
      </c>
      <c r="H207" s="44" t="s">
        <v>48</v>
      </c>
      <c r="I207" s="44" t="s">
        <v>48</v>
      </c>
      <c r="J207" s="44" t="s">
        <v>7</v>
      </c>
      <c r="K207" s="44" t="s">
        <v>140</v>
      </c>
      <c r="L207" s="40">
        <v>19453</v>
      </c>
      <c r="M207" s="41">
        <v>41851</v>
      </c>
      <c r="N207" s="40" t="s">
        <v>122</v>
      </c>
      <c r="O207" s="42">
        <v>42309</v>
      </c>
      <c r="P207" s="40">
        <v>49</v>
      </c>
      <c r="Q207" s="145">
        <v>74.58</v>
      </c>
      <c r="R207" s="145">
        <v>69.86</v>
      </c>
      <c r="S207" s="145">
        <v>69.239999999999995</v>
      </c>
      <c r="T207" s="145">
        <v>69.650000000000006</v>
      </c>
      <c r="U207" s="145">
        <v>71.709999999999994</v>
      </c>
    </row>
    <row r="208" spans="1:21" x14ac:dyDescent="0.2">
      <c r="A208" s="89">
        <f t="shared" si="3"/>
        <v>200</v>
      </c>
      <c r="B208" s="43">
        <v>6</v>
      </c>
      <c r="C208" s="43">
        <v>15</v>
      </c>
      <c r="D208" s="38" t="s">
        <v>942</v>
      </c>
      <c r="E208" s="44" t="s">
        <v>163</v>
      </c>
      <c r="F208" s="44" t="s">
        <v>20</v>
      </c>
      <c r="G208" s="44" t="s">
        <v>120</v>
      </c>
      <c r="H208" s="44" t="s">
        <v>23</v>
      </c>
      <c r="I208" s="44" t="s">
        <v>164</v>
      </c>
      <c r="J208" s="44" t="s">
        <v>24</v>
      </c>
      <c r="K208" s="44" t="s">
        <v>140</v>
      </c>
      <c r="L208" s="40">
        <v>19454</v>
      </c>
      <c r="M208" s="41">
        <v>41851</v>
      </c>
      <c r="N208" s="40" t="s">
        <v>122</v>
      </c>
      <c r="O208" s="42">
        <v>42309</v>
      </c>
      <c r="P208" s="40">
        <v>49</v>
      </c>
      <c r="Q208" s="145">
        <v>63.26</v>
      </c>
      <c r="R208" s="145">
        <v>58.14</v>
      </c>
      <c r="S208" s="145">
        <v>57.42</v>
      </c>
      <c r="T208" s="145">
        <v>57.82</v>
      </c>
      <c r="U208" s="145">
        <v>59.8</v>
      </c>
    </row>
    <row r="209" spans="1:21" x14ac:dyDescent="0.2">
      <c r="A209" s="89">
        <f t="shared" si="3"/>
        <v>201</v>
      </c>
      <c r="B209" s="43">
        <v>6</v>
      </c>
      <c r="C209" s="43">
        <v>16</v>
      </c>
      <c r="D209" s="38" t="s">
        <v>943</v>
      </c>
      <c r="E209" s="44" t="s">
        <v>166</v>
      </c>
      <c r="F209" s="44" t="s">
        <v>20</v>
      </c>
      <c r="G209" s="44" t="s">
        <v>120</v>
      </c>
      <c r="H209" s="44" t="s">
        <v>64</v>
      </c>
      <c r="I209" s="44" t="s">
        <v>167</v>
      </c>
      <c r="J209" s="44" t="s">
        <v>7</v>
      </c>
      <c r="K209" s="44" t="s">
        <v>140</v>
      </c>
      <c r="L209" s="40">
        <v>19455</v>
      </c>
      <c r="M209" s="41">
        <v>41851</v>
      </c>
      <c r="N209" s="40" t="s">
        <v>122</v>
      </c>
      <c r="O209" s="42">
        <v>42309</v>
      </c>
      <c r="P209" s="40">
        <v>49</v>
      </c>
      <c r="Q209" s="145">
        <v>82.66</v>
      </c>
      <c r="R209" s="145">
        <v>74.900000000000006</v>
      </c>
      <c r="S209" s="145">
        <v>70.94</v>
      </c>
      <c r="T209" s="145">
        <v>69.95</v>
      </c>
      <c r="U209" s="145">
        <v>72.23</v>
      </c>
    </row>
    <row r="210" spans="1:21" x14ac:dyDescent="0.2">
      <c r="A210" s="89">
        <f t="shared" si="3"/>
        <v>202</v>
      </c>
      <c r="B210" s="43">
        <v>6</v>
      </c>
      <c r="C210" s="43">
        <v>17</v>
      </c>
      <c r="D210" s="38" t="s">
        <v>944</v>
      </c>
      <c r="E210" s="44" t="s">
        <v>169</v>
      </c>
      <c r="F210" s="44" t="s">
        <v>31</v>
      </c>
      <c r="G210" s="44" t="s">
        <v>120</v>
      </c>
      <c r="H210" s="44" t="s">
        <v>35</v>
      </c>
      <c r="I210" s="44" t="s">
        <v>35</v>
      </c>
      <c r="J210" s="44" t="s">
        <v>9</v>
      </c>
      <c r="K210" s="44" t="s">
        <v>135</v>
      </c>
      <c r="L210" s="40">
        <v>19456</v>
      </c>
      <c r="M210" s="41">
        <v>41851</v>
      </c>
      <c r="N210" s="40" t="s">
        <v>122</v>
      </c>
      <c r="O210" s="42">
        <v>42309</v>
      </c>
      <c r="P210" s="40">
        <v>49</v>
      </c>
      <c r="Q210" s="145">
        <v>96.5</v>
      </c>
      <c r="R210" s="145">
        <v>90.7</v>
      </c>
      <c r="S210" s="145">
        <v>91.43</v>
      </c>
      <c r="T210" s="145">
        <v>90.38</v>
      </c>
      <c r="U210" s="145">
        <v>93.81</v>
      </c>
    </row>
    <row r="211" spans="1:21" x14ac:dyDescent="0.2">
      <c r="A211" s="89">
        <f t="shared" si="3"/>
        <v>203</v>
      </c>
      <c r="B211" s="43">
        <v>6</v>
      </c>
      <c r="C211" s="43">
        <v>18</v>
      </c>
      <c r="D211" s="38" t="s">
        <v>945</v>
      </c>
      <c r="E211" s="44" t="s">
        <v>171</v>
      </c>
      <c r="F211" s="44" t="s">
        <v>31</v>
      </c>
      <c r="G211" s="44" t="s">
        <v>120</v>
      </c>
      <c r="H211" s="44" t="s">
        <v>35</v>
      </c>
      <c r="I211" s="44" t="s">
        <v>35</v>
      </c>
      <c r="J211" s="44" t="s">
        <v>10</v>
      </c>
      <c r="K211" s="44" t="s">
        <v>132</v>
      </c>
      <c r="L211" s="40">
        <v>19457</v>
      </c>
      <c r="M211" s="41">
        <v>41851</v>
      </c>
      <c r="N211" s="40" t="s">
        <v>122</v>
      </c>
      <c r="O211" s="42">
        <v>42309</v>
      </c>
      <c r="P211" s="40">
        <v>49</v>
      </c>
      <c r="Q211" s="145">
        <v>95.61</v>
      </c>
      <c r="R211" s="145">
        <v>93.58</v>
      </c>
      <c r="S211" s="145">
        <v>93.32</v>
      </c>
      <c r="T211" s="145">
        <v>93.25</v>
      </c>
      <c r="U211" s="145">
        <v>96.65</v>
      </c>
    </row>
    <row r="212" spans="1:21" x14ac:dyDescent="0.2">
      <c r="A212" s="89">
        <f t="shared" si="3"/>
        <v>204</v>
      </c>
      <c r="B212" s="43">
        <v>6</v>
      </c>
      <c r="C212" s="43">
        <v>19</v>
      </c>
      <c r="D212" s="38" t="s">
        <v>946</v>
      </c>
      <c r="E212" s="44" t="s">
        <v>173</v>
      </c>
      <c r="F212" s="44" t="s">
        <v>31</v>
      </c>
      <c r="G212" s="44" t="s">
        <v>120</v>
      </c>
      <c r="H212" s="44" t="s">
        <v>35</v>
      </c>
      <c r="I212" s="44" t="s">
        <v>35</v>
      </c>
      <c r="J212" s="44" t="s">
        <v>11</v>
      </c>
      <c r="K212" s="44" t="s">
        <v>129</v>
      </c>
      <c r="L212" s="40">
        <v>19458</v>
      </c>
      <c r="M212" s="41">
        <v>41851</v>
      </c>
      <c r="N212" s="40" t="s">
        <v>122</v>
      </c>
      <c r="O212" s="42">
        <v>42309</v>
      </c>
      <c r="P212" s="40">
        <v>49</v>
      </c>
      <c r="Q212" s="145">
        <v>94.43</v>
      </c>
      <c r="R212" s="145">
        <v>91.22</v>
      </c>
      <c r="S212" s="145">
        <v>91.29</v>
      </c>
      <c r="T212" s="145">
        <v>90.84</v>
      </c>
      <c r="U212" s="145">
        <v>94.2</v>
      </c>
    </row>
    <row r="213" spans="1:21" x14ac:dyDescent="0.2">
      <c r="A213" s="89">
        <f t="shared" si="3"/>
        <v>205</v>
      </c>
      <c r="B213" s="43">
        <v>6</v>
      </c>
      <c r="C213" s="43">
        <v>20</v>
      </c>
      <c r="D213" s="38" t="s">
        <v>947</v>
      </c>
      <c r="E213" s="44" t="s">
        <v>175</v>
      </c>
      <c r="F213" s="44" t="s">
        <v>6</v>
      </c>
      <c r="G213" s="44" t="s">
        <v>120</v>
      </c>
      <c r="H213" s="44" t="s">
        <v>176</v>
      </c>
      <c r="I213" s="44" t="s">
        <v>177</v>
      </c>
      <c r="J213" s="44" t="s">
        <v>9</v>
      </c>
      <c r="K213" s="44" t="s">
        <v>135</v>
      </c>
      <c r="L213" s="40">
        <v>19460</v>
      </c>
      <c r="M213" s="41">
        <v>41851</v>
      </c>
      <c r="N213" s="40" t="s">
        <v>122</v>
      </c>
      <c r="O213" s="42">
        <v>42309</v>
      </c>
      <c r="P213" s="40">
        <v>49</v>
      </c>
      <c r="Q213" s="145">
        <v>77.42</v>
      </c>
      <c r="R213" s="145">
        <v>72.13</v>
      </c>
      <c r="S213" s="145">
        <v>72.41</v>
      </c>
      <c r="T213" s="145">
        <v>71.17</v>
      </c>
      <c r="U213" s="145">
        <v>73.5</v>
      </c>
    </row>
    <row r="214" spans="1:21" x14ac:dyDescent="0.2">
      <c r="A214" s="89">
        <f t="shared" si="3"/>
        <v>206</v>
      </c>
      <c r="B214" s="43">
        <v>6</v>
      </c>
      <c r="C214" s="43">
        <v>21</v>
      </c>
      <c r="D214" s="38" t="s">
        <v>948</v>
      </c>
      <c r="E214" s="44" t="s">
        <v>179</v>
      </c>
      <c r="F214" s="44" t="s">
        <v>6</v>
      </c>
      <c r="G214" s="44" t="s">
        <v>120</v>
      </c>
      <c r="H214" s="44" t="s">
        <v>176</v>
      </c>
      <c r="I214" s="44" t="s">
        <v>177</v>
      </c>
      <c r="J214" s="44" t="s">
        <v>10</v>
      </c>
      <c r="K214" s="44" t="s">
        <v>132</v>
      </c>
      <c r="L214" s="40">
        <v>19459</v>
      </c>
      <c r="M214" s="41">
        <v>41851</v>
      </c>
      <c r="N214" s="40" t="s">
        <v>122</v>
      </c>
      <c r="O214" s="42">
        <v>42309</v>
      </c>
      <c r="P214" s="40">
        <v>49</v>
      </c>
      <c r="Q214" s="145">
        <v>77.94</v>
      </c>
      <c r="R214" s="145">
        <v>73.22</v>
      </c>
      <c r="S214" s="145">
        <v>73.31</v>
      </c>
      <c r="T214" s="145">
        <v>72.27</v>
      </c>
      <c r="U214" s="145">
        <v>74.61</v>
      </c>
    </row>
    <row r="215" spans="1:21" x14ac:dyDescent="0.2">
      <c r="A215" s="89">
        <f t="shared" si="3"/>
        <v>207</v>
      </c>
      <c r="B215" s="43">
        <v>6</v>
      </c>
      <c r="C215" s="43">
        <v>22</v>
      </c>
      <c r="D215" s="38" t="s">
        <v>949</v>
      </c>
      <c r="E215" s="44" t="s">
        <v>181</v>
      </c>
      <c r="F215" s="44" t="s">
        <v>6</v>
      </c>
      <c r="G215" s="44" t="s">
        <v>120</v>
      </c>
      <c r="H215" s="44" t="s">
        <v>176</v>
      </c>
      <c r="I215" s="44" t="s">
        <v>177</v>
      </c>
      <c r="J215" s="44" t="s">
        <v>11</v>
      </c>
      <c r="K215" s="44" t="s">
        <v>129</v>
      </c>
      <c r="L215" s="40">
        <v>19461</v>
      </c>
      <c r="M215" s="41">
        <v>41851</v>
      </c>
      <c r="N215" s="40" t="s">
        <v>122</v>
      </c>
      <c r="O215" s="42">
        <v>42309</v>
      </c>
      <c r="P215" s="40">
        <v>49</v>
      </c>
      <c r="Q215" s="145">
        <v>77.09</v>
      </c>
      <c r="R215" s="145">
        <v>72.150000000000006</v>
      </c>
      <c r="S215" s="145">
        <v>72.400000000000006</v>
      </c>
      <c r="T215" s="145">
        <v>71.22</v>
      </c>
      <c r="U215" s="145">
        <v>73.55</v>
      </c>
    </row>
    <row r="216" spans="1:21" x14ac:dyDescent="0.2">
      <c r="A216" s="89">
        <f t="shared" si="3"/>
        <v>208</v>
      </c>
      <c r="B216" s="43">
        <v>6</v>
      </c>
      <c r="C216" s="43">
        <v>23</v>
      </c>
      <c r="D216" s="38" t="s">
        <v>950</v>
      </c>
      <c r="E216" s="44" t="s">
        <v>183</v>
      </c>
      <c r="F216" s="44" t="s">
        <v>6</v>
      </c>
      <c r="G216" s="44" t="s">
        <v>120</v>
      </c>
      <c r="H216" s="44" t="s">
        <v>13</v>
      </c>
      <c r="I216" s="44" t="s">
        <v>13</v>
      </c>
      <c r="J216" s="44" t="s">
        <v>7</v>
      </c>
      <c r="K216" s="44" t="s">
        <v>140</v>
      </c>
      <c r="L216" s="40">
        <v>19462</v>
      </c>
      <c r="M216" s="41">
        <v>41851</v>
      </c>
      <c r="N216" s="40" t="s">
        <v>122</v>
      </c>
      <c r="O216" s="42">
        <v>42309</v>
      </c>
      <c r="P216" s="40">
        <v>49</v>
      </c>
      <c r="Q216" s="145">
        <v>82.15</v>
      </c>
      <c r="R216" s="145">
        <v>76.42</v>
      </c>
      <c r="S216" s="145">
        <v>76.86</v>
      </c>
      <c r="T216" s="145">
        <v>75.55</v>
      </c>
      <c r="U216" s="145">
        <v>78.41</v>
      </c>
    </row>
    <row r="217" spans="1:21" x14ac:dyDescent="0.2">
      <c r="A217" s="89">
        <f t="shared" si="3"/>
        <v>209</v>
      </c>
      <c r="B217" s="43">
        <v>6</v>
      </c>
      <c r="C217" s="43">
        <v>24</v>
      </c>
      <c r="D217" s="38" t="s">
        <v>951</v>
      </c>
      <c r="E217" s="44" t="s">
        <v>185</v>
      </c>
      <c r="F217" s="44" t="s">
        <v>6</v>
      </c>
      <c r="G217" s="44" t="s">
        <v>120</v>
      </c>
      <c r="H217" s="44" t="s">
        <v>12</v>
      </c>
      <c r="I217" s="44" t="s">
        <v>186</v>
      </c>
      <c r="J217" s="44" t="s">
        <v>9</v>
      </c>
      <c r="K217" s="44" t="s">
        <v>135</v>
      </c>
      <c r="L217" s="40">
        <v>19463</v>
      </c>
      <c r="M217" s="41">
        <v>41851</v>
      </c>
      <c r="N217" s="40" t="s">
        <v>122</v>
      </c>
      <c r="O217" s="42">
        <v>42309</v>
      </c>
      <c r="P217" s="40">
        <v>49</v>
      </c>
      <c r="Q217" s="145">
        <v>75.8</v>
      </c>
      <c r="R217" s="145">
        <v>71.87</v>
      </c>
      <c r="S217" s="145">
        <v>71.84</v>
      </c>
      <c r="T217" s="145">
        <v>70.94</v>
      </c>
      <c r="U217" s="145">
        <v>73.099999999999994</v>
      </c>
    </row>
    <row r="218" spans="1:21" x14ac:dyDescent="0.2">
      <c r="A218" s="89">
        <f t="shared" si="3"/>
        <v>210</v>
      </c>
      <c r="B218" s="43">
        <v>6</v>
      </c>
      <c r="C218" s="43">
        <v>25</v>
      </c>
      <c r="D218" s="38" t="s">
        <v>952</v>
      </c>
      <c r="E218" s="44" t="s">
        <v>188</v>
      </c>
      <c r="F218" s="44" t="s">
        <v>6</v>
      </c>
      <c r="G218" s="44" t="s">
        <v>120</v>
      </c>
      <c r="H218" s="44" t="s">
        <v>12</v>
      </c>
      <c r="I218" s="44" t="s">
        <v>186</v>
      </c>
      <c r="J218" s="44" t="s">
        <v>10</v>
      </c>
      <c r="K218" s="44" t="s">
        <v>132</v>
      </c>
      <c r="L218" s="40">
        <v>19464</v>
      </c>
      <c r="M218" s="41">
        <v>41851</v>
      </c>
      <c r="N218" s="40" t="s">
        <v>122</v>
      </c>
      <c r="O218" s="42">
        <v>42309</v>
      </c>
      <c r="P218" s="40">
        <v>49</v>
      </c>
      <c r="Q218" s="145">
        <v>76.28</v>
      </c>
      <c r="R218" s="145">
        <v>73.06</v>
      </c>
      <c r="S218" s="145">
        <v>72.81</v>
      </c>
      <c r="T218" s="145">
        <v>72.14</v>
      </c>
      <c r="U218" s="145">
        <v>74.3</v>
      </c>
    </row>
    <row r="219" spans="1:21" x14ac:dyDescent="0.2">
      <c r="A219" s="89">
        <f t="shared" si="3"/>
        <v>211</v>
      </c>
      <c r="B219" s="43">
        <v>6</v>
      </c>
      <c r="C219" s="43">
        <v>26</v>
      </c>
      <c r="D219" s="38" t="s">
        <v>953</v>
      </c>
      <c r="E219" s="44" t="s">
        <v>190</v>
      </c>
      <c r="F219" s="44" t="s">
        <v>6</v>
      </c>
      <c r="G219" s="44" t="s">
        <v>120</v>
      </c>
      <c r="H219" s="44" t="s">
        <v>12</v>
      </c>
      <c r="I219" s="44" t="s">
        <v>186</v>
      </c>
      <c r="J219" s="44" t="s">
        <v>11</v>
      </c>
      <c r="K219" s="44" t="s">
        <v>129</v>
      </c>
      <c r="L219" s="40">
        <v>19465</v>
      </c>
      <c r="M219" s="41">
        <v>41851</v>
      </c>
      <c r="N219" s="40" t="s">
        <v>122</v>
      </c>
      <c r="O219" s="42">
        <v>42309</v>
      </c>
      <c r="P219" s="40">
        <v>49</v>
      </c>
      <c r="Q219" s="145">
        <v>72.53</v>
      </c>
      <c r="R219" s="145">
        <v>72.459999999999994</v>
      </c>
      <c r="S219" s="145">
        <v>71.290000000000006</v>
      </c>
      <c r="T219" s="145">
        <v>71.52</v>
      </c>
      <c r="U219" s="145">
        <v>73.66</v>
      </c>
    </row>
    <row r="220" spans="1:21" x14ac:dyDescent="0.2">
      <c r="A220" s="89">
        <f t="shared" si="3"/>
        <v>212</v>
      </c>
      <c r="B220" s="43">
        <v>6</v>
      </c>
      <c r="C220" s="43">
        <v>27</v>
      </c>
      <c r="D220" s="38" t="s">
        <v>954</v>
      </c>
      <c r="E220" s="44" t="s">
        <v>192</v>
      </c>
      <c r="F220" s="44" t="s">
        <v>6</v>
      </c>
      <c r="G220" s="44" t="s">
        <v>120</v>
      </c>
      <c r="H220" s="44" t="s">
        <v>100</v>
      </c>
      <c r="I220" s="44" t="s">
        <v>193</v>
      </c>
      <c r="J220" s="44" t="s">
        <v>7</v>
      </c>
      <c r="K220" s="44" t="s">
        <v>140</v>
      </c>
      <c r="L220" s="40">
        <v>19466</v>
      </c>
      <c r="M220" s="41">
        <v>41851</v>
      </c>
      <c r="N220" s="40" t="s">
        <v>122</v>
      </c>
      <c r="O220" s="42">
        <v>42309</v>
      </c>
      <c r="P220" s="40">
        <v>49</v>
      </c>
      <c r="Q220" s="145">
        <v>86.43</v>
      </c>
      <c r="R220" s="145">
        <v>80.37</v>
      </c>
      <c r="S220" s="145">
        <v>75.88</v>
      </c>
      <c r="T220" s="145">
        <v>75.459999999999994</v>
      </c>
      <c r="U220" s="145">
        <v>77.650000000000006</v>
      </c>
    </row>
    <row r="221" spans="1:21" x14ac:dyDescent="0.2">
      <c r="A221" s="89">
        <f t="shared" si="3"/>
        <v>213</v>
      </c>
      <c r="B221" s="43">
        <v>6</v>
      </c>
      <c r="C221" s="43">
        <v>28</v>
      </c>
      <c r="D221" s="38" t="s">
        <v>955</v>
      </c>
      <c r="E221" s="44" t="s">
        <v>195</v>
      </c>
      <c r="F221" s="44" t="s">
        <v>39</v>
      </c>
      <c r="G221" s="44" t="s">
        <v>120</v>
      </c>
      <c r="H221" s="44" t="s">
        <v>44</v>
      </c>
      <c r="I221" s="44" t="s">
        <v>44</v>
      </c>
      <c r="J221" s="44" t="s">
        <v>7</v>
      </c>
      <c r="K221" s="44" t="s">
        <v>140</v>
      </c>
      <c r="L221" s="40">
        <v>19467</v>
      </c>
      <c r="M221" s="41">
        <v>41851</v>
      </c>
      <c r="N221" s="40" t="s">
        <v>122</v>
      </c>
      <c r="O221" s="42">
        <v>42309</v>
      </c>
      <c r="P221" s="40">
        <v>49</v>
      </c>
      <c r="Q221" s="145">
        <v>83.36</v>
      </c>
      <c r="R221" s="145">
        <v>80.89</v>
      </c>
      <c r="S221" s="145">
        <v>80.5</v>
      </c>
      <c r="T221" s="145">
        <v>80.2</v>
      </c>
      <c r="U221" s="145">
        <v>82.91</v>
      </c>
    </row>
    <row r="222" spans="1:21" x14ac:dyDescent="0.2">
      <c r="A222" s="89">
        <f t="shared" si="3"/>
        <v>214</v>
      </c>
      <c r="B222" s="43">
        <v>6</v>
      </c>
      <c r="C222" s="43">
        <v>29</v>
      </c>
      <c r="D222" s="38" t="s">
        <v>956</v>
      </c>
      <c r="E222" s="44" t="s">
        <v>197</v>
      </c>
      <c r="F222" s="44" t="s">
        <v>39</v>
      </c>
      <c r="G222" s="44" t="s">
        <v>120</v>
      </c>
      <c r="H222" s="44" t="s">
        <v>44</v>
      </c>
      <c r="I222" s="44" t="s">
        <v>44</v>
      </c>
      <c r="J222" s="44" t="s">
        <v>45</v>
      </c>
      <c r="K222" s="44" t="s">
        <v>198</v>
      </c>
      <c r="L222" s="40">
        <v>19468</v>
      </c>
      <c r="M222" s="41">
        <v>41851</v>
      </c>
      <c r="N222" s="40" t="s">
        <v>122</v>
      </c>
      <c r="O222" s="42">
        <v>42309</v>
      </c>
      <c r="P222" s="40">
        <v>49</v>
      </c>
      <c r="Q222" s="145">
        <v>83.79</v>
      </c>
      <c r="R222" s="145">
        <v>78.819999999999993</v>
      </c>
      <c r="S222" s="145">
        <v>79.14</v>
      </c>
      <c r="T222" s="145">
        <v>78.12</v>
      </c>
      <c r="U222" s="145">
        <v>80.81</v>
      </c>
    </row>
    <row r="223" spans="1:21" x14ac:dyDescent="0.2">
      <c r="A223" s="89">
        <f t="shared" si="3"/>
        <v>215</v>
      </c>
      <c r="B223" s="43">
        <v>6</v>
      </c>
      <c r="C223" s="43">
        <v>30</v>
      </c>
      <c r="D223" s="38" t="s">
        <v>957</v>
      </c>
      <c r="E223" s="44" t="s">
        <v>200</v>
      </c>
      <c r="F223" s="44" t="s">
        <v>39</v>
      </c>
      <c r="G223" s="44" t="s">
        <v>120</v>
      </c>
      <c r="H223" s="44" t="s">
        <v>44</v>
      </c>
      <c r="I223" s="44" t="s">
        <v>44</v>
      </c>
      <c r="J223" s="44" t="s">
        <v>46</v>
      </c>
      <c r="K223" s="44" t="s">
        <v>46</v>
      </c>
      <c r="L223" s="40">
        <v>19469</v>
      </c>
      <c r="M223" s="41">
        <v>41851</v>
      </c>
      <c r="N223" s="40" t="s">
        <v>122</v>
      </c>
      <c r="O223" s="42">
        <v>42309</v>
      </c>
      <c r="P223" s="40">
        <v>49</v>
      </c>
      <c r="Q223" s="145">
        <v>82.02</v>
      </c>
      <c r="R223" s="145">
        <v>78.08</v>
      </c>
      <c r="S223" s="145">
        <v>78.17</v>
      </c>
      <c r="T223" s="145">
        <v>77.349999999999994</v>
      </c>
      <c r="U223" s="145">
        <v>80.08</v>
      </c>
    </row>
    <row r="224" spans="1:21" x14ac:dyDescent="0.2">
      <c r="A224" s="89">
        <f t="shared" si="3"/>
        <v>216</v>
      </c>
      <c r="B224" s="43">
        <v>6</v>
      </c>
      <c r="C224" s="43">
        <v>31</v>
      </c>
      <c r="D224" s="38" t="s">
        <v>958</v>
      </c>
      <c r="E224" s="44" t="s">
        <v>202</v>
      </c>
      <c r="F224" s="44" t="s">
        <v>39</v>
      </c>
      <c r="G224" s="44" t="s">
        <v>120</v>
      </c>
      <c r="H224" s="44" t="s">
        <v>47</v>
      </c>
      <c r="I224" s="44" t="s">
        <v>47</v>
      </c>
      <c r="J224" s="44" t="s">
        <v>7</v>
      </c>
      <c r="K224" s="44" t="s">
        <v>140</v>
      </c>
      <c r="L224" s="40">
        <v>19470</v>
      </c>
      <c r="M224" s="41">
        <v>41851</v>
      </c>
      <c r="N224" s="40" t="s">
        <v>122</v>
      </c>
      <c r="O224" s="42">
        <v>42309</v>
      </c>
      <c r="P224" s="40">
        <v>49</v>
      </c>
      <c r="Q224" s="145">
        <v>72.97</v>
      </c>
      <c r="R224" s="145">
        <v>69.77</v>
      </c>
      <c r="S224" s="145">
        <v>68.650000000000006</v>
      </c>
      <c r="T224" s="145">
        <v>69.48</v>
      </c>
      <c r="U224" s="145">
        <v>71.91</v>
      </c>
    </row>
    <row r="225" spans="1:21" x14ac:dyDescent="0.2">
      <c r="A225" s="89">
        <f t="shared" si="3"/>
        <v>217</v>
      </c>
      <c r="B225" s="43">
        <v>6</v>
      </c>
      <c r="C225" s="43">
        <v>32</v>
      </c>
      <c r="D225" s="38" t="s">
        <v>959</v>
      </c>
      <c r="E225" s="44" t="s">
        <v>204</v>
      </c>
      <c r="F225" s="44" t="s">
        <v>6</v>
      </c>
      <c r="G225" s="44" t="s">
        <v>120</v>
      </c>
      <c r="H225" s="44" t="s">
        <v>14</v>
      </c>
      <c r="I225" s="44" t="s">
        <v>14</v>
      </c>
      <c r="J225" s="44" t="s">
        <v>15</v>
      </c>
      <c r="K225" s="44" t="s">
        <v>129</v>
      </c>
      <c r="L225" s="40">
        <v>19471</v>
      </c>
      <c r="M225" s="41">
        <v>41851</v>
      </c>
      <c r="N225" s="40" t="s">
        <v>122</v>
      </c>
      <c r="O225" s="42">
        <v>42309</v>
      </c>
      <c r="P225" s="40">
        <v>49</v>
      </c>
      <c r="Q225" s="145">
        <v>82.37</v>
      </c>
      <c r="R225" s="145">
        <v>78.790000000000006</v>
      </c>
      <c r="S225" s="145">
        <v>78.59</v>
      </c>
      <c r="T225" s="145">
        <v>77.8</v>
      </c>
      <c r="U225" s="145">
        <v>79.97</v>
      </c>
    </row>
    <row r="226" spans="1:21" x14ac:dyDescent="0.2">
      <c r="A226" s="89">
        <f t="shared" si="3"/>
        <v>218</v>
      </c>
      <c r="B226" s="43">
        <v>6</v>
      </c>
      <c r="C226" s="43">
        <v>33</v>
      </c>
      <c r="D226" s="38" t="s">
        <v>960</v>
      </c>
      <c r="E226" s="44" t="s">
        <v>206</v>
      </c>
      <c r="F226" s="44" t="s">
        <v>6</v>
      </c>
      <c r="G226" s="44" t="s">
        <v>120</v>
      </c>
      <c r="H226" s="44" t="s">
        <v>14</v>
      </c>
      <c r="I226" s="44" t="s">
        <v>14</v>
      </c>
      <c r="J226" s="44" t="s">
        <v>16</v>
      </c>
      <c r="K226" s="44" t="s">
        <v>135</v>
      </c>
      <c r="L226" s="40">
        <v>19472</v>
      </c>
      <c r="M226" s="41">
        <v>41851</v>
      </c>
      <c r="N226" s="40" t="s">
        <v>122</v>
      </c>
      <c r="O226" s="42">
        <v>42309</v>
      </c>
      <c r="P226" s="40">
        <v>49</v>
      </c>
      <c r="Q226" s="145">
        <v>84.6</v>
      </c>
      <c r="R226" s="145">
        <v>80.069999999999993</v>
      </c>
      <c r="S226" s="145">
        <v>80.14</v>
      </c>
      <c r="T226" s="145">
        <v>79.12</v>
      </c>
      <c r="U226" s="145">
        <v>81.36</v>
      </c>
    </row>
    <row r="227" spans="1:21" x14ac:dyDescent="0.2">
      <c r="A227" s="89">
        <f t="shared" si="3"/>
        <v>219</v>
      </c>
      <c r="B227" s="43">
        <v>6</v>
      </c>
      <c r="C227" s="43">
        <v>34</v>
      </c>
      <c r="D227" s="38" t="s">
        <v>961</v>
      </c>
      <c r="E227" s="44" t="s">
        <v>208</v>
      </c>
      <c r="F227" s="44" t="s">
        <v>31</v>
      </c>
      <c r="G227" s="44" t="s">
        <v>120</v>
      </c>
      <c r="H227" s="44" t="s">
        <v>36</v>
      </c>
      <c r="I227" s="44" t="s">
        <v>36</v>
      </c>
      <c r="J227" s="44" t="s">
        <v>37</v>
      </c>
      <c r="K227" s="44" t="s">
        <v>209</v>
      </c>
      <c r="L227" s="40">
        <v>19473</v>
      </c>
      <c r="M227" s="41">
        <v>41851</v>
      </c>
      <c r="N227" s="40" t="s">
        <v>122</v>
      </c>
      <c r="O227" s="42">
        <v>42309</v>
      </c>
      <c r="P227" s="40">
        <v>49</v>
      </c>
      <c r="Q227" s="145">
        <v>104.68</v>
      </c>
      <c r="R227" s="145">
        <v>101.47</v>
      </c>
      <c r="S227" s="145">
        <v>103.31</v>
      </c>
      <c r="T227" s="145">
        <v>102.69</v>
      </c>
      <c r="U227" s="145">
        <v>105.36</v>
      </c>
    </row>
    <row r="228" spans="1:21" x14ac:dyDescent="0.2">
      <c r="A228" s="89">
        <f t="shared" si="3"/>
        <v>220</v>
      </c>
      <c r="B228" s="43">
        <v>6</v>
      </c>
      <c r="C228" s="43">
        <v>35</v>
      </c>
      <c r="D228" s="38" t="s">
        <v>962</v>
      </c>
      <c r="E228" s="44" t="s">
        <v>211</v>
      </c>
      <c r="F228" s="44" t="s">
        <v>31</v>
      </c>
      <c r="G228" s="44" t="s">
        <v>120</v>
      </c>
      <c r="H228" s="44" t="s">
        <v>36</v>
      </c>
      <c r="I228" s="44" t="s">
        <v>36</v>
      </c>
      <c r="J228" s="44" t="s">
        <v>38</v>
      </c>
      <c r="K228" s="44" t="s">
        <v>212</v>
      </c>
      <c r="L228" s="40">
        <v>19474</v>
      </c>
      <c r="M228" s="41">
        <v>41851</v>
      </c>
      <c r="N228" s="40" t="s">
        <v>122</v>
      </c>
      <c r="O228" s="42">
        <v>42309</v>
      </c>
      <c r="P228" s="40">
        <v>49</v>
      </c>
      <c r="Q228" s="145">
        <v>103.42</v>
      </c>
      <c r="R228" s="145">
        <v>99.82</v>
      </c>
      <c r="S228" s="145">
        <v>101.82</v>
      </c>
      <c r="T228" s="145">
        <v>100.97</v>
      </c>
      <c r="U228" s="145">
        <v>103.6</v>
      </c>
    </row>
    <row r="229" spans="1:21" x14ac:dyDescent="0.2">
      <c r="A229" s="89">
        <f t="shared" si="3"/>
        <v>221</v>
      </c>
      <c r="B229" s="43">
        <v>6</v>
      </c>
      <c r="C229" s="43">
        <v>36</v>
      </c>
      <c r="D229" s="38" t="s">
        <v>963</v>
      </c>
      <c r="E229" s="44" t="s">
        <v>214</v>
      </c>
      <c r="F229" s="44" t="s">
        <v>6</v>
      </c>
      <c r="G229" s="44" t="s">
        <v>120</v>
      </c>
      <c r="H229" s="44" t="s">
        <v>17</v>
      </c>
      <c r="I229" s="44" t="s">
        <v>215</v>
      </c>
      <c r="J229" s="44" t="s">
        <v>18</v>
      </c>
      <c r="K229" s="44" t="s">
        <v>140</v>
      </c>
      <c r="L229" s="40">
        <v>19475</v>
      </c>
      <c r="M229" s="41">
        <v>41851</v>
      </c>
      <c r="N229" s="40" t="s">
        <v>122</v>
      </c>
      <c r="O229" s="42">
        <v>42309</v>
      </c>
      <c r="P229" s="40">
        <v>49</v>
      </c>
      <c r="Q229" s="145">
        <v>69.5</v>
      </c>
      <c r="R229" s="145">
        <v>65.33</v>
      </c>
      <c r="S229" s="145">
        <v>64.33</v>
      </c>
      <c r="T229" s="145">
        <v>64.81</v>
      </c>
      <c r="U229" s="145">
        <v>66.89</v>
      </c>
    </row>
    <row r="230" spans="1:21" x14ac:dyDescent="0.2">
      <c r="A230" s="89">
        <f t="shared" si="3"/>
        <v>222</v>
      </c>
      <c r="B230" s="20"/>
      <c r="C230" s="20"/>
      <c r="D230" s="20"/>
    </row>
    <row r="231" spans="1:21" x14ac:dyDescent="0.2">
      <c r="A231" s="89">
        <f t="shared" si="3"/>
        <v>223</v>
      </c>
      <c r="B231" s="43">
        <v>7</v>
      </c>
      <c r="C231" s="43">
        <v>1</v>
      </c>
      <c r="D231" s="38" t="s">
        <v>964</v>
      </c>
      <c r="E231" s="44" t="s">
        <v>119</v>
      </c>
      <c r="F231" s="44" t="s">
        <v>31</v>
      </c>
      <c r="G231" s="44" t="s">
        <v>120</v>
      </c>
      <c r="H231" s="44" t="s">
        <v>32</v>
      </c>
      <c r="I231" s="44" t="s">
        <v>32</v>
      </c>
      <c r="J231" s="44" t="s">
        <v>33</v>
      </c>
      <c r="K231" s="44" t="s">
        <v>121</v>
      </c>
      <c r="L231" s="40">
        <v>19440</v>
      </c>
      <c r="M231" s="41">
        <v>41851</v>
      </c>
      <c r="N231" s="40" t="s">
        <v>122</v>
      </c>
      <c r="O231" s="42">
        <v>42339</v>
      </c>
      <c r="P231" s="40">
        <v>50</v>
      </c>
      <c r="Q231" s="145">
        <v>102.12</v>
      </c>
      <c r="R231" s="145">
        <v>93.36</v>
      </c>
      <c r="S231" s="145">
        <v>94.7</v>
      </c>
      <c r="T231" s="145">
        <v>93.04</v>
      </c>
      <c r="U231" s="145">
        <v>96.42</v>
      </c>
    </row>
    <row r="232" spans="1:21" x14ac:dyDescent="0.2">
      <c r="A232" s="89">
        <f t="shared" si="3"/>
        <v>224</v>
      </c>
      <c r="B232" s="43">
        <v>7</v>
      </c>
      <c r="C232" s="43">
        <v>2</v>
      </c>
      <c r="D232" s="38" t="s">
        <v>965</v>
      </c>
      <c r="E232" s="44" t="s">
        <v>124</v>
      </c>
      <c r="F232" s="44" t="s">
        <v>31</v>
      </c>
      <c r="G232" s="44" t="s">
        <v>120</v>
      </c>
      <c r="H232" s="44" t="s">
        <v>32</v>
      </c>
      <c r="I232" s="44" t="s">
        <v>32</v>
      </c>
      <c r="J232" s="44" t="s">
        <v>34</v>
      </c>
      <c r="K232" s="44" t="s">
        <v>125</v>
      </c>
      <c r="L232" s="40">
        <v>19441</v>
      </c>
      <c r="M232" s="41">
        <v>41851</v>
      </c>
      <c r="N232" s="40" t="s">
        <v>122</v>
      </c>
      <c r="O232" s="42">
        <v>42339</v>
      </c>
      <c r="P232" s="40">
        <v>50</v>
      </c>
      <c r="Q232" s="145">
        <v>99.82</v>
      </c>
      <c r="R232" s="145">
        <v>92.65</v>
      </c>
      <c r="S232" s="145">
        <v>93.65</v>
      </c>
      <c r="T232" s="145">
        <v>92.29</v>
      </c>
      <c r="U232" s="145">
        <v>94.36</v>
      </c>
    </row>
    <row r="233" spans="1:21" x14ac:dyDescent="0.2">
      <c r="A233" s="89">
        <f t="shared" si="3"/>
        <v>225</v>
      </c>
      <c r="B233" s="43">
        <v>7</v>
      </c>
      <c r="C233" s="43">
        <v>3</v>
      </c>
      <c r="D233" s="38" t="s">
        <v>966</v>
      </c>
      <c r="E233" s="44" t="s">
        <v>127</v>
      </c>
      <c r="F233" s="44" t="s">
        <v>20</v>
      </c>
      <c r="G233" s="44" t="s">
        <v>120</v>
      </c>
      <c r="H233" s="44" t="s">
        <v>63</v>
      </c>
      <c r="I233" s="44" t="s">
        <v>128</v>
      </c>
      <c r="J233" s="44" t="s">
        <v>15</v>
      </c>
      <c r="K233" s="44" t="s">
        <v>129</v>
      </c>
      <c r="L233" s="40">
        <v>19442</v>
      </c>
      <c r="M233" s="41">
        <v>41851</v>
      </c>
      <c r="N233" s="40" t="s">
        <v>122</v>
      </c>
      <c r="O233" s="42">
        <v>42339</v>
      </c>
      <c r="P233" s="40">
        <v>50</v>
      </c>
      <c r="Q233" s="145">
        <v>74.05</v>
      </c>
      <c r="R233" s="145">
        <v>67.349999999999994</v>
      </c>
      <c r="S233" s="145">
        <v>67.319999999999993</v>
      </c>
      <c r="T233" s="145">
        <v>66.239999999999995</v>
      </c>
      <c r="U233" s="145">
        <v>66.77</v>
      </c>
    </row>
    <row r="234" spans="1:21" x14ac:dyDescent="0.2">
      <c r="A234" s="89">
        <f t="shared" si="3"/>
        <v>226</v>
      </c>
      <c r="B234" s="43">
        <v>7</v>
      </c>
      <c r="C234" s="43">
        <v>4</v>
      </c>
      <c r="D234" s="38" t="s">
        <v>967</v>
      </c>
      <c r="E234" s="44" t="s">
        <v>131</v>
      </c>
      <c r="F234" s="44" t="s">
        <v>20</v>
      </c>
      <c r="G234" s="44" t="s">
        <v>120</v>
      </c>
      <c r="H234" s="44" t="s">
        <v>63</v>
      </c>
      <c r="I234" s="44" t="s">
        <v>128</v>
      </c>
      <c r="J234" s="44" t="s">
        <v>21</v>
      </c>
      <c r="K234" s="44" t="s">
        <v>132</v>
      </c>
      <c r="L234" s="40">
        <v>19443</v>
      </c>
      <c r="M234" s="41">
        <v>41851</v>
      </c>
      <c r="N234" s="40" t="s">
        <v>122</v>
      </c>
      <c r="O234" s="42">
        <v>42339</v>
      </c>
      <c r="P234" s="40">
        <v>50</v>
      </c>
      <c r="Q234" s="145">
        <v>75.040000000000006</v>
      </c>
      <c r="R234" s="145">
        <v>69.290000000000006</v>
      </c>
      <c r="S234" s="145">
        <v>68.959999999999994</v>
      </c>
      <c r="T234" s="145">
        <v>68.19</v>
      </c>
      <c r="U234" s="145">
        <v>68.739999999999995</v>
      </c>
    </row>
    <row r="235" spans="1:21" x14ac:dyDescent="0.2">
      <c r="A235" s="89">
        <f t="shared" si="3"/>
        <v>227</v>
      </c>
      <c r="B235" s="43">
        <v>7</v>
      </c>
      <c r="C235" s="43">
        <v>5</v>
      </c>
      <c r="D235" s="38" t="s">
        <v>968</v>
      </c>
      <c r="E235" s="44" t="s">
        <v>134</v>
      </c>
      <c r="F235" s="44" t="s">
        <v>20</v>
      </c>
      <c r="G235" s="44" t="s">
        <v>120</v>
      </c>
      <c r="H235" s="44" t="s">
        <v>63</v>
      </c>
      <c r="I235" s="44" t="s">
        <v>128</v>
      </c>
      <c r="J235" s="44" t="s">
        <v>16</v>
      </c>
      <c r="K235" s="44" t="s">
        <v>135</v>
      </c>
      <c r="L235" s="40">
        <v>19444</v>
      </c>
      <c r="M235" s="41">
        <v>41851</v>
      </c>
      <c r="N235" s="40" t="s">
        <v>122</v>
      </c>
      <c r="O235" s="42">
        <v>42339</v>
      </c>
      <c r="P235" s="40">
        <v>50</v>
      </c>
      <c r="Q235" s="145">
        <v>75.5</v>
      </c>
      <c r="R235" s="145">
        <v>68.3</v>
      </c>
      <c r="S235" s="145">
        <v>68.28</v>
      </c>
      <c r="T235" s="145">
        <v>67.17</v>
      </c>
      <c r="U235" s="145">
        <v>67.709999999999994</v>
      </c>
    </row>
    <row r="236" spans="1:21" x14ac:dyDescent="0.2">
      <c r="A236" s="89">
        <f t="shared" si="3"/>
        <v>228</v>
      </c>
      <c r="B236" s="43">
        <v>7</v>
      </c>
      <c r="C236" s="43">
        <v>6</v>
      </c>
      <c r="D236" s="38" t="s">
        <v>969</v>
      </c>
      <c r="E236" s="44" t="s">
        <v>137</v>
      </c>
      <c r="F236" s="44" t="s">
        <v>25</v>
      </c>
      <c r="G236" s="44" t="s">
        <v>138</v>
      </c>
      <c r="H236" s="44" t="s">
        <v>139</v>
      </c>
      <c r="I236" s="44" t="s">
        <v>29</v>
      </c>
      <c r="J236" s="44" t="s">
        <v>30</v>
      </c>
      <c r="K236" s="44" t="s">
        <v>140</v>
      </c>
      <c r="L236" s="40">
        <v>19445</v>
      </c>
      <c r="M236" s="41">
        <v>41851</v>
      </c>
      <c r="N236" s="40" t="s">
        <v>122</v>
      </c>
      <c r="O236" s="42">
        <v>42339</v>
      </c>
      <c r="P236" s="40">
        <v>50</v>
      </c>
      <c r="Q236" s="145">
        <v>58.84</v>
      </c>
      <c r="R236" s="145">
        <v>57.11</v>
      </c>
      <c r="S236" s="145">
        <v>58.22</v>
      </c>
      <c r="T236" s="145">
        <v>58.32</v>
      </c>
      <c r="U236" s="145">
        <v>59.6</v>
      </c>
    </row>
    <row r="237" spans="1:21" x14ac:dyDescent="0.2">
      <c r="A237" s="89">
        <f t="shared" si="3"/>
        <v>229</v>
      </c>
      <c r="B237" s="43">
        <v>7</v>
      </c>
      <c r="C237" s="43">
        <v>7</v>
      </c>
      <c r="D237" s="38" t="s">
        <v>970</v>
      </c>
      <c r="E237" s="44" t="s">
        <v>142</v>
      </c>
      <c r="F237" s="44" t="s">
        <v>39</v>
      </c>
      <c r="G237" s="44" t="s">
        <v>120</v>
      </c>
      <c r="H237" s="44" t="s">
        <v>40</v>
      </c>
      <c r="I237" s="44" t="s">
        <v>40</v>
      </c>
      <c r="J237" s="44" t="s">
        <v>42</v>
      </c>
      <c r="K237" s="44" t="s">
        <v>135</v>
      </c>
      <c r="L237" s="40">
        <v>19447</v>
      </c>
      <c r="M237" s="41">
        <v>41851</v>
      </c>
      <c r="N237" s="40" t="s">
        <v>122</v>
      </c>
      <c r="O237" s="42">
        <v>42339</v>
      </c>
      <c r="P237" s="40">
        <v>50</v>
      </c>
      <c r="Q237" s="145">
        <v>87.55</v>
      </c>
      <c r="R237" s="145">
        <v>80.8</v>
      </c>
      <c r="S237" s="145">
        <v>81.5</v>
      </c>
      <c r="T237" s="145">
        <v>80.14</v>
      </c>
      <c r="U237" s="145">
        <v>83</v>
      </c>
    </row>
    <row r="238" spans="1:21" x14ac:dyDescent="0.2">
      <c r="A238" s="89">
        <f t="shared" si="3"/>
        <v>230</v>
      </c>
      <c r="B238" s="43">
        <v>7</v>
      </c>
      <c r="C238" s="43">
        <v>8</v>
      </c>
      <c r="D238" s="38" t="s">
        <v>971</v>
      </c>
      <c r="E238" s="44" t="s">
        <v>144</v>
      </c>
      <c r="F238" s="44" t="s">
        <v>39</v>
      </c>
      <c r="G238" s="44" t="s">
        <v>120</v>
      </c>
      <c r="H238" s="44" t="s">
        <v>40</v>
      </c>
      <c r="I238" s="44" t="s">
        <v>40</v>
      </c>
      <c r="J238" s="44" t="s">
        <v>41</v>
      </c>
      <c r="K238" s="44" t="s">
        <v>132</v>
      </c>
      <c r="L238" s="40">
        <v>19446</v>
      </c>
      <c r="M238" s="41">
        <v>41851</v>
      </c>
      <c r="N238" s="40" t="s">
        <v>122</v>
      </c>
      <c r="O238" s="42">
        <v>42339</v>
      </c>
      <c r="P238" s="40">
        <v>50</v>
      </c>
      <c r="Q238" s="145">
        <v>86.79</v>
      </c>
      <c r="R238" s="145">
        <v>81.650000000000006</v>
      </c>
      <c r="S238" s="145">
        <v>81.93</v>
      </c>
      <c r="T238" s="145">
        <v>80.98</v>
      </c>
      <c r="U238" s="145">
        <v>83.89</v>
      </c>
    </row>
    <row r="239" spans="1:21" x14ac:dyDescent="0.2">
      <c r="A239" s="89">
        <f t="shared" si="3"/>
        <v>231</v>
      </c>
      <c r="B239" s="43">
        <v>7</v>
      </c>
      <c r="C239" s="43">
        <v>9</v>
      </c>
      <c r="D239" s="38" t="s">
        <v>972</v>
      </c>
      <c r="E239" s="44" t="s">
        <v>146</v>
      </c>
      <c r="F239" s="44" t="s">
        <v>39</v>
      </c>
      <c r="G239" s="44" t="s">
        <v>120</v>
      </c>
      <c r="H239" s="44" t="s">
        <v>40</v>
      </c>
      <c r="I239" s="44" t="s">
        <v>40</v>
      </c>
      <c r="J239" s="44" t="s">
        <v>7</v>
      </c>
      <c r="K239" s="44" t="s">
        <v>129</v>
      </c>
      <c r="L239" s="40">
        <v>19448</v>
      </c>
      <c r="M239" s="41">
        <v>41851</v>
      </c>
      <c r="N239" s="40" t="s">
        <v>122</v>
      </c>
      <c r="O239" s="42">
        <v>42339</v>
      </c>
      <c r="P239" s="40">
        <v>50</v>
      </c>
      <c r="Q239" s="145">
        <v>86.84</v>
      </c>
      <c r="R239" s="145">
        <v>79.92</v>
      </c>
      <c r="S239" s="145">
        <v>80.7</v>
      </c>
      <c r="T239" s="145">
        <v>79.22</v>
      </c>
      <c r="U239" s="145">
        <v>82.01</v>
      </c>
    </row>
    <row r="240" spans="1:21" x14ac:dyDescent="0.2">
      <c r="A240" s="89">
        <f t="shared" si="3"/>
        <v>232</v>
      </c>
      <c r="B240" s="43">
        <v>7</v>
      </c>
      <c r="C240" s="43">
        <v>10</v>
      </c>
      <c r="D240" s="38" t="s">
        <v>973</v>
      </c>
      <c r="E240" s="44" t="s">
        <v>148</v>
      </c>
      <c r="F240" s="44" t="s">
        <v>25</v>
      </c>
      <c r="G240" s="44" t="s">
        <v>120</v>
      </c>
      <c r="H240" s="44" t="s">
        <v>149</v>
      </c>
      <c r="I240" s="44" t="s">
        <v>26</v>
      </c>
      <c r="J240" s="44" t="s">
        <v>27</v>
      </c>
      <c r="K240" s="44" t="s">
        <v>150</v>
      </c>
      <c r="L240" s="40">
        <v>19449</v>
      </c>
      <c r="M240" s="41">
        <v>41851</v>
      </c>
      <c r="N240" s="40" t="s">
        <v>122</v>
      </c>
      <c r="O240" s="42">
        <v>42339</v>
      </c>
      <c r="P240" s="40">
        <v>50</v>
      </c>
      <c r="Q240" s="145">
        <v>67.41</v>
      </c>
      <c r="R240" s="145">
        <v>62.16</v>
      </c>
      <c r="S240" s="145">
        <v>61.65</v>
      </c>
      <c r="T240" s="145">
        <v>62.64</v>
      </c>
      <c r="U240" s="145">
        <v>64.91</v>
      </c>
    </row>
    <row r="241" spans="1:21" x14ac:dyDescent="0.2">
      <c r="A241" s="89">
        <f t="shared" si="3"/>
        <v>233</v>
      </c>
      <c r="B241" s="43">
        <v>7</v>
      </c>
      <c r="C241" s="43">
        <v>11</v>
      </c>
      <c r="D241" s="38" t="s">
        <v>974</v>
      </c>
      <c r="E241" s="44" t="s">
        <v>152</v>
      </c>
      <c r="F241" s="44" t="s">
        <v>25</v>
      </c>
      <c r="G241" s="44" t="s">
        <v>120</v>
      </c>
      <c r="H241" s="44" t="s">
        <v>149</v>
      </c>
      <c r="I241" s="44" t="s">
        <v>26</v>
      </c>
      <c r="J241" s="44" t="s">
        <v>28</v>
      </c>
      <c r="K241" s="44" t="s">
        <v>153</v>
      </c>
      <c r="L241" s="40">
        <v>19450</v>
      </c>
      <c r="M241" s="41">
        <v>41851</v>
      </c>
      <c r="N241" s="40" t="s">
        <v>122</v>
      </c>
      <c r="O241" s="42">
        <v>42339</v>
      </c>
      <c r="P241" s="40">
        <v>50</v>
      </c>
      <c r="Q241" s="145">
        <v>66.73</v>
      </c>
      <c r="R241" s="145">
        <v>61.31</v>
      </c>
      <c r="S241" s="145">
        <v>60.86</v>
      </c>
      <c r="T241" s="145">
        <v>61.8</v>
      </c>
      <c r="U241" s="145">
        <v>64.069999999999993</v>
      </c>
    </row>
    <row r="242" spans="1:21" x14ac:dyDescent="0.2">
      <c r="A242" s="89">
        <f t="shared" si="3"/>
        <v>234</v>
      </c>
      <c r="B242" s="43">
        <v>7</v>
      </c>
      <c r="C242" s="43">
        <v>12</v>
      </c>
      <c r="D242" s="38" t="s">
        <v>975</v>
      </c>
      <c r="E242" s="44" t="s">
        <v>155</v>
      </c>
      <c r="F242" s="44" t="s">
        <v>20</v>
      </c>
      <c r="G242" s="44" t="s">
        <v>120</v>
      </c>
      <c r="H242" s="44" t="s">
        <v>105</v>
      </c>
      <c r="I242" s="44" t="s">
        <v>156</v>
      </c>
      <c r="J242" s="44" t="s">
        <v>22</v>
      </c>
      <c r="K242" s="44" t="s">
        <v>157</v>
      </c>
      <c r="L242" s="40">
        <v>19451</v>
      </c>
      <c r="M242" s="41">
        <v>41851</v>
      </c>
      <c r="N242" s="40" t="s">
        <v>122</v>
      </c>
      <c r="O242" s="42">
        <v>42339</v>
      </c>
      <c r="P242" s="40">
        <v>50</v>
      </c>
      <c r="Q242" s="145">
        <v>64.33</v>
      </c>
      <c r="R242" s="145">
        <v>59.47</v>
      </c>
      <c r="S242" s="145">
        <v>58.94</v>
      </c>
      <c r="T242" s="145">
        <v>59.73</v>
      </c>
      <c r="U242" s="145">
        <v>61.89</v>
      </c>
    </row>
    <row r="243" spans="1:21" x14ac:dyDescent="0.2">
      <c r="A243" s="89">
        <f t="shared" si="3"/>
        <v>235</v>
      </c>
      <c r="B243" s="43">
        <v>7</v>
      </c>
      <c r="C243" s="43">
        <v>13</v>
      </c>
      <c r="D243" s="38" t="s">
        <v>976</v>
      </c>
      <c r="E243" s="44" t="s">
        <v>159</v>
      </c>
      <c r="F243" s="44" t="s">
        <v>39</v>
      </c>
      <c r="G243" s="44" t="s">
        <v>120</v>
      </c>
      <c r="H243" s="44" t="s">
        <v>43</v>
      </c>
      <c r="I243" s="44" t="s">
        <v>43</v>
      </c>
      <c r="J243" s="44" t="s">
        <v>7</v>
      </c>
      <c r="K243" s="44" t="s">
        <v>140</v>
      </c>
      <c r="L243" s="40">
        <v>19452</v>
      </c>
      <c r="M243" s="41">
        <v>41851</v>
      </c>
      <c r="N243" s="40" t="s">
        <v>122</v>
      </c>
      <c r="O243" s="42">
        <v>42339</v>
      </c>
      <c r="P243" s="40">
        <v>50</v>
      </c>
      <c r="Q243" s="145">
        <v>89.57</v>
      </c>
      <c r="R243" s="145">
        <v>84.15</v>
      </c>
      <c r="S243" s="145">
        <v>84.49</v>
      </c>
      <c r="T243" s="145">
        <v>83.55</v>
      </c>
      <c r="U243" s="145">
        <v>86.92</v>
      </c>
    </row>
    <row r="244" spans="1:21" x14ac:dyDescent="0.2">
      <c r="A244" s="89">
        <f t="shared" si="3"/>
        <v>236</v>
      </c>
      <c r="B244" s="43">
        <v>7</v>
      </c>
      <c r="C244" s="43">
        <v>14</v>
      </c>
      <c r="D244" s="38" t="s">
        <v>977</v>
      </c>
      <c r="E244" s="44" t="s">
        <v>161</v>
      </c>
      <c r="F244" s="44" t="s">
        <v>6</v>
      </c>
      <c r="G244" s="44" t="s">
        <v>120</v>
      </c>
      <c r="H244" s="44" t="s">
        <v>48</v>
      </c>
      <c r="I244" s="44" t="s">
        <v>48</v>
      </c>
      <c r="J244" s="44" t="s">
        <v>7</v>
      </c>
      <c r="K244" s="44" t="s">
        <v>140</v>
      </c>
      <c r="L244" s="40">
        <v>19453</v>
      </c>
      <c r="M244" s="41">
        <v>41851</v>
      </c>
      <c r="N244" s="40" t="s">
        <v>122</v>
      </c>
      <c r="O244" s="42">
        <v>42339</v>
      </c>
      <c r="P244" s="40">
        <v>50</v>
      </c>
      <c r="Q244" s="145">
        <v>75.040000000000006</v>
      </c>
      <c r="R244" s="145">
        <v>69.27</v>
      </c>
      <c r="S244" s="145">
        <v>68.95</v>
      </c>
      <c r="T244" s="145">
        <v>69.66</v>
      </c>
      <c r="U244" s="145">
        <v>71.83</v>
      </c>
    </row>
    <row r="245" spans="1:21" x14ac:dyDescent="0.2">
      <c r="A245" s="89">
        <f t="shared" si="3"/>
        <v>237</v>
      </c>
      <c r="B245" s="43">
        <v>7</v>
      </c>
      <c r="C245" s="43">
        <v>15</v>
      </c>
      <c r="D245" s="38" t="s">
        <v>978</v>
      </c>
      <c r="E245" s="44" t="s">
        <v>163</v>
      </c>
      <c r="F245" s="44" t="s">
        <v>20</v>
      </c>
      <c r="G245" s="44" t="s">
        <v>120</v>
      </c>
      <c r="H245" s="44" t="s">
        <v>23</v>
      </c>
      <c r="I245" s="44" t="s">
        <v>164</v>
      </c>
      <c r="J245" s="44" t="s">
        <v>24</v>
      </c>
      <c r="K245" s="44" t="s">
        <v>140</v>
      </c>
      <c r="L245" s="40">
        <v>19454</v>
      </c>
      <c r="M245" s="41">
        <v>41851</v>
      </c>
      <c r="N245" s="40" t="s">
        <v>122</v>
      </c>
      <c r="O245" s="42">
        <v>42339</v>
      </c>
      <c r="P245" s="40">
        <v>50</v>
      </c>
      <c r="Q245" s="145">
        <v>63.27</v>
      </c>
      <c r="R245" s="145">
        <v>57.52</v>
      </c>
      <c r="S245" s="145">
        <v>57.02</v>
      </c>
      <c r="T245" s="145">
        <v>57.8</v>
      </c>
      <c r="U245" s="145">
        <v>59.89</v>
      </c>
    </row>
    <row r="246" spans="1:21" x14ac:dyDescent="0.2">
      <c r="A246" s="89">
        <f t="shared" si="3"/>
        <v>238</v>
      </c>
      <c r="B246" s="43">
        <v>7</v>
      </c>
      <c r="C246" s="43">
        <v>16</v>
      </c>
      <c r="D246" s="38" t="s">
        <v>979</v>
      </c>
      <c r="E246" s="44" t="s">
        <v>166</v>
      </c>
      <c r="F246" s="44" t="s">
        <v>20</v>
      </c>
      <c r="G246" s="44" t="s">
        <v>120</v>
      </c>
      <c r="H246" s="44" t="s">
        <v>64</v>
      </c>
      <c r="I246" s="44" t="s">
        <v>167</v>
      </c>
      <c r="J246" s="44" t="s">
        <v>7</v>
      </c>
      <c r="K246" s="44" t="s">
        <v>140</v>
      </c>
      <c r="L246" s="40">
        <v>19455</v>
      </c>
      <c r="M246" s="41">
        <v>41851</v>
      </c>
      <c r="N246" s="40" t="s">
        <v>122</v>
      </c>
      <c r="O246" s="42">
        <v>42339</v>
      </c>
      <c r="P246" s="40">
        <v>50</v>
      </c>
      <c r="Q246" s="145">
        <v>83.26</v>
      </c>
      <c r="R246" s="145">
        <v>73.16</v>
      </c>
      <c r="S246" s="145">
        <v>69.95</v>
      </c>
      <c r="T246" s="145">
        <v>69.28</v>
      </c>
      <c r="U246" s="145">
        <v>72.37</v>
      </c>
    </row>
    <row r="247" spans="1:21" x14ac:dyDescent="0.2">
      <c r="A247" s="89">
        <f t="shared" si="3"/>
        <v>239</v>
      </c>
      <c r="B247" s="43">
        <v>7</v>
      </c>
      <c r="C247" s="43">
        <v>17</v>
      </c>
      <c r="D247" s="38" t="s">
        <v>980</v>
      </c>
      <c r="E247" s="44" t="s">
        <v>169</v>
      </c>
      <c r="F247" s="44" t="s">
        <v>31</v>
      </c>
      <c r="G247" s="44" t="s">
        <v>120</v>
      </c>
      <c r="H247" s="44" t="s">
        <v>35</v>
      </c>
      <c r="I247" s="44" t="s">
        <v>35</v>
      </c>
      <c r="J247" s="44" t="s">
        <v>9</v>
      </c>
      <c r="K247" s="44" t="s">
        <v>135</v>
      </c>
      <c r="L247" s="40">
        <v>19456</v>
      </c>
      <c r="M247" s="41">
        <v>41851</v>
      </c>
      <c r="N247" s="40" t="s">
        <v>122</v>
      </c>
      <c r="O247" s="42">
        <v>42339</v>
      </c>
      <c r="P247" s="40">
        <v>50</v>
      </c>
      <c r="Q247" s="145">
        <v>96.8</v>
      </c>
      <c r="R247" s="145">
        <v>90.5</v>
      </c>
      <c r="S247" s="145">
        <v>91.32</v>
      </c>
      <c r="T247" s="145">
        <v>90.37</v>
      </c>
      <c r="U247" s="145">
        <v>94.33</v>
      </c>
    </row>
    <row r="248" spans="1:21" x14ac:dyDescent="0.2">
      <c r="A248" s="89">
        <f t="shared" si="3"/>
        <v>240</v>
      </c>
      <c r="B248" s="43">
        <v>7</v>
      </c>
      <c r="C248" s="43">
        <v>18</v>
      </c>
      <c r="D248" s="38" t="s">
        <v>981</v>
      </c>
      <c r="E248" s="44" t="s">
        <v>171</v>
      </c>
      <c r="F248" s="44" t="s">
        <v>31</v>
      </c>
      <c r="G248" s="44" t="s">
        <v>120</v>
      </c>
      <c r="H248" s="44" t="s">
        <v>35</v>
      </c>
      <c r="I248" s="44" t="s">
        <v>35</v>
      </c>
      <c r="J248" s="44" t="s">
        <v>10</v>
      </c>
      <c r="K248" s="44" t="s">
        <v>132</v>
      </c>
      <c r="L248" s="40">
        <v>19457</v>
      </c>
      <c r="M248" s="41">
        <v>41851</v>
      </c>
      <c r="N248" s="40" t="s">
        <v>122</v>
      </c>
      <c r="O248" s="42">
        <v>42339</v>
      </c>
      <c r="P248" s="40">
        <v>50</v>
      </c>
      <c r="Q248" s="145">
        <v>93.61</v>
      </c>
      <c r="R248" s="145">
        <v>93.34</v>
      </c>
      <c r="S248" s="145">
        <v>92.46</v>
      </c>
      <c r="T248" s="145">
        <v>93.2</v>
      </c>
      <c r="U248" s="145">
        <v>97.12</v>
      </c>
    </row>
    <row r="249" spans="1:21" x14ac:dyDescent="0.2">
      <c r="A249" s="89">
        <f t="shared" si="3"/>
        <v>241</v>
      </c>
      <c r="B249" s="43">
        <v>7</v>
      </c>
      <c r="C249" s="43">
        <v>19</v>
      </c>
      <c r="D249" s="38" t="s">
        <v>982</v>
      </c>
      <c r="E249" s="44" t="s">
        <v>173</v>
      </c>
      <c r="F249" s="44" t="s">
        <v>31</v>
      </c>
      <c r="G249" s="44" t="s">
        <v>120</v>
      </c>
      <c r="H249" s="44" t="s">
        <v>35</v>
      </c>
      <c r="I249" s="44" t="s">
        <v>35</v>
      </c>
      <c r="J249" s="44" t="s">
        <v>11</v>
      </c>
      <c r="K249" s="44" t="s">
        <v>129</v>
      </c>
      <c r="L249" s="40">
        <v>19458</v>
      </c>
      <c r="M249" s="41">
        <v>41851</v>
      </c>
      <c r="N249" s="40" t="s">
        <v>122</v>
      </c>
      <c r="O249" s="42">
        <v>42339</v>
      </c>
      <c r="P249" s="40">
        <v>50</v>
      </c>
      <c r="Q249" s="145">
        <v>94.77</v>
      </c>
      <c r="R249" s="145">
        <v>91.03</v>
      </c>
      <c r="S249" s="145">
        <v>91.2</v>
      </c>
      <c r="T249" s="145">
        <v>90.82</v>
      </c>
      <c r="U249" s="145">
        <v>94.71</v>
      </c>
    </row>
    <row r="250" spans="1:21" x14ac:dyDescent="0.2">
      <c r="A250" s="89">
        <f t="shared" si="3"/>
        <v>242</v>
      </c>
      <c r="B250" s="43">
        <v>7</v>
      </c>
      <c r="C250" s="43">
        <v>20</v>
      </c>
      <c r="D250" s="38" t="s">
        <v>983</v>
      </c>
      <c r="E250" s="44" t="s">
        <v>175</v>
      </c>
      <c r="F250" s="44" t="s">
        <v>6</v>
      </c>
      <c r="G250" s="44" t="s">
        <v>120</v>
      </c>
      <c r="H250" s="44" t="s">
        <v>176</v>
      </c>
      <c r="I250" s="44" t="s">
        <v>177</v>
      </c>
      <c r="J250" s="44" t="s">
        <v>9</v>
      </c>
      <c r="K250" s="44" t="s">
        <v>135</v>
      </c>
      <c r="L250" s="40">
        <v>19460</v>
      </c>
      <c r="M250" s="41">
        <v>41851</v>
      </c>
      <c r="N250" s="40" t="s">
        <v>122</v>
      </c>
      <c r="O250" s="42">
        <v>42339</v>
      </c>
      <c r="P250" s="40">
        <v>50</v>
      </c>
      <c r="Q250" s="145">
        <v>78.010000000000005</v>
      </c>
      <c r="R250" s="145">
        <v>71.84</v>
      </c>
      <c r="S250" s="145">
        <v>72.31</v>
      </c>
      <c r="T250" s="145">
        <v>71.040000000000006</v>
      </c>
      <c r="U250" s="145">
        <v>73.84</v>
      </c>
    </row>
    <row r="251" spans="1:21" x14ac:dyDescent="0.2">
      <c r="A251" s="89">
        <f t="shared" si="3"/>
        <v>243</v>
      </c>
      <c r="B251" s="43">
        <v>7</v>
      </c>
      <c r="C251" s="43">
        <v>21</v>
      </c>
      <c r="D251" s="38" t="s">
        <v>984</v>
      </c>
      <c r="E251" s="44" t="s">
        <v>179</v>
      </c>
      <c r="F251" s="44" t="s">
        <v>6</v>
      </c>
      <c r="G251" s="44" t="s">
        <v>120</v>
      </c>
      <c r="H251" s="44" t="s">
        <v>176</v>
      </c>
      <c r="I251" s="44" t="s">
        <v>177</v>
      </c>
      <c r="J251" s="44" t="s">
        <v>10</v>
      </c>
      <c r="K251" s="44" t="s">
        <v>132</v>
      </c>
      <c r="L251" s="40">
        <v>19459</v>
      </c>
      <c r="M251" s="41">
        <v>41851</v>
      </c>
      <c r="N251" s="40" t="s">
        <v>122</v>
      </c>
      <c r="O251" s="42">
        <v>42339</v>
      </c>
      <c r="P251" s="40">
        <v>50</v>
      </c>
      <c r="Q251" s="145">
        <v>78.58</v>
      </c>
      <c r="R251" s="145">
        <v>72.930000000000007</v>
      </c>
      <c r="S251" s="145">
        <v>73.23</v>
      </c>
      <c r="T251" s="145">
        <v>72.13</v>
      </c>
      <c r="U251" s="145">
        <v>74.95</v>
      </c>
    </row>
    <row r="252" spans="1:21" x14ac:dyDescent="0.2">
      <c r="A252" s="89">
        <f t="shared" si="3"/>
        <v>244</v>
      </c>
      <c r="B252" s="43">
        <v>7</v>
      </c>
      <c r="C252" s="43">
        <v>22</v>
      </c>
      <c r="D252" s="38" t="s">
        <v>985</v>
      </c>
      <c r="E252" s="44" t="s">
        <v>181</v>
      </c>
      <c r="F252" s="44" t="s">
        <v>6</v>
      </c>
      <c r="G252" s="44" t="s">
        <v>120</v>
      </c>
      <c r="H252" s="44" t="s">
        <v>176</v>
      </c>
      <c r="I252" s="44" t="s">
        <v>177</v>
      </c>
      <c r="J252" s="44" t="s">
        <v>11</v>
      </c>
      <c r="K252" s="44" t="s">
        <v>129</v>
      </c>
      <c r="L252" s="40">
        <v>19461</v>
      </c>
      <c r="M252" s="41">
        <v>41851</v>
      </c>
      <c r="N252" s="40" t="s">
        <v>122</v>
      </c>
      <c r="O252" s="42">
        <v>42339</v>
      </c>
      <c r="P252" s="40">
        <v>50</v>
      </c>
      <c r="Q252" s="145">
        <v>78.78</v>
      </c>
      <c r="R252" s="145">
        <v>71.89</v>
      </c>
      <c r="S252" s="145">
        <v>72.62</v>
      </c>
      <c r="T252" s="145">
        <v>71.11</v>
      </c>
      <c r="U252" s="145">
        <v>73.92</v>
      </c>
    </row>
    <row r="253" spans="1:21" x14ac:dyDescent="0.2">
      <c r="A253" s="89">
        <f t="shared" si="3"/>
        <v>245</v>
      </c>
      <c r="B253" s="43">
        <v>7</v>
      </c>
      <c r="C253" s="43">
        <v>23</v>
      </c>
      <c r="D253" s="38" t="s">
        <v>986</v>
      </c>
      <c r="E253" s="44" t="s">
        <v>183</v>
      </c>
      <c r="F253" s="44" t="s">
        <v>6</v>
      </c>
      <c r="G253" s="44" t="s">
        <v>120</v>
      </c>
      <c r="H253" s="44" t="s">
        <v>13</v>
      </c>
      <c r="I253" s="44" t="s">
        <v>13</v>
      </c>
      <c r="J253" s="44" t="s">
        <v>7</v>
      </c>
      <c r="K253" s="44" t="s">
        <v>140</v>
      </c>
      <c r="L253" s="40">
        <v>19462</v>
      </c>
      <c r="M253" s="41">
        <v>41851</v>
      </c>
      <c r="N253" s="40" t="s">
        <v>122</v>
      </c>
      <c r="O253" s="42">
        <v>42339</v>
      </c>
      <c r="P253" s="40">
        <v>50</v>
      </c>
      <c r="Q253" s="145">
        <v>82.08</v>
      </c>
      <c r="R253" s="145">
        <v>76.08</v>
      </c>
      <c r="S253" s="145">
        <v>76.61</v>
      </c>
      <c r="T253" s="145">
        <v>75.38</v>
      </c>
      <c r="U253" s="145">
        <v>78.77</v>
      </c>
    </row>
    <row r="254" spans="1:21" x14ac:dyDescent="0.2">
      <c r="A254" s="89">
        <f t="shared" si="3"/>
        <v>246</v>
      </c>
      <c r="B254" s="43">
        <v>7</v>
      </c>
      <c r="C254" s="43">
        <v>24</v>
      </c>
      <c r="D254" s="38" t="s">
        <v>987</v>
      </c>
      <c r="E254" s="44" t="s">
        <v>185</v>
      </c>
      <c r="F254" s="44" t="s">
        <v>6</v>
      </c>
      <c r="G254" s="44" t="s">
        <v>120</v>
      </c>
      <c r="H254" s="44" t="s">
        <v>12</v>
      </c>
      <c r="I254" s="44" t="s">
        <v>186</v>
      </c>
      <c r="J254" s="44" t="s">
        <v>9</v>
      </c>
      <c r="K254" s="44" t="s">
        <v>135</v>
      </c>
      <c r="L254" s="40">
        <v>19463</v>
      </c>
      <c r="M254" s="41">
        <v>41851</v>
      </c>
      <c r="N254" s="40" t="s">
        <v>122</v>
      </c>
      <c r="O254" s="42">
        <v>42339</v>
      </c>
      <c r="P254" s="40">
        <v>50</v>
      </c>
      <c r="Q254" s="145">
        <v>76.319999999999993</v>
      </c>
      <c r="R254" s="145">
        <v>71.510000000000005</v>
      </c>
      <c r="S254" s="145">
        <v>71.760000000000005</v>
      </c>
      <c r="T254" s="145">
        <v>70.84</v>
      </c>
      <c r="U254" s="145">
        <v>73.47</v>
      </c>
    </row>
    <row r="255" spans="1:21" x14ac:dyDescent="0.2">
      <c r="A255" s="89">
        <f t="shared" si="3"/>
        <v>247</v>
      </c>
      <c r="B255" s="43">
        <v>7</v>
      </c>
      <c r="C255" s="43">
        <v>25</v>
      </c>
      <c r="D255" s="38" t="s">
        <v>988</v>
      </c>
      <c r="E255" s="44" t="s">
        <v>188</v>
      </c>
      <c r="F255" s="44" t="s">
        <v>6</v>
      </c>
      <c r="G255" s="44" t="s">
        <v>120</v>
      </c>
      <c r="H255" s="44" t="s">
        <v>12</v>
      </c>
      <c r="I255" s="44" t="s">
        <v>186</v>
      </c>
      <c r="J255" s="44" t="s">
        <v>10</v>
      </c>
      <c r="K255" s="44" t="s">
        <v>132</v>
      </c>
      <c r="L255" s="40">
        <v>19464</v>
      </c>
      <c r="M255" s="41">
        <v>41851</v>
      </c>
      <c r="N255" s="40" t="s">
        <v>122</v>
      </c>
      <c r="O255" s="42">
        <v>42339</v>
      </c>
      <c r="P255" s="40">
        <v>50</v>
      </c>
      <c r="Q255" s="145">
        <v>77.16</v>
      </c>
      <c r="R255" s="145">
        <v>72.7</v>
      </c>
      <c r="S255" s="145">
        <v>72.84</v>
      </c>
      <c r="T255" s="145">
        <v>72.02</v>
      </c>
      <c r="U255" s="145">
        <v>74.650000000000006</v>
      </c>
    </row>
    <row r="256" spans="1:21" x14ac:dyDescent="0.2">
      <c r="A256" s="89">
        <f t="shared" si="3"/>
        <v>248</v>
      </c>
      <c r="B256" s="43">
        <v>7</v>
      </c>
      <c r="C256" s="43">
        <v>26</v>
      </c>
      <c r="D256" s="38" t="s">
        <v>989</v>
      </c>
      <c r="E256" s="44" t="s">
        <v>190</v>
      </c>
      <c r="F256" s="44" t="s">
        <v>6</v>
      </c>
      <c r="G256" s="44" t="s">
        <v>120</v>
      </c>
      <c r="H256" s="44" t="s">
        <v>12</v>
      </c>
      <c r="I256" s="44" t="s">
        <v>186</v>
      </c>
      <c r="J256" s="44" t="s">
        <v>11</v>
      </c>
      <c r="K256" s="44" t="s">
        <v>129</v>
      </c>
      <c r="L256" s="40">
        <v>19465</v>
      </c>
      <c r="M256" s="41">
        <v>41851</v>
      </c>
      <c r="N256" s="40" t="s">
        <v>122</v>
      </c>
      <c r="O256" s="42">
        <v>42339</v>
      </c>
      <c r="P256" s="40">
        <v>50</v>
      </c>
      <c r="Q256" s="145">
        <v>74.3</v>
      </c>
      <c r="R256" s="145">
        <v>72.12</v>
      </c>
      <c r="S256" s="145">
        <v>71.69</v>
      </c>
      <c r="T256" s="145">
        <v>71.37</v>
      </c>
      <c r="U256" s="145">
        <v>73.989999999999995</v>
      </c>
    </row>
    <row r="257" spans="1:21" x14ac:dyDescent="0.2">
      <c r="A257" s="89">
        <f t="shared" si="3"/>
        <v>249</v>
      </c>
      <c r="B257" s="43">
        <v>7</v>
      </c>
      <c r="C257" s="43">
        <v>27</v>
      </c>
      <c r="D257" s="38" t="s">
        <v>990</v>
      </c>
      <c r="E257" s="44" t="s">
        <v>192</v>
      </c>
      <c r="F257" s="44" t="s">
        <v>6</v>
      </c>
      <c r="G257" s="44" t="s">
        <v>120</v>
      </c>
      <c r="H257" s="44" t="s">
        <v>100</v>
      </c>
      <c r="I257" s="44" t="s">
        <v>193</v>
      </c>
      <c r="J257" s="44" t="s">
        <v>7</v>
      </c>
      <c r="K257" s="44" t="s">
        <v>140</v>
      </c>
      <c r="L257" s="40">
        <v>19466</v>
      </c>
      <c r="M257" s="41">
        <v>41851</v>
      </c>
      <c r="N257" s="40" t="s">
        <v>122</v>
      </c>
      <c r="O257" s="42">
        <v>42339</v>
      </c>
      <c r="P257" s="40">
        <v>50</v>
      </c>
      <c r="Q257" s="145">
        <v>87.4</v>
      </c>
      <c r="R257" s="145">
        <v>78.67</v>
      </c>
      <c r="S257" s="145">
        <v>75</v>
      </c>
      <c r="T257" s="145">
        <v>74.739999999999995</v>
      </c>
      <c r="U257" s="145">
        <v>77.739999999999995</v>
      </c>
    </row>
    <row r="258" spans="1:21" x14ac:dyDescent="0.2">
      <c r="A258" s="89">
        <f t="shared" si="3"/>
        <v>250</v>
      </c>
      <c r="B258" s="43">
        <v>7</v>
      </c>
      <c r="C258" s="43">
        <v>28</v>
      </c>
      <c r="D258" s="38" t="s">
        <v>991</v>
      </c>
      <c r="E258" s="44" t="s">
        <v>195</v>
      </c>
      <c r="F258" s="44" t="s">
        <v>39</v>
      </c>
      <c r="G258" s="44" t="s">
        <v>120</v>
      </c>
      <c r="H258" s="44" t="s">
        <v>44</v>
      </c>
      <c r="I258" s="44" t="s">
        <v>44</v>
      </c>
      <c r="J258" s="44" t="s">
        <v>7</v>
      </c>
      <c r="K258" s="44" t="s">
        <v>140</v>
      </c>
      <c r="L258" s="40">
        <v>19467</v>
      </c>
      <c r="M258" s="41">
        <v>41851</v>
      </c>
      <c r="N258" s="40" t="s">
        <v>122</v>
      </c>
      <c r="O258" s="42">
        <v>42339</v>
      </c>
      <c r="P258" s="40">
        <v>50</v>
      </c>
      <c r="Q258" s="145">
        <v>84.55</v>
      </c>
      <c r="R258" s="145">
        <v>80.55</v>
      </c>
      <c r="S258" s="145">
        <v>80.66</v>
      </c>
      <c r="T258" s="145">
        <v>80.09</v>
      </c>
      <c r="U258" s="145">
        <v>83.3</v>
      </c>
    </row>
    <row r="259" spans="1:21" x14ac:dyDescent="0.2">
      <c r="A259" s="89">
        <f t="shared" si="3"/>
        <v>251</v>
      </c>
      <c r="B259" s="43">
        <v>7</v>
      </c>
      <c r="C259" s="43">
        <v>29</v>
      </c>
      <c r="D259" s="38" t="s">
        <v>992</v>
      </c>
      <c r="E259" s="44" t="s">
        <v>197</v>
      </c>
      <c r="F259" s="44" t="s">
        <v>39</v>
      </c>
      <c r="G259" s="44" t="s">
        <v>120</v>
      </c>
      <c r="H259" s="44" t="s">
        <v>44</v>
      </c>
      <c r="I259" s="44" t="s">
        <v>44</v>
      </c>
      <c r="J259" s="44" t="s">
        <v>45</v>
      </c>
      <c r="K259" s="44" t="s">
        <v>198</v>
      </c>
      <c r="L259" s="40">
        <v>19468</v>
      </c>
      <c r="M259" s="41">
        <v>41851</v>
      </c>
      <c r="N259" s="40" t="s">
        <v>122</v>
      </c>
      <c r="O259" s="42">
        <v>42339</v>
      </c>
      <c r="P259" s="40">
        <v>50</v>
      </c>
      <c r="Q259" s="145">
        <v>83.75</v>
      </c>
      <c r="R259" s="145">
        <v>78.48</v>
      </c>
      <c r="S259" s="145">
        <v>78.930000000000007</v>
      </c>
      <c r="T259" s="145">
        <v>78</v>
      </c>
      <c r="U259" s="145">
        <v>81.180000000000007</v>
      </c>
    </row>
    <row r="260" spans="1:21" x14ac:dyDescent="0.2">
      <c r="A260" s="89">
        <f t="shared" si="3"/>
        <v>252</v>
      </c>
      <c r="B260" s="43">
        <v>7</v>
      </c>
      <c r="C260" s="43">
        <v>30</v>
      </c>
      <c r="D260" s="38" t="s">
        <v>993</v>
      </c>
      <c r="E260" s="44" t="s">
        <v>200</v>
      </c>
      <c r="F260" s="44" t="s">
        <v>39</v>
      </c>
      <c r="G260" s="44" t="s">
        <v>120</v>
      </c>
      <c r="H260" s="44" t="s">
        <v>44</v>
      </c>
      <c r="I260" s="44" t="s">
        <v>44</v>
      </c>
      <c r="J260" s="44" t="s">
        <v>46</v>
      </c>
      <c r="K260" s="44" t="s">
        <v>46</v>
      </c>
      <c r="L260" s="40">
        <v>19469</v>
      </c>
      <c r="M260" s="41">
        <v>41851</v>
      </c>
      <c r="N260" s="40" t="s">
        <v>122</v>
      </c>
      <c r="O260" s="42">
        <v>42339</v>
      </c>
      <c r="P260" s="40">
        <v>50</v>
      </c>
      <c r="Q260" s="145">
        <v>82.62</v>
      </c>
      <c r="R260" s="145">
        <v>77.75</v>
      </c>
      <c r="S260" s="145">
        <v>78.16</v>
      </c>
      <c r="T260" s="145">
        <v>77.37</v>
      </c>
      <c r="U260" s="145">
        <v>80.540000000000006</v>
      </c>
    </row>
    <row r="261" spans="1:21" x14ac:dyDescent="0.2">
      <c r="A261" s="89">
        <f t="shared" si="3"/>
        <v>253</v>
      </c>
      <c r="B261" s="43">
        <v>7</v>
      </c>
      <c r="C261" s="43">
        <v>31</v>
      </c>
      <c r="D261" s="38" t="s">
        <v>994</v>
      </c>
      <c r="E261" s="44" t="s">
        <v>202</v>
      </c>
      <c r="F261" s="44" t="s">
        <v>39</v>
      </c>
      <c r="G261" s="44" t="s">
        <v>120</v>
      </c>
      <c r="H261" s="44" t="s">
        <v>47</v>
      </c>
      <c r="I261" s="44" t="s">
        <v>47</v>
      </c>
      <c r="J261" s="44" t="s">
        <v>7</v>
      </c>
      <c r="K261" s="44" t="s">
        <v>140</v>
      </c>
      <c r="L261" s="40">
        <v>19470</v>
      </c>
      <c r="M261" s="41">
        <v>41851</v>
      </c>
      <c r="N261" s="40" t="s">
        <v>122</v>
      </c>
      <c r="O261" s="42">
        <v>42339</v>
      </c>
      <c r="P261" s="40">
        <v>50</v>
      </c>
      <c r="Q261" s="145">
        <v>71.77</v>
      </c>
      <c r="R261" s="145">
        <v>69.16</v>
      </c>
      <c r="S261" s="145">
        <v>67.930000000000007</v>
      </c>
      <c r="T261" s="145">
        <v>69.489999999999995</v>
      </c>
      <c r="U261" s="145">
        <v>72.040000000000006</v>
      </c>
    </row>
    <row r="262" spans="1:21" x14ac:dyDescent="0.2">
      <c r="A262" s="89">
        <f t="shared" si="3"/>
        <v>254</v>
      </c>
      <c r="B262" s="43">
        <v>7</v>
      </c>
      <c r="C262" s="43">
        <v>32</v>
      </c>
      <c r="D262" s="38" t="s">
        <v>995</v>
      </c>
      <c r="E262" s="44" t="s">
        <v>204</v>
      </c>
      <c r="F262" s="44" t="s">
        <v>6</v>
      </c>
      <c r="G262" s="44" t="s">
        <v>120</v>
      </c>
      <c r="H262" s="44" t="s">
        <v>14</v>
      </c>
      <c r="I262" s="44" t="s">
        <v>14</v>
      </c>
      <c r="J262" s="44" t="s">
        <v>15</v>
      </c>
      <c r="K262" s="44" t="s">
        <v>129</v>
      </c>
      <c r="L262" s="40">
        <v>19471</v>
      </c>
      <c r="M262" s="41">
        <v>41851</v>
      </c>
      <c r="N262" s="40" t="s">
        <v>122</v>
      </c>
      <c r="O262" s="42">
        <v>42339</v>
      </c>
      <c r="P262" s="40">
        <v>50</v>
      </c>
      <c r="Q262" s="145">
        <v>83.15</v>
      </c>
      <c r="R262" s="145">
        <v>78.52</v>
      </c>
      <c r="S262" s="145">
        <v>78.52</v>
      </c>
      <c r="T262" s="145">
        <v>77.67</v>
      </c>
      <c r="U262" s="145">
        <v>80.3</v>
      </c>
    </row>
    <row r="263" spans="1:21" x14ac:dyDescent="0.2">
      <c r="A263" s="89">
        <f t="shared" si="3"/>
        <v>255</v>
      </c>
      <c r="B263" s="43">
        <v>7</v>
      </c>
      <c r="C263" s="43">
        <v>33</v>
      </c>
      <c r="D263" s="38" t="s">
        <v>996</v>
      </c>
      <c r="E263" s="44" t="s">
        <v>206</v>
      </c>
      <c r="F263" s="44" t="s">
        <v>6</v>
      </c>
      <c r="G263" s="44" t="s">
        <v>120</v>
      </c>
      <c r="H263" s="44" t="s">
        <v>14</v>
      </c>
      <c r="I263" s="44" t="s">
        <v>14</v>
      </c>
      <c r="J263" s="44" t="s">
        <v>16</v>
      </c>
      <c r="K263" s="44" t="s">
        <v>135</v>
      </c>
      <c r="L263" s="40">
        <v>19472</v>
      </c>
      <c r="M263" s="41">
        <v>41851</v>
      </c>
      <c r="N263" s="40" t="s">
        <v>122</v>
      </c>
      <c r="O263" s="42">
        <v>42339</v>
      </c>
      <c r="P263" s="40">
        <v>50</v>
      </c>
      <c r="Q263" s="145">
        <v>84.79</v>
      </c>
      <c r="R263" s="145">
        <v>79.790000000000006</v>
      </c>
      <c r="S263" s="145">
        <v>79.87</v>
      </c>
      <c r="T263" s="145">
        <v>78.98</v>
      </c>
      <c r="U263" s="145">
        <v>81.680000000000007</v>
      </c>
    </row>
    <row r="264" spans="1:21" x14ac:dyDescent="0.2">
      <c r="A264" s="89">
        <f t="shared" si="3"/>
        <v>256</v>
      </c>
      <c r="B264" s="43">
        <v>7</v>
      </c>
      <c r="C264" s="43">
        <v>34</v>
      </c>
      <c r="D264" s="38" t="s">
        <v>997</v>
      </c>
      <c r="E264" s="44" t="s">
        <v>208</v>
      </c>
      <c r="F264" s="44" t="s">
        <v>31</v>
      </c>
      <c r="G264" s="44" t="s">
        <v>120</v>
      </c>
      <c r="H264" s="44" t="s">
        <v>36</v>
      </c>
      <c r="I264" s="44" t="s">
        <v>36</v>
      </c>
      <c r="J264" s="44" t="s">
        <v>37</v>
      </c>
      <c r="K264" s="44" t="s">
        <v>209</v>
      </c>
      <c r="L264" s="40">
        <v>19473</v>
      </c>
      <c r="M264" s="41">
        <v>41851</v>
      </c>
      <c r="N264" s="40" t="s">
        <v>122</v>
      </c>
      <c r="O264" s="42">
        <v>42339</v>
      </c>
      <c r="P264" s="40">
        <v>50</v>
      </c>
      <c r="Q264" s="145">
        <v>104.94</v>
      </c>
      <c r="R264" s="145">
        <v>101.76</v>
      </c>
      <c r="S264" s="145">
        <v>103.5</v>
      </c>
      <c r="T264" s="145">
        <v>102.91</v>
      </c>
      <c r="U264" s="145">
        <v>105.81</v>
      </c>
    </row>
    <row r="265" spans="1:21" x14ac:dyDescent="0.2">
      <c r="A265" s="89">
        <f t="shared" si="3"/>
        <v>257</v>
      </c>
      <c r="B265" s="43">
        <v>7</v>
      </c>
      <c r="C265" s="43">
        <v>35</v>
      </c>
      <c r="D265" s="38" t="s">
        <v>998</v>
      </c>
      <c r="E265" s="44" t="s">
        <v>211</v>
      </c>
      <c r="F265" s="44" t="s">
        <v>31</v>
      </c>
      <c r="G265" s="44" t="s">
        <v>120</v>
      </c>
      <c r="H265" s="44" t="s">
        <v>36</v>
      </c>
      <c r="I265" s="44" t="s">
        <v>36</v>
      </c>
      <c r="J265" s="44" t="s">
        <v>38</v>
      </c>
      <c r="K265" s="44" t="s">
        <v>212</v>
      </c>
      <c r="L265" s="40">
        <v>19474</v>
      </c>
      <c r="M265" s="41">
        <v>41851</v>
      </c>
      <c r="N265" s="40" t="s">
        <v>122</v>
      </c>
      <c r="O265" s="42">
        <v>42339</v>
      </c>
      <c r="P265" s="40">
        <v>50</v>
      </c>
      <c r="Q265" s="145">
        <v>103.44</v>
      </c>
      <c r="R265" s="145">
        <v>100.09</v>
      </c>
      <c r="S265" s="145">
        <v>101.94</v>
      </c>
      <c r="T265" s="145">
        <v>101.17</v>
      </c>
      <c r="U265" s="145">
        <v>104.04</v>
      </c>
    </row>
    <row r="266" spans="1:21" x14ac:dyDescent="0.2">
      <c r="A266" s="89">
        <f t="shared" si="3"/>
        <v>258</v>
      </c>
      <c r="B266" s="43">
        <v>7</v>
      </c>
      <c r="C266" s="43">
        <v>36</v>
      </c>
      <c r="D266" s="38" t="s">
        <v>999</v>
      </c>
      <c r="E266" s="44" t="s">
        <v>214</v>
      </c>
      <c r="F266" s="44" t="s">
        <v>6</v>
      </c>
      <c r="G266" s="44" t="s">
        <v>120</v>
      </c>
      <c r="H266" s="44" t="s">
        <v>17</v>
      </c>
      <c r="I266" s="44" t="s">
        <v>215</v>
      </c>
      <c r="J266" s="44" t="s">
        <v>18</v>
      </c>
      <c r="K266" s="44" t="s">
        <v>140</v>
      </c>
      <c r="L266" s="40">
        <v>19475</v>
      </c>
      <c r="M266" s="41">
        <v>41851</v>
      </c>
      <c r="N266" s="40" t="s">
        <v>122</v>
      </c>
      <c r="O266" s="42">
        <v>42339</v>
      </c>
      <c r="P266" s="40">
        <v>50</v>
      </c>
      <c r="Q266" s="145">
        <v>70.31</v>
      </c>
      <c r="R266" s="145">
        <v>64.709999999999994</v>
      </c>
      <c r="S266" s="145">
        <v>64.180000000000007</v>
      </c>
      <c r="T266" s="145">
        <v>64.8</v>
      </c>
      <c r="U266" s="145">
        <v>67</v>
      </c>
    </row>
    <row r="267" spans="1:21" x14ac:dyDescent="0.2">
      <c r="A267" s="89">
        <f t="shared" ref="A267:A330" si="4">A266+1</f>
        <v>259</v>
      </c>
      <c r="B267" s="20"/>
      <c r="C267" s="20"/>
      <c r="D267" s="20"/>
    </row>
    <row r="268" spans="1:21" x14ac:dyDescent="0.2">
      <c r="A268" s="89">
        <f t="shared" si="4"/>
        <v>260</v>
      </c>
      <c r="B268" s="43">
        <v>8</v>
      </c>
      <c r="C268" s="43">
        <v>1</v>
      </c>
      <c r="D268" s="38" t="s">
        <v>1000</v>
      </c>
      <c r="E268" s="44" t="s">
        <v>119</v>
      </c>
      <c r="F268" s="44" t="s">
        <v>31</v>
      </c>
      <c r="G268" s="44" t="s">
        <v>120</v>
      </c>
      <c r="H268" s="44" t="s">
        <v>32</v>
      </c>
      <c r="I268" s="44" t="s">
        <v>32</v>
      </c>
      <c r="J268" s="44" t="s">
        <v>33</v>
      </c>
      <c r="K268" s="44" t="s">
        <v>121</v>
      </c>
      <c r="L268" s="40">
        <v>19440</v>
      </c>
      <c r="M268" s="41">
        <v>41851</v>
      </c>
      <c r="N268" s="40" t="s">
        <v>122</v>
      </c>
      <c r="O268" s="42">
        <v>42370</v>
      </c>
      <c r="P268" s="40">
        <v>51</v>
      </c>
      <c r="Q268" s="145">
        <v>99.83</v>
      </c>
      <c r="R268" s="145">
        <v>92.94</v>
      </c>
      <c r="S268" s="145">
        <v>94.16</v>
      </c>
      <c r="T268" s="145">
        <v>92.92</v>
      </c>
      <c r="U268" s="145">
        <v>96.86</v>
      </c>
    </row>
    <row r="269" spans="1:21" x14ac:dyDescent="0.2">
      <c r="A269" s="89">
        <f t="shared" si="4"/>
        <v>261</v>
      </c>
      <c r="B269" s="43">
        <v>8</v>
      </c>
      <c r="C269" s="43">
        <v>2</v>
      </c>
      <c r="D269" s="38" t="s">
        <v>1001</v>
      </c>
      <c r="E269" s="44" t="s">
        <v>124</v>
      </c>
      <c r="F269" s="44" t="s">
        <v>31</v>
      </c>
      <c r="G269" s="44" t="s">
        <v>120</v>
      </c>
      <c r="H269" s="44" t="s">
        <v>32</v>
      </c>
      <c r="I269" s="44" t="s">
        <v>32</v>
      </c>
      <c r="J269" s="44" t="s">
        <v>34</v>
      </c>
      <c r="K269" s="44" t="s">
        <v>125</v>
      </c>
      <c r="L269" s="40">
        <v>19441</v>
      </c>
      <c r="M269" s="41">
        <v>41851</v>
      </c>
      <c r="N269" s="40" t="s">
        <v>122</v>
      </c>
      <c r="O269" s="42">
        <v>42370</v>
      </c>
      <c r="P269" s="40">
        <v>51</v>
      </c>
      <c r="Q269" s="145">
        <v>98.29</v>
      </c>
      <c r="R269" s="145">
        <v>92.22</v>
      </c>
      <c r="S269" s="145">
        <v>93.28</v>
      </c>
      <c r="T269" s="145">
        <v>92.09</v>
      </c>
      <c r="U269" s="145">
        <v>94.64</v>
      </c>
    </row>
    <row r="270" spans="1:21" x14ac:dyDescent="0.2">
      <c r="A270" s="89">
        <f t="shared" si="4"/>
        <v>262</v>
      </c>
      <c r="B270" s="43">
        <v>8</v>
      </c>
      <c r="C270" s="43">
        <v>3</v>
      </c>
      <c r="D270" s="38" t="s">
        <v>1002</v>
      </c>
      <c r="E270" s="44" t="s">
        <v>127</v>
      </c>
      <c r="F270" s="44" t="s">
        <v>20</v>
      </c>
      <c r="G270" s="44" t="s">
        <v>120</v>
      </c>
      <c r="H270" s="44" t="s">
        <v>63</v>
      </c>
      <c r="I270" s="44" t="s">
        <v>128</v>
      </c>
      <c r="J270" s="44" t="s">
        <v>15</v>
      </c>
      <c r="K270" s="44" t="s">
        <v>129</v>
      </c>
      <c r="L270" s="40">
        <v>19442</v>
      </c>
      <c r="M270" s="41">
        <v>41851</v>
      </c>
      <c r="N270" s="40" t="s">
        <v>122</v>
      </c>
      <c r="O270" s="42">
        <v>42370</v>
      </c>
      <c r="P270" s="40">
        <v>51</v>
      </c>
      <c r="Q270" s="145">
        <v>73.44</v>
      </c>
      <c r="R270" s="145">
        <v>66.64</v>
      </c>
      <c r="S270" s="145">
        <v>67.12</v>
      </c>
      <c r="T270" s="145">
        <v>65.95</v>
      </c>
      <c r="U270" s="145">
        <v>66.680000000000007</v>
      </c>
    </row>
    <row r="271" spans="1:21" x14ac:dyDescent="0.2">
      <c r="A271" s="89">
        <f t="shared" si="4"/>
        <v>263</v>
      </c>
      <c r="B271" s="43">
        <v>8</v>
      </c>
      <c r="C271" s="43">
        <v>4</v>
      </c>
      <c r="D271" s="38" t="s">
        <v>1003</v>
      </c>
      <c r="E271" s="44" t="s">
        <v>131</v>
      </c>
      <c r="F271" s="44" t="s">
        <v>20</v>
      </c>
      <c r="G271" s="44" t="s">
        <v>120</v>
      </c>
      <c r="H271" s="44" t="s">
        <v>63</v>
      </c>
      <c r="I271" s="44" t="s">
        <v>128</v>
      </c>
      <c r="J271" s="44" t="s">
        <v>21</v>
      </c>
      <c r="K271" s="44" t="s">
        <v>132</v>
      </c>
      <c r="L271" s="40">
        <v>19443</v>
      </c>
      <c r="M271" s="41">
        <v>41851</v>
      </c>
      <c r="N271" s="40" t="s">
        <v>122</v>
      </c>
      <c r="O271" s="42">
        <v>42370</v>
      </c>
      <c r="P271" s="40">
        <v>51</v>
      </c>
      <c r="Q271" s="145">
        <v>73.66</v>
      </c>
      <c r="R271" s="145">
        <v>68.56</v>
      </c>
      <c r="S271" s="145">
        <v>68.58</v>
      </c>
      <c r="T271" s="145">
        <v>67.88</v>
      </c>
      <c r="U271" s="145">
        <v>68.64</v>
      </c>
    </row>
    <row r="272" spans="1:21" x14ac:dyDescent="0.2">
      <c r="A272" s="89">
        <f t="shared" si="4"/>
        <v>264</v>
      </c>
      <c r="B272" s="43">
        <v>8</v>
      </c>
      <c r="C272" s="43">
        <v>5</v>
      </c>
      <c r="D272" s="38" t="s">
        <v>1004</v>
      </c>
      <c r="E272" s="44" t="s">
        <v>134</v>
      </c>
      <c r="F272" s="44" t="s">
        <v>20</v>
      </c>
      <c r="G272" s="44" t="s">
        <v>120</v>
      </c>
      <c r="H272" s="44" t="s">
        <v>63</v>
      </c>
      <c r="I272" s="44" t="s">
        <v>128</v>
      </c>
      <c r="J272" s="44" t="s">
        <v>16</v>
      </c>
      <c r="K272" s="44" t="s">
        <v>135</v>
      </c>
      <c r="L272" s="40">
        <v>19444</v>
      </c>
      <c r="M272" s="41">
        <v>41851</v>
      </c>
      <c r="N272" s="40" t="s">
        <v>122</v>
      </c>
      <c r="O272" s="42">
        <v>42370</v>
      </c>
      <c r="P272" s="40">
        <v>51</v>
      </c>
      <c r="Q272" s="145">
        <v>73.59</v>
      </c>
      <c r="R272" s="145">
        <v>67.599999999999994</v>
      </c>
      <c r="S272" s="145">
        <v>67.77</v>
      </c>
      <c r="T272" s="145">
        <v>66.87</v>
      </c>
      <c r="U272" s="145">
        <v>67.61</v>
      </c>
    </row>
    <row r="273" spans="1:21" x14ac:dyDescent="0.2">
      <c r="A273" s="89">
        <f t="shared" si="4"/>
        <v>265</v>
      </c>
      <c r="B273" s="43">
        <v>8</v>
      </c>
      <c r="C273" s="43">
        <v>6</v>
      </c>
      <c r="D273" s="38" t="s">
        <v>1005</v>
      </c>
      <c r="E273" s="44" t="s">
        <v>137</v>
      </c>
      <c r="F273" s="44" t="s">
        <v>25</v>
      </c>
      <c r="G273" s="44" t="s">
        <v>138</v>
      </c>
      <c r="H273" s="44" t="s">
        <v>139</v>
      </c>
      <c r="I273" s="44" t="s">
        <v>29</v>
      </c>
      <c r="J273" s="44" t="s">
        <v>30</v>
      </c>
      <c r="K273" s="44" t="s">
        <v>140</v>
      </c>
      <c r="L273" s="40">
        <v>19445</v>
      </c>
      <c r="M273" s="41">
        <v>41851</v>
      </c>
      <c r="N273" s="40" t="s">
        <v>122</v>
      </c>
      <c r="O273" s="42">
        <v>42370</v>
      </c>
      <c r="P273" s="40">
        <v>51</v>
      </c>
      <c r="Q273" s="145">
        <v>59.19</v>
      </c>
      <c r="R273" s="145">
        <v>57.08</v>
      </c>
      <c r="S273" s="145">
        <v>58.5</v>
      </c>
      <c r="T273" s="145">
        <v>58.38</v>
      </c>
      <c r="U273" s="145">
        <v>59.72</v>
      </c>
    </row>
    <row r="274" spans="1:21" x14ac:dyDescent="0.2">
      <c r="A274" s="89">
        <f t="shared" si="4"/>
        <v>266</v>
      </c>
      <c r="B274" s="43">
        <v>8</v>
      </c>
      <c r="C274" s="43">
        <v>7</v>
      </c>
      <c r="D274" s="38" t="s">
        <v>1006</v>
      </c>
      <c r="E274" s="44" t="s">
        <v>142</v>
      </c>
      <c r="F274" s="44" t="s">
        <v>39</v>
      </c>
      <c r="G274" s="44" t="s">
        <v>120</v>
      </c>
      <c r="H274" s="44" t="s">
        <v>40</v>
      </c>
      <c r="I274" s="44" t="s">
        <v>40</v>
      </c>
      <c r="J274" s="44" t="s">
        <v>42</v>
      </c>
      <c r="K274" s="44" t="s">
        <v>135</v>
      </c>
      <c r="L274" s="40">
        <v>19447</v>
      </c>
      <c r="M274" s="41">
        <v>41851</v>
      </c>
      <c r="N274" s="40" t="s">
        <v>122</v>
      </c>
      <c r="O274" s="42">
        <v>42370</v>
      </c>
      <c r="P274" s="40">
        <v>51</v>
      </c>
      <c r="Q274" s="145">
        <v>86.13</v>
      </c>
      <c r="R274" s="145">
        <v>80.239999999999995</v>
      </c>
      <c r="S274" s="145">
        <v>81.099999999999994</v>
      </c>
      <c r="T274" s="145">
        <v>79.88</v>
      </c>
      <c r="U274" s="145">
        <v>83.27</v>
      </c>
    </row>
    <row r="275" spans="1:21" x14ac:dyDescent="0.2">
      <c r="A275" s="89">
        <f t="shared" si="4"/>
        <v>267</v>
      </c>
      <c r="B275" s="43">
        <v>8</v>
      </c>
      <c r="C275" s="43">
        <v>8</v>
      </c>
      <c r="D275" s="38" t="s">
        <v>1007</v>
      </c>
      <c r="E275" s="44" t="s">
        <v>144</v>
      </c>
      <c r="F275" s="44" t="s">
        <v>39</v>
      </c>
      <c r="G275" s="44" t="s">
        <v>120</v>
      </c>
      <c r="H275" s="44" t="s">
        <v>40</v>
      </c>
      <c r="I275" s="44" t="s">
        <v>40</v>
      </c>
      <c r="J275" s="44" t="s">
        <v>41</v>
      </c>
      <c r="K275" s="44" t="s">
        <v>132</v>
      </c>
      <c r="L275" s="40">
        <v>19446</v>
      </c>
      <c r="M275" s="41">
        <v>41851</v>
      </c>
      <c r="N275" s="40" t="s">
        <v>122</v>
      </c>
      <c r="O275" s="42">
        <v>42370</v>
      </c>
      <c r="P275" s="40">
        <v>51</v>
      </c>
      <c r="Q275" s="145">
        <v>86.11</v>
      </c>
      <c r="R275" s="145">
        <v>81.06</v>
      </c>
      <c r="S275" s="145">
        <v>81.739999999999995</v>
      </c>
      <c r="T275" s="145">
        <v>80.790000000000006</v>
      </c>
      <c r="U275" s="145">
        <v>84.21</v>
      </c>
    </row>
    <row r="276" spans="1:21" x14ac:dyDescent="0.2">
      <c r="A276" s="89">
        <f t="shared" si="4"/>
        <v>268</v>
      </c>
      <c r="B276" s="43">
        <v>8</v>
      </c>
      <c r="C276" s="43">
        <v>9</v>
      </c>
      <c r="D276" s="38" t="s">
        <v>1008</v>
      </c>
      <c r="E276" s="44" t="s">
        <v>146</v>
      </c>
      <c r="F276" s="44" t="s">
        <v>39</v>
      </c>
      <c r="G276" s="44" t="s">
        <v>120</v>
      </c>
      <c r="H276" s="44" t="s">
        <v>40</v>
      </c>
      <c r="I276" s="44" t="s">
        <v>40</v>
      </c>
      <c r="J276" s="44" t="s">
        <v>7</v>
      </c>
      <c r="K276" s="44" t="s">
        <v>129</v>
      </c>
      <c r="L276" s="40">
        <v>19448</v>
      </c>
      <c r="M276" s="41">
        <v>41851</v>
      </c>
      <c r="N276" s="40" t="s">
        <v>122</v>
      </c>
      <c r="O276" s="42">
        <v>42370</v>
      </c>
      <c r="P276" s="40">
        <v>51</v>
      </c>
      <c r="Q276" s="145">
        <v>85.65</v>
      </c>
      <c r="R276" s="145">
        <v>79.33</v>
      </c>
      <c r="S276" s="145">
        <v>80.349999999999994</v>
      </c>
      <c r="T276" s="145">
        <v>78.92</v>
      </c>
      <c r="U276" s="145">
        <v>82.25</v>
      </c>
    </row>
    <row r="277" spans="1:21" x14ac:dyDescent="0.2">
      <c r="A277" s="89">
        <f t="shared" si="4"/>
        <v>269</v>
      </c>
      <c r="B277" s="43">
        <v>8</v>
      </c>
      <c r="C277" s="43">
        <v>10</v>
      </c>
      <c r="D277" s="38" t="s">
        <v>1009</v>
      </c>
      <c r="E277" s="44" t="s">
        <v>148</v>
      </c>
      <c r="F277" s="44" t="s">
        <v>25</v>
      </c>
      <c r="G277" s="44" t="s">
        <v>120</v>
      </c>
      <c r="H277" s="44" t="s">
        <v>149</v>
      </c>
      <c r="I277" s="44" t="s">
        <v>26</v>
      </c>
      <c r="J277" s="44" t="s">
        <v>27</v>
      </c>
      <c r="K277" s="44" t="s">
        <v>150</v>
      </c>
      <c r="L277" s="40">
        <v>19449</v>
      </c>
      <c r="M277" s="41">
        <v>41851</v>
      </c>
      <c r="N277" s="40" t="s">
        <v>122</v>
      </c>
      <c r="O277" s="42">
        <v>42370</v>
      </c>
      <c r="P277" s="40">
        <v>51</v>
      </c>
      <c r="Q277" s="145">
        <v>66.72</v>
      </c>
      <c r="R277" s="145">
        <v>61.43</v>
      </c>
      <c r="S277" s="145">
        <v>61.83</v>
      </c>
      <c r="T277" s="145">
        <v>62.6</v>
      </c>
      <c r="U277" s="145">
        <v>65.010000000000005</v>
      </c>
    </row>
    <row r="278" spans="1:21" x14ac:dyDescent="0.2">
      <c r="A278" s="89">
        <f t="shared" si="4"/>
        <v>270</v>
      </c>
      <c r="B278" s="43">
        <v>8</v>
      </c>
      <c r="C278" s="43">
        <v>11</v>
      </c>
      <c r="D278" s="38" t="s">
        <v>1010</v>
      </c>
      <c r="E278" s="44" t="s">
        <v>152</v>
      </c>
      <c r="F278" s="44" t="s">
        <v>25</v>
      </c>
      <c r="G278" s="44" t="s">
        <v>120</v>
      </c>
      <c r="H278" s="44" t="s">
        <v>149</v>
      </c>
      <c r="I278" s="44" t="s">
        <v>26</v>
      </c>
      <c r="J278" s="44" t="s">
        <v>28</v>
      </c>
      <c r="K278" s="44" t="s">
        <v>153</v>
      </c>
      <c r="L278" s="40">
        <v>19450</v>
      </c>
      <c r="M278" s="41">
        <v>41851</v>
      </c>
      <c r="N278" s="40" t="s">
        <v>122</v>
      </c>
      <c r="O278" s="42">
        <v>42370</v>
      </c>
      <c r="P278" s="40">
        <v>51</v>
      </c>
      <c r="Q278" s="145">
        <v>65.989999999999995</v>
      </c>
      <c r="R278" s="145">
        <v>60.59</v>
      </c>
      <c r="S278" s="145">
        <v>61.02</v>
      </c>
      <c r="T278" s="145">
        <v>61.77</v>
      </c>
      <c r="U278" s="145">
        <v>64.180000000000007</v>
      </c>
    </row>
    <row r="279" spans="1:21" x14ac:dyDescent="0.2">
      <c r="A279" s="89">
        <f t="shared" si="4"/>
        <v>271</v>
      </c>
      <c r="B279" s="43">
        <v>8</v>
      </c>
      <c r="C279" s="43">
        <v>12</v>
      </c>
      <c r="D279" s="38" t="s">
        <v>1011</v>
      </c>
      <c r="E279" s="44" t="s">
        <v>155</v>
      </c>
      <c r="F279" s="44" t="s">
        <v>20</v>
      </c>
      <c r="G279" s="44" t="s">
        <v>120</v>
      </c>
      <c r="H279" s="44" t="s">
        <v>105</v>
      </c>
      <c r="I279" s="44" t="s">
        <v>156</v>
      </c>
      <c r="J279" s="44" t="s">
        <v>22</v>
      </c>
      <c r="K279" s="44" t="s">
        <v>157</v>
      </c>
      <c r="L279" s="40">
        <v>19451</v>
      </c>
      <c r="M279" s="41">
        <v>41851</v>
      </c>
      <c r="N279" s="40" t="s">
        <v>122</v>
      </c>
      <c r="O279" s="42">
        <v>42370</v>
      </c>
      <c r="P279" s="40">
        <v>51</v>
      </c>
      <c r="Q279" s="145">
        <v>63.57</v>
      </c>
      <c r="R279" s="145">
        <v>58.7</v>
      </c>
      <c r="S279" s="145">
        <v>59</v>
      </c>
      <c r="T279" s="145">
        <v>59.66</v>
      </c>
      <c r="U279" s="145">
        <v>61.99</v>
      </c>
    </row>
    <row r="280" spans="1:21" x14ac:dyDescent="0.2">
      <c r="A280" s="89">
        <f t="shared" si="4"/>
        <v>272</v>
      </c>
      <c r="B280" s="43">
        <v>8</v>
      </c>
      <c r="C280" s="43">
        <v>13</v>
      </c>
      <c r="D280" s="38" t="s">
        <v>1012</v>
      </c>
      <c r="E280" s="44" t="s">
        <v>159</v>
      </c>
      <c r="F280" s="44" t="s">
        <v>39</v>
      </c>
      <c r="G280" s="44" t="s">
        <v>120</v>
      </c>
      <c r="H280" s="44" t="s">
        <v>43</v>
      </c>
      <c r="I280" s="44" t="s">
        <v>43</v>
      </c>
      <c r="J280" s="44" t="s">
        <v>7</v>
      </c>
      <c r="K280" s="44" t="s">
        <v>140</v>
      </c>
      <c r="L280" s="40">
        <v>19452</v>
      </c>
      <c r="M280" s="41">
        <v>41851</v>
      </c>
      <c r="N280" s="40" t="s">
        <v>122</v>
      </c>
      <c r="O280" s="42">
        <v>42370</v>
      </c>
      <c r="P280" s="40">
        <v>51</v>
      </c>
      <c r="Q280" s="145">
        <v>88.23</v>
      </c>
      <c r="R280" s="145">
        <v>83.77</v>
      </c>
      <c r="S280" s="145">
        <v>84.15</v>
      </c>
      <c r="T280" s="145">
        <v>83.37</v>
      </c>
      <c r="U280" s="145">
        <v>87.31</v>
      </c>
    </row>
    <row r="281" spans="1:21" x14ac:dyDescent="0.2">
      <c r="A281" s="89">
        <f t="shared" si="4"/>
        <v>273</v>
      </c>
      <c r="B281" s="43">
        <v>8</v>
      </c>
      <c r="C281" s="43">
        <v>14</v>
      </c>
      <c r="D281" s="38" t="s">
        <v>1013</v>
      </c>
      <c r="E281" s="44" t="s">
        <v>161</v>
      </c>
      <c r="F281" s="44" t="s">
        <v>6</v>
      </c>
      <c r="G281" s="44" t="s">
        <v>120</v>
      </c>
      <c r="H281" s="44" t="s">
        <v>48</v>
      </c>
      <c r="I281" s="44" t="s">
        <v>48</v>
      </c>
      <c r="J281" s="44" t="s">
        <v>7</v>
      </c>
      <c r="K281" s="44" t="s">
        <v>140</v>
      </c>
      <c r="L281" s="40">
        <v>19453</v>
      </c>
      <c r="M281" s="41">
        <v>41851</v>
      </c>
      <c r="N281" s="40" t="s">
        <v>122</v>
      </c>
      <c r="O281" s="42">
        <v>42370</v>
      </c>
      <c r="P281" s="40">
        <v>51</v>
      </c>
      <c r="Q281" s="145">
        <v>74.17</v>
      </c>
      <c r="R281" s="145">
        <v>68.55</v>
      </c>
      <c r="S281" s="145">
        <v>69.03</v>
      </c>
      <c r="T281" s="145">
        <v>69.61</v>
      </c>
      <c r="U281" s="145">
        <v>71.94</v>
      </c>
    </row>
    <row r="282" spans="1:21" x14ac:dyDescent="0.2">
      <c r="A282" s="89">
        <f t="shared" si="4"/>
        <v>274</v>
      </c>
      <c r="B282" s="43">
        <v>8</v>
      </c>
      <c r="C282" s="43">
        <v>15</v>
      </c>
      <c r="D282" s="38" t="s">
        <v>1014</v>
      </c>
      <c r="E282" s="44" t="s">
        <v>163</v>
      </c>
      <c r="F282" s="44" t="s">
        <v>20</v>
      </c>
      <c r="G282" s="44" t="s">
        <v>120</v>
      </c>
      <c r="H282" s="44" t="s">
        <v>23</v>
      </c>
      <c r="I282" s="44" t="s">
        <v>164</v>
      </c>
      <c r="J282" s="44" t="s">
        <v>24</v>
      </c>
      <c r="K282" s="44" t="s">
        <v>140</v>
      </c>
      <c r="L282" s="40">
        <v>19454</v>
      </c>
      <c r="M282" s="41">
        <v>41851</v>
      </c>
      <c r="N282" s="40" t="s">
        <v>122</v>
      </c>
      <c r="O282" s="42">
        <v>42370</v>
      </c>
      <c r="P282" s="40">
        <v>51</v>
      </c>
      <c r="Q282" s="145">
        <v>61.84</v>
      </c>
      <c r="R282" s="145">
        <v>56.79</v>
      </c>
      <c r="S282" s="145">
        <v>56.98</v>
      </c>
      <c r="T282" s="145">
        <v>57.73</v>
      </c>
      <c r="U282" s="145">
        <v>59.96</v>
      </c>
    </row>
    <row r="283" spans="1:21" x14ac:dyDescent="0.2">
      <c r="A283" s="89">
        <f t="shared" si="4"/>
        <v>275</v>
      </c>
      <c r="B283" s="43">
        <v>8</v>
      </c>
      <c r="C283" s="43">
        <v>16</v>
      </c>
      <c r="D283" s="38" t="s">
        <v>1015</v>
      </c>
      <c r="E283" s="44" t="s">
        <v>166</v>
      </c>
      <c r="F283" s="44" t="s">
        <v>20</v>
      </c>
      <c r="G283" s="44" t="s">
        <v>120</v>
      </c>
      <c r="H283" s="44" t="s">
        <v>64</v>
      </c>
      <c r="I283" s="44" t="s">
        <v>167</v>
      </c>
      <c r="J283" s="44" t="s">
        <v>7</v>
      </c>
      <c r="K283" s="44" t="s">
        <v>140</v>
      </c>
      <c r="L283" s="40">
        <v>19455</v>
      </c>
      <c r="M283" s="41">
        <v>41851</v>
      </c>
      <c r="N283" s="40" t="s">
        <v>122</v>
      </c>
      <c r="O283" s="42">
        <v>42370</v>
      </c>
      <c r="P283" s="40">
        <v>51</v>
      </c>
      <c r="Q283" s="145">
        <v>80.73</v>
      </c>
      <c r="R283" s="145">
        <v>71.260000000000005</v>
      </c>
      <c r="S283" s="145">
        <v>69.17</v>
      </c>
      <c r="T283" s="145">
        <v>68.489999999999995</v>
      </c>
      <c r="U283" s="145">
        <v>72.48</v>
      </c>
    </row>
    <row r="284" spans="1:21" x14ac:dyDescent="0.2">
      <c r="A284" s="89">
        <f t="shared" si="4"/>
        <v>276</v>
      </c>
      <c r="B284" s="43">
        <v>8</v>
      </c>
      <c r="C284" s="43">
        <v>17</v>
      </c>
      <c r="D284" s="38" t="s">
        <v>1016</v>
      </c>
      <c r="E284" s="44" t="s">
        <v>169</v>
      </c>
      <c r="F284" s="44" t="s">
        <v>31</v>
      </c>
      <c r="G284" s="44" t="s">
        <v>120</v>
      </c>
      <c r="H284" s="44" t="s">
        <v>35</v>
      </c>
      <c r="I284" s="44" t="s">
        <v>35</v>
      </c>
      <c r="J284" s="44" t="s">
        <v>9</v>
      </c>
      <c r="K284" s="44" t="s">
        <v>135</v>
      </c>
      <c r="L284" s="40">
        <v>19456</v>
      </c>
      <c r="M284" s="41">
        <v>41851</v>
      </c>
      <c r="N284" s="40" t="s">
        <v>122</v>
      </c>
      <c r="O284" s="42">
        <v>42370</v>
      </c>
      <c r="P284" s="40">
        <v>51</v>
      </c>
      <c r="Q284" s="145">
        <v>95.52</v>
      </c>
      <c r="R284" s="145">
        <v>90.1</v>
      </c>
      <c r="S284" s="145">
        <v>91.01</v>
      </c>
      <c r="T284" s="145">
        <v>90.22</v>
      </c>
      <c r="U284" s="145">
        <v>94.82</v>
      </c>
    </row>
    <row r="285" spans="1:21" x14ac:dyDescent="0.2">
      <c r="A285" s="89">
        <f t="shared" si="4"/>
        <v>277</v>
      </c>
      <c r="B285" s="43">
        <v>8</v>
      </c>
      <c r="C285" s="43">
        <v>18</v>
      </c>
      <c r="D285" s="38" t="s">
        <v>1017</v>
      </c>
      <c r="E285" s="44" t="s">
        <v>171</v>
      </c>
      <c r="F285" s="44" t="s">
        <v>31</v>
      </c>
      <c r="G285" s="44" t="s">
        <v>120</v>
      </c>
      <c r="H285" s="44" t="s">
        <v>35</v>
      </c>
      <c r="I285" s="44" t="s">
        <v>35</v>
      </c>
      <c r="J285" s="44" t="s">
        <v>10</v>
      </c>
      <c r="K285" s="44" t="s">
        <v>132</v>
      </c>
      <c r="L285" s="40">
        <v>19457</v>
      </c>
      <c r="M285" s="41">
        <v>41851</v>
      </c>
      <c r="N285" s="40" t="s">
        <v>122</v>
      </c>
      <c r="O285" s="42">
        <v>42370</v>
      </c>
      <c r="P285" s="40">
        <v>51</v>
      </c>
      <c r="Q285" s="145">
        <v>93.97</v>
      </c>
      <c r="R285" s="145">
        <v>92.89</v>
      </c>
      <c r="S285" s="145">
        <v>92.66</v>
      </c>
      <c r="T285" s="145">
        <v>93.07</v>
      </c>
      <c r="U285" s="145">
        <v>97.63</v>
      </c>
    </row>
    <row r="286" spans="1:21" x14ac:dyDescent="0.2">
      <c r="A286" s="89">
        <f t="shared" si="4"/>
        <v>278</v>
      </c>
      <c r="B286" s="43">
        <v>8</v>
      </c>
      <c r="C286" s="43">
        <v>19</v>
      </c>
      <c r="D286" s="38" t="s">
        <v>1018</v>
      </c>
      <c r="E286" s="44" t="s">
        <v>173</v>
      </c>
      <c r="F286" s="44" t="s">
        <v>31</v>
      </c>
      <c r="G286" s="44" t="s">
        <v>120</v>
      </c>
      <c r="H286" s="44" t="s">
        <v>35</v>
      </c>
      <c r="I286" s="44" t="s">
        <v>35</v>
      </c>
      <c r="J286" s="44" t="s">
        <v>11</v>
      </c>
      <c r="K286" s="44" t="s">
        <v>129</v>
      </c>
      <c r="L286" s="40">
        <v>19458</v>
      </c>
      <c r="M286" s="41">
        <v>41851</v>
      </c>
      <c r="N286" s="40" t="s">
        <v>122</v>
      </c>
      <c r="O286" s="42">
        <v>42370</v>
      </c>
      <c r="P286" s="40">
        <v>51</v>
      </c>
      <c r="Q286" s="145">
        <v>94.85</v>
      </c>
      <c r="R286" s="145">
        <v>90.61</v>
      </c>
      <c r="S286" s="145">
        <v>91.27</v>
      </c>
      <c r="T286" s="145">
        <v>90.67</v>
      </c>
      <c r="U286" s="145">
        <v>95.22</v>
      </c>
    </row>
    <row r="287" spans="1:21" x14ac:dyDescent="0.2">
      <c r="A287" s="89">
        <f t="shared" si="4"/>
        <v>279</v>
      </c>
      <c r="B287" s="43">
        <v>8</v>
      </c>
      <c r="C287" s="43">
        <v>20</v>
      </c>
      <c r="D287" s="38" t="s">
        <v>1019</v>
      </c>
      <c r="E287" s="44" t="s">
        <v>175</v>
      </c>
      <c r="F287" s="44" t="s">
        <v>6</v>
      </c>
      <c r="G287" s="44" t="s">
        <v>120</v>
      </c>
      <c r="H287" s="44" t="s">
        <v>176</v>
      </c>
      <c r="I287" s="44" t="s">
        <v>177</v>
      </c>
      <c r="J287" s="44" t="s">
        <v>9</v>
      </c>
      <c r="K287" s="44" t="s">
        <v>135</v>
      </c>
      <c r="L287" s="40">
        <v>19460</v>
      </c>
      <c r="M287" s="41">
        <v>41851</v>
      </c>
      <c r="N287" s="40" t="s">
        <v>122</v>
      </c>
      <c r="O287" s="42">
        <v>42370</v>
      </c>
      <c r="P287" s="40">
        <v>51</v>
      </c>
      <c r="Q287" s="145">
        <v>76.510000000000005</v>
      </c>
      <c r="R287" s="145">
        <v>71.33</v>
      </c>
      <c r="S287" s="145">
        <v>71.83</v>
      </c>
      <c r="T287" s="145">
        <v>70.81</v>
      </c>
      <c r="U287" s="145">
        <v>74.150000000000006</v>
      </c>
    </row>
    <row r="288" spans="1:21" x14ac:dyDescent="0.2">
      <c r="A288" s="89">
        <f t="shared" si="4"/>
        <v>280</v>
      </c>
      <c r="B288" s="43">
        <v>8</v>
      </c>
      <c r="C288" s="43">
        <v>21</v>
      </c>
      <c r="D288" s="38" t="s">
        <v>1020</v>
      </c>
      <c r="E288" s="44" t="s">
        <v>179</v>
      </c>
      <c r="F288" s="44" t="s">
        <v>6</v>
      </c>
      <c r="G288" s="44" t="s">
        <v>120</v>
      </c>
      <c r="H288" s="44" t="s">
        <v>176</v>
      </c>
      <c r="I288" s="44" t="s">
        <v>177</v>
      </c>
      <c r="J288" s="44" t="s">
        <v>10</v>
      </c>
      <c r="K288" s="44" t="s">
        <v>132</v>
      </c>
      <c r="L288" s="40">
        <v>19459</v>
      </c>
      <c r="M288" s="41">
        <v>41851</v>
      </c>
      <c r="N288" s="40" t="s">
        <v>122</v>
      </c>
      <c r="O288" s="42">
        <v>42370</v>
      </c>
      <c r="P288" s="40">
        <v>51</v>
      </c>
      <c r="Q288" s="145">
        <v>77.349999999999994</v>
      </c>
      <c r="R288" s="145">
        <v>72.400000000000006</v>
      </c>
      <c r="S288" s="145">
        <v>72.83</v>
      </c>
      <c r="T288" s="145">
        <v>71.89</v>
      </c>
      <c r="U288" s="145">
        <v>75.25</v>
      </c>
    </row>
    <row r="289" spans="1:21" x14ac:dyDescent="0.2">
      <c r="A289" s="89">
        <f t="shared" si="4"/>
        <v>281</v>
      </c>
      <c r="B289" s="43">
        <v>8</v>
      </c>
      <c r="C289" s="43">
        <v>22</v>
      </c>
      <c r="D289" s="38" t="s">
        <v>1021</v>
      </c>
      <c r="E289" s="44" t="s">
        <v>181</v>
      </c>
      <c r="F289" s="44" t="s">
        <v>6</v>
      </c>
      <c r="G289" s="44" t="s">
        <v>120</v>
      </c>
      <c r="H289" s="44" t="s">
        <v>176</v>
      </c>
      <c r="I289" s="44" t="s">
        <v>177</v>
      </c>
      <c r="J289" s="44" t="s">
        <v>11</v>
      </c>
      <c r="K289" s="44" t="s">
        <v>129</v>
      </c>
      <c r="L289" s="40">
        <v>19461</v>
      </c>
      <c r="M289" s="41">
        <v>41851</v>
      </c>
      <c r="N289" s="40" t="s">
        <v>122</v>
      </c>
      <c r="O289" s="42">
        <v>42370</v>
      </c>
      <c r="P289" s="40">
        <v>51</v>
      </c>
      <c r="Q289" s="145">
        <v>77.88</v>
      </c>
      <c r="R289" s="145">
        <v>71.37</v>
      </c>
      <c r="S289" s="145">
        <v>72.3</v>
      </c>
      <c r="T289" s="145">
        <v>70.88</v>
      </c>
      <c r="U289" s="145">
        <v>74.239999999999995</v>
      </c>
    </row>
    <row r="290" spans="1:21" x14ac:dyDescent="0.2">
      <c r="A290" s="89">
        <f t="shared" si="4"/>
        <v>282</v>
      </c>
      <c r="B290" s="43">
        <v>8</v>
      </c>
      <c r="C290" s="43">
        <v>23</v>
      </c>
      <c r="D290" s="38" t="s">
        <v>1022</v>
      </c>
      <c r="E290" s="44" t="s">
        <v>183</v>
      </c>
      <c r="F290" s="44" t="s">
        <v>6</v>
      </c>
      <c r="G290" s="44" t="s">
        <v>120</v>
      </c>
      <c r="H290" s="44" t="s">
        <v>13</v>
      </c>
      <c r="I290" s="44" t="s">
        <v>13</v>
      </c>
      <c r="J290" s="44" t="s">
        <v>7</v>
      </c>
      <c r="K290" s="44" t="s">
        <v>140</v>
      </c>
      <c r="L290" s="40">
        <v>19462</v>
      </c>
      <c r="M290" s="41">
        <v>41851</v>
      </c>
      <c r="N290" s="40" t="s">
        <v>122</v>
      </c>
      <c r="O290" s="42">
        <v>42370</v>
      </c>
      <c r="P290" s="40">
        <v>51</v>
      </c>
      <c r="Q290" s="145">
        <v>80.56</v>
      </c>
      <c r="R290" s="145">
        <v>75.64</v>
      </c>
      <c r="S290" s="145">
        <v>76.19</v>
      </c>
      <c r="T290" s="145">
        <v>75.19</v>
      </c>
      <c r="U290" s="145">
        <v>79.47</v>
      </c>
    </row>
    <row r="291" spans="1:21" x14ac:dyDescent="0.2">
      <c r="A291" s="89">
        <f t="shared" si="4"/>
        <v>283</v>
      </c>
      <c r="B291" s="43">
        <v>8</v>
      </c>
      <c r="C291" s="43">
        <v>24</v>
      </c>
      <c r="D291" s="38" t="s">
        <v>1023</v>
      </c>
      <c r="E291" s="44" t="s">
        <v>185</v>
      </c>
      <c r="F291" s="44" t="s">
        <v>6</v>
      </c>
      <c r="G291" s="44" t="s">
        <v>120</v>
      </c>
      <c r="H291" s="44" t="s">
        <v>12</v>
      </c>
      <c r="I291" s="44" t="s">
        <v>186</v>
      </c>
      <c r="J291" s="44" t="s">
        <v>9</v>
      </c>
      <c r="K291" s="44" t="s">
        <v>135</v>
      </c>
      <c r="L291" s="40">
        <v>19463</v>
      </c>
      <c r="M291" s="41">
        <v>41851</v>
      </c>
      <c r="N291" s="40" t="s">
        <v>122</v>
      </c>
      <c r="O291" s="42">
        <v>42370</v>
      </c>
      <c r="P291" s="40">
        <v>51</v>
      </c>
      <c r="Q291" s="145">
        <v>75.489999999999995</v>
      </c>
      <c r="R291" s="145">
        <v>71</v>
      </c>
      <c r="S291" s="145">
        <v>71.5</v>
      </c>
      <c r="T291" s="145">
        <v>70.61</v>
      </c>
      <c r="U291" s="145">
        <v>73.760000000000005</v>
      </c>
    </row>
    <row r="292" spans="1:21" x14ac:dyDescent="0.2">
      <c r="A292" s="89">
        <f t="shared" si="4"/>
        <v>284</v>
      </c>
      <c r="B292" s="43">
        <v>8</v>
      </c>
      <c r="C292" s="43">
        <v>25</v>
      </c>
      <c r="D292" s="38" t="s">
        <v>1024</v>
      </c>
      <c r="E292" s="44" t="s">
        <v>188</v>
      </c>
      <c r="F292" s="44" t="s">
        <v>6</v>
      </c>
      <c r="G292" s="44" t="s">
        <v>120</v>
      </c>
      <c r="H292" s="44" t="s">
        <v>12</v>
      </c>
      <c r="I292" s="44" t="s">
        <v>186</v>
      </c>
      <c r="J292" s="44" t="s">
        <v>10</v>
      </c>
      <c r="K292" s="44" t="s">
        <v>132</v>
      </c>
      <c r="L292" s="40">
        <v>19464</v>
      </c>
      <c r="M292" s="41">
        <v>41851</v>
      </c>
      <c r="N292" s="40" t="s">
        <v>122</v>
      </c>
      <c r="O292" s="42">
        <v>42370</v>
      </c>
      <c r="P292" s="40">
        <v>51</v>
      </c>
      <c r="Q292" s="145">
        <v>76.59</v>
      </c>
      <c r="R292" s="145">
        <v>72.180000000000007</v>
      </c>
      <c r="S292" s="145">
        <v>72.650000000000006</v>
      </c>
      <c r="T292" s="145">
        <v>71.790000000000006</v>
      </c>
      <c r="U292" s="145">
        <v>74.95</v>
      </c>
    </row>
    <row r="293" spans="1:21" x14ac:dyDescent="0.2">
      <c r="A293" s="89">
        <f t="shared" si="4"/>
        <v>285</v>
      </c>
      <c r="B293" s="43">
        <v>8</v>
      </c>
      <c r="C293" s="43">
        <v>26</v>
      </c>
      <c r="D293" s="38" t="s">
        <v>1025</v>
      </c>
      <c r="E293" s="44" t="s">
        <v>190</v>
      </c>
      <c r="F293" s="44" t="s">
        <v>6</v>
      </c>
      <c r="G293" s="44" t="s">
        <v>120</v>
      </c>
      <c r="H293" s="44" t="s">
        <v>12</v>
      </c>
      <c r="I293" s="44" t="s">
        <v>186</v>
      </c>
      <c r="J293" s="44" t="s">
        <v>11</v>
      </c>
      <c r="K293" s="44" t="s">
        <v>129</v>
      </c>
      <c r="L293" s="40">
        <v>19465</v>
      </c>
      <c r="M293" s="41">
        <v>41851</v>
      </c>
      <c r="N293" s="40" t="s">
        <v>122</v>
      </c>
      <c r="O293" s="42">
        <v>42370</v>
      </c>
      <c r="P293" s="40">
        <v>51</v>
      </c>
      <c r="Q293" s="145">
        <v>75.91</v>
      </c>
      <c r="R293" s="145">
        <v>71.510000000000005</v>
      </c>
      <c r="S293" s="145">
        <v>72.17</v>
      </c>
      <c r="T293" s="145">
        <v>71.14</v>
      </c>
      <c r="U293" s="145">
        <v>74.31</v>
      </c>
    </row>
    <row r="294" spans="1:21" x14ac:dyDescent="0.2">
      <c r="A294" s="89">
        <f t="shared" si="4"/>
        <v>286</v>
      </c>
      <c r="B294" s="43">
        <v>8</v>
      </c>
      <c r="C294" s="43">
        <v>27</v>
      </c>
      <c r="D294" s="38" t="s">
        <v>1026</v>
      </c>
      <c r="E294" s="44" t="s">
        <v>192</v>
      </c>
      <c r="F294" s="44" t="s">
        <v>6</v>
      </c>
      <c r="G294" s="44" t="s">
        <v>120</v>
      </c>
      <c r="H294" s="44" t="s">
        <v>100</v>
      </c>
      <c r="I294" s="44" t="s">
        <v>193</v>
      </c>
      <c r="J294" s="44" t="s">
        <v>7</v>
      </c>
      <c r="K294" s="44" t="s">
        <v>140</v>
      </c>
      <c r="L294" s="40">
        <v>19466</v>
      </c>
      <c r="M294" s="41">
        <v>41851</v>
      </c>
      <c r="N294" s="40" t="s">
        <v>122</v>
      </c>
      <c r="O294" s="42">
        <v>42370</v>
      </c>
      <c r="P294" s="40">
        <v>51</v>
      </c>
      <c r="Q294" s="145">
        <v>85.67</v>
      </c>
      <c r="R294" s="145">
        <v>76.77</v>
      </c>
      <c r="S294" s="145">
        <v>74.5</v>
      </c>
      <c r="T294" s="145">
        <v>73.97</v>
      </c>
      <c r="U294" s="145">
        <v>77.83</v>
      </c>
    </row>
    <row r="295" spans="1:21" x14ac:dyDescent="0.2">
      <c r="A295" s="89">
        <f t="shared" si="4"/>
        <v>287</v>
      </c>
      <c r="B295" s="43">
        <v>8</v>
      </c>
      <c r="C295" s="43">
        <v>28</v>
      </c>
      <c r="D295" s="38" t="s">
        <v>1027</v>
      </c>
      <c r="E295" s="44" t="s">
        <v>195</v>
      </c>
      <c r="F295" s="44" t="s">
        <v>39</v>
      </c>
      <c r="G295" s="44" t="s">
        <v>120</v>
      </c>
      <c r="H295" s="44" t="s">
        <v>44</v>
      </c>
      <c r="I295" s="44" t="s">
        <v>44</v>
      </c>
      <c r="J295" s="44" t="s">
        <v>7</v>
      </c>
      <c r="K295" s="44" t="s">
        <v>140</v>
      </c>
      <c r="L295" s="40">
        <v>19467</v>
      </c>
      <c r="M295" s="41">
        <v>41851</v>
      </c>
      <c r="N295" s="40" t="s">
        <v>122</v>
      </c>
      <c r="O295" s="42">
        <v>42370</v>
      </c>
      <c r="P295" s="40">
        <v>51</v>
      </c>
      <c r="Q295" s="145">
        <v>84.63</v>
      </c>
      <c r="R295" s="145">
        <v>80.03</v>
      </c>
      <c r="S295" s="145">
        <v>80.66</v>
      </c>
      <c r="T295" s="145">
        <v>79.92</v>
      </c>
      <c r="U295" s="145">
        <v>83.7</v>
      </c>
    </row>
    <row r="296" spans="1:21" x14ac:dyDescent="0.2">
      <c r="A296" s="89">
        <f t="shared" si="4"/>
        <v>288</v>
      </c>
      <c r="B296" s="43">
        <v>8</v>
      </c>
      <c r="C296" s="43">
        <v>29</v>
      </c>
      <c r="D296" s="38" t="s">
        <v>1028</v>
      </c>
      <c r="E296" s="44" t="s">
        <v>197</v>
      </c>
      <c r="F296" s="44" t="s">
        <v>39</v>
      </c>
      <c r="G296" s="44" t="s">
        <v>120</v>
      </c>
      <c r="H296" s="44" t="s">
        <v>44</v>
      </c>
      <c r="I296" s="44" t="s">
        <v>44</v>
      </c>
      <c r="J296" s="44" t="s">
        <v>45</v>
      </c>
      <c r="K296" s="44" t="s">
        <v>198</v>
      </c>
      <c r="L296" s="40">
        <v>19468</v>
      </c>
      <c r="M296" s="41">
        <v>41851</v>
      </c>
      <c r="N296" s="40" t="s">
        <v>122</v>
      </c>
      <c r="O296" s="42">
        <v>42370</v>
      </c>
      <c r="P296" s="40">
        <v>51</v>
      </c>
      <c r="Q296" s="145">
        <v>82.94</v>
      </c>
      <c r="R296" s="145">
        <v>77.97</v>
      </c>
      <c r="S296" s="145">
        <v>78.67</v>
      </c>
      <c r="T296" s="145">
        <v>77.83</v>
      </c>
      <c r="U296" s="145">
        <v>81.55</v>
      </c>
    </row>
    <row r="297" spans="1:21" x14ac:dyDescent="0.2">
      <c r="A297" s="89">
        <f t="shared" si="4"/>
        <v>289</v>
      </c>
      <c r="B297" s="43">
        <v>8</v>
      </c>
      <c r="C297" s="43">
        <v>30</v>
      </c>
      <c r="D297" s="38" t="s">
        <v>1029</v>
      </c>
      <c r="E297" s="44" t="s">
        <v>200</v>
      </c>
      <c r="F297" s="44" t="s">
        <v>39</v>
      </c>
      <c r="G297" s="44" t="s">
        <v>120</v>
      </c>
      <c r="H297" s="44" t="s">
        <v>44</v>
      </c>
      <c r="I297" s="44" t="s">
        <v>44</v>
      </c>
      <c r="J297" s="44" t="s">
        <v>46</v>
      </c>
      <c r="K297" s="44" t="s">
        <v>46</v>
      </c>
      <c r="L297" s="40">
        <v>19469</v>
      </c>
      <c r="M297" s="41">
        <v>41851</v>
      </c>
      <c r="N297" s="40" t="s">
        <v>122</v>
      </c>
      <c r="O297" s="42">
        <v>42370</v>
      </c>
      <c r="P297" s="40">
        <v>51</v>
      </c>
      <c r="Q297" s="145">
        <v>82.62</v>
      </c>
      <c r="R297" s="145">
        <v>77.2</v>
      </c>
      <c r="S297" s="145">
        <v>78.13</v>
      </c>
      <c r="T297" s="145">
        <v>77.180000000000007</v>
      </c>
      <c r="U297" s="145">
        <v>80.91</v>
      </c>
    </row>
    <row r="298" spans="1:21" x14ac:dyDescent="0.2">
      <c r="A298" s="89">
        <f t="shared" si="4"/>
        <v>290</v>
      </c>
      <c r="B298" s="43">
        <v>8</v>
      </c>
      <c r="C298" s="43">
        <v>31</v>
      </c>
      <c r="D298" s="38" t="s">
        <v>1030</v>
      </c>
      <c r="E298" s="44" t="s">
        <v>202</v>
      </c>
      <c r="F298" s="44" t="s">
        <v>39</v>
      </c>
      <c r="G298" s="44" t="s">
        <v>120</v>
      </c>
      <c r="H298" s="44" t="s">
        <v>47</v>
      </c>
      <c r="I298" s="44" t="s">
        <v>47</v>
      </c>
      <c r="J298" s="44" t="s">
        <v>7</v>
      </c>
      <c r="K298" s="44" t="s">
        <v>140</v>
      </c>
      <c r="L298" s="40">
        <v>19470</v>
      </c>
      <c r="M298" s="41">
        <v>41851</v>
      </c>
      <c r="N298" s="40" t="s">
        <v>122</v>
      </c>
      <c r="O298" s="42">
        <v>42370</v>
      </c>
      <c r="P298" s="40">
        <v>51</v>
      </c>
      <c r="Q298" s="145">
        <v>71.2</v>
      </c>
      <c r="R298" s="145">
        <v>68.37</v>
      </c>
      <c r="S298" s="145">
        <v>68.09</v>
      </c>
      <c r="T298" s="145">
        <v>69.42</v>
      </c>
      <c r="U298" s="145">
        <v>72.17</v>
      </c>
    </row>
    <row r="299" spans="1:21" x14ac:dyDescent="0.2">
      <c r="A299" s="89">
        <f t="shared" si="4"/>
        <v>291</v>
      </c>
      <c r="B299" s="43">
        <v>8</v>
      </c>
      <c r="C299" s="43">
        <v>32</v>
      </c>
      <c r="D299" s="38" t="s">
        <v>1031</v>
      </c>
      <c r="E299" s="44" t="s">
        <v>204</v>
      </c>
      <c r="F299" s="44" t="s">
        <v>6</v>
      </c>
      <c r="G299" s="44" t="s">
        <v>120</v>
      </c>
      <c r="H299" s="44" t="s">
        <v>14</v>
      </c>
      <c r="I299" s="44" t="s">
        <v>14</v>
      </c>
      <c r="J299" s="44" t="s">
        <v>15</v>
      </c>
      <c r="K299" s="44" t="s">
        <v>129</v>
      </c>
      <c r="L299" s="40">
        <v>19471</v>
      </c>
      <c r="M299" s="41">
        <v>41851</v>
      </c>
      <c r="N299" s="40" t="s">
        <v>122</v>
      </c>
      <c r="O299" s="42">
        <v>42370</v>
      </c>
      <c r="P299" s="40">
        <v>51</v>
      </c>
      <c r="Q299" s="145">
        <v>82.98</v>
      </c>
      <c r="R299" s="145">
        <v>78.03</v>
      </c>
      <c r="S299" s="145">
        <v>78.430000000000007</v>
      </c>
      <c r="T299" s="145">
        <v>77.489999999999995</v>
      </c>
      <c r="U299" s="145">
        <v>80.62</v>
      </c>
    </row>
    <row r="300" spans="1:21" x14ac:dyDescent="0.2">
      <c r="A300" s="89">
        <f t="shared" si="4"/>
        <v>292</v>
      </c>
      <c r="B300" s="43">
        <v>8</v>
      </c>
      <c r="C300" s="43">
        <v>33</v>
      </c>
      <c r="D300" s="38" t="s">
        <v>1032</v>
      </c>
      <c r="E300" s="44" t="s">
        <v>206</v>
      </c>
      <c r="F300" s="44" t="s">
        <v>6</v>
      </c>
      <c r="G300" s="44" t="s">
        <v>120</v>
      </c>
      <c r="H300" s="44" t="s">
        <v>14</v>
      </c>
      <c r="I300" s="44" t="s">
        <v>14</v>
      </c>
      <c r="J300" s="44" t="s">
        <v>16</v>
      </c>
      <c r="K300" s="44" t="s">
        <v>135</v>
      </c>
      <c r="L300" s="40">
        <v>19472</v>
      </c>
      <c r="M300" s="41">
        <v>41851</v>
      </c>
      <c r="N300" s="40" t="s">
        <v>122</v>
      </c>
      <c r="O300" s="42">
        <v>42370</v>
      </c>
      <c r="P300" s="40">
        <v>51</v>
      </c>
      <c r="Q300" s="145">
        <v>84.09</v>
      </c>
      <c r="R300" s="145">
        <v>79.3</v>
      </c>
      <c r="S300" s="145">
        <v>79.64</v>
      </c>
      <c r="T300" s="145">
        <v>78.81</v>
      </c>
      <c r="U300" s="145">
        <v>82</v>
      </c>
    </row>
    <row r="301" spans="1:21" x14ac:dyDescent="0.2">
      <c r="A301" s="89">
        <f t="shared" si="4"/>
        <v>293</v>
      </c>
      <c r="B301" s="43">
        <v>8</v>
      </c>
      <c r="C301" s="43">
        <v>34</v>
      </c>
      <c r="D301" s="38" t="s">
        <v>1033</v>
      </c>
      <c r="E301" s="44" t="s">
        <v>208</v>
      </c>
      <c r="F301" s="44" t="s">
        <v>31</v>
      </c>
      <c r="G301" s="44" t="s">
        <v>120</v>
      </c>
      <c r="H301" s="44" t="s">
        <v>36</v>
      </c>
      <c r="I301" s="44" t="s">
        <v>36</v>
      </c>
      <c r="J301" s="44" t="s">
        <v>37</v>
      </c>
      <c r="K301" s="44" t="s">
        <v>209</v>
      </c>
      <c r="L301" s="40">
        <v>19473</v>
      </c>
      <c r="M301" s="41">
        <v>41851</v>
      </c>
      <c r="N301" s="40" t="s">
        <v>122</v>
      </c>
      <c r="O301" s="42">
        <v>42370</v>
      </c>
      <c r="P301" s="40">
        <v>51</v>
      </c>
      <c r="Q301" s="145">
        <v>104.79</v>
      </c>
      <c r="R301" s="145">
        <v>101.86</v>
      </c>
      <c r="S301" s="145">
        <v>103.5</v>
      </c>
      <c r="T301" s="145">
        <v>103.01</v>
      </c>
      <c r="U301" s="145">
        <v>106.2</v>
      </c>
    </row>
    <row r="302" spans="1:21" x14ac:dyDescent="0.2">
      <c r="A302" s="89">
        <f t="shared" si="4"/>
        <v>294</v>
      </c>
      <c r="B302" s="43">
        <v>8</v>
      </c>
      <c r="C302" s="43">
        <v>35</v>
      </c>
      <c r="D302" s="38" t="s">
        <v>1034</v>
      </c>
      <c r="E302" s="44" t="s">
        <v>211</v>
      </c>
      <c r="F302" s="44" t="s">
        <v>31</v>
      </c>
      <c r="G302" s="44" t="s">
        <v>120</v>
      </c>
      <c r="H302" s="44" t="s">
        <v>36</v>
      </c>
      <c r="I302" s="44" t="s">
        <v>36</v>
      </c>
      <c r="J302" s="44" t="s">
        <v>38</v>
      </c>
      <c r="K302" s="44" t="s">
        <v>212</v>
      </c>
      <c r="L302" s="40">
        <v>19474</v>
      </c>
      <c r="M302" s="41">
        <v>41851</v>
      </c>
      <c r="N302" s="40" t="s">
        <v>122</v>
      </c>
      <c r="O302" s="42">
        <v>42370</v>
      </c>
      <c r="P302" s="40">
        <v>51</v>
      </c>
      <c r="Q302" s="145">
        <v>103.01</v>
      </c>
      <c r="R302" s="145">
        <v>100.23</v>
      </c>
      <c r="S302" s="145">
        <v>101.85</v>
      </c>
      <c r="T302" s="145">
        <v>101.29</v>
      </c>
      <c r="U302" s="145">
        <v>104.44</v>
      </c>
    </row>
    <row r="303" spans="1:21" x14ac:dyDescent="0.2">
      <c r="A303" s="89">
        <f t="shared" si="4"/>
        <v>295</v>
      </c>
      <c r="B303" s="43">
        <v>8</v>
      </c>
      <c r="C303" s="43">
        <v>36</v>
      </c>
      <c r="D303" s="38" t="s">
        <v>1035</v>
      </c>
      <c r="E303" s="44" t="s">
        <v>214</v>
      </c>
      <c r="F303" s="44" t="s">
        <v>6</v>
      </c>
      <c r="G303" s="44" t="s">
        <v>120</v>
      </c>
      <c r="H303" s="44" t="s">
        <v>17</v>
      </c>
      <c r="I303" s="44" t="s">
        <v>215</v>
      </c>
      <c r="J303" s="44" t="s">
        <v>18</v>
      </c>
      <c r="K303" s="44" t="s">
        <v>140</v>
      </c>
      <c r="L303" s="40">
        <v>19475</v>
      </c>
      <c r="M303" s="41">
        <v>41851</v>
      </c>
      <c r="N303" s="40" t="s">
        <v>122</v>
      </c>
      <c r="O303" s="42">
        <v>42370</v>
      </c>
      <c r="P303" s="40">
        <v>51</v>
      </c>
      <c r="Q303" s="145">
        <v>69.11</v>
      </c>
      <c r="R303" s="145">
        <v>63.92</v>
      </c>
      <c r="S303" s="145">
        <v>64.16</v>
      </c>
      <c r="T303" s="145">
        <v>64.709999999999994</v>
      </c>
      <c r="U303" s="145">
        <v>67.08</v>
      </c>
    </row>
    <row r="304" spans="1:21" x14ac:dyDescent="0.2">
      <c r="A304" s="89">
        <f t="shared" si="4"/>
        <v>296</v>
      </c>
      <c r="B304" s="20"/>
      <c r="C304" s="20"/>
      <c r="D304" s="20"/>
    </row>
    <row r="305" spans="1:21" x14ac:dyDescent="0.2">
      <c r="A305" s="89">
        <f t="shared" si="4"/>
        <v>297</v>
      </c>
      <c r="B305" s="43">
        <v>9</v>
      </c>
      <c r="C305" s="43">
        <v>1</v>
      </c>
      <c r="D305" s="38" t="s">
        <v>1036</v>
      </c>
      <c r="E305" s="44" t="s">
        <v>119</v>
      </c>
      <c r="F305" s="44" t="s">
        <v>31</v>
      </c>
      <c r="G305" s="44" t="s">
        <v>120</v>
      </c>
      <c r="H305" s="44" t="s">
        <v>32</v>
      </c>
      <c r="I305" s="44" t="s">
        <v>32</v>
      </c>
      <c r="J305" s="44" t="s">
        <v>33</v>
      </c>
      <c r="K305" s="44" t="s">
        <v>121</v>
      </c>
      <c r="L305" s="40">
        <v>19440</v>
      </c>
      <c r="M305" s="41">
        <v>41851</v>
      </c>
      <c r="N305" s="40" t="s">
        <v>122</v>
      </c>
      <c r="O305" s="42">
        <v>42401</v>
      </c>
      <c r="P305" s="40">
        <v>52</v>
      </c>
      <c r="Q305" s="145">
        <v>95.13</v>
      </c>
      <c r="R305" s="145">
        <v>92.76</v>
      </c>
      <c r="S305" s="145">
        <v>93</v>
      </c>
      <c r="T305" s="145">
        <v>93</v>
      </c>
      <c r="U305" s="145">
        <v>97.24</v>
      </c>
    </row>
    <row r="306" spans="1:21" x14ac:dyDescent="0.2">
      <c r="A306" s="89">
        <f t="shared" si="4"/>
        <v>298</v>
      </c>
      <c r="B306" s="43">
        <v>9</v>
      </c>
      <c r="C306" s="43">
        <v>2</v>
      </c>
      <c r="D306" s="38" t="s">
        <v>1037</v>
      </c>
      <c r="E306" s="44" t="s">
        <v>124</v>
      </c>
      <c r="F306" s="44" t="s">
        <v>31</v>
      </c>
      <c r="G306" s="44" t="s">
        <v>120</v>
      </c>
      <c r="H306" s="44" t="s">
        <v>32</v>
      </c>
      <c r="I306" s="44" t="s">
        <v>32</v>
      </c>
      <c r="J306" s="44" t="s">
        <v>34</v>
      </c>
      <c r="K306" s="44" t="s">
        <v>125</v>
      </c>
      <c r="L306" s="40">
        <v>19441</v>
      </c>
      <c r="M306" s="41">
        <v>41851</v>
      </c>
      <c r="N306" s="40" t="s">
        <v>122</v>
      </c>
      <c r="O306" s="42">
        <v>42401</v>
      </c>
      <c r="P306" s="40">
        <v>52</v>
      </c>
      <c r="Q306" s="145">
        <v>94.53</v>
      </c>
      <c r="R306" s="145">
        <v>92.05</v>
      </c>
      <c r="S306" s="145">
        <v>92.3</v>
      </c>
      <c r="T306" s="145">
        <v>92.19</v>
      </c>
      <c r="U306" s="145">
        <v>95</v>
      </c>
    </row>
    <row r="307" spans="1:21" x14ac:dyDescent="0.2">
      <c r="A307" s="89">
        <f t="shared" si="4"/>
        <v>299</v>
      </c>
      <c r="B307" s="43">
        <v>9</v>
      </c>
      <c r="C307" s="43">
        <v>3</v>
      </c>
      <c r="D307" s="38" t="s">
        <v>1038</v>
      </c>
      <c r="E307" s="44" t="s">
        <v>127</v>
      </c>
      <c r="F307" s="44" t="s">
        <v>20</v>
      </c>
      <c r="G307" s="44" t="s">
        <v>120</v>
      </c>
      <c r="H307" s="44" t="s">
        <v>63</v>
      </c>
      <c r="I307" s="44" t="s">
        <v>128</v>
      </c>
      <c r="J307" s="44" t="s">
        <v>15</v>
      </c>
      <c r="K307" s="44" t="s">
        <v>129</v>
      </c>
      <c r="L307" s="40">
        <v>19442</v>
      </c>
      <c r="M307" s="41">
        <v>41851</v>
      </c>
      <c r="N307" s="40" t="s">
        <v>122</v>
      </c>
      <c r="O307" s="42">
        <v>42401</v>
      </c>
      <c r="P307" s="40">
        <v>52</v>
      </c>
      <c r="Q307" s="145">
        <v>70.849999999999994</v>
      </c>
      <c r="R307" s="145">
        <v>66.31</v>
      </c>
      <c r="S307" s="145">
        <v>66.55</v>
      </c>
      <c r="T307" s="145">
        <v>65.91</v>
      </c>
      <c r="U307" s="145">
        <v>66.7</v>
      </c>
    </row>
    <row r="308" spans="1:21" x14ac:dyDescent="0.2">
      <c r="A308" s="89">
        <f t="shared" si="4"/>
        <v>300</v>
      </c>
      <c r="B308" s="43">
        <v>9</v>
      </c>
      <c r="C308" s="43">
        <v>4</v>
      </c>
      <c r="D308" s="38" t="s">
        <v>1039</v>
      </c>
      <c r="E308" s="44" t="s">
        <v>131</v>
      </c>
      <c r="F308" s="44" t="s">
        <v>20</v>
      </c>
      <c r="G308" s="44" t="s">
        <v>120</v>
      </c>
      <c r="H308" s="44" t="s">
        <v>63</v>
      </c>
      <c r="I308" s="44" t="s">
        <v>128</v>
      </c>
      <c r="J308" s="44" t="s">
        <v>21</v>
      </c>
      <c r="K308" s="44" t="s">
        <v>132</v>
      </c>
      <c r="L308" s="40">
        <v>19443</v>
      </c>
      <c r="M308" s="41">
        <v>41851</v>
      </c>
      <c r="N308" s="40" t="s">
        <v>122</v>
      </c>
      <c r="O308" s="42">
        <v>42401</v>
      </c>
      <c r="P308" s="40">
        <v>52</v>
      </c>
      <c r="Q308" s="145">
        <v>71.3</v>
      </c>
      <c r="R308" s="145">
        <v>68.22</v>
      </c>
      <c r="S308" s="145">
        <v>68.11</v>
      </c>
      <c r="T308" s="145">
        <v>67.819999999999993</v>
      </c>
      <c r="U308" s="145">
        <v>68.64</v>
      </c>
    </row>
    <row r="309" spans="1:21" x14ac:dyDescent="0.2">
      <c r="A309" s="89">
        <f t="shared" si="4"/>
        <v>301</v>
      </c>
      <c r="B309" s="43">
        <v>9</v>
      </c>
      <c r="C309" s="43">
        <v>5</v>
      </c>
      <c r="D309" s="38" t="s">
        <v>1040</v>
      </c>
      <c r="E309" s="44" t="s">
        <v>134</v>
      </c>
      <c r="F309" s="44" t="s">
        <v>20</v>
      </c>
      <c r="G309" s="44" t="s">
        <v>120</v>
      </c>
      <c r="H309" s="44" t="s">
        <v>63</v>
      </c>
      <c r="I309" s="44" t="s">
        <v>128</v>
      </c>
      <c r="J309" s="44" t="s">
        <v>16</v>
      </c>
      <c r="K309" s="44" t="s">
        <v>135</v>
      </c>
      <c r="L309" s="40">
        <v>19444</v>
      </c>
      <c r="M309" s="41">
        <v>41851</v>
      </c>
      <c r="N309" s="40" t="s">
        <v>122</v>
      </c>
      <c r="O309" s="42">
        <v>42401</v>
      </c>
      <c r="P309" s="40">
        <v>52</v>
      </c>
      <c r="Q309" s="145">
        <v>70.47</v>
      </c>
      <c r="R309" s="145">
        <v>67.22</v>
      </c>
      <c r="S309" s="145">
        <v>67.11</v>
      </c>
      <c r="T309" s="145">
        <v>66.790000000000006</v>
      </c>
      <c r="U309" s="145">
        <v>67.59</v>
      </c>
    </row>
    <row r="310" spans="1:21" x14ac:dyDescent="0.2">
      <c r="A310" s="89">
        <f t="shared" si="4"/>
        <v>302</v>
      </c>
      <c r="B310" s="43">
        <v>9</v>
      </c>
      <c r="C310" s="43">
        <v>6</v>
      </c>
      <c r="D310" s="38" t="s">
        <v>1041</v>
      </c>
      <c r="E310" s="44" t="s">
        <v>137</v>
      </c>
      <c r="F310" s="44" t="s">
        <v>25</v>
      </c>
      <c r="G310" s="44" t="s">
        <v>138</v>
      </c>
      <c r="H310" s="44" t="s">
        <v>139</v>
      </c>
      <c r="I310" s="44" t="s">
        <v>29</v>
      </c>
      <c r="J310" s="44" t="s">
        <v>30</v>
      </c>
      <c r="K310" s="44" t="s">
        <v>140</v>
      </c>
      <c r="L310" s="40">
        <v>19445</v>
      </c>
      <c r="M310" s="41">
        <v>41851</v>
      </c>
      <c r="N310" s="40" t="s">
        <v>122</v>
      </c>
      <c r="O310" s="42">
        <v>42401</v>
      </c>
      <c r="P310" s="40">
        <v>52</v>
      </c>
      <c r="Q310" s="145">
        <v>58.38</v>
      </c>
      <c r="R310" s="145">
        <v>57.31</v>
      </c>
      <c r="S310" s="145">
        <v>58.43</v>
      </c>
      <c r="T310" s="145">
        <v>58.62</v>
      </c>
      <c r="U310" s="145">
        <v>59.88</v>
      </c>
    </row>
    <row r="311" spans="1:21" x14ac:dyDescent="0.2">
      <c r="A311" s="89">
        <f t="shared" si="4"/>
        <v>303</v>
      </c>
      <c r="B311" s="43">
        <v>9</v>
      </c>
      <c r="C311" s="43">
        <v>7</v>
      </c>
      <c r="D311" s="38" t="s">
        <v>1042</v>
      </c>
      <c r="E311" s="44" t="s">
        <v>142</v>
      </c>
      <c r="F311" s="44" t="s">
        <v>39</v>
      </c>
      <c r="G311" s="44" t="s">
        <v>120</v>
      </c>
      <c r="H311" s="44" t="s">
        <v>40</v>
      </c>
      <c r="I311" s="44" t="s">
        <v>40</v>
      </c>
      <c r="J311" s="44" t="s">
        <v>42</v>
      </c>
      <c r="K311" s="44" t="s">
        <v>135</v>
      </c>
      <c r="L311" s="40">
        <v>19447</v>
      </c>
      <c r="M311" s="41">
        <v>41851</v>
      </c>
      <c r="N311" s="40" t="s">
        <v>122</v>
      </c>
      <c r="O311" s="42">
        <v>42401</v>
      </c>
      <c r="P311" s="40">
        <v>52</v>
      </c>
      <c r="Q311" s="145">
        <v>82.92</v>
      </c>
      <c r="R311" s="145">
        <v>80.010000000000005</v>
      </c>
      <c r="S311" s="145">
        <v>80.3</v>
      </c>
      <c r="T311" s="145">
        <v>79.89</v>
      </c>
      <c r="U311" s="145">
        <v>83.57</v>
      </c>
    </row>
    <row r="312" spans="1:21" x14ac:dyDescent="0.2">
      <c r="A312" s="89">
        <f t="shared" si="4"/>
        <v>304</v>
      </c>
      <c r="B312" s="43">
        <v>9</v>
      </c>
      <c r="C312" s="43">
        <v>8</v>
      </c>
      <c r="D312" s="38" t="s">
        <v>1043</v>
      </c>
      <c r="E312" s="44" t="s">
        <v>144</v>
      </c>
      <c r="F312" s="44" t="s">
        <v>39</v>
      </c>
      <c r="G312" s="44" t="s">
        <v>120</v>
      </c>
      <c r="H312" s="44" t="s">
        <v>40</v>
      </c>
      <c r="I312" s="44" t="s">
        <v>40</v>
      </c>
      <c r="J312" s="44" t="s">
        <v>41</v>
      </c>
      <c r="K312" s="44" t="s">
        <v>132</v>
      </c>
      <c r="L312" s="40">
        <v>19446</v>
      </c>
      <c r="M312" s="41">
        <v>41851</v>
      </c>
      <c r="N312" s="40" t="s">
        <v>122</v>
      </c>
      <c r="O312" s="42">
        <v>42401</v>
      </c>
      <c r="P312" s="40">
        <v>52</v>
      </c>
      <c r="Q312" s="145">
        <v>83.43</v>
      </c>
      <c r="R312" s="145">
        <v>80.86</v>
      </c>
      <c r="S312" s="145">
        <v>81.06</v>
      </c>
      <c r="T312" s="145">
        <v>80.819999999999993</v>
      </c>
      <c r="U312" s="145">
        <v>84.53</v>
      </c>
    </row>
    <row r="313" spans="1:21" x14ac:dyDescent="0.2">
      <c r="A313" s="89">
        <f t="shared" si="4"/>
        <v>305</v>
      </c>
      <c r="B313" s="43">
        <v>9</v>
      </c>
      <c r="C313" s="43">
        <v>9</v>
      </c>
      <c r="D313" s="38" t="s">
        <v>1044</v>
      </c>
      <c r="E313" s="44" t="s">
        <v>146</v>
      </c>
      <c r="F313" s="44" t="s">
        <v>39</v>
      </c>
      <c r="G313" s="44" t="s">
        <v>120</v>
      </c>
      <c r="H313" s="44" t="s">
        <v>40</v>
      </c>
      <c r="I313" s="44" t="s">
        <v>40</v>
      </c>
      <c r="J313" s="44" t="s">
        <v>7</v>
      </c>
      <c r="K313" s="44" t="s">
        <v>129</v>
      </c>
      <c r="L313" s="40">
        <v>19448</v>
      </c>
      <c r="M313" s="41">
        <v>41851</v>
      </c>
      <c r="N313" s="40" t="s">
        <v>122</v>
      </c>
      <c r="O313" s="42">
        <v>42401</v>
      </c>
      <c r="P313" s="40">
        <v>52</v>
      </c>
      <c r="Q313" s="145">
        <v>82.04</v>
      </c>
      <c r="R313" s="145">
        <v>79.11</v>
      </c>
      <c r="S313" s="145">
        <v>79.400000000000006</v>
      </c>
      <c r="T313" s="145">
        <v>78.930000000000007</v>
      </c>
      <c r="U313" s="145">
        <v>82.57</v>
      </c>
    </row>
    <row r="314" spans="1:21" x14ac:dyDescent="0.2">
      <c r="A314" s="89">
        <f t="shared" si="4"/>
        <v>306</v>
      </c>
      <c r="B314" s="43">
        <v>9</v>
      </c>
      <c r="C314" s="43">
        <v>10</v>
      </c>
      <c r="D314" s="38" t="s">
        <v>1045</v>
      </c>
      <c r="E314" s="44" t="s">
        <v>148</v>
      </c>
      <c r="F314" s="44" t="s">
        <v>25</v>
      </c>
      <c r="G314" s="44" t="s">
        <v>120</v>
      </c>
      <c r="H314" s="44" t="s">
        <v>149</v>
      </c>
      <c r="I314" s="44" t="s">
        <v>26</v>
      </c>
      <c r="J314" s="44" t="s">
        <v>27</v>
      </c>
      <c r="K314" s="44" t="s">
        <v>150</v>
      </c>
      <c r="L314" s="40">
        <v>19449</v>
      </c>
      <c r="M314" s="41">
        <v>41851</v>
      </c>
      <c r="N314" s="40" t="s">
        <v>122</v>
      </c>
      <c r="O314" s="42">
        <v>42401</v>
      </c>
      <c r="P314" s="40">
        <v>52</v>
      </c>
      <c r="Q314" s="145">
        <v>65.44</v>
      </c>
      <c r="R314" s="145">
        <v>61.09</v>
      </c>
      <c r="S314" s="145">
        <v>62.04</v>
      </c>
      <c r="T314" s="145">
        <v>62.79</v>
      </c>
      <c r="U314" s="145">
        <v>65.22</v>
      </c>
    </row>
    <row r="315" spans="1:21" x14ac:dyDescent="0.2">
      <c r="A315" s="89">
        <f t="shared" si="4"/>
        <v>307</v>
      </c>
      <c r="B315" s="43">
        <v>9</v>
      </c>
      <c r="C315" s="43">
        <v>11</v>
      </c>
      <c r="D315" s="38" t="s">
        <v>1046</v>
      </c>
      <c r="E315" s="44" t="s">
        <v>152</v>
      </c>
      <c r="F315" s="44" t="s">
        <v>25</v>
      </c>
      <c r="G315" s="44" t="s">
        <v>120</v>
      </c>
      <c r="H315" s="44" t="s">
        <v>149</v>
      </c>
      <c r="I315" s="44" t="s">
        <v>26</v>
      </c>
      <c r="J315" s="44" t="s">
        <v>28</v>
      </c>
      <c r="K315" s="44" t="s">
        <v>153</v>
      </c>
      <c r="L315" s="40">
        <v>19450</v>
      </c>
      <c r="M315" s="41">
        <v>41851</v>
      </c>
      <c r="N315" s="40" t="s">
        <v>122</v>
      </c>
      <c r="O315" s="42">
        <v>42401</v>
      </c>
      <c r="P315" s="40">
        <v>52</v>
      </c>
      <c r="Q315" s="145">
        <v>64.67</v>
      </c>
      <c r="R315" s="145">
        <v>60.25</v>
      </c>
      <c r="S315" s="145">
        <v>61.22</v>
      </c>
      <c r="T315" s="145">
        <v>61.96</v>
      </c>
      <c r="U315" s="145">
        <v>64.39</v>
      </c>
    </row>
    <row r="316" spans="1:21" x14ac:dyDescent="0.2">
      <c r="A316" s="89">
        <f t="shared" si="4"/>
        <v>308</v>
      </c>
      <c r="B316" s="43">
        <v>9</v>
      </c>
      <c r="C316" s="43">
        <v>12</v>
      </c>
      <c r="D316" s="38" t="s">
        <v>1047</v>
      </c>
      <c r="E316" s="44" t="s">
        <v>155</v>
      </c>
      <c r="F316" s="44" t="s">
        <v>20</v>
      </c>
      <c r="G316" s="44" t="s">
        <v>120</v>
      </c>
      <c r="H316" s="44" t="s">
        <v>105</v>
      </c>
      <c r="I316" s="44" t="s">
        <v>156</v>
      </c>
      <c r="J316" s="44" t="s">
        <v>22</v>
      </c>
      <c r="K316" s="44" t="s">
        <v>157</v>
      </c>
      <c r="L316" s="40">
        <v>19451</v>
      </c>
      <c r="M316" s="41">
        <v>41851</v>
      </c>
      <c r="N316" s="40" t="s">
        <v>122</v>
      </c>
      <c r="O316" s="42">
        <v>42401</v>
      </c>
      <c r="P316" s="40">
        <v>52</v>
      </c>
      <c r="Q316" s="145">
        <v>62.59</v>
      </c>
      <c r="R316" s="145">
        <v>58.36</v>
      </c>
      <c r="S316" s="145">
        <v>59.12</v>
      </c>
      <c r="T316" s="145">
        <v>59.84</v>
      </c>
      <c r="U316" s="145">
        <v>62.17</v>
      </c>
    </row>
    <row r="317" spans="1:21" x14ac:dyDescent="0.2">
      <c r="A317" s="89">
        <f t="shared" si="4"/>
        <v>309</v>
      </c>
      <c r="B317" s="43">
        <v>9</v>
      </c>
      <c r="C317" s="43">
        <v>13</v>
      </c>
      <c r="D317" s="38" t="s">
        <v>1048</v>
      </c>
      <c r="E317" s="44" t="s">
        <v>159</v>
      </c>
      <c r="F317" s="44" t="s">
        <v>39</v>
      </c>
      <c r="G317" s="44" t="s">
        <v>120</v>
      </c>
      <c r="H317" s="44" t="s">
        <v>43</v>
      </c>
      <c r="I317" s="44" t="s">
        <v>43</v>
      </c>
      <c r="J317" s="44" t="s">
        <v>7</v>
      </c>
      <c r="K317" s="44" t="s">
        <v>140</v>
      </c>
      <c r="L317" s="40">
        <v>19452</v>
      </c>
      <c r="M317" s="41">
        <v>41851</v>
      </c>
      <c r="N317" s="40" t="s">
        <v>122</v>
      </c>
      <c r="O317" s="42">
        <v>42401</v>
      </c>
      <c r="P317" s="40">
        <v>52</v>
      </c>
      <c r="Q317" s="145">
        <v>85.41</v>
      </c>
      <c r="R317" s="145">
        <v>83.57</v>
      </c>
      <c r="S317" s="145">
        <v>83.46</v>
      </c>
      <c r="T317" s="145">
        <v>83.45</v>
      </c>
      <c r="U317" s="145">
        <v>87.74</v>
      </c>
    </row>
    <row r="318" spans="1:21" x14ac:dyDescent="0.2">
      <c r="A318" s="89">
        <f t="shared" si="4"/>
        <v>310</v>
      </c>
      <c r="B318" s="43">
        <v>9</v>
      </c>
      <c r="C318" s="43">
        <v>14</v>
      </c>
      <c r="D318" s="38" t="s">
        <v>1049</v>
      </c>
      <c r="E318" s="44" t="s">
        <v>161</v>
      </c>
      <c r="F318" s="44" t="s">
        <v>6</v>
      </c>
      <c r="G318" s="44" t="s">
        <v>120</v>
      </c>
      <c r="H318" s="44" t="s">
        <v>48</v>
      </c>
      <c r="I318" s="44" t="s">
        <v>48</v>
      </c>
      <c r="J318" s="44" t="s">
        <v>7</v>
      </c>
      <c r="K318" s="44" t="s">
        <v>140</v>
      </c>
      <c r="L318" s="40">
        <v>19453</v>
      </c>
      <c r="M318" s="41">
        <v>41851</v>
      </c>
      <c r="N318" s="40" t="s">
        <v>122</v>
      </c>
      <c r="O318" s="42">
        <v>42401</v>
      </c>
      <c r="P318" s="40">
        <v>52</v>
      </c>
      <c r="Q318" s="145">
        <v>71.87</v>
      </c>
      <c r="R318" s="145">
        <v>68.2</v>
      </c>
      <c r="S318" s="145">
        <v>68.849999999999994</v>
      </c>
      <c r="T318" s="145">
        <v>69.8</v>
      </c>
      <c r="U318" s="145">
        <v>72.14</v>
      </c>
    </row>
    <row r="319" spans="1:21" x14ac:dyDescent="0.2">
      <c r="A319" s="89">
        <f t="shared" si="4"/>
        <v>311</v>
      </c>
      <c r="B319" s="43">
        <v>9</v>
      </c>
      <c r="C319" s="43">
        <v>15</v>
      </c>
      <c r="D319" s="38" t="s">
        <v>1050</v>
      </c>
      <c r="E319" s="44" t="s">
        <v>163</v>
      </c>
      <c r="F319" s="44" t="s">
        <v>20</v>
      </c>
      <c r="G319" s="44" t="s">
        <v>120</v>
      </c>
      <c r="H319" s="44" t="s">
        <v>23</v>
      </c>
      <c r="I319" s="44" t="s">
        <v>164</v>
      </c>
      <c r="J319" s="44" t="s">
        <v>24</v>
      </c>
      <c r="K319" s="44" t="s">
        <v>140</v>
      </c>
      <c r="L319" s="40">
        <v>19454</v>
      </c>
      <c r="M319" s="41">
        <v>41851</v>
      </c>
      <c r="N319" s="40" t="s">
        <v>122</v>
      </c>
      <c r="O319" s="42">
        <v>42401</v>
      </c>
      <c r="P319" s="40">
        <v>52</v>
      </c>
      <c r="Q319" s="145">
        <v>59.78</v>
      </c>
      <c r="R319" s="145">
        <v>56.4</v>
      </c>
      <c r="S319" s="145">
        <v>56.93</v>
      </c>
      <c r="T319" s="145">
        <v>57.88</v>
      </c>
      <c r="U319" s="145">
        <v>60.13</v>
      </c>
    </row>
    <row r="320" spans="1:21" x14ac:dyDescent="0.2">
      <c r="A320" s="89">
        <f t="shared" si="4"/>
        <v>312</v>
      </c>
      <c r="B320" s="43">
        <v>9</v>
      </c>
      <c r="C320" s="43">
        <v>16</v>
      </c>
      <c r="D320" s="38" t="s">
        <v>1051</v>
      </c>
      <c r="E320" s="44" t="s">
        <v>166</v>
      </c>
      <c r="F320" s="44" t="s">
        <v>20</v>
      </c>
      <c r="G320" s="44" t="s">
        <v>120</v>
      </c>
      <c r="H320" s="44" t="s">
        <v>64</v>
      </c>
      <c r="I320" s="44" t="s">
        <v>167</v>
      </c>
      <c r="J320" s="44" t="s">
        <v>7</v>
      </c>
      <c r="K320" s="44" t="s">
        <v>140</v>
      </c>
      <c r="L320" s="40">
        <v>19455</v>
      </c>
      <c r="M320" s="41">
        <v>41851</v>
      </c>
      <c r="N320" s="40" t="s">
        <v>122</v>
      </c>
      <c r="O320" s="42">
        <v>42401</v>
      </c>
      <c r="P320" s="40">
        <v>52</v>
      </c>
      <c r="Q320" s="145">
        <v>78.14</v>
      </c>
      <c r="R320" s="145">
        <v>69.790000000000006</v>
      </c>
      <c r="S320" s="145">
        <v>68.59</v>
      </c>
      <c r="T320" s="145">
        <v>67.989999999999995</v>
      </c>
      <c r="U320" s="145">
        <v>72.7</v>
      </c>
    </row>
    <row r="321" spans="1:21" x14ac:dyDescent="0.2">
      <c r="A321" s="89">
        <f t="shared" si="4"/>
        <v>313</v>
      </c>
      <c r="B321" s="43">
        <v>9</v>
      </c>
      <c r="C321" s="43">
        <v>17</v>
      </c>
      <c r="D321" s="38" t="s">
        <v>1052</v>
      </c>
      <c r="E321" s="44" t="s">
        <v>169</v>
      </c>
      <c r="F321" s="44" t="s">
        <v>31</v>
      </c>
      <c r="G321" s="44" t="s">
        <v>120</v>
      </c>
      <c r="H321" s="44" t="s">
        <v>35</v>
      </c>
      <c r="I321" s="44" t="s">
        <v>35</v>
      </c>
      <c r="J321" s="44" t="s">
        <v>9</v>
      </c>
      <c r="K321" s="44" t="s">
        <v>135</v>
      </c>
      <c r="L321" s="40">
        <v>19456</v>
      </c>
      <c r="M321" s="41">
        <v>41851</v>
      </c>
      <c r="N321" s="40" t="s">
        <v>122</v>
      </c>
      <c r="O321" s="42">
        <v>42401</v>
      </c>
      <c r="P321" s="40">
        <v>52</v>
      </c>
      <c r="Q321" s="145">
        <v>91.7</v>
      </c>
      <c r="R321" s="145">
        <v>89.89</v>
      </c>
      <c r="S321" s="145">
        <v>90.12</v>
      </c>
      <c r="T321" s="145">
        <v>90.35</v>
      </c>
      <c r="U321" s="145">
        <v>95.3</v>
      </c>
    </row>
    <row r="322" spans="1:21" x14ac:dyDescent="0.2">
      <c r="A322" s="89">
        <f t="shared" si="4"/>
        <v>314</v>
      </c>
      <c r="B322" s="43">
        <v>9</v>
      </c>
      <c r="C322" s="43">
        <v>18</v>
      </c>
      <c r="D322" s="38" t="s">
        <v>1053</v>
      </c>
      <c r="E322" s="44" t="s">
        <v>171</v>
      </c>
      <c r="F322" s="44" t="s">
        <v>31</v>
      </c>
      <c r="G322" s="44" t="s">
        <v>120</v>
      </c>
      <c r="H322" s="44" t="s">
        <v>35</v>
      </c>
      <c r="I322" s="44" t="s">
        <v>35</v>
      </c>
      <c r="J322" s="44" t="s">
        <v>10</v>
      </c>
      <c r="K322" s="44" t="s">
        <v>132</v>
      </c>
      <c r="L322" s="40">
        <v>19457</v>
      </c>
      <c r="M322" s="41">
        <v>41851</v>
      </c>
      <c r="N322" s="40" t="s">
        <v>122</v>
      </c>
      <c r="O322" s="42">
        <v>42401</v>
      </c>
      <c r="P322" s="40">
        <v>52</v>
      </c>
      <c r="Q322" s="145">
        <v>91.62</v>
      </c>
      <c r="R322" s="145">
        <v>92.73</v>
      </c>
      <c r="S322" s="145">
        <v>92.07</v>
      </c>
      <c r="T322" s="145">
        <v>93.26</v>
      </c>
      <c r="U322" s="145">
        <v>98.14</v>
      </c>
    </row>
    <row r="323" spans="1:21" x14ac:dyDescent="0.2">
      <c r="A323" s="89">
        <f t="shared" si="4"/>
        <v>315</v>
      </c>
      <c r="B323" s="43">
        <v>9</v>
      </c>
      <c r="C323" s="43">
        <v>19</v>
      </c>
      <c r="D323" s="38" t="s">
        <v>1054</v>
      </c>
      <c r="E323" s="44" t="s">
        <v>173</v>
      </c>
      <c r="F323" s="44" t="s">
        <v>31</v>
      </c>
      <c r="G323" s="44" t="s">
        <v>120</v>
      </c>
      <c r="H323" s="44" t="s">
        <v>35</v>
      </c>
      <c r="I323" s="44" t="s">
        <v>35</v>
      </c>
      <c r="J323" s="44" t="s">
        <v>11</v>
      </c>
      <c r="K323" s="44" t="s">
        <v>129</v>
      </c>
      <c r="L323" s="40">
        <v>19458</v>
      </c>
      <c r="M323" s="41">
        <v>41851</v>
      </c>
      <c r="N323" s="40" t="s">
        <v>122</v>
      </c>
      <c r="O323" s="42">
        <v>42401</v>
      </c>
      <c r="P323" s="40">
        <v>52</v>
      </c>
      <c r="Q323" s="145">
        <v>91.85</v>
      </c>
      <c r="R323" s="145">
        <v>90.43</v>
      </c>
      <c r="S323" s="145">
        <v>90.51</v>
      </c>
      <c r="T323" s="145">
        <v>90.86</v>
      </c>
      <c r="U323" s="145">
        <v>95.74</v>
      </c>
    </row>
    <row r="324" spans="1:21" x14ac:dyDescent="0.2">
      <c r="A324" s="89">
        <f t="shared" si="4"/>
        <v>316</v>
      </c>
      <c r="B324" s="43">
        <v>9</v>
      </c>
      <c r="C324" s="43">
        <v>20</v>
      </c>
      <c r="D324" s="38" t="s">
        <v>1055</v>
      </c>
      <c r="E324" s="44" t="s">
        <v>175</v>
      </c>
      <c r="F324" s="44" t="s">
        <v>6</v>
      </c>
      <c r="G324" s="44" t="s">
        <v>120</v>
      </c>
      <c r="H324" s="44" t="s">
        <v>176</v>
      </c>
      <c r="I324" s="44" t="s">
        <v>177</v>
      </c>
      <c r="J324" s="44" t="s">
        <v>9</v>
      </c>
      <c r="K324" s="44" t="s">
        <v>135</v>
      </c>
      <c r="L324" s="40">
        <v>19460</v>
      </c>
      <c r="M324" s="41">
        <v>41851</v>
      </c>
      <c r="N324" s="40" t="s">
        <v>122</v>
      </c>
      <c r="O324" s="42">
        <v>42401</v>
      </c>
      <c r="P324" s="40">
        <v>52</v>
      </c>
      <c r="Q324" s="145">
        <v>73.97</v>
      </c>
      <c r="R324" s="145">
        <v>71.08</v>
      </c>
      <c r="S324" s="145">
        <v>71.209999999999994</v>
      </c>
      <c r="T324" s="145">
        <v>70.87</v>
      </c>
      <c r="U324" s="145">
        <v>74.47</v>
      </c>
    </row>
    <row r="325" spans="1:21" x14ac:dyDescent="0.2">
      <c r="A325" s="89">
        <f t="shared" si="4"/>
        <v>317</v>
      </c>
      <c r="B325" s="43">
        <v>9</v>
      </c>
      <c r="C325" s="43">
        <v>21</v>
      </c>
      <c r="D325" s="38" t="s">
        <v>1056</v>
      </c>
      <c r="E325" s="44" t="s">
        <v>179</v>
      </c>
      <c r="F325" s="44" t="s">
        <v>6</v>
      </c>
      <c r="G325" s="44" t="s">
        <v>120</v>
      </c>
      <c r="H325" s="44" t="s">
        <v>176</v>
      </c>
      <c r="I325" s="44" t="s">
        <v>177</v>
      </c>
      <c r="J325" s="44" t="s">
        <v>10</v>
      </c>
      <c r="K325" s="44" t="s">
        <v>132</v>
      </c>
      <c r="L325" s="40">
        <v>19459</v>
      </c>
      <c r="M325" s="41">
        <v>41851</v>
      </c>
      <c r="N325" s="40" t="s">
        <v>122</v>
      </c>
      <c r="O325" s="42">
        <v>42401</v>
      </c>
      <c r="P325" s="40">
        <v>52</v>
      </c>
      <c r="Q325" s="145">
        <v>74.97</v>
      </c>
      <c r="R325" s="145">
        <v>72.150000000000006</v>
      </c>
      <c r="S325" s="145">
        <v>72.28</v>
      </c>
      <c r="T325" s="145">
        <v>71.959999999999994</v>
      </c>
      <c r="U325" s="145">
        <v>75.58</v>
      </c>
    </row>
    <row r="326" spans="1:21" x14ac:dyDescent="0.2">
      <c r="A326" s="89">
        <f t="shared" si="4"/>
        <v>318</v>
      </c>
      <c r="B326" s="43">
        <v>9</v>
      </c>
      <c r="C326" s="43">
        <v>22</v>
      </c>
      <c r="D326" s="38" t="s">
        <v>1057</v>
      </c>
      <c r="E326" s="44" t="s">
        <v>181</v>
      </c>
      <c r="F326" s="44" t="s">
        <v>6</v>
      </c>
      <c r="G326" s="44" t="s">
        <v>120</v>
      </c>
      <c r="H326" s="44" t="s">
        <v>176</v>
      </c>
      <c r="I326" s="44" t="s">
        <v>177</v>
      </c>
      <c r="J326" s="44" t="s">
        <v>11</v>
      </c>
      <c r="K326" s="44" t="s">
        <v>129</v>
      </c>
      <c r="L326" s="40">
        <v>19461</v>
      </c>
      <c r="M326" s="41">
        <v>41851</v>
      </c>
      <c r="N326" s="40" t="s">
        <v>122</v>
      </c>
      <c r="O326" s="42">
        <v>42401</v>
      </c>
      <c r="P326" s="40">
        <v>52</v>
      </c>
      <c r="Q326" s="145">
        <v>75.5</v>
      </c>
      <c r="R326" s="145">
        <v>71.13</v>
      </c>
      <c r="S326" s="145">
        <v>71.69</v>
      </c>
      <c r="T326" s="145">
        <v>70.95</v>
      </c>
      <c r="U326" s="145">
        <v>74.569999999999993</v>
      </c>
    </row>
    <row r="327" spans="1:21" x14ac:dyDescent="0.2">
      <c r="A327" s="89">
        <f t="shared" si="4"/>
        <v>319</v>
      </c>
      <c r="B327" s="43">
        <v>9</v>
      </c>
      <c r="C327" s="43">
        <v>23</v>
      </c>
      <c r="D327" s="38" t="s">
        <v>1058</v>
      </c>
      <c r="E327" s="44" t="s">
        <v>183</v>
      </c>
      <c r="F327" s="44" t="s">
        <v>6</v>
      </c>
      <c r="G327" s="44" t="s">
        <v>120</v>
      </c>
      <c r="H327" s="44" t="s">
        <v>13</v>
      </c>
      <c r="I327" s="44" t="s">
        <v>13</v>
      </c>
      <c r="J327" s="44" t="s">
        <v>7</v>
      </c>
      <c r="K327" s="44" t="s">
        <v>140</v>
      </c>
      <c r="L327" s="40">
        <v>19462</v>
      </c>
      <c r="M327" s="41">
        <v>41851</v>
      </c>
      <c r="N327" s="40" t="s">
        <v>122</v>
      </c>
      <c r="O327" s="42">
        <v>42401</v>
      </c>
      <c r="P327" s="40">
        <v>52</v>
      </c>
      <c r="Q327" s="145">
        <v>77.12</v>
      </c>
      <c r="R327" s="145">
        <v>75.36</v>
      </c>
      <c r="S327" s="145">
        <v>75.27</v>
      </c>
      <c r="T327" s="145">
        <v>75.319999999999993</v>
      </c>
      <c r="U327" s="145">
        <v>79.8</v>
      </c>
    </row>
    <row r="328" spans="1:21" x14ac:dyDescent="0.2">
      <c r="A328" s="89">
        <f t="shared" si="4"/>
        <v>320</v>
      </c>
      <c r="B328" s="43">
        <v>9</v>
      </c>
      <c r="C328" s="43">
        <v>24</v>
      </c>
      <c r="D328" s="38" t="s">
        <v>1059</v>
      </c>
      <c r="E328" s="44" t="s">
        <v>185</v>
      </c>
      <c r="F328" s="44" t="s">
        <v>6</v>
      </c>
      <c r="G328" s="44" t="s">
        <v>120</v>
      </c>
      <c r="H328" s="44" t="s">
        <v>12</v>
      </c>
      <c r="I328" s="44" t="s">
        <v>186</v>
      </c>
      <c r="J328" s="44" t="s">
        <v>9</v>
      </c>
      <c r="K328" s="44" t="s">
        <v>135</v>
      </c>
      <c r="L328" s="40">
        <v>19463</v>
      </c>
      <c r="M328" s="41">
        <v>41851</v>
      </c>
      <c r="N328" s="40" t="s">
        <v>122</v>
      </c>
      <c r="O328" s="42">
        <v>42401</v>
      </c>
      <c r="P328" s="40">
        <v>52</v>
      </c>
      <c r="Q328" s="145">
        <v>73.709999999999994</v>
      </c>
      <c r="R328" s="145">
        <v>70.77</v>
      </c>
      <c r="S328" s="145">
        <v>71.05</v>
      </c>
      <c r="T328" s="145">
        <v>70.59</v>
      </c>
      <c r="U328" s="145">
        <v>74.14</v>
      </c>
    </row>
    <row r="329" spans="1:21" x14ac:dyDescent="0.2">
      <c r="A329" s="89">
        <f t="shared" si="4"/>
        <v>321</v>
      </c>
      <c r="B329" s="43">
        <v>9</v>
      </c>
      <c r="C329" s="43">
        <v>25</v>
      </c>
      <c r="D329" s="38" t="s">
        <v>1060</v>
      </c>
      <c r="E329" s="44" t="s">
        <v>188</v>
      </c>
      <c r="F329" s="44" t="s">
        <v>6</v>
      </c>
      <c r="G329" s="44" t="s">
        <v>120</v>
      </c>
      <c r="H329" s="44" t="s">
        <v>12</v>
      </c>
      <c r="I329" s="44" t="s">
        <v>186</v>
      </c>
      <c r="J329" s="44" t="s">
        <v>10</v>
      </c>
      <c r="K329" s="44" t="s">
        <v>132</v>
      </c>
      <c r="L329" s="40">
        <v>19464</v>
      </c>
      <c r="M329" s="41">
        <v>41851</v>
      </c>
      <c r="N329" s="40" t="s">
        <v>122</v>
      </c>
      <c r="O329" s="42">
        <v>42401</v>
      </c>
      <c r="P329" s="40">
        <v>52</v>
      </c>
      <c r="Q329" s="145">
        <v>75.040000000000006</v>
      </c>
      <c r="R329" s="145">
        <v>71.95</v>
      </c>
      <c r="S329" s="145">
        <v>72.290000000000006</v>
      </c>
      <c r="T329" s="145">
        <v>71.77</v>
      </c>
      <c r="U329" s="145">
        <v>75.33</v>
      </c>
    </row>
    <row r="330" spans="1:21" x14ac:dyDescent="0.2">
      <c r="A330" s="89">
        <f t="shared" si="4"/>
        <v>322</v>
      </c>
      <c r="B330" s="43">
        <v>9</v>
      </c>
      <c r="C330" s="43">
        <v>26</v>
      </c>
      <c r="D330" s="38" t="s">
        <v>1061</v>
      </c>
      <c r="E330" s="44" t="s">
        <v>190</v>
      </c>
      <c r="F330" s="44" t="s">
        <v>6</v>
      </c>
      <c r="G330" s="44" t="s">
        <v>120</v>
      </c>
      <c r="H330" s="44" t="s">
        <v>12</v>
      </c>
      <c r="I330" s="44" t="s">
        <v>186</v>
      </c>
      <c r="J330" s="44" t="s">
        <v>11</v>
      </c>
      <c r="K330" s="44" t="s">
        <v>129</v>
      </c>
      <c r="L330" s="40">
        <v>19465</v>
      </c>
      <c r="M330" s="41">
        <v>41851</v>
      </c>
      <c r="N330" s="40" t="s">
        <v>122</v>
      </c>
      <c r="O330" s="42">
        <v>42401</v>
      </c>
      <c r="P330" s="40">
        <v>52</v>
      </c>
      <c r="Q330" s="145">
        <v>75.569999999999993</v>
      </c>
      <c r="R330" s="145">
        <v>71.349999999999994</v>
      </c>
      <c r="S330" s="145">
        <v>72.02</v>
      </c>
      <c r="T330" s="145">
        <v>71.209999999999994</v>
      </c>
      <c r="U330" s="145">
        <v>74.77</v>
      </c>
    </row>
    <row r="331" spans="1:21" x14ac:dyDescent="0.2">
      <c r="A331" s="89">
        <f t="shared" ref="A331:A394" si="5">A330+1</f>
        <v>323</v>
      </c>
      <c r="B331" s="43">
        <v>9</v>
      </c>
      <c r="C331" s="43">
        <v>27</v>
      </c>
      <c r="D331" s="38" t="s">
        <v>1062</v>
      </c>
      <c r="E331" s="44" t="s">
        <v>192</v>
      </c>
      <c r="F331" s="44" t="s">
        <v>6</v>
      </c>
      <c r="G331" s="44" t="s">
        <v>120</v>
      </c>
      <c r="H331" s="44" t="s">
        <v>100</v>
      </c>
      <c r="I331" s="44" t="s">
        <v>193</v>
      </c>
      <c r="J331" s="44" t="s">
        <v>7</v>
      </c>
      <c r="K331" s="44" t="s">
        <v>140</v>
      </c>
      <c r="L331" s="40">
        <v>19466</v>
      </c>
      <c r="M331" s="41">
        <v>41851</v>
      </c>
      <c r="N331" s="40" t="s">
        <v>122</v>
      </c>
      <c r="O331" s="42">
        <v>42401</v>
      </c>
      <c r="P331" s="40">
        <v>52</v>
      </c>
      <c r="Q331" s="145">
        <v>85.42</v>
      </c>
      <c r="R331" s="145">
        <v>75.239999999999995</v>
      </c>
      <c r="S331" s="145">
        <v>74.73</v>
      </c>
      <c r="T331" s="145">
        <v>73.41</v>
      </c>
      <c r="U331" s="145">
        <v>78.010000000000005</v>
      </c>
    </row>
    <row r="332" spans="1:21" x14ac:dyDescent="0.2">
      <c r="A332" s="89">
        <f t="shared" si="5"/>
        <v>324</v>
      </c>
      <c r="B332" s="43">
        <v>9</v>
      </c>
      <c r="C332" s="43">
        <v>28</v>
      </c>
      <c r="D332" s="38" t="s">
        <v>1063</v>
      </c>
      <c r="E332" s="44" t="s">
        <v>195</v>
      </c>
      <c r="F332" s="44" t="s">
        <v>39</v>
      </c>
      <c r="G332" s="44" t="s">
        <v>120</v>
      </c>
      <c r="H332" s="44" t="s">
        <v>44</v>
      </c>
      <c r="I332" s="44" t="s">
        <v>44</v>
      </c>
      <c r="J332" s="44" t="s">
        <v>7</v>
      </c>
      <c r="K332" s="44" t="s">
        <v>140</v>
      </c>
      <c r="L332" s="40">
        <v>19467</v>
      </c>
      <c r="M332" s="41">
        <v>41851</v>
      </c>
      <c r="N332" s="40" t="s">
        <v>122</v>
      </c>
      <c r="O332" s="42">
        <v>42401</v>
      </c>
      <c r="P332" s="40">
        <v>52</v>
      </c>
      <c r="Q332" s="145">
        <v>82.41</v>
      </c>
      <c r="R332" s="145">
        <v>79.83</v>
      </c>
      <c r="S332" s="145">
        <v>80.099999999999994</v>
      </c>
      <c r="T332" s="145">
        <v>79.959999999999994</v>
      </c>
      <c r="U332" s="145">
        <v>84.06</v>
      </c>
    </row>
    <row r="333" spans="1:21" x14ac:dyDescent="0.2">
      <c r="A333" s="89">
        <f t="shared" si="5"/>
        <v>325</v>
      </c>
      <c r="B333" s="43">
        <v>9</v>
      </c>
      <c r="C333" s="43">
        <v>29</v>
      </c>
      <c r="D333" s="38" t="s">
        <v>1064</v>
      </c>
      <c r="E333" s="44" t="s">
        <v>197</v>
      </c>
      <c r="F333" s="44" t="s">
        <v>39</v>
      </c>
      <c r="G333" s="44" t="s">
        <v>120</v>
      </c>
      <c r="H333" s="44" t="s">
        <v>44</v>
      </c>
      <c r="I333" s="44" t="s">
        <v>44</v>
      </c>
      <c r="J333" s="44" t="s">
        <v>45</v>
      </c>
      <c r="K333" s="44" t="s">
        <v>198</v>
      </c>
      <c r="L333" s="40">
        <v>19468</v>
      </c>
      <c r="M333" s="41">
        <v>41851</v>
      </c>
      <c r="N333" s="40" t="s">
        <v>122</v>
      </c>
      <c r="O333" s="42">
        <v>42401</v>
      </c>
      <c r="P333" s="40">
        <v>52</v>
      </c>
      <c r="Q333" s="145">
        <v>79.98</v>
      </c>
      <c r="R333" s="145">
        <v>77.75</v>
      </c>
      <c r="S333" s="145">
        <v>77.900000000000006</v>
      </c>
      <c r="T333" s="145">
        <v>77.849999999999994</v>
      </c>
      <c r="U333" s="145">
        <v>81.91</v>
      </c>
    </row>
    <row r="334" spans="1:21" x14ac:dyDescent="0.2">
      <c r="A334" s="89">
        <f t="shared" si="5"/>
        <v>326</v>
      </c>
      <c r="B334" s="43">
        <v>9</v>
      </c>
      <c r="C334" s="43">
        <v>30</v>
      </c>
      <c r="D334" s="38" t="s">
        <v>1065</v>
      </c>
      <c r="E334" s="44" t="s">
        <v>200</v>
      </c>
      <c r="F334" s="44" t="s">
        <v>39</v>
      </c>
      <c r="G334" s="44" t="s">
        <v>120</v>
      </c>
      <c r="H334" s="44" t="s">
        <v>44</v>
      </c>
      <c r="I334" s="44" t="s">
        <v>44</v>
      </c>
      <c r="J334" s="44" t="s">
        <v>46</v>
      </c>
      <c r="K334" s="44" t="s">
        <v>46</v>
      </c>
      <c r="L334" s="40">
        <v>19469</v>
      </c>
      <c r="M334" s="41">
        <v>41851</v>
      </c>
      <c r="N334" s="40" t="s">
        <v>122</v>
      </c>
      <c r="O334" s="42">
        <v>42401</v>
      </c>
      <c r="P334" s="40">
        <v>52</v>
      </c>
      <c r="Q334" s="145">
        <v>80.239999999999995</v>
      </c>
      <c r="R334" s="145">
        <v>77.010000000000005</v>
      </c>
      <c r="S334" s="145">
        <v>77.45</v>
      </c>
      <c r="T334" s="145">
        <v>77.23</v>
      </c>
      <c r="U334" s="145">
        <v>81.290000000000006</v>
      </c>
    </row>
    <row r="335" spans="1:21" x14ac:dyDescent="0.2">
      <c r="A335" s="89">
        <f t="shared" si="5"/>
        <v>327</v>
      </c>
      <c r="B335" s="43">
        <v>9</v>
      </c>
      <c r="C335" s="43">
        <v>31</v>
      </c>
      <c r="D335" s="38" t="s">
        <v>1066</v>
      </c>
      <c r="E335" s="44" t="s">
        <v>202</v>
      </c>
      <c r="F335" s="44" t="s">
        <v>39</v>
      </c>
      <c r="G335" s="44" t="s">
        <v>120</v>
      </c>
      <c r="H335" s="44" t="s">
        <v>47</v>
      </c>
      <c r="I335" s="44" t="s">
        <v>47</v>
      </c>
      <c r="J335" s="44" t="s">
        <v>7</v>
      </c>
      <c r="K335" s="44" t="s">
        <v>140</v>
      </c>
      <c r="L335" s="40">
        <v>19470</v>
      </c>
      <c r="M335" s="41">
        <v>41851</v>
      </c>
      <c r="N335" s="40" t="s">
        <v>122</v>
      </c>
      <c r="O335" s="42">
        <v>42401</v>
      </c>
      <c r="P335" s="40">
        <v>52</v>
      </c>
      <c r="Q335" s="145">
        <v>69.430000000000007</v>
      </c>
      <c r="R335" s="145">
        <v>67.94</v>
      </c>
      <c r="S335" s="145">
        <v>67.959999999999994</v>
      </c>
      <c r="T335" s="145">
        <v>69.650000000000006</v>
      </c>
      <c r="U335" s="145">
        <v>72.42</v>
      </c>
    </row>
    <row r="336" spans="1:21" x14ac:dyDescent="0.2">
      <c r="A336" s="89">
        <f t="shared" si="5"/>
        <v>328</v>
      </c>
      <c r="B336" s="43">
        <v>9</v>
      </c>
      <c r="C336" s="43">
        <v>32</v>
      </c>
      <c r="D336" s="38" t="s">
        <v>1067</v>
      </c>
      <c r="E336" s="44" t="s">
        <v>204</v>
      </c>
      <c r="F336" s="44" t="s">
        <v>6</v>
      </c>
      <c r="G336" s="44" t="s">
        <v>120</v>
      </c>
      <c r="H336" s="44" t="s">
        <v>14</v>
      </c>
      <c r="I336" s="44" t="s">
        <v>14</v>
      </c>
      <c r="J336" s="44" t="s">
        <v>15</v>
      </c>
      <c r="K336" s="44" t="s">
        <v>129</v>
      </c>
      <c r="L336" s="40">
        <v>19471</v>
      </c>
      <c r="M336" s="41">
        <v>41851</v>
      </c>
      <c r="N336" s="40" t="s">
        <v>122</v>
      </c>
      <c r="O336" s="42">
        <v>42401</v>
      </c>
      <c r="P336" s="40">
        <v>52</v>
      </c>
      <c r="Q336" s="145">
        <v>80.37</v>
      </c>
      <c r="R336" s="145">
        <v>77.73</v>
      </c>
      <c r="S336" s="145">
        <v>77.72</v>
      </c>
      <c r="T336" s="145">
        <v>77.459999999999994</v>
      </c>
      <c r="U336" s="145">
        <v>80.91</v>
      </c>
    </row>
    <row r="337" spans="1:21" x14ac:dyDescent="0.2">
      <c r="A337" s="89">
        <f t="shared" si="5"/>
        <v>329</v>
      </c>
      <c r="B337" s="43">
        <v>9</v>
      </c>
      <c r="C337" s="43">
        <v>33</v>
      </c>
      <c r="D337" s="38" t="s">
        <v>1068</v>
      </c>
      <c r="E337" s="44" t="s">
        <v>206</v>
      </c>
      <c r="F337" s="44" t="s">
        <v>6</v>
      </c>
      <c r="G337" s="44" t="s">
        <v>120</v>
      </c>
      <c r="H337" s="44" t="s">
        <v>14</v>
      </c>
      <c r="I337" s="44" t="s">
        <v>14</v>
      </c>
      <c r="J337" s="44" t="s">
        <v>16</v>
      </c>
      <c r="K337" s="44" t="s">
        <v>135</v>
      </c>
      <c r="L337" s="40">
        <v>19472</v>
      </c>
      <c r="M337" s="41">
        <v>41851</v>
      </c>
      <c r="N337" s="40" t="s">
        <v>122</v>
      </c>
      <c r="O337" s="42">
        <v>42401</v>
      </c>
      <c r="P337" s="40">
        <v>52</v>
      </c>
      <c r="Q337" s="145">
        <v>81.209999999999994</v>
      </c>
      <c r="R337" s="145">
        <v>79.010000000000005</v>
      </c>
      <c r="S337" s="145">
        <v>78.88</v>
      </c>
      <c r="T337" s="145">
        <v>78.77</v>
      </c>
      <c r="U337" s="145">
        <v>82.29</v>
      </c>
    </row>
    <row r="338" spans="1:21" x14ac:dyDescent="0.2">
      <c r="A338" s="89">
        <f t="shared" si="5"/>
        <v>330</v>
      </c>
      <c r="B338" s="43">
        <v>9</v>
      </c>
      <c r="C338" s="43">
        <v>34</v>
      </c>
      <c r="D338" s="38" t="s">
        <v>1069</v>
      </c>
      <c r="E338" s="44" t="s">
        <v>208</v>
      </c>
      <c r="F338" s="44" t="s">
        <v>31</v>
      </c>
      <c r="G338" s="44" t="s">
        <v>120</v>
      </c>
      <c r="H338" s="44" t="s">
        <v>36</v>
      </c>
      <c r="I338" s="44" t="s">
        <v>36</v>
      </c>
      <c r="J338" s="44" t="s">
        <v>37</v>
      </c>
      <c r="K338" s="44" t="s">
        <v>209</v>
      </c>
      <c r="L338" s="40">
        <v>19473</v>
      </c>
      <c r="M338" s="41">
        <v>41851</v>
      </c>
      <c r="N338" s="40" t="s">
        <v>122</v>
      </c>
      <c r="O338" s="42">
        <v>42401</v>
      </c>
      <c r="P338" s="40">
        <v>52</v>
      </c>
      <c r="Q338" s="145">
        <v>101.98</v>
      </c>
      <c r="R338" s="145">
        <v>102.07</v>
      </c>
      <c r="S338" s="145">
        <v>102.87</v>
      </c>
      <c r="T338" s="145">
        <v>103.31</v>
      </c>
      <c r="U338" s="145">
        <v>106.59</v>
      </c>
    </row>
    <row r="339" spans="1:21" x14ac:dyDescent="0.2">
      <c r="A339" s="89">
        <f t="shared" si="5"/>
        <v>331</v>
      </c>
      <c r="B339" s="43">
        <v>9</v>
      </c>
      <c r="C339" s="43">
        <v>35</v>
      </c>
      <c r="D339" s="38" t="s">
        <v>1070</v>
      </c>
      <c r="E339" s="44" t="s">
        <v>211</v>
      </c>
      <c r="F339" s="44" t="s">
        <v>31</v>
      </c>
      <c r="G339" s="44" t="s">
        <v>120</v>
      </c>
      <c r="H339" s="44" t="s">
        <v>36</v>
      </c>
      <c r="I339" s="44" t="s">
        <v>36</v>
      </c>
      <c r="J339" s="44" t="s">
        <v>38</v>
      </c>
      <c r="K339" s="44" t="s">
        <v>212</v>
      </c>
      <c r="L339" s="40">
        <v>19474</v>
      </c>
      <c r="M339" s="41">
        <v>41851</v>
      </c>
      <c r="N339" s="40" t="s">
        <v>122</v>
      </c>
      <c r="O339" s="42">
        <v>42401</v>
      </c>
      <c r="P339" s="40">
        <v>52</v>
      </c>
      <c r="Q339" s="145">
        <v>99.85</v>
      </c>
      <c r="R339" s="145">
        <v>100.42</v>
      </c>
      <c r="S339" s="145">
        <v>101.08</v>
      </c>
      <c r="T339" s="145">
        <v>101.59</v>
      </c>
      <c r="U339" s="145">
        <v>104.83</v>
      </c>
    </row>
    <row r="340" spans="1:21" x14ac:dyDescent="0.2">
      <c r="A340" s="89">
        <f t="shared" si="5"/>
        <v>332</v>
      </c>
      <c r="B340" s="43">
        <v>9</v>
      </c>
      <c r="C340" s="43">
        <v>36</v>
      </c>
      <c r="D340" s="38" t="s">
        <v>1071</v>
      </c>
      <c r="E340" s="44" t="s">
        <v>214</v>
      </c>
      <c r="F340" s="44" t="s">
        <v>6</v>
      </c>
      <c r="G340" s="44" t="s">
        <v>120</v>
      </c>
      <c r="H340" s="44" t="s">
        <v>17</v>
      </c>
      <c r="I340" s="44" t="s">
        <v>215</v>
      </c>
      <c r="J340" s="44" t="s">
        <v>18</v>
      </c>
      <c r="K340" s="44" t="s">
        <v>140</v>
      </c>
      <c r="L340" s="40">
        <v>19475</v>
      </c>
      <c r="M340" s="41">
        <v>41851</v>
      </c>
      <c r="N340" s="40" t="s">
        <v>122</v>
      </c>
      <c r="O340" s="42">
        <v>42401</v>
      </c>
      <c r="P340" s="40">
        <v>52</v>
      </c>
      <c r="Q340" s="145">
        <v>67.45</v>
      </c>
      <c r="R340" s="145">
        <v>63.42</v>
      </c>
      <c r="S340" s="145">
        <v>64.16</v>
      </c>
      <c r="T340" s="145">
        <v>64.849999999999994</v>
      </c>
      <c r="U340" s="145">
        <v>67.260000000000005</v>
      </c>
    </row>
    <row r="341" spans="1:21" x14ac:dyDescent="0.2">
      <c r="A341" s="89">
        <f t="shared" si="5"/>
        <v>333</v>
      </c>
      <c r="B341" s="20"/>
      <c r="C341" s="20"/>
      <c r="D341" s="20"/>
    </row>
    <row r="342" spans="1:21" x14ac:dyDescent="0.2">
      <c r="A342" s="89">
        <f t="shared" si="5"/>
        <v>334</v>
      </c>
      <c r="B342" s="43">
        <v>10</v>
      </c>
      <c r="C342" s="43">
        <v>1</v>
      </c>
      <c r="D342" s="38" t="s">
        <v>1072</v>
      </c>
      <c r="E342" s="44" t="s">
        <v>119</v>
      </c>
      <c r="F342" s="44" t="s">
        <v>31</v>
      </c>
      <c r="G342" s="44" t="s">
        <v>120</v>
      </c>
      <c r="H342" s="44" t="s">
        <v>32</v>
      </c>
      <c r="I342" s="44" t="s">
        <v>32</v>
      </c>
      <c r="J342" s="44" t="s">
        <v>33</v>
      </c>
      <c r="K342" s="44" t="s">
        <v>121</v>
      </c>
      <c r="L342" s="40">
        <v>19440</v>
      </c>
      <c r="M342" s="41">
        <v>41851</v>
      </c>
      <c r="N342" s="40" t="s">
        <v>122</v>
      </c>
      <c r="O342" s="42">
        <v>42430</v>
      </c>
      <c r="P342" s="40">
        <v>53</v>
      </c>
      <c r="Q342" s="145">
        <v>91.39</v>
      </c>
      <c r="R342" s="145">
        <v>92.5</v>
      </c>
      <c r="S342" s="145">
        <v>91.97</v>
      </c>
      <c r="T342" s="145">
        <v>93.05</v>
      </c>
      <c r="U342" s="145">
        <v>97.57</v>
      </c>
    </row>
    <row r="343" spans="1:21" x14ac:dyDescent="0.2">
      <c r="A343" s="89">
        <f t="shared" si="5"/>
        <v>335</v>
      </c>
      <c r="B343" s="43">
        <v>10</v>
      </c>
      <c r="C343" s="43">
        <v>2</v>
      </c>
      <c r="D343" s="38" t="s">
        <v>1073</v>
      </c>
      <c r="E343" s="44" t="s">
        <v>124</v>
      </c>
      <c r="F343" s="44" t="s">
        <v>31</v>
      </c>
      <c r="G343" s="44" t="s">
        <v>120</v>
      </c>
      <c r="H343" s="44" t="s">
        <v>32</v>
      </c>
      <c r="I343" s="44" t="s">
        <v>32</v>
      </c>
      <c r="J343" s="44" t="s">
        <v>34</v>
      </c>
      <c r="K343" s="44" t="s">
        <v>125</v>
      </c>
      <c r="L343" s="40">
        <v>19441</v>
      </c>
      <c r="M343" s="41">
        <v>41851</v>
      </c>
      <c r="N343" s="40" t="s">
        <v>122</v>
      </c>
      <c r="O343" s="42">
        <v>42430</v>
      </c>
      <c r="P343" s="40">
        <v>53</v>
      </c>
      <c r="Q343" s="145">
        <v>91.07</v>
      </c>
      <c r="R343" s="145">
        <v>91.79</v>
      </c>
      <c r="S343" s="145">
        <v>91.34</v>
      </c>
      <c r="T343" s="145">
        <v>92.22</v>
      </c>
      <c r="U343" s="145">
        <v>95.26</v>
      </c>
    </row>
    <row r="344" spans="1:21" x14ac:dyDescent="0.2">
      <c r="A344" s="89">
        <f t="shared" si="5"/>
        <v>336</v>
      </c>
      <c r="B344" s="43">
        <v>10</v>
      </c>
      <c r="C344" s="43">
        <v>3</v>
      </c>
      <c r="D344" s="38" t="s">
        <v>1074</v>
      </c>
      <c r="E344" s="44" t="s">
        <v>127</v>
      </c>
      <c r="F344" s="44" t="s">
        <v>20</v>
      </c>
      <c r="G344" s="44" t="s">
        <v>120</v>
      </c>
      <c r="H344" s="44" t="s">
        <v>63</v>
      </c>
      <c r="I344" s="44" t="s">
        <v>128</v>
      </c>
      <c r="J344" s="44" t="s">
        <v>15</v>
      </c>
      <c r="K344" s="44" t="s">
        <v>129</v>
      </c>
      <c r="L344" s="40">
        <v>19442</v>
      </c>
      <c r="M344" s="41">
        <v>41851</v>
      </c>
      <c r="N344" s="40" t="s">
        <v>122</v>
      </c>
      <c r="O344" s="42">
        <v>42430</v>
      </c>
      <c r="P344" s="40">
        <v>53</v>
      </c>
      <c r="Q344" s="145">
        <v>68.16</v>
      </c>
      <c r="R344" s="145">
        <v>65.92</v>
      </c>
      <c r="S344" s="145">
        <v>65.92</v>
      </c>
      <c r="T344" s="145">
        <v>65.819999999999993</v>
      </c>
      <c r="U344" s="145">
        <v>66.67</v>
      </c>
    </row>
    <row r="345" spans="1:21" x14ac:dyDescent="0.2">
      <c r="A345" s="89">
        <f t="shared" si="5"/>
        <v>337</v>
      </c>
      <c r="B345" s="43">
        <v>10</v>
      </c>
      <c r="C345" s="43">
        <v>4</v>
      </c>
      <c r="D345" s="38" t="s">
        <v>1075</v>
      </c>
      <c r="E345" s="44" t="s">
        <v>131</v>
      </c>
      <c r="F345" s="44" t="s">
        <v>20</v>
      </c>
      <c r="G345" s="44" t="s">
        <v>120</v>
      </c>
      <c r="H345" s="44" t="s">
        <v>63</v>
      </c>
      <c r="I345" s="44" t="s">
        <v>128</v>
      </c>
      <c r="J345" s="44" t="s">
        <v>21</v>
      </c>
      <c r="K345" s="44" t="s">
        <v>132</v>
      </c>
      <c r="L345" s="40">
        <v>19443</v>
      </c>
      <c r="M345" s="41">
        <v>41851</v>
      </c>
      <c r="N345" s="40" t="s">
        <v>122</v>
      </c>
      <c r="O345" s="42">
        <v>42430</v>
      </c>
      <c r="P345" s="40">
        <v>53</v>
      </c>
      <c r="Q345" s="145">
        <v>69.099999999999994</v>
      </c>
      <c r="R345" s="145">
        <v>67.83</v>
      </c>
      <c r="S345" s="145">
        <v>67.599999999999994</v>
      </c>
      <c r="T345" s="145">
        <v>67.73</v>
      </c>
      <c r="U345" s="145">
        <v>68.61</v>
      </c>
    </row>
    <row r="346" spans="1:21" x14ac:dyDescent="0.2">
      <c r="A346" s="89">
        <f t="shared" si="5"/>
        <v>338</v>
      </c>
      <c r="B346" s="43">
        <v>10</v>
      </c>
      <c r="C346" s="43">
        <v>5</v>
      </c>
      <c r="D346" s="38" t="s">
        <v>1076</v>
      </c>
      <c r="E346" s="44" t="s">
        <v>134</v>
      </c>
      <c r="F346" s="44" t="s">
        <v>20</v>
      </c>
      <c r="G346" s="44" t="s">
        <v>120</v>
      </c>
      <c r="H346" s="44" t="s">
        <v>63</v>
      </c>
      <c r="I346" s="44" t="s">
        <v>128</v>
      </c>
      <c r="J346" s="44" t="s">
        <v>16</v>
      </c>
      <c r="K346" s="44" t="s">
        <v>135</v>
      </c>
      <c r="L346" s="40">
        <v>19444</v>
      </c>
      <c r="M346" s="41">
        <v>41851</v>
      </c>
      <c r="N346" s="40" t="s">
        <v>122</v>
      </c>
      <c r="O346" s="42">
        <v>42430</v>
      </c>
      <c r="P346" s="40">
        <v>53</v>
      </c>
      <c r="Q346" s="145">
        <v>67.8</v>
      </c>
      <c r="R346" s="145">
        <v>66.790000000000006</v>
      </c>
      <c r="S346" s="145">
        <v>66.459999999999994</v>
      </c>
      <c r="T346" s="145">
        <v>66.67</v>
      </c>
      <c r="U346" s="145">
        <v>67.540000000000006</v>
      </c>
    </row>
    <row r="347" spans="1:21" x14ac:dyDescent="0.2">
      <c r="A347" s="89">
        <f t="shared" si="5"/>
        <v>339</v>
      </c>
      <c r="B347" s="43">
        <v>10</v>
      </c>
      <c r="C347" s="43">
        <v>6</v>
      </c>
      <c r="D347" s="38" t="s">
        <v>1077</v>
      </c>
      <c r="E347" s="44" t="s">
        <v>137</v>
      </c>
      <c r="F347" s="44" t="s">
        <v>25</v>
      </c>
      <c r="G347" s="44" t="s">
        <v>138</v>
      </c>
      <c r="H347" s="44" t="s">
        <v>139</v>
      </c>
      <c r="I347" s="44" t="s">
        <v>29</v>
      </c>
      <c r="J347" s="44" t="s">
        <v>30</v>
      </c>
      <c r="K347" s="44" t="s">
        <v>140</v>
      </c>
      <c r="L347" s="40">
        <v>19445</v>
      </c>
      <c r="M347" s="41">
        <v>41851</v>
      </c>
      <c r="N347" s="40" t="s">
        <v>122</v>
      </c>
      <c r="O347" s="42">
        <v>42430</v>
      </c>
      <c r="P347" s="40">
        <v>53</v>
      </c>
      <c r="Q347" s="145">
        <v>57.71</v>
      </c>
      <c r="R347" s="145">
        <v>57.43</v>
      </c>
      <c r="S347" s="145">
        <v>58.37</v>
      </c>
      <c r="T347" s="145">
        <v>58.78</v>
      </c>
      <c r="U347" s="145">
        <v>59.99</v>
      </c>
    </row>
    <row r="348" spans="1:21" x14ac:dyDescent="0.2">
      <c r="A348" s="89">
        <f t="shared" si="5"/>
        <v>340</v>
      </c>
      <c r="B348" s="43">
        <v>10</v>
      </c>
      <c r="C348" s="43">
        <v>7</v>
      </c>
      <c r="D348" s="38" t="s">
        <v>1078</v>
      </c>
      <c r="E348" s="44" t="s">
        <v>142</v>
      </c>
      <c r="F348" s="44" t="s">
        <v>39</v>
      </c>
      <c r="G348" s="44" t="s">
        <v>120</v>
      </c>
      <c r="H348" s="44" t="s">
        <v>40</v>
      </c>
      <c r="I348" s="44" t="s">
        <v>40</v>
      </c>
      <c r="J348" s="44" t="s">
        <v>42</v>
      </c>
      <c r="K348" s="44" t="s">
        <v>135</v>
      </c>
      <c r="L348" s="40">
        <v>19447</v>
      </c>
      <c r="M348" s="41">
        <v>41851</v>
      </c>
      <c r="N348" s="40" t="s">
        <v>122</v>
      </c>
      <c r="O348" s="42">
        <v>42430</v>
      </c>
      <c r="P348" s="40">
        <v>53</v>
      </c>
      <c r="Q348" s="145">
        <v>80.040000000000006</v>
      </c>
      <c r="R348" s="145">
        <v>79.73</v>
      </c>
      <c r="S348" s="145">
        <v>79.540000000000006</v>
      </c>
      <c r="T348" s="145">
        <v>79.900000000000006</v>
      </c>
      <c r="U348" s="145">
        <v>83.85</v>
      </c>
    </row>
    <row r="349" spans="1:21" x14ac:dyDescent="0.2">
      <c r="A349" s="89">
        <f t="shared" si="5"/>
        <v>341</v>
      </c>
      <c r="B349" s="43">
        <v>10</v>
      </c>
      <c r="C349" s="43">
        <v>8</v>
      </c>
      <c r="D349" s="38" t="s">
        <v>1079</v>
      </c>
      <c r="E349" s="44" t="s">
        <v>144</v>
      </c>
      <c r="F349" s="44" t="s">
        <v>39</v>
      </c>
      <c r="G349" s="44" t="s">
        <v>120</v>
      </c>
      <c r="H349" s="44" t="s">
        <v>40</v>
      </c>
      <c r="I349" s="44" t="s">
        <v>40</v>
      </c>
      <c r="J349" s="44" t="s">
        <v>41</v>
      </c>
      <c r="K349" s="44" t="s">
        <v>132</v>
      </c>
      <c r="L349" s="40">
        <v>19446</v>
      </c>
      <c r="M349" s="41">
        <v>41851</v>
      </c>
      <c r="N349" s="40" t="s">
        <v>122</v>
      </c>
      <c r="O349" s="42">
        <v>42430</v>
      </c>
      <c r="P349" s="40">
        <v>53</v>
      </c>
      <c r="Q349" s="145">
        <v>81.14</v>
      </c>
      <c r="R349" s="145">
        <v>80.59</v>
      </c>
      <c r="S349" s="145">
        <v>80.489999999999995</v>
      </c>
      <c r="T349" s="145">
        <v>80.86</v>
      </c>
      <c r="U349" s="145">
        <v>84.82</v>
      </c>
    </row>
    <row r="350" spans="1:21" x14ac:dyDescent="0.2">
      <c r="A350" s="89">
        <f t="shared" si="5"/>
        <v>342</v>
      </c>
      <c r="B350" s="43">
        <v>10</v>
      </c>
      <c r="C350" s="43">
        <v>9</v>
      </c>
      <c r="D350" s="38" t="s">
        <v>1080</v>
      </c>
      <c r="E350" s="44" t="s">
        <v>146</v>
      </c>
      <c r="F350" s="44" t="s">
        <v>39</v>
      </c>
      <c r="G350" s="44" t="s">
        <v>120</v>
      </c>
      <c r="H350" s="44" t="s">
        <v>40</v>
      </c>
      <c r="I350" s="44" t="s">
        <v>40</v>
      </c>
      <c r="J350" s="44" t="s">
        <v>7</v>
      </c>
      <c r="K350" s="44" t="s">
        <v>129</v>
      </c>
      <c r="L350" s="40">
        <v>19448</v>
      </c>
      <c r="M350" s="41">
        <v>41851</v>
      </c>
      <c r="N350" s="40" t="s">
        <v>122</v>
      </c>
      <c r="O350" s="42">
        <v>42430</v>
      </c>
      <c r="P350" s="40">
        <v>53</v>
      </c>
      <c r="Q350" s="145">
        <v>78.94</v>
      </c>
      <c r="R350" s="145">
        <v>78.83</v>
      </c>
      <c r="S350" s="145">
        <v>78.56</v>
      </c>
      <c r="T350" s="145">
        <v>78.95</v>
      </c>
      <c r="U350" s="145">
        <v>82.86</v>
      </c>
    </row>
    <row r="351" spans="1:21" x14ac:dyDescent="0.2">
      <c r="A351" s="89">
        <f t="shared" si="5"/>
        <v>343</v>
      </c>
      <c r="B351" s="43">
        <v>10</v>
      </c>
      <c r="C351" s="43">
        <v>10</v>
      </c>
      <c r="D351" s="38" t="s">
        <v>1081</v>
      </c>
      <c r="E351" s="44" t="s">
        <v>148</v>
      </c>
      <c r="F351" s="44" t="s">
        <v>25</v>
      </c>
      <c r="G351" s="44" t="s">
        <v>120</v>
      </c>
      <c r="H351" s="44" t="s">
        <v>149</v>
      </c>
      <c r="I351" s="44" t="s">
        <v>26</v>
      </c>
      <c r="J351" s="44" t="s">
        <v>27</v>
      </c>
      <c r="K351" s="44" t="s">
        <v>150</v>
      </c>
      <c r="L351" s="40">
        <v>19449</v>
      </c>
      <c r="M351" s="41">
        <v>41851</v>
      </c>
      <c r="N351" s="40" t="s">
        <v>122</v>
      </c>
      <c r="O351" s="42">
        <v>42430</v>
      </c>
      <c r="P351" s="40">
        <v>53</v>
      </c>
      <c r="Q351" s="145">
        <v>63.58</v>
      </c>
      <c r="R351" s="145">
        <v>60.69</v>
      </c>
      <c r="S351" s="145">
        <v>62.02</v>
      </c>
      <c r="T351" s="145">
        <v>62.93</v>
      </c>
      <c r="U351" s="145">
        <v>65.38</v>
      </c>
    </row>
    <row r="352" spans="1:21" x14ac:dyDescent="0.2">
      <c r="A352" s="89">
        <f t="shared" si="5"/>
        <v>344</v>
      </c>
      <c r="B352" s="43">
        <v>10</v>
      </c>
      <c r="C352" s="43">
        <v>11</v>
      </c>
      <c r="D352" s="38" t="s">
        <v>1082</v>
      </c>
      <c r="E352" s="44" t="s">
        <v>152</v>
      </c>
      <c r="F352" s="44" t="s">
        <v>25</v>
      </c>
      <c r="G352" s="44" t="s">
        <v>120</v>
      </c>
      <c r="H352" s="44" t="s">
        <v>149</v>
      </c>
      <c r="I352" s="44" t="s">
        <v>26</v>
      </c>
      <c r="J352" s="44" t="s">
        <v>28</v>
      </c>
      <c r="K352" s="44" t="s">
        <v>153</v>
      </c>
      <c r="L352" s="40">
        <v>19450</v>
      </c>
      <c r="M352" s="41">
        <v>41851</v>
      </c>
      <c r="N352" s="40" t="s">
        <v>122</v>
      </c>
      <c r="O352" s="42">
        <v>42430</v>
      </c>
      <c r="P352" s="40">
        <v>53</v>
      </c>
      <c r="Q352" s="145">
        <v>62.75</v>
      </c>
      <c r="R352" s="145">
        <v>59.86</v>
      </c>
      <c r="S352" s="145">
        <v>61.18</v>
      </c>
      <c r="T352" s="145">
        <v>62.1</v>
      </c>
      <c r="U352" s="145">
        <v>64.55</v>
      </c>
    </row>
    <row r="353" spans="1:21" x14ac:dyDescent="0.2">
      <c r="A353" s="89">
        <f t="shared" si="5"/>
        <v>345</v>
      </c>
      <c r="B353" s="43">
        <v>10</v>
      </c>
      <c r="C353" s="43">
        <v>12</v>
      </c>
      <c r="D353" s="38" t="s">
        <v>1083</v>
      </c>
      <c r="E353" s="44" t="s">
        <v>155</v>
      </c>
      <c r="F353" s="44" t="s">
        <v>20</v>
      </c>
      <c r="G353" s="44" t="s">
        <v>120</v>
      </c>
      <c r="H353" s="44" t="s">
        <v>105</v>
      </c>
      <c r="I353" s="44" t="s">
        <v>156</v>
      </c>
      <c r="J353" s="44" t="s">
        <v>22</v>
      </c>
      <c r="K353" s="44" t="s">
        <v>157</v>
      </c>
      <c r="L353" s="40">
        <v>19451</v>
      </c>
      <c r="M353" s="41">
        <v>41851</v>
      </c>
      <c r="N353" s="40" t="s">
        <v>122</v>
      </c>
      <c r="O353" s="42">
        <v>42430</v>
      </c>
      <c r="P353" s="40">
        <v>53</v>
      </c>
      <c r="Q353" s="145">
        <v>61.1</v>
      </c>
      <c r="R353" s="145">
        <v>57.95</v>
      </c>
      <c r="S353" s="145">
        <v>59.12</v>
      </c>
      <c r="T353" s="145">
        <v>59.98</v>
      </c>
      <c r="U353" s="145">
        <v>62.34</v>
      </c>
    </row>
    <row r="354" spans="1:21" x14ac:dyDescent="0.2">
      <c r="A354" s="89">
        <f t="shared" si="5"/>
        <v>346</v>
      </c>
      <c r="B354" s="43">
        <v>10</v>
      </c>
      <c r="C354" s="43">
        <v>13</v>
      </c>
      <c r="D354" s="38" t="s">
        <v>1084</v>
      </c>
      <c r="E354" s="44" t="s">
        <v>159</v>
      </c>
      <c r="F354" s="44" t="s">
        <v>39</v>
      </c>
      <c r="G354" s="44" t="s">
        <v>120</v>
      </c>
      <c r="H354" s="44" t="s">
        <v>43</v>
      </c>
      <c r="I354" s="44" t="s">
        <v>43</v>
      </c>
      <c r="J354" s="44" t="s">
        <v>7</v>
      </c>
      <c r="K354" s="44" t="s">
        <v>140</v>
      </c>
      <c r="L354" s="40">
        <v>19452</v>
      </c>
      <c r="M354" s="41">
        <v>41851</v>
      </c>
      <c r="N354" s="40" t="s">
        <v>122</v>
      </c>
      <c r="O354" s="42">
        <v>42430</v>
      </c>
      <c r="P354" s="40">
        <v>53</v>
      </c>
      <c r="Q354" s="145">
        <v>83.1</v>
      </c>
      <c r="R354" s="145">
        <v>83.31</v>
      </c>
      <c r="S354" s="145">
        <v>82.87</v>
      </c>
      <c r="T354" s="145">
        <v>83.49</v>
      </c>
      <c r="U354" s="145">
        <v>88.11</v>
      </c>
    </row>
    <row r="355" spans="1:21" x14ac:dyDescent="0.2">
      <c r="A355" s="89">
        <f t="shared" si="5"/>
        <v>347</v>
      </c>
      <c r="B355" s="43">
        <v>10</v>
      </c>
      <c r="C355" s="43">
        <v>14</v>
      </c>
      <c r="D355" s="38" t="s">
        <v>1085</v>
      </c>
      <c r="E355" s="44" t="s">
        <v>161</v>
      </c>
      <c r="F355" s="44" t="s">
        <v>6</v>
      </c>
      <c r="G355" s="44" t="s">
        <v>120</v>
      </c>
      <c r="H355" s="44" t="s">
        <v>48</v>
      </c>
      <c r="I355" s="44" t="s">
        <v>48</v>
      </c>
      <c r="J355" s="44" t="s">
        <v>7</v>
      </c>
      <c r="K355" s="44" t="s">
        <v>140</v>
      </c>
      <c r="L355" s="40">
        <v>19453</v>
      </c>
      <c r="M355" s="41">
        <v>41851</v>
      </c>
      <c r="N355" s="40" t="s">
        <v>122</v>
      </c>
      <c r="O355" s="42">
        <v>42430</v>
      </c>
      <c r="P355" s="40">
        <v>53</v>
      </c>
      <c r="Q355" s="145">
        <v>69.45</v>
      </c>
      <c r="R355" s="145">
        <v>67.790000000000006</v>
      </c>
      <c r="S355" s="145">
        <v>68.61</v>
      </c>
      <c r="T355" s="145">
        <v>69.92</v>
      </c>
      <c r="U355" s="145">
        <v>72.290000000000006</v>
      </c>
    </row>
    <row r="356" spans="1:21" x14ac:dyDescent="0.2">
      <c r="A356" s="89">
        <f t="shared" si="5"/>
        <v>348</v>
      </c>
      <c r="B356" s="43">
        <v>10</v>
      </c>
      <c r="C356" s="43">
        <v>15</v>
      </c>
      <c r="D356" s="38" t="s">
        <v>1086</v>
      </c>
      <c r="E356" s="44" t="s">
        <v>163</v>
      </c>
      <c r="F356" s="44" t="s">
        <v>20</v>
      </c>
      <c r="G356" s="44" t="s">
        <v>120</v>
      </c>
      <c r="H356" s="44" t="s">
        <v>23</v>
      </c>
      <c r="I356" s="44" t="s">
        <v>164</v>
      </c>
      <c r="J356" s="44" t="s">
        <v>24</v>
      </c>
      <c r="K356" s="44" t="s">
        <v>140</v>
      </c>
      <c r="L356" s="40">
        <v>19454</v>
      </c>
      <c r="M356" s="41">
        <v>41851</v>
      </c>
      <c r="N356" s="40" t="s">
        <v>122</v>
      </c>
      <c r="O356" s="42">
        <v>42430</v>
      </c>
      <c r="P356" s="40">
        <v>53</v>
      </c>
      <c r="Q356" s="145">
        <v>57.7</v>
      </c>
      <c r="R356" s="145">
        <v>55.96</v>
      </c>
      <c r="S356" s="145">
        <v>56.78</v>
      </c>
      <c r="T356" s="145">
        <v>57.98</v>
      </c>
      <c r="U356" s="145">
        <v>60.27</v>
      </c>
    </row>
    <row r="357" spans="1:21" x14ac:dyDescent="0.2">
      <c r="A357" s="89">
        <f t="shared" si="5"/>
        <v>349</v>
      </c>
      <c r="B357" s="43">
        <v>10</v>
      </c>
      <c r="C357" s="43">
        <v>16</v>
      </c>
      <c r="D357" s="38" t="s">
        <v>1087</v>
      </c>
      <c r="E357" s="44" t="s">
        <v>166</v>
      </c>
      <c r="F357" s="44" t="s">
        <v>20</v>
      </c>
      <c r="G357" s="44" t="s">
        <v>120</v>
      </c>
      <c r="H357" s="44" t="s">
        <v>64</v>
      </c>
      <c r="I357" s="44" t="s">
        <v>167</v>
      </c>
      <c r="J357" s="44" t="s">
        <v>7</v>
      </c>
      <c r="K357" s="44" t="s">
        <v>140</v>
      </c>
      <c r="L357" s="40">
        <v>19455</v>
      </c>
      <c r="M357" s="41">
        <v>41851</v>
      </c>
      <c r="N357" s="40" t="s">
        <v>122</v>
      </c>
      <c r="O357" s="42">
        <v>42430</v>
      </c>
      <c r="P357" s="40">
        <v>53</v>
      </c>
      <c r="Q357" s="145">
        <v>75.209999999999994</v>
      </c>
      <c r="R357" s="145">
        <v>68.34</v>
      </c>
      <c r="S357" s="145">
        <v>67.930000000000007</v>
      </c>
      <c r="T357" s="145">
        <v>67.489999999999995</v>
      </c>
      <c r="U357" s="145">
        <v>72.88</v>
      </c>
    </row>
    <row r="358" spans="1:21" x14ac:dyDescent="0.2">
      <c r="A358" s="89">
        <f t="shared" si="5"/>
        <v>350</v>
      </c>
      <c r="B358" s="43">
        <v>10</v>
      </c>
      <c r="C358" s="43">
        <v>17</v>
      </c>
      <c r="D358" s="38" t="s">
        <v>1088</v>
      </c>
      <c r="E358" s="44" t="s">
        <v>169</v>
      </c>
      <c r="F358" s="44" t="s">
        <v>31</v>
      </c>
      <c r="G358" s="44" t="s">
        <v>120</v>
      </c>
      <c r="H358" s="44" t="s">
        <v>35</v>
      </c>
      <c r="I358" s="44" t="s">
        <v>35</v>
      </c>
      <c r="J358" s="44" t="s">
        <v>9</v>
      </c>
      <c r="K358" s="44" t="s">
        <v>135</v>
      </c>
      <c r="L358" s="40">
        <v>19456</v>
      </c>
      <c r="M358" s="41">
        <v>41851</v>
      </c>
      <c r="N358" s="40" t="s">
        <v>122</v>
      </c>
      <c r="O358" s="42">
        <v>42430</v>
      </c>
      <c r="P358" s="40">
        <v>53</v>
      </c>
      <c r="Q358" s="145">
        <v>88.74</v>
      </c>
      <c r="R358" s="145">
        <v>89.62</v>
      </c>
      <c r="S358" s="145">
        <v>89.38</v>
      </c>
      <c r="T358" s="145">
        <v>90.4</v>
      </c>
      <c r="U358" s="145">
        <v>95.7</v>
      </c>
    </row>
    <row r="359" spans="1:21" x14ac:dyDescent="0.2">
      <c r="A359" s="89">
        <f t="shared" si="5"/>
        <v>351</v>
      </c>
      <c r="B359" s="43">
        <v>10</v>
      </c>
      <c r="C359" s="43">
        <v>18</v>
      </c>
      <c r="D359" s="38" t="s">
        <v>1089</v>
      </c>
      <c r="E359" s="44" t="s">
        <v>171</v>
      </c>
      <c r="F359" s="44" t="s">
        <v>31</v>
      </c>
      <c r="G359" s="44" t="s">
        <v>120</v>
      </c>
      <c r="H359" s="44" t="s">
        <v>35</v>
      </c>
      <c r="I359" s="44" t="s">
        <v>35</v>
      </c>
      <c r="J359" s="44" t="s">
        <v>10</v>
      </c>
      <c r="K359" s="44" t="s">
        <v>132</v>
      </c>
      <c r="L359" s="40">
        <v>19457</v>
      </c>
      <c r="M359" s="41">
        <v>41851</v>
      </c>
      <c r="N359" s="40" t="s">
        <v>122</v>
      </c>
      <c r="O359" s="42">
        <v>42430</v>
      </c>
      <c r="P359" s="40">
        <v>53</v>
      </c>
      <c r="Q359" s="145">
        <v>89.88</v>
      </c>
      <c r="R359" s="145">
        <v>92.52</v>
      </c>
      <c r="S359" s="145">
        <v>91.67</v>
      </c>
      <c r="T359" s="145">
        <v>93.36</v>
      </c>
      <c r="U359" s="145">
        <v>98.58</v>
      </c>
    </row>
    <row r="360" spans="1:21" x14ac:dyDescent="0.2">
      <c r="A360" s="89">
        <f t="shared" si="5"/>
        <v>352</v>
      </c>
      <c r="B360" s="43">
        <v>10</v>
      </c>
      <c r="C360" s="43">
        <v>19</v>
      </c>
      <c r="D360" s="38" t="s">
        <v>1090</v>
      </c>
      <c r="E360" s="44" t="s">
        <v>173</v>
      </c>
      <c r="F360" s="44" t="s">
        <v>31</v>
      </c>
      <c r="G360" s="44" t="s">
        <v>120</v>
      </c>
      <c r="H360" s="44" t="s">
        <v>35</v>
      </c>
      <c r="I360" s="44" t="s">
        <v>35</v>
      </c>
      <c r="J360" s="44" t="s">
        <v>11</v>
      </c>
      <c r="K360" s="44" t="s">
        <v>129</v>
      </c>
      <c r="L360" s="40">
        <v>19458</v>
      </c>
      <c r="M360" s="41">
        <v>41851</v>
      </c>
      <c r="N360" s="40" t="s">
        <v>122</v>
      </c>
      <c r="O360" s="42">
        <v>42430</v>
      </c>
      <c r="P360" s="40">
        <v>53</v>
      </c>
      <c r="Q360" s="145">
        <v>89.61</v>
      </c>
      <c r="R360" s="145">
        <v>90.18</v>
      </c>
      <c r="S360" s="145">
        <v>89.98</v>
      </c>
      <c r="T360" s="145">
        <v>90.95</v>
      </c>
      <c r="U360" s="145">
        <v>96.17</v>
      </c>
    </row>
    <row r="361" spans="1:21" x14ac:dyDescent="0.2">
      <c r="A361" s="89">
        <f t="shared" si="5"/>
        <v>353</v>
      </c>
      <c r="B361" s="43">
        <v>10</v>
      </c>
      <c r="C361" s="43">
        <v>20</v>
      </c>
      <c r="D361" s="38" t="s">
        <v>1091</v>
      </c>
      <c r="E361" s="44" t="s">
        <v>175</v>
      </c>
      <c r="F361" s="44" t="s">
        <v>6</v>
      </c>
      <c r="G361" s="44" t="s">
        <v>120</v>
      </c>
      <c r="H361" s="44" t="s">
        <v>176</v>
      </c>
      <c r="I361" s="44" t="s">
        <v>177</v>
      </c>
      <c r="J361" s="44" t="s">
        <v>9</v>
      </c>
      <c r="K361" s="44" t="s">
        <v>135</v>
      </c>
      <c r="L361" s="40">
        <v>19460</v>
      </c>
      <c r="M361" s="41">
        <v>41851</v>
      </c>
      <c r="N361" s="40" t="s">
        <v>122</v>
      </c>
      <c r="O361" s="42">
        <v>42430</v>
      </c>
      <c r="P361" s="40">
        <v>53</v>
      </c>
      <c r="Q361" s="145">
        <v>71.55</v>
      </c>
      <c r="R361" s="145">
        <v>70.790000000000006</v>
      </c>
      <c r="S361" s="145">
        <v>70.58</v>
      </c>
      <c r="T361" s="145">
        <v>70.930000000000007</v>
      </c>
      <c r="U361" s="145">
        <v>74.77</v>
      </c>
    </row>
    <row r="362" spans="1:21" x14ac:dyDescent="0.2">
      <c r="A362" s="89">
        <f t="shared" si="5"/>
        <v>354</v>
      </c>
      <c r="B362" s="43">
        <v>10</v>
      </c>
      <c r="C362" s="43">
        <v>21</v>
      </c>
      <c r="D362" s="38" t="s">
        <v>1092</v>
      </c>
      <c r="E362" s="44" t="s">
        <v>179</v>
      </c>
      <c r="F362" s="44" t="s">
        <v>6</v>
      </c>
      <c r="G362" s="44" t="s">
        <v>120</v>
      </c>
      <c r="H362" s="44" t="s">
        <v>176</v>
      </c>
      <c r="I362" s="44" t="s">
        <v>177</v>
      </c>
      <c r="J362" s="44" t="s">
        <v>10</v>
      </c>
      <c r="K362" s="44" t="s">
        <v>132</v>
      </c>
      <c r="L362" s="40">
        <v>19459</v>
      </c>
      <c r="M362" s="41">
        <v>41851</v>
      </c>
      <c r="N362" s="40" t="s">
        <v>122</v>
      </c>
      <c r="O362" s="42">
        <v>42430</v>
      </c>
      <c r="P362" s="40">
        <v>53</v>
      </c>
      <c r="Q362" s="145">
        <v>72.75</v>
      </c>
      <c r="R362" s="145">
        <v>71.849999999999994</v>
      </c>
      <c r="S362" s="145">
        <v>71.73</v>
      </c>
      <c r="T362" s="145">
        <v>72.010000000000005</v>
      </c>
      <c r="U362" s="145">
        <v>75.87</v>
      </c>
    </row>
    <row r="363" spans="1:21" x14ac:dyDescent="0.2">
      <c r="A363" s="89">
        <f t="shared" si="5"/>
        <v>355</v>
      </c>
      <c r="B363" s="43">
        <v>10</v>
      </c>
      <c r="C363" s="43">
        <v>22</v>
      </c>
      <c r="D363" s="38" t="s">
        <v>1093</v>
      </c>
      <c r="E363" s="44" t="s">
        <v>181</v>
      </c>
      <c r="F363" s="44" t="s">
        <v>6</v>
      </c>
      <c r="G363" s="44" t="s">
        <v>120</v>
      </c>
      <c r="H363" s="44" t="s">
        <v>176</v>
      </c>
      <c r="I363" s="44" t="s">
        <v>177</v>
      </c>
      <c r="J363" s="44" t="s">
        <v>11</v>
      </c>
      <c r="K363" s="44" t="s">
        <v>129</v>
      </c>
      <c r="L363" s="40">
        <v>19461</v>
      </c>
      <c r="M363" s="41">
        <v>41851</v>
      </c>
      <c r="N363" s="40" t="s">
        <v>122</v>
      </c>
      <c r="O363" s="42">
        <v>42430</v>
      </c>
      <c r="P363" s="40">
        <v>53</v>
      </c>
      <c r="Q363" s="145">
        <v>73.150000000000006</v>
      </c>
      <c r="R363" s="145">
        <v>70.83</v>
      </c>
      <c r="S363" s="145">
        <v>71.099999999999994</v>
      </c>
      <c r="T363" s="145">
        <v>71.02</v>
      </c>
      <c r="U363" s="145">
        <v>74.86</v>
      </c>
    </row>
    <row r="364" spans="1:21" x14ac:dyDescent="0.2">
      <c r="A364" s="89">
        <f t="shared" si="5"/>
        <v>356</v>
      </c>
      <c r="B364" s="43">
        <v>10</v>
      </c>
      <c r="C364" s="43">
        <v>23</v>
      </c>
      <c r="D364" s="38" t="s">
        <v>1094</v>
      </c>
      <c r="E364" s="44" t="s">
        <v>183</v>
      </c>
      <c r="F364" s="44" t="s">
        <v>6</v>
      </c>
      <c r="G364" s="44" t="s">
        <v>120</v>
      </c>
      <c r="H364" s="44" t="s">
        <v>13</v>
      </c>
      <c r="I364" s="44" t="s">
        <v>13</v>
      </c>
      <c r="J364" s="44" t="s">
        <v>7</v>
      </c>
      <c r="K364" s="44" t="s">
        <v>140</v>
      </c>
      <c r="L364" s="40">
        <v>19462</v>
      </c>
      <c r="M364" s="41">
        <v>41851</v>
      </c>
      <c r="N364" s="40" t="s">
        <v>122</v>
      </c>
      <c r="O364" s="42">
        <v>42430</v>
      </c>
      <c r="P364" s="40">
        <v>53</v>
      </c>
      <c r="Q364" s="145">
        <v>74.58</v>
      </c>
      <c r="R364" s="145">
        <v>75.02</v>
      </c>
      <c r="S364" s="145">
        <v>74.569999999999993</v>
      </c>
      <c r="T364" s="145">
        <v>75.33</v>
      </c>
      <c r="U364" s="145">
        <v>80.08</v>
      </c>
    </row>
    <row r="365" spans="1:21" x14ac:dyDescent="0.2">
      <c r="A365" s="89">
        <f t="shared" si="5"/>
        <v>357</v>
      </c>
      <c r="B365" s="43">
        <v>10</v>
      </c>
      <c r="C365" s="43">
        <v>24</v>
      </c>
      <c r="D365" s="38" t="s">
        <v>1095</v>
      </c>
      <c r="E365" s="44" t="s">
        <v>185</v>
      </c>
      <c r="F365" s="44" t="s">
        <v>6</v>
      </c>
      <c r="G365" s="44" t="s">
        <v>120</v>
      </c>
      <c r="H365" s="44" t="s">
        <v>12</v>
      </c>
      <c r="I365" s="44" t="s">
        <v>186</v>
      </c>
      <c r="J365" s="44" t="s">
        <v>9</v>
      </c>
      <c r="K365" s="44" t="s">
        <v>135</v>
      </c>
      <c r="L365" s="40">
        <v>19463</v>
      </c>
      <c r="M365" s="41">
        <v>41851</v>
      </c>
      <c r="N365" s="40" t="s">
        <v>122</v>
      </c>
      <c r="O365" s="42">
        <v>42430</v>
      </c>
      <c r="P365" s="40">
        <v>53</v>
      </c>
      <c r="Q365" s="145">
        <v>71.81</v>
      </c>
      <c r="R365" s="145">
        <v>70.540000000000006</v>
      </c>
      <c r="S365" s="145">
        <v>70.540000000000006</v>
      </c>
      <c r="T365" s="145">
        <v>70.56</v>
      </c>
      <c r="U365" s="145">
        <v>74.489999999999995</v>
      </c>
    </row>
    <row r="366" spans="1:21" x14ac:dyDescent="0.2">
      <c r="A366" s="89">
        <f t="shared" si="5"/>
        <v>358</v>
      </c>
      <c r="B366" s="43">
        <v>10</v>
      </c>
      <c r="C366" s="43">
        <v>25</v>
      </c>
      <c r="D366" s="38" t="s">
        <v>1096</v>
      </c>
      <c r="E366" s="44" t="s">
        <v>188</v>
      </c>
      <c r="F366" s="44" t="s">
        <v>6</v>
      </c>
      <c r="G366" s="44" t="s">
        <v>120</v>
      </c>
      <c r="H366" s="44" t="s">
        <v>12</v>
      </c>
      <c r="I366" s="44" t="s">
        <v>186</v>
      </c>
      <c r="J366" s="44" t="s">
        <v>10</v>
      </c>
      <c r="K366" s="44" t="s">
        <v>132</v>
      </c>
      <c r="L366" s="40">
        <v>19464</v>
      </c>
      <c r="M366" s="41">
        <v>41851</v>
      </c>
      <c r="N366" s="40" t="s">
        <v>122</v>
      </c>
      <c r="O366" s="42">
        <v>42430</v>
      </c>
      <c r="P366" s="40">
        <v>53</v>
      </c>
      <c r="Q366" s="145">
        <v>73.38</v>
      </c>
      <c r="R366" s="145">
        <v>71.72</v>
      </c>
      <c r="S366" s="145">
        <v>71.87</v>
      </c>
      <c r="T366" s="145">
        <v>71.75</v>
      </c>
      <c r="U366" s="145">
        <v>75.680000000000007</v>
      </c>
    </row>
    <row r="367" spans="1:21" x14ac:dyDescent="0.2">
      <c r="A367" s="89">
        <f t="shared" si="5"/>
        <v>359</v>
      </c>
      <c r="B367" s="43">
        <v>10</v>
      </c>
      <c r="C367" s="43">
        <v>26</v>
      </c>
      <c r="D367" s="38" t="s">
        <v>1097</v>
      </c>
      <c r="E367" s="44" t="s">
        <v>190</v>
      </c>
      <c r="F367" s="44" t="s">
        <v>6</v>
      </c>
      <c r="G367" s="44" t="s">
        <v>120</v>
      </c>
      <c r="H367" s="44" t="s">
        <v>12</v>
      </c>
      <c r="I367" s="44" t="s">
        <v>186</v>
      </c>
      <c r="J367" s="44" t="s">
        <v>11</v>
      </c>
      <c r="K367" s="44" t="s">
        <v>129</v>
      </c>
      <c r="L367" s="40">
        <v>19465</v>
      </c>
      <c r="M367" s="41">
        <v>41851</v>
      </c>
      <c r="N367" s="40" t="s">
        <v>122</v>
      </c>
      <c r="O367" s="42">
        <v>42430</v>
      </c>
      <c r="P367" s="40">
        <v>53</v>
      </c>
      <c r="Q367" s="145">
        <v>75.430000000000007</v>
      </c>
      <c r="R367" s="145">
        <v>71.180000000000007</v>
      </c>
      <c r="S367" s="145">
        <v>71.959999999999994</v>
      </c>
      <c r="T367" s="145">
        <v>71.27</v>
      </c>
      <c r="U367" s="145">
        <v>75.19</v>
      </c>
    </row>
    <row r="368" spans="1:21" x14ac:dyDescent="0.2">
      <c r="A368" s="89">
        <f t="shared" si="5"/>
        <v>360</v>
      </c>
      <c r="B368" s="43">
        <v>10</v>
      </c>
      <c r="C368" s="43">
        <v>27</v>
      </c>
      <c r="D368" s="38" t="s">
        <v>1098</v>
      </c>
      <c r="E368" s="44" t="s">
        <v>192</v>
      </c>
      <c r="F368" s="44" t="s">
        <v>6</v>
      </c>
      <c r="G368" s="44" t="s">
        <v>120</v>
      </c>
      <c r="H368" s="44" t="s">
        <v>100</v>
      </c>
      <c r="I368" s="44" t="s">
        <v>193</v>
      </c>
      <c r="J368" s="44" t="s">
        <v>7</v>
      </c>
      <c r="K368" s="44" t="s">
        <v>140</v>
      </c>
      <c r="L368" s="40">
        <v>19466</v>
      </c>
      <c r="M368" s="41">
        <v>41851</v>
      </c>
      <c r="N368" s="40" t="s">
        <v>122</v>
      </c>
      <c r="O368" s="42">
        <v>42430</v>
      </c>
      <c r="P368" s="40">
        <v>53</v>
      </c>
      <c r="Q368" s="145">
        <v>83.04</v>
      </c>
      <c r="R368" s="145">
        <v>73.81</v>
      </c>
      <c r="S368" s="145">
        <v>74.23</v>
      </c>
      <c r="T368" s="145">
        <v>72.91</v>
      </c>
      <c r="U368" s="145">
        <v>78.2</v>
      </c>
    </row>
    <row r="369" spans="1:21" x14ac:dyDescent="0.2">
      <c r="A369" s="89">
        <f t="shared" si="5"/>
        <v>361</v>
      </c>
      <c r="B369" s="43">
        <v>10</v>
      </c>
      <c r="C369" s="43">
        <v>28</v>
      </c>
      <c r="D369" s="38" t="s">
        <v>1099</v>
      </c>
      <c r="E369" s="44" t="s">
        <v>195</v>
      </c>
      <c r="F369" s="44" t="s">
        <v>39</v>
      </c>
      <c r="G369" s="44" t="s">
        <v>120</v>
      </c>
      <c r="H369" s="44" t="s">
        <v>44</v>
      </c>
      <c r="I369" s="44" t="s">
        <v>44</v>
      </c>
      <c r="J369" s="44" t="s">
        <v>7</v>
      </c>
      <c r="K369" s="44" t="s">
        <v>140</v>
      </c>
      <c r="L369" s="40">
        <v>19467</v>
      </c>
      <c r="M369" s="41">
        <v>41851</v>
      </c>
      <c r="N369" s="40" t="s">
        <v>122</v>
      </c>
      <c r="O369" s="42">
        <v>42430</v>
      </c>
      <c r="P369" s="40">
        <v>53</v>
      </c>
      <c r="Q369" s="145">
        <v>80.819999999999993</v>
      </c>
      <c r="R369" s="145">
        <v>79.58</v>
      </c>
      <c r="S369" s="145">
        <v>79.790000000000006</v>
      </c>
      <c r="T369" s="145">
        <v>80.010000000000005</v>
      </c>
      <c r="U369" s="145">
        <v>84.4</v>
      </c>
    </row>
    <row r="370" spans="1:21" x14ac:dyDescent="0.2">
      <c r="A370" s="89">
        <f t="shared" si="5"/>
        <v>362</v>
      </c>
      <c r="B370" s="43">
        <v>10</v>
      </c>
      <c r="C370" s="43">
        <v>29</v>
      </c>
      <c r="D370" s="38" t="s">
        <v>1100</v>
      </c>
      <c r="E370" s="44" t="s">
        <v>197</v>
      </c>
      <c r="F370" s="44" t="s">
        <v>39</v>
      </c>
      <c r="G370" s="44" t="s">
        <v>120</v>
      </c>
      <c r="H370" s="44" t="s">
        <v>44</v>
      </c>
      <c r="I370" s="44" t="s">
        <v>44</v>
      </c>
      <c r="J370" s="44" t="s">
        <v>45</v>
      </c>
      <c r="K370" s="44" t="s">
        <v>198</v>
      </c>
      <c r="L370" s="40">
        <v>19468</v>
      </c>
      <c r="M370" s="41">
        <v>41851</v>
      </c>
      <c r="N370" s="40" t="s">
        <v>122</v>
      </c>
      <c r="O370" s="42">
        <v>42430</v>
      </c>
      <c r="P370" s="40">
        <v>53</v>
      </c>
      <c r="Q370" s="145">
        <v>77.569999999999993</v>
      </c>
      <c r="R370" s="145">
        <v>77.510000000000005</v>
      </c>
      <c r="S370" s="145">
        <v>77.3</v>
      </c>
      <c r="T370" s="145">
        <v>77.89</v>
      </c>
      <c r="U370" s="145">
        <v>82.23</v>
      </c>
    </row>
    <row r="371" spans="1:21" x14ac:dyDescent="0.2">
      <c r="A371" s="89">
        <f t="shared" si="5"/>
        <v>363</v>
      </c>
      <c r="B371" s="43">
        <v>10</v>
      </c>
      <c r="C371" s="43">
        <v>30</v>
      </c>
      <c r="D371" s="38" t="s">
        <v>1101</v>
      </c>
      <c r="E371" s="44" t="s">
        <v>200</v>
      </c>
      <c r="F371" s="44" t="s">
        <v>39</v>
      </c>
      <c r="G371" s="44" t="s">
        <v>120</v>
      </c>
      <c r="H371" s="44" t="s">
        <v>44</v>
      </c>
      <c r="I371" s="44" t="s">
        <v>44</v>
      </c>
      <c r="J371" s="44" t="s">
        <v>46</v>
      </c>
      <c r="K371" s="44" t="s">
        <v>46</v>
      </c>
      <c r="L371" s="40">
        <v>19469</v>
      </c>
      <c r="M371" s="41">
        <v>41851</v>
      </c>
      <c r="N371" s="40" t="s">
        <v>122</v>
      </c>
      <c r="O371" s="42">
        <v>42430</v>
      </c>
      <c r="P371" s="40">
        <v>53</v>
      </c>
      <c r="Q371" s="145">
        <v>77.959999999999994</v>
      </c>
      <c r="R371" s="145">
        <v>76.790000000000006</v>
      </c>
      <c r="S371" s="145">
        <v>76.88</v>
      </c>
      <c r="T371" s="145">
        <v>77.290000000000006</v>
      </c>
      <c r="U371" s="145">
        <v>81.64</v>
      </c>
    </row>
    <row r="372" spans="1:21" x14ac:dyDescent="0.2">
      <c r="A372" s="89">
        <f t="shared" si="5"/>
        <v>364</v>
      </c>
      <c r="B372" s="43">
        <v>10</v>
      </c>
      <c r="C372" s="43">
        <v>31</v>
      </c>
      <c r="D372" s="38" t="s">
        <v>1102</v>
      </c>
      <c r="E372" s="44" t="s">
        <v>202</v>
      </c>
      <c r="F372" s="44" t="s">
        <v>39</v>
      </c>
      <c r="G372" s="44" t="s">
        <v>120</v>
      </c>
      <c r="H372" s="44" t="s">
        <v>47</v>
      </c>
      <c r="I372" s="44" t="s">
        <v>47</v>
      </c>
      <c r="J372" s="44" t="s">
        <v>7</v>
      </c>
      <c r="K372" s="44" t="s">
        <v>140</v>
      </c>
      <c r="L372" s="40">
        <v>19470</v>
      </c>
      <c r="M372" s="41">
        <v>41851</v>
      </c>
      <c r="N372" s="40" t="s">
        <v>122</v>
      </c>
      <c r="O372" s="42">
        <v>42430</v>
      </c>
      <c r="P372" s="40">
        <v>53</v>
      </c>
      <c r="Q372" s="145">
        <v>67.97</v>
      </c>
      <c r="R372" s="145">
        <v>67.489999999999995</v>
      </c>
      <c r="S372" s="145">
        <v>67.94</v>
      </c>
      <c r="T372" s="145">
        <v>69.83</v>
      </c>
      <c r="U372" s="145">
        <v>72.63</v>
      </c>
    </row>
    <row r="373" spans="1:21" x14ac:dyDescent="0.2">
      <c r="A373" s="89">
        <f t="shared" si="5"/>
        <v>365</v>
      </c>
      <c r="B373" s="43">
        <v>10</v>
      </c>
      <c r="C373" s="43">
        <v>32</v>
      </c>
      <c r="D373" s="38" t="s">
        <v>1103</v>
      </c>
      <c r="E373" s="44" t="s">
        <v>204</v>
      </c>
      <c r="F373" s="44" t="s">
        <v>6</v>
      </c>
      <c r="G373" s="44" t="s">
        <v>120</v>
      </c>
      <c r="H373" s="44" t="s">
        <v>14</v>
      </c>
      <c r="I373" s="44" t="s">
        <v>14</v>
      </c>
      <c r="J373" s="44" t="s">
        <v>15</v>
      </c>
      <c r="K373" s="44" t="s">
        <v>129</v>
      </c>
      <c r="L373" s="40">
        <v>19471</v>
      </c>
      <c r="M373" s="41">
        <v>41851</v>
      </c>
      <c r="N373" s="40" t="s">
        <v>122</v>
      </c>
      <c r="O373" s="42">
        <v>42430</v>
      </c>
      <c r="P373" s="40">
        <v>53</v>
      </c>
      <c r="Q373" s="145">
        <v>78.19</v>
      </c>
      <c r="R373" s="145">
        <v>77.510000000000005</v>
      </c>
      <c r="S373" s="145">
        <v>77.150000000000006</v>
      </c>
      <c r="T373" s="145">
        <v>77.489999999999995</v>
      </c>
      <c r="U373" s="145">
        <v>81.2</v>
      </c>
    </row>
    <row r="374" spans="1:21" x14ac:dyDescent="0.2">
      <c r="A374" s="89">
        <f t="shared" si="5"/>
        <v>366</v>
      </c>
      <c r="B374" s="43">
        <v>10</v>
      </c>
      <c r="C374" s="43">
        <v>33</v>
      </c>
      <c r="D374" s="38" t="s">
        <v>1104</v>
      </c>
      <c r="E374" s="44" t="s">
        <v>206</v>
      </c>
      <c r="F374" s="44" t="s">
        <v>6</v>
      </c>
      <c r="G374" s="44" t="s">
        <v>120</v>
      </c>
      <c r="H374" s="44" t="s">
        <v>14</v>
      </c>
      <c r="I374" s="44" t="s">
        <v>14</v>
      </c>
      <c r="J374" s="44" t="s">
        <v>16</v>
      </c>
      <c r="K374" s="44" t="s">
        <v>135</v>
      </c>
      <c r="L374" s="40">
        <v>19472</v>
      </c>
      <c r="M374" s="41">
        <v>41851</v>
      </c>
      <c r="N374" s="40" t="s">
        <v>122</v>
      </c>
      <c r="O374" s="42">
        <v>42430</v>
      </c>
      <c r="P374" s="40">
        <v>53</v>
      </c>
      <c r="Q374" s="145">
        <v>78.819999999999993</v>
      </c>
      <c r="R374" s="145">
        <v>78.8</v>
      </c>
      <c r="S374" s="145">
        <v>78.27</v>
      </c>
      <c r="T374" s="145">
        <v>78.8</v>
      </c>
      <c r="U374" s="145">
        <v>82.58</v>
      </c>
    </row>
    <row r="375" spans="1:21" x14ac:dyDescent="0.2">
      <c r="A375" s="89">
        <f t="shared" si="5"/>
        <v>367</v>
      </c>
      <c r="B375" s="43">
        <v>10</v>
      </c>
      <c r="C375" s="43">
        <v>34</v>
      </c>
      <c r="D375" s="38" t="s">
        <v>1105</v>
      </c>
      <c r="E375" s="44" t="s">
        <v>208</v>
      </c>
      <c r="F375" s="44" t="s">
        <v>31</v>
      </c>
      <c r="G375" s="44" t="s">
        <v>120</v>
      </c>
      <c r="H375" s="44" t="s">
        <v>36</v>
      </c>
      <c r="I375" s="44" t="s">
        <v>36</v>
      </c>
      <c r="J375" s="44" t="s">
        <v>37</v>
      </c>
      <c r="K375" s="44" t="s">
        <v>209</v>
      </c>
      <c r="L375" s="40">
        <v>19473</v>
      </c>
      <c r="M375" s="41">
        <v>41851</v>
      </c>
      <c r="N375" s="40" t="s">
        <v>122</v>
      </c>
      <c r="O375" s="42">
        <v>42430</v>
      </c>
      <c r="P375" s="40">
        <v>53</v>
      </c>
      <c r="Q375" s="145">
        <v>99.9</v>
      </c>
      <c r="R375" s="145">
        <v>102.19</v>
      </c>
      <c r="S375" s="145">
        <v>102.38</v>
      </c>
      <c r="T375" s="145">
        <v>103.56</v>
      </c>
      <c r="U375" s="145">
        <v>106.93</v>
      </c>
    </row>
    <row r="376" spans="1:21" x14ac:dyDescent="0.2">
      <c r="A376" s="89">
        <f t="shared" si="5"/>
        <v>368</v>
      </c>
      <c r="B376" s="43">
        <v>10</v>
      </c>
      <c r="C376" s="43">
        <v>35</v>
      </c>
      <c r="D376" s="38" t="s">
        <v>1106</v>
      </c>
      <c r="E376" s="44" t="s">
        <v>211</v>
      </c>
      <c r="F376" s="44" t="s">
        <v>31</v>
      </c>
      <c r="G376" s="44" t="s">
        <v>120</v>
      </c>
      <c r="H376" s="44" t="s">
        <v>36</v>
      </c>
      <c r="I376" s="44" t="s">
        <v>36</v>
      </c>
      <c r="J376" s="44" t="s">
        <v>38</v>
      </c>
      <c r="K376" s="44" t="s">
        <v>212</v>
      </c>
      <c r="L376" s="40">
        <v>19474</v>
      </c>
      <c r="M376" s="41">
        <v>41851</v>
      </c>
      <c r="N376" s="40" t="s">
        <v>122</v>
      </c>
      <c r="O376" s="42">
        <v>42430</v>
      </c>
      <c r="P376" s="40">
        <v>53</v>
      </c>
      <c r="Q376" s="145">
        <v>97.66</v>
      </c>
      <c r="R376" s="145">
        <v>100.59</v>
      </c>
      <c r="S376" s="145">
        <v>100.43</v>
      </c>
      <c r="T376" s="145">
        <v>101.85</v>
      </c>
      <c r="U376" s="145">
        <v>105.19</v>
      </c>
    </row>
    <row r="377" spans="1:21" x14ac:dyDescent="0.2">
      <c r="A377" s="89">
        <f t="shared" si="5"/>
        <v>369</v>
      </c>
      <c r="B377" s="43">
        <v>10</v>
      </c>
      <c r="C377" s="43">
        <v>36</v>
      </c>
      <c r="D377" s="38" t="s">
        <v>1107</v>
      </c>
      <c r="E377" s="44" t="s">
        <v>214</v>
      </c>
      <c r="F377" s="44" t="s">
        <v>6</v>
      </c>
      <c r="G377" s="44" t="s">
        <v>120</v>
      </c>
      <c r="H377" s="44" t="s">
        <v>17</v>
      </c>
      <c r="I377" s="44" t="s">
        <v>215</v>
      </c>
      <c r="J377" s="44" t="s">
        <v>18</v>
      </c>
      <c r="K377" s="44" t="s">
        <v>140</v>
      </c>
      <c r="L377" s="40">
        <v>19475</v>
      </c>
      <c r="M377" s="41">
        <v>41851</v>
      </c>
      <c r="N377" s="40" t="s">
        <v>122</v>
      </c>
      <c r="O377" s="42">
        <v>42430</v>
      </c>
      <c r="P377" s="40">
        <v>53</v>
      </c>
      <c r="Q377" s="145">
        <v>65.8</v>
      </c>
      <c r="R377" s="145">
        <v>62.95</v>
      </c>
      <c r="S377" s="145">
        <v>64.13</v>
      </c>
      <c r="T377" s="145">
        <v>64.98</v>
      </c>
      <c r="U377" s="145">
        <v>67.42</v>
      </c>
    </row>
    <row r="378" spans="1:21" x14ac:dyDescent="0.2">
      <c r="A378" s="89">
        <f t="shared" si="5"/>
        <v>370</v>
      </c>
      <c r="B378" s="20"/>
      <c r="C378" s="20"/>
      <c r="D378" s="20"/>
    </row>
    <row r="379" spans="1:21" x14ac:dyDescent="0.2">
      <c r="A379" s="89">
        <f t="shared" si="5"/>
        <v>371</v>
      </c>
      <c r="B379" s="43">
        <v>11</v>
      </c>
      <c r="C379" s="43">
        <v>1</v>
      </c>
      <c r="D379" s="38" t="s">
        <v>1108</v>
      </c>
      <c r="E379" s="44" t="s">
        <v>119</v>
      </c>
      <c r="F379" s="44" t="s">
        <v>31</v>
      </c>
      <c r="G379" s="44" t="s">
        <v>120</v>
      </c>
      <c r="H379" s="44" t="s">
        <v>32</v>
      </c>
      <c r="I379" s="44" t="s">
        <v>32</v>
      </c>
      <c r="J379" s="44" t="s">
        <v>33</v>
      </c>
      <c r="K379" s="44" t="s">
        <v>121</v>
      </c>
      <c r="L379" s="40">
        <v>19440</v>
      </c>
      <c r="M379" s="41">
        <v>41851</v>
      </c>
      <c r="N379" s="40" t="s">
        <v>122</v>
      </c>
      <c r="O379" s="42">
        <v>42461</v>
      </c>
      <c r="P379" s="40">
        <v>54</v>
      </c>
      <c r="Q379" s="145">
        <v>88.17</v>
      </c>
      <c r="R379" s="145">
        <v>92.2</v>
      </c>
      <c r="S379" s="145">
        <v>90.91</v>
      </c>
      <c r="T379" s="145">
        <v>92.84</v>
      </c>
      <c r="U379" s="145">
        <v>97.88</v>
      </c>
    </row>
    <row r="380" spans="1:21" x14ac:dyDescent="0.2">
      <c r="A380" s="89">
        <f t="shared" si="5"/>
        <v>372</v>
      </c>
      <c r="B380" s="43">
        <v>11</v>
      </c>
      <c r="C380" s="43">
        <v>2</v>
      </c>
      <c r="D380" s="38" t="s">
        <v>1109</v>
      </c>
      <c r="E380" s="44" t="s">
        <v>124</v>
      </c>
      <c r="F380" s="44" t="s">
        <v>31</v>
      </c>
      <c r="G380" s="44" t="s">
        <v>120</v>
      </c>
      <c r="H380" s="44" t="s">
        <v>32</v>
      </c>
      <c r="I380" s="44" t="s">
        <v>32</v>
      </c>
      <c r="J380" s="44" t="s">
        <v>34</v>
      </c>
      <c r="K380" s="44" t="s">
        <v>125</v>
      </c>
      <c r="L380" s="40">
        <v>19441</v>
      </c>
      <c r="M380" s="41">
        <v>41851</v>
      </c>
      <c r="N380" s="40" t="s">
        <v>122</v>
      </c>
      <c r="O380" s="42">
        <v>42461</v>
      </c>
      <c r="P380" s="40">
        <v>54</v>
      </c>
      <c r="Q380" s="145">
        <v>88.1</v>
      </c>
      <c r="R380" s="145">
        <v>91.5</v>
      </c>
      <c r="S380" s="145">
        <v>90.4</v>
      </c>
      <c r="T380" s="145">
        <v>91.9</v>
      </c>
      <c r="U380" s="145">
        <v>95.49</v>
      </c>
    </row>
    <row r="381" spans="1:21" x14ac:dyDescent="0.2">
      <c r="A381" s="89">
        <f t="shared" si="5"/>
        <v>373</v>
      </c>
      <c r="B381" s="43">
        <v>11</v>
      </c>
      <c r="C381" s="43">
        <v>3</v>
      </c>
      <c r="D381" s="38" t="s">
        <v>1110</v>
      </c>
      <c r="E381" s="44" t="s">
        <v>127</v>
      </c>
      <c r="F381" s="44" t="s">
        <v>20</v>
      </c>
      <c r="G381" s="44" t="s">
        <v>120</v>
      </c>
      <c r="H381" s="44" t="s">
        <v>63</v>
      </c>
      <c r="I381" s="44" t="s">
        <v>128</v>
      </c>
      <c r="J381" s="44" t="s">
        <v>15</v>
      </c>
      <c r="K381" s="44" t="s">
        <v>129</v>
      </c>
      <c r="L381" s="40">
        <v>19442</v>
      </c>
      <c r="M381" s="41">
        <v>41851</v>
      </c>
      <c r="N381" s="40" t="s">
        <v>122</v>
      </c>
      <c r="O381" s="42">
        <v>42461</v>
      </c>
      <c r="P381" s="40">
        <v>54</v>
      </c>
      <c r="Q381" s="145">
        <v>65.239999999999995</v>
      </c>
      <c r="R381" s="145">
        <v>65.36</v>
      </c>
      <c r="S381" s="145">
        <v>65.02</v>
      </c>
      <c r="T381" s="145">
        <v>65.540000000000006</v>
      </c>
      <c r="U381" s="145">
        <v>66.53</v>
      </c>
    </row>
    <row r="382" spans="1:21" x14ac:dyDescent="0.2">
      <c r="A382" s="89">
        <f t="shared" si="5"/>
        <v>374</v>
      </c>
      <c r="B382" s="43">
        <v>11</v>
      </c>
      <c r="C382" s="43">
        <v>4</v>
      </c>
      <c r="D382" s="38" t="s">
        <v>1111</v>
      </c>
      <c r="E382" s="44" t="s">
        <v>131</v>
      </c>
      <c r="F382" s="44" t="s">
        <v>20</v>
      </c>
      <c r="G382" s="44" t="s">
        <v>120</v>
      </c>
      <c r="H382" s="44" t="s">
        <v>63</v>
      </c>
      <c r="I382" s="44" t="s">
        <v>128</v>
      </c>
      <c r="J382" s="44" t="s">
        <v>21</v>
      </c>
      <c r="K382" s="44" t="s">
        <v>132</v>
      </c>
      <c r="L382" s="40">
        <v>19443</v>
      </c>
      <c r="M382" s="41">
        <v>41851</v>
      </c>
      <c r="N382" s="40" t="s">
        <v>122</v>
      </c>
      <c r="O382" s="42">
        <v>42461</v>
      </c>
      <c r="P382" s="40">
        <v>54</v>
      </c>
      <c r="Q382" s="145">
        <v>66.77</v>
      </c>
      <c r="R382" s="145">
        <v>67.290000000000006</v>
      </c>
      <c r="S382" s="145">
        <v>66.849999999999994</v>
      </c>
      <c r="T382" s="145">
        <v>67.44</v>
      </c>
      <c r="U382" s="145">
        <v>68.47</v>
      </c>
    </row>
    <row r="383" spans="1:21" x14ac:dyDescent="0.2">
      <c r="A383" s="89">
        <f t="shared" si="5"/>
        <v>375</v>
      </c>
      <c r="B383" s="43">
        <v>11</v>
      </c>
      <c r="C383" s="43">
        <v>5</v>
      </c>
      <c r="D383" s="38" t="s">
        <v>1112</v>
      </c>
      <c r="E383" s="44" t="s">
        <v>134</v>
      </c>
      <c r="F383" s="44" t="s">
        <v>20</v>
      </c>
      <c r="G383" s="44" t="s">
        <v>120</v>
      </c>
      <c r="H383" s="44" t="s">
        <v>63</v>
      </c>
      <c r="I383" s="44" t="s">
        <v>128</v>
      </c>
      <c r="J383" s="44" t="s">
        <v>16</v>
      </c>
      <c r="K383" s="44" t="s">
        <v>135</v>
      </c>
      <c r="L383" s="40">
        <v>19444</v>
      </c>
      <c r="M383" s="41">
        <v>41851</v>
      </c>
      <c r="N383" s="40" t="s">
        <v>122</v>
      </c>
      <c r="O383" s="42">
        <v>42461</v>
      </c>
      <c r="P383" s="40">
        <v>54</v>
      </c>
      <c r="Q383" s="145">
        <v>65.12</v>
      </c>
      <c r="R383" s="145">
        <v>66.239999999999995</v>
      </c>
      <c r="S383" s="145">
        <v>65.58</v>
      </c>
      <c r="T383" s="145">
        <v>66.38</v>
      </c>
      <c r="U383" s="145">
        <v>67.39</v>
      </c>
    </row>
    <row r="384" spans="1:21" x14ac:dyDescent="0.2">
      <c r="A384" s="89">
        <f t="shared" si="5"/>
        <v>376</v>
      </c>
      <c r="B384" s="43">
        <v>11</v>
      </c>
      <c r="C384" s="43">
        <v>6</v>
      </c>
      <c r="D384" s="38" t="s">
        <v>1113</v>
      </c>
      <c r="E384" s="44" t="s">
        <v>137</v>
      </c>
      <c r="F384" s="44" t="s">
        <v>25</v>
      </c>
      <c r="G384" s="44" t="s">
        <v>138</v>
      </c>
      <c r="H384" s="44" t="s">
        <v>139</v>
      </c>
      <c r="I384" s="44" t="s">
        <v>29</v>
      </c>
      <c r="J384" s="44" t="s">
        <v>30</v>
      </c>
      <c r="K384" s="44" t="s">
        <v>140</v>
      </c>
      <c r="L384" s="40">
        <v>19445</v>
      </c>
      <c r="M384" s="41">
        <v>41851</v>
      </c>
      <c r="N384" s="40" t="s">
        <v>122</v>
      </c>
      <c r="O384" s="42">
        <v>42461</v>
      </c>
      <c r="P384" s="40">
        <v>54</v>
      </c>
      <c r="Q384" s="145">
        <v>56.5</v>
      </c>
      <c r="R384" s="145">
        <v>57.56</v>
      </c>
      <c r="S384" s="145">
        <v>58.13</v>
      </c>
      <c r="T384" s="145">
        <v>58.88</v>
      </c>
      <c r="U384" s="145">
        <v>60.08</v>
      </c>
    </row>
    <row r="385" spans="1:21" x14ac:dyDescent="0.2">
      <c r="A385" s="89">
        <f t="shared" si="5"/>
        <v>377</v>
      </c>
      <c r="B385" s="43">
        <v>11</v>
      </c>
      <c r="C385" s="43">
        <v>7</v>
      </c>
      <c r="D385" s="38" t="s">
        <v>1114</v>
      </c>
      <c r="E385" s="44" t="s">
        <v>142</v>
      </c>
      <c r="F385" s="44" t="s">
        <v>39</v>
      </c>
      <c r="G385" s="44" t="s">
        <v>120</v>
      </c>
      <c r="H385" s="44" t="s">
        <v>40</v>
      </c>
      <c r="I385" s="44" t="s">
        <v>40</v>
      </c>
      <c r="J385" s="44" t="s">
        <v>42</v>
      </c>
      <c r="K385" s="44" t="s">
        <v>135</v>
      </c>
      <c r="L385" s="40">
        <v>19447</v>
      </c>
      <c r="M385" s="41">
        <v>41851</v>
      </c>
      <c r="N385" s="40" t="s">
        <v>122</v>
      </c>
      <c r="O385" s="42">
        <v>42461</v>
      </c>
      <c r="P385" s="40">
        <v>54</v>
      </c>
      <c r="Q385" s="145">
        <v>77.58</v>
      </c>
      <c r="R385" s="145">
        <v>79.42</v>
      </c>
      <c r="S385" s="145">
        <v>78.72</v>
      </c>
      <c r="T385" s="145">
        <v>79.739999999999995</v>
      </c>
      <c r="U385" s="145">
        <v>84.11</v>
      </c>
    </row>
    <row r="386" spans="1:21" x14ac:dyDescent="0.2">
      <c r="A386" s="89">
        <f t="shared" si="5"/>
        <v>378</v>
      </c>
      <c r="B386" s="43">
        <v>11</v>
      </c>
      <c r="C386" s="43">
        <v>8</v>
      </c>
      <c r="D386" s="38" t="s">
        <v>1115</v>
      </c>
      <c r="E386" s="44" t="s">
        <v>144</v>
      </c>
      <c r="F386" s="44" t="s">
        <v>39</v>
      </c>
      <c r="G386" s="44" t="s">
        <v>120</v>
      </c>
      <c r="H386" s="44" t="s">
        <v>40</v>
      </c>
      <c r="I386" s="44" t="s">
        <v>40</v>
      </c>
      <c r="J386" s="44" t="s">
        <v>41</v>
      </c>
      <c r="K386" s="44" t="s">
        <v>132</v>
      </c>
      <c r="L386" s="40">
        <v>19446</v>
      </c>
      <c r="M386" s="41">
        <v>41851</v>
      </c>
      <c r="N386" s="40" t="s">
        <v>122</v>
      </c>
      <c r="O386" s="42">
        <v>42461</v>
      </c>
      <c r="P386" s="40">
        <v>54</v>
      </c>
      <c r="Q386" s="145">
        <v>79.099999999999994</v>
      </c>
      <c r="R386" s="145">
        <v>80.290000000000006</v>
      </c>
      <c r="S386" s="145">
        <v>79.83</v>
      </c>
      <c r="T386" s="145">
        <v>80.709999999999994</v>
      </c>
      <c r="U386" s="145">
        <v>85.09</v>
      </c>
    </row>
    <row r="387" spans="1:21" x14ac:dyDescent="0.2">
      <c r="A387" s="89">
        <f t="shared" si="5"/>
        <v>379</v>
      </c>
      <c r="B387" s="43">
        <v>11</v>
      </c>
      <c r="C387" s="43">
        <v>9</v>
      </c>
      <c r="D387" s="38" t="s">
        <v>1116</v>
      </c>
      <c r="E387" s="44" t="s">
        <v>146</v>
      </c>
      <c r="F387" s="44" t="s">
        <v>39</v>
      </c>
      <c r="G387" s="44" t="s">
        <v>120</v>
      </c>
      <c r="H387" s="44" t="s">
        <v>40</v>
      </c>
      <c r="I387" s="44" t="s">
        <v>40</v>
      </c>
      <c r="J387" s="44" t="s">
        <v>7</v>
      </c>
      <c r="K387" s="44" t="s">
        <v>129</v>
      </c>
      <c r="L387" s="40">
        <v>19448</v>
      </c>
      <c r="M387" s="41">
        <v>41851</v>
      </c>
      <c r="N387" s="40" t="s">
        <v>122</v>
      </c>
      <c r="O387" s="42">
        <v>42461</v>
      </c>
      <c r="P387" s="40">
        <v>54</v>
      </c>
      <c r="Q387" s="145">
        <v>76.52</v>
      </c>
      <c r="R387" s="145">
        <v>78.52</v>
      </c>
      <c r="S387" s="145">
        <v>77.78</v>
      </c>
      <c r="T387" s="145">
        <v>78.8</v>
      </c>
      <c r="U387" s="145">
        <v>83.12</v>
      </c>
    </row>
    <row r="388" spans="1:21" x14ac:dyDescent="0.2">
      <c r="A388" s="89">
        <f t="shared" si="5"/>
        <v>380</v>
      </c>
      <c r="B388" s="43">
        <v>11</v>
      </c>
      <c r="C388" s="43">
        <v>10</v>
      </c>
      <c r="D388" s="38" t="s">
        <v>1117</v>
      </c>
      <c r="E388" s="44" t="s">
        <v>148</v>
      </c>
      <c r="F388" s="44" t="s">
        <v>25</v>
      </c>
      <c r="G388" s="44" t="s">
        <v>120</v>
      </c>
      <c r="H388" s="44" t="s">
        <v>149</v>
      </c>
      <c r="I388" s="44" t="s">
        <v>26</v>
      </c>
      <c r="J388" s="44" t="s">
        <v>27</v>
      </c>
      <c r="K388" s="44" t="s">
        <v>150</v>
      </c>
      <c r="L388" s="40">
        <v>19449</v>
      </c>
      <c r="M388" s="41">
        <v>41851</v>
      </c>
      <c r="N388" s="40" t="s">
        <v>122</v>
      </c>
      <c r="O388" s="42">
        <v>42461</v>
      </c>
      <c r="P388" s="40">
        <v>54</v>
      </c>
      <c r="Q388" s="145">
        <v>61.14</v>
      </c>
      <c r="R388" s="145">
        <v>60.15</v>
      </c>
      <c r="S388" s="145">
        <v>61.6</v>
      </c>
      <c r="T388" s="145">
        <v>62.89</v>
      </c>
      <c r="U388" s="145">
        <v>65.45</v>
      </c>
    </row>
    <row r="389" spans="1:21" x14ac:dyDescent="0.2">
      <c r="A389" s="89">
        <f t="shared" si="5"/>
        <v>381</v>
      </c>
      <c r="B389" s="43">
        <v>11</v>
      </c>
      <c r="C389" s="43">
        <v>11</v>
      </c>
      <c r="D389" s="38" t="s">
        <v>1118</v>
      </c>
      <c r="E389" s="44" t="s">
        <v>152</v>
      </c>
      <c r="F389" s="44" t="s">
        <v>25</v>
      </c>
      <c r="G389" s="44" t="s">
        <v>120</v>
      </c>
      <c r="H389" s="44" t="s">
        <v>149</v>
      </c>
      <c r="I389" s="44" t="s">
        <v>26</v>
      </c>
      <c r="J389" s="44" t="s">
        <v>28</v>
      </c>
      <c r="K389" s="44" t="s">
        <v>153</v>
      </c>
      <c r="L389" s="40">
        <v>19450</v>
      </c>
      <c r="M389" s="41">
        <v>41851</v>
      </c>
      <c r="N389" s="40" t="s">
        <v>122</v>
      </c>
      <c r="O389" s="42">
        <v>42461</v>
      </c>
      <c r="P389" s="40">
        <v>54</v>
      </c>
      <c r="Q389" s="145">
        <v>60.29</v>
      </c>
      <c r="R389" s="145">
        <v>59.32</v>
      </c>
      <c r="S389" s="145">
        <v>60.76</v>
      </c>
      <c r="T389" s="145">
        <v>62.06</v>
      </c>
      <c r="U389" s="145">
        <v>64.62</v>
      </c>
    </row>
    <row r="390" spans="1:21" x14ac:dyDescent="0.2">
      <c r="A390" s="89">
        <f t="shared" si="5"/>
        <v>382</v>
      </c>
      <c r="B390" s="43">
        <v>11</v>
      </c>
      <c r="C390" s="43">
        <v>12</v>
      </c>
      <c r="D390" s="38" t="s">
        <v>1119</v>
      </c>
      <c r="E390" s="44" t="s">
        <v>155</v>
      </c>
      <c r="F390" s="44" t="s">
        <v>20</v>
      </c>
      <c r="G390" s="44" t="s">
        <v>120</v>
      </c>
      <c r="H390" s="44" t="s">
        <v>105</v>
      </c>
      <c r="I390" s="44" t="s">
        <v>156</v>
      </c>
      <c r="J390" s="44" t="s">
        <v>22</v>
      </c>
      <c r="K390" s="44" t="s">
        <v>157</v>
      </c>
      <c r="L390" s="40">
        <v>19451</v>
      </c>
      <c r="M390" s="41">
        <v>41851</v>
      </c>
      <c r="N390" s="40" t="s">
        <v>122</v>
      </c>
      <c r="O390" s="42">
        <v>42461</v>
      </c>
      <c r="P390" s="40">
        <v>54</v>
      </c>
      <c r="Q390" s="145">
        <v>60.09</v>
      </c>
      <c r="R390" s="145">
        <v>57.41</v>
      </c>
      <c r="S390" s="145">
        <v>59.16</v>
      </c>
      <c r="T390" s="145">
        <v>59.92</v>
      </c>
      <c r="U390" s="145">
        <v>62.42</v>
      </c>
    </row>
    <row r="391" spans="1:21" x14ac:dyDescent="0.2">
      <c r="A391" s="89">
        <f t="shared" si="5"/>
        <v>383</v>
      </c>
      <c r="B391" s="43">
        <v>11</v>
      </c>
      <c r="C391" s="43">
        <v>13</v>
      </c>
      <c r="D391" s="38" t="s">
        <v>1120</v>
      </c>
      <c r="E391" s="44" t="s">
        <v>159</v>
      </c>
      <c r="F391" s="44" t="s">
        <v>39</v>
      </c>
      <c r="G391" s="44" t="s">
        <v>120</v>
      </c>
      <c r="H391" s="44" t="s">
        <v>43</v>
      </c>
      <c r="I391" s="44" t="s">
        <v>43</v>
      </c>
      <c r="J391" s="44" t="s">
        <v>7</v>
      </c>
      <c r="K391" s="44" t="s">
        <v>140</v>
      </c>
      <c r="L391" s="40">
        <v>19452</v>
      </c>
      <c r="M391" s="41">
        <v>41851</v>
      </c>
      <c r="N391" s="40" t="s">
        <v>122</v>
      </c>
      <c r="O391" s="42">
        <v>42461</v>
      </c>
      <c r="P391" s="40">
        <v>54</v>
      </c>
      <c r="Q391" s="145">
        <v>80.92</v>
      </c>
      <c r="R391" s="145">
        <v>82.96</v>
      </c>
      <c r="S391" s="145">
        <v>82.17</v>
      </c>
      <c r="T391" s="145">
        <v>83.33</v>
      </c>
      <c r="U391" s="145">
        <v>88.43</v>
      </c>
    </row>
    <row r="392" spans="1:21" x14ac:dyDescent="0.2">
      <c r="A392" s="89">
        <f t="shared" si="5"/>
        <v>384</v>
      </c>
      <c r="B392" s="43">
        <v>11</v>
      </c>
      <c r="C392" s="43">
        <v>14</v>
      </c>
      <c r="D392" s="38" t="s">
        <v>1121</v>
      </c>
      <c r="E392" s="44" t="s">
        <v>161</v>
      </c>
      <c r="F392" s="44" t="s">
        <v>6</v>
      </c>
      <c r="G392" s="44" t="s">
        <v>120</v>
      </c>
      <c r="H392" s="44" t="s">
        <v>48</v>
      </c>
      <c r="I392" s="44" t="s">
        <v>48</v>
      </c>
      <c r="J392" s="44" t="s">
        <v>7</v>
      </c>
      <c r="K392" s="44" t="s">
        <v>140</v>
      </c>
      <c r="L392" s="40">
        <v>19453</v>
      </c>
      <c r="M392" s="41">
        <v>41851</v>
      </c>
      <c r="N392" s="40" t="s">
        <v>122</v>
      </c>
      <c r="O392" s="42">
        <v>42461</v>
      </c>
      <c r="P392" s="40">
        <v>54</v>
      </c>
      <c r="Q392" s="145">
        <v>67.069999999999993</v>
      </c>
      <c r="R392" s="145">
        <v>67.239999999999995</v>
      </c>
      <c r="S392" s="145">
        <v>68.209999999999994</v>
      </c>
      <c r="T392" s="145">
        <v>69.88</v>
      </c>
      <c r="U392" s="145">
        <v>72.36</v>
      </c>
    </row>
    <row r="393" spans="1:21" x14ac:dyDescent="0.2">
      <c r="A393" s="89">
        <f t="shared" si="5"/>
        <v>385</v>
      </c>
      <c r="B393" s="43">
        <v>11</v>
      </c>
      <c r="C393" s="43">
        <v>15</v>
      </c>
      <c r="D393" s="38" t="s">
        <v>1122</v>
      </c>
      <c r="E393" s="44" t="s">
        <v>163</v>
      </c>
      <c r="F393" s="44" t="s">
        <v>20</v>
      </c>
      <c r="G393" s="44" t="s">
        <v>120</v>
      </c>
      <c r="H393" s="44" t="s">
        <v>23</v>
      </c>
      <c r="I393" s="44" t="s">
        <v>164</v>
      </c>
      <c r="J393" s="44" t="s">
        <v>24</v>
      </c>
      <c r="K393" s="44" t="s">
        <v>140</v>
      </c>
      <c r="L393" s="40">
        <v>19454</v>
      </c>
      <c r="M393" s="41">
        <v>41851</v>
      </c>
      <c r="N393" s="40" t="s">
        <v>122</v>
      </c>
      <c r="O393" s="42">
        <v>42461</v>
      </c>
      <c r="P393" s="40">
        <v>54</v>
      </c>
      <c r="Q393" s="145">
        <v>55.42</v>
      </c>
      <c r="R393" s="145">
        <v>55.39</v>
      </c>
      <c r="S393" s="145">
        <v>56.36</v>
      </c>
      <c r="T393" s="145">
        <v>57.91</v>
      </c>
      <c r="U393" s="145">
        <v>60.31</v>
      </c>
    </row>
    <row r="394" spans="1:21" x14ac:dyDescent="0.2">
      <c r="A394" s="89">
        <f t="shared" si="5"/>
        <v>386</v>
      </c>
      <c r="B394" s="43">
        <v>11</v>
      </c>
      <c r="C394" s="43">
        <v>16</v>
      </c>
      <c r="D394" s="38" t="s">
        <v>1123</v>
      </c>
      <c r="E394" s="44" t="s">
        <v>166</v>
      </c>
      <c r="F394" s="44" t="s">
        <v>20</v>
      </c>
      <c r="G394" s="44" t="s">
        <v>120</v>
      </c>
      <c r="H394" s="44" t="s">
        <v>64</v>
      </c>
      <c r="I394" s="44" t="s">
        <v>167</v>
      </c>
      <c r="J394" s="44" t="s">
        <v>7</v>
      </c>
      <c r="K394" s="44" t="s">
        <v>140</v>
      </c>
      <c r="L394" s="40">
        <v>19455</v>
      </c>
      <c r="M394" s="41">
        <v>41851</v>
      </c>
      <c r="N394" s="40" t="s">
        <v>122</v>
      </c>
      <c r="O394" s="42">
        <v>42461</v>
      </c>
      <c r="P394" s="40">
        <v>54</v>
      </c>
      <c r="Q394" s="145">
        <v>70.95</v>
      </c>
      <c r="R394" s="145">
        <v>66.62</v>
      </c>
      <c r="S394" s="145">
        <v>66.709999999999994</v>
      </c>
      <c r="T394" s="145">
        <v>66.72</v>
      </c>
      <c r="U394" s="145">
        <v>72.94</v>
      </c>
    </row>
    <row r="395" spans="1:21" x14ac:dyDescent="0.2">
      <c r="A395" s="89">
        <f t="shared" ref="A395:A458" si="6">A394+1</f>
        <v>387</v>
      </c>
      <c r="B395" s="43">
        <v>11</v>
      </c>
      <c r="C395" s="43">
        <v>17</v>
      </c>
      <c r="D395" s="38" t="s">
        <v>1124</v>
      </c>
      <c r="E395" s="44" t="s">
        <v>169</v>
      </c>
      <c r="F395" s="44" t="s">
        <v>31</v>
      </c>
      <c r="G395" s="44" t="s">
        <v>120</v>
      </c>
      <c r="H395" s="44" t="s">
        <v>35</v>
      </c>
      <c r="I395" s="44" t="s">
        <v>35</v>
      </c>
      <c r="J395" s="44" t="s">
        <v>9</v>
      </c>
      <c r="K395" s="44" t="s">
        <v>135</v>
      </c>
      <c r="L395" s="40">
        <v>19456</v>
      </c>
      <c r="M395" s="41">
        <v>41851</v>
      </c>
      <c r="N395" s="40" t="s">
        <v>122</v>
      </c>
      <c r="O395" s="42">
        <v>42461</v>
      </c>
      <c r="P395" s="40">
        <v>54</v>
      </c>
      <c r="Q395" s="145">
        <v>86.83</v>
      </c>
      <c r="R395" s="145">
        <v>89.36</v>
      </c>
      <c r="S395" s="145">
        <v>88.78</v>
      </c>
      <c r="T395" s="145">
        <v>90.26</v>
      </c>
      <c r="U395" s="145">
        <v>96.1</v>
      </c>
    </row>
    <row r="396" spans="1:21" x14ac:dyDescent="0.2">
      <c r="A396" s="89">
        <f t="shared" si="6"/>
        <v>388</v>
      </c>
      <c r="B396" s="43">
        <v>11</v>
      </c>
      <c r="C396" s="43">
        <v>18</v>
      </c>
      <c r="D396" s="38" t="s">
        <v>1125</v>
      </c>
      <c r="E396" s="44" t="s">
        <v>171</v>
      </c>
      <c r="F396" s="44" t="s">
        <v>31</v>
      </c>
      <c r="G396" s="44" t="s">
        <v>120</v>
      </c>
      <c r="H396" s="44" t="s">
        <v>35</v>
      </c>
      <c r="I396" s="44" t="s">
        <v>35</v>
      </c>
      <c r="J396" s="44" t="s">
        <v>10</v>
      </c>
      <c r="K396" s="44" t="s">
        <v>132</v>
      </c>
      <c r="L396" s="40">
        <v>19457</v>
      </c>
      <c r="M396" s="41">
        <v>41851</v>
      </c>
      <c r="N396" s="40" t="s">
        <v>122</v>
      </c>
      <c r="O396" s="42">
        <v>42461</v>
      </c>
      <c r="P396" s="40">
        <v>54</v>
      </c>
      <c r="Q396" s="145">
        <v>89.92</v>
      </c>
      <c r="R396" s="145">
        <v>92.31</v>
      </c>
      <c r="S396" s="145">
        <v>91.79</v>
      </c>
      <c r="T396" s="145">
        <v>93.23</v>
      </c>
      <c r="U396" s="145">
        <v>99.02</v>
      </c>
    </row>
    <row r="397" spans="1:21" x14ac:dyDescent="0.2">
      <c r="A397" s="89">
        <f t="shared" si="6"/>
        <v>389</v>
      </c>
      <c r="B397" s="43">
        <v>11</v>
      </c>
      <c r="C397" s="43">
        <v>19</v>
      </c>
      <c r="D397" s="38" t="s">
        <v>1126</v>
      </c>
      <c r="E397" s="44" t="s">
        <v>173</v>
      </c>
      <c r="F397" s="44" t="s">
        <v>31</v>
      </c>
      <c r="G397" s="44" t="s">
        <v>120</v>
      </c>
      <c r="H397" s="44" t="s">
        <v>35</v>
      </c>
      <c r="I397" s="44" t="s">
        <v>35</v>
      </c>
      <c r="J397" s="44" t="s">
        <v>11</v>
      </c>
      <c r="K397" s="44" t="s">
        <v>129</v>
      </c>
      <c r="L397" s="40">
        <v>19458</v>
      </c>
      <c r="M397" s="41">
        <v>41851</v>
      </c>
      <c r="N397" s="40" t="s">
        <v>122</v>
      </c>
      <c r="O397" s="42">
        <v>42461</v>
      </c>
      <c r="P397" s="40">
        <v>54</v>
      </c>
      <c r="Q397" s="145">
        <v>88.48</v>
      </c>
      <c r="R397" s="145">
        <v>89.93</v>
      </c>
      <c r="S397" s="145">
        <v>89.68</v>
      </c>
      <c r="T397" s="145">
        <v>90.83</v>
      </c>
      <c r="U397" s="145">
        <v>96.58</v>
      </c>
    </row>
    <row r="398" spans="1:21" x14ac:dyDescent="0.2">
      <c r="A398" s="89">
        <f t="shared" si="6"/>
        <v>390</v>
      </c>
      <c r="B398" s="43">
        <v>11</v>
      </c>
      <c r="C398" s="43">
        <v>20</v>
      </c>
      <c r="D398" s="38" t="s">
        <v>1127</v>
      </c>
      <c r="E398" s="44" t="s">
        <v>175</v>
      </c>
      <c r="F398" s="44" t="s">
        <v>6</v>
      </c>
      <c r="G398" s="44" t="s">
        <v>120</v>
      </c>
      <c r="H398" s="44" t="s">
        <v>176</v>
      </c>
      <c r="I398" s="44" t="s">
        <v>177</v>
      </c>
      <c r="J398" s="44" t="s">
        <v>9</v>
      </c>
      <c r="K398" s="44" t="s">
        <v>135</v>
      </c>
      <c r="L398" s="40">
        <v>19460</v>
      </c>
      <c r="M398" s="41">
        <v>41851</v>
      </c>
      <c r="N398" s="40" t="s">
        <v>122</v>
      </c>
      <c r="O398" s="42">
        <v>42461</v>
      </c>
      <c r="P398" s="40">
        <v>54</v>
      </c>
      <c r="Q398" s="145">
        <v>69.48</v>
      </c>
      <c r="R398" s="145">
        <v>70.44</v>
      </c>
      <c r="S398" s="145">
        <v>69.92</v>
      </c>
      <c r="T398" s="145">
        <v>70.680000000000007</v>
      </c>
      <c r="U398" s="145">
        <v>75</v>
      </c>
    </row>
    <row r="399" spans="1:21" x14ac:dyDescent="0.2">
      <c r="A399" s="89">
        <f t="shared" si="6"/>
        <v>391</v>
      </c>
      <c r="B399" s="43">
        <v>11</v>
      </c>
      <c r="C399" s="43">
        <v>21</v>
      </c>
      <c r="D399" s="38" t="s">
        <v>1128</v>
      </c>
      <c r="E399" s="44" t="s">
        <v>179</v>
      </c>
      <c r="F399" s="44" t="s">
        <v>6</v>
      </c>
      <c r="G399" s="44" t="s">
        <v>120</v>
      </c>
      <c r="H399" s="44" t="s">
        <v>176</v>
      </c>
      <c r="I399" s="44" t="s">
        <v>177</v>
      </c>
      <c r="J399" s="44" t="s">
        <v>10</v>
      </c>
      <c r="K399" s="44" t="s">
        <v>132</v>
      </c>
      <c r="L399" s="40">
        <v>19459</v>
      </c>
      <c r="M399" s="41">
        <v>41851</v>
      </c>
      <c r="N399" s="40" t="s">
        <v>122</v>
      </c>
      <c r="O399" s="42">
        <v>42461</v>
      </c>
      <c r="P399" s="40">
        <v>54</v>
      </c>
      <c r="Q399" s="145">
        <v>70.900000000000006</v>
      </c>
      <c r="R399" s="145">
        <v>71.5</v>
      </c>
      <c r="S399" s="145">
        <v>71.14</v>
      </c>
      <c r="T399" s="145">
        <v>71.77</v>
      </c>
      <c r="U399" s="145">
        <v>76.11</v>
      </c>
    </row>
    <row r="400" spans="1:21" x14ac:dyDescent="0.2">
      <c r="A400" s="89">
        <f t="shared" si="6"/>
        <v>392</v>
      </c>
      <c r="B400" s="43">
        <v>11</v>
      </c>
      <c r="C400" s="43">
        <v>22</v>
      </c>
      <c r="D400" s="38" t="s">
        <v>1129</v>
      </c>
      <c r="E400" s="44" t="s">
        <v>181</v>
      </c>
      <c r="F400" s="44" t="s">
        <v>6</v>
      </c>
      <c r="G400" s="44" t="s">
        <v>120</v>
      </c>
      <c r="H400" s="44" t="s">
        <v>176</v>
      </c>
      <c r="I400" s="44" t="s">
        <v>177</v>
      </c>
      <c r="J400" s="44" t="s">
        <v>11</v>
      </c>
      <c r="K400" s="44" t="s">
        <v>129</v>
      </c>
      <c r="L400" s="40">
        <v>19461</v>
      </c>
      <c r="M400" s="41">
        <v>41851</v>
      </c>
      <c r="N400" s="40" t="s">
        <v>122</v>
      </c>
      <c r="O400" s="42">
        <v>42461</v>
      </c>
      <c r="P400" s="40">
        <v>54</v>
      </c>
      <c r="Q400" s="145">
        <v>70.290000000000006</v>
      </c>
      <c r="R400" s="145">
        <v>70.48</v>
      </c>
      <c r="S400" s="145">
        <v>70.23</v>
      </c>
      <c r="T400" s="145">
        <v>70.790000000000006</v>
      </c>
      <c r="U400" s="145">
        <v>75.099999999999994</v>
      </c>
    </row>
    <row r="401" spans="1:21" x14ac:dyDescent="0.2">
      <c r="A401" s="89">
        <f t="shared" si="6"/>
        <v>393</v>
      </c>
      <c r="B401" s="43">
        <v>11</v>
      </c>
      <c r="C401" s="43">
        <v>23</v>
      </c>
      <c r="D401" s="38" t="s">
        <v>1130</v>
      </c>
      <c r="E401" s="44" t="s">
        <v>183</v>
      </c>
      <c r="F401" s="44" t="s">
        <v>6</v>
      </c>
      <c r="G401" s="44" t="s">
        <v>120</v>
      </c>
      <c r="H401" s="44" t="s">
        <v>13</v>
      </c>
      <c r="I401" s="44" t="s">
        <v>13</v>
      </c>
      <c r="J401" s="44" t="s">
        <v>7</v>
      </c>
      <c r="K401" s="44" t="s">
        <v>140</v>
      </c>
      <c r="L401" s="40">
        <v>19462</v>
      </c>
      <c r="M401" s="41">
        <v>41851</v>
      </c>
      <c r="N401" s="40" t="s">
        <v>122</v>
      </c>
      <c r="O401" s="42">
        <v>42461</v>
      </c>
      <c r="P401" s="40">
        <v>54</v>
      </c>
      <c r="Q401" s="145">
        <v>72.58</v>
      </c>
      <c r="R401" s="145">
        <v>74.75</v>
      </c>
      <c r="S401" s="145">
        <v>73.92</v>
      </c>
      <c r="T401" s="145">
        <v>75.14</v>
      </c>
      <c r="U401" s="145">
        <v>80.39</v>
      </c>
    </row>
    <row r="402" spans="1:21" x14ac:dyDescent="0.2">
      <c r="A402" s="89">
        <f t="shared" si="6"/>
        <v>394</v>
      </c>
      <c r="B402" s="43">
        <v>11</v>
      </c>
      <c r="C402" s="43">
        <v>24</v>
      </c>
      <c r="D402" s="38" t="s">
        <v>1131</v>
      </c>
      <c r="E402" s="44" t="s">
        <v>185</v>
      </c>
      <c r="F402" s="44" t="s">
        <v>6</v>
      </c>
      <c r="G402" s="44" t="s">
        <v>120</v>
      </c>
      <c r="H402" s="44" t="s">
        <v>12</v>
      </c>
      <c r="I402" s="44" t="s">
        <v>186</v>
      </c>
      <c r="J402" s="44" t="s">
        <v>9</v>
      </c>
      <c r="K402" s="44" t="s">
        <v>135</v>
      </c>
      <c r="L402" s="40">
        <v>19463</v>
      </c>
      <c r="M402" s="41">
        <v>41851</v>
      </c>
      <c r="N402" s="40" t="s">
        <v>122</v>
      </c>
      <c r="O402" s="42">
        <v>42461</v>
      </c>
      <c r="P402" s="40">
        <v>54</v>
      </c>
      <c r="Q402" s="145">
        <v>69.78</v>
      </c>
      <c r="R402" s="145">
        <v>70.23</v>
      </c>
      <c r="S402" s="145">
        <v>69.88</v>
      </c>
      <c r="T402" s="145">
        <v>70.36</v>
      </c>
      <c r="U402" s="145">
        <v>74.760000000000005</v>
      </c>
    </row>
    <row r="403" spans="1:21" x14ac:dyDescent="0.2">
      <c r="A403" s="89">
        <f t="shared" si="6"/>
        <v>395</v>
      </c>
      <c r="B403" s="43">
        <v>11</v>
      </c>
      <c r="C403" s="43">
        <v>25</v>
      </c>
      <c r="D403" s="38" t="s">
        <v>1132</v>
      </c>
      <c r="E403" s="44" t="s">
        <v>188</v>
      </c>
      <c r="F403" s="44" t="s">
        <v>6</v>
      </c>
      <c r="G403" s="44" t="s">
        <v>120</v>
      </c>
      <c r="H403" s="44" t="s">
        <v>12</v>
      </c>
      <c r="I403" s="44" t="s">
        <v>186</v>
      </c>
      <c r="J403" s="44" t="s">
        <v>10</v>
      </c>
      <c r="K403" s="44" t="s">
        <v>132</v>
      </c>
      <c r="L403" s="40">
        <v>19464</v>
      </c>
      <c r="M403" s="41">
        <v>41851</v>
      </c>
      <c r="N403" s="40" t="s">
        <v>122</v>
      </c>
      <c r="O403" s="42">
        <v>42461</v>
      </c>
      <c r="P403" s="40">
        <v>54</v>
      </c>
      <c r="Q403" s="145">
        <v>71.48</v>
      </c>
      <c r="R403" s="145">
        <v>71.41</v>
      </c>
      <c r="S403" s="145">
        <v>71.25</v>
      </c>
      <c r="T403" s="145">
        <v>71.55</v>
      </c>
      <c r="U403" s="145">
        <v>75.959999999999994</v>
      </c>
    </row>
    <row r="404" spans="1:21" x14ac:dyDescent="0.2">
      <c r="A404" s="89">
        <f t="shared" si="6"/>
        <v>396</v>
      </c>
      <c r="B404" s="43">
        <v>11</v>
      </c>
      <c r="C404" s="43">
        <v>26</v>
      </c>
      <c r="D404" s="38" t="s">
        <v>1133</v>
      </c>
      <c r="E404" s="44" t="s">
        <v>190</v>
      </c>
      <c r="F404" s="44" t="s">
        <v>6</v>
      </c>
      <c r="G404" s="44" t="s">
        <v>120</v>
      </c>
      <c r="H404" s="44" t="s">
        <v>12</v>
      </c>
      <c r="I404" s="44" t="s">
        <v>186</v>
      </c>
      <c r="J404" s="44" t="s">
        <v>11</v>
      </c>
      <c r="K404" s="44" t="s">
        <v>129</v>
      </c>
      <c r="L404" s="40">
        <v>19465</v>
      </c>
      <c r="M404" s="41">
        <v>41851</v>
      </c>
      <c r="N404" s="40" t="s">
        <v>122</v>
      </c>
      <c r="O404" s="42">
        <v>42461</v>
      </c>
      <c r="P404" s="40">
        <v>54</v>
      </c>
      <c r="Q404" s="145">
        <v>74.06</v>
      </c>
      <c r="R404" s="145">
        <v>70.88</v>
      </c>
      <c r="S404" s="145">
        <v>71.53</v>
      </c>
      <c r="T404" s="145">
        <v>71.09</v>
      </c>
      <c r="U404" s="145">
        <v>75.48</v>
      </c>
    </row>
    <row r="405" spans="1:21" x14ac:dyDescent="0.2">
      <c r="A405" s="89">
        <f t="shared" si="6"/>
        <v>397</v>
      </c>
      <c r="B405" s="43">
        <v>11</v>
      </c>
      <c r="C405" s="43">
        <v>27</v>
      </c>
      <c r="D405" s="38" t="s">
        <v>1134</v>
      </c>
      <c r="E405" s="44" t="s">
        <v>192</v>
      </c>
      <c r="F405" s="44" t="s">
        <v>6</v>
      </c>
      <c r="G405" s="44" t="s">
        <v>120</v>
      </c>
      <c r="H405" s="44" t="s">
        <v>100</v>
      </c>
      <c r="I405" s="44" t="s">
        <v>193</v>
      </c>
      <c r="J405" s="44" t="s">
        <v>7</v>
      </c>
      <c r="K405" s="44" t="s">
        <v>140</v>
      </c>
      <c r="L405" s="40">
        <v>19466</v>
      </c>
      <c r="M405" s="41">
        <v>41851</v>
      </c>
      <c r="N405" s="40" t="s">
        <v>122</v>
      </c>
      <c r="O405" s="42">
        <v>42461</v>
      </c>
      <c r="P405" s="40">
        <v>54</v>
      </c>
      <c r="Q405" s="145">
        <v>78.540000000000006</v>
      </c>
      <c r="R405" s="145">
        <v>72.14</v>
      </c>
      <c r="S405" s="145">
        <v>72.930000000000007</v>
      </c>
      <c r="T405" s="145">
        <v>72.17</v>
      </c>
      <c r="U405" s="145">
        <v>78.28</v>
      </c>
    </row>
    <row r="406" spans="1:21" x14ac:dyDescent="0.2">
      <c r="A406" s="89">
        <f t="shared" si="6"/>
        <v>398</v>
      </c>
      <c r="B406" s="43">
        <v>11</v>
      </c>
      <c r="C406" s="43">
        <v>28</v>
      </c>
      <c r="D406" s="38" t="s">
        <v>1135</v>
      </c>
      <c r="E406" s="44" t="s">
        <v>195</v>
      </c>
      <c r="F406" s="44" t="s">
        <v>39</v>
      </c>
      <c r="G406" s="44" t="s">
        <v>120</v>
      </c>
      <c r="H406" s="44" t="s">
        <v>44</v>
      </c>
      <c r="I406" s="44" t="s">
        <v>44</v>
      </c>
      <c r="J406" s="44" t="s">
        <v>7</v>
      </c>
      <c r="K406" s="44" t="s">
        <v>140</v>
      </c>
      <c r="L406" s="40">
        <v>19467</v>
      </c>
      <c r="M406" s="41">
        <v>41851</v>
      </c>
      <c r="N406" s="40" t="s">
        <v>122</v>
      </c>
      <c r="O406" s="42">
        <v>42461</v>
      </c>
      <c r="P406" s="40">
        <v>54</v>
      </c>
      <c r="Q406" s="145">
        <v>79.349999999999994</v>
      </c>
      <c r="R406" s="145">
        <v>79.33</v>
      </c>
      <c r="S406" s="145">
        <v>79.39</v>
      </c>
      <c r="T406" s="145">
        <v>79.89</v>
      </c>
      <c r="U406" s="145">
        <v>84.73</v>
      </c>
    </row>
    <row r="407" spans="1:21" x14ac:dyDescent="0.2">
      <c r="A407" s="89">
        <f t="shared" si="6"/>
        <v>399</v>
      </c>
      <c r="B407" s="43">
        <v>11</v>
      </c>
      <c r="C407" s="43">
        <v>29</v>
      </c>
      <c r="D407" s="38" t="s">
        <v>1136</v>
      </c>
      <c r="E407" s="44" t="s">
        <v>197</v>
      </c>
      <c r="F407" s="44" t="s">
        <v>39</v>
      </c>
      <c r="G407" s="44" t="s">
        <v>120</v>
      </c>
      <c r="H407" s="44" t="s">
        <v>44</v>
      </c>
      <c r="I407" s="44" t="s">
        <v>44</v>
      </c>
      <c r="J407" s="44" t="s">
        <v>45</v>
      </c>
      <c r="K407" s="44" t="s">
        <v>198</v>
      </c>
      <c r="L407" s="40">
        <v>19468</v>
      </c>
      <c r="M407" s="41">
        <v>41851</v>
      </c>
      <c r="N407" s="40" t="s">
        <v>122</v>
      </c>
      <c r="O407" s="42">
        <v>42461</v>
      </c>
      <c r="P407" s="40">
        <v>54</v>
      </c>
      <c r="Q407" s="145">
        <v>75.459999999999994</v>
      </c>
      <c r="R407" s="145">
        <v>77.25</v>
      </c>
      <c r="S407" s="145">
        <v>76.66</v>
      </c>
      <c r="T407" s="145">
        <v>77.760000000000005</v>
      </c>
      <c r="U407" s="145">
        <v>82.56</v>
      </c>
    </row>
    <row r="408" spans="1:21" x14ac:dyDescent="0.2">
      <c r="A408" s="89">
        <f t="shared" si="6"/>
        <v>400</v>
      </c>
      <c r="B408" s="43">
        <v>11</v>
      </c>
      <c r="C408" s="43">
        <v>30</v>
      </c>
      <c r="D408" s="38" t="s">
        <v>1137</v>
      </c>
      <c r="E408" s="44" t="s">
        <v>200</v>
      </c>
      <c r="F408" s="44" t="s">
        <v>39</v>
      </c>
      <c r="G408" s="44" t="s">
        <v>120</v>
      </c>
      <c r="H408" s="44" t="s">
        <v>44</v>
      </c>
      <c r="I408" s="44" t="s">
        <v>44</v>
      </c>
      <c r="J408" s="44" t="s">
        <v>46</v>
      </c>
      <c r="K408" s="44" t="s">
        <v>46</v>
      </c>
      <c r="L408" s="40">
        <v>19469</v>
      </c>
      <c r="M408" s="41">
        <v>41851</v>
      </c>
      <c r="N408" s="40" t="s">
        <v>122</v>
      </c>
      <c r="O408" s="42">
        <v>42461</v>
      </c>
      <c r="P408" s="40">
        <v>54</v>
      </c>
      <c r="Q408" s="145">
        <v>75.98</v>
      </c>
      <c r="R408" s="145">
        <v>76.53</v>
      </c>
      <c r="S408" s="145">
        <v>76.3</v>
      </c>
      <c r="T408" s="145">
        <v>77.180000000000007</v>
      </c>
      <c r="U408" s="145">
        <v>81.96</v>
      </c>
    </row>
    <row r="409" spans="1:21" x14ac:dyDescent="0.2">
      <c r="A409" s="89">
        <f t="shared" si="6"/>
        <v>401</v>
      </c>
      <c r="B409" s="43">
        <v>11</v>
      </c>
      <c r="C409" s="43">
        <v>31</v>
      </c>
      <c r="D409" s="38" t="s">
        <v>1138</v>
      </c>
      <c r="E409" s="44" t="s">
        <v>202</v>
      </c>
      <c r="F409" s="44" t="s">
        <v>39</v>
      </c>
      <c r="G409" s="44" t="s">
        <v>120</v>
      </c>
      <c r="H409" s="44" t="s">
        <v>47</v>
      </c>
      <c r="I409" s="44" t="s">
        <v>47</v>
      </c>
      <c r="J409" s="44" t="s">
        <v>7</v>
      </c>
      <c r="K409" s="44" t="s">
        <v>140</v>
      </c>
      <c r="L409" s="40">
        <v>19470</v>
      </c>
      <c r="M409" s="41">
        <v>41851</v>
      </c>
      <c r="N409" s="40" t="s">
        <v>122</v>
      </c>
      <c r="O409" s="42">
        <v>42461</v>
      </c>
      <c r="P409" s="40">
        <v>54</v>
      </c>
      <c r="Q409" s="145">
        <v>66.650000000000006</v>
      </c>
      <c r="R409" s="145">
        <v>66.97</v>
      </c>
      <c r="S409" s="145">
        <v>67.900000000000006</v>
      </c>
      <c r="T409" s="145">
        <v>69.84</v>
      </c>
      <c r="U409" s="145">
        <v>72.77</v>
      </c>
    </row>
    <row r="410" spans="1:21" x14ac:dyDescent="0.2">
      <c r="A410" s="89">
        <f t="shared" si="6"/>
        <v>402</v>
      </c>
      <c r="B410" s="43">
        <v>11</v>
      </c>
      <c r="C410" s="43">
        <v>32</v>
      </c>
      <c r="D410" s="38" t="s">
        <v>1139</v>
      </c>
      <c r="E410" s="44" t="s">
        <v>204</v>
      </c>
      <c r="F410" s="44" t="s">
        <v>6</v>
      </c>
      <c r="G410" s="44" t="s">
        <v>120</v>
      </c>
      <c r="H410" s="44" t="s">
        <v>14</v>
      </c>
      <c r="I410" s="44" t="s">
        <v>14</v>
      </c>
      <c r="J410" s="44" t="s">
        <v>15</v>
      </c>
      <c r="K410" s="44" t="s">
        <v>129</v>
      </c>
      <c r="L410" s="40">
        <v>19471</v>
      </c>
      <c r="M410" s="41">
        <v>41851</v>
      </c>
      <c r="N410" s="40" t="s">
        <v>122</v>
      </c>
      <c r="O410" s="42">
        <v>42461</v>
      </c>
      <c r="P410" s="40">
        <v>54</v>
      </c>
      <c r="Q410" s="145">
        <v>76.38</v>
      </c>
      <c r="R410" s="145">
        <v>77.099999999999994</v>
      </c>
      <c r="S410" s="145">
        <v>76.61</v>
      </c>
      <c r="T410" s="145">
        <v>77.2</v>
      </c>
      <c r="U410" s="145">
        <v>81.430000000000007</v>
      </c>
    </row>
    <row r="411" spans="1:21" x14ac:dyDescent="0.2">
      <c r="A411" s="89">
        <f t="shared" si="6"/>
        <v>403</v>
      </c>
      <c r="B411" s="43">
        <v>11</v>
      </c>
      <c r="C411" s="43">
        <v>33</v>
      </c>
      <c r="D411" s="38" t="s">
        <v>1140</v>
      </c>
      <c r="E411" s="44" t="s">
        <v>206</v>
      </c>
      <c r="F411" s="44" t="s">
        <v>6</v>
      </c>
      <c r="G411" s="44" t="s">
        <v>120</v>
      </c>
      <c r="H411" s="44" t="s">
        <v>14</v>
      </c>
      <c r="I411" s="44" t="s">
        <v>14</v>
      </c>
      <c r="J411" s="44" t="s">
        <v>16</v>
      </c>
      <c r="K411" s="44" t="s">
        <v>135</v>
      </c>
      <c r="L411" s="40">
        <v>19472</v>
      </c>
      <c r="M411" s="41">
        <v>41851</v>
      </c>
      <c r="N411" s="40" t="s">
        <v>122</v>
      </c>
      <c r="O411" s="42">
        <v>42461</v>
      </c>
      <c r="P411" s="40">
        <v>54</v>
      </c>
      <c r="Q411" s="145">
        <v>76.849999999999994</v>
      </c>
      <c r="R411" s="145">
        <v>78.39</v>
      </c>
      <c r="S411" s="145">
        <v>77.67</v>
      </c>
      <c r="T411" s="145">
        <v>78.510000000000005</v>
      </c>
      <c r="U411" s="145">
        <v>82.81</v>
      </c>
    </row>
    <row r="412" spans="1:21" x14ac:dyDescent="0.2">
      <c r="A412" s="89">
        <f t="shared" si="6"/>
        <v>404</v>
      </c>
      <c r="B412" s="43">
        <v>11</v>
      </c>
      <c r="C412" s="43">
        <v>34</v>
      </c>
      <c r="D412" s="38" t="s">
        <v>1141</v>
      </c>
      <c r="E412" s="44" t="s">
        <v>208</v>
      </c>
      <c r="F412" s="44" t="s">
        <v>31</v>
      </c>
      <c r="G412" s="44" t="s">
        <v>120</v>
      </c>
      <c r="H412" s="44" t="s">
        <v>36</v>
      </c>
      <c r="I412" s="44" t="s">
        <v>36</v>
      </c>
      <c r="J412" s="44" t="s">
        <v>37</v>
      </c>
      <c r="K412" s="44" t="s">
        <v>209</v>
      </c>
      <c r="L412" s="40">
        <v>19473</v>
      </c>
      <c r="M412" s="41">
        <v>41851</v>
      </c>
      <c r="N412" s="40" t="s">
        <v>122</v>
      </c>
      <c r="O412" s="42">
        <v>42461</v>
      </c>
      <c r="P412" s="40">
        <v>54</v>
      </c>
      <c r="Q412" s="145">
        <v>98.65</v>
      </c>
      <c r="R412" s="145">
        <v>102.44</v>
      </c>
      <c r="S412" s="145">
        <v>101.99</v>
      </c>
      <c r="T412" s="145">
        <v>103.68</v>
      </c>
      <c r="U412" s="145">
        <v>107.29</v>
      </c>
    </row>
    <row r="413" spans="1:21" x14ac:dyDescent="0.2">
      <c r="A413" s="89">
        <f t="shared" si="6"/>
        <v>405</v>
      </c>
      <c r="B413" s="43">
        <v>11</v>
      </c>
      <c r="C413" s="43">
        <v>35</v>
      </c>
      <c r="D413" s="38" t="s">
        <v>1142</v>
      </c>
      <c r="E413" s="44" t="s">
        <v>211</v>
      </c>
      <c r="F413" s="44" t="s">
        <v>31</v>
      </c>
      <c r="G413" s="44" t="s">
        <v>120</v>
      </c>
      <c r="H413" s="44" t="s">
        <v>36</v>
      </c>
      <c r="I413" s="44" t="s">
        <v>36</v>
      </c>
      <c r="J413" s="44" t="s">
        <v>38</v>
      </c>
      <c r="K413" s="44" t="s">
        <v>212</v>
      </c>
      <c r="L413" s="40">
        <v>19474</v>
      </c>
      <c r="M413" s="41">
        <v>41851</v>
      </c>
      <c r="N413" s="40" t="s">
        <v>122</v>
      </c>
      <c r="O413" s="42">
        <v>42461</v>
      </c>
      <c r="P413" s="40">
        <v>54</v>
      </c>
      <c r="Q413" s="145">
        <v>96.47</v>
      </c>
      <c r="R413" s="145">
        <v>100.84</v>
      </c>
      <c r="S413" s="145">
        <v>100.08</v>
      </c>
      <c r="T413" s="145">
        <v>101.98</v>
      </c>
      <c r="U413" s="145">
        <v>105.55</v>
      </c>
    </row>
    <row r="414" spans="1:21" x14ac:dyDescent="0.2">
      <c r="A414" s="89">
        <f t="shared" si="6"/>
        <v>406</v>
      </c>
      <c r="B414" s="43">
        <v>11</v>
      </c>
      <c r="C414" s="43">
        <v>36</v>
      </c>
      <c r="D414" s="38" t="s">
        <v>1143</v>
      </c>
      <c r="E414" s="44" t="s">
        <v>214</v>
      </c>
      <c r="F414" s="44" t="s">
        <v>6</v>
      </c>
      <c r="G414" s="44" t="s">
        <v>120</v>
      </c>
      <c r="H414" s="44" t="s">
        <v>17</v>
      </c>
      <c r="I414" s="44" t="s">
        <v>215</v>
      </c>
      <c r="J414" s="44" t="s">
        <v>18</v>
      </c>
      <c r="K414" s="44" t="s">
        <v>140</v>
      </c>
      <c r="L414" s="40">
        <v>19475</v>
      </c>
      <c r="M414" s="41">
        <v>41851</v>
      </c>
      <c r="N414" s="40" t="s">
        <v>122</v>
      </c>
      <c r="O414" s="42">
        <v>42461</v>
      </c>
      <c r="P414" s="40">
        <v>54</v>
      </c>
      <c r="Q414" s="145">
        <v>63.14</v>
      </c>
      <c r="R414" s="145">
        <v>62.41</v>
      </c>
      <c r="S414" s="145">
        <v>63.61</v>
      </c>
      <c r="T414" s="145">
        <v>64.959999999999994</v>
      </c>
      <c r="U414" s="145">
        <v>67.52</v>
      </c>
    </row>
    <row r="415" spans="1:21" x14ac:dyDescent="0.2">
      <c r="A415" s="89">
        <f t="shared" si="6"/>
        <v>407</v>
      </c>
      <c r="B415" s="20"/>
      <c r="C415" s="20"/>
      <c r="D415" s="20"/>
    </row>
    <row r="416" spans="1:21" x14ac:dyDescent="0.2">
      <c r="A416" s="89">
        <f t="shared" si="6"/>
        <v>408</v>
      </c>
      <c r="B416" s="43">
        <v>12</v>
      </c>
      <c r="C416" s="43">
        <v>1</v>
      </c>
      <c r="D416" s="38" t="s">
        <v>1144</v>
      </c>
      <c r="E416" s="44" t="s">
        <v>119</v>
      </c>
      <c r="F416" s="44" t="s">
        <v>31</v>
      </c>
      <c r="G416" s="44" t="s">
        <v>120</v>
      </c>
      <c r="H416" s="44" t="s">
        <v>32</v>
      </c>
      <c r="I416" s="44" t="s">
        <v>32</v>
      </c>
      <c r="J416" s="44" t="s">
        <v>33</v>
      </c>
      <c r="K416" s="44" t="s">
        <v>121</v>
      </c>
      <c r="L416" s="40">
        <v>19440</v>
      </c>
      <c r="M416" s="41">
        <v>41851</v>
      </c>
      <c r="N416" s="40" t="s">
        <v>122</v>
      </c>
      <c r="O416" s="42">
        <v>42491</v>
      </c>
      <c r="P416" s="40">
        <v>55</v>
      </c>
      <c r="Q416" s="145">
        <v>86.84</v>
      </c>
      <c r="R416" s="145">
        <v>91.84</v>
      </c>
      <c r="S416" s="145">
        <v>90.53</v>
      </c>
      <c r="T416" s="145">
        <v>92.69</v>
      </c>
      <c r="U416" s="145">
        <v>98.22</v>
      </c>
    </row>
    <row r="417" spans="1:21" x14ac:dyDescent="0.2">
      <c r="A417" s="89">
        <f t="shared" si="6"/>
        <v>409</v>
      </c>
      <c r="B417" s="43">
        <v>12</v>
      </c>
      <c r="C417" s="43">
        <v>2</v>
      </c>
      <c r="D417" s="38" t="s">
        <v>1145</v>
      </c>
      <c r="E417" s="44" t="s">
        <v>124</v>
      </c>
      <c r="F417" s="44" t="s">
        <v>31</v>
      </c>
      <c r="G417" s="44" t="s">
        <v>120</v>
      </c>
      <c r="H417" s="44" t="s">
        <v>32</v>
      </c>
      <c r="I417" s="44" t="s">
        <v>32</v>
      </c>
      <c r="J417" s="44" t="s">
        <v>34</v>
      </c>
      <c r="K417" s="44" t="s">
        <v>125</v>
      </c>
      <c r="L417" s="40">
        <v>19441</v>
      </c>
      <c r="M417" s="41">
        <v>41851</v>
      </c>
      <c r="N417" s="40" t="s">
        <v>122</v>
      </c>
      <c r="O417" s="42">
        <v>42491</v>
      </c>
      <c r="P417" s="40">
        <v>55</v>
      </c>
      <c r="Q417" s="145">
        <v>86.79</v>
      </c>
      <c r="R417" s="145">
        <v>91.15</v>
      </c>
      <c r="S417" s="145">
        <v>90.06</v>
      </c>
      <c r="T417" s="145">
        <v>91.61</v>
      </c>
      <c r="U417" s="145">
        <v>95.7</v>
      </c>
    </row>
    <row r="418" spans="1:21" x14ac:dyDescent="0.2">
      <c r="A418" s="89">
        <f t="shared" si="6"/>
        <v>410</v>
      </c>
      <c r="B418" s="43">
        <v>12</v>
      </c>
      <c r="C418" s="43">
        <v>3</v>
      </c>
      <c r="D418" s="38" t="s">
        <v>1146</v>
      </c>
      <c r="E418" s="44" t="s">
        <v>127</v>
      </c>
      <c r="F418" s="44" t="s">
        <v>20</v>
      </c>
      <c r="G418" s="44" t="s">
        <v>120</v>
      </c>
      <c r="H418" s="44" t="s">
        <v>63</v>
      </c>
      <c r="I418" s="44" t="s">
        <v>128</v>
      </c>
      <c r="J418" s="44" t="s">
        <v>15</v>
      </c>
      <c r="K418" s="44" t="s">
        <v>129</v>
      </c>
      <c r="L418" s="40">
        <v>19442</v>
      </c>
      <c r="M418" s="41">
        <v>41851</v>
      </c>
      <c r="N418" s="40" t="s">
        <v>122</v>
      </c>
      <c r="O418" s="42">
        <v>42491</v>
      </c>
      <c r="P418" s="40">
        <v>55</v>
      </c>
      <c r="Q418" s="145">
        <v>63.1</v>
      </c>
      <c r="R418" s="145">
        <v>64.760000000000005</v>
      </c>
      <c r="S418" s="145">
        <v>64.37</v>
      </c>
      <c r="T418" s="145">
        <v>65.31</v>
      </c>
      <c r="U418" s="145">
        <v>66.42</v>
      </c>
    </row>
    <row r="419" spans="1:21" x14ac:dyDescent="0.2">
      <c r="A419" s="89">
        <f t="shared" si="6"/>
        <v>411</v>
      </c>
      <c r="B419" s="43">
        <v>12</v>
      </c>
      <c r="C419" s="43">
        <v>4</v>
      </c>
      <c r="D419" s="38" t="s">
        <v>1147</v>
      </c>
      <c r="E419" s="44" t="s">
        <v>131</v>
      </c>
      <c r="F419" s="44" t="s">
        <v>20</v>
      </c>
      <c r="G419" s="44" t="s">
        <v>120</v>
      </c>
      <c r="H419" s="44" t="s">
        <v>63</v>
      </c>
      <c r="I419" s="44" t="s">
        <v>128</v>
      </c>
      <c r="J419" s="44" t="s">
        <v>21</v>
      </c>
      <c r="K419" s="44" t="s">
        <v>132</v>
      </c>
      <c r="L419" s="40">
        <v>19443</v>
      </c>
      <c r="M419" s="41">
        <v>41851</v>
      </c>
      <c r="N419" s="40" t="s">
        <v>122</v>
      </c>
      <c r="O419" s="42">
        <v>42491</v>
      </c>
      <c r="P419" s="40">
        <v>55</v>
      </c>
      <c r="Q419" s="145">
        <v>65.260000000000005</v>
      </c>
      <c r="R419" s="145">
        <v>66.69</v>
      </c>
      <c r="S419" s="145">
        <v>66.41</v>
      </c>
      <c r="T419" s="145">
        <v>67.209999999999994</v>
      </c>
      <c r="U419" s="145">
        <v>68.37</v>
      </c>
    </row>
    <row r="420" spans="1:21" x14ac:dyDescent="0.2">
      <c r="A420" s="89">
        <f t="shared" si="6"/>
        <v>412</v>
      </c>
      <c r="B420" s="43">
        <v>12</v>
      </c>
      <c r="C420" s="43">
        <v>5</v>
      </c>
      <c r="D420" s="38" t="s">
        <v>1148</v>
      </c>
      <c r="E420" s="44" t="s">
        <v>134</v>
      </c>
      <c r="F420" s="44" t="s">
        <v>20</v>
      </c>
      <c r="G420" s="44" t="s">
        <v>120</v>
      </c>
      <c r="H420" s="44" t="s">
        <v>63</v>
      </c>
      <c r="I420" s="44" t="s">
        <v>128</v>
      </c>
      <c r="J420" s="44" t="s">
        <v>16</v>
      </c>
      <c r="K420" s="44" t="s">
        <v>135</v>
      </c>
      <c r="L420" s="40">
        <v>19444</v>
      </c>
      <c r="M420" s="41">
        <v>41851</v>
      </c>
      <c r="N420" s="40" t="s">
        <v>122</v>
      </c>
      <c r="O420" s="42">
        <v>42491</v>
      </c>
      <c r="P420" s="40">
        <v>55</v>
      </c>
      <c r="Q420" s="145">
        <v>63.38</v>
      </c>
      <c r="R420" s="145">
        <v>65.63</v>
      </c>
      <c r="S420" s="145">
        <v>65.03</v>
      </c>
      <c r="T420" s="145">
        <v>66.14</v>
      </c>
      <c r="U420" s="145">
        <v>67.28</v>
      </c>
    </row>
    <row r="421" spans="1:21" x14ac:dyDescent="0.2">
      <c r="A421" s="89">
        <f t="shared" si="6"/>
        <v>413</v>
      </c>
      <c r="B421" s="43">
        <v>12</v>
      </c>
      <c r="C421" s="43">
        <v>6</v>
      </c>
      <c r="D421" s="38" t="s">
        <v>1149</v>
      </c>
      <c r="E421" s="44" t="s">
        <v>137</v>
      </c>
      <c r="F421" s="44" t="s">
        <v>25</v>
      </c>
      <c r="G421" s="44" t="s">
        <v>138</v>
      </c>
      <c r="H421" s="44" t="s">
        <v>139</v>
      </c>
      <c r="I421" s="44" t="s">
        <v>29</v>
      </c>
      <c r="J421" s="44" t="s">
        <v>30</v>
      </c>
      <c r="K421" s="44" t="s">
        <v>140</v>
      </c>
      <c r="L421" s="40">
        <v>19445</v>
      </c>
      <c r="M421" s="41">
        <v>41851</v>
      </c>
      <c r="N421" s="40" t="s">
        <v>122</v>
      </c>
      <c r="O421" s="42">
        <v>42491</v>
      </c>
      <c r="P421" s="40">
        <v>55</v>
      </c>
      <c r="Q421" s="145">
        <v>55.67</v>
      </c>
      <c r="R421" s="145">
        <v>57.67</v>
      </c>
      <c r="S421" s="145">
        <v>58.02</v>
      </c>
      <c r="T421" s="145">
        <v>59.05</v>
      </c>
      <c r="U421" s="145">
        <v>60.22</v>
      </c>
    </row>
    <row r="422" spans="1:21" x14ac:dyDescent="0.2">
      <c r="A422" s="89">
        <f t="shared" si="6"/>
        <v>414</v>
      </c>
      <c r="B422" s="43">
        <v>12</v>
      </c>
      <c r="C422" s="43">
        <v>7</v>
      </c>
      <c r="D422" s="38" t="s">
        <v>1150</v>
      </c>
      <c r="E422" s="44" t="s">
        <v>142</v>
      </c>
      <c r="F422" s="44" t="s">
        <v>39</v>
      </c>
      <c r="G422" s="44" t="s">
        <v>120</v>
      </c>
      <c r="H422" s="44" t="s">
        <v>40</v>
      </c>
      <c r="I422" s="44" t="s">
        <v>40</v>
      </c>
      <c r="J422" s="44" t="s">
        <v>42</v>
      </c>
      <c r="K422" s="44" t="s">
        <v>135</v>
      </c>
      <c r="L422" s="40">
        <v>19447</v>
      </c>
      <c r="M422" s="41">
        <v>41851</v>
      </c>
      <c r="N422" s="40" t="s">
        <v>122</v>
      </c>
      <c r="O422" s="42">
        <v>42491</v>
      </c>
      <c r="P422" s="40">
        <v>55</v>
      </c>
      <c r="Q422" s="145">
        <v>75.900000000000006</v>
      </c>
      <c r="R422" s="145">
        <v>79.06</v>
      </c>
      <c r="S422" s="145">
        <v>78.2</v>
      </c>
      <c r="T422" s="145">
        <v>79.64</v>
      </c>
      <c r="U422" s="145">
        <v>84.4</v>
      </c>
    </row>
    <row r="423" spans="1:21" x14ac:dyDescent="0.2">
      <c r="A423" s="89">
        <f t="shared" si="6"/>
        <v>415</v>
      </c>
      <c r="B423" s="43">
        <v>12</v>
      </c>
      <c r="C423" s="43">
        <v>8</v>
      </c>
      <c r="D423" s="38" t="s">
        <v>1151</v>
      </c>
      <c r="E423" s="44" t="s">
        <v>144</v>
      </c>
      <c r="F423" s="44" t="s">
        <v>39</v>
      </c>
      <c r="G423" s="44" t="s">
        <v>120</v>
      </c>
      <c r="H423" s="44" t="s">
        <v>40</v>
      </c>
      <c r="I423" s="44" t="s">
        <v>40</v>
      </c>
      <c r="J423" s="44" t="s">
        <v>41</v>
      </c>
      <c r="K423" s="44" t="s">
        <v>132</v>
      </c>
      <c r="L423" s="40">
        <v>19446</v>
      </c>
      <c r="M423" s="41">
        <v>41851</v>
      </c>
      <c r="N423" s="40" t="s">
        <v>122</v>
      </c>
      <c r="O423" s="42">
        <v>42491</v>
      </c>
      <c r="P423" s="40">
        <v>55</v>
      </c>
      <c r="Q423" s="145">
        <v>77.900000000000006</v>
      </c>
      <c r="R423" s="145">
        <v>79.94</v>
      </c>
      <c r="S423" s="145">
        <v>79.489999999999995</v>
      </c>
      <c r="T423" s="145">
        <v>80.62</v>
      </c>
      <c r="U423" s="145">
        <v>85.39</v>
      </c>
    </row>
    <row r="424" spans="1:21" x14ac:dyDescent="0.2">
      <c r="A424" s="89">
        <f t="shared" si="6"/>
        <v>416</v>
      </c>
      <c r="B424" s="43">
        <v>12</v>
      </c>
      <c r="C424" s="43">
        <v>9</v>
      </c>
      <c r="D424" s="38" t="s">
        <v>1152</v>
      </c>
      <c r="E424" s="44" t="s">
        <v>146</v>
      </c>
      <c r="F424" s="44" t="s">
        <v>39</v>
      </c>
      <c r="G424" s="44" t="s">
        <v>120</v>
      </c>
      <c r="H424" s="44" t="s">
        <v>40</v>
      </c>
      <c r="I424" s="44" t="s">
        <v>40</v>
      </c>
      <c r="J424" s="44" t="s">
        <v>7</v>
      </c>
      <c r="K424" s="44" t="s">
        <v>129</v>
      </c>
      <c r="L424" s="40">
        <v>19448</v>
      </c>
      <c r="M424" s="41">
        <v>41851</v>
      </c>
      <c r="N424" s="40" t="s">
        <v>122</v>
      </c>
      <c r="O424" s="42">
        <v>42491</v>
      </c>
      <c r="P424" s="40">
        <v>55</v>
      </c>
      <c r="Q424" s="145">
        <v>74.86</v>
      </c>
      <c r="R424" s="145">
        <v>78.16</v>
      </c>
      <c r="S424" s="145">
        <v>77.28</v>
      </c>
      <c r="T424" s="145">
        <v>78.72</v>
      </c>
      <c r="U424" s="145">
        <v>83.42</v>
      </c>
    </row>
    <row r="425" spans="1:21" x14ac:dyDescent="0.2">
      <c r="A425" s="89">
        <f t="shared" si="6"/>
        <v>417</v>
      </c>
      <c r="B425" s="43">
        <v>12</v>
      </c>
      <c r="C425" s="43">
        <v>10</v>
      </c>
      <c r="D425" s="38" t="s">
        <v>1153</v>
      </c>
      <c r="E425" s="44" t="s">
        <v>148</v>
      </c>
      <c r="F425" s="44" t="s">
        <v>25</v>
      </c>
      <c r="G425" s="44" t="s">
        <v>120</v>
      </c>
      <c r="H425" s="44" t="s">
        <v>149</v>
      </c>
      <c r="I425" s="44" t="s">
        <v>26</v>
      </c>
      <c r="J425" s="44" t="s">
        <v>27</v>
      </c>
      <c r="K425" s="44" t="s">
        <v>150</v>
      </c>
      <c r="L425" s="40">
        <v>19449</v>
      </c>
      <c r="M425" s="41">
        <v>41851</v>
      </c>
      <c r="N425" s="40" t="s">
        <v>122</v>
      </c>
      <c r="O425" s="42">
        <v>42491</v>
      </c>
      <c r="P425" s="40">
        <v>55</v>
      </c>
      <c r="Q425" s="145">
        <v>59.1</v>
      </c>
      <c r="R425" s="145">
        <v>59.54</v>
      </c>
      <c r="S425" s="145">
        <v>61.34</v>
      </c>
      <c r="T425" s="145">
        <v>62.91</v>
      </c>
      <c r="U425" s="145">
        <v>65.55</v>
      </c>
    </row>
    <row r="426" spans="1:21" x14ac:dyDescent="0.2">
      <c r="A426" s="89">
        <f t="shared" si="6"/>
        <v>418</v>
      </c>
      <c r="B426" s="43">
        <v>12</v>
      </c>
      <c r="C426" s="43">
        <v>11</v>
      </c>
      <c r="D426" s="38" t="s">
        <v>1154</v>
      </c>
      <c r="E426" s="44" t="s">
        <v>152</v>
      </c>
      <c r="F426" s="44" t="s">
        <v>25</v>
      </c>
      <c r="G426" s="44" t="s">
        <v>120</v>
      </c>
      <c r="H426" s="44" t="s">
        <v>149</v>
      </c>
      <c r="I426" s="44" t="s">
        <v>26</v>
      </c>
      <c r="J426" s="44" t="s">
        <v>28</v>
      </c>
      <c r="K426" s="44" t="s">
        <v>153</v>
      </c>
      <c r="L426" s="40">
        <v>19450</v>
      </c>
      <c r="M426" s="41">
        <v>41851</v>
      </c>
      <c r="N426" s="40" t="s">
        <v>122</v>
      </c>
      <c r="O426" s="42">
        <v>42491</v>
      </c>
      <c r="P426" s="40">
        <v>55</v>
      </c>
      <c r="Q426" s="145">
        <v>58.19</v>
      </c>
      <c r="R426" s="145">
        <v>58.71</v>
      </c>
      <c r="S426" s="145">
        <v>60.48</v>
      </c>
      <c r="T426" s="145">
        <v>62.07</v>
      </c>
      <c r="U426" s="145">
        <v>64.72</v>
      </c>
    </row>
    <row r="427" spans="1:21" x14ac:dyDescent="0.2">
      <c r="A427" s="89">
        <f t="shared" si="6"/>
        <v>419</v>
      </c>
      <c r="B427" s="43">
        <v>12</v>
      </c>
      <c r="C427" s="43">
        <v>12</v>
      </c>
      <c r="D427" s="38" t="s">
        <v>1155</v>
      </c>
      <c r="E427" s="44" t="s">
        <v>155</v>
      </c>
      <c r="F427" s="44" t="s">
        <v>20</v>
      </c>
      <c r="G427" s="44" t="s">
        <v>120</v>
      </c>
      <c r="H427" s="44" t="s">
        <v>105</v>
      </c>
      <c r="I427" s="44" t="s">
        <v>156</v>
      </c>
      <c r="J427" s="44" t="s">
        <v>22</v>
      </c>
      <c r="K427" s="44" t="s">
        <v>157</v>
      </c>
      <c r="L427" s="40">
        <v>19451</v>
      </c>
      <c r="M427" s="41">
        <v>41851</v>
      </c>
      <c r="N427" s="40" t="s">
        <v>122</v>
      </c>
      <c r="O427" s="42">
        <v>42491</v>
      </c>
      <c r="P427" s="40">
        <v>55</v>
      </c>
      <c r="Q427" s="145">
        <v>56.96</v>
      </c>
      <c r="R427" s="145">
        <v>56.8</v>
      </c>
      <c r="S427" s="145">
        <v>58.62</v>
      </c>
      <c r="T427" s="145">
        <v>59.94</v>
      </c>
      <c r="U427" s="145">
        <v>62.52</v>
      </c>
    </row>
    <row r="428" spans="1:21" x14ac:dyDescent="0.2">
      <c r="A428" s="89">
        <f t="shared" si="6"/>
        <v>420</v>
      </c>
      <c r="B428" s="43">
        <v>12</v>
      </c>
      <c r="C428" s="43">
        <v>13</v>
      </c>
      <c r="D428" s="38" t="s">
        <v>1156</v>
      </c>
      <c r="E428" s="44" t="s">
        <v>159</v>
      </c>
      <c r="F428" s="44" t="s">
        <v>39</v>
      </c>
      <c r="G428" s="44" t="s">
        <v>120</v>
      </c>
      <c r="H428" s="44" t="s">
        <v>43</v>
      </c>
      <c r="I428" s="44" t="s">
        <v>43</v>
      </c>
      <c r="J428" s="44" t="s">
        <v>7</v>
      </c>
      <c r="K428" s="44" t="s">
        <v>140</v>
      </c>
      <c r="L428" s="40">
        <v>19452</v>
      </c>
      <c r="M428" s="41">
        <v>41851</v>
      </c>
      <c r="N428" s="40" t="s">
        <v>122</v>
      </c>
      <c r="O428" s="42">
        <v>42491</v>
      </c>
      <c r="P428" s="40">
        <v>55</v>
      </c>
      <c r="Q428" s="145">
        <v>79.83</v>
      </c>
      <c r="R428" s="145">
        <v>82.57</v>
      </c>
      <c r="S428" s="145">
        <v>81.849999999999994</v>
      </c>
      <c r="T428" s="145">
        <v>83.23</v>
      </c>
      <c r="U428" s="145">
        <v>88.8</v>
      </c>
    </row>
    <row r="429" spans="1:21" x14ac:dyDescent="0.2">
      <c r="A429" s="89">
        <f t="shared" si="6"/>
        <v>421</v>
      </c>
      <c r="B429" s="43">
        <v>12</v>
      </c>
      <c r="C429" s="43">
        <v>14</v>
      </c>
      <c r="D429" s="38" t="s">
        <v>1157</v>
      </c>
      <c r="E429" s="44" t="s">
        <v>161</v>
      </c>
      <c r="F429" s="44" t="s">
        <v>6</v>
      </c>
      <c r="G429" s="44" t="s">
        <v>120</v>
      </c>
      <c r="H429" s="44" t="s">
        <v>48</v>
      </c>
      <c r="I429" s="44" t="s">
        <v>48</v>
      </c>
      <c r="J429" s="44" t="s">
        <v>7</v>
      </c>
      <c r="K429" s="44" t="s">
        <v>140</v>
      </c>
      <c r="L429" s="40">
        <v>19453</v>
      </c>
      <c r="M429" s="41">
        <v>41851</v>
      </c>
      <c r="N429" s="40" t="s">
        <v>122</v>
      </c>
      <c r="O429" s="42">
        <v>42491</v>
      </c>
      <c r="P429" s="40">
        <v>55</v>
      </c>
      <c r="Q429" s="145">
        <v>65.37</v>
      </c>
      <c r="R429" s="145">
        <v>66.63</v>
      </c>
      <c r="S429" s="145">
        <v>68.05</v>
      </c>
      <c r="T429" s="145">
        <v>69.88</v>
      </c>
      <c r="U429" s="145">
        <v>72.459999999999994</v>
      </c>
    </row>
    <row r="430" spans="1:21" x14ac:dyDescent="0.2">
      <c r="A430" s="89">
        <f t="shared" si="6"/>
        <v>422</v>
      </c>
      <c r="B430" s="43">
        <v>12</v>
      </c>
      <c r="C430" s="43">
        <v>15</v>
      </c>
      <c r="D430" s="38" t="s">
        <v>1158</v>
      </c>
      <c r="E430" s="44" t="s">
        <v>163</v>
      </c>
      <c r="F430" s="44" t="s">
        <v>20</v>
      </c>
      <c r="G430" s="44" t="s">
        <v>120</v>
      </c>
      <c r="H430" s="44" t="s">
        <v>23</v>
      </c>
      <c r="I430" s="44" t="s">
        <v>164</v>
      </c>
      <c r="J430" s="44" t="s">
        <v>24</v>
      </c>
      <c r="K430" s="44" t="s">
        <v>140</v>
      </c>
      <c r="L430" s="40">
        <v>19454</v>
      </c>
      <c r="M430" s="41">
        <v>41851</v>
      </c>
      <c r="N430" s="40" t="s">
        <v>122</v>
      </c>
      <c r="O430" s="42">
        <v>42491</v>
      </c>
      <c r="P430" s="40">
        <v>55</v>
      </c>
      <c r="Q430" s="145">
        <v>53.83</v>
      </c>
      <c r="R430" s="145">
        <v>54.75</v>
      </c>
      <c r="S430" s="145">
        <v>56.2</v>
      </c>
      <c r="T430" s="145">
        <v>57.89</v>
      </c>
      <c r="U430" s="145">
        <v>60.38</v>
      </c>
    </row>
    <row r="431" spans="1:21" x14ac:dyDescent="0.2">
      <c r="A431" s="89">
        <f t="shared" si="6"/>
        <v>423</v>
      </c>
      <c r="B431" s="43">
        <v>12</v>
      </c>
      <c r="C431" s="43">
        <v>16</v>
      </c>
      <c r="D431" s="38" t="s">
        <v>1159</v>
      </c>
      <c r="E431" s="44" t="s">
        <v>166</v>
      </c>
      <c r="F431" s="44" t="s">
        <v>20</v>
      </c>
      <c r="G431" s="44" t="s">
        <v>120</v>
      </c>
      <c r="H431" s="44" t="s">
        <v>64</v>
      </c>
      <c r="I431" s="44" t="s">
        <v>167</v>
      </c>
      <c r="J431" s="44" t="s">
        <v>7</v>
      </c>
      <c r="K431" s="44" t="s">
        <v>140</v>
      </c>
      <c r="L431" s="40">
        <v>19455</v>
      </c>
      <c r="M431" s="41">
        <v>41851</v>
      </c>
      <c r="N431" s="40" t="s">
        <v>122</v>
      </c>
      <c r="O431" s="42">
        <v>42491</v>
      </c>
      <c r="P431" s="40">
        <v>55</v>
      </c>
      <c r="Q431" s="145">
        <v>66.64</v>
      </c>
      <c r="R431" s="145">
        <v>64.89</v>
      </c>
      <c r="S431" s="145">
        <v>65.52</v>
      </c>
      <c r="T431" s="145">
        <v>66.03</v>
      </c>
      <c r="U431" s="145">
        <v>73.03</v>
      </c>
    </row>
    <row r="432" spans="1:21" x14ac:dyDescent="0.2">
      <c r="A432" s="89">
        <f t="shared" si="6"/>
        <v>424</v>
      </c>
      <c r="B432" s="43">
        <v>12</v>
      </c>
      <c r="C432" s="43">
        <v>17</v>
      </c>
      <c r="D432" s="38" t="s">
        <v>1160</v>
      </c>
      <c r="E432" s="44" t="s">
        <v>169</v>
      </c>
      <c r="F432" s="44" t="s">
        <v>31</v>
      </c>
      <c r="G432" s="44" t="s">
        <v>120</v>
      </c>
      <c r="H432" s="44" t="s">
        <v>35</v>
      </c>
      <c r="I432" s="44" t="s">
        <v>35</v>
      </c>
      <c r="J432" s="44" t="s">
        <v>9</v>
      </c>
      <c r="K432" s="44" t="s">
        <v>135</v>
      </c>
      <c r="L432" s="40">
        <v>19456</v>
      </c>
      <c r="M432" s="41">
        <v>41851</v>
      </c>
      <c r="N432" s="40" t="s">
        <v>122</v>
      </c>
      <c r="O432" s="42">
        <v>42491</v>
      </c>
      <c r="P432" s="40">
        <v>55</v>
      </c>
      <c r="Q432" s="145">
        <v>85.68</v>
      </c>
      <c r="R432" s="145">
        <v>89.07</v>
      </c>
      <c r="S432" s="145">
        <v>88.52</v>
      </c>
      <c r="T432" s="145">
        <v>90.21</v>
      </c>
      <c r="U432" s="145">
        <v>96.54</v>
      </c>
    </row>
    <row r="433" spans="1:21" x14ac:dyDescent="0.2">
      <c r="A433" s="89">
        <f t="shared" si="6"/>
        <v>425</v>
      </c>
      <c r="B433" s="43">
        <v>12</v>
      </c>
      <c r="C433" s="43">
        <v>18</v>
      </c>
      <c r="D433" s="38" t="s">
        <v>1161</v>
      </c>
      <c r="E433" s="44" t="s">
        <v>171</v>
      </c>
      <c r="F433" s="44" t="s">
        <v>31</v>
      </c>
      <c r="G433" s="44" t="s">
        <v>120</v>
      </c>
      <c r="H433" s="44" t="s">
        <v>35</v>
      </c>
      <c r="I433" s="44" t="s">
        <v>35</v>
      </c>
      <c r="J433" s="44" t="s">
        <v>10</v>
      </c>
      <c r="K433" s="44" t="s">
        <v>132</v>
      </c>
      <c r="L433" s="40">
        <v>19457</v>
      </c>
      <c r="M433" s="41">
        <v>41851</v>
      </c>
      <c r="N433" s="40" t="s">
        <v>122</v>
      </c>
      <c r="O433" s="42">
        <v>42491</v>
      </c>
      <c r="P433" s="40">
        <v>55</v>
      </c>
      <c r="Q433" s="145">
        <v>91.28</v>
      </c>
      <c r="R433" s="145">
        <v>92.1</v>
      </c>
      <c r="S433" s="145">
        <v>92.4</v>
      </c>
      <c r="T433" s="145">
        <v>93.24</v>
      </c>
      <c r="U433" s="145">
        <v>99.51</v>
      </c>
    </row>
    <row r="434" spans="1:21" x14ac:dyDescent="0.2">
      <c r="A434" s="89">
        <f t="shared" si="6"/>
        <v>426</v>
      </c>
      <c r="B434" s="43">
        <v>12</v>
      </c>
      <c r="C434" s="43">
        <v>19</v>
      </c>
      <c r="D434" s="38" t="s">
        <v>1162</v>
      </c>
      <c r="E434" s="44" t="s">
        <v>173</v>
      </c>
      <c r="F434" s="44" t="s">
        <v>31</v>
      </c>
      <c r="G434" s="44" t="s">
        <v>120</v>
      </c>
      <c r="H434" s="44" t="s">
        <v>35</v>
      </c>
      <c r="I434" s="44" t="s">
        <v>35</v>
      </c>
      <c r="J434" s="44" t="s">
        <v>11</v>
      </c>
      <c r="K434" s="44" t="s">
        <v>129</v>
      </c>
      <c r="L434" s="40">
        <v>19458</v>
      </c>
      <c r="M434" s="41">
        <v>41851</v>
      </c>
      <c r="N434" s="40" t="s">
        <v>122</v>
      </c>
      <c r="O434" s="42">
        <v>42491</v>
      </c>
      <c r="P434" s="40">
        <v>55</v>
      </c>
      <c r="Q434" s="145">
        <v>87.72</v>
      </c>
      <c r="R434" s="145">
        <v>89.65</v>
      </c>
      <c r="S434" s="145">
        <v>89.58</v>
      </c>
      <c r="T434" s="145">
        <v>90.8</v>
      </c>
      <c r="U434" s="145">
        <v>97.04</v>
      </c>
    </row>
    <row r="435" spans="1:21" x14ac:dyDescent="0.2">
      <c r="A435" s="89">
        <f t="shared" si="6"/>
        <v>427</v>
      </c>
      <c r="B435" s="43">
        <v>12</v>
      </c>
      <c r="C435" s="43">
        <v>20</v>
      </c>
      <c r="D435" s="38" t="s">
        <v>1163</v>
      </c>
      <c r="E435" s="44" t="s">
        <v>175</v>
      </c>
      <c r="F435" s="44" t="s">
        <v>6</v>
      </c>
      <c r="G435" s="44" t="s">
        <v>120</v>
      </c>
      <c r="H435" s="44" t="s">
        <v>176</v>
      </c>
      <c r="I435" s="44" t="s">
        <v>177</v>
      </c>
      <c r="J435" s="44" t="s">
        <v>9</v>
      </c>
      <c r="K435" s="44" t="s">
        <v>135</v>
      </c>
      <c r="L435" s="40">
        <v>19460</v>
      </c>
      <c r="M435" s="41">
        <v>41851</v>
      </c>
      <c r="N435" s="40" t="s">
        <v>122</v>
      </c>
      <c r="O435" s="42">
        <v>42491</v>
      </c>
      <c r="P435" s="40">
        <v>55</v>
      </c>
      <c r="Q435" s="145">
        <v>67.41</v>
      </c>
      <c r="R435" s="145">
        <v>70.040000000000006</v>
      </c>
      <c r="S435" s="145">
        <v>69.239999999999995</v>
      </c>
      <c r="T435" s="145">
        <v>70.489999999999995</v>
      </c>
      <c r="U435" s="145">
        <v>75.27</v>
      </c>
    </row>
    <row r="436" spans="1:21" x14ac:dyDescent="0.2">
      <c r="A436" s="89">
        <f t="shared" si="6"/>
        <v>428</v>
      </c>
      <c r="B436" s="43">
        <v>12</v>
      </c>
      <c r="C436" s="43">
        <v>21</v>
      </c>
      <c r="D436" s="38" t="s">
        <v>1164</v>
      </c>
      <c r="E436" s="44" t="s">
        <v>179</v>
      </c>
      <c r="F436" s="44" t="s">
        <v>6</v>
      </c>
      <c r="G436" s="44" t="s">
        <v>120</v>
      </c>
      <c r="H436" s="44" t="s">
        <v>176</v>
      </c>
      <c r="I436" s="44" t="s">
        <v>177</v>
      </c>
      <c r="J436" s="44" t="s">
        <v>10</v>
      </c>
      <c r="K436" s="44" t="s">
        <v>132</v>
      </c>
      <c r="L436" s="40">
        <v>19459</v>
      </c>
      <c r="M436" s="41">
        <v>41851</v>
      </c>
      <c r="N436" s="40" t="s">
        <v>122</v>
      </c>
      <c r="O436" s="42">
        <v>42491</v>
      </c>
      <c r="P436" s="40">
        <v>55</v>
      </c>
      <c r="Q436" s="145">
        <v>68.930000000000007</v>
      </c>
      <c r="R436" s="145">
        <v>71.11</v>
      </c>
      <c r="S436" s="145">
        <v>70.5</v>
      </c>
      <c r="T436" s="145">
        <v>71.59</v>
      </c>
      <c r="U436" s="145">
        <v>76.38</v>
      </c>
    </row>
    <row r="437" spans="1:21" x14ac:dyDescent="0.2">
      <c r="A437" s="89">
        <f t="shared" si="6"/>
        <v>429</v>
      </c>
      <c r="B437" s="43">
        <v>12</v>
      </c>
      <c r="C437" s="43">
        <v>22</v>
      </c>
      <c r="D437" s="38" t="s">
        <v>1165</v>
      </c>
      <c r="E437" s="44" t="s">
        <v>181</v>
      </c>
      <c r="F437" s="44" t="s">
        <v>6</v>
      </c>
      <c r="G437" s="44" t="s">
        <v>120</v>
      </c>
      <c r="H437" s="44" t="s">
        <v>176</v>
      </c>
      <c r="I437" s="44" t="s">
        <v>177</v>
      </c>
      <c r="J437" s="44" t="s">
        <v>11</v>
      </c>
      <c r="K437" s="44" t="s">
        <v>129</v>
      </c>
      <c r="L437" s="40">
        <v>19461</v>
      </c>
      <c r="M437" s="41">
        <v>41851</v>
      </c>
      <c r="N437" s="40" t="s">
        <v>122</v>
      </c>
      <c r="O437" s="42">
        <v>42491</v>
      </c>
      <c r="P437" s="40">
        <v>55</v>
      </c>
      <c r="Q437" s="145">
        <v>67.39</v>
      </c>
      <c r="R437" s="145">
        <v>70.09</v>
      </c>
      <c r="S437" s="145">
        <v>69.3</v>
      </c>
      <c r="T437" s="145">
        <v>70.61</v>
      </c>
      <c r="U437" s="145">
        <v>75.38</v>
      </c>
    </row>
    <row r="438" spans="1:21" x14ac:dyDescent="0.2">
      <c r="A438" s="89">
        <f t="shared" si="6"/>
        <v>430</v>
      </c>
      <c r="B438" s="43">
        <v>12</v>
      </c>
      <c r="C438" s="43">
        <v>23</v>
      </c>
      <c r="D438" s="38" t="s">
        <v>1166</v>
      </c>
      <c r="E438" s="44" t="s">
        <v>183</v>
      </c>
      <c r="F438" s="44" t="s">
        <v>6</v>
      </c>
      <c r="G438" s="44" t="s">
        <v>120</v>
      </c>
      <c r="H438" s="44" t="s">
        <v>13</v>
      </c>
      <c r="I438" s="44" t="s">
        <v>13</v>
      </c>
      <c r="J438" s="44" t="s">
        <v>7</v>
      </c>
      <c r="K438" s="44" t="s">
        <v>140</v>
      </c>
      <c r="L438" s="40">
        <v>19462</v>
      </c>
      <c r="M438" s="41">
        <v>41851</v>
      </c>
      <c r="N438" s="40" t="s">
        <v>122</v>
      </c>
      <c r="O438" s="42">
        <v>42491</v>
      </c>
      <c r="P438" s="40">
        <v>55</v>
      </c>
      <c r="Q438" s="145">
        <v>71.47</v>
      </c>
      <c r="R438" s="145">
        <v>74.41</v>
      </c>
      <c r="S438" s="145">
        <v>73.56</v>
      </c>
      <c r="T438" s="145">
        <v>75</v>
      </c>
      <c r="U438" s="145">
        <v>80.72</v>
      </c>
    </row>
    <row r="439" spans="1:21" x14ac:dyDescent="0.2">
      <c r="A439" s="89">
        <f t="shared" si="6"/>
        <v>431</v>
      </c>
      <c r="B439" s="43">
        <v>12</v>
      </c>
      <c r="C439" s="43">
        <v>24</v>
      </c>
      <c r="D439" s="38" t="s">
        <v>1167</v>
      </c>
      <c r="E439" s="44" t="s">
        <v>185</v>
      </c>
      <c r="F439" s="44" t="s">
        <v>6</v>
      </c>
      <c r="G439" s="44" t="s">
        <v>120</v>
      </c>
      <c r="H439" s="44" t="s">
        <v>12</v>
      </c>
      <c r="I439" s="44" t="s">
        <v>186</v>
      </c>
      <c r="J439" s="44" t="s">
        <v>9</v>
      </c>
      <c r="K439" s="44" t="s">
        <v>135</v>
      </c>
      <c r="L439" s="40">
        <v>19463</v>
      </c>
      <c r="M439" s="41">
        <v>41851</v>
      </c>
      <c r="N439" s="40" t="s">
        <v>122</v>
      </c>
      <c r="O439" s="42">
        <v>42491</v>
      </c>
      <c r="P439" s="40">
        <v>55</v>
      </c>
      <c r="Q439" s="145">
        <v>68.09</v>
      </c>
      <c r="R439" s="145">
        <v>69.89</v>
      </c>
      <c r="S439" s="145">
        <v>69.36</v>
      </c>
      <c r="T439" s="145">
        <v>70.239999999999995</v>
      </c>
      <c r="U439" s="145">
        <v>75.08</v>
      </c>
    </row>
    <row r="440" spans="1:21" x14ac:dyDescent="0.2">
      <c r="A440" s="89">
        <f t="shared" si="6"/>
        <v>432</v>
      </c>
      <c r="B440" s="43">
        <v>12</v>
      </c>
      <c r="C440" s="43">
        <v>25</v>
      </c>
      <c r="D440" s="38" t="s">
        <v>1168</v>
      </c>
      <c r="E440" s="44" t="s">
        <v>188</v>
      </c>
      <c r="F440" s="44" t="s">
        <v>6</v>
      </c>
      <c r="G440" s="44" t="s">
        <v>120</v>
      </c>
      <c r="H440" s="44" t="s">
        <v>12</v>
      </c>
      <c r="I440" s="44" t="s">
        <v>186</v>
      </c>
      <c r="J440" s="44" t="s">
        <v>10</v>
      </c>
      <c r="K440" s="44" t="s">
        <v>132</v>
      </c>
      <c r="L440" s="40">
        <v>19464</v>
      </c>
      <c r="M440" s="41">
        <v>41851</v>
      </c>
      <c r="N440" s="40" t="s">
        <v>122</v>
      </c>
      <c r="O440" s="42">
        <v>42491</v>
      </c>
      <c r="P440" s="40">
        <v>55</v>
      </c>
      <c r="Q440" s="145">
        <v>69.87</v>
      </c>
      <c r="R440" s="145">
        <v>71.069999999999993</v>
      </c>
      <c r="S440" s="145">
        <v>70.760000000000005</v>
      </c>
      <c r="T440" s="145">
        <v>71.430000000000007</v>
      </c>
      <c r="U440" s="145">
        <v>76.28</v>
      </c>
    </row>
    <row r="441" spans="1:21" x14ac:dyDescent="0.2">
      <c r="A441" s="89">
        <f t="shared" si="6"/>
        <v>433</v>
      </c>
      <c r="B441" s="43">
        <v>12</v>
      </c>
      <c r="C441" s="43">
        <v>26</v>
      </c>
      <c r="D441" s="38" t="s">
        <v>1169</v>
      </c>
      <c r="E441" s="44" t="s">
        <v>190</v>
      </c>
      <c r="F441" s="44" t="s">
        <v>6</v>
      </c>
      <c r="G441" s="44" t="s">
        <v>120</v>
      </c>
      <c r="H441" s="44" t="s">
        <v>12</v>
      </c>
      <c r="I441" s="44" t="s">
        <v>186</v>
      </c>
      <c r="J441" s="44" t="s">
        <v>11</v>
      </c>
      <c r="K441" s="44" t="s">
        <v>129</v>
      </c>
      <c r="L441" s="40">
        <v>19465</v>
      </c>
      <c r="M441" s="41">
        <v>41851</v>
      </c>
      <c r="N441" s="40" t="s">
        <v>122</v>
      </c>
      <c r="O441" s="42">
        <v>42491</v>
      </c>
      <c r="P441" s="40">
        <v>55</v>
      </c>
      <c r="Q441" s="145">
        <v>72.349999999999994</v>
      </c>
      <c r="R441" s="145">
        <v>70.540000000000006</v>
      </c>
      <c r="S441" s="145">
        <v>71.08</v>
      </c>
      <c r="T441" s="145">
        <v>71</v>
      </c>
      <c r="U441" s="145">
        <v>75.819999999999993</v>
      </c>
    </row>
    <row r="442" spans="1:21" x14ac:dyDescent="0.2">
      <c r="A442" s="89">
        <f t="shared" si="6"/>
        <v>434</v>
      </c>
      <c r="B442" s="43">
        <v>12</v>
      </c>
      <c r="C442" s="43">
        <v>27</v>
      </c>
      <c r="D442" s="38" t="s">
        <v>1170</v>
      </c>
      <c r="E442" s="44" t="s">
        <v>192</v>
      </c>
      <c r="F442" s="44" t="s">
        <v>6</v>
      </c>
      <c r="G442" s="44" t="s">
        <v>120</v>
      </c>
      <c r="H442" s="44" t="s">
        <v>100</v>
      </c>
      <c r="I442" s="44" t="s">
        <v>193</v>
      </c>
      <c r="J442" s="44" t="s">
        <v>7</v>
      </c>
      <c r="K442" s="44" t="s">
        <v>140</v>
      </c>
      <c r="L442" s="40">
        <v>19466</v>
      </c>
      <c r="M442" s="41">
        <v>41851</v>
      </c>
      <c r="N442" s="40" t="s">
        <v>122</v>
      </c>
      <c r="O442" s="42">
        <v>42491</v>
      </c>
      <c r="P442" s="40">
        <v>55</v>
      </c>
      <c r="Q442" s="145">
        <v>73.930000000000007</v>
      </c>
      <c r="R442" s="145">
        <v>70.430000000000007</v>
      </c>
      <c r="S442" s="145">
        <v>71.650000000000006</v>
      </c>
      <c r="T442" s="145">
        <v>71.48</v>
      </c>
      <c r="U442" s="145">
        <v>78.37</v>
      </c>
    </row>
    <row r="443" spans="1:21" x14ac:dyDescent="0.2">
      <c r="A443" s="89">
        <f t="shared" si="6"/>
        <v>435</v>
      </c>
      <c r="B443" s="43">
        <v>12</v>
      </c>
      <c r="C443" s="43">
        <v>28</v>
      </c>
      <c r="D443" s="38" t="s">
        <v>1171</v>
      </c>
      <c r="E443" s="44" t="s">
        <v>195</v>
      </c>
      <c r="F443" s="44" t="s">
        <v>39</v>
      </c>
      <c r="G443" s="44" t="s">
        <v>120</v>
      </c>
      <c r="H443" s="44" t="s">
        <v>44</v>
      </c>
      <c r="I443" s="44" t="s">
        <v>44</v>
      </c>
      <c r="J443" s="44" t="s">
        <v>7</v>
      </c>
      <c r="K443" s="44" t="s">
        <v>140</v>
      </c>
      <c r="L443" s="40">
        <v>19467</v>
      </c>
      <c r="M443" s="41">
        <v>41851</v>
      </c>
      <c r="N443" s="40" t="s">
        <v>122</v>
      </c>
      <c r="O443" s="42">
        <v>42491</v>
      </c>
      <c r="P443" s="40">
        <v>55</v>
      </c>
      <c r="Q443" s="145">
        <v>78.34</v>
      </c>
      <c r="R443" s="145">
        <v>79.040000000000006</v>
      </c>
      <c r="S443" s="145">
        <v>79.12</v>
      </c>
      <c r="T443" s="145">
        <v>79.83</v>
      </c>
      <c r="U443" s="145">
        <v>85.09</v>
      </c>
    </row>
    <row r="444" spans="1:21" x14ac:dyDescent="0.2">
      <c r="A444" s="89">
        <f t="shared" si="6"/>
        <v>436</v>
      </c>
      <c r="B444" s="43">
        <v>12</v>
      </c>
      <c r="C444" s="43">
        <v>29</v>
      </c>
      <c r="D444" s="38" t="s">
        <v>1172</v>
      </c>
      <c r="E444" s="44" t="s">
        <v>197</v>
      </c>
      <c r="F444" s="44" t="s">
        <v>39</v>
      </c>
      <c r="G444" s="44" t="s">
        <v>120</v>
      </c>
      <c r="H444" s="44" t="s">
        <v>44</v>
      </c>
      <c r="I444" s="44" t="s">
        <v>44</v>
      </c>
      <c r="J444" s="44" t="s">
        <v>45</v>
      </c>
      <c r="K444" s="44" t="s">
        <v>198</v>
      </c>
      <c r="L444" s="40">
        <v>19468</v>
      </c>
      <c r="M444" s="41">
        <v>41851</v>
      </c>
      <c r="N444" s="40" t="s">
        <v>122</v>
      </c>
      <c r="O444" s="42">
        <v>42491</v>
      </c>
      <c r="P444" s="40">
        <v>55</v>
      </c>
      <c r="Q444" s="145">
        <v>74.36</v>
      </c>
      <c r="R444" s="145">
        <v>76.930000000000007</v>
      </c>
      <c r="S444" s="145">
        <v>76.37</v>
      </c>
      <c r="T444" s="145">
        <v>77.7</v>
      </c>
      <c r="U444" s="145">
        <v>82.91</v>
      </c>
    </row>
    <row r="445" spans="1:21" x14ac:dyDescent="0.2">
      <c r="A445" s="89">
        <f t="shared" si="6"/>
        <v>437</v>
      </c>
      <c r="B445" s="43">
        <v>12</v>
      </c>
      <c r="C445" s="43">
        <v>30</v>
      </c>
      <c r="D445" s="38" t="s">
        <v>1173</v>
      </c>
      <c r="E445" s="44" t="s">
        <v>200</v>
      </c>
      <c r="F445" s="44" t="s">
        <v>39</v>
      </c>
      <c r="G445" s="44" t="s">
        <v>120</v>
      </c>
      <c r="H445" s="44" t="s">
        <v>44</v>
      </c>
      <c r="I445" s="44" t="s">
        <v>44</v>
      </c>
      <c r="J445" s="44" t="s">
        <v>46</v>
      </c>
      <c r="K445" s="44" t="s">
        <v>46</v>
      </c>
      <c r="L445" s="40">
        <v>19469</v>
      </c>
      <c r="M445" s="41">
        <v>41851</v>
      </c>
      <c r="N445" s="40" t="s">
        <v>122</v>
      </c>
      <c r="O445" s="42">
        <v>42491</v>
      </c>
      <c r="P445" s="40">
        <v>55</v>
      </c>
      <c r="Q445" s="145">
        <v>74</v>
      </c>
      <c r="R445" s="145">
        <v>76.209999999999994</v>
      </c>
      <c r="S445" s="145">
        <v>75.75</v>
      </c>
      <c r="T445" s="145">
        <v>77.12</v>
      </c>
      <c r="U445" s="145">
        <v>82.33</v>
      </c>
    </row>
    <row r="446" spans="1:21" x14ac:dyDescent="0.2">
      <c r="A446" s="89">
        <f t="shared" si="6"/>
        <v>438</v>
      </c>
      <c r="B446" s="43">
        <v>12</v>
      </c>
      <c r="C446" s="43">
        <v>31</v>
      </c>
      <c r="D446" s="38" t="s">
        <v>1174</v>
      </c>
      <c r="E446" s="44" t="s">
        <v>202</v>
      </c>
      <c r="F446" s="44" t="s">
        <v>39</v>
      </c>
      <c r="G446" s="44" t="s">
        <v>120</v>
      </c>
      <c r="H446" s="44" t="s">
        <v>47</v>
      </c>
      <c r="I446" s="44" t="s">
        <v>47</v>
      </c>
      <c r="J446" s="44" t="s">
        <v>7</v>
      </c>
      <c r="K446" s="44" t="s">
        <v>140</v>
      </c>
      <c r="L446" s="40">
        <v>19470</v>
      </c>
      <c r="M446" s="41">
        <v>41851</v>
      </c>
      <c r="N446" s="40" t="s">
        <v>122</v>
      </c>
      <c r="O446" s="42">
        <v>42491</v>
      </c>
      <c r="P446" s="40">
        <v>55</v>
      </c>
      <c r="Q446" s="145">
        <v>66.209999999999994</v>
      </c>
      <c r="R446" s="145">
        <v>66.38</v>
      </c>
      <c r="S446" s="145">
        <v>68.239999999999995</v>
      </c>
      <c r="T446" s="145">
        <v>69.930000000000007</v>
      </c>
      <c r="U446" s="145">
        <v>72.959999999999994</v>
      </c>
    </row>
    <row r="447" spans="1:21" x14ac:dyDescent="0.2">
      <c r="A447" s="89">
        <f t="shared" si="6"/>
        <v>439</v>
      </c>
      <c r="B447" s="43">
        <v>12</v>
      </c>
      <c r="C447" s="43">
        <v>32</v>
      </c>
      <c r="D447" s="38" t="s">
        <v>1175</v>
      </c>
      <c r="E447" s="44" t="s">
        <v>204</v>
      </c>
      <c r="F447" s="44" t="s">
        <v>6</v>
      </c>
      <c r="G447" s="44" t="s">
        <v>120</v>
      </c>
      <c r="H447" s="44" t="s">
        <v>14</v>
      </c>
      <c r="I447" s="44" t="s">
        <v>14</v>
      </c>
      <c r="J447" s="44" t="s">
        <v>15</v>
      </c>
      <c r="K447" s="44" t="s">
        <v>129</v>
      </c>
      <c r="L447" s="40">
        <v>19471</v>
      </c>
      <c r="M447" s="41">
        <v>41851</v>
      </c>
      <c r="N447" s="40" t="s">
        <v>122</v>
      </c>
      <c r="O447" s="42">
        <v>42491</v>
      </c>
      <c r="P447" s="40">
        <v>55</v>
      </c>
      <c r="Q447" s="145">
        <v>75</v>
      </c>
      <c r="R447" s="145">
        <v>76.64</v>
      </c>
      <c r="S447" s="145">
        <v>76.22</v>
      </c>
      <c r="T447" s="145">
        <v>76.98</v>
      </c>
      <c r="U447" s="145">
        <v>81.69</v>
      </c>
    </row>
    <row r="448" spans="1:21" x14ac:dyDescent="0.2">
      <c r="A448" s="89">
        <f t="shared" si="6"/>
        <v>440</v>
      </c>
      <c r="B448" s="43">
        <v>12</v>
      </c>
      <c r="C448" s="43">
        <v>33</v>
      </c>
      <c r="D448" s="38" t="s">
        <v>1176</v>
      </c>
      <c r="E448" s="44" t="s">
        <v>206</v>
      </c>
      <c r="F448" s="44" t="s">
        <v>6</v>
      </c>
      <c r="G448" s="44" t="s">
        <v>120</v>
      </c>
      <c r="H448" s="44" t="s">
        <v>14</v>
      </c>
      <c r="I448" s="44" t="s">
        <v>14</v>
      </c>
      <c r="J448" s="44" t="s">
        <v>16</v>
      </c>
      <c r="K448" s="44" t="s">
        <v>135</v>
      </c>
      <c r="L448" s="40">
        <v>19472</v>
      </c>
      <c r="M448" s="41">
        <v>41851</v>
      </c>
      <c r="N448" s="40" t="s">
        <v>122</v>
      </c>
      <c r="O448" s="42">
        <v>42491</v>
      </c>
      <c r="P448" s="40">
        <v>55</v>
      </c>
      <c r="Q448" s="145">
        <v>75.7</v>
      </c>
      <c r="R448" s="145">
        <v>77.930000000000007</v>
      </c>
      <c r="S448" s="145">
        <v>77.34</v>
      </c>
      <c r="T448" s="145">
        <v>78.27</v>
      </c>
      <c r="U448" s="145">
        <v>83.06</v>
      </c>
    </row>
    <row r="449" spans="1:21" x14ac:dyDescent="0.2">
      <c r="A449" s="89">
        <f t="shared" si="6"/>
        <v>441</v>
      </c>
      <c r="B449" s="43">
        <v>12</v>
      </c>
      <c r="C449" s="43">
        <v>34</v>
      </c>
      <c r="D449" s="38" t="s">
        <v>1177</v>
      </c>
      <c r="E449" s="44" t="s">
        <v>208</v>
      </c>
      <c r="F449" s="44" t="s">
        <v>31</v>
      </c>
      <c r="G449" s="44" t="s">
        <v>120</v>
      </c>
      <c r="H449" s="44" t="s">
        <v>36</v>
      </c>
      <c r="I449" s="44" t="s">
        <v>36</v>
      </c>
      <c r="J449" s="44" t="s">
        <v>37</v>
      </c>
      <c r="K449" s="44" t="s">
        <v>209</v>
      </c>
      <c r="L449" s="40">
        <v>19473</v>
      </c>
      <c r="M449" s="41">
        <v>41851</v>
      </c>
      <c r="N449" s="40" t="s">
        <v>122</v>
      </c>
      <c r="O449" s="42">
        <v>42491</v>
      </c>
      <c r="P449" s="40">
        <v>55</v>
      </c>
      <c r="Q449" s="145">
        <v>98.64</v>
      </c>
      <c r="R449" s="145">
        <v>102.66</v>
      </c>
      <c r="S449" s="145">
        <v>102.09</v>
      </c>
      <c r="T449" s="145">
        <v>103.89</v>
      </c>
      <c r="U449" s="145">
        <v>107.68</v>
      </c>
    </row>
    <row r="450" spans="1:21" x14ac:dyDescent="0.2">
      <c r="A450" s="89">
        <f t="shared" si="6"/>
        <v>442</v>
      </c>
      <c r="B450" s="43">
        <v>12</v>
      </c>
      <c r="C450" s="43">
        <v>35</v>
      </c>
      <c r="D450" s="38" t="s">
        <v>1178</v>
      </c>
      <c r="E450" s="44" t="s">
        <v>211</v>
      </c>
      <c r="F450" s="44" t="s">
        <v>31</v>
      </c>
      <c r="G450" s="44" t="s">
        <v>120</v>
      </c>
      <c r="H450" s="44" t="s">
        <v>36</v>
      </c>
      <c r="I450" s="44" t="s">
        <v>36</v>
      </c>
      <c r="J450" s="44" t="s">
        <v>38</v>
      </c>
      <c r="K450" s="44" t="s">
        <v>212</v>
      </c>
      <c r="L450" s="40">
        <v>19474</v>
      </c>
      <c r="M450" s="41">
        <v>41851</v>
      </c>
      <c r="N450" s="40" t="s">
        <v>122</v>
      </c>
      <c r="O450" s="42">
        <v>42491</v>
      </c>
      <c r="P450" s="40">
        <v>55</v>
      </c>
      <c r="Q450" s="145">
        <v>96.61</v>
      </c>
      <c r="R450" s="145">
        <v>101.07</v>
      </c>
      <c r="S450" s="145">
        <v>100.22</v>
      </c>
      <c r="T450" s="145">
        <v>102.18</v>
      </c>
      <c r="U450" s="145">
        <v>105.94</v>
      </c>
    </row>
    <row r="451" spans="1:21" x14ac:dyDescent="0.2">
      <c r="A451" s="89">
        <f t="shared" si="6"/>
        <v>443</v>
      </c>
      <c r="B451" s="43">
        <v>12</v>
      </c>
      <c r="C451" s="43">
        <v>36</v>
      </c>
      <c r="D451" s="38" t="s">
        <v>1179</v>
      </c>
      <c r="E451" s="44" t="s">
        <v>214</v>
      </c>
      <c r="F451" s="44" t="s">
        <v>6</v>
      </c>
      <c r="G451" s="44" t="s">
        <v>120</v>
      </c>
      <c r="H451" s="44" t="s">
        <v>17</v>
      </c>
      <c r="I451" s="44" t="s">
        <v>215</v>
      </c>
      <c r="J451" s="44" t="s">
        <v>18</v>
      </c>
      <c r="K451" s="44" t="s">
        <v>140</v>
      </c>
      <c r="L451" s="40">
        <v>19475</v>
      </c>
      <c r="M451" s="41">
        <v>41851</v>
      </c>
      <c r="N451" s="40" t="s">
        <v>122</v>
      </c>
      <c r="O451" s="42">
        <v>42491</v>
      </c>
      <c r="P451" s="40">
        <v>55</v>
      </c>
      <c r="Q451" s="145">
        <v>61.33</v>
      </c>
      <c r="R451" s="145">
        <v>61.79</v>
      </c>
      <c r="S451" s="145">
        <v>63.29</v>
      </c>
      <c r="T451" s="145">
        <v>64.98</v>
      </c>
      <c r="U451" s="145">
        <v>67.62</v>
      </c>
    </row>
    <row r="452" spans="1:21" x14ac:dyDescent="0.2">
      <c r="A452" s="89">
        <f t="shared" si="6"/>
        <v>444</v>
      </c>
      <c r="B452" s="20"/>
      <c r="C452" s="20"/>
      <c r="D452" s="20"/>
    </row>
    <row r="453" spans="1:21" x14ac:dyDescent="0.2">
      <c r="A453" s="89">
        <f t="shared" si="6"/>
        <v>445</v>
      </c>
      <c r="B453" s="43">
        <v>13</v>
      </c>
      <c r="C453" s="43">
        <v>1</v>
      </c>
      <c r="D453" s="38" t="s">
        <v>612</v>
      </c>
      <c r="E453" s="44" t="s">
        <v>119</v>
      </c>
      <c r="F453" s="44" t="s">
        <v>31</v>
      </c>
      <c r="G453" s="44" t="s">
        <v>120</v>
      </c>
      <c r="H453" s="44" t="s">
        <v>32</v>
      </c>
      <c r="I453" s="44" t="s">
        <v>32</v>
      </c>
      <c r="J453" s="44" t="s">
        <v>33</v>
      </c>
      <c r="K453" s="44" t="s">
        <v>121</v>
      </c>
      <c r="L453" s="40">
        <v>19440</v>
      </c>
      <c r="M453" s="41">
        <v>41851</v>
      </c>
      <c r="N453" s="40" t="s">
        <v>122</v>
      </c>
      <c r="O453" s="42"/>
      <c r="P453" s="40">
        <v>56</v>
      </c>
      <c r="Q453" s="145">
        <v>86.54</v>
      </c>
      <c r="R453" s="145">
        <v>91.44</v>
      </c>
      <c r="S453" s="145">
        <v>90.49</v>
      </c>
      <c r="T453" s="145">
        <v>92.81</v>
      </c>
      <c r="U453" s="145">
        <v>98.76</v>
      </c>
    </row>
    <row r="454" spans="1:21" x14ac:dyDescent="0.2">
      <c r="A454" s="89">
        <f t="shared" si="6"/>
        <v>446</v>
      </c>
      <c r="B454" s="43">
        <v>13</v>
      </c>
      <c r="C454" s="43">
        <v>2</v>
      </c>
      <c r="D454" s="38" t="s">
        <v>613</v>
      </c>
      <c r="E454" s="44" t="s">
        <v>124</v>
      </c>
      <c r="F454" s="44" t="s">
        <v>31</v>
      </c>
      <c r="G454" s="44" t="s">
        <v>120</v>
      </c>
      <c r="H454" s="44" t="s">
        <v>32</v>
      </c>
      <c r="I454" s="44" t="s">
        <v>32</v>
      </c>
      <c r="J454" s="44" t="s">
        <v>34</v>
      </c>
      <c r="K454" s="44" t="s">
        <v>125</v>
      </c>
      <c r="L454" s="40">
        <v>19441</v>
      </c>
      <c r="M454" s="41">
        <v>41851</v>
      </c>
      <c r="N454" s="40" t="s">
        <v>122</v>
      </c>
      <c r="O454" s="42"/>
      <c r="P454" s="40">
        <v>56</v>
      </c>
      <c r="Q454" s="145">
        <v>86.32</v>
      </c>
      <c r="R454" s="145">
        <v>90.76</v>
      </c>
      <c r="S454" s="145">
        <v>89.99</v>
      </c>
      <c r="T454" s="145">
        <v>91.41</v>
      </c>
      <c r="U454" s="145">
        <v>95.99</v>
      </c>
    </row>
    <row r="455" spans="1:21" x14ac:dyDescent="0.2">
      <c r="A455" s="89">
        <f t="shared" si="6"/>
        <v>447</v>
      </c>
      <c r="B455" s="43">
        <v>13</v>
      </c>
      <c r="C455" s="43">
        <v>3</v>
      </c>
      <c r="D455" s="38" t="s">
        <v>614</v>
      </c>
      <c r="E455" s="44" t="s">
        <v>127</v>
      </c>
      <c r="F455" s="44" t="s">
        <v>20</v>
      </c>
      <c r="G455" s="44" t="s">
        <v>120</v>
      </c>
      <c r="H455" s="44" t="s">
        <v>63</v>
      </c>
      <c r="I455" s="44" t="s">
        <v>128</v>
      </c>
      <c r="J455" s="44" t="s">
        <v>15</v>
      </c>
      <c r="K455" s="44" t="s">
        <v>129</v>
      </c>
      <c r="L455" s="40">
        <v>19442</v>
      </c>
      <c r="M455" s="41">
        <v>41851</v>
      </c>
      <c r="N455" s="40" t="s">
        <v>122</v>
      </c>
      <c r="O455" s="42"/>
      <c r="P455" s="40">
        <v>56</v>
      </c>
      <c r="Q455" s="145">
        <v>61.26</v>
      </c>
      <c r="R455" s="145">
        <v>64.11</v>
      </c>
      <c r="S455" s="145">
        <v>63.79</v>
      </c>
      <c r="T455" s="145">
        <v>65.08</v>
      </c>
      <c r="U455" s="145">
        <v>66.319999999999993</v>
      </c>
    </row>
    <row r="456" spans="1:21" x14ac:dyDescent="0.2">
      <c r="A456" s="89">
        <f t="shared" si="6"/>
        <v>448</v>
      </c>
      <c r="B456" s="43">
        <v>13</v>
      </c>
      <c r="C456" s="43">
        <v>4</v>
      </c>
      <c r="D456" s="38" t="s">
        <v>615</v>
      </c>
      <c r="E456" s="44" t="s">
        <v>131</v>
      </c>
      <c r="F456" s="44" t="s">
        <v>20</v>
      </c>
      <c r="G456" s="44" t="s">
        <v>120</v>
      </c>
      <c r="H456" s="44" t="s">
        <v>63</v>
      </c>
      <c r="I456" s="44" t="s">
        <v>128</v>
      </c>
      <c r="J456" s="44" t="s">
        <v>21</v>
      </c>
      <c r="K456" s="44" t="s">
        <v>132</v>
      </c>
      <c r="L456" s="40">
        <v>19443</v>
      </c>
      <c r="M456" s="41">
        <v>41851</v>
      </c>
      <c r="N456" s="40" t="s">
        <v>122</v>
      </c>
      <c r="O456" s="42"/>
      <c r="P456" s="40">
        <v>56</v>
      </c>
      <c r="Q456" s="145">
        <v>63.96</v>
      </c>
      <c r="R456" s="145">
        <v>66.040000000000006</v>
      </c>
      <c r="S456" s="145">
        <v>66.02</v>
      </c>
      <c r="T456" s="145">
        <v>67</v>
      </c>
      <c r="U456" s="145">
        <v>68.290000000000006</v>
      </c>
    </row>
    <row r="457" spans="1:21" x14ac:dyDescent="0.2">
      <c r="A457" s="89">
        <f t="shared" si="6"/>
        <v>449</v>
      </c>
      <c r="B457" s="43">
        <v>13</v>
      </c>
      <c r="C457" s="43">
        <v>5</v>
      </c>
      <c r="D457" s="38" t="s">
        <v>616</v>
      </c>
      <c r="E457" s="44" t="s">
        <v>134</v>
      </c>
      <c r="F457" s="44" t="s">
        <v>20</v>
      </c>
      <c r="G457" s="44" t="s">
        <v>120</v>
      </c>
      <c r="H457" s="44" t="s">
        <v>63</v>
      </c>
      <c r="I457" s="44" t="s">
        <v>128</v>
      </c>
      <c r="J457" s="44" t="s">
        <v>16</v>
      </c>
      <c r="K457" s="44" t="s">
        <v>135</v>
      </c>
      <c r="L457" s="40">
        <v>19444</v>
      </c>
      <c r="M457" s="41">
        <v>41851</v>
      </c>
      <c r="N457" s="40" t="s">
        <v>122</v>
      </c>
      <c r="O457" s="42"/>
      <c r="P457" s="40">
        <v>56</v>
      </c>
      <c r="Q457" s="145">
        <v>62.25</v>
      </c>
      <c r="R457" s="145">
        <v>64.98</v>
      </c>
      <c r="S457" s="145">
        <v>64.7</v>
      </c>
      <c r="T457" s="145">
        <v>65.930000000000007</v>
      </c>
      <c r="U457" s="145">
        <v>67.2</v>
      </c>
    </row>
    <row r="458" spans="1:21" x14ac:dyDescent="0.2">
      <c r="A458" s="89">
        <f t="shared" si="6"/>
        <v>450</v>
      </c>
      <c r="B458" s="43">
        <v>13</v>
      </c>
      <c r="C458" s="43">
        <v>6</v>
      </c>
      <c r="D458" s="38" t="s">
        <v>617</v>
      </c>
      <c r="E458" s="44" t="s">
        <v>137</v>
      </c>
      <c r="F458" s="44" t="s">
        <v>25</v>
      </c>
      <c r="G458" s="44" t="s">
        <v>138</v>
      </c>
      <c r="H458" s="44" t="s">
        <v>139</v>
      </c>
      <c r="I458" s="44" t="s">
        <v>29</v>
      </c>
      <c r="J458" s="44" t="s">
        <v>30</v>
      </c>
      <c r="K458" s="44" t="s">
        <v>140</v>
      </c>
      <c r="L458" s="40">
        <v>19445</v>
      </c>
      <c r="M458" s="41">
        <v>41851</v>
      </c>
      <c r="N458" s="40" t="s">
        <v>122</v>
      </c>
      <c r="O458" s="42"/>
      <c r="P458" s="40">
        <v>56</v>
      </c>
      <c r="Q458" s="145">
        <v>55.57</v>
      </c>
      <c r="R458" s="145">
        <v>57.93</v>
      </c>
      <c r="S458" s="145">
        <v>58.16</v>
      </c>
      <c r="T458" s="145">
        <v>59.32</v>
      </c>
      <c r="U458" s="145">
        <v>60.44</v>
      </c>
    </row>
    <row r="459" spans="1:21" x14ac:dyDescent="0.2">
      <c r="A459" s="89">
        <f t="shared" ref="A459:A522" si="7">A458+1</f>
        <v>451</v>
      </c>
      <c r="B459" s="43">
        <v>13</v>
      </c>
      <c r="C459" s="43">
        <v>7</v>
      </c>
      <c r="D459" s="38" t="s">
        <v>618</v>
      </c>
      <c r="E459" s="44" t="s">
        <v>142</v>
      </c>
      <c r="F459" s="44" t="s">
        <v>39</v>
      </c>
      <c r="G459" s="44" t="s">
        <v>120</v>
      </c>
      <c r="H459" s="44" t="s">
        <v>40</v>
      </c>
      <c r="I459" s="44" t="s">
        <v>40</v>
      </c>
      <c r="J459" s="44" t="s">
        <v>42</v>
      </c>
      <c r="K459" s="44" t="s">
        <v>135</v>
      </c>
      <c r="L459" s="40">
        <v>19447</v>
      </c>
      <c r="M459" s="41">
        <v>41851</v>
      </c>
      <c r="N459" s="40" t="s">
        <v>122</v>
      </c>
      <c r="O459" s="42"/>
      <c r="P459" s="40">
        <v>56</v>
      </c>
      <c r="Q459" s="145">
        <v>74.91</v>
      </c>
      <c r="R459" s="145">
        <v>78.67</v>
      </c>
      <c r="S459" s="145">
        <v>77.89</v>
      </c>
      <c r="T459" s="145">
        <v>79.569999999999993</v>
      </c>
      <c r="U459" s="145">
        <v>84.71</v>
      </c>
    </row>
    <row r="460" spans="1:21" x14ac:dyDescent="0.2">
      <c r="A460" s="89">
        <f t="shared" si="7"/>
        <v>452</v>
      </c>
      <c r="B460" s="43">
        <v>13</v>
      </c>
      <c r="C460" s="43">
        <v>8</v>
      </c>
      <c r="D460" s="38" t="s">
        <v>619</v>
      </c>
      <c r="E460" s="44" t="s">
        <v>144</v>
      </c>
      <c r="F460" s="44" t="s">
        <v>39</v>
      </c>
      <c r="G460" s="44" t="s">
        <v>120</v>
      </c>
      <c r="H460" s="44" t="s">
        <v>40</v>
      </c>
      <c r="I460" s="44" t="s">
        <v>40</v>
      </c>
      <c r="J460" s="44" t="s">
        <v>41</v>
      </c>
      <c r="K460" s="44" t="s">
        <v>132</v>
      </c>
      <c r="L460" s="40">
        <v>19446</v>
      </c>
      <c r="M460" s="41">
        <v>41851</v>
      </c>
      <c r="N460" s="40" t="s">
        <v>122</v>
      </c>
      <c r="O460" s="42"/>
      <c r="P460" s="40">
        <v>56</v>
      </c>
      <c r="Q460" s="145">
        <v>76.73</v>
      </c>
      <c r="R460" s="145">
        <v>79.55</v>
      </c>
      <c r="S460" s="145">
        <v>79.099999999999994</v>
      </c>
      <c r="T460" s="145">
        <v>80.540000000000006</v>
      </c>
      <c r="U460" s="145">
        <v>85.7</v>
      </c>
    </row>
    <row r="461" spans="1:21" x14ac:dyDescent="0.2">
      <c r="A461" s="89">
        <f t="shared" si="7"/>
        <v>453</v>
      </c>
      <c r="B461" s="43">
        <v>13</v>
      </c>
      <c r="C461" s="43">
        <v>9</v>
      </c>
      <c r="D461" s="38" t="s">
        <v>620</v>
      </c>
      <c r="E461" s="44" t="s">
        <v>146</v>
      </c>
      <c r="F461" s="44" t="s">
        <v>39</v>
      </c>
      <c r="G461" s="44" t="s">
        <v>120</v>
      </c>
      <c r="H461" s="44" t="s">
        <v>40</v>
      </c>
      <c r="I461" s="44" t="s">
        <v>40</v>
      </c>
      <c r="J461" s="44" t="s">
        <v>7</v>
      </c>
      <c r="K461" s="44" t="s">
        <v>129</v>
      </c>
      <c r="L461" s="40">
        <v>19448</v>
      </c>
      <c r="M461" s="41">
        <v>41851</v>
      </c>
      <c r="N461" s="40" t="s">
        <v>122</v>
      </c>
      <c r="O461" s="42"/>
      <c r="P461" s="40">
        <v>56</v>
      </c>
      <c r="Q461" s="145">
        <v>73.7</v>
      </c>
      <c r="R461" s="145">
        <v>77.790000000000006</v>
      </c>
      <c r="S461" s="145">
        <v>76.87</v>
      </c>
      <c r="T461" s="145">
        <v>78.64</v>
      </c>
      <c r="U461" s="145">
        <v>83.73</v>
      </c>
    </row>
    <row r="462" spans="1:21" x14ac:dyDescent="0.2">
      <c r="A462" s="89">
        <f t="shared" si="7"/>
        <v>454</v>
      </c>
      <c r="B462" s="43">
        <v>13</v>
      </c>
      <c r="C462" s="43">
        <v>10</v>
      </c>
      <c r="D462" s="38" t="s">
        <v>621</v>
      </c>
      <c r="E462" s="44" t="s">
        <v>148</v>
      </c>
      <c r="F462" s="44" t="s">
        <v>25</v>
      </c>
      <c r="G462" s="44" t="s">
        <v>120</v>
      </c>
      <c r="H462" s="44" t="s">
        <v>149</v>
      </c>
      <c r="I462" s="44" t="s">
        <v>26</v>
      </c>
      <c r="J462" s="44" t="s">
        <v>27</v>
      </c>
      <c r="K462" s="44" t="s">
        <v>150</v>
      </c>
      <c r="L462" s="40">
        <v>19449</v>
      </c>
      <c r="M462" s="41">
        <v>41851</v>
      </c>
      <c r="N462" s="40" t="s">
        <v>122</v>
      </c>
      <c r="O462" s="42"/>
      <c r="P462" s="40">
        <v>56</v>
      </c>
      <c r="Q462" s="145">
        <v>57.38</v>
      </c>
      <c r="R462" s="145">
        <v>58.9</v>
      </c>
      <c r="S462" s="145">
        <v>61.15</v>
      </c>
      <c r="T462" s="145">
        <v>62.94</v>
      </c>
      <c r="U462" s="145">
        <v>65.67</v>
      </c>
    </row>
    <row r="463" spans="1:21" x14ac:dyDescent="0.2">
      <c r="A463" s="89">
        <f t="shared" si="7"/>
        <v>455</v>
      </c>
      <c r="B463" s="43">
        <v>13</v>
      </c>
      <c r="C463" s="43">
        <v>11</v>
      </c>
      <c r="D463" s="38" t="s">
        <v>622</v>
      </c>
      <c r="E463" s="44" t="s">
        <v>152</v>
      </c>
      <c r="F463" s="44" t="s">
        <v>25</v>
      </c>
      <c r="G463" s="44" t="s">
        <v>120</v>
      </c>
      <c r="H463" s="44" t="s">
        <v>149</v>
      </c>
      <c r="I463" s="44" t="s">
        <v>26</v>
      </c>
      <c r="J463" s="44" t="s">
        <v>28</v>
      </c>
      <c r="K463" s="44" t="s">
        <v>153</v>
      </c>
      <c r="L463" s="40">
        <v>19450</v>
      </c>
      <c r="M463" s="41">
        <v>41851</v>
      </c>
      <c r="N463" s="40" t="s">
        <v>122</v>
      </c>
      <c r="O463" s="42"/>
      <c r="P463" s="40">
        <v>56</v>
      </c>
      <c r="Q463" s="145">
        <v>56.39</v>
      </c>
      <c r="R463" s="145">
        <v>58.06</v>
      </c>
      <c r="S463" s="145">
        <v>60.26</v>
      </c>
      <c r="T463" s="145">
        <v>62.1</v>
      </c>
      <c r="U463" s="145">
        <v>64.83</v>
      </c>
    </row>
    <row r="464" spans="1:21" x14ac:dyDescent="0.2">
      <c r="A464" s="89">
        <f t="shared" si="7"/>
        <v>456</v>
      </c>
      <c r="B464" s="43">
        <v>13</v>
      </c>
      <c r="C464" s="43">
        <v>12</v>
      </c>
      <c r="D464" s="38" t="s">
        <v>623</v>
      </c>
      <c r="E464" s="44" t="s">
        <v>155</v>
      </c>
      <c r="F464" s="44" t="s">
        <v>20</v>
      </c>
      <c r="G464" s="44" t="s">
        <v>120</v>
      </c>
      <c r="H464" s="44" t="s">
        <v>105</v>
      </c>
      <c r="I464" s="44" t="s">
        <v>156</v>
      </c>
      <c r="J464" s="44" t="s">
        <v>22</v>
      </c>
      <c r="K464" s="44" t="s">
        <v>157</v>
      </c>
      <c r="L464" s="40">
        <v>19451</v>
      </c>
      <c r="M464" s="41">
        <v>41851</v>
      </c>
      <c r="N464" s="40" t="s">
        <v>122</v>
      </c>
      <c r="O464" s="42"/>
      <c r="P464" s="40">
        <v>56</v>
      </c>
      <c r="Q464" s="145">
        <v>54.2</v>
      </c>
      <c r="R464" s="145">
        <v>56.13</v>
      </c>
      <c r="S464" s="145">
        <v>58.11</v>
      </c>
      <c r="T464" s="145">
        <v>59.96</v>
      </c>
      <c r="U464" s="145">
        <v>62.61</v>
      </c>
    </row>
    <row r="465" spans="1:21" x14ac:dyDescent="0.2">
      <c r="A465" s="89">
        <f t="shared" si="7"/>
        <v>457</v>
      </c>
      <c r="B465" s="43">
        <v>13</v>
      </c>
      <c r="C465" s="43">
        <v>13</v>
      </c>
      <c r="D465" s="38" t="s">
        <v>624</v>
      </c>
      <c r="E465" s="44" t="s">
        <v>159</v>
      </c>
      <c r="F465" s="44" t="s">
        <v>39</v>
      </c>
      <c r="G465" s="44" t="s">
        <v>120</v>
      </c>
      <c r="H465" s="44" t="s">
        <v>43</v>
      </c>
      <c r="I465" s="44" t="s">
        <v>43</v>
      </c>
      <c r="J465" s="44" t="s">
        <v>7</v>
      </c>
      <c r="K465" s="44" t="s">
        <v>140</v>
      </c>
      <c r="L465" s="40">
        <v>19452</v>
      </c>
      <c r="M465" s="41">
        <v>41851</v>
      </c>
      <c r="N465" s="40" t="s">
        <v>122</v>
      </c>
      <c r="O465" s="42"/>
      <c r="P465" s="40">
        <v>56</v>
      </c>
      <c r="Q465" s="145">
        <v>79.36</v>
      </c>
      <c r="R465" s="145">
        <v>82.1</v>
      </c>
      <c r="S465" s="145">
        <v>81.7</v>
      </c>
      <c r="T465" s="145">
        <v>83.13</v>
      </c>
      <c r="U465" s="145">
        <v>89.17</v>
      </c>
    </row>
    <row r="466" spans="1:21" x14ac:dyDescent="0.2">
      <c r="A466" s="89">
        <f t="shared" si="7"/>
        <v>458</v>
      </c>
      <c r="B466" s="43">
        <v>13</v>
      </c>
      <c r="C466" s="43">
        <v>14</v>
      </c>
      <c r="D466" s="38" t="s">
        <v>625</v>
      </c>
      <c r="E466" s="44" t="s">
        <v>161</v>
      </c>
      <c r="F466" s="44" t="s">
        <v>6</v>
      </c>
      <c r="G466" s="44" t="s">
        <v>120</v>
      </c>
      <c r="H466" s="44" t="s">
        <v>48</v>
      </c>
      <c r="I466" s="44" t="s">
        <v>48</v>
      </c>
      <c r="J466" s="44" t="s">
        <v>7</v>
      </c>
      <c r="K466" s="44" t="s">
        <v>140</v>
      </c>
      <c r="L466" s="40">
        <v>19453</v>
      </c>
      <c r="M466" s="41">
        <v>41851</v>
      </c>
      <c r="N466" s="40" t="s">
        <v>122</v>
      </c>
      <c r="O466" s="42"/>
      <c r="P466" s="40">
        <v>56</v>
      </c>
      <c r="Q466" s="145">
        <v>63.74</v>
      </c>
      <c r="R466" s="145">
        <v>65.959999999999994</v>
      </c>
      <c r="S466" s="145">
        <v>67.91</v>
      </c>
      <c r="T466" s="145">
        <v>69.900000000000006</v>
      </c>
      <c r="U466" s="145">
        <v>72.56</v>
      </c>
    </row>
    <row r="467" spans="1:21" x14ac:dyDescent="0.2">
      <c r="A467" s="89">
        <f t="shared" si="7"/>
        <v>459</v>
      </c>
      <c r="B467" s="43">
        <v>13</v>
      </c>
      <c r="C467" s="43">
        <v>15</v>
      </c>
      <c r="D467" s="38" t="s">
        <v>626</v>
      </c>
      <c r="E467" s="44" t="s">
        <v>163</v>
      </c>
      <c r="F467" s="44" t="s">
        <v>20</v>
      </c>
      <c r="G467" s="44" t="s">
        <v>120</v>
      </c>
      <c r="H467" s="44" t="s">
        <v>23</v>
      </c>
      <c r="I467" s="44" t="s">
        <v>164</v>
      </c>
      <c r="J467" s="44" t="s">
        <v>24</v>
      </c>
      <c r="K467" s="44" t="s">
        <v>140</v>
      </c>
      <c r="L467" s="40">
        <v>19454</v>
      </c>
      <c r="M467" s="41">
        <v>41851</v>
      </c>
      <c r="N467" s="40" t="s">
        <v>122</v>
      </c>
      <c r="O467" s="42"/>
      <c r="P467" s="40">
        <v>56</v>
      </c>
      <c r="Q467" s="145">
        <v>52.39</v>
      </c>
      <c r="R467" s="145">
        <v>54.07</v>
      </c>
      <c r="S467" s="145">
        <v>56.11</v>
      </c>
      <c r="T467" s="145">
        <v>57.91</v>
      </c>
      <c r="U467" s="145">
        <v>60.47</v>
      </c>
    </row>
    <row r="468" spans="1:21" x14ac:dyDescent="0.2">
      <c r="A468" s="89">
        <f t="shared" si="7"/>
        <v>460</v>
      </c>
      <c r="B468" s="43">
        <v>13</v>
      </c>
      <c r="C468" s="43">
        <v>16</v>
      </c>
      <c r="D468" s="38" t="s">
        <v>627</v>
      </c>
      <c r="E468" s="44" t="s">
        <v>166</v>
      </c>
      <c r="F468" s="44" t="s">
        <v>20</v>
      </c>
      <c r="G468" s="44" t="s">
        <v>120</v>
      </c>
      <c r="H468" s="44" t="s">
        <v>64</v>
      </c>
      <c r="I468" s="44" t="s">
        <v>167</v>
      </c>
      <c r="J468" s="44" t="s">
        <v>7</v>
      </c>
      <c r="K468" s="44" t="s">
        <v>140</v>
      </c>
      <c r="L468" s="40">
        <v>19455</v>
      </c>
      <c r="M468" s="41">
        <v>41851</v>
      </c>
      <c r="N468" s="40" t="s">
        <v>122</v>
      </c>
      <c r="O468" s="42"/>
      <c r="P468" s="40">
        <v>56</v>
      </c>
      <c r="Q468" s="145">
        <v>62.43</v>
      </c>
      <c r="R468" s="145">
        <v>63.07</v>
      </c>
      <c r="S468" s="145">
        <v>64.42</v>
      </c>
      <c r="T468" s="145">
        <v>65.34</v>
      </c>
      <c r="U468" s="145">
        <v>73.13</v>
      </c>
    </row>
    <row r="469" spans="1:21" x14ac:dyDescent="0.2">
      <c r="A469" s="89">
        <f t="shared" si="7"/>
        <v>461</v>
      </c>
      <c r="B469" s="43">
        <v>13</v>
      </c>
      <c r="C469" s="43">
        <v>17</v>
      </c>
      <c r="D469" s="38" t="s">
        <v>628</v>
      </c>
      <c r="E469" s="44" t="s">
        <v>169</v>
      </c>
      <c r="F469" s="44" t="s">
        <v>31</v>
      </c>
      <c r="G469" s="44" t="s">
        <v>120</v>
      </c>
      <c r="H469" s="44" t="s">
        <v>35</v>
      </c>
      <c r="I469" s="44" t="s">
        <v>35</v>
      </c>
      <c r="J469" s="44" t="s">
        <v>9</v>
      </c>
      <c r="K469" s="44" t="s">
        <v>135</v>
      </c>
      <c r="L469" s="40">
        <v>19456</v>
      </c>
      <c r="M469" s="41">
        <v>41851</v>
      </c>
      <c r="N469" s="40" t="s">
        <v>122</v>
      </c>
      <c r="O469" s="42"/>
      <c r="P469" s="40">
        <v>56</v>
      </c>
      <c r="Q469" s="145">
        <v>84.93</v>
      </c>
      <c r="R469" s="145">
        <v>88.74</v>
      </c>
      <c r="S469" s="145">
        <v>88.39</v>
      </c>
      <c r="T469" s="145">
        <v>90.2</v>
      </c>
      <c r="U469" s="145">
        <v>97.01</v>
      </c>
    </row>
    <row r="470" spans="1:21" x14ac:dyDescent="0.2">
      <c r="A470" s="89">
        <f t="shared" si="7"/>
        <v>462</v>
      </c>
      <c r="B470" s="43">
        <v>13</v>
      </c>
      <c r="C470" s="43">
        <v>18</v>
      </c>
      <c r="D470" s="38" t="s">
        <v>629</v>
      </c>
      <c r="E470" s="44" t="s">
        <v>171</v>
      </c>
      <c r="F470" s="44" t="s">
        <v>31</v>
      </c>
      <c r="G470" s="44" t="s">
        <v>120</v>
      </c>
      <c r="H470" s="44" t="s">
        <v>35</v>
      </c>
      <c r="I470" s="44" t="s">
        <v>35</v>
      </c>
      <c r="J470" s="44" t="s">
        <v>10</v>
      </c>
      <c r="K470" s="44" t="s">
        <v>132</v>
      </c>
      <c r="L470" s="40">
        <v>19457</v>
      </c>
      <c r="M470" s="41">
        <v>41851</v>
      </c>
      <c r="N470" s="40" t="s">
        <v>122</v>
      </c>
      <c r="O470" s="42"/>
      <c r="P470" s="40">
        <v>56</v>
      </c>
      <c r="Q470" s="145">
        <v>92.98</v>
      </c>
      <c r="R470" s="145">
        <v>91.8</v>
      </c>
      <c r="S470" s="145">
        <v>93.03</v>
      </c>
      <c r="T470" s="145">
        <v>93.3</v>
      </c>
      <c r="U470" s="145">
        <v>100.06</v>
      </c>
    </row>
    <row r="471" spans="1:21" x14ac:dyDescent="0.2">
      <c r="A471" s="89">
        <f t="shared" si="7"/>
        <v>463</v>
      </c>
      <c r="B471" s="43">
        <v>13</v>
      </c>
      <c r="C471" s="43">
        <v>19</v>
      </c>
      <c r="D471" s="38" t="s">
        <v>630</v>
      </c>
      <c r="E471" s="44" t="s">
        <v>173</v>
      </c>
      <c r="F471" s="44" t="s">
        <v>31</v>
      </c>
      <c r="G471" s="44" t="s">
        <v>120</v>
      </c>
      <c r="H471" s="44" t="s">
        <v>35</v>
      </c>
      <c r="I471" s="44" t="s">
        <v>35</v>
      </c>
      <c r="J471" s="44" t="s">
        <v>11</v>
      </c>
      <c r="K471" s="44" t="s">
        <v>129</v>
      </c>
      <c r="L471" s="40">
        <v>19458</v>
      </c>
      <c r="M471" s="41">
        <v>41851</v>
      </c>
      <c r="N471" s="40" t="s">
        <v>122</v>
      </c>
      <c r="O471" s="42"/>
      <c r="P471" s="40">
        <v>56</v>
      </c>
      <c r="Q471" s="145">
        <v>86.94</v>
      </c>
      <c r="R471" s="145">
        <v>89.33</v>
      </c>
      <c r="S471" s="145">
        <v>89.42</v>
      </c>
      <c r="T471" s="145">
        <v>90.79</v>
      </c>
      <c r="U471" s="145">
        <v>97.52</v>
      </c>
    </row>
    <row r="472" spans="1:21" x14ac:dyDescent="0.2">
      <c r="A472" s="89">
        <f t="shared" si="7"/>
        <v>464</v>
      </c>
      <c r="B472" s="43">
        <v>13</v>
      </c>
      <c r="C472" s="43">
        <v>20</v>
      </c>
      <c r="D472" s="38" t="s">
        <v>631</v>
      </c>
      <c r="E472" s="44" t="s">
        <v>175</v>
      </c>
      <c r="F472" s="44" t="s">
        <v>6</v>
      </c>
      <c r="G472" s="44" t="s">
        <v>120</v>
      </c>
      <c r="H472" s="44" t="s">
        <v>176</v>
      </c>
      <c r="I472" s="44" t="s">
        <v>177</v>
      </c>
      <c r="J472" s="44" t="s">
        <v>9</v>
      </c>
      <c r="K472" s="44" t="s">
        <v>135</v>
      </c>
      <c r="L472" s="40">
        <v>19460</v>
      </c>
      <c r="M472" s="41">
        <v>41851</v>
      </c>
      <c r="N472" s="40" t="s">
        <v>122</v>
      </c>
      <c r="O472" s="42"/>
      <c r="P472" s="40">
        <v>56</v>
      </c>
      <c r="Q472" s="145">
        <v>66.25</v>
      </c>
      <c r="R472" s="145">
        <v>69.59</v>
      </c>
      <c r="S472" s="145">
        <v>68.87</v>
      </c>
      <c r="T472" s="145">
        <v>70.31</v>
      </c>
      <c r="U472" s="145">
        <v>75.55</v>
      </c>
    </row>
    <row r="473" spans="1:21" x14ac:dyDescent="0.2">
      <c r="A473" s="89">
        <f t="shared" si="7"/>
        <v>465</v>
      </c>
      <c r="B473" s="43">
        <v>13</v>
      </c>
      <c r="C473" s="43">
        <v>21</v>
      </c>
      <c r="D473" s="38" t="s">
        <v>632</v>
      </c>
      <c r="E473" s="44" t="s">
        <v>179</v>
      </c>
      <c r="F473" s="44" t="s">
        <v>6</v>
      </c>
      <c r="G473" s="44" t="s">
        <v>120</v>
      </c>
      <c r="H473" s="44" t="s">
        <v>176</v>
      </c>
      <c r="I473" s="44" t="s">
        <v>177</v>
      </c>
      <c r="J473" s="44" t="s">
        <v>10</v>
      </c>
      <c r="K473" s="44" t="s">
        <v>132</v>
      </c>
      <c r="L473" s="40">
        <v>19459</v>
      </c>
      <c r="M473" s="41">
        <v>41851</v>
      </c>
      <c r="N473" s="40" t="s">
        <v>122</v>
      </c>
      <c r="O473" s="42"/>
      <c r="P473" s="40">
        <v>56</v>
      </c>
      <c r="Q473" s="145">
        <v>67.739999999999995</v>
      </c>
      <c r="R473" s="145">
        <v>70.67</v>
      </c>
      <c r="S473" s="145">
        <v>70.099999999999994</v>
      </c>
      <c r="T473" s="145">
        <v>71.41</v>
      </c>
      <c r="U473" s="145">
        <v>76.66</v>
      </c>
    </row>
    <row r="474" spans="1:21" x14ac:dyDescent="0.2">
      <c r="A474" s="89">
        <f t="shared" si="7"/>
        <v>466</v>
      </c>
      <c r="B474" s="43">
        <v>13</v>
      </c>
      <c r="C474" s="43">
        <v>22</v>
      </c>
      <c r="D474" s="38" t="s">
        <v>633</v>
      </c>
      <c r="E474" s="44" t="s">
        <v>181</v>
      </c>
      <c r="F474" s="44" t="s">
        <v>6</v>
      </c>
      <c r="G474" s="44" t="s">
        <v>120</v>
      </c>
      <c r="H474" s="44" t="s">
        <v>176</v>
      </c>
      <c r="I474" s="44" t="s">
        <v>177</v>
      </c>
      <c r="J474" s="44" t="s">
        <v>11</v>
      </c>
      <c r="K474" s="44" t="s">
        <v>129</v>
      </c>
      <c r="L474" s="40">
        <v>19461</v>
      </c>
      <c r="M474" s="41">
        <v>41851</v>
      </c>
      <c r="N474" s="40" t="s">
        <v>122</v>
      </c>
      <c r="O474" s="42"/>
      <c r="P474" s="40">
        <v>56</v>
      </c>
      <c r="Q474" s="145">
        <v>65.62</v>
      </c>
      <c r="R474" s="145">
        <v>69.67</v>
      </c>
      <c r="S474" s="145">
        <v>68.7</v>
      </c>
      <c r="T474" s="145">
        <v>70.45</v>
      </c>
      <c r="U474" s="145">
        <v>75.66</v>
      </c>
    </row>
    <row r="475" spans="1:21" x14ac:dyDescent="0.2">
      <c r="A475" s="89">
        <f t="shared" si="7"/>
        <v>467</v>
      </c>
      <c r="B475" s="43">
        <v>13</v>
      </c>
      <c r="C475" s="43">
        <v>23</v>
      </c>
      <c r="D475" s="38" t="s">
        <v>634</v>
      </c>
      <c r="E475" s="44" t="s">
        <v>183</v>
      </c>
      <c r="F475" s="44" t="s">
        <v>6</v>
      </c>
      <c r="G475" s="44" t="s">
        <v>120</v>
      </c>
      <c r="H475" s="44" t="s">
        <v>13</v>
      </c>
      <c r="I475" s="44" t="s">
        <v>13</v>
      </c>
      <c r="J475" s="44" t="s">
        <v>7</v>
      </c>
      <c r="K475" s="44" t="s">
        <v>140</v>
      </c>
      <c r="L475" s="40">
        <v>19462</v>
      </c>
      <c r="M475" s="41">
        <v>41851</v>
      </c>
      <c r="N475" s="40" t="s">
        <v>122</v>
      </c>
      <c r="O475" s="42"/>
      <c r="P475" s="40">
        <v>56</v>
      </c>
      <c r="Q475" s="145">
        <v>70.72</v>
      </c>
      <c r="R475" s="145">
        <v>74.02</v>
      </c>
      <c r="S475" s="145">
        <v>73.31</v>
      </c>
      <c r="T475" s="145">
        <v>74.89</v>
      </c>
      <c r="U475" s="145">
        <v>81.069999999999993</v>
      </c>
    </row>
    <row r="476" spans="1:21" x14ac:dyDescent="0.2">
      <c r="A476" s="89">
        <f t="shared" si="7"/>
        <v>468</v>
      </c>
      <c r="B476" s="43">
        <v>13</v>
      </c>
      <c r="C476" s="43">
        <v>24</v>
      </c>
      <c r="D476" s="38" t="s">
        <v>635</v>
      </c>
      <c r="E476" s="44" t="s">
        <v>185</v>
      </c>
      <c r="F476" s="44" t="s">
        <v>6</v>
      </c>
      <c r="G476" s="44" t="s">
        <v>120</v>
      </c>
      <c r="H476" s="44" t="s">
        <v>12</v>
      </c>
      <c r="I476" s="44" t="s">
        <v>186</v>
      </c>
      <c r="J476" s="44" t="s">
        <v>9</v>
      </c>
      <c r="K476" s="44" t="s">
        <v>135</v>
      </c>
      <c r="L476" s="40">
        <v>19463</v>
      </c>
      <c r="M476" s="41">
        <v>41851</v>
      </c>
      <c r="N476" s="40" t="s">
        <v>122</v>
      </c>
      <c r="O476" s="42"/>
      <c r="P476" s="40">
        <v>56</v>
      </c>
      <c r="Q476" s="145">
        <v>66.790000000000006</v>
      </c>
      <c r="R476" s="145">
        <v>69.489999999999995</v>
      </c>
      <c r="S476" s="145">
        <v>69.03</v>
      </c>
      <c r="T476" s="145">
        <v>70.13</v>
      </c>
      <c r="U476" s="145">
        <v>75.42</v>
      </c>
    </row>
    <row r="477" spans="1:21" x14ac:dyDescent="0.2">
      <c r="A477" s="89">
        <f t="shared" si="7"/>
        <v>469</v>
      </c>
      <c r="B477" s="43">
        <v>13</v>
      </c>
      <c r="C477" s="43">
        <v>25</v>
      </c>
      <c r="D477" s="38" t="s">
        <v>636</v>
      </c>
      <c r="E477" s="44" t="s">
        <v>188</v>
      </c>
      <c r="F477" s="44" t="s">
        <v>6</v>
      </c>
      <c r="G477" s="44" t="s">
        <v>120</v>
      </c>
      <c r="H477" s="44" t="s">
        <v>12</v>
      </c>
      <c r="I477" s="44" t="s">
        <v>186</v>
      </c>
      <c r="J477" s="44" t="s">
        <v>10</v>
      </c>
      <c r="K477" s="44" t="s">
        <v>132</v>
      </c>
      <c r="L477" s="40">
        <v>19464</v>
      </c>
      <c r="M477" s="41">
        <v>41851</v>
      </c>
      <c r="N477" s="40" t="s">
        <v>122</v>
      </c>
      <c r="O477" s="42"/>
      <c r="P477" s="40">
        <v>56</v>
      </c>
      <c r="Q477" s="145">
        <v>68.27</v>
      </c>
      <c r="R477" s="145">
        <v>70.680000000000007</v>
      </c>
      <c r="S477" s="145">
        <v>70.31</v>
      </c>
      <c r="T477" s="145">
        <v>71.33</v>
      </c>
      <c r="U477" s="145">
        <v>76.61</v>
      </c>
    </row>
    <row r="478" spans="1:21" x14ac:dyDescent="0.2">
      <c r="A478" s="89">
        <f t="shared" si="7"/>
        <v>470</v>
      </c>
      <c r="B478" s="43">
        <v>13</v>
      </c>
      <c r="C478" s="43">
        <v>26</v>
      </c>
      <c r="D478" s="38" t="s">
        <v>637</v>
      </c>
      <c r="E478" s="44" t="s">
        <v>190</v>
      </c>
      <c r="F478" s="44" t="s">
        <v>6</v>
      </c>
      <c r="G478" s="44" t="s">
        <v>120</v>
      </c>
      <c r="H478" s="44" t="s">
        <v>12</v>
      </c>
      <c r="I478" s="44" t="s">
        <v>186</v>
      </c>
      <c r="J478" s="44" t="s">
        <v>11</v>
      </c>
      <c r="K478" s="44" t="s">
        <v>129</v>
      </c>
      <c r="L478" s="40">
        <v>19465</v>
      </c>
      <c r="M478" s="41">
        <v>41851</v>
      </c>
      <c r="N478" s="40" t="s">
        <v>122</v>
      </c>
      <c r="O478" s="42"/>
      <c r="P478" s="40">
        <v>56</v>
      </c>
      <c r="Q478" s="145">
        <v>69.16</v>
      </c>
      <c r="R478" s="145">
        <v>70.19</v>
      </c>
      <c r="S478" s="145">
        <v>70.19</v>
      </c>
      <c r="T478" s="145">
        <v>70.89</v>
      </c>
      <c r="U478" s="145">
        <v>76.150000000000006</v>
      </c>
    </row>
    <row r="479" spans="1:21" x14ac:dyDescent="0.2">
      <c r="A479" s="89">
        <f t="shared" si="7"/>
        <v>471</v>
      </c>
      <c r="B479" s="43">
        <v>13</v>
      </c>
      <c r="C479" s="43">
        <v>27</v>
      </c>
      <c r="D479" s="38" t="s">
        <v>638</v>
      </c>
      <c r="E479" s="44" t="s">
        <v>192</v>
      </c>
      <c r="F479" s="44" t="s">
        <v>6</v>
      </c>
      <c r="G479" s="44" t="s">
        <v>120</v>
      </c>
      <c r="H479" s="44" t="s">
        <v>100</v>
      </c>
      <c r="I479" s="44" t="s">
        <v>193</v>
      </c>
      <c r="J479" s="44" t="s">
        <v>7</v>
      </c>
      <c r="K479" s="44" t="s">
        <v>140</v>
      </c>
      <c r="L479" s="40">
        <v>19466</v>
      </c>
      <c r="M479" s="41">
        <v>41851</v>
      </c>
      <c r="N479" s="40" t="s">
        <v>122</v>
      </c>
      <c r="O479" s="42"/>
      <c r="P479" s="40">
        <v>56</v>
      </c>
      <c r="Q479" s="145">
        <v>69.42</v>
      </c>
      <c r="R479" s="145">
        <v>68.61</v>
      </c>
      <c r="S479" s="145">
        <v>70.349999999999994</v>
      </c>
      <c r="T479" s="145">
        <v>70.760000000000005</v>
      </c>
      <c r="U479" s="145">
        <v>78.459999999999994</v>
      </c>
    </row>
    <row r="480" spans="1:21" x14ac:dyDescent="0.2">
      <c r="A480" s="89">
        <f t="shared" si="7"/>
        <v>472</v>
      </c>
      <c r="B480" s="43">
        <v>13</v>
      </c>
      <c r="C480" s="43">
        <v>28</v>
      </c>
      <c r="D480" s="38" t="s">
        <v>639</v>
      </c>
      <c r="E480" s="44" t="s">
        <v>195</v>
      </c>
      <c r="F480" s="44" t="s">
        <v>39</v>
      </c>
      <c r="G480" s="44" t="s">
        <v>120</v>
      </c>
      <c r="H480" s="44" t="s">
        <v>44</v>
      </c>
      <c r="I480" s="44" t="s">
        <v>44</v>
      </c>
      <c r="J480" s="44" t="s">
        <v>7</v>
      </c>
      <c r="K480" s="44" t="s">
        <v>140</v>
      </c>
      <c r="L480" s="40">
        <v>19467</v>
      </c>
      <c r="M480" s="41">
        <v>41851</v>
      </c>
      <c r="N480" s="40" t="s">
        <v>122</v>
      </c>
      <c r="O480" s="42"/>
      <c r="P480" s="40">
        <v>56</v>
      </c>
      <c r="Q480" s="145">
        <v>76.5</v>
      </c>
      <c r="R480" s="145">
        <v>78.69</v>
      </c>
      <c r="S480" s="145">
        <v>78.59</v>
      </c>
      <c r="T480" s="145">
        <v>79.8</v>
      </c>
      <c r="U480" s="145">
        <v>85.48</v>
      </c>
    </row>
    <row r="481" spans="1:21" x14ac:dyDescent="0.2">
      <c r="A481" s="89">
        <f t="shared" si="7"/>
        <v>473</v>
      </c>
      <c r="B481" s="43">
        <v>13</v>
      </c>
      <c r="C481" s="43">
        <v>29</v>
      </c>
      <c r="D481" s="38" t="s">
        <v>640</v>
      </c>
      <c r="E481" s="44" t="s">
        <v>197</v>
      </c>
      <c r="F481" s="44" t="s">
        <v>39</v>
      </c>
      <c r="G481" s="44" t="s">
        <v>120</v>
      </c>
      <c r="H481" s="44" t="s">
        <v>44</v>
      </c>
      <c r="I481" s="44" t="s">
        <v>44</v>
      </c>
      <c r="J481" s="44" t="s">
        <v>45</v>
      </c>
      <c r="K481" s="44" t="s">
        <v>198</v>
      </c>
      <c r="L481" s="40">
        <v>19468</v>
      </c>
      <c r="M481" s="41">
        <v>41851</v>
      </c>
      <c r="N481" s="40" t="s">
        <v>122</v>
      </c>
      <c r="O481" s="42"/>
      <c r="P481" s="40">
        <v>56</v>
      </c>
      <c r="Q481" s="145">
        <v>73.56</v>
      </c>
      <c r="R481" s="145">
        <v>76.59</v>
      </c>
      <c r="S481" s="145">
        <v>76.17</v>
      </c>
      <c r="T481" s="145">
        <v>77.66</v>
      </c>
      <c r="U481" s="145">
        <v>83.29</v>
      </c>
    </row>
    <row r="482" spans="1:21" x14ac:dyDescent="0.2">
      <c r="A482" s="89">
        <f t="shared" si="7"/>
        <v>474</v>
      </c>
      <c r="B482" s="43">
        <v>13</v>
      </c>
      <c r="C482" s="43">
        <v>30</v>
      </c>
      <c r="D482" s="38" t="s">
        <v>641</v>
      </c>
      <c r="E482" s="44" t="s">
        <v>200</v>
      </c>
      <c r="F482" s="44" t="s">
        <v>39</v>
      </c>
      <c r="G482" s="44" t="s">
        <v>120</v>
      </c>
      <c r="H482" s="44" t="s">
        <v>44</v>
      </c>
      <c r="I482" s="44" t="s">
        <v>44</v>
      </c>
      <c r="J482" s="44" t="s">
        <v>46</v>
      </c>
      <c r="K482" s="44" t="s">
        <v>46</v>
      </c>
      <c r="L482" s="40">
        <v>19469</v>
      </c>
      <c r="M482" s="41">
        <v>41851</v>
      </c>
      <c r="N482" s="40" t="s">
        <v>122</v>
      </c>
      <c r="O482" s="42"/>
      <c r="P482" s="40">
        <v>56</v>
      </c>
      <c r="Q482" s="145">
        <v>72.709999999999994</v>
      </c>
      <c r="R482" s="145">
        <v>75.88</v>
      </c>
      <c r="S482" s="145">
        <v>75.569999999999993</v>
      </c>
      <c r="T482" s="145">
        <v>77.08</v>
      </c>
      <c r="U482" s="145">
        <v>82.71</v>
      </c>
    </row>
    <row r="483" spans="1:21" x14ac:dyDescent="0.2">
      <c r="A483" s="89">
        <f t="shared" si="7"/>
        <v>475</v>
      </c>
      <c r="B483" s="43">
        <v>13</v>
      </c>
      <c r="C483" s="43">
        <v>31</v>
      </c>
      <c r="D483" s="38" t="s">
        <v>642</v>
      </c>
      <c r="E483" s="44" t="s">
        <v>202</v>
      </c>
      <c r="F483" s="44" t="s">
        <v>39</v>
      </c>
      <c r="G483" s="44" t="s">
        <v>120</v>
      </c>
      <c r="H483" s="44" t="s">
        <v>47</v>
      </c>
      <c r="I483" s="44" t="s">
        <v>47</v>
      </c>
      <c r="J483" s="44" t="s">
        <v>7</v>
      </c>
      <c r="K483" s="44" t="s">
        <v>140</v>
      </c>
      <c r="L483" s="40">
        <v>19470</v>
      </c>
      <c r="M483" s="41">
        <v>41851</v>
      </c>
      <c r="N483" s="40" t="s">
        <v>122</v>
      </c>
      <c r="O483" s="42"/>
      <c r="P483" s="40">
        <v>56</v>
      </c>
      <c r="Q483" s="145">
        <v>65.66</v>
      </c>
      <c r="R483" s="145">
        <v>65.72</v>
      </c>
      <c r="S483" s="145">
        <v>68.569999999999993</v>
      </c>
      <c r="T483" s="145">
        <v>70.06</v>
      </c>
      <c r="U483" s="145">
        <v>73.180000000000007</v>
      </c>
    </row>
    <row r="484" spans="1:21" x14ac:dyDescent="0.2">
      <c r="A484" s="89">
        <f t="shared" si="7"/>
        <v>476</v>
      </c>
      <c r="B484" s="43">
        <v>13</v>
      </c>
      <c r="C484" s="43">
        <v>32</v>
      </c>
      <c r="D484" s="38" t="s">
        <v>643</v>
      </c>
      <c r="E484" s="44" t="s">
        <v>204</v>
      </c>
      <c r="F484" s="44" t="s">
        <v>6</v>
      </c>
      <c r="G484" s="44" t="s">
        <v>120</v>
      </c>
      <c r="H484" s="44" t="s">
        <v>14</v>
      </c>
      <c r="I484" s="44" t="s">
        <v>14</v>
      </c>
      <c r="J484" s="44" t="s">
        <v>15</v>
      </c>
      <c r="K484" s="44" t="s">
        <v>129</v>
      </c>
      <c r="L484" s="40">
        <v>19471</v>
      </c>
      <c r="M484" s="41">
        <v>41851</v>
      </c>
      <c r="N484" s="40" t="s">
        <v>122</v>
      </c>
      <c r="O484" s="42"/>
      <c r="P484" s="40">
        <v>56</v>
      </c>
      <c r="Q484" s="145">
        <v>73.680000000000007</v>
      </c>
      <c r="R484" s="145">
        <v>76.14</v>
      </c>
      <c r="S484" s="145">
        <v>75.78</v>
      </c>
      <c r="T484" s="145">
        <v>76.75</v>
      </c>
      <c r="U484" s="145">
        <v>81.96</v>
      </c>
    </row>
    <row r="485" spans="1:21" x14ac:dyDescent="0.2">
      <c r="A485" s="89">
        <f t="shared" si="7"/>
        <v>477</v>
      </c>
      <c r="B485" s="43">
        <v>13</v>
      </c>
      <c r="C485" s="43">
        <v>33</v>
      </c>
      <c r="D485" s="38" t="s">
        <v>644</v>
      </c>
      <c r="E485" s="44" t="s">
        <v>206</v>
      </c>
      <c r="F485" s="44" t="s">
        <v>6</v>
      </c>
      <c r="G485" s="44" t="s">
        <v>120</v>
      </c>
      <c r="H485" s="44" t="s">
        <v>14</v>
      </c>
      <c r="I485" s="44" t="s">
        <v>14</v>
      </c>
      <c r="J485" s="44" t="s">
        <v>16</v>
      </c>
      <c r="K485" s="44" t="s">
        <v>135</v>
      </c>
      <c r="L485" s="40">
        <v>19472</v>
      </c>
      <c r="M485" s="41">
        <v>41851</v>
      </c>
      <c r="N485" s="40" t="s">
        <v>122</v>
      </c>
      <c r="O485" s="42"/>
      <c r="P485" s="40">
        <v>56</v>
      </c>
      <c r="Q485" s="145">
        <v>74.86</v>
      </c>
      <c r="R485" s="145">
        <v>77.42</v>
      </c>
      <c r="S485" s="145">
        <v>77.06</v>
      </c>
      <c r="T485" s="145">
        <v>78.03</v>
      </c>
      <c r="U485" s="145">
        <v>83.32</v>
      </c>
    </row>
    <row r="486" spans="1:21" x14ac:dyDescent="0.2">
      <c r="A486" s="89">
        <f t="shared" si="7"/>
        <v>478</v>
      </c>
      <c r="B486" s="43">
        <v>13</v>
      </c>
      <c r="C486" s="43">
        <v>34</v>
      </c>
      <c r="D486" s="38" t="s">
        <v>645</v>
      </c>
      <c r="E486" s="44" t="s">
        <v>208</v>
      </c>
      <c r="F486" s="44" t="s">
        <v>31</v>
      </c>
      <c r="G486" s="44" t="s">
        <v>120</v>
      </c>
      <c r="H486" s="44" t="s">
        <v>36</v>
      </c>
      <c r="I486" s="44" t="s">
        <v>36</v>
      </c>
      <c r="J486" s="44" t="s">
        <v>37</v>
      </c>
      <c r="K486" s="44" t="s">
        <v>209</v>
      </c>
      <c r="L486" s="40">
        <v>19473</v>
      </c>
      <c r="M486" s="41">
        <v>41851</v>
      </c>
      <c r="N486" s="40" t="s">
        <v>122</v>
      </c>
      <c r="O486" s="42"/>
      <c r="P486" s="40">
        <v>56</v>
      </c>
      <c r="Q486" s="145">
        <v>98.89</v>
      </c>
      <c r="R486" s="145">
        <v>102.82</v>
      </c>
      <c r="S486" s="145">
        <v>102.27</v>
      </c>
      <c r="T486" s="145">
        <v>104.1</v>
      </c>
      <c r="U486" s="145">
        <v>108.08</v>
      </c>
    </row>
    <row r="487" spans="1:21" x14ac:dyDescent="0.2">
      <c r="A487" s="89">
        <f t="shared" si="7"/>
        <v>479</v>
      </c>
      <c r="B487" s="43">
        <v>13</v>
      </c>
      <c r="C487" s="43">
        <v>35</v>
      </c>
      <c r="D487" s="38" t="s">
        <v>646</v>
      </c>
      <c r="E487" s="44" t="s">
        <v>211</v>
      </c>
      <c r="F487" s="44" t="s">
        <v>31</v>
      </c>
      <c r="G487" s="44" t="s">
        <v>120</v>
      </c>
      <c r="H487" s="44" t="s">
        <v>36</v>
      </c>
      <c r="I487" s="44" t="s">
        <v>36</v>
      </c>
      <c r="J487" s="44" t="s">
        <v>38</v>
      </c>
      <c r="K487" s="44" t="s">
        <v>212</v>
      </c>
      <c r="L487" s="40">
        <v>19474</v>
      </c>
      <c r="M487" s="41">
        <v>41851</v>
      </c>
      <c r="N487" s="40" t="s">
        <v>122</v>
      </c>
      <c r="O487" s="42"/>
      <c r="P487" s="40">
        <v>56</v>
      </c>
      <c r="Q487" s="145">
        <v>97.02</v>
      </c>
      <c r="R487" s="145">
        <v>101.22</v>
      </c>
      <c r="S487" s="145">
        <v>100.46</v>
      </c>
      <c r="T487" s="145">
        <v>102.4</v>
      </c>
      <c r="U487" s="145">
        <v>106.34</v>
      </c>
    </row>
    <row r="488" spans="1:21" x14ac:dyDescent="0.2">
      <c r="A488" s="89">
        <f t="shared" si="7"/>
        <v>480</v>
      </c>
      <c r="B488" s="43">
        <v>13</v>
      </c>
      <c r="C488" s="43">
        <v>36</v>
      </c>
      <c r="D488" s="38" t="s">
        <v>647</v>
      </c>
      <c r="E488" s="44" t="s">
        <v>214</v>
      </c>
      <c r="F488" s="44" t="s">
        <v>6</v>
      </c>
      <c r="G488" s="44" t="s">
        <v>120</v>
      </c>
      <c r="H488" s="44" t="s">
        <v>17</v>
      </c>
      <c r="I488" s="44" t="s">
        <v>215</v>
      </c>
      <c r="J488" s="44" t="s">
        <v>18</v>
      </c>
      <c r="K488" s="44" t="s">
        <v>140</v>
      </c>
      <c r="L488" s="40">
        <v>19475</v>
      </c>
      <c r="M488" s="41">
        <v>41851</v>
      </c>
      <c r="N488" s="40" t="s">
        <v>122</v>
      </c>
      <c r="O488" s="42"/>
      <c r="P488" s="40">
        <v>56</v>
      </c>
      <c r="Q488" s="145">
        <v>59.22</v>
      </c>
      <c r="R488" s="145">
        <v>61.13</v>
      </c>
      <c r="S488" s="145">
        <v>62.98</v>
      </c>
      <c r="T488" s="145">
        <v>65.040000000000006</v>
      </c>
      <c r="U488" s="145">
        <v>67.760000000000005</v>
      </c>
    </row>
    <row r="489" spans="1:21" x14ac:dyDescent="0.2">
      <c r="A489" s="89">
        <f t="shared" si="7"/>
        <v>481</v>
      </c>
      <c r="B489" s="20"/>
      <c r="C489" s="20"/>
      <c r="D489" s="20"/>
    </row>
    <row r="490" spans="1:21" x14ac:dyDescent="0.2">
      <c r="A490" s="89">
        <f t="shared" si="7"/>
        <v>482</v>
      </c>
      <c r="B490" s="43">
        <v>14</v>
      </c>
      <c r="C490" s="43">
        <v>1</v>
      </c>
      <c r="D490" s="38" t="s">
        <v>612</v>
      </c>
      <c r="E490" s="44" t="s">
        <v>119</v>
      </c>
      <c r="F490" s="44" t="s">
        <v>31</v>
      </c>
      <c r="G490" s="44" t="s">
        <v>120</v>
      </c>
      <c r="H490" s="44" t="s">
        <v>32</v>
      </c>
      <c r="I490" s="44" t="s">
        <v>32</v>
      </c>
      <c r="J490" s="44" t="s">
        <v>33</v>
      </c>
      <c r="K490" s="44" t="s">
        <v>121</v>
      </c>
      <c r="L490" s="40">
        <v>19440</v>
      </c>
      <c r="M490" s="41">
        <v>41851</v>
      </c>
      <c r="N490" s="40" t="s">
        <v>122</v>
      </c>
      <c r="O490" s="42"/>
      <c r="P490" s="40">
        <v>57</v>
      </c>
      <c r="Q490" s="145">
        <v>87.14</v>
      </c>
      <c r="R490" s="145">
        <v>91.56</v>
      </c>
      <c r="S490" s="145">
        <v>90.87</v>
      </c>
      <c r="T490" s="145">
        <v>93.61</v>
      </c>
      <c r="U490" s="145">
        <v>99.26</v>
      </c>
    </row>
    <row r="491" spans="1:21" x14ac:dyDescent="0.2">
      <c r="A491" s="89">
        <f t="shared" si="7"/>
        <v>483</v>
      </c>
      <c r="B491" s="43">
        <v>14</v>
      </c>
      <c r="C491" s="43">
        <v>2</v>
      </c>
      <c r="D491" s="38" t="s">
        <v>613</v>
      </c>
      <c r="E491" s="44" t="s">
        <v>124</v>
      </c>
      <c r="F491" s="44" t="s">
        <v>31</v>
      </c>
      <c r="G491" s="44" t="s">
        <v>120</v>
      </c>
      <c r="H491" s="44" t="s">
        <v>32</v>
      </c>
      <c r="I491" s="44" t="s">
        <v>32</v>
      </c>
      <c r="J491" s="44" t="s">
        <v>34</v>
      </c>
      <c r="K491" s="44" t="s">
        <v>125</v>
      </c>
      <c r="L491" s="40">
        <v>19441</v>
      </c>
      <c r="M491" s="41">
        <v>41851</v>
      </c>
      <c r="N491" s="40" t="s">
        <v>122</v>
      </c>
      <c r="O491" s="42"/>
      <c r="P491" s="40">
        <v>57</v>
      </c>
      <c r="Q491" s="145">
        <v>86.65</v>
      </c>
      <c r="R491" s="145">
        <v>90.88</v>
      </c>
      <c r="S491" s="145">
        <v>90.15</v>
      </c>
      <c r="T491" s="145">
        <v>91.98</v>
      </c>
      <c r="U491" s="145">
        <v>96.31</v>
      </c>
    </row>
    <row r="492" spans="1:21" x14ac:dyDescent="0.2">
      <c r="A492" s="89">
        <f t="shared" si="7"/>
        <v>484</v>
      </c>
      <c r="B492" s="43">
        <v>14</v>
      </c>
      <c r="C492" s="43">
        <v>3</v>
      </c>
      <c r="D492" s="38" t="s">
        <v>614</v>
      </c>
      <c r="E492" s="44" t="s">
        <v>127</v>
      </c>
      <c r="F492" s="44" t="s">
        <v>20</v>
      </c>
      <c r="G492" s="44" t="s">
        <v>120</v>
      </c>
      <c r="H492" s="44" t="s">
        <v>63</v>
      </c>
      <c r="I492" s="44" t="s">
        <v>128</v>
      </c>
      <c r="J492" s="44" t="s">
        <v>15</v>
      </c>
      <c r="K492" s="44" t="s">
        <v>129</v>
      </c>
      <c r="L492" s="40">
        <v>19442</v>
      </c>
      <c r="M492" s="41">
        <v>41851</v>
      </c>
      <c r="N492" s="40" t="s">
        <v>122</v>
      </c>
      <c r="O492" s="42"/>
      <c r="P492" s="40">
        <v>57</v>
      </c>
      <c r="Q492" s="145">
        <v>60.75</v>
      </c>
      <c r="R492" s="145">
        <v>64.17</v>
      </c>
      <c r="S492" s="145">
        <v>63.67</v>
      </c>
      <c r="T492" s="145">
        <v>65.239999999999995</v>
      </c>
      <c r="U492" s="145">
        <v>66.459999999999994</v>
      </c>
    </row>
    <row r="493" spans="1:21" x14ac:dyDescent="0.2">
      <c r="A493" s="89">
        <f t="shared" si="7"/>
        <v>485</v>
      </c>
      <c r="B493" s="43">
        <v>14</v>
      </c>
      <c r="C493" s="43">
        <v>4</v>
      </c>
      <c r="D493" s="38" t="s">
        <v>615</v>
      </c>
      <c r="E493" s="44" t="s">
        <v>131</v>
      </c>
      <c r="F493" s="44" t="s">
        <v>20</v>
      </c>
      <c r="G493" s="44" t="s">
        <v>120</v>
      </c>
      <c r="H493" s="44" t="s">
        <v>63</v>
      </c>
      <c r="I493" s="44" t="s">
        <v>128</v>
      </c>
      <c r="J493" s="44" t="s">
        <v>21</v>
      </c>
      <c r="K493" s="44" t="s">
        <v>132</v>
      </c>
      <c r="L493" s="40">
        <v>19443</v>
      </c>
      <c r="M493" s="41">
        <v>41851</v>
      </c>
      <c r="N493" s="40" t="s">
        <v>122</v>
      </c>
      <c r="O493" s="42"/>
      <c r="P493" s="40">
        <v>57</v>
      </c>
      <c r="Q493" s="145">
        <v>63.68</v>
      </c>
      <c r="R493" s="145">
        <v>66.09</v>
      </c>
      <c r="S493" s="145">
        <v>66</v>
      </c>
      <c r="T493" s="145">
        <v>67.180000000000007</v>
      </c>
      <c r="U493" s="145">
        <v>68.45</v>
      </c>
    </row>
    <row r="494" spans="1:21" x14ac:dyDescent="0.2">
      <c r="A494" s="89">
        <f t="shared" si="7"/>
        <v>486</v>
      </c>
      <c r="B494" s="43">
        <v>14</v>
      </c>
      <c r="C494" s="43">
        <v>5</v>
      </c>
      <c r="D494" s="38" t="s">
        <v>616</v>
      </c>
      <c r="E494" s="44" t="s">
        <v>134</v>
      </c>
      <c r="F494" s="44" t="s">
        <v>20</v>
      </c>
      <c r="G494" s="44" t="s">
        <v>120</v>
      </c>
      <c r="H494" s="44" t="s">
        <v>63</v>
      </c>
      <c r="I494" s="44" t="s">
        <v>128</v>
      </c>
      <c r="J494" s="44" t="s">
        <v>16</v>
      </c>
      <c r="K494" s="44" t="s">
        <v>135</v>
      </c>
      <c r="L494" s="40">
        <v>19444</v>
      </c>
      <c r="M494" s="41">
        <v>41851</v>
      </c>
      <c r="N494" s="40" t="s">
        <v>122</v>
      </c>
      <c r="O494" s="42"/>
      <c r="P494" s="40">
        <v>57</v>
      </c>
      <c r="Q494" s="145">
        <v>62.28</v>
      </c>
      <c r="R494" s="145">
        <v>65.040000000000006</v>
      </c>
      <c r="S494" s="145">
        <v>64.8</v>
      </c>
      <c r="T494" s="145">
        <v>66.11</v>
      </c>
      <c r="U494" s="145">
        <v>67.36</v>
      </c>
    </row>
    <row r="495" spans="1:21" x14ac:dyDescent="0.2">
      <c r="A495" s="89">
        <f t="shared" si="7"/>
        <v>487</v>
      </c>
      <c r="B495" s="43">
        <v>14</v>
      </c>
      <c r="C495" s="43">
        <v>6</v>
      </c>
      <c r="D495" s="38" t="s">
        <v>617</v>
      </c>
      <c r="E495" s="44" t="s">
        <v>137</v>
      </c>
      <c r="F495" s="44" t="s">
        <v>25</v>
      </c>
      <c r="G495" s="44" t="s">
        <v>138</v>
      </c>
      <c r="H495" s="44" t="s">
        <v>139</v>
      </c>
      <c r="I495" s="44" t="s">
        <v>29</v>
      </c>
      <c r="J495" s="44" t="s">
        <v>30</v>
      </c>
      <c r="K495" s="44" t="s">
        <v>140</v>
      </c>
      <c r="L495" s="40">
        <v>19445</v>
      </c>
      <c r="M495" s="41">
        <v>41851</v>
      </c>
      <c r="N495" s="40" t="s">
        <v>122</v>
      </c>
      <c r="O495" s="42"/>
      <c r="P495" s="40">
        <v>57</v>
      </c>
      <c r="Q495" s="145">
        <v>0</v>
      </c>
      <c r="R495" s="145">
        <v>0</v>
      </c>
      <c r="S495" s="145">
        <v>0</v>
      </c>
      <c r="T495" s="145">
        <v>0</v>
      </c>
      <c r="U495" s="145">
        <v>0</v>
      </c>
    </row>
    <row r="496" spans="1:21" x14ac:dyDescent="0.2">
      <c r="A496" s="89">
        <f t="shared" si="7"/>
        <v>488</v>
      </c>
      <c r="B496" s="43">
        <v>14</v>
      </c>
      <c r="C496" s="43">
        <v>7</v>
      </c>
      <c r="D496" s="38" t="s">
        <v>618</v>
      </c>
      <c r="E496" s="44" t="s">
        <v>142</v>
      </c>
      <c r="F496" s="44" t="s">
        <v>39</v>
      </c>
      <c r="G496" s="44" t="s">
        <v>120</v>
      </c>
      <c r="H496" s="44" t="s">
        <v>40</v>
      </c>
      <c r="I496" s="44" t="s">
        <v>40</v>
      </c>
      <c r="J496" s="44" t="s">
        <v>42</v>
      </c>
      <c r="K496" s="44" t="s">
        <v>135</v>
      </c>
      <c r="L496" s="40">
        <v>19447</v>
      </c>
      <c r="M496" s="41">
        <v>41851</v>
      </c>
      <c r="N496" s="40" t="s">
        <v>122</v>
      </c>
      <c r="O496" s="42"/>
      <c r="P496" s="40">
        <v>57</v>
      </c>
      <c r="Q496" s="145">
        <v>74.989999999999995</v>
      </c>
      <c r="R496" s="145">
        <v>78.73</v>
      </c>
      <c r="S496" s="145">
        <v>77.95</v>
      </c>
      <c r="T496" s="145">
        <v>80.25</v>
      </c>
      <c r="U496" s="145">
        <v>85.16</v>
      </c>
    </row>
    <row r="497" spans="1:21" x14ac:dyDescent="0.2">
      <c r="A497" s="89">
        <f t="shared" si="7"/>
        <v>489</v>
      </c>
      <c r="B497" s="43">
        <v>14</v>
      </c>
      <c r="C497" s="43">
        <v>8</v>
      </c>
      <c r="D497" s="38" t="s">
        <v>619</v>
      </c>
      <c r="E497" s="44" t="s">
        <v>144</v>
      </c>
      <c r="F497" s="44" t="s">
        <v>39</v>
      </c>
      <c r="G497" s="44" t="s">
        <v>120</v>
      </c>
      <c r="H497" s="44" t="s">
        <v>40</v>
      </c>
      <c r="I497" s="44" t="s">
        <v>40</v>
      </c>
      <c r="J497" s="44" t="s">
        <v>41</v>
      </c>
      <c r="K497" s="44" t="s">
        <v>132</v>
      </c>
      <c r="L497" s="40">
        <v>19446</v>
      </c>
      <c r="M497" s="41">
        <v>41851</v>
      </c>
      <c r="N497" s="40" t="s">
        <v>122</v>
      </c>
      <c r="O497" s="42"/>
      <c r="P497" s="40">
        <v>57</v>
      </c>
      <c r="Q497" s="145">
        <v>76.27</v>
      </c>
      <c r="R497" s="145">
        <v>79.599999999999994</v>
      </c>
      <c r="S497" s="145">
        <v>79.069999999999993</v>
      </c>
      <c r="T497" s="145">
        <v>81.209999999999994</v>
      </c>
      <c r="U497" s="145">
        <v>86.14</v>
      </c>
    </row>
    <row r="498" spans="1:21" x14ac:dyDescent="0.2">
      <c r="A498" s="89">
        <f t="shared" si="7"/>
        <v>490</v>
      </c>
      <c r="B498" s="43">
        <v>14</v>
      </c>
      <c r="C498" s="43">
        <v>9</v>
      </c>
      <c r="D498" s="38" t="s">
        <v>620</v>
      </c>
      <c r="E498" s="44" t="s">
        <v>146</v>
      </c>
      <c r="F498" s="44" t="s">
        <v>39</v>
      </c>
      <c r="G498" s="44" t="s">
        <v>120</v>
      </c>
      <c r="H498" s="44" t="s">
        <v>40</v>
      </c>
      <c r="I498" s="44" t="s">
        <v>40</v>
      </c>
      <c r="J498" s="44" t="s">
        <v>7</v>
      </c>
      <c r="K498" s="44" t="s">
        <v>129</v>
      </c>
      <c r="L498" s="40">
        <v>19448</v>
      </c>
      <c r="M498" s="41">
        <v>41851</v>
      </c>
      <c r="N498" s="40" t="s">
        <v>122</v>
      </c>
      <c r="O498" s="42"/>
      <c r="P498" s="40">
        <v>57</v>
      </c>
      <c r="Q498" s="145">
        <v>73.69</v>
      </c>
      <c r="R498" s="145">
        <v>77.849999999999994</v>
      </c>
      <c r="S498" s="145">
        <v>76.849999999999994</v>
      </c>
      <c r="T498" s="145">
        <v>79.3</v>
      </c>
      <c r="U498" s="145">
        <v>84.16</v>
      </c>
    </row>
    <row r="499" spans="1:21" x14ac:dyDescent="0.2">
      <c r="A499" s="89">
        <f t="shared" si="7"/>
        <v>491</v>
      </c>
      <c r="B499" s="43">
        <v>14</v>
      </c>
      <c r="C499" s="43">
        <v>10</v>
      </c>
      <c r="D499" s="38" t="s">
        <v>621</v>
      </c>
      <c r="E499" s="44" t="s">
        <v>148</v>
      </c>
      <c r="F499" s="44" t="s">
        <v>25</v>
      </c>
      <c r="G499" s="44" t="s">
        <v>120</v>
      </c>
      <c r="H499" s="44" t="s">
        <v>149</v>
      </c>
      <c r="I499" s="44" t="s">
        <v>26</v>
      </c>
      <c r="J499" s="44" t="s">
        <v>27</v>
      </c>
      <c r="K499" s="44" t="s">
        <v>150</v>
      </c>
      <c r="L499" s="40">
        <v>19449</v>
      </c>
      <c r="M499" s="41">
        <v>41851</v>
      </c>
      <c r="N499" s="40" t="s">
        <v>122</v>
      </c>
      <c r="O499" s="42"/>
      <c r="P499" s="40">
        <v>57</v>
      </c>
      <c r="Q499" s="145">
        <v>56.57</v>
      </c>
      <c r="R499" s="145">
        <v>59.48</v>
      </c>
      <c r="S499" s="145">
        <v>61.3</v>
      </c>
      <c r="T499" s="145">
        <v>63.42</v>
      </c>
      <c r="U499" s="145">
        <v>66.010000000000005</v>
      </c>
    </row>
    <row r="500" spans="1:21" x14ac:dyDescent="0.2">
      <c r="A500" s="89">
        <f t="shared" si="7"/>
        <v>492</v>
      </c>
      <c r="B500" s="43">
        <v>14</v>
      </c>
      <c r="C500" s="43">
        <v>11</v>
      </c>
      <c r="D500" s="38" t="s">
        <v>622</v>
      </c>
      <c r="E500" s="44" t="s">
        <v>152</v>
      </c>
      <c r="F500" s="44" t="s">
        <v>25</v>
      </c>
      <c r="G500" s="44" t="s">
        <v>120</v>
      </c>
      <c r="H500" s="44" t="s">
        <v>149</v>
      </c>
      <c r="I500" s="44" t="s">
        <v>26</v>
      </c>
      <c r="J500" s="44" t="s">
        <v>28</v>
      </c>
      <c r="K500" s="44" t="s">
        <v>153</v>
      </c>
      <c r="L500" s="40">
        <v>19450</v>
      </c>
      <c r="M500" s="41">
        <v>41851</v>
      </c>
      <c r="N500" s="40" t="s">
        <v>122</v>
      </c>
      <c r="O500" s="42"/>
      <c r="P500" s="40">
        <v>57</v>
      </c>
      <c r="Q500" s="145">
        <v>55.64</v>
      </c>
      <c r="R500" s="145">
        <v>58.64</v>
      </c>
      <c r="S500" s="145">
        <v>60.44</v>
      </c>
      <c r="T500" s="145">
        <v>62.58</v>
      </c>
      <c r="U500" s="145">
        <v>65.19</v>
      </c>
    </row>
    <row r="501" spans="1:21" x14ac:dyDescent="0.2">
      <c r="A501" s="89">
        <f t="shared" si="7"/>
        <v>493</v>
      </c>
      <c r="B501" s="43">
        <v>14</v>
      </c>
      <c r="C501" s="43">
        <v>12</v>
      </c>
      <c r="D501" s="38" t="s">
        <v>623</v>
      </c>
      <c r="E501" s="44" t="s">
        <v>155</v>
      </c>
      <c r="F501" s="44" t="s">
        <v>20</v>
      </c>
      <c r="G501" s="44" t="s">
        <v>120</v>
      </c>
      <c r="H501" s="44" t="s">
        <v>105</v>
      </c>
      <c r="I501" s="44" t="s">
        <v>156</v>
      </c>
      <c r="J501" s="44" t="s">
        <v>22</v>
      </c>
      <c r="K501" s="44" t="s">
        <v>157</v>
      </c>
      <c r="L501" s="40">
        <v>19451</v>
      </c>
      <c r="M501" s="41">
        <v>41851</v>
      </c>
      <c r="N501" s="40" t="s">
        <v>122</v>
      </c>
      <c r="O501" s="42"/>
      <c r="P501" s="40">
        <v>57</v>
      </c>
      <c r="Q501" s="145">
        <v>53.79</v>
      </c>
      <c r="R501" s="145">
        <v>56.69</v>
      </c>
      <c r="S501" s="145">
        <v>58.34</v>
      </c>
      <c r="T501" s="145">
        <v>60.41</v>
      </c>
      <c r="U501" s="145">
        <v>62.94</v>
      </c>
    </row>
    <row r="502" spans="1:21" x14ac:dyDescent="0.2">
      <c r="A502" s="89">
        <f t="shared" si="7"/>
        <v>494</v>
      </c>
      <c r="B502" s="43">
        <v>14</v>
      </c>
      <c r="C502" s="43">
        <v>13</v>
      </c>
      <c r="D502" s="38" t="s">
        <v>624</v>
      </c>
      <c r="E502" s="44" t="s">
        <v>159</v>
      </c>
      <c r="F502" s="44" t="s">
        <v>39</v>
      </c>
      <c r="G502" s="44" t="s">
        <v>120</v>
      </c>
      <c r="H502" s="44" t="s">
        <v>43</v>
      </c>
      <c r="I502" s="44" t="s">
        <v>43</v>
      </c>
      <c r="J502" s="44" t="s">
        <v>7</v>
      </c>
      <c r="K502" s="44" t="s">
        <v>140</v>
      </c>
      <c r="L502" s="40">
        <v>19452</v>
      </c>
      <c r="M502" s="41">
        <v>41851</v>
      </c>
      <c r="N502" s="40" t="s">
        <v>122</v>
      </c>
      <c r="O502" s="42"/>
      <c r="P502" s="40">
        <v>57</v>
      </c>
      <c r="Q502" s="145">
        <v>79.599999999999994</v>
      </c>
      <c r="R502" s="145">
        <v>82.18</v>
      </c>
      <c r="S502" s="145">
        <v>81.819999999999993</v>
      </c>
      <c r="T502" s="145">
        <v>83.94</v>
      </c>
      <c r="U502" s="145">
        <v>89.71</v>
      </c>
    </row>
    <row r="503" spans="1:21" x14ac:dyDescent="0.2">
      <c r="A503" s="89">
        <f t="shared" si="7"/>
        <v>495</v>
      </c>
      <c r="B503" s="43">
        <v>14</v>
      </c>
      <c r="C503" s="43">
        <v>14</v>
      </c>
      <c r="D503" s="38" t="s">
        <v>625</v>
      </c>
      <c r="E503" s="44" t="s">
        <v>161</v>
      </c>
      <c r="F503" s="44" t="s">
        <v>6</v>
      </c>
      <c r="G503" s="44" t="s">
        <v>120</v>
      </c>
      <c r="H503" s="44" t="s">
        <v>48</v>
      </c>
      <c r="I503" s="44" t="s">
        <v>48</v>
      </c>
      <c r="J503" s="44" t="s">
        <v>7</v>
      </c>
      <c r="K503" s="44" t="s">
        <v>140</v>
      </c>
      <c r="L503" s="40">
        <v>19453</v>
      </c>
      <c r="M503" s="41">
        <v>41851</v>
      </c>
      <c r="N503" s="40" t="s">
        <v>122</v>
      </c>
      <c r="O503" s="42"/>
      <c r="P503" s="40">
        <v>57</v>
      </c>
      <c r="Q503" s="145">
        <v>63.28</v>
      </c>
      <c r="R503" s="145">
        <v>66.540000000000006</v>
      </c>
      <c r="S503" s="145">
        <v>68.150000000000006</v>
      </c>
      <c r="T503" s="145">
        <v>70.37</v>
      </c>
      <c r="U503" s="145">
        <v>72.900000000000006</v>
      </c>
    </row>
    <row r="504" spans="1:21" x14ac:dyDescent="0.2">
      <c r="A504" s="89">
        <f t="shared" si="7"/>
        <v>496</v>
      </c>
      <c r="B504" s="43">
        <v>14</v>
      </c>
      <c r="C504" s="43">
        <v>15</v>
      </c>
      <c r="D504" s="38" t="s">
        <v>626</v>
      </c>
      <c r="E504" s="44" t="s">
        <v>163</v>
      </c>
      <c r="F504" s="44" t="s">
        <v>20</v>
      </c>
      <c r="G504" s="44" t="s">
        <v>120</v>
      </c>
      <c r="H504" s="44" t="s">
        <v>23</v>
      </c>
      <c r="I504" s="44" t="s">
        <v>164</v>
      </c>
      <c r="J504" s="44" t="s">
        <v>24</v>
      </c>
      <c r="K504" s="44" t="s">
        <v>140</v>
      </c>
      <c r="L504" s="40">
        <v>19454</v>
      </c>
      <c r="M504" s="41">
        <v>41851</v>
      </c>
      <c r="N504" s="40" t="s">
        <v>122</v>
      </c>
      <c r="O504" s="42"/>
      <c r="P504" s="40">
        <v>57</v>
      </c>
      <c r="Q504" s="145">
        <v>52.01</v>
      </c>
      <c r="R504" s="145">
        <v>54.61</v>
      </c>
      <c r="S504" s="145">
        <v>56.41</v>
      </c>
      <c r="T504" s="145">
        <v>58.36</v>
      </c>
      <c r="U504" s="145">
        <v>60.81</v>
      </c>
    </row>
    <row r="505" spans="1:21" x14ac:dyDescent="0.2">
      <c r="A505" s="89">
        <f t="shared" si="7"/>
        <v>497</v>
      </c>
      <c r="B505" s="43">
        <v>14</v>
      </c>
      <c r="C505" s="43">
        <v>16</v>
      </c>
      <c r="D505" s="38" t="s">
        <v>627</v>
      </c>
      <c r="E505" s="44" t="s">
        <v>166</v>
      </c>
      <c r="F505" s="44" t="s">
        <v>20</v>
      </c>
      <c r="G505" s="44" t="s">
        <v>120</v>
      </c>
      <c r="H505" s="44" t="s">
        <v>64</v>
      </c>
      <c r="I505" s="44" t="s">
        <v>167</v>
      </c>
      <c r="J505" s="44" t="s">
        <v>7</v>
      </c>
      <c r="K505" s="44" t="s">
        <v>140</v>
      </c>
      <c r="L505" s="40">
        <v>19455</v>
      </c>
      <c r="M505" s="41">
        <v>41851</v>
      </c>
      <c r="N505" s="40" t="s">
        <v>122</v>
      </c>
      <c r="O505" s="42"/>
      <c r="P505" s="40">
        <v>57</v>
      </c>
      <c r="Q505" s="145">
        <v>61.7</v>
      </c>
      <c r="R505" s="145">
        <v>63.35</v>
      </c>
      <c r="S505" s="145">
        <v>64.38</v>
      </c>
      <c r="T505" s="145">
        <v>66.37</v>
      </c>
      <c r="U505" s="145">
        <v>73.86</v>
      </c>
    </row>
    <row r="506" spans="1:21" x14ac:dyDescent="0.2">
      <c r="A506" s="89">
        <f t="shared" si="7"/>
        <v>498</v>
      </c>
      <c r="B506" s="43">
        <v>14</v>
      </c>
      <c r="C506" s="43">
        <v>17</v>
      </c>
      <c r="D506" s="38" t="s">
        <v>628</v>
      </c>
      <c r="E506" s="44" t="s">
        <v>169</v>
      </c>
      <c r="F506" s="44" t="s">
        <v>31</v>
      </c>
      <c r="G506" s="44" t="s">
        <v>120</v>
      </c>
      <c r="H506" s="44" t="s">
        <v>35</v>
      </c>
      <c r="I506" s="44" t="s">
        <v>35</v>
      </c>
      <c r="J506" s="44" t="s">
        <v>9</v>
      </c>
      <c r="K506" s="44" t="s">
        <v>135</v>
      </c>
      <c r="L506" s="40">
        <v>19456</v>
      </c>
      <c r="M506" s="41">
        <v>41851</v>
      </c>
      <c r="N506" s="40" t="s">
        <v>122</v>
      </c>
      <c r="O506" s="42"/>
      <c r="P506" s="40">
        <v>57</v>
      </c>
      <c r="Q506" s="145">
        <v>85.1</v>
      </c>
      <c r="R506" s="145">
        <v>88.85</v>
      </c>
      <c r="S506" s="145">
        <v>88.54</v>
      </c>
      <c r="T506" s="145">
        <v>91.11</v>
      </c>
      <c r="U506" s="145">
        <v>97.65</v>
      </c>
    </row>
    <row r="507" spans="1:21" x14ac:dyDescent="0.2">
      <c r="A507" s="89">
        <f t="shared" si="7"/>
        <v>499</v>
      </c>
      <c r="B507" s="43">
        <v>14</v>
      </c>
      <c r="C507" s="43">
        <v>18</v>
      </c>
      <c r="D507" s="38" t="s">
        <v>629</v>
      </c>
      <c r="E507" s="44" t="s">
        <v>171</v>
      </c>
      <c r="F507" s="44" t="s">
        <v>31</v>
      </c>
      <c r="G507" s="44" t="s">
        <v>120</v>
      </c>
      <c r="H507" s="44" t="s">
        <v>35</v>
      </c>
      <c r="I507" s="44" t="s">
        <v>35</v>
      </c>
      <c r="J507" s="44" t="s">
        <v>10</v>
      </c>
      <c r="K507" s="44" t="s">
        <v>132</v>
      </c>
      <c r="L507" s="40">
        <v>19457</v>
      </c>
      <c r="M507" s="41">
        <v>41851</v>
      </c>
      <c r="N507" s="40" t="s">
        <v>122</v>
      </c>
      <c r="O507" s="42"/>
      <c r="P507" s="40">
        <v>57</v>
      </c>
      <c r="Q507" s="145">
        <v>91.51</v>
      </c>
      <c r="R507" s="145">
        <v>91.92</v>
      </c>
      <c r="S507" s="145">
        <v>92.71</v>
      </c>
      <c r="T507" s="145">
        <v>94.2</v>
      </c>
      <c r="U507" s="145">
        <v>100.7</v>
      </c>
    </row>
    <row r="508" spans="1:21" x14ac:dyDescent="0.2">
      <c r="A508" s="89">
        <f t="shared" si="7"/>
        <v>500</v>
      </c>
      <c r="B508" s="43">
        <v>14</v>
      </c>
      <c r="C508" s="43">
        <v>19</v>
      </c>
      <c r="D508" s="38" t="s">
        <v>630</v>
      </c>
      <c r="E508" s="44" t="s">
        <v>173</v>
      </c>
      <c r="F508" s="44" t="s">
        <v>31</v>
      </c>
      <c r="G508" s="44" t="s">
        <v>120</v>
      </c>
      <c r="H508" s="44" t="s">
        <v>35</v>
      </c>
      <c r="I508" s="44" t="s">
        <v>35</v>
      </c>
      <c r="J508" s="44" t="s">
        <v>11</v>
      </c>
      <c r="K508" s="44" t="s">
        <v>129</v>
      </c>
      <c r="L508" s="40">
        <v>19458</v>
      </c>
      <c r="M508" s="41">
        <v>41851</v>
      </c>
      <c r="N508" s="40" t="s">
        <v>122</v>
      </c>
      <c r="O508" s="42"/>
      <c r="P508" s="40">
        <v>57</v>
      </c>
      <c r="Q508" s="145">
        <v>86.21</v>
      </c>
      <c r="R508" s="145">
        <v>89.44</v>
      </c>
      <c r="S508" s="145">
        <v>89.24</v>
      </c>
      <c r="T508" s="145">
        <v>91.67</v>
      </c>
      <c r="U508" s="145">
        <v>98.13</v>
      </c>
    </row>
    <row r="509" spans="1:21" x14ac:dyDescent="0.2">
      <c r="A509" s="89">
        <f t="shared" si="7"/>
        <v>501</v>
      </c>
      <c r="B509" s="43">
        <v>14</v>
      </c>
      <c r="C509" s="43">
        <v>20</v>
      </c>
      <c r="D509" s="38" t="s">
        <v>631</v>
      </c>
      <c r="E509" s="44" t="s">
        <v>175</v>
      </c>
      <c r="F509" s="44" t="s">
        <v>6</v>
      </c>
      <c r="G509" s="44" t="s">
        <v>120</v>
      </c>
      <c r="H509" s="44" t="s">
        <v>176</v>
      </c>
      <c r="I509" s="44" t="s">
        <v>177</v>
      </c>
      <c r="J509" s="44" t="s">
        <v>9</v>
      </c>
      <c r="K509" s="44" t="s">
        <v>135</v>
      </c>
      <c r="L509" s="40">
        <v>19460</v>
      </c>
      <c r="M509" s="41">
        <v>41851</v>
      </c>
      <c r="N509" s="40" t="s">
        <v>122</v>
      </c>
      <c r="O509" s="42"/>
      <c r="P509" s="40">
        <v>57</v>
      </c>
      <c r="Q509" s="145">
        <v>66.489999999999995</v>
      </c>
      <c r="R509" s="145">
        <v>69.569999999999993</v>
      </c>
      <c r="S509" s="145">
        <v>68.989999999999995</v>
      </c>
      <c r="T509" s="145">
        <v>70.91</v>
      </c>
      <c r="U509" s="145">
        <v>75.989999999999995</v>
      </c>
    </row>
    <row r="510" spans="1:21" x14ac:dyDescent="0.2">
      <c r="A510" s="89">
        <f t="shared" si="7"/>
        <v>502</v>
      </c>
      <c r="B510" s="43">
        <v>14</v>
      </c>
      <c r="C510" s="43">
        <v>21</v>
      </c>
      <c r="D510" s="38" t="s">
        <v>632</v>
      </c>
      <c r="E510" s="44" t="s">
        <v>179</v>
      </c>
      <c r="F510" s="44" t="s">
        <v>6</v>
      </c>
      <c r="G510" s="44" t="s">
        <v>120</v>
      </c>
      <c r="H510" s="44" t="s">
        <v>176</v>
      </c>
      <c r="I510" s="44" t="s">
        <v>177</v>
      </c>
      <c r="J510" s="44" t="s">
        <v>10</v>
      </c>
      <c r="K510" s="44" t="s">
        <v>132</v>
      </c>
      <c r="L510" s="40">
        <v>19459</v>
      </c>
      <c r="M510" s="41">
        <v>41851</v>
      </c>
      <c r="N510" s="40" t="s">
        <v>122</v>
      </c>
      <c r="O510" s="42"/>
      <c r="P510" s="40">
        <v>57</v>
      </c>
      <c r="Q510" s="145">
        <v>67.78</v>
      </c>
      <c r="R510" s="145">
        <v>70.650000000000006</v>
      </c>
      <c r="S510" s="145">
        <v>70.150000000000006</v>
      </c>
      <c r="T510" s="145">
        <v>72.010000000000005</v>
      </c>
      <c r="U510" s="145">
        <v>77.099999999999994</v>
      </c>
    </row>
    <row r="511" spans="1:21" x14ac:dyDescent="0.2">
      <c r="A511" s="89">
        <f t="shared" si="7"/>
        <v>503</v>
      </c>
      <c r="B511" s="43">
        <v>14</v>
      </c>
      <c r="C511" s="43">
        <v>22</v>
      </c>
      <c r="D511" s="38" t="s">
        <v>633</v>
      </c>
      <c r="E511" s="44" t="s">
        <v>181</v>
      </c>
      <c r="F511" s="44" t="s">
        <v>6</v>
      </c>
      <c r="G511" s="44" t="s">
        <v>120</v>
      </c>
      <c r="H511" s="44" t="s">
        <v>176</v>
      </c>
      <c r="I511" s="44" t="s">
        <v>177</v>
      </c>
      <c r="J511" s="44" t="s">
        <v>11</v>
      </c>
      <c r="K511" s="44" t="s">
        <v>129</v>
      </c>
      <c r="L511" s="40">
        <v>19461</v>
      </c>
      <c r="M511" s="41">
        <v>41851</v>
      </c>
      <c r="N511" s="40" t="s">
        <v>122</v>
      </c>
      <c r="O511" s="42"/>
      <c r="P511" s="40">
        <v>57</v>
      </c>
      <c r="Q511" s="145">
        <v>65.59</v>
      </c>
      <c r="R511" s="145">
        <v>69.66</v>
      </c>
      <c r="S511" s="145">
        <v>68.72</v>
      </c>
      <c r="T511" s="145">
        <v>71.040000000000006</v>
      </c>
      <c r="U511" s="145">
        <v>76.099999999999994</v>
      </c>
    </row>
    <row r="512" spans="1:21" x14ac:dyDescent="0.2">
      <c r="A512" s="89">
        <f t="shared" si="7"/>
        <v>504</v>
      </c>
      <c r="B512" s="43">
        <v>14</v>
      </c>
      <c r="C512" s="43">
        <v>23</v>
      </c>
      <c r="D512" s="38" t="s">
        <v>634</v>
      </c>
      <c r="E512" s="44" t="s">
        <v>183</v>
      </c>
      <c r="F512" s="44" t="s">
        <v>6</v>
      </c>
      <c r="G512" s="44" t="s">
        <v>120</v>
      </c>
      <c r="H512" s="44" t="s">
        <v>13</v>
      </c>
      <c r="I512" s="44" t="s">
        <v>13</v>
      </c>
      <c r="J512" s="44" t="s">
        <v>7</v>
      </c>
      <c r="K512" s="44" t="s">
        <v>140</v>
      </c>
      <c r="L512" s="40">
        <v>19462</v>
      </c>
      <c r="M512" s="41">
        <v>41851</v>
      </c>
      <c r="N512" s="40" t="s">
        <v>122</v>
      </c>
      <c r="O512" s="42"/>
      <c r="P512" s="40">
        <v>57</v>
      </c>
      <c r="Q512" s="145">
        <v>71.08</v>
      </c>
      <c r="R512" s="145">
        <v>74.09</v>
      </c>
      <c r="S512" s="145">
        <v>73.48</v>
      </c>
      <c r="T512" s="145">
        <v>75.73</v>
      </c>
      <c r="U512" s="145">
        <v>81.61</v>
      </c>
    </row>
    <row r="513" spans="1:21" x14ac:dyDescent="0.2">
      <c r="A513" s="89">
        <f t="shared" si="7"/>
        <v>505</v>
      </c>
      <c r="B513" s="43">
        <v>14</v>
      </c>
      <c r="C513" s="43">
        <v>24</v>
      </c>
      <c r="D513" s="38" t="s">
        <v>635</v>
      </c>
      <c r="E513" s="44" t="s">
        <v>185</v>
      </c>
      <c r="F513" s="44" t="s">
        <v>6</v>
      </c>
      <c r="G513" s="44" t="s">
        <v>120</v>
      </c>
      <c r="H513" s="44" t="s">
        <v>12</v>
      </c>
      <c r="I513" s="44" t="s">
        <v>186</v>
      </c>
      <c r="J513" s="44" t="s">
        <v>9</v>
      </c>
      <c r="K513" s="44" t="s">
        <v>135</v>
      </c>
      <c r="L513" s="40">
        <v>19463</v>
      </c>
      <c r="M513" s="41">
        <v>41851</v>
      </c>
      <c r="N513" s="40" t="s">
        <v>122</v>
      </c>
      <c r="O513" s="42"/>
      <c r="P513" s="40">
        <v>57</v>
      </c>
      <c r="Q513" s="145">
        <v>66.58</v>
      </c>
      <c r="R513" s="145">
        <v>69.52</v>
      </c>
      <c r="S513" s="145">
        <v>69</v>
      </c>
      <c r="T513" s="145">
        <v>70.790000000000006</v>
      </c>
      <c r="U513" s="145">
        <v>75.900000000000006</v>
      </c>
    </row>
    <row r="514" spans="1:21" x14ac:dyDescent="0.2">
      <c r="A514" s="89">
        <f t="shared" si="7"/>
        <v>506</v>
      </c>
      <c r="B514" s="43">
        <v>14</v>
      </c>
      <c r="C514" s="43">
        <v>25</v>
      </c>
      <c r="D514" s="38" t="s">
        <v>636</v>
      </c>
      <c r="E514" s="44" t="s">
        <v>188</v>
      </c>
      <c r="F514" s="44" t="s">
        <v>6</v>
      </c>
      <c r="G514" s="44" t="s">
        <v>120</v>
      </c>
      <c r="H514" s="44" t="s">
        <v>12</v>
      </c>
      <c r="I514" s="44" t="s">
        <v>186</v>
      </c>
      <c r="J514" s="44" t="s">
        <v>10</v>
      </c>
      <c r="K514" s="44" t="s">
        <v>132</v>
      </c>
      <c r="L514" s="40">
        <v>19464</v>
      </c>
      <c r="M514" s="41">
        <v>41851</v>
      </c>
      <c r="N514" s="40" t="s">
        <v>122</v>
      </c>
      <c r="O514" s="42"/>
      <c r="P514" s="40">
        <v>57</v>
      </c>
      <c r="Q514" s="145">
        <v>67.84</v>
      </c>
      <c r="R514" s="145">
        <v>70.7</v>
      </c>
      <c r="S514" s="145">
        <v>70.2</v>
      </c>
      <c r="T514" s="145">
        <v>71.98</v>
      </c>
      <c r="U514" s="145">
        <v>77.09</v>
      </c>
    </row>
    <row r="515" spans="1:21" x14ac:dyDescent="0.2">
      <c r="A515" s="89">
        <f t="shared" si="7"/>
        <v>507</v>
      </c>
      <c r="B515" s="43">
        <v>14</v>
      </c>
      <c r="C515" s="43">
        <v>26</v>
      </c>
      <c r="D515" s="38" t="s">
        <v>637</v>
      </c>
      <c r="E515" s="44" t="s">
        <v>190</v>
      </c>
      <c r="F515" s="44" t="s">
        <v>6</v>
      </c>
      <c r="G515" s="44" t="s">
        <v>120</v>
      </c>
      <c r="H515" s="44" t="s">
        <v>12</v>
      </c>
      <c r="I515" s="44" t="s">
        <v>186</v>
      </c>
      <c r="J515" s="44" t="s">
        <v>11</v>
      </c>
      <c r="K515" s="44" t="s">
        <v>129</v>
      </c>
      <c r="L515" s="40">
        <v>19465</v>
      </c>
      <c r="M515" s="41">
        <v>41851</v>
      </c>
      <c r="N515" s="40" t="s">
        <v>122</v>
      </c>
      <c r="O515" s="42"/>
      <c r="P515" s="40">
        <v>57</v>
      </c>
      <c r="Q515" s="145">
        <v>66.72</v>
      </c>
      <c r="R515" s="145">
        <v>70.209999999999994</v>
      </c>
      <c r="S515" s="145">
        <v>69.459999999999994</v>
      </c>
      <c r="T515" s="145">
        <v>71.510000000000005</v>
      </c>
      <c r="U515" s="145">
        <v>76.59</v>
      </c>
    </row>
    <row r="516" spans="1:21" x14ac:dyDescent="0.2">
      <c r="A516" s="89">
        <f t="shared" si="7"/>
        <v>508</v>
      </c>
      <c r="B516" s="43">
        <v>14</v>
      </c>
      <c r="C516" s="43">
        <v>27</v>
      </c>
      <c r="D516" s="38" t="s">
        <v>638</v>
      </c>
      <c r="E516" s="44" t="s">
        <v>192</v>
      </c>
      <c r="F516" s="44" t="s">
        <v>6</v>
      </c>
      <c r="G516" s="44" t="s">
        <v>120</v>
      </c>
      <c r="H516" s="44" t="s">
        <v>100</v>
      </c>
      <c r="I516" s="44" t="s">
        <v>193</v>
      </c>
      <c r="J516" s="44" t="s">
        <v>7</v>
      </c>
      <c r="K516" s="44" t="s">
        <v>140</v>
      </c>
      <c r="L516" s="40">
        <v>19466</v>
      </c>
      <c r="M516" s="41">
        <v>41851</v>
      </c>
      <c r="N516" s="40" t="s">
        <v>122</v>
      </c>
      <c r="O516" s="42"/>
      <c r="P516" s="40">
        <v>57</v>
      </c>
      <c r="Q516" s="145">
        <v>67.81</v>
      </c>
      <c r="R516" s="145">
        <v>68.88</v>
      </c>
      <c r="S516" s="145">
        <v>70.040000000000006</v>
      </c>
      <c r="T516" s="145">
        <v>71.790000000000006</v>
      </c>
      <c r="U516" s="145">
        <v>79.19</v>
      </c>
    </row>
    <row r="517" spans="1:21" x14ac:dyDescent="0.2">
      <c r="A517" s="89">
        <f t="shared" si="7"/>
        <v>509</v>
      </c>
      <c r="B517" s="43">
        <v>14</v>
      </c>
      <c r="C517" s="43">
        <v>28</v>
      </c>
      <c r="D517" s="38" t="s">
        <v>639</v>
      </c>
      <c r="E517" s="44" t="s">
        <v>195</v>
      </c>
      <c r="F517" s="44" t="s">
        <v>39</v>
      </c>
      <c r="G517" s="44" t="s">
        <v>120</v>
      </c>
      <c r="H517" s="44" t="s">
        <v>44</v>
      </c>
      <c r="I517" s="44" t="s">
        <v>44</v>
      </c>
      <c r="J517" s="44" t="s">
        <v>7</v>
      </c>
      <c r="K517" s="44" t="s">
        <v>140</v>
      </c>
      <c r="L517" s="40">
        <v>19467</v>
      </c>
      <c r="M517" s="41">
        <v>41851</v>
      </c>
      <c r="N517" s="40" t="s">
        <v>122</v>
      </c>
      <c r="O517" s="42"/>
      <c r="P517" s="40">
        <v>57</v>
      </c>
      <c r="Q517" s="145">
        <v>75.56</v>
      </c>
      <c r="R517" s="145">
        <v>78.7</v>
      </c>
      <c r="S517" s="145">
        <v>78.38</v>
      </c>
      <c r="T517" s="145">
        <v>80.510000000000005</v>
      </c>
      <c r="U517" s="145">
        <v>85.95</v>
      </c>
    </row>
    <row r="518" spans="1:21" x14ac:dyDescent="0.2">
      <c r="A518" s="89">
        <f t="shared" si="7"/>
        <v>510</v>
      </c>
      <c r="B518" s="43">
        <v>14</v>
      </c>
      <c r="C518" s="43">
        <v>29</v>
      </c>
      <c r="D518" s="38" t="s">
        <v>640</v>
      </c>
      <c r="E518" s="44" t="s">
        <v>197</v>
      </c>
      <c r="F518" s="44" t="s">
        <v>39</v>
      </c>
      <c r="G518" s="44" t="s">
        <v>120</v>
      </c>
      <c r="H518" s="44" t="s">
        <v>44</v>
      </c>
      <c r="I518" s="44" t="s">
        <v>44</v>
      </c>
      <c r="J518" s="44" t="s">
        <v>45</v>
      </c>
      <c r="K518" s="44" t="s">
        <v>198</v>
      </c>
      <c r="L518" s="40">
        <v>19468</v>
      </c>
      <c r="M518" s="41">
        <v>41851</v>
      </c>
      <c r="N518" s="40" t="s">
        <v>122</v>
      </c>
      <c r="O518" s="42"/>
      <c r="P518" s="40">
        <v>57</v>
      </c>
      <c r="Q518" s="145">
        <v>73.27</v>
      </c>
      <c r="R518" s="145">
        <v>76.59</v>
      </c>
      <c r="S518" s="145">
        <v>76.19</v>
      </c>
      <c r="T518" s="145">
        <v>78.37</v>
      </c>
      <c r="U518" s="145">
        <v>83.77</v>
      </c>
    </row>
    <row r="519" spans="1:21" x14ac:dyDescent="0.2">
      <c r="A519" s="89">
        <f t="shared" si="7"/>
        <v>511</v>
      </c>
      <c r="B519" s="43">
        <v>14</v>
      </c>
      <c r="C519" s="43">
        <v>30</v>
      </c>
      <c r="D519" s="38" t="s">
        <v>641</v>
      </c>
      <c r="E519" s="44" t="s">
        <v>200</v>
      </c>
      <c r="F519" s="44" t="s">
        <v>39</v>
      </c>
      <c r="G519" s="44" t="s">
        <v>120</v>
      </c>
      <c r="H519" s="44" t="s">
        <v>44</v>
      </c>
      <c r="I519" s="44" t="s">
        <v>44</v>
      </c>
      <c r="J519" s="44" t="s">
        <v>46</v>
      </c>
      <c r="K519" s="44" t="s">
        <v>46</v>
      </c>
      <c r="L519" s="40">
        <v>19469</v>
      </c>
      <c r="M519" s="41">
        <v>41851</v>
      </c>
      <c r="N519" s="40" t="s">
        <v>122</v>
      </c>
      <c r="O519" s="42"/>
      <c r="P519" s="40">
        <v>57</v>
      </c>
      <c r="Q519" s="145">
        <v>71.930000000000007</v>
      </c>
      <c r="R519" s="145">
        <v>75.91</v>
      </c>
      <c r="S519" s="145">
        <v>75.38</v>
      </c>
      <c r="T519" s="145">
        <v>77.77</v>
      </c>
      <c r="U519" s="145">
        <v>83.17</v>
      </c>
    </row>
    <row r="520" spans="1:21" x14ac:dyDescent="0.2">
      <c r="A520" s="89">
        <f t="shared" si="7"/>
        <v>512</v>
      </c>
      <c r="B520" s="43">
        <v>14</v>
      </c>
      <c r="C520" s="43">
        <v>31</v>
      </c>
      <c r="D520" s="38" t="s">
        <v>642</v>
      </c>
      <c r="E520" s="44" t="s">
        <v>202</v>
      </c>
      <c r="F520" s="44" t="s">
        <v>39</v>
      </c>
      <c r="G520" s="44" t="s">
        <v>120</v>
      </c>
      <c r="H520" s="44" t="s">
        <v>47</v>
      </c>
      <c r="I520" s="44" t="s">
        <v>47</v>
      </c>
      <c r="J520" s="44" t="s">
        <v>7</v>
      </c>
      <c r="K520" s="44" t="s">
        <v>140</v>
      </c>
      <c r="L520" s="40">
        <v>19470</v>
      </c>
      <c r="M520" s="41">
        <v>41851</v>
      </c>
      <c r="N520" s="40" t="s">
        <v>122</v>
      </c>
      <c r="O520" s="42"/>
      <c r="P520" s="40">
        <v>57</v>
      </c>
      <c r="Q520" s="145">
        <v>64.75</v>
      </c>
      <c r="R520" s="145">
        <v>66.34</v>
      </c>
      <c r="S520" s="145">
        <v>68.72</v>
      </c>
      <c r="T520" s="145">
        <v>70.599999999999994</v>
      </c>
      <c r="U520" s="145">
        <v>73.58</v>
      </c>
    </row>
    <row r="521" spans="1:21" x14ac:dyDescent="0.2">
      <c r="A521" s="89">
        <f t="shared" si="7"/>
        <v>513</v>
      </c>
      <c r="B521" s="43">
        <v>14</v>
      </c>
      <c r="C521" s="43">
        <v>32</v>
      </c>
      <c r="D521" s="38" t="s">
        <v>643</v>
      </c>
      <c r="E521" s="44" t="s">
        <v>204</v>
      </c>
      <c r="F521" s="44" t="s">
        <v>6</v>
      </c>
      <c r="G521" s="44" t="s">
        <v>120</v>
      </c>
      <c r="H521" s="44" t="s">
        <v>14</v>
      </c>
      <c r="I521" s="44" t="s">
        <v>14</v>
      </c>
      <c r="J521" s="44" t="s">
        <v>15</v>
      </c>
      <c r="K521" s="44" t="s">
        <v>129</v>
      </c>
      <c r="L521" s="40">
        <v>19471</v>
      </c>
      <c r="M521" s="41">
        <v>41851</v>
      </c>
      <c r="N521" s="40" t="s">
        <v>122</v>
      </c>
      <c r="O521" s="42"/>
      <c r="P521" s="40">
        <v>57</v>
      </c>
      <c r="Q521" s="145">
        <v>73.13</v>
      </c>
      <c r="R521" s="145">
        <v>76.17</v>
      </c>
      <c r="S521" s="145">
        <v>75.680000000000007</v>
      </c>
      <c r="T521" s="145">
        <v>77.41</v>
      </c>
      <c r="U521" s="145">
        <v>82.41</v>
      </c>
    </row>
    <row r="522" spans="1:21" x14ac:dyDescent="0.2">
      <c r="A522" s="89">
        <f t="shared" si="7"/>
        <v>514</v>
      </c>
      <c r="B522" s="43">
        <v>14</v>
      </c>
      <c r="C522" s="43">
        <v>33</v>
      </c>
      <c r="D522" s="38" t="s">
        <v>644</v>
      </c>
      <c r="E522" s="44" t="s">
        <v>206</v>
      </c>
      <c r="F522" s="44" t="s">
        <v>6</v>
      </c>
      <c r="G522" s="44" t="s">
        <v>120</v>
      </c>
      <c r="H522" s="44" t="s">
        <v>14</v>
      </c>
      <c r="I522" s="44" t="s">
        <v>14</v>
      </c>
      <c r="J522" s="44" t="s">
        <v>16</v>
      </c>
      <c r="K522" s="44" t="s">
        <v>135</v>
      </c>
      <c r="L522" s="40">
        <v>19472</v>
      </c>
      <c r="M522" s="41">
        <v>41851</v>
      </c>
      <c r="N522" s="40" t="s">
        <v>122</v>
      </c>
      <c r="O522" s="42"/>
      <c r="P522" s="40">
        <v>57</v>
      </c>
      <c r="Q522" s="145">
        <v>74.63</v>
      </c>
      <c r="R522" s="145">
        <v>77.44</v>
      </c>
      <c r="S522" s="145">
        <v>77.08</v>
      </c>
      <c r="T522" s="145">
        <v>78.709999999999994</v>
      </c>
      <c r="U522" s="145">
        <v>83.78</v>
      </c>
    </row>
    <row r="523" spans="1:21" x14ac:dyDescent="0.2">
      <c r="A523" s="89">
        <f t="shared" ref="A523:A586" si="8">A522+1</f>
        <v>515</v>
      </c>
      <c r="B523" s="43">
        <v>14</v>
      </c>
      <c r="C523" s="43">
        <v>34</v>
      </c>
      <c r="D523" s="38" t="s">
        <v>645</v>
      </c>
      <c r="E523" s="44" t="s">
        <v>208</v>
      </c>
      <c r="F523" s="44" t="s">
        <v>31</v>
      </c>
      <c r="G523" s="44" t="s">
        <v>120</v>
      </c>
      <c r="H523" s="44" t="s">
        <v>36</v>
      </c>
      <c r="I523" s="44" t="s">
        <v>36</v>
      </c>
      <c r="J523" s="44" t="s">
        <v>37</v>
      </c>
      <c r="K523" s="44" t="s">
        <v>209</v>
      </c>
      <c r="L523" s="40">
        <v>19473</v>
      </c>
      <c r="M523" s="41">
        <v>41851</v>
      </c>
      <c r="N523" s="40" t="s">
        <v>122</v>
      </c>
      <c r="O523" s="42"/>
      <c r="P523" s="40">
        <v>57</v>
      </c>
      <c r="Q523" s="145">
        <v>99.13</v>
      </c>
      <c r="R523" s="145">
        <v>102.88</v>
      </c>
      <c r="S523" s="145">
        <v>102.44</v>
      </c>
      <c r="T523" s="145">
        <v>104.61</v>
      </c>
      <c r="U523" s="145">
        <v>108.45</v>
      </c>
    </row>
    <row r="524" spans="1:21" x14ac:dyDescent="0.2">
      <c r="A524" s="89">
        <f t="shared" si="8"/>
        <v>516</v>
      </c>
      <c r="B524" s="43">
        <v>14</v>
      </c>
      <c r="C524" s="43">
        <v>35</v>
      </c>
      <c r="D524" s="38" t="s">
        <v>646</v>
      </c>
      <c r="E524" s="44" t="s">
        <v>211</v>
      </c>
      <c r="F524" s="44" t="s">
        <v>31</v>
      </c>
      <c r="G524" s="44" t="s">
        <v>120</v>
      </c>
      <c r="H524" s="44" t="s">
        <v>36</v>
      </c>
      <c r="I524" s="44" t="s">
        <v>36</v>
      </c>
      <c r="J524" s="44" t="s">
        <v>38</v>
      </c>
      <c r="K524" s="44" t="s">
        <v>212</v>
      </c>
      <c r="L524" s="40">
        <v>19474</v>
      </c>
      <c r="M524" s="41">
        <v>41851</v>
      </c>
      <c r="N524" s="40" t="s">
        <v>122</v>
      </c>
      <c r="O524" s="42"/>
      <c r="P524" s="40">
        <v>57</v>
      </c>
      <c r="Q524" s="145">
        <v>97.56</v>
      </c>
      <c r="R524" s="145">
        <v>101.29</v>
      </c>
      <c r="S524" s="145">
        <v>100.74</v>
      </c>
      <c r="T524" s="145">
        <v>102.91</v>
      </c>
      <c r="U524" s="145">
        <v>106.72</v>
      </c>
    </row>
    <row r="525" spans="1:21" x14ac:dyDescent="0.2">
      <c r="A525" s="89">
        <f t="shared" si="8"/>
        <v>517</v>
      </c>
      <c r="B525" s="43">
        <v>14</v>
      </c>
      <c r="C525" s="43">
        <v>36</v>
      </c>
      <c r="D525" s="38" t="s">
        <v>647</v>
      </c>
      <c r="E525" s="44" t="s">
        <v>214</v>
      </c>
      <c r="F525" s="44" t="s">
        <v>6</v>
      </c>
      <c r="G525" s="44" t="s">
        <v>120</v>
      </c>
      <c r="H525" s="44" t="s">
        <v>17</v>
      </c>
      <c r="I525" s="44" t="s">
        <v>215</v>
      </c>
      <c r="J525" s="44" t="s">
        <v>18</v>
      </c>
      <c r="K525" s="44" t="s">
        <v>140</v>
      </c>
      <c r="L525" s="40">
        <v>19475</v>
      </c>
      <c r="M525" s="41">
        <v>41851</v>
      </c>
      <c r="N525" s="40" t="s">
        <v>122</v>
      </c>
      <c r="O525" s="42"/>
      <c r="P525" s="40">
        <v>57</v>
      </c>
      <c r="Q525" s="145">
        <v>58.83</v>
      </c>
      <c r="R525" s="145">
        <v>61.7</v>
      </c>
      <c r="S525" s="145">
        <v>63.25</v>
      </c>
      <c r="T525" s="145">
        <v>65.52</v>
      </c>
      <c r="U525" s="145">
        <v>68.12</v>
      </c>
    </row>
    <row r="526" spans="1:21" x14ac:dyDescent="0.2">
      <c r="A526" s="89">
        <f t="shared" si="8"/>
        <v>518</v>
      </c>
      <c r="B526" s="20"/>
      <c r="C526" s="20"/>
      <c r="D526" s="20"/>
    </row>
    <row r="527" spans="1:21" x14ac:dyDescent="0.2">
      <c r="A527" s="89">
        <f t="shared" si="8"/>
        <v>519</v>
      </c>
      <c r="B527" s="43">
        <v>15</v>
      </c>
      <c r="C527" s="43">
        <v>1</v>
      </c>
      <c r="D527" s="38" t="s">
        <v>612</v>
      </c>
      <c r="E527" s="44" t="s">
        <v>119</v>
      </c>
      <c r="F527" s="44" t="s">
        <v>31</v>
      </c>
      <c r="G527" s="44" t="s">
        <v>120</v>
      </c>
      <c r="H527" s="44" t="s">
        <v>32</v>
      </c>
      <c r="I527" s="44" t="s">
        <v>32</v>
      </c>
      <c r="J527" s="44" t="s">
        <v>33</v>
      </c>
      <c r="K527" s="44" t="s">
        <v>121</v>
      </c>
      <c r="L527" s="40">
        <v>19440</v>
      </c>
      <c r="M527" s="41">
        <v>41851</v>
      </c>
      <c r="N527" s="40" t="s">
        <v>122</v>
      </c>
      <c r="O527" s="42"/>
      <c r="P527" s="40">
        <v>58</v>
      </c>
      <c r="Q527" s="145">
        <v>90.36</v>
      </c>
      <c r="R527" s="145">
        <v>91.93</v>
      </c>
      <c r="S527" s="145">
        <v>92.29</v>
      </c>
      <c r="T527" s="145">
        <v>94.79</v>
      </c>
      <c r="U527" s="145">
        <v>100.08</v>
      </c>
    </row>
    <row r="528" spans="1:21" x14ac:dyDescent="0.2">
      <c r="A528" s="89">
        <f t="shared" si="8"/>
        <v>520</v>
      </c>
      <c r="B528" s="43">
        <v>15</v>
      </c>
      <c r="C528" s="43">
        <v>2</v>
      </c>
      <c r="D528" s="38" t="s">
        <v>613</v>
      </c>
      <c r="E528" s="44" t="s">
        <v>124</v>
      </c>
      <c r="F528" s="44" t="s">
        <v>31</v>
      </c>
      <c r="G528" s="44" t="s">
        <v>120</v>
      </c>
      <c r="H528" s="44" t="s">
        <v>32</v>
      </c>
      <c r="I528" s="44" t="s">
        <v>32</v>
      </c>
      <c r="J528" s="44" t="s">
        <v>34</v>
      </c>
      <c r="K528" s="44" t="s">
        <v>125</v>
      </c>
      <c r="L528" s="40">
        <v>19441</v>
      </c>
      <c r="M528" s="41">
        <v>41851</v>
      </c>
      <c r="N528" s="40" t="s">
        <v>122</v>
      </c>
      <c r="O528" s="42"/>
      <c r="P528" s="40">
        <v>58</v>
      </c>
      <c r="Q528" s="145">
        <v>89.57</v>
      </c>
      <c r="R528" s="145">
        <v>91.18</v>
      </c>
      <c r="S528" s="145">
        <v>91.41</v>
      </c>
      <c r="T528" s="145">
        <v>92.9</v>
      </c>
      <c r="U528" s="145">
        <v>96.91</v>
      </c>
    </row>
    <row r="529" spans="1:21" x14ac:dyDescent="0.2">
      <c r="A529" s="89">
        <f t="shared" si="8"/>
        <v>521</v>
      </c>
      <c r="B529" s="43">
        <v>15</v>
      </c>
      <c r="C529" s="43">
        <v>3</v>
      </c>
      <c r="D529" s="38" t="s">
        <v>614</v>
      </c>
      <c r="E529" s="44" t="s">
        <v>127</v>
      </c>
      <c r="F529" s="44" t="s">
        <v>20</v>
      </c>
      <c r="G529" s="44" t="s">
        <v>120</v>
      </c>
      <c r="H529" s="44" t="s">
        <v>63</v>
      </c>
      <c r="I529" s="44" t="s">
        <v>128</v>
      </c>
      <c r="J529" s="44" t="s">
        <v>15</v>
      </c>
      <c r="K529" s="44" t="s">
        <v>129</v>
      </c>
      <c r="L529" s="40">
        <v>19442</v>
      </c>
      <c r="M529" s="41">
        <v>41851</v>
      </c>
      <c r="N529" s="40" t="s">
        <v>122</v>
      </c>
      <c r="O529" s="42"/>
      <c r="P529" s="40">
        <v>58</v>
      </c>
      <c r="Q529" s="145">
        <v>62.24</v>
      </c>
      <c r="R529" s="145">
        <v>64.510000000000005</v>
      </c>
      <c r="S529" s="145">
        <v>64.38</v>
      </c>
      <c r="T529" s="145">
        <v>65.61</v>
      </c>
      <c r="U529" s="145">
        <v>66.790000000000006</v>
      </c>
    </row>
    <row r="530" spans="1:21" x14ac:dyDescent="0.2">
      <c r="A530" s="89">
        <f t="shared" si="8"/>
        <v>522</v>
      </c>
      <c r="B530" s="43">
        <v>15</v>
      </c>
      <c r="C530" s="43">
        <v>4</v>
      </c>
      <c r="D530" s="38" t="s">
        <v>615</v>
      </c>
      <c r="E530" s="44" t="s">
        <v>131</v>
      </c>
      <c r="F530" s="44" t="s">
        <v>20</v>
      </c>
      <c r="G530" s="44" t="s">
        <v>120</v>
      </c>
      <c r="H530" s="44" t="s">
        <v>63</v>
      </c>
      <c r="I530" s="44" t="s">
        <v>128</v>
      </c>
      <c r="J530" s="44" t="s">
        <v>21</v>
      </c>
      <c r="K530" s="44" t="s">
        <v>132</v>
      </c>
      <c r="L530" s="40">
        <v>19443</v>
      </c>
      <c r="M530" s="41">
        <v>41851</v>
      </c>
      <c r="N530" s="40" t="s">
        <v>122</v>
      </c>
      <c r="O530" s="42"/>
      <c r="P530" s="40">
        <v>58</v>
      </c>
      <c r="Q530" s="145">
        <v>65.02</v>
      </c>
      <c r="R530" s="145">
        <v>66.48</v>
      </c>
      <c r="S530" s="145">
        <v>66.63</v>
      </c>
      <c r="T530" s="145">
        <v>67.59</v>
      </c>
      <c r="U530" s="145">
        <v>68.819999999999993</v>
      </c>
    </row>
    <row r="531" spans="1:21" x14ac:dyDescent="0.2">
      <c r="A531" s="89">
        <f t="shared" si="8"/>
        <v>523</v>
      </c>
      <c r="B531" s="43">
        <v>15</v>
      </c>
      <c r="C531" s="43">
        <v>5</v>
      </c>
      <c r="D531" s="38" t="s">
        <v>616</v>
      </c>
      <c r="E531" s="44" t="s">
        <v>134</v>
      </c>
      <c r="F531" s="44" t="s">
        <v>20</v>
      </c>
      <c r="G531" s="44" t="s">
        <v>120</v>
      </c>
      <c r="H531" s="44" t="s">
        <v>63</v>
      </c>
      <c r="I531" s="44" t="s">
        <v>128</v>
      </c>
      <c r="J531" s="44" t="s">
        <v>16</v>
      </c>
      <c r="K531" s="44" t="s">
        <v>135</v>
      </c>
      <c r="L531" s="40">
        <v>19444</v>
      </c>
      <c r="M531" s="41">
        <v>41851</v>
      </c>
      <c r="N531" s="40" t="s">
        <v>122</v>
      </c>
      <c r="O531" s="42"/>
      <c r="P531" s="40">
        <v>58</v>
      </c>
      <c r="Q531" s="145">
        <v>63.91</v>
      </c>
      <c r="R531" s="145">
        <v>65.42</v>
      </c>
      <c r="S531" s="145">
        <v>65.540000000000006</v>
      </c>
      <c r="T531" s="145">
        <v>66.52</v>
      </c>
      <c r="U531" s="145">
        <v>67.73</v>
      </c>
    </row>
    <row r="532" spans="1:21" x14ac:dyDescent="0.2">
      <c r="A532" s="89">
        <f t="shared" si="8"/>
        <v>524</v>
      </c>
      <c r="B532" s="43">
        <v>15</v>
      </c>
      <c r="C532" s="43">
        <v>6</v>
      </c>
      <c r="D532" s="38" t="s">
        <v>617</v>
      </c>
      <c r="E532" s="44" t="s">
        <v>137</v>
      </c>
      <c r="F532" s="44" t="s">
        <v>25</v>
      </c>
      <c r="G532" s="44" t="s">
        <v>138</v>
      </c>
      <c r="H532" s="44" t="s">
        <v>139</v>
      </c>
      <c r="I532" s="44" t="s">
        <v>29</v>
      </c>
      <c r="J532" s="44" t="s">
        <v>30</v>
      </c>
      <c r="K532" s="44" t="s">
        <v>140</v>
      </c>
      <c r="L532" s="40">
        <v>19445</v>
      </c>
      <c r="M532" s="41">
        <v>41851</v>
      </c>
      <c r="N532" s="40" t="s">
        <v>122</v>
      </c>
      <c r="O532" s="42"/>
      <c r="P532" s="40">
        <v>58</v>
      </c>
      <c r="Q532" s="145">
        <v>0</v>
      </c>
      <c r="R532" s="145">
        <v>0</v>
      </c>
      <c r="S532" s="145">
        <v>0</v>
      </c>
      <c r="T532" s="145">
        <v>0</v>
      </c>
      <c r="U532" s="145">
        <v>0</v>
      </c>
    </row>
    <row r="533" spans="1:21" x14ac:dyDescent="0.2">
      <c r="A533" s="89">
        <f t="shared" si="8"/>
        <v>525</v>
      </c>
      <c r="B533" s="43">
        <v>15</v>
      </c>
      <c r="C533" s="43">
        <v>7</v>
      </c>
      <c r="D533" s="38" t="s">
        <v>618</v>
      </c>
      <c r="E533" s="44" t="s">
        <v>142</v>
      </c>
      <c r="F533" s="44" t="s">
        <v>39</v>
      </c>
      <c r="G533" s="44" t="s">
        <v>120</v>
      </c>
      <c r="H533" s="44" t="s">
        <v>40</v>
      </c>
      <c r="I533" s="44" t="s">
        <v>40</v>
      </c>
      <c r="J533" s="44" t="s">
        <v>42</v>
      </c>
      <c r="K533" s="44" t="s">
        <v>135</v>
      </c>
      <c r="L533" s="40">
        <v>19447</v>
      </c>
      <c r="M533" s="41">
        <v>41851</v>
      </c>
      <c r="N533" s="40" t="s">
        <v>122</v>
      </c>
      <c r="O533" s="42"/>
      <c r="P533" s="40">
        <v>58</v>
      </c>
      <c r="Q533" s="145">
        <v>77.239999999999995</v>
      </c>
      <c r="R533" s="145">
        <v>79.010000000000005</v>
      </c>
      <c r="S533" s="145">
        <v>78.91</v>
      </c>
      <c r="T533" s="145">
        <v>81.150000000000006</v>
      </c>
      <c r="U533" s="145">
        <v>85.77</v>
      </c>
    </row>
    <row r="534" spans="1:21" x14ac:dyDescent="0.2">
      <c r="A534" s="89">
        <f t="shared" si="8"/>
        <v>526</v>
      </c>
      <c r="B534" s="43">
        <v>15</v>
      </c>
      <c r="C534" s="43">
        <v>8</v>
      </c>
      <c r="D534" s="38" t="s">
        <v>619</v>
      </c>
      <c r="E534" s="44" t="s">
        <v>144</v>
      </c>
      <c r="F534" s="44" t="s">
        <v>39</v>
      </c>
      <c r="G534" s="44" t="s">
        <v>120</v>
      </c>
      <c r="H534" s="44" t="s">
        <v>40</v>
      </c>
      <c r="I534" s="44" t="s">
        <v>40</v>
      </c>
      <c r="J534" s="44" t="s">
        <v>41</v>
      </c>
      <c r="K534" s="44" t="s">
        <v>132</v>
      </c>
      <c r="L534" s="40">
        <v>19446</v>
      </c>
      <c r="M534" s="41">
        <v>41851</v>
      </c>
      <c r="N534" s="40" t="s">
        <v>122</v>
      </c>
      <c r="O534" s="42"/>
      <c r="P534" s="40">
        <v>58</v>
      </c>
      <c r="Q534" s="145">
        <v>78.349999999999994</v>
      </c>
      <c r="R534" s="145">
        <v>79.89</v>
      </c>
      <c r="S534" s="145">
        <v>79.959999999999994</v>
      </c>
      <c r="T534" s="145">
        <v>82.13</v>
      </c>
      <c r="U534" s="145">
        <v>86.77</v>
      </c>
    </row>
    <row r="535" spans="1:21" x14ac:dyDescent="0.2">
      <c r="A535" s="89">
        <f t="shared" si="8"/>
        <v>527</v>
      </c>
      <c r="B535" s="43">
        <v>15</v>
      </c>
      <c r="C535" s="43">
        <v>9</v>
      </c>
      <c r="D535" s="38" t="s">
        <v>620</v>
      </c>
      <c r="E535" s="44" t="s">
        <v>146</v>
      </c>
      <c r="F535" s="44" t="s">
        <v>39</v>
      </c>
      <c r="G535" s="44" t="s">
        <v>120</v>
      </c>
      <c r="H535" s="44" t="s">
        <v>40</v>
      </c>
      <c r="I535" s="44" t="s">
        <v>40</v>
      </c>
      <c r="J535" s="44" t="s">
        <v>7</v>
      </c>
      <c r="K535" s="44" t="s">
        <v>129</v>
      </c>
      <c r="L535" s="40">
        <v>19448</v>
      </c>
      <c r="M535" s="41">
        <v>41851</v>
      </c>
      <c r="N535" s="40" t="s">
        <v>122</v>
      </c>
      <c r="O535" s="42"/>
      <c r="P535" s="40">
        <v>58</v>
      </c>
      <c r="Q535" s="145">
        <v>76.34</v>
      </c>
      <c r="R535" s="145">
        <v>78.12</v>
      </c>
      <c r="S535" s="145">
        <v>77.94</v>
      </c>
      <c r="T535" s="145">
        <v>80.180000000000007</v>
      </c>
      <c r="U535" s="145">
        <v>84.76</v>
      </c>
    </row>
    <row r="536" spans="1:21" x14ac:dyDescent="0.2">
      <c r="A536" s="89">
        <f t="shared" si="8"/>
        <v>528</v>
      </c>
      <c r="B536" s="43">
        <v>15</v>
      </c>
      <c r="C536" s="43">
        <v>10</v>
      </c>
      <c r="D536" s="38" t="s">
        <v>621</v>
      </c>
      <c r="E536" s="44" t="s">
        <v>148</v>
      </c>
      <c r="F536" s="44" t="s">
        <v>25</v>
      </c>
      <c r="G536" s="44" t="s">
        <v>120</v>
      </c>
      <c r="H536" s="44" t="s">
        <v>149</v>
      </c>
      <c r="I536" s="44" t="s">
        <v>26</v>
      </c>
      <c r="J536" s="44" t="s">
        <v>27</v>
      </c>
      <c r="K536" s="44" t="s">
        <v>150</v>
      </c>
      <c r="L536" s="40">
        <v>19449</v>
      </c>
      <c r="M536" s="41">
        <v>41851</v>
      </c>
      <c r="N536" s="40" t="s">
        <v>122</v>
      </c>
      <c r="O536" s="42"/>
      <c r="P536" s="40">
        <v>58</v>
      </c>
      <c r="Q536" s="145">
        <v>56.86</v>
      </c>
      <c r="R536" s="145">
        <v>60.36</v>
      </c>
      <c r="S536" s="145">
        <v>61.92</v>
      </c>
      <c r="T536" s="145">
        <v>64.12</v>
      </c>
      <c r="U536" s="145">
        <v>66.56</v>
      </c>
    </row>
    <row r="537" spans="1:21" x14ac:dyDescent="0.2">
      <c r="A537" s="89">
        <f t="shared" si="8"/>
        <v>529</v>
      </c>
      <c r="B537" s="43">
        <v>15</v>
      </c>
      <c r="C537" s="43">
        <v>11</v>
      </c>
      <c r="D537" s="38" t="s">
        <v>622</v>
      </c>
      <c r="E537" s="44" t="s">
        <v>152</v>
      </c>
      <c r="F537" s="44" t="s">
        <v>25</v>
      </c>
      <c r="G537" s="44" t="s">
        <v>120</v>
      </c>
      <c r="H537" s="44" t="s">
        <v>149</v>
      </c>
      <c r="I537" s="44" t="s">
        <v>26</v>
      </c>
      <c r="J537" s="44" t="s">
        <v>28</v>
      </c>
      <c r="K537" s="44" t="s">
        <v>153</v>
      </c>
      <c r="L537" s="40">
        <v>19450</v>
      </c>
      <c r="M537" s="41">
        <v>41851</v>
      </c>
      <c r="N537" s="40" t="s">
        <v>122</v>
      </c>
      <c r="O537" s="42"/>
      <c r="P537" s="40">
        <v>58</v>
      </c>
      <c r="Q537" s="145">
        <v>55.99</v>
      </c>
      <c r="R537" s="145">
        <v>59.52</v>
      </c>
      <c r="S537" s="145">
        <v>61.08</v>
      </c>
      <c r="T537" s="145">
        <v>63.28</v>
      </c>
      <c r="U537" s="145">
        <v>65.73</v>
      </c>
    </row>
    <row r="538" spans="1:21" x14ac:dyDescent="0.2">
      <c r="A538" s="89">
        <f t="shared" si="8"/>
        <v>530</v>
      </c>
      <c r="B538" s="43">
        <v>15</v>
      </c>
      <c r="C538" s="43">
        <v>12</v>
      </c>
      <c r="D538" s="38" t="s">
        <v>623</v>
      </c>
      <c r="E538" s="44" t="s">
        <v>155</v>
      </c>
      <c r="F538" s="44" t="s">
        <v>20</v>
      </c>
      <c r="G538" s="44" t="s">
        <v>120</v>
      </c>
      <c r="H538" s="44" t="s">
        <v>105</v>
      </c>
      <c r="I538" s="44" t="s">
        <v>156</v>
      </c>
      <c r="J538" s="44" t="s">
        <v>22</v>
      </c>
      <c r="K538" s="44" t="s">
        <v>157</v>
      </c>
      <c r="L538" s="40">
        <v>19451</v>
      </c>
      <c r="M538" s="41">
        <v>41851</v>
      </c>
      <c r="N538" s="40" t="s">
        <v>122</v>
      </c>
      <c r="O538" s="42"/>
      <c r="P538" s="40">
        <v>58</v>
      </c>
      <c r="Q538" s="145">
        <v>54.41</v>
      </c>
      <c r="R538" s="145">
        <v>57.44</v>
      </c>
      <c r="S538" s="145">
        <v>58.96</v>
      </c>
      <c r="T538" s="145">
        <v>61.04</v>
      </c>
      <c r="U538" s="145">
        <v>63.39</v>
      </c>
    </row>
    <row r="539" spans="1:21" x14ac:dyDescent="0.2">
      <c r="A539" s="89">
        <f t="shared" si="8"/>
        <v>531</v>
      </c>
      <c r="B539" s="43">
        <v>15</v>
      </c>
      <c r="C539" s="43">
        <v>13</v>
      </c>
      <c r="D539" s="38" t="s">
        <v>624</v>
      </c>
      <c r="E539" s="44" t="s">
        <v>159</v>
      </c>
      <c r="F539" s="44" t="s">
        <v>39</v>
      </c>
      <c r="G539" s="44" t="s">
        <v>120</v>
      </c>
      <c r="H539" s="44" t="s">
        <v>43</v>
      </c>
      <c r="I539" s="44" t="s">
        <v>43</v>
      </c>
      <c r="J539" s="44" t="s">
        <v>7</v>
      </c>
      <c r="K539" s="44" t="s">
        <v>140</v>
      </c>
      <c r="L539" s="40">
        <v>19452</v>
      </c>
      <c r="M539" s="41">
        <v>41851</v>
      </c>
      <c r="N539" s="40" t="s">
        <v>122</v>
      </c>
      <c r="O539" s="42"/>
      <c r="P539" s="40">
        <v>58</v>
      </c>
      <c r="Q539" s="145">
        <v>81.69</v>
      </c>
      <c r="R539" s="145">
        <v>82.47</v>
      </c>
      <c r="S539" s="145">
        <v>82.78</v>
      </c>
      <c r="T539" s="145">
        <v>84.98</v>
      </c>
      <c r="U539" s="145">
        <v>90.46</v>
      </c>
    </row>
    <row r="540" spans="1:21" x14ac:dyDescent="0.2">
      <c r="A540" s="89">
        <f t="shared" si="8"/>
        <v>532</v>
      </c>
      <c r="B540" s="43">
        <v>15</v>
      </c>
      <c r="C540" s="43">
        <v>14</v>
      </c>
      <c r="D540" s="38" t="s">
        <v>625</v>
      </c>
      <c r="E540" s="44" t="s">
        <v>161</v>
      </c>
      <c r="F540" s="44" t="s">
        <v>6</v>
      </c>
      <c r="G540" s="44" t="s">
        <v>120</v>
      </c>
      <c r="H540" s="44" t="s">
        <v>48</v>
      </c>
      <c r="I540" s="44" t="s">
        <v>48</v>
      </c>
      <c r="J540" s="44" t="s">
        <v>7</v>
      </c>
      <c r="K540" s="44" t="s">
        <v>140</v>
      </c>
      <c r="L540" s="40">
        <v>19453</v>
      </c>
      <c r="M540" s="41">
        <v>41851</v>
      </c>
      <c r="N540" s="40" t="s">
        <v>122</v>
      </c>
      <c r="O540" s="42"/>
      <c r="P540" s="40">
        <v>58</v>
      </c>
      <c r="Q540" s="145">
        <v>64.66</v>
      </c>
      <c r="R540" s="145">
        <v>67.37</v>
      </c>
      <c r="S540" s="145">
        <v>69.12</v>
      </c>
      <c r="T540" s="145">
        <v>71.02</v>
      </c>
      <c r="U540" s="145">
        <v>73.41</v>
      </c>
    </row>
    <row r="541" spans="1:21" x14ac:dyDescent="0.2">
      <c r="A541" s="89">
        <f t="shared" si="8"/>
        <v>533</v>
      </c>
      <c r="B541" s="43">
        <v>15</v>
      </c>
      <c r="C541" s="43">
        <v>15</v>
      </c>
      <c r="D541" s="38" t="s">
        <v>626</v>
      </c>
      <c r="E541" s="44" t="s">
        <v>163</v>
      </c>
      <c r="F541" s="44" t="s">
        <v>20</v>
      </c>
      <c r="G541" s="44" t="s">
        <v>120</v>
      </c>
      <c r="H541" s="44" t="s">
        <v>23</v>
      </c>
      <c r="I541" s="44" t="s">
        <v>164</v>
      </c>
      <c r="J541" s="44" t="s">
        <v>24</v>
      </c>
      <c r="K541" s="44" t="s">
        <v>140</v>
      </c>
      <c r="L541" s="40">
        <v>19454</v>
      </c>
      <c r="M541" s="41">
        <v>41851</v>
      </c>
      <c r="N541" s="40" t="s">
        <v>122</v>
      </c>
      <c r="O541" s="42"/>
      <c r="P541" s="40">
        <v>58</v>
      </c>
      <c r="Q541" s="145">
        <v>52.87</v>
      </c>
      <c r="R541" s="145">
        <v>55.47</v>
      </c>
      <c r="S541" s="145">
        <v>57.23</v>
      </c>
      <c r="T541" s="145">
        <v>59.05</v>
      </c>
      <c r="U541" s="145">
        <v>61.34</v>
      </c>
    </row>
    <row r="542" spans="1:21" x14ac:dyDescent="0.2">
      <c r="A542" s="89">
        <f t="shared" si="8"/>
        <v>534</v>
      </c>
      <c r="B542" s="43">
        <v>15</v>
      </c>
      <c r="C542" s="43">
        <v>16</v>
      </c>
      <c r="D542" s="38" t="s">
        <v>627</v>
      </c>
      <c r="E542" s="44" t="s">
        <v>166</v>
      </c>
      <c r="F542" s="44" t="s">
        <v>20</v>
      </c>
      <c r="G542" s="44" t="s">
        <v>120</v>
      </c>
      <c r="H542" s="44" t="s">
        <v>64</v>
      </c>
      <c r="I542" s="44" t="s">
        <v>167</v>
      </c>
      <c r="J542" s="44" t="s">
        <v>7</v>
      </c>
      <c r="K542" s="44" t="s">
        <v>140</v>
      </c>
      <c r="L542" s="40">
        <v>19455</v>
      </c>
      <c r="M542" s="41">
        <v>41851</v>
      </c>
      <c r="N542" s="40" t="s">
        <v>122</v>
      </c>
      <c r="O542" s="42"/>
      <c r="P542" s="40">
        <v>58</v>
      </c>
      <c r="Q542" s="145">
        <v>61.67</v>
      </c>
      <c r="R542" s="145">
        <v>63.86</v>
      </c>
      <c r="S542" s="145">
        <v>64.67</v>
      </c>
      <c r="T542" s="145">
        <v>67.61</v>
      </c>
      <c r="U542" s="145">
        <v>74.760000000000005</v>
      </c>
    </row>
    <row r="543" spans="1:21" x14ac:dyDescent="0.2">
      <c r="A543" s="89">
        <f t="shared" si="8"/>
        <v>535</v>
      </c>
      <c r="B543" s="43">
        <v>15</v>
      </c>
      <c r="C543" s="43">
        <v>17</v>
      </c>
      <c r="D543" s="38" t="s">
        <v>628</v>
      </c>
      <c r="E543" s="44" t="s">
        <v>169</v>
      </c>
      <c r="F543" s="44" t="s">
        <v>31</v>
      </c>
      <c r="G543" s="44" t="s">
        <v>120</v>
      </c>
      <c r="H543" s="44" t="s">
        <v>35</v>
      </c>
      <c r="I543" s="44" t="s">
        <v>35</v>
      </c>
      <c r="J543" s="44" t="s">
        <v>9</v>
      </c>
      <c r="K543" s="44" t="s">
        <v>135</v>
      </c>
      <c r="L543" s="40">
        <v>19456</v>
      </c>
      <c r="M543" s="41">
        <v>41851</v>
      </c>
      <c r="N543" s="40" t="s">
        <v>122</v>
      </c>
      <c r="O543" s="42"/>
      <c r="P543" s="40">
        <v>58</v>
      </c>
      <c r="Q543" s="145">
        <v>88.07</v>
      </c>
      <c r="R543" s="145">
        <v>89.33</v>
      </c>
      <c r="S543" s="145">
        <v>89.9</v>
      </c>
      <c r="T543" s="145">
        <v>92.38</v>
      </c>
      <c r="U543" s="145">
        <v>98.56</v>
      </c>
    </row>
    <row r="544" spans="1:21" x14ac:dyDescent="0.2">
      <c r="A544" s="89">
        <f t="shared" si="8"/>
        <v>536</v>
      </c>
      <c r="B544" s="43">
        <v>15</v>
      </c>
      <c r="C544" s="43">
        <v>18</v>
      </c>
      <c r="D544" s="38" t="s">
        <v>629</v>
      </c>
      <c r="E544" s="44" t="s">
        <v>171</v>
      </c>
      <c r="F544" s="44" t="s">
        <v>31</v>
      </c>
      <c r="G544" s="44" t="s">
        <v>120</v>
      </c>
      <c r="H544" s="44" t="s">
        <v>35</v>
      </c>
      <c r="I544" s="44" t="s">
        <v>35</v>
      </c>
      <c r="J544" s="44" t="s">
        <v>10</v>
      </c>
      <c r="K544" s="44" t="s">
        <v>132</v>
      </c>
      <c r="L544" s="40">
        <v>19457</v>
      </c>
      <c r="M544" s="41">
        <v>41851</v>
      </c>
      <c r="N544" s="40" t="s">
        <v>122</v>
      </c>
      <c r="O544" s="42"/>
      <c r="P544" s="40">
        <v>58</v>
      </c>
      <c r="Q544" s="145">
        <v>94.08</v>
      </c>
      <c r="R544" s="145">
        <v>92.32</v>
      </c>
      <c r="S544" s="145">
        <v>93.88</v>
      </c>
      <c r="T544" s="145">
        <v>95.37</v>
      </c>
      <c r="U544" s="145">
        <v>101.54</v>
      </c>
    </row>
    <row r="545" spans="1:21" x14ac:dyDescent="0.2">
      <c r="A545" s="89">
        <f t="shared" si="8"/>
        <v>537</v>
      </c>
      <c r="B545" s="43">
        <v>15</v>
      </c>
      <c r="C545" s="43">
        <v>19</v>
      </c>
      <c r="D545" s="38" t="s">
        <v>630</v>
      </c>
      <c r="E545" s="44" t="s">
        <v>173</v>
      </c>
      <c r="F545" s="44" t="s">
        <v>31</v>
      </c>
      <c r="G545" s="44" t="s">
        <v>120</v>
      </c>
      <c r="H545" s="44" t="s">
        <v>35</v>
      </c>
      <c r="I545" s="44" t="s">
        <v>35</v>
      </c>
      <c r="J545" s="44" t="s">
        <v>11</v>
      </c>
      <c r="K545" s="44" t="s">
        <v>129</v>
      </c>
      <c r="L545" s="40">
        <v>19458</v>
      </c>
      <c r="M545" s="41">
        <v>41851</v>
      </c>
      <c r="N545" s="40" t="s">
        <v>122</v>
      </c>
      <c r="O545" s="42"/>
      <c r="P545" s="40">
        <v>58</v>
      </c>
      <c r="Q545" s="145">
        <v>89.03</v>
      </c>
      <c r="R545" s="145">
        <v>89.84</v>
      </c>
      <c r="S545" s="145">
        <v>90.53</v>
      </c>
      <c r="T545" s="145">
        <v>92.84</v>
      </c>
      <c r="U545" s="145">
        <v>98.98</v>
      </c>
    </row>
    <row r="546" spans="1:21" x14ac:dyDescent="0.2">
      <c r="A546" s="89">
        <f t="shared" si="8"/>
        <v>538</v>
      </c>
      <c r="B546" s="43">
        <v>15</v>
      </c>
      <c r="C546" s="43">
        <v>20</v>
      </c>
      <c r="D546" s="38" t="s">
        <v>631</v>
      </c>
      <c r="E546" s="44" t="s">
        <v>175</v>
      </c>
      <c r="F546" s="44" t="s">
        <v>6</v>
      </c>
      <c r="G546" s="44" t="s">
        <v>120</v>
      </c>
      <c r="H546" s="44" t="s">
        <v>176</v>
      </c>
      <c r="I546" s="44" t="s">
        <v>177</v>
      </c>
      <c r="J546" s="44" t="s">
        <v>9</v>
      </c>
      <c r="K546" s="44" t="s">
        <v>135</v>
      </c>
      <c r="L546" s="40">
        <v>19460</v>
      </c>
      <c r="M546" s="41">
        <v>41851</v>
      </c>
      <c r="N546" s="40" t="s">
        <v>122</v>
      </c>
      <c r="O546" s="42"/>
      <c r="P546" s="40">
        <v>58</v>
      </c>
      <c r="Q546" s="145">
        <v>68.209999999999994</v>
      </c>
      <c r="R546" s="145">
        <v>69.84</v>
      </c>
      <c r="S546" s="145">
        <v>69.849999999999994</v>
      </c>
      <c r="T546" s="145">
        <v>71.89</v>
      </c>
      <c r="U546" s="145">
        <v>76.64</v>
      </c>
    </row>
    <row r="547" spans="1:21" x14ac:dyDescent="0.2">
      <c r="A547" s="89">
        <f t="shared" si="8"/>
        <v>539</v>
      </c>
      <c r="B547" s="43">
        <v>15</v>
      </c>
      <c r="C547" s="43">
        <v>21</v>
      </c>
      <c r="D547" s="38" t="s">
        <v>632</v>
      </c>
      <c r="E547" s="44" t="s">
        <v>179</v>
      </c>
      <c r="F547" s="44" t="s">
        <v>6</v>
      </c>
      <c r="G547" s="44" t="s">
        <v>120</v>
      </c>
      <c r="H547" s="44" t="s">
        <v>176</v>
      </c>
      <c r="I547" s="44" t="s">
        <v>177</v>
      </c>
      <c r="J547" s="44" t="s">
        <v>10</v>
      </c>
      <c r="K547" s="44" t="s">
        <v>132</v>
      </c>
      <c r="L547" s="40">
        <v>19459</v>
      </c>
      <c r="M547" s="41">
        <v>41851</v>
      </c>
      <c r="N547" s="40" t="s">
        <v>122</v>
      </c>
      <c r="O547" s="42"/>
      <c r="P547" s="40">
        <v>58</v>
      </c>
      <c r="Q547" s="145">
        <v>69.34</v>
      </c>
      <c r="R547" s="145">
        <v>70.930000000000007</v>
      </c>
      <c r="S547" s="145">
        <v>70.959999999999994</v>
      </c>
      <c r="T547" s="145">
        <v>73.02</v>
      </c>
      <c r="U547" s="145">
        <v>77.78</v>
      </c>
    </row>
    <row r="548" spans="1:21" x14ac:dyDescent="0.2">
      <c r="A548" s="89">
        <f t="shared" si="8"/>
        <v>540</v>
      </c>
      <c r="B548" s="43">
        <v>15</v>
      </c>
      <c r="C548" s="43">
        <v>22</v>
      </c>
      <c r="D548" s="38" t="s">
        <v>633</v>
      </c>
      <c r="E548" s="44" t="s">
        <v>181</v>
      </c>
      <c r="F548" s="44" t="s">
        <v>6</v>
      </c>
      <c r="G548" s="44" t="s">
        <v>120</v>
      </c>
      <c r="H548" s="44" t="s">
        <v>176</v>
      </c>
      <c r="I548" s="44" t="s">
        <v>177</v>
      </c>
      <c r="J548" s="44" t="s">
        <v>11</v>
      </c>
      <c r="K548" s="44" t="s">
        <v>129</v>
      </c>
      <c r="L548" s="40">
        <v>19461</v>
      </c>
      <c r="M548" s="41">
        <v>41851</v>
      </c>
      <c r="N548" s="40" t="s">
        <v>122</v>
      </c>
      <c r="O548" s="42"/>
      <c r="P548" s="40">
        <v>58</v>
      </c>
      <c r="Q548" s="145">
        <v>67.28</v>
      </c>
      <c r="R548" s="145">
        <v>69.900000000000006</v>
      </c>
      <c r="S548" s="145">
        <v>69.56</v>
      </c>
      <c r="T548" s="145">
        <v>71.98</v>
      </c>
      <c r="U548" s="145">
        <v>76.72</v>
      </c>
    </row>
    <row r="549" spans="1:21" x14ac:dyDescent="0.2">
      <c r="A549" s="89">
        <f t="shared" si="8"/>
        <v>541</v>
      </c>
      <c r="B549" s="43">
        <v>15</v>
      </c>
      <c r="C549" s="43">
        <v>23</v>
      </c>
      <c r="D549" s="38" t="s">
        <v>634</v>
      </c>
      <c r="E549" s="44" t="s">
        <v>183</v>
      </c>
      <c r="F549" s="44" t="s">
        <v>6</v>
      </c>
      <c r="G549" s="44" t="s">
        <v>120</v>
      </c>
      <c r="H549" s="44" t="s">
        <v>13</v>
      </c>
      <c r="I549" s="44" t="s">
        <v>13</v>
      </c>
      <c r="J549" s="44" t="s">
        <v>7</v>
      </c>
      <c r="K549" s="44" t="s">
        <v>140</v>
      </c>
      <c r="L549" s="40">
        <v>19462</v>
      </c>
      <c r="M549" s="41">
        <v>41851</v>
      </c>
      <c r="N549" s="40" t="s">
        <v>122</v>
      </c>
      <c r="O549" s="42"/>
      <c r="P549" s="40">
        <v>58</v>
      </c>
      <c r="Q549" s="145">
        <v>73.569999999999993</v>
      </c>
      <c r="R549" s="145">
        <v>74.33</v>
      </c>
      <c r="S549" s="145">
        <v>74.709999999999994</v>
      </c>
      <c r="T549" s="145">
        <v>76.77</v>
      </c>
      <c r="U549" s="145">
        <v>82.32</v>
      </c>
    </row>
    <row r="550" spans="1:21" x14ac:dyDescent="0.2">
      <c r="A550" s="89">
        <f t="shared" si="8"/>
        <v>542</v>
      </c>
      <c r="B550" s="43">
        <v>15</v>
      </c>
      <c r="C550" s="43">
        <v>24</v>
      </c>
      <c r="D550" s="38" t="s">
        <v>635</v>
      </c>
      <c r="E550" s="44" t="s">
        <v>185</v>
      </c>
      <c r="F550" s="44" t="s">
        <v>6</v>
      </c>
      <c r="G550" s="44" t="s">
        <v>120</v>
      </c>
      <c r="H550" s="44" t="s">
        <v>12</v>
      </c>
      <c r="I550" s="44" t="s">
        <v>186</v>
      </c>
      <c r="J550" s="44" t="s">
        <v>9</v>
      </c>
      <c r="K550" s="44" t="s">
        <v>135</v>
      </c>
      <c r="L550" s="40">
        <v>19463</v>
      </c>
      <c r="M550" s="41">
        <v>41851</v>
      </c>
      <c r="N550" s="40" t="s">
        <v>122</v>
      </c>
      <c r="O550" s="42"/>
      <c r="P550" s="40">
        <v>58</v>
      </c>
      <c r="Q550" s="145">
        <v>67.84</v>
      </c>
      <c r="R550" s="145">
        <v>69.709999999999994</v>
      </c>
      <c r="S550" s="145">
        <v>69.55</v>
      </c>
      <c r="T550" s="145">
        <v>71.599999999999994</v>
      </c>
      <c r="U550" s="145">
        <v>76.510000000000005</v>
      </c>
    </row>
    <row r="551" spans="1:21" x14ac:dyDescent="0.2">
      <c r="A551" s="89">
        <f t="shared" si="8"/>
        <v>543</v>
      </c>
      <c r="B551" s="43">
        <v>15</v>
      </c>
      <c r="C551" s="43">
        <v>25</v>
      </c>
      <c r="D551" s="38" t="s">
        <v>636</v>
      </c>
      <c r="E551" s="44" t="s">
        <v>188</v>
      </c>
      <c r="F551" s="44" t="s">
        <v>6</v>
      </c>
      <c r="G551" s="44" t="s">
        <v>120</v>
      </c>
      <c r="H551" s="44" t="s">
        <v>12</v>
      </c>
      <c r="I551" s="44" t="s">
        <v>186</v>
      </c>
      <c r="J551" s="44" t="s">
        <v>10</v>
      </c>
      <c r="K551" s="44" t="s">
        <v>132</v>
      </c>
      <c r="L551" s="40">
        <v>19464</v>
      </c>
      <c r="M551" s="41">
        <v>41851</v>
      </c>
      <c r="N551" s="40" t="s">
        <v>122</v>
      </c>
      <c r="O551" s="42"/>
      <c r="P551" s="40">
        <v>58</v>
      </c>
      <c r="Q551" s="145">
        <v>68.89</v>
      </c>
      <c r="R551" s="145">
        <v>70.91</v>
      </c>
      <c r="S551" s="145">
        <v>70.680000000000007</v>
      </c>
      <c r="T551" s="145">
        <v>72.81</v>
      </c>
      <c r="U551" s="145">
        <v>77.73</v>
      </c>
    </row>
    <row r="552" spans="1:21" x14ac:dyDescent="0.2">
      <c r="A552" s="89">
        <f t="shared" si="8"/>
        <v>544</v>
      </c>
      <c r="B552" s="43">
        <v>15</v>
      </c>
      <c r="C552" s="43">
        <v>26</v>
      </c>
      <c r="D552" s="38" t="s">
        <v>637</v>
      </c>
      <c r="E552" s="44" t="s">
        <v>190</v>
      </c>
      <c r="F552" s="44" t="s">
        <v>6</v>
      </c>
      <c r="G552" s="44" t="s">
        <v>120</v>
      </c>
      <c r="H552" s="44" t="s">
        <v>12</v>
      </c>
      <c r="I552" s="44" t="s">
        <v>186</v>
      </c>
      <c r="J552" s="44" t="s">
        <v>11</v>
      </c>
      <c r="K552" s="44" t="s">
        <v>129</v>
      </c>
      <c r="L552" s="40">
        <v>19465</v>
      </c>
      <c r="M552" s="41">
        <v>41851</v>
      </c>
      <c r="N552" s="40" t="s">
        <v>122</v>
      </c>
      <c r="O552" s="42"/>
      <c r="P552" s="40">
        <v>58</v>
      </c>
      <c r="Q552" s="145">
        <v>67.680000000000007</v>
      </c>
      <c r="R552" s="145">
        <v>70.36</v>
      </c>
      <c r="S552" s="145">
        <v>69.88</v>
      </c>
      <c r="T552" s="145">
        <v>72.260000000000005</v>
      </c>
      <c r="U552" s="145">
        <v>77.150000000000006</v>
      </c>
    </row>
    <row r="553" spans="1:21" x14ac:dyDescent="0.2">
      <c r="A553" s="89">
        <f t="shared" si="8"/>
        <v>545</v>
      </c>
      <c r="B553" s="43">
        <v>15</v>
      </c>
      <c r="C553" s="43">
        <v>27</v>
      </c>
      <c r="D553" s="38" t="s">
        <v>638</v>
      </c>
      <c r="E553" s="44" t="s">
        <v>192</v>
      </c>
      <c r="F553" s="44" t="s">
        <v>6</v>
      </c>
      <c r="G553" s="44" t="s">
        <v>120</v>
      </c>
      <c r="H553" s="44" t="s">
        <v>100</v>
      </c>
      <c r="I553" s="44" t="s">
        <v>193</v>
      </c>
      <c r="J553" s="44" t="s">
        <v>7</v>
      </c>
      <c r="K553" s="44" t="s">
        <v>140</v>
      </c>
      <c r="L553" s="40">
        <v>19466</v>
      </c>
      <c r="M553" s="41">
        <v>41851</v>
      </c>
      <c r="N553" s="40" t="s">
        <v>122</v>
      </c>
      <c r="O553" s="42"/>
      <c r="P553" s="40">
        <v>58</v>
      </c>
      <c r="Q553" s="145">
        <v>65.37</v>
      </c>
      <c r="R553" s="145">
        <v>69.44</v>
      </c>
      <c r="S553" s="145">
        <v>69.48</v>
      </c>
      <c r="T553" s="145">
        <v>73.08</v>
      </c>
      <c r="U553" s="145">
        <v>80.12</v>
      </c>
    </row>
    <row r="554" spans="1:21" x14ac:dyDescent="0.2">
      <c r="A554" s="89">
        <f t="shared" si="8"/>
        <v>546</v>
      </c>
      <c r="B554" s="43">
        <v>15</v>
      </c>
      <c r="C554" s="43">
        <v>28</v>
      </c>
      <c r="D554" s="38" t="s">
        <v>639</v>
      </c>
      <c r="E554" s="44" t="s">
        <v>195</v>
      </c>
      <c r="F554" s="44" t="s">
        <v>39</v>
      </c>
      <c r="G554" s="44" t="s">
        <v>120</v>
      </c>
      <c r="H554" s="44" t="s">
        <v>44</v>
      </c>
      <c r="I554" s="44" t="s">
        <v>44</v>
      </c>
      <c r="J554" s="44" t="s">
        <v>7</v>
      </c>
      <c r="K554" s="44" t="s">
        <v>140</v>
      </c>
      <c r="L554" s="40">
        <v>19467</v>
      </c>
      <c r="M554" s="41">
        <v>41851</v>
      </c>
      <c r="N554" s="40" t="s">
        <v>122</v>
      </c>
      <c r="O554" s="42"/>
      <c r="P554" s="40">
        <v>58</v>
      </c>
      <c r="Q554" s="145">
        <v>77.319999999999993</v>
      </c>
      <c r="R554" s="145">
        <v>78.959999999999994</v>
      </c>
      <c r="S554" s="145">
        <v>79.16</v>
      </c>
      <c r="T554" s="145">
        <v>81.45</v>
      </c>
      <c r="U554" s="145">
        <v>86.6</v>
      </c>
    </row>
    <row r="555" spans="1:21" x14ac:dyDescent="0.2">
      <c r="A555" s="89">
        <f t="shared" si="8"/>
        <v>547</v>
      </c>
      <c r="B555" s="43">
        <v>15</v>
      </c>
      <c r="C555" s="43">
        <v>29</v>
      </c>
      <c r="D555" s="38" t="s">
        <v>640</v>
      </c>
      <c r="E555" s="44" t="s">
        <v>197</v>
      </c>
      <c r="F555" s="44" t="s">
        <v>39</v>
      </c>
      <c r="G555" s="44" t="s">
        <v>120</v>
      </c>
      <c r="H555" s="44" t="s">
        <v>44</v>
      </c>
      <c r="I555" s="44" t="s">
        <v>44</v>
      </c>
      <c r="J555" s="44" t="s">
        <v>45</v>
      </c>
      <c r="K555" s="44" t="s">
        <v>198</v>
      </c>
      <c r="L555" s="40">
        <v>19468</v>
      </c>
      <c r="M555" s="41">
        <v>41851</v>
      </c>
      <c r="N555" s="40" t="s">
        <v>122</v>
      </c>
      <c r="O555" s="42"/>
      <c r="P555" s="40">
        <v>58</v>
      </c>
      <c r="Q555" s="145">
        <v>75.53</v>
      </c>
      <c r="R555" s="145">
        <v>76.86</v>
      </c>
      <c r="S555" s="145">
        <v>77.150000000000006</v>
      </c>
      <c r="T555" s="145">
        <v>79.33</v>
      </c>
      <c r="U555" s="145">
        <v>84.43</v>
      </c>
    </row>
    <row r="556" spans="1:21" x14ac:dyDescent="0.2">
      <c r="A556" s="89">
        <f t="shared" si="8"/>
        <v>548</v>
      </c>
      <c r="B556" s="43">
        <v>15</v>
      </c>
      <c r="C556" s="43">
        <v>30</v>
      </c>
      <c r="D556" s="38" t="s">
        <v>641</v>
      </c>
      <c r="E556" s="44" t="s">
        <v>200</v>
      </c>
      <c r="F556" s="44" t="s">
        <v>39</v>
      </c>
      <c r="G556" s="44" t="s">
        <v>120</v>
      </c>
      <c r="H556" s="44" t="s">
        <v>44</v>
      </c>
      <c r="I556" s="44" t="s">
        <v>44</v>
      </c>
      <c r="J556" s="44" t="s">
        <v>46</v>
      </c>
      <c r="K556" s="44" t="s">
        <v>46</v>
      </c>
      <c r="L556" s="40">
        <v>19469</v>
      </c>
      <c r="M556" s="41">
        <v>41851</v>
      </c>
      <c r="N556" s="40" t="s">
        <v>122</v>
      </c>
      <c r="O556" s="42"/>
      <c r="P556" s="40">
        <v>58</v>
      </c>
      <c r="Q556" s="145">
        <v>74.06</v>
      </c>
      <c r="R556" s="145">
        <v>76.12</v>
      </c>
      <c r="S556" s="145">
        <v>76.28</v>
      </c>
      <c r="T556" s="145">
        <v>78.64</v>
      </c>
      <c r="U556" s="145">
        <v>83.78</v>
      </c>
    </row>
    <row r="557" spans="1:21" x14ac:dyDescent="0.2">
      <c r="A557" s="89">
        <f t="shared" si="8"/>
        <v>549</v>
      </c>
      <c r="B557" s="43">
        <v>15</v>
      </c>
      <c r="C557" s="43">
        <v>31</v>
      </c>
      <c r="D557" s="38" t="s">
        <v>642</v>
      </c>
      <c r="E557" s="44" t="s">
        <v>202</v>
      </c>
      <c r="F557" s="44" t="s">
        <v>39</v>
      </c>
      <c r="G557" s="44" t="s">
        <v>120</v>
      </c>
      <c r="H557" s="44" t="s">
        <v>47</v>
      </c>
      <c r="I557" s="44" t="s">
        <v>47</v>
      </c>
      <c r="J557" s="44" t="s">
        <v>7</v>
      </c>
      <c r="K557" s="44" t="s">
        <v>140</v>
      </c>
      <c r="L557" s="40">
        <v>19470</v>
      </c>
      <c r="M557" s="41">
        <v>41851</v>
      </c>
      <c r="N557" s="40" t="s">
        <v>122</v>
      </c>
      <c r="O557" s="42"/>
      <c r="P557" s="40">
        <v>58</v>
      </c>
      <c r="Q557" s="145">
        <v>66.12</v>
      </c>
      <c r="R557" s="145">
        <v>67.150000000000006</v>
      </c>
      <c r="S557" s="145">
        <v>69.73</v>
      </c>
      <c r="T557" s="145">
        <v>71.290000000000006</v>
      </c>
      <c r="U557" s="145">
        <v>74.13</v>
      </c>
    </row>
    <row r="558" spans="1:21" x14ac:dyDescent="0.2">
      <c r="A558" s="89">
        <f t="shared" si="8"/>
        <v>550</v>
      </c>
      <c r="B558" s="43">
        <v>15</v>
      </c>
      <c r="C558" s="43">
        <v>32</v>
      </c>
      <c r="D558" s="38" t="s">
        <v>643</v>
      </c>
      <c r="E558" s="44" t="s">
        <v>204</v>
      </c>
      <c r="F558" s="44" t="s">
        <v>6</v>
      </c>
      <c r="G558" s="44" t="s">
        <v>120</v>
      </c>
      <c r="H558" s="44" t="s">
        <v>14</v>
      </c>
      <c r="I558" s="44" t="s">
        <v>14</v>
      </c>
      <c r="J558" s="44" t="s">
        <v>15</v>
      </c>
      <c r="K558" s="44" t="s">
        <v>129</v>
      </c>
      <c r="L558" s="40">
        <v>19471</v>
      </c>
      <c r="M558" s="41">
        <v>41851</v>
      </c>
      <c r="N558" s="40" t="s">
        <v>122</v>
      </c>
      <c r="O558" s="42"/>
      <c r="P558" s="40">
        <v>58</v>
      </c>
      <c r="Q558" s="145">
        <v>75.2</v>
      </c>
      <c r="R558" s="145">
        <v>76.41</v>
      </c>
      <c r="S558" s="145">
        <v>76.52</v>
      </c>
      <c r="T558" s="145">
        <v>78.33</v>
      </c>
      <c r="U558" s="145">
        <v>83.03</v>
      </c>
    </row>
    <row r="559" spans="1:21" x14ac:dyDescent="0.2">
      <c r="A559" s="89">
        <f t="shared" si="8"/>
        <v>551</v>
      </c>
      <c r="B559" s="43">
        <v>15</v>
      </c>
      <c r="C559" s="43">
        <v>33</v>
      </c>
      <c r="D559" s="38" t="s">
        <v>644</v>
      </c>
      <c r="E559" s="44" t="s">
        <v>206</v>
      </c>
      <c r="F559" s="44" t="s">
        <v>6</v>
      </c>
      <c r="G559" s="44" t="s">
        <v>120</v>
      </c>
      <c r="H559" s="44" t="s">
        <v>14</v>
      </c>
      <c r="I559" s="44" t="s">
        <v>14</v>
      </c>
      <c r="J559" s="44" t="s">
        <v>16</v>
      </c>
      <c r="K559" s="44" t="s">
        <v>135</v>
      </c>
      <c r="L559" s="40">
        <v>19472</v>
      </c>
      <c r="M559" s="41">
        <v>41851</v>
      </c>
      <c r="N559" s="40" t="s">
        <v>122</v>
      </c>
      <c r="O559" s="42"/>
      <c r="P559" s="40">
        <v>58</v>
      </c>
      <c r="Q559" s="145">
        <v>76.83</v>
      </c>
      <c r="R559" s="145">
        <v>77.72</v>
      </c>
      <c r="S559" s="145">
        <v>77.97</v>
      </c>
      <c r="T559" s="145">
        <v>79.69</v>
      </c>
      <c r="U559" s="145">
        <v>84.45</v>
      </c>
    </row>
    <row r="560" spans="1:21" x14ac:dyDescent="0.2">
      <c r="A560" s="89">
        <f t="shared" si="8"/>
        <v>552</v>
      </c>
      <c r="B560" s="43">
        <v>15</v>
      </c>
      <c r="C560" s="43">
        <v>34</v>
      </c>
      <c r="D560" s="38" t="s">
        <v>645</v>
      </c>
      <c r="E560" s="44" t="s">
        <v>208</v>
      </c>
      <c r="F560" s="44" t="s">
        <v>31</v>
      </c>
      <c r="G560" s="44" t="s">
        <v>120</v>
      </c>
      <c r="H560" s="44" t="s">
        <v>36</v>
      </c>
      <c r="I560" s="44" t="s">
        <v>36</v>
      </c>
      <c r="J560" s="44" t="s">
        <v>37</v>
      </c>
      <c r="K560" s="44" t="s">
        <v>209</v>
      </c>
      <c r="L560" s="40">
        <v>19473</v>
      </c>
      <c r="M560" s="41">
        <v>41851</v>
      </c>
      <c r="N560" s="40" t="s">
        <v>122</v>
      </c>
      <c r="O560" s="42"/>
      <c r="P560" s="40">
        <v>58</v>
      </c>
      <c r="Q560" s="145">
        <v>102.15</v>
      </c>
      <c r="R560" s="145">
        <v>103.31</v>
      </c>
      <c r="S560" s="145">
        <v>103.76</v>
      </c>
      <c r="T560" s="145">
        <v>105.45</v>
      </c>
      <c r="U560" s="145">
        <v>109.09</v>
      </c>
    </row>
    <row r="561" spans="1:21" x14ac:dyDescent="0.2">
      <c r="A561" s="89">
        <f t="shared" si="8"/>
        <v>553</v>
      </c>
      <c r="B561" s="43">
        <v>15</v>
      </c>
      <c r="C561" s="43">
        <v>35</v>
      </c>
      <c r="D561" s="38" t="s">
        <v>646</v>
      </c>
      <c r="E561" s="44" t="s">
        <v>211</v>
      </c>
      <c r="F561" s="44" t="s">
        <v>31</v>
      </c>
      <c r="G561" s="44" t="s">
        <v>120</v>
      </c>
      <c r="H561" s="44" t="s">
        <v>36</v>
      </c>
      <c r="I561" s="44" t="s">
        <v>36</v>
      </c>
      <c r="J561" s="44" t="s">
        <v>38</v>
      </c>
      <c r="K561" s="44" t="s">
        <v>212</v>
      </c>
      <c r="L561" s="40">
        <v>19474</v>
      </c>
      <c r="M561" s="41">
        <v>41851</v>
      </c>
      <c r="N561" s="40" t="s">
        <v>122</v>
      </c>
      <c r="O561" s="42"/>
      <c r="P561" s="40">
        <v>58</v>
      </c>
      <c r="Q561" s="145">
        <v>101.01</v>
      </c>
      <c r="R561" s="145">
        <v>101.69</v>
      </c>
      <c r="S561" s="145">
        <v>102.18</v>
      </c>
      <c r="T561" s="145">
        <v>103.73</v>
      </c>
      <c r="U561" s="145">
        <v>107.33</v>
      </c>
    </row>
    <row r="562" spans="1:21" x14ac:dyDescent="0.2">
      <c r="A562" s="89">
        <f t="shared" si="8"/>
        <v>554</v>
      </c>
      <c r="B562" s="43">
        <v>15</v>
      </c>
      <c r="C562" s="43">
        <v>36</v>
      </c>
      <c r="D562" s="38" t="s">
        <v>647</v>
      </c>
      <c r="E562" s="44" t="s">
        <v>214</v>
      </c>
      <c r="F562" s="44" t="s">
        <v>6</v>
      </c>
      <c r="G562" s="44" t="s">
        <v>120</v>
      </c>
      <c r="H562" s="44" t="s">
        <v>17</v>
      </c>
      <c r="I562" s="44" t="s">
        <v>215</v>
      </c>
      <c r="J562" s="44" t="s">
        <v>18</v>
      </c>
      <c r="K562" s="44" t="s">
        <v>140</v>
      </c>
      <c r="L562" s="40">
        <v>19475</v>
      </c>
      <c r="M562" s="41">
        <v>41851</v>
      </c>
      <c r="N562" s="40" t="s">
        <v>122</v>
      </c>
      <c r="O562" s="42"/>
      <c r="P562" s="40">
        <v>58</v>
      </c>
      <c r="Q562" s="145">
        <v>59.37</v>
      </c>
      <c r="R562" s="145">
        <v>62.5</v>
      </c>
      <c r="S562" s="145">
        <v>63.98</v>
      </c>
      <c r="T562" s="145">
        <v>66.19</v>
      </c>
      <c r="U562" s="145">
        <v>68.64</v>
      </c>
    </row>
    <row r="563" spans="1:21" x14ac:dyDescent="0.2">
      <c r="A563" s="89">
        <f t="shared" si="8"/>
        <v>555</v>
      </c>
      <c r="B563" s="20"/>
      <c r="C563" s="20"/>
      <c r="D563" s="20"/>
    </row>
    <row r="564" spans="1:21" x14ac:dyDescent="0.2">
      <c r="A564" s="89">
        <f t="shared" si="8"/>
        <v>556</v>
      </c>
      <c r="B564" s="43">
        <v>16</v>
      </c>
      <c r="C564" s="43">
        <v>1</v>
      </c>
      <c r="D564" s="38" t="s">
        <v>612</v>
      </c>
      <c r="E564" s="44" t="s">
        <v>119</v>
      </c>
      <c r="F564" s="44" t="s">
        <v>31</v>
      </c>
      <c r="G564" s="44" t="s">
        <v>120</v>
      </c>
      <c r="H564" s="44" t="s">
        <v>32</v>
      </c>
      <c r="I564" s="44" t="s">
        <v>32</v>
      </c>
      <c r="J564" s="44" t="s">
        <v>33</v>
      </c>
      <c r="K564" s="44" t="s">
        <v>121</v>
      </c>
      <c r="L564" s="40">
        <v>19440</v>
      </c>
      <c r="M564" s="41">
        <v>41851</v>
      </c>
      <c r="N564" s="40" t="s">
        <v>122</v>
      </c>
      <c r="O564" s="42"/>
      <c r="P564" s="40">
        <v>59</v>
      </c>
      <c r="Q564" s="145">
        <v>0</v>
      </c>
      <c r="R564" s="145">
        <v>0</v>
      </c>
      <c r="S564" s="145">
        <v>0</v>
      </c>
      <c r="T564" s="145">
        <v>0</v>
      </c>
      <c r="U564" s="145">
        <v>0</v>
      </c>
    </row>
    <row r="565" spans="1:21" x14ac:dyDescent="0.2">
      <c r="A565" s="89">
        <f t="shared" si="8"/>
        <v>557</v>
      </c>
      <c r="B565" s="43">
        <v>16</v>
      </c>
      <c r="C565" s="43">
        <v>2</v>
      </c>
      <c r="D565" s="38" t="s">
        <v>613</v>
      </c>
      <c r="E565" s="44" t="s">
        <v>124</v>
      </c>
      <c r="F565" s="44" t="s">
        <v>31</v>
      </c>
      <c r="G565" s="44" t="s">
        <v>120</v>
      </c>
      <c r="H565" s="44" t="s">
        <v>32</v>
      </c>
      <c r="I565" s="44" t="s">
        <v>32</v>
      </c>
      <c r="J565" s="44" t="s">
        <v>34</v>
      </c>
      <c r="K565" s="44" t="s">
        <v>125</v>
      </c>
      <c r="L565" s="40">
        <v>19441</v>
      </c>
      <c r="M565" s="41">
        <v>41851</v>
      </c>
      <c r="N565" s="40" t="s">
        <v>122</v>
      </c>
      <c r="O565" s="42"/>
      <c r="P565" s="40">
        <v>59</v>
      </c>
      <c r="Q565" s="145">
        <v>0</v>
      </c>
      <c r="R565" s="145">
        <v>0</v>
      </c>
      <c r="S565" s="145">
        <v>0</v>
      </c>
      <c r="T565" s="145">
        <v>0</v>
      </c>
      <c r="U565" s="145">
        <v>0</v>
      </c>
    </row>
    <row r="566" spans="1:21" x14ac:dyDescent="0.2">
      <c r="A566" s="89">
        <f t="shared" si="8"/>
        <v>558</v>
      </c>
      <c r="B566" s="43">
        <v>16</v>
      </c>
      <c r="C566" s="43">
        <v>3</v>
      </c>
      <c r="D566" s="38" t="s">
        <v>614</v>
      </c>
      <c r="E566" s="44" t="s">
        <v>127</v>
      </c>
      <c r="F566" s="44" t="s">
        <v>20</v>
      </c>
      <c r="G566" s="44" t="s">
        <v>120</v>
      </c>
      <c r="H566" s="44" t="s">
        <v>63</v>
      </c>
      <c r="I566" s="44" t="s">
        <v>128</v>
      </c>
      <c r="J566" s="44" t="s">
        <v>15</v>
      </c>
      <c r="K566" s="44" t="s">
        <v>129</v>
      </c>
      <c r="L566" s="40">
        <v>19442</v>
      </c>
      <c r="M566" s="41">
        <v>41851</v>
      </c>
      <c r="N566" s="40" t="s">
        <v>122</v>
      </c>
      <c r="O566" s="42"/>
      <c r="P566" s="40">
        <v>59</v>
      </c>
      <c r="Q566" s="145">
        <v>0</v>
      </c>
      <c r="R566" s="145">
        <v>0</v>
      </c>
      <c r="S566" s="145">
        <v>0</v>
      </c>
      <c r="T566" s="145">
        <v>0</v>
      </c>
      <c r="U566" s="145">
        <v>0</v>
      </c>
    </row>
    <row r="567" spans="1:21" x14ac:dyDescent="0.2">
      <c r="A567" s="89">
        <f t="shared" si="8"/>
        <v>559</v>
      </c>
      <c r="B567" s="43">
        <v>16</v>
      </c>
      <c r="C567" s="43">
        <v>4</v>
      </c>
      <c r="D567" s="38" t="s">
        <v>615</v>
      </c>
      <c r="E567" s="44" t="s">
        <v>131</v>
      </c>
      <c r="F567" s="44" t="s">
        <v>20</v>
      </c>
      <c r="G567" s="44" t="s">
        <v>120</v>
      </c>
      <c r="H567" s="44" t="s">
        <v>63</v>
      </c>
      <c r="I567" s="44" t="s">
        <v>128</v>
      </c>
      <c r="J567" s="44" t="s">
        <v>21</v>
      </c>
      <c r="K567" s="44" t="s">
        <v>132</v>
      </c>
      <c r="L567" s="40">
        <v>19443</v>
      </c>
      <c r="M567" s="41">
        <v>41851</v>
      </c>
      <c r="N567" s="40" t="s">
        <v>122</v>
      </c>
      <c r="O567" s="42"/>
      <c r="P567" s="40">
        <v>59</v>
      </c>
      <c r="Q567" s="145">
        <v>0</v>
      </c>
      <c r="R567" s="145">
        <v>0</v>
      </c>
      <c r="S567" s="145">
        <v>0</v>
      </c>
      <c r="T567" s="145">
        <v>0</v>
      </c>
      <c r="U567" s="145">
        <v>0</v>
      </c>
    </row>
    <row r="568" spans="1:21" x14ac:dyDescent="0.2">
      <c r="A568" s="89">
        <f t="shared" si="8"/>
        <v>560</v>
      </c>
      <c r="B568" s="43">
        <v>16</v>
      </c>
      <c r="C568" s="43">
        <v>5</v>
      </c>
      <c r="D568" s="38" t="s">
        <v>616</v>
      </c>
      <c r="E568" s="44" t="s">
        <v>134</v>
      </c>
      <c r="F568" s="44" t="s">
        <v>20</v>
      </c>
      <c r="G568" s="44" t="s">
        <v>120</v>
      </c>
      <c r="H568" s="44" t="s">
        <v>63</v>
      </c>
      <c r="I568" s="44" t="s">
        <v>128</v>
      </c>
      <c r="J568" s="44" t="s">
        <v>16</v>
      </c>
      <c r="K568" s="44" t="s">
        <v>135</v>
      </c>
      <c r="L568" s="40">
        <v>19444</v>
      </c>
      <c r="M568" s="41">
        <v>41851</v>
      </c>
      <c r="N568" s="40" t="s">
        <v>122</v>
      </c>
      <c r="O568" s="42"/>
      <c r="P568" s="40">
        <v>59</v>
      </c>
      <c r="Q568" s="145">
        <v>0</v>
      </c>
      <c r="R568" s="145">
        <v>0</v>
      </c>
      <c r="S568" s="145">
        <v>0</v>
      </c>
      <c r="T568" s="145">
        <v>0</v>
      </c>
      <c r="U568" s="145">
        <v>0</v>
      </c>
    </row>
    <row r="569" spans="1:21" x14ac:dyDescent="0.2">
      <c r="A569" s="89">
        <f t="shared" si="8"/>
        <v>561</v>
      </c>
      <c r="B569" s="43">
        <v>16</v>
      </c>
      <c r="C569" s="43">
        <v>6</v>
      </c>
      <c r="D569" s="38" t="s">
        <v>617</v>
      </c>
      <c r="E569" s="44" t="s">
        <v>137</v>
      </c>
      <c r="F569" s="44" t="s">
        <v>25</v>
      </c>
      <c r="G569" s="44" t="s">
        <v>138</v>
      </c>
      <c r="H569" s="44" t="s">
        <v>139</v>
      </c>
      <c r="I569" s="44" t="s">
        <v>29</v>
      </c>
      <c r="J569" s="44" t="s">
        <v>30</v>
      </c>
      <c r="K569" s="44" t="s">
        <v>140</v>
      </c>
      <c r="L569" s="40">
        <v>19445</v>
      </c>
      <c r="M569" s="41">
        <v>41851</v>
      </c>
      <c r="N569" s="40" t="s">
        <v>122</v>
      </c>
      <c r="O569" s="42"/>
      <c r="P569" s="40">
        <v>59</v>
      </c>
      <c r="Q569" s="145">
        <v>0</v>
      </c>
      <c r="R569" s="145">
        <v>0</v>
      </c>
      <c r="S569" s="145">
        <v>0</v>
      </c>
      <c r="T569" s="145">
        <v>0</v>
      </c>
      <c r="U569" s="145">
        <v>0</v>
      </c>
    </row>
    <row r="570" spans="1:21" x14ac:dyDescent="0.2">
      <c r="A570" s="89">
        <f t="shared" si="8"/>
        <v>562</v>
      </c>
      <c r="B570" s="43">
        <v>16</v>
      </c>
      <c r="C570" s="43">
        <v>7</v>
      </c>
      <c r="D570" s="38" t="s">
        <v>618</v>
      </c>
      <c r="E570" s="44" t="s">
        <v>142</v>
      </c>
      <c r="F570" s="44" t="s">
        <v>39</v>
      </c>
      <c r="G570" s="44" t="s">
        <v>120</v>
      </c>
      <c r="H570" s="44" t="s">
        <v>40</v>
      </c>
      <c r="I570" s="44" t="s">
        <v>40</v>
      </c>
      <c r="J570" s="44" t="s">
        <v>42</v>
      </c>
      <c r="K570" s="44" t="s">
        <v>135</v>
      </c>
      <c r="L570" s="40">
        <v>19447</v>
      </c>
      <c r="M570" s="41">
        <v>41851</v>
      </c>
      <c r="N570" s="40" t="s">
        <v>122</v>
      </c>
      <c r="O570" s="42"/>
      <c r="P570" s="40">
        <v>59</v>
      </c>
      <c r="Q570" s="145">
        <v>0</v>
      </c>
      <c r="R570" s="145">
        <v>0</v>
      </c>
      <c r="S570" s="145">
        <v>0</v>
      </c>
      <c r="T570" s="145">
        <v>0</v>
      </c>
      <c r="U570" s="145">
        <v>0</v>
      </c>
    </row>
    <row r="571" spans="1:21" x14ac:dyDescent="0.2">
      <c r="A571" s="89">
        <f t="shared" si="8"/>
        <v>563</v>
      </c>
      <c r="B571" s="43">
        <v>16</v>
      </c>
      <c r="C571" s="43">
        <v>8</v>
      </c>
      <c r="D571" s="38" t="s">
        <v>619</v>
      </c>
      <c r="E571" s="44" t="s">
        <v>144</v>
      </c>
      <c r="F571" s="44" t="s">
        <v>39</v>
      </c>
      <c r="G571" s="44" t="s">
        <v>120</v>
      </c>
      <c r="H571" s="44" t="s">
        <v>40</v>
      </c>
      <c r="I571" s="44" t="s">
        <v>40</v>
      </c>
      <c r="J571" s="44" t="s">
        <v>41</v>
      </c>
      <c r="K571" s="44" t="s">
        <v>132</v>
      </c>
      <c r="L571" s="40">
        <v>19446</v>
      </c>
      <c r="M571" s="41">
        <v>41851</v>
      </c>
      <c r="N571" s="40" t="s">
        <v>122</v>
      </c>
      <c r="O571" s="42"/>
      <c r="P571" s="40">
        <v>59</v>
      </c>
      <c r="Q571" s="145">
        <v>0</v>
      </c>
      <c r="R571" s="145">
        <v>0</v>
      </c>
      <c r="S571" s="145">
        <v>0</v>
      </c>
      <c r="T571" s="145">
        <v>0</v>
      </c>
      <c r="U571" s="145">
        <v>0</v>
      </c>
    </row>
    <row r="572" spans="1:21" x14ac:dyDescent="0.2">
      <c r="A572" s="89">
        <f t="shared" si="8"/>
        <v>564</v>
      </c>
      <c r="B572" s="43">
        <v>16</v>
      </c>
      <c r="C572" s="43">
        <v>9</v>
      </c>
      <c r="D572" s="38" t="s">
        <v>620</v>
      </c>
      <c r="E572" s="44" t="s">
        <v>146</v>
      </c>
      <c r="F572" s="44" t="s">
        <v>39</v>
      </c>
      <c r="G572" s="44" t="s">
        <v>120</v>
      </c>
      <c r="H572" s="44" t="s">
        <v>40</v>
      </c>
      <c r="I572" s="44" t="s">
        <v>40</v>
      </c>
      <c r="J572" s="44" t="s">
        <v>7</v>
      </c>
      <c r="K572" s="44" t="s">
        <v>129</v>
      </c>
      <c r="L572" s="40">
        <v>19448</v>
      </c>
      <c r="M572" s="41">
        <v>41851</v>
      </c>
      <c r="N572" s="40" t="s">
        <v>122</v>
      </c>
      <c r="O572" s="42"/>
      <c r="P572" s="40">
        <v>59</v>
      </c>
      <c r="Q572" s="145">
        <v>0</v>
      </c>
      <c r="R572" s="145">
        <v>0</v>
      </c>
      <c r="S572" s="145">
        <v>0</v>
      </c>
      <c r="T572" s="145">
        <v>0</v>
      </c>
      <c r="U572" s="145">
        <v>0</v>
      </c>
    </row>
    <row r="573" spans="1:21" x14ac:dyDescent="0.2">
      <c r="A573" s="89">
        <f t="shared" si="8"/>
        <v>565</v>
      </c>
      <c r="B573" s="43">
        <v>16</v>
      </c>
      <c r="C573" s="43">
        <v>10</v>
      </c>
      <c r="D573" s="38" t="s">
        <v>621</v>
      </c>
      <c r="E573" s="44" t="s">
        <v>148</v>
      </c>
      <c r="F573" s="44" t="s">
        <v>25</v>
      </c>
      <c r="G573" s="44" t="s">
        <v>120</v>
      </c>
      <c r="H573" s="44" t="s">
        <v>149</v>
      </c>
      <c r="I573" s="44" t="s">
        <v>26</v>
      </c>
      <c r="J573" s="44" t="s">
        <v>27</v>
      </c>
      <c r="K573" s="44" t="s">
        <v>150</v>
      </c>
      <c r="L573" s="40">
        <v>19449</v>
      </c>
      <c r="M573" s="41">
        <v>41851</v>
      </c>
      <c r="N573" s="40" t="s">
        <v>122</v>
      </c>
      <c r="O573" s="42"/>
      <c r="P573" s="40">
        <v>59</v>
      </c>
      <c r="Q573" s="145">
        <v>0</v>
      </c>
      <c r="R573" s="145">
        <v>0</v>
      </c>
      <c r="S573" s="145">
        <v>0</v>
      </c>
      <c r="T573" s="145">
        <v>0</v>
      </c>
      <c r="U573" s="145">
        <v>0</v>
      </c>
    </row>
    <row r="574" spans="1:21" x14ac:dyDescent="0.2">
      <c r="A574" s="89">
        <f t="shared" si="8"/>
        <v>566</v>
      </c>
      <c r="B574" s="43">
        <v>16</v>
      </c>
      <c r="C574" s="43">
        <v>11</v>
      </c>
      <c r="D574" s="38" t="s">
        <v>622</v>
      </c>
      <c r="E574" s="44" t="s">
        <v>152</v>
      </c>
      <c r="F574" s="44" t="s">
        <v>25</v>
      </c>
      <c r="G574" s="44" t="s">
        <v>120</v>
      </c>
      <c r="H574" s="44" t="s">
        <v>149</v>
      </c>
      <c r="I574" s="44" t="s">
        <v>26</v>
      </c>
      <c r="J574" s="44" t="s">
        <v>28</v>
      </c>
      <c r="K574" s="44" t="s">
        <v>153</v>
      </c>
      <c r="L574" s="40">
        <v>19450</v>
      </c>
      <c r="M574" s="41">
        <v>41851</v>
      </c>
      <c r="N574" s="40" t="s">
        <v>122</v>
      </c>
      <c r="O574" s="42"/>
      <c r="P574" s="40">
        <v>59</v>
      </c>
      <c r="Q574" s="145">
        <v>0</v>
      </c>
      <c r="R574" s="145">
        <v>0</v>
      </c>
      <c r="S574" s="145">
        <v>0</v>
      </c>
      <c r="T574" s="145">
        <v>0</v>
      </c>
      <c r="U574" s="145">
        <v>0</v>
      </c>
    </row>
    <row r="575" spans="1:21" x14ac:dyDescent="0.2">
      <c r="A575" s="89">
        <f t="shared" si="8"/>
        <v>567</v>
      </c>
      <c r="B575" s="43">
        <v>16</v>
      </c>
      <c r="C575" s="43">
        <v>12</v>
      </c>
      <c r="D575" s="38" t="s">
        <v>623</v>
      </c>
      <c r="E575" s="44" t="s">
        <v>155</v>
      </c>
      <c r="F575" s="44" t="s">
        <v>20</v>
      </c>
      <c r="G575" s="44" t="s">
        <v>120</v>
      </c>
      <c r="H575" s="44" t="s">
        <v>105</v>
      </c>
      <c r="I575" s="44" t="s">
        <v>156</v>
      </c>
      <c r="J575" s="44" t="s">
        <v>22</v>
      </c>
      <c r="K575" s="44" t="s">
        <v>157</v>
      </c>
      <c r="L575" s="40">
        <v>19451</v>
      </c>
      <c r="M575" s="41">
        <v>41851</v>
      </c>
      <c r="N575" s="40" t="s">
        <v>122</v>
      </c>
      <c r="O575" s="42"/>
      <c r="P575" s="40">
        <v>59</v>
      </c>
      <c r="Q575" s="145">
        <v>0</v>
      </c>
      <c r="R575" s="145">
        <v>0</v>
      </c>
      <c r="S575" s="145">
        <v>0</v>
      </c>
      <c r="T575" s="145">
        <v>0</v>
      </c>
      <c r="U575" s="145">
        <v>0</v>
      </c>
    </row>
    <row r="576" spans="1:21" x14ac:dyDescent="0.2">
      <c r="A576" s="89">
        <f t="shared" si="8"/>
        <v>568</v>
      </c>
      <c r="B576" s="43">
        <v>16</v>
      </c>
      <c r="C576" s="43">
        <v>13</v>
      </c>
      <c r="D576" s="38" t="s">
        <v>624</v>
      </c>
      <c r="E576" s="44" t="s">
        <v>159</v>
      </c>
      <c r="F576" s="44" t="s">
        <v>39</v>
      </c>
      <c r="G576" s="44" t="s">
        <v>120</v>
      </c>
      <c r="H576" s="44" t="s">
        <v>43</v>
      </c>
      <c r="I576" s="44" t="s">
        <v>43</v>
      </c>
      <c r="J576" s="44" t="s">
        <v>7</v>
      </c>
      <c r="K576" s="44" t="s">
        <v>140</v>
      </c>
      <c r="L576" s="40">
        <v>19452</v>
      </c>
      <c r="M576" s="41">
        <v>41851</v>
      </c>
      <c r="N576" s="40" t="s">
        <v>122</v>
      </c>
      <c r="O576" s="42"/>
      <c r="P576" s="40">
        <v>59</v>
      </c>
      <c r="Q576" s="145">
        <v>0</v>
      </c>
      <c r="R576" s="145">
        <v>0</v>
      </c>
      <c r="S576" s="145">
        <v>0</v>
      </c>
      <c r="T576" s="145">
        <v>0</v>
      </c>
      <c r="U576" s="145">
        <v>0</v>
      </c>
    </row>
    <row r="577" spans="1:21" x14ac:dyDescent="0.2">
      <c r="A577" s="89">
        <f t="shared" si="8"/>
        <v>569</v>
      </c>
      <c r="B577" s="43">
        <v>16</v>
      </c>
      <c r="C577" s="43">
        <v>14</v>
      </c>
      <c r="D577" s="38" t="s">
        <v>625</v>
      </c>
      <c r="E577" s="44" t="s">
        <v>161</v>
      </c>
      <c r="F577" s="44" t="s">
        <v>6</v>
      </c>
      <c r="G577" s="44" t="s">
        <v>120</v>
      </c>
      <c r="H577" s="44" t="s">
        <v>48</v>
      </c>
      <c r="I577" s="44" t="s">
        <v>48</v>
      </c>
      <c r="J577" s="44" t="s">
        <v>7</v>
      </c>
      <c r="K577" s="44" t="s">
        <v>140</v>
      </c>
      <c r="L577" s="40">
        <v>19453</v>
      </c>
      <c r="M577" s="41">
        <v>41851</v>
      </c>
      <c r="N577" s="40" t="s">
        <v>122</v>
      </c>
      <c r="O577" s="42"/>
      <c r="P577" s="40">
        <v>59</v>
      </c>
      <c r="Q577" s="145">
        <v>0</v>
      </c>
      <c r="R577" s="145">
        <v>0</v>
      </c>
      <c r="S577" s="145">
        <v>0</v>
      </c>
      <c r="T577" s="145">
        <v>0</v>
      </c>
      <c r="U577" s="145">
        <v>0</v>
      </c>
    </row>
    <row r="578" spans="1:21" x14ac:dyDescent="0.2">
      <c r="A578" s="89">
        <f t="shared" si="8"/>
        <v>570</v>
      </c>
      <c r="B578" s="43">
        <v>16</v>
      </c>
      <c r="C578" s="43">
        <v>15</v>
      </c>
      <c r="D578" s="38" t="s">
        <v>626</v>
      </c>
      <c r="E578" s="44" t="s">
        <v>163</v>
      </c>
      <c r="F578" s="44" t="s">
        <v>20</v>
      </c>
      <c r="G578" s="44" t="s">
        <v>120</v>
      </c>
      <c r="H578" s="44" t="s">
        <v>23</v>
      </c>
      <c r="I578" s="44" t="s">
        <v>164</v>
      </c>
      <c r="J578" s="44" t="s">
        <v>24</v>
      </c>
      <c r="K578" s="44" t="s">
        <v>140</v>
      </c>
      <c r="L578" s="40">
        <v>19454</v>
      </c>
      <c r="M578" s="41">
        <v>41851</v>
      </c>
      <c r="N578" s="40" t="s">
        <v>122</v>
      </c>
      <c r="O578" s="42"/>
      <c r="P578" s="40">
        <v>59</v>
      </c>
      <c r="Q578" s="145">
        <v>0</v>
      </c>
      <c r="R578" s="145">
        <v>0</v>
      </c>
      <c r="S578" s="145">
        <v>0</v>
      </c>
      <c r="T578" s="145">
        <v>0</v>
      </c>
      <c r="U578" s="145">
        <v>0</v>
      </c>
    </row>
    <row r="579" spans="1:21" x14ac:dyDescent="0.2">
      <c r="A579" s="89">
        <f t="shared" si="8"/>
        <v>571</v>
      </c>
      <c r="B579" s="43">
        <v>16</v>
      </c>
      <c r="C579" s="43">
        <v>16</v>
      </c>
      <c r="D579" s="38" t="s">
        <v>627</v>
      </c>
      <c r="E579" s="44" t="s">
        <v>166</v>
      </c>
      <c r="F579" s="44" t="s">
        <v>20</v>
      </c>
      <c r="G579" s="44" t="s">
        <v>120</v>
      </c>
      <c r="H579" s="44" t="s">
        <v>64</v>
      </c>
      <c r="I579" s="44" t="s">
        <v>167</v>
      </c>
      <c r="J579" s="44" t="s">
        <v>7</v>
      </c>
      <c r="K579" s="44" t="s">
        <v>140</v>
      </c>
      <c r="L579" s="40">
        <v>19455</v>
      </c>
      <c r="M579" s="41">
        <v>41851</v>
      </c>
      <c r="N579" s="40" t="s">
        <v>122</v>
      </c>
      <c r="O579" s="42"/>
      <c r="P579" s="40">
        <v>59</v>
      </c>
      <c r="Q579" s="145">
        <v>0</v>
      </c>
      <c r="R579" s="145">
        <v>0</v>
      </c>
      <c r="S579" s="145">
        <v>0</v>
      </c>
      <c r="T579" s="145">
        <v>0</v>
      </c>
      <c r="U579" s="145">
        <v>0</v>
      </c>
    </row>
    <row r="580" spans="1:21" x14ac:dyDescent="0.2">
      <c r="A580" s="89">
        <f t="shared" si="8"/>
        <v>572</v>
      </c>
      <c r="B580" s="43">
        <v>16</v>
      </c>
      <c r="C580" s="43">
        <v>17</v>
      </c>
      <c r="D580" s="38" t="s">
        <v>628</v>
      </c>
      <c r="E580" s="44" t="s">
        <v>169</v>
      </c>
      <c r="F580" s="44" t="s">
        <v>31</v>
      </c>
      <c r="G580" s="44" t="s">
        <v>120</v>
      </c>
      <c r="H580" s="44" t="s">
        <v>35</v>
      </c>
      <c r="I580" s="44" t="s">
        <v>35</v>
      </c>
      <c r="J580" s="44" t="s">
        <v>9</v>
      </c>
      <c r="K580" s="44" t="s">
        <v>135</v>
      </c>
      <c r="L580" s="40">
        <v>19456</v>
      </c>
      <c r="M580" s="41">
        <v>41851</v>
      </c>
      <c r="N580" s="40" t="s">
        <v>122</v>
      </c>
      <c r="O580" s="42"/>
      <c r="P580" s="40">
        <v>59</v>
      </c>
      <c r="Q580" s="145">
        <v>0</v>
      </c>
      <c r="R580" s="145">
        <v>0</v>
      </c>
      <c r="S580" s="145">
        <v>0</v>
      </c>
      <c r="T580" s="145">
        <v>0</v>
      </c>
      <c r="U580" s="145">
        <v>0</v>
      </c>
    </row>
    <row r="581" spans="1:21" x14ac:dyDescent="0.2">
      <c r="A581" s="89">
        <f t="shared" si="8"/>
        <v>573</v>
      </c>
      <c r="B581" s="43">
        <v>16</v>
      </c>
      <c r="C581" s="43">
        <v>18</v>
      </c>
      <c r="D581" s="38" t="s">
        <v>629</v>
      </c>
      <c r="E581" s="44" t="s">
        <v>171</v>
      </c>
      <c r="F581" s="44" t="s">
        <v>31</v>
      </c>
      <c r="G581" s="44" t="s">
        <v>120</v>
      </c>
      <c r="H581" s="44" t="s">
        <v>35</v>
      </c>
      <c r="I581" s="44" t="s">
        <v>35</v>
      </c>
      <c r="J581" s="44" t="s">
        <v>10</v>
      </c>
      <c r="K581" s="44" t="s">
        <v>132</v>
      </c>
      <c r="L581" s="40">
        <v>19457</v>
      </c>
      <c r="M581" s="41">
        <v>41851</v>
      </c>
      <c r="N581" s="40" t="s">
        <v>122</v>
      </c>
      <c r="O581" s="42"/>
      <c r="P581" s="40">
        <v>59</v>
      </c>
      <c r="Q581" s="145">
        <v>0</v>
      </c>
      <c r="R581" s="145">
        <v>0</v>
      </c>
      <c r="S581" s="145">
        <v>0</v>
      </c>
      <c r="T581" s="145">
        <v>0</v>
      </c>
      <c r="U581" s="145">
        <v>0</v>
      </c>
    </row>
    <row r="582" spans="1:21" x14ac:dyDescent="0.2">
      <c r="A582" s="89">
        <f t="shared" si="8"/>
        <v>574</v>
      </c>
      <c r="B582" s="43">
        <v>16</v>
      </c>
      <c r="C582" s="43">
        <v>19</v>
      </c>
      <c r="D582" s="38" t="s">
        <v>630</v>
      </c>
      <c r="E582" s="44" t="s">
        <v>173</v>
      </c>
      <c r="F582" s="44" t="s">
        <v>31</v>
      </c>
      <c r="G582" s="44" t="s">
        <v>120</v>
      </c>
      <c r="H582" s="44" t="s">
        <v>35</v>
      </c>
      <c r="I582" s="44" t="s">
        <v>35</v>
      </c>
      <c r="J582" s="44" t="s">
        <v>11</v>
      </c>
      <c r="K582" s="44" t="s">
        <v>129</v>
      </c>
      <c r="L582" s="40">
        <v>19458</v>
      </c>
      <c r="M582" s="41">
        <v>41851</v>
      </c>
      <c r="N582" s="40" t="s">
        <v>122</v>
      </c>
      <c r="O582" s="42"/>
      <c r="P582" s="40">
        <v>59</v>
      </c>
      <c r="Q582" s="145">
        <v>0</v>
      </c>
      <c r="R582" s="145">
        <v>0</v>
      </c>
      <c r="S582" s="145">
        <v>0</v>
      </c>
      <c r="T582" s="145">
        <v>0</v>
      </c>
      <c r="U582" s="145">
        <v>0</v>
      </c>
    </row>
    <row r="583" spans="1:21" x14ac:dyDescent="0.2">
      <c r="A583" s="89">
        <f t="shared" si="8"/>
        <v>575</v>
      </c>
      <c r="B583" s="43">
        <v>16</v>
      </c>
      <c r="C583" s="43">
        <v>20</v>
      </c>
      <c r="D583" s="38" t="s">
        <v>631</v>
      </c>
      <c r="E583" s="44" t="s">
        <v>175</v>
      </c>
      <c r="F583" s="44" t="s">
        <v>6</v>
      </c>
      <c r="G583" s="44" t="s">
        <v>120</v>
      </c>
      <c r="H583" s="44" t="s">
        <v>176</v>
      </c>
      <c r="I583" s="44" t="s">
        <v>177</v>
      </c>
      <c r="J583" s="44" t="s">
        <v>9</v>
      </c>
      <c r="K583" s="44" t="s">
        <v>135</v>
      </c>
      <c r="L583" s="40">
        <v>19460</v>
      </c>
      <c r="M583" s="41">
        <v>41851</v>
      </c>
      <c r="N583" s="40" t="s">
        <v>122</v>
      </c>
      <c r="O583" s="42"/>
      <c r="P583" s="40">
        <v>59</v>
      </c>
      <c r="Q583" s="145">
        <v>0</v>
      </c>
      <c r="R583" s="145">
        <v>0</v>
      </c>
      <c r="S583" s="145">
        <v>0</v>
      </c>
      <c r="T583" s="145">
        <v>0</v>
      </c>
      <c r="U583" s="145">
        <v>0</v>
      </c>
    </row>
    <row r="584" spans="1:21" x14ac:dyDescent="0.2">
      <c r="A584" s="89">
        <f t="shared" si="8"/>
        <v>576</v>
      </c>
      <c r="B584" s="43">
        <v>16</v>
      </c>
      <c r="C584" s="43">
        <v>21</v>
      </c>
      <c r="D584" s="38" t="s">
        <v>632</v>
      </c>
      <c r="E584" s="44" t="s">
        <v>179</v>
      </c>
      <c r="F584" s="44" t="s">
        <v>6</v>
      </c>
      <c r="G584" s="44" t="s">
        <v>120</v>
      </c>
      <c r="H584" s="44" t="s">
        <v>176</v>
      </c>
      <c r="I584" s="44" t="s">
        <v>177</v>
      </c>
      <c r="J584" s="44" t="s">
        <v>10</v>
      </c>
      <c r="K584" s="44" t="s">
        <v>132</v>
      </c>
      <c r="L584" s="40">
        <v>19459</v>
      </c>
      <c r="M584" s="41">
        <v>41851</v>
      </c>
      <c r="N584" s="40" t="s">
        <v>122</v>
      </c>
      <c r="O584" s="42"/>
      <c r="P584" s="40">
        <v>59</v>
      </c>
      <c r="Q584" s="145">
        <v>0</v>
      </c>
      <c r="R584" s="145">
        <v>0</v>
      </c>
      <c r="S584" s="145">
        <v>0</v>
      </c>
      <c r="T584" s="145">
        <v>0</v>
      </c>
      <c r="U584" s="145">
        <v>0</v>
      </c>
    </row>
    <row r="585" spans="1:21" x14ac:dyDescent="0.2">
      <c r="A585" s="89">
        <f t="shared" si="8"/>
        <v>577</v>
      </c>
      <c r="B585" s="43">
        <v>16</v>
      </c>
      <c r="C585" s="43">
        <v>22</v>
      </c>
      <c r="D585" s="38" t="s">
        <v>633</v>
      </c>
      <c r="E585" s="44" t="s">
        <v>181</v>
      </c>
      <c r="F585" s="44" t="s">
        <v>6</v>
      </c>
      <c r="G585" s="44" t="s">
        <v>120</v>
      </c>
      <c r="H585" s="44" t="s">
        <v>176</v>
      </c>
      <c r="I585" s="44" t="s">
        <v>177</v>
      </c>
      <c r="J585" s="44" t="s">
        <v>11</v>
      </c>
      <c r="K585" s="44" t="s">
        <v>129</v>
      </c>
      <c r="L585" s="40">
        <v>19461</v>
      </c>
      <c r="M585" s="41">
        <v>41851</v>
      </c>
      <c r="N585" s="40" t="s">
        <v>122</v>
      </c>
      <c r="O585" s="42"/>
      <c r="P585" s="40">
        <v>59</v>
      </c>
      <c r="Q585" s="145">
        <v>0</v>
      </c>
      <c r="R585" s="145">
        <v>0</v>
      </c>
      <c r="S585" s="145">
        <v>0</v>
      </c>
      <c r="T585" s="145">
        <v>0</v>
      </c>
      <c r="U585" s="145">
        <v>0</v>
      </c>
    </row>
    <row r="586" spans="1:21" x14ac:dyDescent="0.2">
      <c r="A586" s="89">
        <f t="shared" si="8"/>
        <v>578</v>
      </c>
      <c r="B586" s="43">
        <v>16</v>
      </c>
      <c r="C586" s="43">
        <v>23</v>
      </c>
      <c r="D586" s="38" t="s">
        <v>634</v>
      </c>
      <c r="E586" s="44" t="s">
        <v>183</v>
      </c>
      <c r="F586" s="44" t="s">
        <v>6</v>
      </c>
      <c r="G586" s="44" t="s">
        <v>120</v>
      </c>
      <c r="H586" s="44" t="s">
        <v>13</v>
      </c>
      <c r="I586" s="44" t="s">
        <v>13</v>
      </c>
      <c r="J586" s="44" t="s">
        <v>7</v>
      </c>
      <c r="K586" s="44" t="s">
        <v>140</v>
      </c>
      <c r="L586" s="40">
        <v>19462</v>
      </c>
      <c r="M586" s="41">
        <v>41851</v>
      </c>
      <c r="N586" s="40" t="s">
        <v>122</v>
      </c>
      <c r="O586" s="42"/>
      <c r="P586" s="40">
        <v>59</v>
      </c>
      <c r="Q586" s="145">
        <v>0</v>
      </c>
      <c r="R586" s="145">
        <v>0</v>
      </c>
      <c r="S586" s="145">
        <v>0</v>
      </c>
      <c r="T586" s="145">
        <v>0</v>
      </c>
      <c r="U586" s="145">
        <v>0</v>
      </c>
    </row>
    <row r="587" spans="1:21" x14ac:dyDescent="0.2">
      <c r="A587" s="89">
        <f t="shared" ref="A587:A650" si="9">A586+1</f>
        <v>579</v>
      </c>
      <c r="B587" s="43">
        <v>16</v>
      </c>
      <c r="C587" s="43">
        <v>24</v>
      </c>
      <c r="D587" s="38" t="s">
        <v>635</v>
      </c>
      <c r="E587" s="44" t="s">
        <v>185</v>
      </c>
      <c r="F587" s="44" t="s">
        <v>6</v>
      </c>
      <c r="G587" s="44" t="s">
        <v>120</v>
      </c>
      <c r="H587" s="44" t="s">
        <v>12</v>
      </c>
      <c r="I587" s="44" t="s">
        <v>186</v>
      </c>
      <c r="J587" s="44" t="s">
        <v>9</v>
      </c>
      <c r="K587" s="44" t="s">
        <v>135</v>
      </c>
      <c r="L587" s="40">
        <v>19463</v>
      </c>
      <c r="M587" s="41">
        <v>41851</v>
      </c>
      <c r="N587" s="40" t="s">
        <v>122</v>
      </c>
      <c r="O587" s="42"/>
      <c r="P587" s="40">
        <v>59</v>
      </c>
      <c r="Q587" s="145">
        <v>0</v>
      </c>
      <c r="R587" s="145">
        <v>0</v>
      </c>
      <c r="S587" s="145">
        <v>0</v>
      </c>
      <c r="T587" s="145">
        <v>0</v>
      </c>
      <c r="U587" s="145">
        <v>0</v>
      </c>
    </row>
    <row r="588" spans="1:21" x14ac:dyDescent="0.2">
      <c r="A588" s="89">
        <f t="shared" si="9"/>
        <v>580</v>
      </c>
      <c r="B588" s="43">
        <v>16</v>
      </c>
      <c r="C588" s="43">
        <v>25</v>
      </c>
      <c r="D588" s="38" t="s">
        <v>636</v>
      </c>
      <c r="E588" s="44" t="s">
        <v>188</v>
      </c>
      <c r="F588" s="44" t="s">
        <v>6</v>
      </c>
      <c r="G588" s="44" t="s">
        <v>120</v>
      </c>
      <c r="H588" s="44" t="s">
        <v>12</v>
      </c>
      <c r="I588" s="44" t="s">
        <v>186</v>
      </c>
      <c r="J588" s="44" t="s">
        <v>10</v>
      </c>
      <c r="K588" s="44" t="s">
        <v>132</v>
      </c>
      <c r="L588" s="40">
        <v>19464</v>
      </c>
      <c r="M588" s="41">
        <v>41851</v>
      </c>
      <c r="N588" s="40" t="s">
        <v>122</v>
      </c>
      <c r="O588" s="42"/>
      <c r="P588" s="40">
        <v>59</v>
      </c>
      <c r="Q588" s="145">
        <v>0</v>
      </c>
      <c r="R588" s="145">
        <v>0</v>
      </c>
      <c r="S588" s="145">
        <v>0</v>
      </c>
      <c r="T588" s="145">
        <v>0</v>
      </c>
      <c r="U588" s="145">
        <v>0</v>
      </c>
    </row>
    <row r="589" spans="1:21" x14ac:dyDescent="0.2">
      <c r="A589" s="89">
        <f t="shared" si="9"/>
        <v>581</v>
      </c>
      <c r="B589" s="43">
        <v>16</v>
      </c>
      <c r="C589" s="43">
        <v>26</v>
      </c>
      <c r="D589" s="38" t="s">
        <v>637</v>
      </c>
      <c r="E589" s="44" t="s">
        <v>190</v>
      </c>
      <c r="F589" s="44" t="s">
        <v>6</v>
      </c>
      <c r="G589" s="44" t="s">
        <v>120</v>
      </c>
      <c r="H589" s="44" t="s">
        <v>12</v>
      </c>
      <c r="I589" s="44" t="s">
        <v>186</v>
      </c>
      <c r="J589" s="44" t="s">
        <v>11</v>
      </c>
      <c r="K589" s="44" t="s">
        <v>129</v>
      </c>
      <c r="L589" s="40">
        <v>19465</v>
      </c>
      <c r="M589" s="41">
        <v>41851</v>
      </c>
      <c r="N589" s="40" t="s">
        <v>122</v>
      </c>
      <c r="O589" s="42"/>
      <c r="P589" s="40">
        <v>59</v>
      </c>
      <c r="Q589" s="145">
        <v>0</v>
      </c>
      <c r="R589" s="145">
        <v>0</v>
      </c>
      <c r="S589" s="145">
        <v>0</v>
      </c>
      <c r="T589" s="145">
        <v>0</v>
      </c>
      <c r="U589" s="145">
        <v>0</v>
      </c>
    </row>
    <row r="590" spans="1:21" x14ac:dyDescent="0.2">
      <c r="A590" s="89">
        <f t="shared" si="9"/>
        <v>582</v>
      </c>
      <c r="B590" s="43">
        <v>16</v>
      </c>
      <c r="C590" s="43">
        <v>27</v>
      </c>
      <c r="D590" s="38" t="s">
        <v>638</v>
      </c>
      <c r="E590" s="44" t="s">
        <v>192</v>
      </c>
      <c r="F590" s="44" t="s">
        <v>6</v>
      </c>
      <c r="G590" s="44" t="s">
        <v>120</v>
      </c>
      <c r="H590" s="44" t="s">
        <v>100</v>
      </c>
      <c r="I590" s="44" t="s">
        <v>193</v>
      </c>
      <c r="J590" s="44" t="s">
        <v>7</v>
      </c>
      <c r="K590" s="44" t="s">
        <v>140</v>
      </c>
      <c r="L590" s="40">
        <v>19466</v>
      </c>
      <c r="M590" s="41">
        <v>41851</v>
      </c>
      <c r="N590" s="40" t="s">
        <v>122</v>
      </c>
      <c r="O590" s="42"/>
      <c r="P590" s="40">
        <v>59</v>
      </c>
      <c r="Q590" s="145">
        <v>0</v>
      </c>
      <c r="R590" s="145">
        <v>0</v>
      </c>
      <c r="S590" s="145">
        <v>0</v>
      </c>
      <c r="T590" s="145">
        <v>0</v>
      </c>
      <c r="U590" s="145">
        <v>0</v>
      </c>
    </row>
    <row r="591" spans="1:21" x14ac:dyDescent="0.2">
      <c r="A591" s="89">
        <f t="shared" si="9"/>
        <v>583</v>
      </c>
      <c r="B591" s="43">
        <v>16</v>
      </c>
      <c r="C591" s="43">
        <v>28</v>
      </c>
      <c r="D591" s="38" t="s">
        <v>639</v>
      </c>
      <c r="E591" s="44" t="s">
        <v>195</v>
      </c>
      <c r="F591" s="44" t="s">
        <v>39</v>
      </c>
      <c r="G591" s="44" t="s">
        <v>120</v>
      </c>
      <c r="H591" s="44" t="s">
        <v>44</v>
      </c>
      <c r="I591" s="44" t="s">
        <v>44</v>
      </c>
      <c r="J591" s="44" t="s">
        <v>7</v>
      </c>
      <c r="K591" s="44" t="s">
        <v>140</v>
      </c>
      <c r="L591" s="40">
        <v>19467</v>
      </c>
      <c r="M591" s="41">
        <v>41851</v>
      </c>
      <c r="N591" s="40" t="s">
        <v>122</v>
      </c>
      <c r="O591" s="42"/>
      <c r="P591" s="40">
        <v>59</v>
      </c>
      <c r="Q591" s="145">
        <v>0</v>
      </c>
      <c r="R591" s="145">
        <v>0</v>
      </c>
      <c r="S591" s="145">
        <v>0</v>
      </c>
      <c r="T591" s="145">
        <v>0</v>
      </c>
      <c r="U591" s="145">
        <v>0</v>
      </c>
    </row>
    <row r="592" spans="1:21" x14ac:dyDescent="0.2">
      <c r="A592" s="89">
        <f t="shared" si="9"/>
        <v>584</v>
      </c>
      <c r="B592" s="43">
        <v>16</v>
      </c>
      <c r="C592" s="43">
        <v>29</v>
      </c>
      <c r="D592" s="38" t="s">
        <v>640</v>
      </c>
      <c r="E592" s="44" t="s">
        <v>197</v>
      </c>
      <c r="F592" s="44" t="s">
        <v>39</v>
      </c>
      <c r="G592" s="44" t="s">
        <v>120</v>
      </c>
      <c r="H592" s="44" t="s">
        <v>44</v>
      </c>
      <c r="I592" s="44" t="s">
        <v>44</v>
      </c>
      <c r="J592" s="44" t="s">
        <v>45</v>
      </c>
      <c r="K592" s="44" t="s">
        <v>198</v>
      </c>
      <c r="L592" s="40">
        <v>19468</v>
      </c>
      <c r="M592" s="41">
        <v>41851</v>
      </c>
      <c r="N592" s="40" t="s">
        <v>122</v>
      </c>
      <c r="O592" s="42"/>
      <c r="P592" s="40">
        <v>59</v>
      </c>
      <c r="Q592" s="145">
        <v>0</v>
      </c>
      <c r="R592" s="145">
        <v>0</v>
      </c>
      <c r="S592" s="145">
        <v>0</v>
      </c>
      <c r="T592" s="145">
        <v>0</v>
      </c>
      <c r="U592" s="145">
        <v>0</v>
      </c>
    </row>
    <row r="593" spans="1:21" x14ac:dyDescent="0.2">
      <c r="A593" s="89">
        <f t="shared" si="9"/>
        <v>585</v>
      </c>
      <c r="B593" s="43">
        <v>16</v>
      </c>
      <c r="C593" s="43">
        <v>30</v>
      </c>
      <c r="D593" s="38" t="s">
        <v>641</v>
      </c>
      <c r="E593" s="44" t="s">
        <v>200</v>
      </c>
      <c r="F593" s="44" t="s">
        <v>39</v>
      </c>
      <c r="G593" s="44" t="s">
        <v>120</v>
      </c>
      <c r="H593" s="44" t="s">
        <v>44</v>
      </c>
      <c r="I593" s="44" t="s">
        <v>44</v>
      </c>
      <c r="J593" s="44" t="s">
        <v>46</v>
      </c>
      <c r="K593" s="44" t="s">
        <v>46</v>
      </c>
      <c r="L593" s="40">
        <v>19469</v>
      </c>
      <c r="M593" s="41">
        <v>41851</v>
      </c>
      <c r="N593" s="40" t="s">
        <v>122</v>
      </c>
      <c r="O593" s="42"/>
      <c r="P593" s="40">
        <v>59</v>
      </c>
      <c r="Q593" s="145">
        <v>0</v>
      </c>
      <c r="R593" s="145">
        <v>0</v>
      </c>
      <c r="S593" s="145">
        <v>0</v>
      </c>
      <c r="T593" s="145">
        <v>0</v>
      </c>
      <c r="U593" s="145">
        <v>0</v>
      </c>
    </row>
    <row r="594" spans="1:21" x14ac:dyDescent="0.2">
      <c r="A594" s="89">
        <f t="shared" si="9"/>
        <v>586</v>
      </c>
      <c r="B594" s="43">
        <v>16</v>
      </c>
      <c r="C594" s="43">
        <v>31</v>
      </c>
      <c r="D594" s="38" t="s">
        <v>642</v>
      </c>
      <c r="E594" s="44" t="s">
        <v>202</v>
      </c>
      <c r="F594" s="44" t="s">
        <v>39</v>
      </c>
      <c r="G594" s="44" t="s">
        <v>120</v>
      </c>
      <c r="H594" s="44" t="s">
        <v>47</v>
      </c>
      <c r="I594" s="44" t="s">
        <v>47</v>
      </c>
      <c r="J594" s="44" t="s">
        <v>7</v>
      </c>
      <c r="K594" s="44" t="s">
        <v>140</v>
      </c>
      <c r="L594" s="40">
        <v>19470</v>
      </c>
      <c r="M594" s="41">
        <v>41851</v>
      </c>
      <c r="N594" s="40" t="s">
        <v>122</v>
      </c>
      <c r="O594" s="42"/>
      <c r="P594" s="40">
        <v>59</v>
      </c>
      <c r="Q594" s="145">
        <v>0</v>
      </c>
      <c r="R594" s="145">
        <v>0</v>
      </c>
      <c r="S594" s="145">
        <v>0</v>
      </c>
      <c r="T594" s="145">
        <v>0</v>
      </c>
      <c r="U594" s="145">
        <v>0</v>
      </c>
    </row>
    <row r="595" spans="1:21" x14ac:dyDescent="0.2">
      <c r="A595" s="89">
        <f t="shared" si="9"/>
        <v>587</v>
      </c>
      <c r="B595" s="43">
        <v>16</v>
      </c>
      <c r="C595" s="43">
        <v>32</v>
      </c>
      <c r="D595" s="38" t="s">
        <v>643</v>
      </c>
      <c r="E595" s="44" t="s">
        <v>204</v>
      </c>
      <c r="F595" s="44" t="s">
        <v>6</v>
      </c>
      <c r="G595" s="44" t="s">
        <v>120</v>
      </c>
      <c r="H595" s="44" t="s">
        <v>14</v>
      </c>
      <c r="I595" s="44" t="s">
        <v>14</v>
      </c>
      <c r="J595" s="44" t="s">
        <v>15</v>
      </c>
      <c r="K595" s="44" t="s">
        <v>129</v>
      </c>
      <c r="L595" s="40">
        <v>19471</v>
      </c>
      <c r="M595" s="41">
        <v>41851</v>
      </c>
      <c r="N595" s="40" t="s">
        <v>122</v>
      </c>
      <c r="O595" s="42"/>
      <c r="P595" s="40">
        <v>59</v>
      </c>
      <c r="Q595" s="145">
        <v>0</v>
      </c>
      <c r="R595" s="145">
        <v>0</v>
      </c>
      <c r="S595" s="145">
        <v>0</v>
      </c>
      <c r="T595" s="145">
        <v>0</v>
      </c>
      <c r="U595" s="145">
        <v>0</v>
      </c>
    </row>
    <row r="596" spans="1:21" x14ac:dyDescent="0.2">
      <c r="A596" s="89">
        <f t="shared" si="9"/>
        <v>588</v>
      </c>
      <c r="B596" s="43">
        <v>16</v>
      </c>
      <c r="C596" s="43">
        <v>33</v>
      </c>
      <c r="D596" s="38" t="s">
        <v>644</v>
      </c>
      <c r="E596" s="44" t="s">
        <v>206</v>
      </c>
      <c r="F596" s="44" t="s">
        <v>6</v>
      </c>
      <c r="G596" s="44" t="s">
        <v>120</v>
      </c>
      <c r="H596" s="44" t="s">
        <v>14</v>
      </c>
      <c r="I596" s="44" t="s">
        <v>14</v>
      </c>
      <c r="J596" s="44" t="s">
        <v>16</v>
      </c>
      <c r="K596" s="44" t="s">
        <v>135</v>
      </c>
      <c r="L596" s="40">
        <v>19472</v>
      </c>
      <c r="M596" s="41">
        <v>41851</v>
      </c>
      <c r="N596" s="40" t="s">
        <v>122</v>
      </c>
      <c r="O596" s="42"/>
      <c r="P596" s="40">
        <v>59</v>
      </c>
      <c r="Q596" s="145">
        <v>0</v>
      </c>
      <c r="R596" s="145">
        <v>0</v>
      </c>
      <c r="S596" s="145">
        <v>0</v>
      </c>
      <c r="T596" s="145">
        <v>0</v>
      </c>
      <c r="U596" s="145">
        <v>0</v>
      </c>
    </row>
    <row r="597" spans="1:21" x14ac:dyDescent="0.2">
      <c r="A597" s="89">
        <f t="shared" si="9"/>
        <v>589</v>
      </c>
      <c r="B597" s="43">
        <v>16</v>
      </c>
      <c r="C597" s="43">
        <v>34</v>
      </c>
      <c r="D597" s="38" t="s">
        <v>645</v>
      </c>
      <c r="E597" s="44" t="s">
        <v>208</v>
      </c>
      <c r="F597" s="44" t="s">
        <v>31</v>
      </c>
      <c r="G597" s="44" t="s">
        <v>120</v>
      </c>
      <c r="H597" s="44" t="s">
        <v>36</v>
      </c>
      <c r="I597" s="44" t="s">
        <v>36</v>
      </c>
      <c r="J597" s="44" t="s">
        <v>37</v>
      </c>
      <c r="K597" s="44" t="s">
        <v>209</v>
      </c>
      <c r="L597" s="40">
        <v>19473</v>
      </c>
      <c r="M597" s="41">
        <v>41851</v>
      </c>
      <c r="N597" s="40" t="s">
        <v>122</v>
      </c>
      <c r="O597" s="42"/>
      <c r="P597" s="40">
        <v>59</v>
      </c>
      <c r="Q597" s="145">
        <v>0</v>
      </c>
      <c r="R597" s="145">
        <v>0</v>
      </c>
      <c r="S597" s="145">
        <v>0</v>
      </c>
      <c r="T597" s="145">
        <v>0</v>
      </c>
      <c r="U597" s="145">
        <v>0</v>
      </c>
    </row>
    <row r="598" spans="1:21" x14ac:dyDescent="0.2">
      <c r="A598" s="89">
        <f t="shared" si="9"/>
        <v>590</v>
      </c>
      <c r="B598" s="43">
        <v>16</v>
      </c>
      <c r="C598" s="43">
        <v>35</v>
      </c>
      <c r="D598" s="38" t="s">
        <v>646</v>
      </c>
      <c r="E598" s="44" t="s">
        <v>211</v>
      </c>
      <c r="F598" s="44" t="s">
        <v>31</v>
      </c>
      <c r="G598" s="44" t="s">
        <v>120</v>
      </c>
      <c r="H598" s="44" t="s">
        <v>36</v>
      </c>
      <c r="I598" s="44" t="s">
        <v>36</v>
      </c>
      <c r="J598" s="44" t="s">
        <v>38</v>
      </c>
      <c r="K598" s="44" t="s">
        <v>212</v>
      </c>
      <c r="L598" s="40">
        <v>19474</v>
      </c>
      <c r="M598" s="41">
        <v>41851</v>
      </c>
      <c r="N598" s="40" t="s">
        <v>122</v>
      </c>
      <c r="O598" s="42"/>
      <c r="P598" s="40">
        <v>59</v>
      </c>
      <c r="Q598" s="145">
        <v>0</v>
      </c>
      <c r="R598" s="145">
        <v>0</v>
      </c>
      <c r="S598" s="145">
        <v>0</v>
      </c>
      <c r="T598" s="145">
        <v>0</v>
      </c>
      <c r="U598" s="145">
        <v>0</v>
      </c>
    </row>
    <row r="599" spans="1:21" x14ac:dyDescent="0.2">
      <c r="A599" s="89">
        <f t="shared" si="9"/>
        <v>591</v>
      </c>
      <c r="B599" s="43">
        <v>16</v>
      </c>
      <c r="C599" s="43">
        <v>36</v>
      </c>
      <c r="D599" s="38" t="s">
        <v>647</v>
      </c>
      <c r="E599" s="44" t="s">
        <v>214</v>
      </c>
      <c r="F599" s="44" t="s">
        <v>6</v>
      </c>
      <c r="G599" s="44" t="s">
        <v>120</v>
      </c>
      <c r="H599" s="44" t="s">
        <v>17</v>
      </c>
      <c r="I599" s="44" t="s">
        <v>215</v>
      </c>
      <c r="J599" s="44" t="s">
        <v>18</v>
      </c>
      <c r="K599" s="44" t="s">
        <v>140</v>
      </c>
      <c r="L599" s="40">
        <v>19475</v>
      </c>
      <c r="M599" s="41">
        <v>41851</v>
      </c>
      <c r="N599" s="40" t="s">
        <v>122</v>
      </c>
      <c r="O599" s="42"/>
      <c r="P599" s="40">
        <v>59</v>
      </c>
      <c r="Q599" s="145">
        <v>0</v>
      </c>
      <c r="R599" s="145">
        <v>0</v>
      </c>
      <c r="S599" s="145">
        <v>0</v>
      </c>
      <c r="T599" s="145">
        <v>0</v>
      </c>
      <c r="U599" s="145">
        <v>0</v>
      </c>
    </row>
    <row r="600" spans="1:21" x14ac:dyDescent="0.2">
      <c r="A600" s="89">
        <f t="shared" si="9"/>
        <v>592</v>
      </c>
      <c r="B600" s="20"/>
      <c r="C600" s="20"/>
      <c r="D600" s="20"/>
    </row>
    <row r="601" spans="1:21" x14ac:dyDescent="0.2">
      <c r="A601" s="89">
        <f t="shared" si="9"/>
        <v>593</v>
      </c>
      <c r="B601" s="43">
        <v>17</v>
      </c>
      <c r="C601" s="43">
        <v>1</v>
      </c>
      <c r="D601" s="38" t="s">
        <v>612</v>
      </c>
      <c r="E601" s="44" t="s">
        <v>119</v>
      </c>
      <c r="F601" s="44" t="s">
        <v>31</v>
      </c>
      <c r="G601" s="44" t="s">
        <v>120</v>
      </c>
      <c r="H601" s="44" t="s">
        <v>32</v>
      </c>
      <c r="I601" s="44" t="s">
        <v>32</v>
      </c>
      <c r="J601" s="44" t="s">
        <v>33</v>
      </c>
      <c r="K601" s="44" t="s">
        <v>121</v>
      </c>
      <c r="L601" s="40">
        <v>19440</v>
      </c>
      <c r="M601" s="41">
        <v>41851</v>
      </c>
      <c r="N601" s="40" t="s">
        <v>122</v>
      </c>
      <c r="O601" s="42"/>
      <c r="P601" s="40">
        <v>60</v>
      </c>
      <c r="Q601" s="145">
        <v>0</v>
      </c>
      <c r="R601" s="145">
        <v>0</v>
      </c>
      <c r="S601" s="145">
        <v>0</v>
      </c>
      <c r="T601" s="145">
        <v>0</v>
      </c>
      <c r="U601" s="145">
        <v>0</v>
      </c>
    </row>
    <row r="602" spans="1:21" x14ac:dyDescent="0.2">
      <c r="A602" s="89">
        <f t="shared" si="9"/>
        <v>594</v>
      </c>
      <c r="B602" s="43">
        <v>17</v>
      </c>
      <c r="C602" s="43">
        <v>2</v>
      </c>
      <c r="D602" s="38" t="s">
        <v>613</v>
      </c>
      <c r="E602" s="44" t="s">
        <v>124</v>
      </c>
      <c r="F602" s="44" t="s">
        <v>31</v>
      </c>
      <c r="G602" s="44" t="s">
        <v>120</v>
      </c>
      <c r="H602" s="44" t="s">
        <v>32</v>
      </c>
      <c r="I602" s="44" t="s">
        <v>32</v>
      </c>
      <c r="J602" s="44" t="s">
        <v>34</v>
      </c>
      <c r="K602" s="44" t="s">
        <v>125</v>
      </c>
      <c r="L602" s="40">
        <v>19441</v>
      </c>
      <c r="M602" s="41">
        <v>41851</v>
      </c>
      <c r="N602" s="40" t="s">
        <v>122</v>
      </c>
      <c r="O602" s="42"/>
      <c r="P602" s="40">
        <v>60</v>
      </c>
      <c r="Q602" s="145">
        <v>0</v>
      </c>
      <c r="R602" s="145">
        <v>0</v>
      </c>
      <c r="S602" s="145">
        <v>0</v>
      </c>
      <c r="T602" s="145">
        <v>0</v>
      </c>
      <c r="U602" s="145">
        <v>0</v>
      </c>
    </row>
    <row r="603" spans="1:21" x14ac:dyDescent="0.2">
      <c r="A603" s="89">
        <f t="shared" si="9"/>
        <v>595</v>
      </c>
      <c r="B603" s="43">
        <v>17</v>
      </c>
      <c r="C603" s="43">
        <v>3</v>
      </c>
      <c r="D603" s="38" t="s">
        <v>614</v>
      </c>
      <c r="E603" s="44" t="s">
        <v>127</v>
      </c>
      <c r="F603" s="44" t="s">
        <v>20</v>
      </c>
      <c r="G603" s="44" t="s">
        <v>120</v>
      </c>
      <c r="H603" s="44" t="s">
        <v>63</v>
      </c>
      <c r="I603" s="44" t="s">
        <v>128</v>
      </c>
      <c r="J603" s="44" t="s">
        <v>15</v>
      </c>
      <c r="K603" s="44" t="s">
        <v>129</v>
      </c>
      <c r="L603" s="40">
        <v>19442</v>
      </c>
      <c r="M603" s="41">
        <v>41851</v>
      </c>
      <c r="N603" s="40" t="s">
        <v>122</v>
      </c>
      <c r="O603" s="42"/>
      <c r="P603" s="40">
        <v>60</v>
      </c>
      <c r="Q603" s="145">
        <v>0</v>
      </c>
      <c r="R603" s="145">
        <v>0</v>
      </c>
      <c r="S603" s="145">
        <v>0</v>
      </c>
      <c r="T603" s="145">
        <v>0</v>
      </c>
      <c r="U603" s="145">
        <v>0</v>
      </c>
    </row>
    <row r="604" spans="1:21" x14ac:dyDescent="0.2">
      <c r="A604" s="89">
        <f t="shared" si="9"/>
        <v>596</v>
      </c>
      <c r="B604" s="43">
        <v>17</v>
      </c>
      <c r="C604" s="43">
        <v>4</v>
      </c>
      <c r="D604" s="38" t="s">
        <v>615</v>
      </c>
      <c r="E604" s="44" t="s">
        <v>131</v>
      </c>
      <c r="F604" s="44" t="s">
        <v>20</v>
      </c>
      <c r="G604" s="44" t="s">
        <v>120</v>
      </c>
      <c r="H604" s="44" t="s">
        <v>63</v>
      </c>
      <c r="I604" s="44" t="s">
        <v>128</v>
      </c>
      <c r="J604" s="44" t="s">
        <v>21</v>
      </c>
      <c r="K604" s="44" t="s">
        <v>132</v>
      </c>
      <c r="L604" s="40">
        <v>19443</v>
      </c>
      <c r="M604" s="41">
        <v>41851</v>
      </c>
      <c r="N604" s="40" t="s">
        <v>122</v>
      </c>
      <c r="O604" s="42"/>
      <c r="P604" s="40">
        <v>60</v>
      </c>
      <c r="Q604" s="145">
        <v>0</v>
      </c>
      <c r="R604" s="145">
        <v>0</v>
      </c>
      <c r="S604" s="145">
        <v>0</v>
      </c>
      <c r="T604" s="145">
        <v>0</v>
      </c>
      <c r="U604" s="145">
        <v>0</v>
      </c>
    </row>
    <row r="605" spans="1:21" x14ac:dyDescent="0.2">
      <c r="A605" s="89">
        <f t="shared" si="9"/>
        <v>597</v>
      </c>
      <c r="B605" s="43">
        <v>17</v>
      </c>
      <c r="C605" s="43">
        <v>5</v>
      </c>
      <c r="D605" s="38" t="s">
        <v>616</v>
      </c>
      <c r="E605" s="44" t="s">
        <v>134</v>
      </c>
      <c r="F605" s="44" t="s">
        <v>20</v>
      </c>
      <c r="G605" s="44" t="s">
        <v>120</v>
      </c>
      <c r="H605" s="44" t="s">
        <v>63</v>
      </c>
      <c r="I605" s="44" t="s">
        <v>128</v>
      </c>
      <c r="J605" s="44" t="s">
        <v>16</v>
      </c>
      <c r="K605" s="44" t="s">
        <v>135</v>
      </c>
      <c r="L605" s="40">
        <v>19444</v>
      </c>
      <c r="M605" s="41">
        <v>41851</v>
      </c>
      <c r="N605" s="40" t="s">
        <v>122</v>
      </c>
      <c r="O605" s="42"/>
      <c r="P605" s="40">
        <v>60</v>
      </c>
      <c r="Q605" s="145">
        <v>0</v>
      </c>
      <c r="R605" s="145">
        <v>0</v>
      </c>
      <c r="S605" s="145">
        <v>0</v>
      </c>
      <c r="T605" s="145">
        <v>0</v>
      </c>
      <c r="U605" s="145">
        <v>0</v>
      </c>
    </row>
    <row r="606" spans="1:21" x14ac:dyDescent="0.2">
      <c r="A606" s="89">
        <f t="shared" si="9"/>
        <v>598</v>
      </c>
      <c r="B606" s="43">
        <v>17</v>
      </c>
      <c r="C606" s="43">
        <v>6</v>
      </c>
      <c r="D606" s="38" t="s">
        <v>617</v>
      </c>
      <c r="E606" s="44" t="s">
        <v>137</v>
      </c>
      <c r="F606" s="44" t="s">
        <v>25</v>
      </c>
      <c r="G606" s="44" t="s">
        <v>138</v>
      </c>
      <c r="H606" s="44" t="s">
        <v>139</v>
      </c>
      <c r="I606" s="44" t="s">
        <v>29</v>
      </c>
      <c r="J606" s="44" t="s">
        <v>30</v>
      </c>
      <c r="K606" s="44" t="s">
        <v>140</v>
      </c>
      <c r="L606" s="40">
        <v>19445</v>
      </c>
      <c r="M606" s="41">
        <v>41851</v>
      </c>
      <c r="N606" s="40" t="s">
        <v>122</v>
      </c>
      <c r="O606" s="42"/>
      <c r="P606" s="40">
        <v>60</v>
      </c>
      <c r="Q606" s="145">
        <v>0</v>
      </c>
      <c r="R606" s="145">
        <v>0</v>
      </c>
      <c r="S606" s="145">
        <v>0</v>
      </c>
      <c r="T606" s="145">
        <v>0</v>
      </c>
      <c r="U606" s="145">
        <v>0</v>
      </c>
    </row>
    <row r="607" spans="1:21" x14ac:dyDescent="0.2">
      <c r="A607" s="89">
        <f t="shared" si="9"/>
        <v>599</v>
      </c>
      <c r="B607" s="43">
        <v>17</v>
      </c>
      <c r="C607" s="43">
        <v>7</v>
      </c>
      <c r="D607" s="38" t="s">
        <v>618</v>
      </c>
      <c r="E607" s="44" t="s">
        <v>142</v>
      </c>
      <c r="F607" s="44" t="s">
        <v>39</v>
      </c>
      <c r="G607" s="44" t="s">
        <v>120</v>
      </c>
      <c r="H607" s="44" t="s">
        <v>40</v>
      </c>
      <c r="I607" s="44" t="s">
        <v>40</v>
      </c>
      <c r="J607" s="44" t="s">
        <v>42</v>
      </c>
      <c r="K607" s="44" t="s">
        <v>135</v>
      </c>
      <c r="L607" s="40">
        <v>19447</v>
      </c>
      <c r="M607" s="41">
        <v>41851</v>
      </c>
      <c r="N607" s="40" t="s">
        <v>122</v>
      </c>
      <c r="O607" s="42"/>
      <c r="P607" s="40">
        <v>60</v>
      </c>
      <c r="Q607" s="145">
        <v>0</v>
      </c>
      <c r="R607" s="145">
        <v>0</v>
      </c>
      <c r="S607" s="145">
        <v>0</v>
      </c>
      <c r="T607" s="145">
        <v>0</v>
      </c>
      <c r="U607" s="145">
        <v>0</v>
      </c>
    </row>
    <row r="608" spans="1:21" x14ac:dyDescent="0.2">
      <c r="A608" s="89">
        <f t="shared" si="9"/>
        <v>600</v>
      </c>
      <c r="B608" s="43">
        <v>17</v>
      </c>
      <c r="C608" s="43">
        <v>8</v>
      </c>
      <c r="D608" s="38" t="s">
        <v>619</v>
      </c>
      <c r="E608" s="44" t="s">
        <v>144</v>
      </c>
      <c r="F608" s="44" t="s">
        <v>39</v>
      </c>
      <c r="G608" s="44" t="s">
        <v>120</v>
      </c>
      <c r="H608" s="44" t="s">
        <v>40</v>
      </c>
      <c r="I608" s="44" t="s">
        <v>40</v>
      </c>
      <c r="J608" s="44" t="s">
        <v>41</v>
      </c>
      <c r="K608" s="44" t="s">
        <v>132</v>
      </c>
      <c r="L608" s="40">
        <v>19446</v>
      </c>
      <c r="M608" s="41">
        <v>41851</v>
      </c>
      <c r="N608" s="40" t="s">
        <v>122</v>
      </c>
      <c r="O608" s="42"/>
      <c r="P608" s="40">
        <v>60</v>
      </c>
      <c r="Q608" s="145">
        <v>0</v>
      </c>
      <c r="R608" s="145">
        <v>0</v>
      </c>
      <c r="S608" s="145">
        <v>0</v>
      </c>
      <c r="T608" s="145">
        <v>0</v>
      </c>
      <c r="U608" s="145">
        <v>0</v>
      </c>
    </row>
    <row r="609" spans="1:21" x14ac:dyDescent="0.2">
      <c r="A609" s="89">
        <f t="shared" si="9"/>
        <v>601</v>
      </c>
      <c r="B609" s="43">
        <v>17</v>
      </c>
      <c r="C609" s="43">
        <v>9</v>
      </c>
      <c r="D609" s="38" t="s">
        <v>620</v>
      </c>
      <c r="E609" s="44" t="s">
        <v>146</v>
      </c>
      <c r="F609" s="44" t="s">
        <v>39</v>
      </c>
      <c r="G609" s="44" t="s">
        <v>120</v>
      </c>
      <c r="H609" s="44" t="s">
        <v>40</v>
      </c>
      <c r="I609" s="44" t="s">
        <v>40</v>
      </c>
      <c r="J609" s="44" t="s">
        <v>7</v>
      </c>
      <c r="K609" s="44" t="s">
        <v>129</v>
      </c>
      <c r="L609" s="40">
        <v>19448</v>
      </c>
      <c r="M609" s="41">
        <v>41851</v>
      </c>
      <c r="N609" s="40" t="s">
        <v>122</v>
      </c>
      <c r="O609" s="42"/>
      <c r="P609" s="40">
        <v>60</v>
      </c>
      <c r="Q609" s="145">
        <v>0</v>
      </c>
      <c r="R609" s="145">
        <v>0</v>
      </c>
      <c r="S609" s="145">
        <v>0</v>
      </c>
      <c r="T609" s="145">
        <v>0</v>
      </c>
      <c r="U609" s="145">
        <v>0</v>
      </c>
    </row>
    <row r="610" spans="1:21" x14ac:dyDescent="0.2">
      <c r="A610" s="89">
        <f t="shared" si="9"/>
        <v>602</v>
      </c>
      <c r="B610" s="43">
        <v>17</v>
      </c>
      <c r="C610" s="43">
        <v>10</v>
      </c>
      <c r="D610" s="38" t="s">
        <v>621</v>
      </c>
      <c r="E610" s="44" t="s">
        <v>148</v>
      </c>
      <c r="F610" s="44" t="s">
        <v>25</v>
      </c>
      <c r="G610" s="44" t="s">
        <v>120</v>
      </c>
      <c r="H610" s="44" t="s">
        <v>149</v>
      </c>
      <c r="I610" s="44" t="s">
        <v>26</v>
      </c>
      <c r="J610" s="44" t="s">
        <v>27</v>
      </c>
      <c r="K610" s="44" t="s">
        <v>150</v>
      </c>
      <c r="L610" s="40">
        <v>19449</v>
      </c>
      <c r="M610" s="41">
        <v>41851</v>
      </c>
      <c r="N610" s="40" t="s">
        <v>122</v>
      </c>
      <c r="O610" s="42"/>
      <c r="P610" s="40">
        <v>60</v>
      </c>
      <c r="Q610" s="145">
        <v>0</v>
      </c>
      <c r="R610" s="145">
        <v>0</v>
      </c>
      <c r="S610" s="145">
        <v>0</v>
      </c>
      <c r="T610" s="145">
        <v>0</v>
      </c>
      <c r="U610" s="145">
        <v>0</v>
      </c>
    </row>
    <row r="611" spans="1:21" x14ac:dyDescent="0.2">
      <c r="A611" s="89">
        <f t="shared" si="9"/>
        <v>603</v>
      </c>
      <c r="B611" s="43">
        <v>17</v>
      </c>
      <c r="C611" s="43">
        <v>11</v>
      </c>
      <c r="D611" s="38" t="s">
        <v>622</v>
      </c>
      <c r="E611" s="44" t="s">
        <v>152</v>
      </c>
      <c r="F611" s="44" t="s">
        <v>25</v>
      </c>
      <c r="G611" s="44" t="s">
        <v>120</v>
      </c>
      <c r="H611" s="44" t="s">
        <v>149</v>
      </c>
      <c r="I611" s="44" t="s">
        <v>26</v>
      </c>
      <c r="J611" s="44" t="s">
        <v>28</v>
      </c>
      <c r="K611" s="44" t="s">
        <v>153</v>
      </c>
      <c r="L611" s="40">
        <v>19450</v>
      </c>
      <c r="M611" s="41">
        <v>41851</v>
      </c>
      <c r="N611" s="40" t="s">
        <v>122</v>
      </c>
      <c r="O611" s="42"/>
      <c r="P611" s="40">
        <v>60</v>
      </c>
      <c r="Q611" s="145">
        <v>0</v>
      </c>
      <c r="R611" s="145">
        <v>0</v>
      </c>
      <c r="S611" s="145">
        <v>0</v>
      </c>
      <c r="T611" s="145">
        <v>0</v>
      </c>
      <c r="U611" s="145">
        <v>0</v>
      </c>
    </row>
    <row r="612" spans="1:21" x14ac:dyDescent="0.2">
      <c r="A612" s="89">
        <f t="shared" si="9"/>
        <v>604</v>
      </c>
      <c r="B612" s="43">
        <v>17</v>
      </c>
      <c r="C612" s="43">
        <v>12</v>
      </c>
      <c r="D612" s="38" t="s">
        <v>623</v>
      </c>
      <c r="E612" s="44" t="s">
        <v>155</v>
      </c>
      <c r="F612" s="44" t="s">
        <v>20</v>
      </c>
      <c r="G612" s="44" t="s">
        <v>120</v>
      </c>
      <c r="H612" s="44" t="s">
        <v>105</v>
      </c>
      <c r="I612" s="44" t="s">
        <v>156</v>
      </c>
      <c r="J612" s="44" t="s">
        <v>22</v>
      </c>
      <c r="K612" s="44" t="s">
        <v>157</v>
      </c>
      <c r="L612" s="40">
        <v>19451</v>
      </c>
      <c r="M612" s="41">
        <v>41851</v>
      </c>
      <c r="N612" s="40" t="s">
        <v>122</v>
      </c>
      <c r="O612" s="42"/>
      <c r="P612" s="40">
        <v>60</v>
      </c>
      <c r="Q612" s="145">
        <v>0</v>
      </c>
      <c r="R612" s="145">
        <v>0</v>
      </c>
      <c r="S612" s="145">
        <v>0</v>
      </c>
      <c r="T612" s="145">
        <v>0</v>
      </c>
      <c r="U612" s="145">
        <v>0</v>
      </c>
    </row>
    <row r="613" spans="1:21" x14ac:dyDescent="0.2">
      <c r="A613" s="89">
        <f t="shared" si="9"/>
        <v>605</v>
      </c>
      <c r="B613" s="43">
        <v>17</v>
      </c>
      <c r="C613" s="43">
        <v>13</v>
      </c>
      <c r="D613" s="38" t="s">
        <v>624</v>
      </c>
      <c r="E613" s="44" t="s">
        <v>159</v>
      </c>
      <c r="F613" s="44" t="s">
        <v>39</v>
      </c>
      <c r="G613" s="44" t="s">
        <v>120</v>
      </c>
      <c r="H613" s="44" t="s">
        <v>43</v>
      </c>
      <c r="I613" s="44" t="s">
        <v>43</v>
      </c>
      <c r="J613" s="44" t="s">
        <v>7</v>
      </c>
      <c r="K613" s="44" t="s">
        <v>140</v>
      </c>
      <c r="L613" s="40">
        <v>19452</v>
      </c>
      <c r="M613" s="41">
        <v>41851</v>
      </c>
      <c r="N613" s="40" t="s">
        <v>122</v>
      </c>
      <c r="O613" s="42"/>
      <c r="P613" s="40">
        <v>60</v>
      </c>
      <c r="Q613" s="145">
        <v>0</v>
      </c>
      <c r="R613" s="145">
        <v>0</v>
      </c>
      <c r="S613" s="145">
        <v>0</v>
      </c>
      <c r="T613" s="145">
        <v>0</v>
      </c>
      <c r="U613" s="145">
        <v>0</v>
      </c>
    </row>
    <row r="614" spans="1:21" x14ac:dyDescent="0.2">
      <c r="A614" s="89">
        <f t="shared" si="9"/>
        <v>606</v>
      </c>
      <c r="B614" s="43">
        <v>17</v>
      </c>
      <c r="C614" s="43">
        <v>14</v>
      </c>
      <c r="D614" s="38" t="s">
        <v>625</v>
      </c>
      <c r="E614" s="44" t="s">
        <v>161</v>
      </c>
      <c r="F614" s="44" t="s">
        <v>6</v>
      </c>
      <c r="G614" s="44" t="s">
        <v>120</v>
      </c>
      <c r="H614" s="44" t="s">
        <v>48</v>
      </c>
      <c r="I614" s="44" t="s">
        <v>48</v>
      </c>
      <c r="J614" s="44" t="s">
        <v>7</v>
      </c>
      <c r="K614" s="44" t="s">
        <v>140</v>
      </c>
      <c r="L614" s="40">
        <v>19453</v>
      </c>
      <c r="M614" s="41">
        <v>41851</v>
      </c>
      <c r="N614" s="40" t="s">
        <v>122</v>
      </c>
      <c r="O614" s="42"/>
      <c r="P614" s="40">
        <v>60</v>
      </c>
      <c r="Q614" s="145">
        <v>0</v>
      </c>
      <c r="R614" s="145">
        <v>0</v>
      </c>
      <c r="S614" s="145">
        <v>0</v>
      </c>
      <c r="T614" s="145">
        <v>0</v>
      </c>
      <c r="U614" s="145">
        <v>0</v>
      </c>
    </row>
    <row r="615" spans="1:21" x14ac:dyDescent="0.2">
      <c r="A615" s="89">
        <f t="shared" si="9"/>
        <v>607</v>
      </c>
      <c r="B615" s="43">
        <v>17</v>
      </c>
      <c r="C615" s="43">
        <v>15</v>
      </c>
      <c r="D615" s="38" t="s">
        <v>626</v>
      </c>
      <c r="E615" s="44" t="s">
        <v>163</v>
      </c>
      <c r="F615" s="44" t="s">
        <v>20</v>
      </c>
      <c r="G615" s="44" t="s">
        <v>120</v>
      </c>
      <c r="H615" s="44" t="s">
        <v>23</v>
      </c>
      <c r="I615" s="44" t="s">
        <v>164</v>
      </c>
      <c r="J615" s="44" t="s">
        <v>24</v>
      </c>
      <c r="K615" s="44" t="s">
        <v>140</v>
      </c>
      <c r="L615" s="40">
        <v>19454</v>
      </c>
      <c r="M615" s="41">
        <v>41851</v>
      </c>
      <c r="N615" s="40" t="s">
        <v>122</v>
      </c>
      <c r="O615" s="42"/>
      <c r="P615" s="40">
        <v>60</v>
      </c>
      <c r="Q615" s="145">
        <v>0</v>
      </c>
      <c r="R615" s="145">
        <v>0</v>
      </c>
      <c r="S615" s="145">
        <v>0</v>
      </c>
      <c r="T615" s="145">
        <v>0</v>
      </c>
      <c r="U615" s="145">
        <v>0</v>
      </c>
    </row>
    <row r="616" spans="1:21" x14ac:dyDescent="0.2">
      <c r="A616" s="89">
        <f t="shared" si="9"/>
        <v>608</v>
      </c>
      <c r="B616" s="43">
        <v>17</v>
      </c>
      <c r="C616" s="43">
        <v>16</v>
      </c>
      <c r="D616" s="38" t="s">
        <v>627</v>
      </c>
      <c r="E616" s="44" t="s">
        <v>166</v>
      </c>
      <c r="F616" s="44" t="s">
        <v>20</v>
      </c>
      <c r="G616" s="44" t="s">
        <v>120</v>
      </c>
      <c r="H616" s="44" t="s">
        <v>64</v>
      </c>
      <c r="I616" s="44" t="s">
        <v>167</v>
      </c>
      <c r="J616" s="44" t="s">
        <v>7</v>
      </c>
      <c r="K616" s="44" t="s">
        <v>140</v>
      </c>
      <c r="L616" s="40">
        <v>19455</v>
      </c>
      <c r="M616" s="41">
        <v>41851</v>
      </c>
      <c r="N616" s="40" t="s">
        <v>122</v>
      </c>
      <c r="O616" s="42"/>
      <c r="P616" s="40">
        <v>60</v>
      </c>
      <c r="Q616" s="145">
        <v>0</v>
      </c>
      <c r="R616" s="145">
        <v>0</v>
      </c>
      <c r="S616" s="145">
        <v>0</v>
      </c>
      <c r="T616" s="145">
        <v>0</v>
      </c>
      <c r="U616" s="145">
        <v>0</v>
      </c>
    </row>
    <row r="617" spans="1:21" x14ac:dyDescent="0.2">
      <c r="A617" s="89">
        <f t="shared" si="9"/>
        <v>609</v>
      </c>
      <c r="B617" s="43">
        <v>17</v>
      </c>
      <c r="C617" s="43">
        <v>17</v>
      </c>
      <c r="D617" s="38" t="s">
        <v>628</v>
      </c>
      <c r="E617" s="44" t="s">
        <v>169</v>
      </c>
      <c r="F617" s="44" t="s">
        <v>31</v>
      </c>
      <c r="G617" s="44" t="s">
        <v>120</v>
      </c>
      <c r="H617" s="44" t="s">
        <v>35</v>
      </c>
      <c r="I617" s="44" t="s">
        <v>35</v>
      </c>
      <c r="J617" s="44" t="s">
        <v>9</v>
      </c>
      <c r="K617" s="44" t="s">
        <v>135</v>
      </c>
      <c r="L617" s="40">
        <v>19456</v>
      </c>
      <c r="M617" s="41">
        <v>41851</v>
      </c>
      <c r="N617" s="40" t="s">
        <v>122</v>
      </c>
      <c r="O617" s="42"/>
      <c r="P617" s="40">
        <v>60</v>
      </c>
      <c r="Q617" s="145">
        <v>0</v>
      </c>
      <c r="R617" s="145">
        <v>0</v>
      </c>
      <c r="S617" s="145">
        <v>0</v>
      </c>
      <c r="T617" s="145">
        <v>0</v>
      </c>
      <c r="U617" s="145">
        <v>0</v>
      </c>
    </row>
    <row r="618" spans="1:21" x14ac:dyDescent="0.2">
      <c r="A618" s="89">
        <f t="shared" si="9"/>
        <v>610</v>
      </c>
      <c r="B618" s="43">
        <v>17</v>
      </c>
      <c r="C618" s="43">
        <v>18</v>
      </c>
      <c r="D618" s="38" t="s">
        <v>629</v>
      </c>
      <c r="E618" s="44" t="s">
        <v>171</v>
      </c>
      <c r="F618" s="44" t="s">
        <v>31</v>
      </c>
      <c r="G618" s="44" t="s">
        <v>120</v>
      </c>
      <c r="H618" s="44" t="s">
        <v>35</v>
      </c>
      <c r="I618" s="44" t="s">
        <v>35</v>
      </c>
      <c r="J618" s="44" t="s">
        <v>10</v>
      </c>
      <c r="K618" s="44" t="s">
        <v>132</v>
      </c>
      <c r="L618" s="40">
        <v>19457</v>
      </c>
      <c r="M618" s="41">
        <v>41851</v>
      </c>
      <c r="N618" s="40" t="s">
        <v>122</v>
      </c>
      <c r="O618" s="42"/>
      <c r="P618" s="40">
        <v>60</v>
      </c>
      <c r="Q618" s="145">
        <v>0</v>
      </c>
      <c r="R618" s="145">
        <v>0</v>
      </c>
      <c r="S618" s="145">
        <v>0</v>
      </c>
      <c r="T618" s="145">
        <v>0</v>
      </c>
      <c r="U618" s="145">
        <v>0</v>
      </c>
    </row>
    <row r="619" spans="1:21" x14ac:dyDescent="0.2">
      <c r="A619" s="89">
        <f t="shared" si="9"/>
        <v>611</v>
      </c>
      <c r="B619" s="43">
        <v>17</v>
      </c>
      <c r="C619" s="43">
        <v>19</v>
      </c>
      <c r="D619" s="38" t="s">
        <v>630</v>
      </c>
      <c r="E619" s="44" t="s">
        <v>173</v>
      </c>
      <c r="F619" s="44" t="s">
        <v>31</v>
      </c>
      <c r="G619" s="44" t="s">
        <v>120</v>
      </c>
      <c r="H619" s="44" t="s">
        <v>35</v>
      </c>
      <c r="I619" s="44" t="s">
        <v>35</v>
      </c>
      <c r="J619" s="44" t="s">
        <v>11</v>
      </c>
      <c r="K619" s="44" t="s">
        <v>129</v>
      </c>
      <c r="L619" s="40">
        <v>19458</v>
      </c>
      <c r="M619" s="41">
        <v>41851</v>
      </c>
      <c r="N619" s="40" t="s">
        <v>122</v>
      </c>
      <c r="O619" s="42"/>
      <c r="P619" s="40">
        <v>60</v>
      </c>
      <c r="Q619" s="145">
        <v>0</v>
      </c>
      <c r="R619" s="145">
        <v>0</v>
      </c>
      <c r="S619" s="145">
        <v>0</v>
      </c>
      <c r="T619" s="145">
        <v>0</v>
      </c>
      <c r="U619" s="145">
        <v>0</v>
      </c>
    </row>
    <row r="620" spans="1:21" x14ac:dyDescent="0.2">
      <c r="A620" s="89">
        <f t="shared" si="9"/>
        <v>612</v>
      </c>
      <c r="B620" s="43">
        <v>17</v>
      </c>
      <c r="C620" s="43">
        <v>20</v>
      </c>
      <c r="D620" s="38" t="s">
        <v>631</v>
      </c>
      <c r="E620" s="44" t="s">
        <v>175</v>
      </c>
      <c r="F620" s="44" t="s">
        <v>6</v>
      </c>
      <c r="G620" s="44" t="s">
        <v>120</v>
      </c>
      <c r="H620" s="44" t="s">
        <v>176</v>
      </c>
      <c r="I620" s="44" t="s">
        <v>177</v>
      </c>
      <c r="J620" s="44" t="s">
        <v>9</v>
      </c>
      <c r="K620" s="44" t="s">
        <v>135</v>
      </c>
      <c r="L620" s="40">
        <v>19460</v>
      </c>
      <c r="M620" s="41">
        <v>41851</v>
      </c>
      <c r="N620" s="40" t="s">
        <v>122</v>
      </c>
      <c r="O620" s="42"/>
      <c r="P620" s="40">
        <v>60</v>
      </c>
      <c r="Q620" s="145">
        <v>0</v>
      </c>
      <c r="R620" s="145">
        <v>0</v>
      </c>
      <c r="S620" s="145">
        <v>0</v>
      </c>
      <c r="T620" s="145">
        <v>0</v>
      </c>
      <c r="U620" s="145">
        <v>0</v>
      </c>
    </row>
    <row r="621" spans="1:21" x14ac:dyDescent="0.2">
      <c r="A621" s="89">
        <f t="shared" si="9"/>
        <v>613</v>
      </c>
      <c r="B621" s="43">
        <v>17</v>
      </c>
      <c r="C621" s="43">
        <v>21</v>
      </c>
      <c r="D621" s="38" t="s">
        <v>632</v>
      </c>
      <c r="E621" s="44" t="s">
        <v>179</v>
      </c>
      <c r="F621" s="44" t="s">
        <v>6</v>
      </c>
      <c r="G621" s="44" t="s">
        <v>120</v>
      </c>
      <c r="H621" s="44" t="s">
        <v>176</v>
      </c>
      <c r="I621" s="44" t="s">
        <v>177</v>
      </c>
      <c r="J621" s="44" t="s">
        <v>10</v>
      </c>
      <c r="K621" s="44" t="s">
        <v>132</v>
      </c>
      <c r="L621" s="40">
        <v>19459</v>
      </c>
      <c r="M621" s="41">
        <v>41851</v>
      </c>
      <c r="N621" s="40" t="s">
        <v>122</v>
      </c>
      <c r="O621" s="42"/>
      <c r="P621" s="40">
        <v>60</v>
      </c>
      <c r="Q621" s="145">
        <v>0</v>
      </c>
      <c r="R621" s="145">
        <v>0</v>
      </c>
      <c r="S621" s="145">
        <v>0</v>
      </c>
      <c r="T621" s="145">
        <v>0</v>
      </c>
      <c r="U621" s="145">
        <v>0</v>
      </c>
    </row>
    <row r="622" spans="1:21" x14ac:dyDescent="0.2">
      <c r="A622" s="89">
        <f t="shared" si="9"/>
        <v>614</v>
      </c>
      <c r="B622" s="43">
        <v>17</v>
      </c>
      <c r="C622" s="43">
        <v>22</v>
      </c>
      <c r="D622" s="38" t="s">
        <v>633</v>
      </c>
      <c r="E622" s="44" t="s">
        <v>181</v>
      </c>
      <c r="F622" s="44" t="s">
        <v>6</v>
      </c>
      <c r="G622" s="44" t="s">
        <v>120</v>
      </c>
      <c r="H622" s="44" t="s">
        <v>176</v>
      </c>
      <c r="I622" s="44" t="s">
        <v>177</v>
      </c>
      <c r="J622" s="44" t="s">
        <v>11</v>
      </c>
      <c r="K622" s="44" t="s">
        <v>129</v>
      </c>
      <c r="L622" s="40">
        <v>19461</v>
      </c>
      <c r="M622" s="41">
        <v>41851</v>
      </c>
      <c r="N622" s="40" t="s">
        <v>122</v>
      </c>
      <c r="O622" s="42"/>
      <c r="P622" s="40">
        <v>60</v>
      </c>
      <c r="Q622" s="145">
        <v>0</v>
      </c>
      <c r="R622" s="145">
        <v>0</v>
      </c>
      <c r="S622" s="145">
        <v>0</v>
      </c>
      <c r="T622" s="145">
        <v>0</v>
      </c>
      <c r="U622" s="145">
        <v>0</v>
      </c>
    </row>
    <row r="623" spans="1:21" x14ac:dyDescent="0.2">
      <c r="A623" s="89">
        <f t="shared" si="9"/>
        <v>615</v>
      </c>
      <c r="B623" s="43">
        <v>17</v>
      </c>
      <c r="C623" s="43">
        <v>23</v>
      </c>
      <c r="D623" s="38" t="s">
        <v>634</v>
      </c>
      <c r="E623" s="44" t="s">
        <v>183</v>
      </c>
      <c r="F623" s="44" t="s">
        <v>6</v>
      </c>
      <c r="G623" s="44" t="s">
        <v>120</v>
      </c>
      <c r="H623" s="44" t="s">
        <v>13</v>
      </c>
      <c r="I623" s="44" t="s">
        <v>13</v>
      </c>
      <c r="J623" s="44" t="s">
        <v>7</v>
      </c>
      <c r="K623" s="44" t="s">
        <v>140</v>
      </c>
      <c r="L623" s="40">
        <v>19462</v>
      </c>
      <c r="M623" s="41">
        <v>41851</v>
      </c>
      <c r="N623" s="40" t="s">
        <v>122</v>
      </c>
      <c r="O623" s="42"/>
      <c r="P623" s="40">
        <v>60</v>
      </c>
      <c r="Q623" s="145">
        <v>0</v>
      </c>
      <c r="R623" s="145">
        <v>0</v>
      </c>
      <c r="S623" s="145">
        <v>0</v>
      </c>
      <c r="T623" s="145">
        <v>0</v>
      </c>
      <c r="U623" s="145">
        <v>0</v>
      </c>
    </row>
    <row r="624" spans="1:21" x14ac:dyDescent="0.2">
      <c r="A624" s="89">
        <f t="shared" si="9"/>
        <v>616</v>
      </c>
      <c r="B624" s="43">
        <v>17</v>
      </c>
      <c r="C624" s="43">
        <v>24</v>
      </c>
      <c r="D624" s="38" t="s">
        <v>635</v>
      </c>
      <c r="E624" s="44" t="s">
        <v>185</v>
      </c>
      <c r="F624" s="44" t="s">
        <v>6</v>
      </c>
      <c r="G624" s="44" t="s">
        <v>120</v>
      </c>
      <c r="H624" s="44" t="s">
        <v>12</v>
      </c>
      <c r="I624" s="44" t="s">
        <v>186</v>
      </c>
      <c r="J624" s="44" t="s">
        <v>9</v>
      </c>
      <c r="K624" s="44" t="s">
        <v>135</v>
      </c>
      <c r="L624" s="40">
        <v>19463</v>
      </c>
      <c r="M624" s="41">
        <v>41851</v>
      </c>
      <c r="N624" s="40" t="s">
        <v>122</v>
      </c>
      <c r="O624" s="42"/>
      <c r="P624" s="40">
        <v>60</v>
      </c>
      <c r="Q624" s="145">
        <v>0</v>
      </c>
      <c r="R624" s="145">
        <v>0</v>
      </c>
      <c r="S624" s="145">
        <v>0</v>
      </c>
      <c r="T624" s="145">
        <v>0</v>
      </c>
      <c r="U624" s="145">
        <v>0</v>
      </c>
    </row>
    <row r="625" spans="1:21" x14ac:dyDescent="0.2">
      <c r="A625" s="89">
        <f t="shared" si="9"/>
        <v>617</v>
      </c>
      <c r="B625" s="43">
        <v>17</v>
      </c>
      <c r="C625" s="43">
        <v>25</v>
      </c>
      <c r="D625" s="38" t="s">
        <v>636</v>
      </c>
      <c r="E625" s="44" t="s">
        <v>188</v>
      </c>
      <c r="F625" s="44" t="s">
        <v>6</v>
      </c>
      <c r="G625" s="44" t="s">
        <v>120</v>
      </c>
      <c r="H625" s="44" t="s">
        <v>12</v>
      </c>
      <c r="I625" s="44" t="s">
        <v>186</v>
      </c>
      <c r="J625" s="44" t="s">
        <v>10</v>
      </c>
      <c r="K625" s="44" t="s">
        <v>132</v>
      </c>
      <c r="L625" s="40">
        <v>19464</v>
      </c>
      <c r="M625" s="41">
        <v>41851</v>
      </c>
      <c r="N625" s="40" t="s">
        <v>122</v>
      </c>
      <c r="O625" s="42"/>
      <c r="P625" s="40">
        <v>60</v>
      </c>
      <c r="Q625" s="145">
        <v>0</v>
      </c>
      <c r="R625" s="145">
        <v>0</v>
      </c>
      <c r="S625" s="145">
        <v>0</v>
      </c>
      <c r="T625" s="145">
        <v>0</v>
      </c>
      <c r="U625" s="145">
        <v>0</v>
      </c>
    </row>
    <row r="626" spans="1:21" x14ac:dyDescent="0.2">
      <c r="A626" s="89">
        <f t="shared" si="9"/>
        <v>618</v>
      </c>
      <c r="B626" s="43">
        <v>17</v>
      </c>
      <c r="C626" s="43">
        <v>26</v>
      </c>
      <c r="D626" s="38" t="s">
        <v>637</v>
      </c>
      <c r="E626" s="44" t="s">
        <v>190</v>
      </c>
      <c r="F626" s="44" t="s">
        <v>6</v>
      </c>
      <c r="G626" s="44" t="s">
        <v>120</v>
      </c>
      <c r="H626" s="44" t="s">
        <v>12</v>
      </c>
      <c r="I626" s="44" t="s">
        <v>186</v>
      </c>
      <c r="J626" s="44" t="s">
        <v>11</v>
      </c>
      <c r="K626" s="44" t="s">
        <v>129</v>
      </c>
      <c r="L626" s="40">
        <v>19465</v>
      </c>
      <c r="M626" s="41">
        <v>41851</v>
      </c>
      <c r="N626" s="40" t="s">
        <v>122</v>
      </c>
      <c r="O626" s="42"/>
      <c r="P626" s="40">
        <v>60</v>
      </c>
      <c r="Q626" s="145">
        <v>0</v>
      </c>
      <c r="R626" s="145">
        <v>0</v>
      </c>
      <c r="S626" s="145">
        <v>0</v>
      </c>
      <c r="T626" s="145">
        <v>0</v>
      </c>
      <c r="U626" s="145">
        <v>0</v>
      </c>
    </row>
    <row r="627" spans="1:21" x14ac:dyDescent="0.2">
      <c r="A627" s="89">
        <f t="shared" si="9"/>
        <v>619</v>
      </c>
      <c r="B627" s="43">
        <v>17</v>
      </c>
      <c r="C627" s="43">
        <v>27</v>
      </c>
      <c r="D627" s="38" t="s">
        <v>638</v>
      </c>
      <c r="E627" s="44" t="s">
        <v>192</v>
      </c>
      <c r="F627" s="44" t="s">
        <v>6</v>
      </c>
      <c r="G627" s="44" t="s">
        <v>120</v>
      </c>
      <c r="H627" s="44" t="s">
        <v>100</v>
      </c>
      <c r="I627" s="44" t="s">
        <v>193</v>
      </c>
      <c r="J627" s="44" t="s">
        <v>7</v>
      </c>
      <c r="K627" s="44" t="s">
        <v>140</v>
      </c>
      <c r="L627" s="40">
        <v>19466</v>
      </c>
      <c r="M627" s="41">
        <v>41851</v>
      </c>
      <c r="N627" s="40" t="s">
        <v>122</v>
      </c>
      <c r="O627" s="42"/>
      <c r="P627" s="40">
        <v>60</v>
      </c>
      <c r="Q627" s="145">
        <v>0</v>
      </c>
      <c r="R627" s="145">
        <v>0</v>
      </c>
      <c r="S627" s="145">
        <v>0</v>
      </c>
      <c r="T627" s="145">
        <v>0</v>
      </c>
      <c r="U627" s="145">
        <v>0</v>
      </c>
    </row>
    <row r="628" spans="1:21" x14ac:dyDescent="0.2">
      <c r="A628" s="89">
        <f t="shared" si="9"/>
        <v>620</v>
      </c>
      <c r="B628" s="43">
        <v>17</v>
      </c>
      <c r="C628" s="43">
        <v>28</v>
      </c>
      <c r="D628" s="38" t="s">
        <v>639</v>
      </c>
      <c r="E628" s="44" t="s">
        <v>195</v>
      </c>
      <c r="F628" s="44" t="s">
        <v>39</v>
      </c>
      <c r="G628" s="44" t="s">
        <v>120</v>
      </c>
      <c r="H628" s="44" t="s">
        <v>44</v>
      </c>
      <c r="I628" s="44" t="s">
        <v>44</v>
      </c>
      <c r="J628" s="44" t="s">
        <v>7</v>
      </c>
      <c r="K628" s="44" t="s">
        <v>140</v>
      </c>
      <c r="L628" s="40">
        <v>19467</v>
      </c>
      <c r="M628" s="41">
        <v>41851</v>
      </c>
      <c r="N628" s="40" t="s">
        <v>122</v>
      </c>
      <c r="O628" s="42"/>
      <c r="P628" s="40">
        <v>60</v>
      </c>
      <c r="Q628" s="145">
        <v>0</v>
      </c>
      <c r="R628" s="145">
        <v>0</v>
      </c>
      <c r="S628" s="145">
        <v>0</v>
      </c>
      <c r="T628" s="145">
        <v>0</v>
      </c>
      <c r="U628" s="145">
        <v>0</v>
      </c>
    </row>
    <row r="629" spans="1:21" x14ac:dyDescent="0.2">
      <c r="A629" s="89">
        <f t="shared" si="9"/>
        <v>621</v>
      </c>
      <c r="B629" s="43">
        <v>17</v>
      </c>
      <c r="C629" s="43">
        <v>29</v>
      </c>
      <c r="D629" s="38" t="s">
        <v>640</v>
      </c>
      <c r="E629" s="44" t="s">
        <v>197</v>
      </c>
      <c r="F629" s="44" t="s">
        <v>39</v>
      </c>
      <c r="G629" s="44" t="s">
        <v>120</v>
      </c>
      <c r="H629" s="44" t="s">
        <v>44</v>
      </c>
      <c r="I629" s="44" t="s">
        <v>44</v>
      </c>
      <c r="J629" s="44" t="s">
        <v>45</v>
      </c>
      <c r="K629" s="44" t="s">
        <v>198</v>
      </c>
      <c r="L629" s="40">
        <v>19468</v>
      </c>
      <c r="M629" s="41">
        <v>41851</v>
      </c>
      <c r="N629" s="40" t="s">
        <v>122</v>
      </c>
      <c r="O629" s="42"/>
      <c r="P629" s="40">
        <v>60</v>
      </c>
      <c r="Q629" s="145">
        <v>0</v>
      </c>
      <c r="R629" s="145">
        <v>0</v>
      </c>
      <c r="S629" s="145">
        <v>0</v>
      </c>
      <c r="T629" s="145">
        <v>0</v>
      </c>
      <c r="U629" s="145">
        <v>0</v>
      </c>
    </row>
    <row r="630" spans="1:21" x14ac:dyDescent="0.2">
      <c r="A630" s="89">
        <f t="shared" si="9"/>
        <v>622</v>
      </c>
      <c r="B630" s="43">
        <v>17</v>
      </c>
      <c r="C630" s="43">
        <v>30</v>
      </c>
      <c r="D630" s="38" t="s">
        <v>641</v>
      </c>
      <c r="E630" s="44" t="s">
        <v>200</v>
      </c>
      <c r="F630" s="44" t="s">
        <v>39</v>
      </c>
      <c r="G630" s="44" t="s">
        <v>120</v>
      </c>
      <c r="H630" s="44" t="s">
        <v>44</v>
      </c>
      <c r="I630" s="44" t="s">
        <v>44</v>
      </c>
      <c r="J630" s="44" t="s">
        <v>46</v>
      </c>
      <c r="K630" s="44" t="s">
        <v>46</v>
      </c>
      <c r="L630" s="40">
        <v>19469</v>
      </c>
      <c r="M630" s="41">
        <v>41851</v>
      </c>
      <c r="N630" s="40" t="s">
        <v>122</v>
      </c>
      <c r="O630" s="42"/>
      <c r="P630" s="40">
        <v>60</v>
      </c>
      <c r="Q630" s="145">
        <v>0</v>
      </c>
      <c r="R630" s="145">
        <v>0</v>
      </c>
      <c r="S630" s="145">
        <v>0</v>
      </c>
      <c r="T630" s="145">
        <v>0</v>
      </c>
      <c r="U630" s="145">
        <v>0</v>
      </c>
    </row>
    <row r="631" spans="1:21" x14ac:dyDescent="0.2">
      <c r="A631" s="89">
        <f t="shared" si="9"/>
        <v>623</v>
      </c>
      <c r="B631" s="43">
        <v>17</v>
      </c>
      <c r="C631" s="43">
        <v>31</v>
      </c>
      <c r="D631" s="38" t="s">
        <v>642</v>
      </c>
      <c r="E631" s="44" t="s">
        <v>202</v>
      </c>
      <c r="F631" s="44" t="s">
        <v>39</v>
      </c>
      <c r="G631" s="44" t="s">
        <v>120</v>
      </c>
      <c r="H631" s="44" t="s">
        <v>47</v>
      </c>
      <c r="I631" s="44" t="s">
        <v>47</v>
      </c>
      <c r="J631" s="44" t="s">
        <v>7</v>
      </c>
      <c r="K631" s="44" t="s">
        <v>140</v>
      </c>
      <c r="L631" s="40">
        <v>19470</v>
      </c>
      <c r="M631" s="41">
        <v>41851</v>
      </c>
      <c r="N631" s="40" t="s">
        <v>122</v>
      </c>
      <c r="O631" s="42"/>
      <c r="P631" s="40">
        <v>60</v>
      </c>
      <c r="Q631" s="145">
        <v>0</v>
      </c>
      <c r="R631" s="145">
        <v>0</v>
      </c>
      <c r="S631" s="145">
        <v>0</v>
      </c>
      <c r="T631" s="145">
        <v>0</v>
      </c>
      <c r="U631" s="145">
        <v>0</v>
      </c>
    </row>
    <row r="632" spans="1:21" x14ac:dyDescent="0.2">
      <c r="A632" s="89">
        <f t="shared" si="9"/>
        <v>624</v>
      </c>
      <c r="B632" s="43">
        <v>17</v>
      </c>
      <c r="C632" s="43">
        <v>32</v>
      </c>
      <c r="D632" s="38" t="s">
        <v>643</v>
      </c>
      <c r="E632" s="44" t="s">
        <v>204</v>
      </c>
      <c r="F632" s="44" t="s">
        <v>6</v>
      </c>
      <c r="G632" s="44" t="s">
        <v>120</v>
      </c>
      <c r="H632" s="44" t="s">
        <v>14</v>
      </c>
      <c r="I632" s="44" t="s">
        <v>14</v>
      </c>
      <c r="J632" s="44" t="s">
        <v>15</v>
      </c>
      <c r="K632" s="44" t="s">
        <v>129</v>
      </c>
      <c r="L632" s="40">
        <v>19471</v>
      </c>
      <c r="M632" s="41">
        <v>41851</v>
      </c>
      <c r="N632" s="40" t="s">
        <v>122</v>
      </c>
      <c r="O632" s="42"/>
      <c r="P632" s="40">
        <v>60</v>
      </c>
      <c r="Q632" s="145">
        <v>0</v>
      </c>
      <c r="R632" s="145">
        <v>0</v>
      </c>
      <c r="S632" s="145">
        <v>0</v>
      </c>
      <c r="T632" s="145">
        <v>0</v>
      </c>
      <c r="U632" s="145">
        <v>0</v>
      </c>
    </row>
    <row r="633" spans="1:21" x14ac:dyDescent="0.2">
      <c r="A633" s="89">
        <f t="shared" si="9"/>
        <v>625</v>
      </c>
      <c r="B633" s="43">
        <v>17</v>
      </c>
      <c r="C633" s="43">
        <v>33</v>
      </c>
      <c r="D633" s="38" t="s">
        <v>644</v>
      </c>
      <c r="E633" s="44" t="s">
        <v>206</v>
      </c>
      <c r="F633" s="44" t="s">
        <v>6</v>
      </c>
      <c r="G633" s="44" t="s">
        <v>120</v>
      </c>
      <c r="H633" s="44" t="s">
        <v>14</v>
      </c>
      <c r="I633" s="44" t="s">
        <v>14</v>
      </c>
      <c r="J633" s="44" t="s">
        <v>16</v>
      </c>
      <c r="K633" s="44" t="s">
        <v>135</v>
      </c>
      <c r="L633" s="40">
        <v>19472</v>
      </c>
      <c r="M633" s="41">
        <v>41851</v>
      </c>
      <c r="N633" s="40" t="s">
        <v>122</v>
      </c>
      <c r="O633" s="42"/>
      <c r="P633" s="40">
        <v>60</v>
      </c>
      <c r="Q633" s="145">
        <v>0</v>
      </c>
      <c r="R633" s="145">
        <v>0</v>
      </c>
      <c r="S633" s="145">
        <v>0</v>
      </c>
      <c r="T633" s="145">
        <v>0</v>
      </c>
      <c r="U633" s="145">
        <v>0</v>
      </c>
    </row>
    <row r="634" spans="1:21" x14ac:dyDescent="0.2">
      <c r="A634" s="89">
        <f t="shared" si="9"/>
        <v>626</v>
      </c>
      <c r="B634" s="43">
        <v>17</v>
      </c>
      <c r="C634" s="43">
        <v>34</v>
      </c>
      <c r="D634" s="38" t="s">
        <v>645</v>
      </c>
      <c r="E634" s="44" t="s">
        <v>208</v>
      </c>
      <c r="F634" s="44" t="s">
        <v>31</v>
      </c>
      <c r="G634" s="44" t="s">
        <v>120</v>
      </c>
      <c r="H634" s="44" t="s">
        <v>36</v>
      </c>
      <c r="I634" s="44" t="s">
        <v>36</v>
      </c>
      <c r="J634" s="44" t="s">
        <v>37</v>
      </c>
      <c r="K634" s="44" t="s">
        <v>209</v>
      </c>
      <c r="L634" s="40">
        <v>19473</v>
      </c>
      <c r="M634" s="41">
        <v>41851</v>
      </c>
      <c r="N634" s="40" t="s">
        <v>122</v>
      </c>
      <c r="O634" s="42"/>
      <c r="P634" s="40">
        <v>60</v>
      </c>
      <c r="Q634" s="145">
        <v>0</v>
      </c>
      <c r="R634" s="145">
        <v>0</v>
      </c>
      <c r="S634" s="145">
        <v>0</v>
      </c>
      <c r="T634" s="145">
        <v>0</v>
      </c>
      <c r="U634" s="145">
        <v>0</v>
      </c>
    </row>
    <row r="635" spans="1:21" x14ac:dyDescent="0.2">
      <c r="A635" s="89">
        <f t="shared" si="9"/>
        <v>627</v>
      </c>
      <c r="B635" s="43">
        <v>17</v>
      </c>
      <c r="C635" s="43">
        <v>35</v>
      </c>
      <c r="D635" s="38" t="s">
        <v>646</v>
      </c>
      <c r="E635" s="44" t="s">
        <v>211</v>
      </c>
      <c r="F635" s="44" t="s">
        <v>31</v>
      </c>
      <c r="G635" s="44" t="s">
        <v>120</v>
      </c>
      <c r="H635" s="44" t="s">
        <v>36</v>
      </c>
      <c r="I635" s="44" t="s">
        <v>36</v>
      </c>
      <c r="J635" s="44" t="s">
        <v>38</v>
      </c>
      <c r="K635" s="44" t="s">
        <v>212</v>
      </c>
      <c r="L635" s="40">
        <v>19474</v>
      </c>
      <c r="M635" s="41">
        <v>41851</v>
      </c>
      <c r="N635" s="40" t="s">
        <v>122</v>
      </c>
      <c r="O635" s="42"/>
      <c r="P635" s="40">
        <v>60</v>
      </c>
      <c r="Q635" s="145">
        <v>0</v>
      </c>
      <c r="R635" s="145">
        <v>0</v>
      </c>
      <c r="S635" s="145">
        <v>0</v>
      </c>
      <c r="T635" s="145">
        <v>0</v>
      </c>
      <c r="U635" s="145">
        <v>0</v>
      </c>
    </row>
    <row r="636" spans="1:21" x14ac:dyDescent="0.2">
      <c r="A636" s="89">
        <f t="shared" si="9"/>
        <v>628</v>
      </c>
      <c r="B636" s="43">
        <v>17</v>
      </c>
      <c r="C636" s="43">
        <v>36</v>
      </c>
      <c r="D636" s="38" t="s">
        <v>647</v>
      </c>
      <c r="E636" s="44" t="s">
        <v>214</v>
      </c>
      <c r="F636" s="44" t="s">
        <v>6</v>
      </c>
      <c r="G636" s="44" t="s">
        <v>120</v>
      </c>
      <c r="H636" s="44" t="s">
        <v>17</v>
      </c>
      <c r="I636" s="44" t="s">
        <v>215</v>
      </c>
      <c r="J636" s="44" t="s">
        <v>18</v>
      </c>
      <c r="K636" s="44" t="s">
        <v>140</v>
      </c>
      <c r="L636" s="40">
        <v>19475</v>
      </c>
      <c r="M636" s="41">
        <v>41851</v>
      </c>
      <c r="N636" s="40" t="s">
        <v>122</v>
      </c>
      <c r="O636" s="42"/>
      <c r="P636" s="40">
        <v>60</v>
      </c>
      <c r="Q636" s="145">
        <v>0</v>
      </c>
      <c r="R636" s="145">
        <v>0</v>
      </c>
      <c r="S636" s="145">
        <v>0</v>
      </c>
      <c r="T636" s="145">
        <v>0</v>
      </c>
      <c r="U636" s="145">
        <v>0</v>
      </c>
    </row>
    <row r="637" spans="1:21" x14ac:dyDescent="0.2">
      <c r="A637" s="89">
        <f t="shared" si="9"/>
        <v>629</v>
      </c>
      <c r="B637" s="20"/>
      <c r="C637" s="20"/>
      <c r="D637" s="20"/>
    </row>
    <row r="638" spans="1:21" x14ac:dyDescent="0.2">
      <c r="A638" s="89">
        <f t="shared" si="9"/>
        <v>630</v>
      </c>
      <c r="B638" s="43">
        <v>18</v>
      </c>
      <c r="C638" s="43">
        <v>1</v>
      </c>
      <c r="D638" s="38" t="s">
        <v>612</v>
      </c>
      <c r="E638" s="44" t="s">
        <v>119</v>
      </c>
      <c r="F638" s="44" t="s">
        <v>31</v>
      </c>
      <c r="G638" s="44" t="s">
        <v>120</v>
      </c>
      <c r="H638" s="44" t="s">
        <v>32</v>
      </c>
      <c r="I638" s="44" t="s">
        <v>32</v>
      </c>
      <c r="J638" s="44" t="s">
        <v>33</v>
      </c>
      <c r="K638" s="44" t="s">
        <v>121</v>
      </c>
      <c r="L638" s="40">
        <v>19440</v>
      </c>
      <c r="M638" s="41">
        <v>41851</v>
      </c>
      <c r="N638" s="40" t="s">
        <v>122</v>
      </c>
      <c r="O638" s="42"/>
      <c r="P638" s="40">
        <v>61</v>
      </c>
      <c r="Q638" s="145">
        <v>0</v>
      </c>
      <c r="R638" s="145">
        <v>0</v>
      </c>
      <c r="S638" s="145">
        <v>0</v>
      </c>
      <c r="T638" s="145">
        <v>0</v>
      </c>
      <c r="U638" s="145">
        <v>0</v>
      </c>
    </row>
    <row r="639" spans="1:21" x14ac:dyDescent="0.2">
      <c r="A639" s="89">
        <f t="shared" si="9"/>
        <v>631</v>
      </c>
      <c r="B639" s="43">
        <v>18</v>
      </c>
      <c r="C639" s="43">
        <v>2</v>
      </c>
      <c r="D639" s="38" t="s">
        <v>613</v>
      </c>
      <c r="E639" s="44" t="s">
        <v>124</v>
      </c>
      <c r="F639" s="44" t="s">
        <v>31</v>
      </c>
      <c r="G639" s="44" t="s">
        <v>120</v>
      </c>
      <c r="H639" s="44" t="s">
        <v>32</v>
      </c>
      <c r="I639" s="44" t="s">
        <v>32</v>
      </c>
      <c r="J639" s="44" t="s">
        <v>34</v>
      </c>
      <c r="K639" s="44" t="s">
        <v>125</v>
      </c>
      <c r="L639" s="40">
        <v>19441</v>
      </c>
      <c r="M639" s="41">
        <v>41851</v>
      </c>
      <c r="N639" s="40" t="s">
        <v>122</v>
      </c>
      <c r="O639" s="42"/>
      <c r="P639" s="40">
        <v>61</v>
      </c>
      <c r="Q639" s="145">
        <v>0</v>
      </c>
      <c r="R639" s="145">
        <v>0</v>
      </c>
      <c r="S639" s="145">
        <v>0</v>
      </c>
      <c r="T639" s="145">
        <v>0</v>
      </c>
      <c r="U639" s="145">
        <v>0</v>
      </c>
    </row>
    <row r="640" spans="1:21" x14ac:dyDescent="0.2">
      <c r="A640" s="89">
        <f t="shared" si="9"/>
        <v>632</v>
      </c>
      <c r="B640" s="43">
        <v>18</v>
      </c>
      <c r="C640" s="43">
        <v>3</v>
      </c>
      <c r="D640" s="38" t="s">
        <v>614</v>
      </c>
      <c r="E640" s="44" t="s">
        <v>127</v>
      </c>
      <c r="F640" s="44" t="s">
        <v>20</v>
      </c>
      <c r="G640" s="44" t="s">
        <v>120</v>
      </c>
      <c r="H640" s="44" t="s">
        <v>63</v>
      </c>
      <c r="I640" s="44" t="s">
        <v>128</v>
      </c>
      <c r="J640" s="44" t="s">
        <v>15</v>
      </c>
      <c r="K640" s="44" t="s">
        <v>129</v>
      </c>
      <c r="L640" s="40">
        <v>19442</v>
      </c>
      <c r="M640" s="41">
        <v>41851</v>
      </c>
      <c r="N640" s="40" t="s">
        <v>122</v>
      </c>
      <c r="O640" s="42"/>
      <c r="P640" s="40">
        <v>61</v>
      </c>
      <c r="Q640" s="145">
        <v>0</v>
      </c>
      <c r="R640" s="145">
        <v>0</v>
      </c>
      <c r="S640" s="145">
        <v>0</v>
      </c>
      <c r="T640" s="145">
        <v>0</v>
      </c>
      <c r="U640" s="145">
        <v>0</v>
      </c>
    </row>
    <row r="641" spans="1:21" x14ac:dyDescent="0.2">
      <c r="A641" s="89">
        <f t="shared" si="9"/>
        <v>633</v>
      </c>
      <c r="B641" s="43">
        <v>18</v>
      </c>
      <c r="C641" s="43">
        <v>4</v>
      </c>
      <c r="D641" s="38" t="s">
        <v>615</v>
      </c>
      <c r="E641" s="44" t="s">
        <v>131</v>
      </c>
      <c r="F641" s="44" t="s">
        <v>20</v>
      </c>
      <c r="G641" s="44" t="s">
        <v>120</v>
      </c>
      <c r="H641" s="44" t="s">
        <v>63</v>
      </c>
      <c r="I641" s="44" t="s">
        <v>128</v>
      </c>
      <c r="J641" s="44" t="s">
        <v>21</v>
      </c>
      <c r="K641" s="44" t="s">
        <v>132</v>
      </c>
      <c r="L641" s="40">
        <v>19443</v>
      </c>
      <c r="M641" s="41">
        <v>41851</v>
      </c>
      <c r="N641" s="40" t="s">
        <v>122</v>
      </c>
      <c r="O641" s="42"/>
      <c r="P641" s="40">
        <v>61</v>
      </c>
      <c r="Q641" s="145">
        <v>0</v>
      </c>
      <c r="R641" s="145">
        <v>0</v>
      </c>
      <c r="S641" s="145">
        <v>0</v>
      </c>
      <c r="T641" s="145">
        <v>0</v>
      </c>
      <c r="U641" s="145">
        <v>0</v>
      </c>
    </row>
    <row r="642" spans="1:21" x14ac:dyDescent="0.2">
      <c r="A642" s="89">
        <f t="shared" si="9"/>
        <v>634</v>
      </c>
      <c r="B642" s="43">
        <v>18</v>
      </c>
      <c r="C642" s="43">
        <v>5</v>
      </c>
      <c r="D642" s="38" t="s">
        <v>616</v>
      </c>
      <c r="E642" s="44" t="s">
        <v>134</v>
      </c>
      <c r="F642" s="44" t="s">
        <v>20</v>
      </c>
      <c r="G642" s="44" t="s">
        <v>120</v>
      </c>
      <c r="H642" s="44" t="s">
        <v>63</v>
      </c>
      <c r="I642" s="44" t="s">
        <v>128</v>
      </c>
      <c r="J642" s="44" t="s">
        <v>16</v>
      </c>
      <c r="K642" s="44" t="s">
        <v>135</v>
      </c>
      <c r="L642" s="40">
        <v>19444</v>
      </c>
      <c r="M642" s="41">
        <v>41851</v>
      </c>
      <c r="N642" s="40" t="s">
        <v>122</v>
      </c>
      <c r="O642" s="42"/>
      <c r="P642" s="40">
        <v>61</v>
      </c>
      <c r="Q642" s="145">
        <v>0</v>
      </c>
      <c r="R642" s="145">
        <v>0</v>
      </c>
      <c r="S642" s="145">
        <v>0</v>
      </c>
      <c r="T642" s="145">
        <v>0</v>
      </c>
      <c r="U642" s="145">
        <v>0</v>
      </c>
    </row>
    <row r="643" spans="1:21" x14ac:dyDescent="0.2">
      <c r="A643" s="89">
        <f t="shared" si="9"/>
        <v>635</v>
      </c>
      <c r="B643" s="43">
        <v>18</v>
      </c>
      <c r="C643" s="43">
        <v>6</v>
      </c>
      <c r="D643" s="38" t="s">
        <v>617</v>
      </c>
      <c r="E643" s="44" t="s">
        <v>137</v>
      </c>
      <c r="F643" s="44" t="s">
        <v>25</v>
      </c>
      <c r="G643" s="44" t="s">
        <v>138</v>
      </c>
      <c r="H643" s="44" t="s">
        <v>139</v>
      </c>
      <c r="I643" s="44" t="s">
        <v>29</v>
      </c>
      <c r="J643" s="44" t="s">
        <v>30</v>
      </c>
      <c r="K643" s="44" t="s">
        <v>140</v>
      </c>
      <c r="L643" s="40">
        <v>19445</v>
      </c>
      <c r="M643" s="41">
        <v>41851</v>
      </c>
      <c r="N643" s="40" t="s">
        <v>122</v>
      </c>
      <c r="O643" s="42"/>
      <c r="P643" s="40">
        <v>61</v>
      </c>
      <c r="Q643" s="145">
        <v>0</v>
      </c>
      <c r="R643" s="145">
        <v>0</v>
      </c>
      <c r="S643" s="145">
        <v>0</v>
      </c>
      <c r="T643" s="145">
        <v>0</v>
      </c>
      <c r="U643" s="145">
        <v>0</v>
      </c>
    </row>
    <row r="644" spans="1:21" x14ac:dyDescent="0.2">
      <c r="A644" s="89">
        <f t="shared" si="9"/>
        <v>636</v>
      </c>
      <c r="B644" s="43">
        <v>18</v>
      </c>
      <c r="C644" s="43">
        <v>7</v>
      </c>
      <c r="D644" s="38" t="s">
        <v>618</v>
      </c>
      <c r="E644" s="44" t="s">
        <v>142</v>
      </c>
      <c r="F644" s="44" t="s">
        <v>39</v>
      </c>
      <c r="G644" s="44" t="s">
        <v>120</v>
      </c>
      <c r="H644" s="44" t="s">
        <v>40</v>
      </c>
      <c r="I644" s="44" t="s">
        <v>40</v>
      </c>
      <c r="J644" s="44" t="s">
        <v>42</v>
      </c>
      <c r="K644" s="44" t="s">
        <v>135</v>
      </c>
      <c r="L644" s="40">
        <v>19447</v>
      </c>
      <c r="M644" s="41">
        <v>41851</v>
      </c>
      <c r="N644" s="40" t="s">
        <v>122</v>
      </c>
      <c r="O644" s="42"/>
      <c r="P644" s="40">
        <v>61</v>
      </c>
      <c r="Q644" s="145">
        <v>0</v>
      </c>
      <c r="R644" s="145">
        <v>0</v>
      </c>
      <c r="S644" s="145">
        <v>0</v>
      </c>
      <c r="T644" s="145">
        <v>0</v>
      </c>
      <c r="U644" s="145">
        <v>0</v>
      </c>
    </row>
    <row r="645" spans="1:21" x14ac:dyDescent="0.2">
      <c r="A645" s="89">
        <f t="shared" si="9"/>
        <v>637</v>
      </c>
      <c r="B645" s="43">
        <v>18</v>
      </c>
      <c r="C645" s="43">
        <v>8</v>
      </c>
      <c r="D645" s="38" t="s">
        <v>619</v>
      </c>
      <c r="E645" s="44" t="s">
        <v>144</v>
      </c>
      <c r="F645" s="44" t="s">
        <v>39</v>
      </c>
      <c r="G645" s="44" t="s">
        <v>120</v>
      </c>
      <c r="H645" s="44" t="s">
        <v>40</v>
      </c>
      <c r="I645" s="44" t="s">
        <v>40</v>
      </c>
      <c r="J645" s="44" t="s">
        <v>41</v>
      </c>
      <c r="K645" s="44" t="s">
        <v>132</v>
      </c>
      <c r="L645" s="40">
        <v>19446</v>
      </c>
      <c r="M645" s="41">
        <v>41851</v>
      </c>
      <c r="N645" s="40" t="s">
        <v>122</v>
      </c>
      <c r="O645" s="42"/>
      <c r="P645" s="40">
        <v>61</v>
      </c>
      <c r="Q645" s="145">
        <v>0</v>
      </c>
      <c r="R645" s="145">
        <v>0</v>
      </c>
      <c r="S645" s="145">
        <v>0</v>
      </c>
      <c r="T645" s="145">
        <v>0</v>
      </c>
      <c r="U645" s="145">
        <v>0</v>
      </c>
    </row>
    <row r="646" spans="1:21" x14ac:dyDescent="0.2">
      <c r="A646" s="89">
        <f t="shared" si="9"/>
        <v>638</v>
      </c>
      <c r="B646" s="43">
        <v>18</v>
      </c>
      <c r="C646" s="43">
        <v>9</v>
      </c>
      <c r="D646" s="38" t="s">
        <v>620</v>
      </c>
      <c r="E646" s="44" t="s">
        <v>146</v>
      </c>
      <c r="F646" s="44" t="s">
        <v>39</v>
      </c>
      <c r="G646" s="44" t="s">
        <v>120</v>
      </c>
      <c r="H646" s="44" t="s">
        <v>40</v>
      </c>
      <c r="I646" s="44" t="s">
        <v>40</v>
      </c>
      <c r="J646" s="44" t="s">
        <v>7</v>
      </c>
      <c r="K646" s="44" t="s">
        <v>129</v>
      </c>
      <c r="L646" s="40">
        <v>19448</v>
      </c>
      <c r="M646" s="41">
        <v>41851</v>
      </c>
      <c r="N646" s="40" t="s">
        <v>122</v>
      </c>
      <c r="O646" s="42"/>
      <c r="P646" s="40">
        <v>61</v>
      </c>
      <c r="Q646" s="145">
        <v>0</v>
      </c>
      <c r="R646" s="145">
        <v>0</v>
      </c>
      <c r="S646" s="145">
        <v>0</v>
      </c>
      <c r="T646" s="145">
        <v>0</v>
      </c>
      <c r="U646" s="145">
        <v>0</v>
      </c>
    </row>
    <row r="647" spans="1:21" x14ac:dyDescent="0.2">
      <c r="A647" s="89">
        <f t="shared" si="9"/>
        <v>639</v>
      </c>
      <c r="B647" s="43">
        <v>18</v>
      </c>
      <c r="C647" s="43">
        <v>10</v>
      </c>
      <c r="D647" s="38" t="s">
        <v>621</v>
      </c>
      <c r="E647" s="44" t="s">
        <v>148</v>
      </c>
      <c r="F647" s="44" t="s">
        <v>25</v>
      </c>
      <c r="G647" s="44" t="s">
        <v>120</v>
      </c>
      <c r="H647" s="44" t="s">
        <v>149</v>
      </c>
      <c r="I647" s="44" t="s">
        <v>26</v>
      </c>
      <c r="J647" s="44" t="s">
        <v>27</v>
      </c>
      <c r="K647" s="44" t="s">
        <v>150</v>
      </c>
      <c r="L647" s="40">
        <v>19449</v>
      </c>
      <c r="M647" s="41">
        <v>41851</v>
      </c>
      <c r="N647" s="40" t="s">
        <v>122</v>
      </c>
      <c r="O647" s="42"/>
      <c r="P647" s="40">
        <v>61</v>
      </c>
      <c r="Q647" s="145">
        <v>0</v>
      </c>
      <c r="R647" s="145">
        <v>0</v>
      </c>
      <c r="S647" s="145">
        <v>0</v>
      </c>
      <c r="T647" s="145">
        <v>0</v>
      </c>
      <c r="U647" s="145">
        <v>0</v>
      </c>
    </row>
    <row r="648" spans="1:21" x14ac:dyDescent="0.2">
      <c r="A648" s="89">
        <f t="shared" si="9"/>
        <v>640</v>
      </c>
      <c r="B648" s="43">
        <v>18</v>
      </c>
      <c r="C648" s="43">
        <v>11</v>
      </c>
      <c r="D648" s="38" t="s">
        <v>622</v>
      </c>
      <c r="E648" s="44" t="s">
        <v>152</v>
      </c>
      <c r="F648" s="44" t="s">
        <v>25</v>
      </c>
      <c r="G648" s="44" t="s">
        <v>120</v>
      </c>
      <c r="H648" s="44" t="s">
        <v>149</v>
      </c>
      <c r="I648" s="44" t="s">
        <v>26</v>
      </c>
      <c r="J648" s="44" t="s">
        <v>28</v>
      </c>
      <c r="K648" s="44" t="s">
        <v>153</v>
      </c>
      <c r="L648" s="40">
        <v>19450</v>
      </c>
      <c r="M648" s="41">
        <v>41851</v>
      </c>
      <c r="N648" s="40" t="s">
        <v>122</v>
      </c>
      <c r="O648" s="42"/>
      <c r="P648" s="40">
        <v>61</v>
      </c>
      <c r="Q648" s="145">
        <v>0</v>
      </c>
      <c r="R648" s="145">
        <v>0</v>
      </c>
      <c r="S648" s="145">
        <v>0</v>
      </c>
      <c r="T648" s="145">
        <v>0</v>
      </c>
      <c r="U648" s="145">
        <v>0</v>
      </c>
    </row>
    <row r="649" spans="1:21" x14ac:dyDescent="0.2">
      <c r="A649" s="89">
        <f t="shared" si="9"/>
        <v>641</v>
      </c>
      <c r="B649" s="43">
        <v>18</v>
      </c>
      <c r="C649" s="43">
        <v>12</v>
      </c>
      <c r="D649" s="38" t="s">
        <v>623</v>
      </c>
      <c r="E649" s="44" t="s">
        <v>155</v>
      </c>
      <c r="F649" s="44" t="s">
        <v>20</v>
      </c>
      <c r="G649" s="44" t="s">
        <v>120</v>
      </c>
      <c r="H649" s="44" t="s">
        <v>105</v>
      </c>
      <c r="I649" s="44" t="s">
        <v>156</v>
      </c>
      <c r="J649" s="44" t="s">
        <v>22</v>
      </c>
      <c r="K649" s="44" t="s">
        <v>157</v>
      </c>
      <c r="L649" s="40">
        <v>19451</v>
      </c>
      <c r="M649" s="41">
        <v>41851</v>
      </c>
      <c r="N649" s="40" t="s">
        <v>122</v>
      </c>
      <c r="O649" s="42"/>
      <c r="P649" s="40">
        <v>61</v>
      </c>
      <c r="Q649" s="145">
        <v>0</v>
      </c>
      <c r="R649" s="145">
        <v>0</v>
      </c>
      <c r="S649" s="145">
        <v>0</v>
      </c>
      <c r="T649" s="145">
        <v>0</v>
      </c>
      <c r="U649" s="145">
        <v>0</v>
      </c>
    </row>
    <row r="650" spans="1:21" x14ac:dyDescent="0.2">
      <c r="A650" s="89">
        <f t="shared" si="9"/>
        <v>642</v>
      </c>
      <c r="B650" s="43">
        <v>18</v>
      </c>
      <c r="C650" s="43">
        <v>13</v>
      </c>
      <c r="D650" s="38" t="s">
        <v>624</v>
      </c>
      <c r="E650" s="44" t="s">
        <v>159</v>
      </c>
      <c r="F650" s="44" t="s">
        <v>39</v>
      </c>
      <c r="G650" s="44" t="s">
        <v>120</v>
      </c>
      <c r="H650" s="44" t="s">
        <v>43</v>
      </c>
      <c r="I650" s="44" t="s">
        <v>43</v>
      </c>
      <c r="J650" s="44" t="s">
        <v>7</v>
      </c>
      <c r="K650" s="44" t="s">
        <v>140</v>
      </c>
      <c r="L650" s="40">
        <v>19452</v>
      </c>
      <c r="M650" s="41">
        <v>41851</v>
      </c>
      <c r="N650" s="40" t="s">
        <v>122</v>
      </c>
      <c r="O650" s="42"/>
      <c r="P650" s="40">
        <v>61</v>
      </c>
      <c r="Q650" s="145">
        <v>0</v>
      </c>
      <c r="R650" s="145">
        <v>0</v>
      </c>
      <c r="S650" s="145">
        <v>0</v>
      </c>
      <c r="T650" s="145">
        <v>0</v>
      </c>
      <c r="U650" s="145">
        <v>0</v>
      </c>
    </row>
    <row r="651" spans="1:21" x14ac:dyDescent="0.2">
      <c r="A651" s="89">
        <f t="shared" ref="A651:A714" si="10">A650+1</f>
        <v>643</v>
      </c>
      <c r="B651" s="43">
        <v>18</v>
      </c>
      <c r="C651" s="43">
        <v>14</v>
      </c>
      <c r="D651" s="38" t="s">
        <v>625</v>
      </c>
      <c r="E651" s="44" t="s">
        <v>161</v>
      </c>
      <c r="F651" s="44" t="s">
        <v>6</v>
      </c>
      <c r="G651" s="44" t="s">
        <v>120</v>
      </c>
      <c r="H651" s="44" t="s">
        <v>48</v>
      </c>
      <c r="I651" s="44" t="s">
        <v>48</v>
      </c>
      <c r="J651" s="44" t="s">
        <v>7</v>
      </c>
      <c r="K651" s="44" t="s">
        <v>140</v>
      </c>
      <c r="L651" s="40">
        <v>19453</v>
      </c>
      <c r="M651" s="41">
        <v>41851</v>
      </c>
      <c r="N651" s="40" t="s">
        <v>122</v>
      </c>
      <c r="O651" s="42"/>
      <c r="P651" s="40">
        <v>61</v>
      </c>
      <c r="Q651" s="145">
        <v>0</v>
      </c>
      <c r="R651" s="145">
        <v>0</v>
      </c>
      <c r="S651" s="145">
        <v>0</v>
      </c>
      <c r="T651" s="145">
        <v>0</v>
      </c>
      <c r="U651" s="145">
        <v>0</v>
      </c>
    </row>
    <row r="652" spans="1:21" x14ac:dyDescent="0.2">
      <c r="A652" s="89">
        <f t="shared" si="10"/>
        <v>644</v>
      </c>
      <c r="B652" s="43">
        <v>18</v>
      </c>
      <c r="C652" s="43">
        <v>15</v>
      </c>
      <c r="D652" s="38" t="s">
        <v>626</v>
      </c>
      <c r="E652" s="44" t="s">
        <v>163</v>
      </c>
      <c r="F652" s="44" t="s">
        <v>20</v>
      </c>
      <c r="G652" s="44" t="s">
        <v>120</v>
      </c>
      <c r="H652" s="44" t="s">
        <v>23</v>
      </c>
      <c r="I652" s="44" t="s">
        <v>164</v>
      </c>
      <c r="J652" s="44" t="s">
        <v>24</v>
      </c>
      <c r="K652" s="44" t="s">
        <v>140</v>
      </c>
      <c r="L652" s="40">
        <v>19454</v>
      </c>
      <c r="M652" s="41">
        <v>41851</v>
      </c>
      <c r="N652" s="40" t="s">
        <v>122</v>
      </c>
      <c r="O652" s="42"/>
      <c r="P652" s="40">
        <v>61</v>
      </c>
      <c r="Q652" s="145">
        <v>0</v>
      </c>
      <c r="R652" s="145">
        <v>0</v>
      </c>
      <c r="S652" s="145">
        <v>0</v>
      </c>
      <c r="T652" s="145">
        <v>0</v>
      </c>
      <c r="U652" s="145">
        <v>0</v>
      </c>
    </row>
    <row r="653" spans="1:21" x14ac:dyDescent="0.2">
      <c r="A653" s="89">
        <f t="shared" si="10"/>
        <v>645</v>
      </c>
      <c r="B653" s="43">
        <v>18</v>
      </c>
      <c r="C653" s="43">
        <v>16</v>
      </c>
      <c r="D653" s="38" t="s">
        <v>627</v>
      </c>
      <c r="E653" s="44" t="s">
        <v>166</v>
      </c>
      <c r="F653" s="44" t="s">
        <v>20</v>
      </c>
      <c r="G653" s="44" t="s">
        <v>120</v>
      </c>
      <c r="H653" s="44" t="s">
        <v>64</v>
      </c>
      <c r="I653" s="44" t="s">
        <v>167</v>
      </c>
      <c r="J653" s="44" t="s">
        <v>7</v>
      </c>
      <c r="K653" s="44" t="s">
        <v>140</v>
      </c>
      <c r="L653" s="40">
        <v>19455</v>
      </c>
      <c r="M653" s="41">
        <v>41851</v>
      </c>
      <c r="N653" s="40" t="s">
        <v>122</v>
      </c>
      <c r="O653" s="42"/>
      <c r="P653" s="40">
        <v>61</v>
      </c>
      <c r="Q653" s="145">
        <v>0</v>
      </c>
      <c r="R653" s="145">
        <v>0</v>
      </c>
      <c r="S653" s="145">
        <v>0</v>
      </c>
      <c r="T653" s="145">
        <v>0</v>
      </c>
      <c r="U653" s="145">
        <v>0</v>
      </c>
    </row>
    <row r="654" spans="1:21" x14ac:dyDescent="0.2">
      <c r="A654" s="89">
        <f t="shared" si="10"/>
        <v>646</v>
      </c>
      <c r="B654" s="43">
        <v>18</v>
      </c>
      <c r="C654" s="43">
        <v>17</v>
      </c>
      <c r="D654" s="38" t="s">
        <v>628</v>
      </c>
      <c r="E654" s="44" t="s">
        <v>169</v>
      </c>
      <c r="F654" s="44" t="s">
        <v>31</v>
      </c>
      <c r="G654" s="44" t="s">
        <v>120</v>
      </c>
      <c r="H654" s="44" t="s">
        <v>35</v>
      </c>
      <c r="I654" s="44" t="s">
        <v>35</v>
      </c>
      <c r="J654" s="44" t="s">
        <v>9</v>
      </c>
      <c r="K654" s="44" t="s">
        <v>135</v>
      </c>
      <c r="L654" s="40">
        <v>19456</v>
      </c>
      <c r="M654" s="41">
        <v>41851</v>
      </c>
      <c r="N654" s="40" t="s">
        <v>122</v>
      </c>
      <c r="O654" s="42"/>
      <c r="P654" s="40">
        <v>61</v>
      </c>
      <c r="Q654" s="145">
        <v>0</v>
      </c>
      <c r="R654" s="145">
        <v>0</v>
      </c>
      <c r="S654" s="145">
        <v>0</v>
      </c>
      <c r="T654" s="145">
        <v>0</v>
      </c>
      <c r="U654" s="145">
        <v>0</v>
      </c>
    </row>
    <row r="655" spans="1:21" x14ac:dyDescent="0.2">
      <c r="A655" s="89">
        <f t="shared" si="10"/>
        <v>647</v>
      </c>
      <c r="B655" s="43">
        <v>18</v>
      </c>
      <c r="C655" s="43">
        <v>18</v>
      </c>
      <c r="D655" s="38" t="s">
        <v>629</v>
      </c>
      <c r="E655" s="44" t="s">
        <v>171</v>
      </c>
      <c r="F655" s="44" t="s">
        <v>31</v>
      </c>
      <c r="G655" s="44" t="s">
        <v>120</v>
      </c>
      <c r="H655" s="44" t="s">
        <v>35</v>
      </c>
      <c r="I655" s="44" t="s">
        <v>35</v>
      </c>
      <c r="J655" s="44" t="s">
        <v>10</v>
      </c>
      <c r="K655" s="44" t="s">
        <v>132</v>
      </c>
      <c r="L655" s="40">
        <v>19457</v>
      </c>
      <c r="M655" s="41">
        <v>41851</v>
      </c>
      <c r="N655" s="40" t="s">
        <v>122</v>
      </c>
      <c r="O655" s="42"/>
      <c r="P655" s="40">
        <v>61</v>
      </c>
      <c r="Q655" s="145">
        <v>0</v>
      </c>
      <c r="R655" s="145">
        <v>0</v>
      </c>
      <c r="S655" s="145">
        <v>0</v>
      </c>
      <c r="T655" s="145">
        <v>0</v>
      </c>
      <c r="U655" s="145">
        <v>0</v>
      </c>
    </row>
    <row r="656" spans="1:21" x14ac:dyDescent="0.2">
      <c r="A656" s="89">
        <f t="shared" si="10"/>
        <v>648</v>
      </c>
      <c r="B656" s="43">
        <v>18</v>
      </c>
      <c r="C656" s="43">
        <v>19</v>
      </c>
      <c r="D656" s="38" t="s">
        <v>630</v>
      </c>
      <c r="E656" s="44" t="s">
        <v>173</v>
      </c>
      <c r="F656" s="44" t="s">
        <v>31</v>
      </c>
      <c r="G656" s="44" t="s">
        <v>120</v>
      </c>
      <c r="H656" s="44" t="s">
        <v>35</v>
      </c>
      <c r="I656" s="44" t="s">
        <v>35</v>
      </c>
      <c r="J656" s="44" t="s">
        <v>11</v>
      </c>
      <c r="K656" s="44" t="s">
        <v>129</v>
      </c>
      <c r="L656" s="40">
        <v>19458</v>
      </c>
      <c r="M656" s="41">
        <v>41851</v>
      </c>
      <c r="N656" s="40" t="s">
        <v>122</v>
      </c>
      <c r="O656" s="42"/>
      <c r="P656" s="40">
        <v>61</v>
      </c>
      <c r="Q656" s="145">
        <v>0</v>
      </c>
      <c r="R656" s="145">
        <v>0</v>
      </c>
      <c r="S656" s="145">
        <v>0</v>
      </c>
      <c r="T656" s="145">
        <v>0</v>
      </c>
      <c r="U656" s="145">
        <v>0</v>
      </c>
    </row>
    <row r="657" spans="1:21" x14ac:dyDescent="0.2">
      <c r="A657" s="89">
        <f t="shared" si="10"/>
        <v>649</v>
      </c>
      <c r="B657" s="43">
        <v>18</v>
      </c>
      <c r="C657" s="43">
        <v>20</v>
      </c>
      <c r="D657" s="38" t="s">
        <v>631</v>
      </c>
      <c r="E657" s="44" t="s">
        <v>175</v>
      </c>
      <c r="F657" s="44" t="s">
        <v>6</v>
      </c>
      <c r="G657" s="44" t="s">
        <v>120</v>
      </c>
      <c r="H657" s="44" t="s">
        <v>176</v>
      </c>
      <c r="I657" s="44" t="s">
        <v>177</v>
      </c>
      <c r="J657" s="44" t="s">
        <v>9</v>
      </c>
      <c r="K657" s="44" t="s">
        <v>135</v>
      </c>
      <c r="L657" s="40">
        <v>19460</v>
      </c>
      <c r="M657" s="41">
        <v>41851</v>
      </c>
      <c r="N657" s="40" t="s">
        <v>122</v>
      </c>
      <c r="O657" s="42"/>
      <c r="P657" s="40">
        <v>61</v>
      </c>
      <c r="Q657" s="145">
        <v>0</v>
      </c>
      <c r="R657" s="145">
        <v>0</v>
      </c>
      <c r="S657" s="145">
        <v>0</v>
      </c>
      <c r="T657" s="145">
        <v>0</v>
      </c>
      <c r="U657" s="145">
        <v>0</v>
      </c>
    </row>
    <row r="658" spans="1:21" x14ac:dyDescent="0.2">
      <c r="A658" s="89">
        <f t="shared" si="10"/>
        <v>650</v>
      </c>
      <c r="B658" s="43">
        <v>18</v>
      </c>
      <c r="C658" s="43">
        <v>21</v>
      </c>
      <c r="D658" s="38" t="s">
        <v>632</v>
      </c>
      <c r="E658" s="44" t="s">
        <v>179</v>
      </c>
      <c r="F658" s="44" t="s">
        <v>6</v>
      </c>
      <c r="G658" s="44" t="s">
        <v>120</v>
      </c>
      <c r="H658" s="44" t="s">
        <v>176</v>
      </c>
      <c r="I658" s="44" t="s">
        <v>177</v>
      </c>
      <c r="J658" s="44" t="s">
        <v>10</v>
      </c>
      <c r="K658" s="44" t="s">
        <v>132</v>
      </c>
      <c r="L658" s="40">
        <v>19459</v>
      </c>
      <c r="M658" s="41">
        <v>41851</v>
      </c>
      <c r="N658" s="40" t="s">
        <v>122</v>
      </c>
      <c r="O658" s="42"/>
      <c r="P658" s="40">
        <v>61</v>
      </c>
      <c r="Q658" s="145">
        <v>0</v>
      </c>
      <c r="R658" s="145">
        <v>0</v>
      </c>
      <c r="S658" s="145">
        <v>0</v>
      </c>
      <c r="T658" s="145">
        <v>0</v>
      </c>
      <c r="U658" s="145">
        <v>0</v>
      </c>
    </row>
    <row r="659" spans="1:21" x14ac:dyDescent="0.2">
      <c r="A659" s="89">
        <f t="shared" si="10"/>
        <v>651</v>
      </c>
      <c r="B659" s="43">
        <v>18</v>
      </c>
      <c r="C659" s="43">
        <v>22</v>
      </c>
      <c r="D659" s="38" t="s">
        <v>633</v>
      </c>
      <c r="E659" s="44" t="s">
        <v>181</v>
      </c>
      <c r="F659" s="44" t="s">
        <v>6</v>
      </c>
      <c r="G659" s="44" t="s">
        <v>120</v>
      </c>
      <c r="H659" s="44" t="s">
        <v>176</v>
      </c>
      <c r="I659" s="44" t="s">
        <v>177</v>
      </c>
      <c r="J659" s="44" t="s">
        <v>11</v>
      </c>
      <c r="K659" s="44" t="s">
        <v>129</v>
      </c>
      <c r="L659" s="40">
        <v>19461</v>
      </c>
      <c r="M659" s="41">
        <v>41851</v>
      </c>
      <c r="N659" s="40" t="s">
        <v>122</v>
      </c>
      <c r="O659" s="42"/>
      <c r="P659" s="40">
        <v>61</v>
      </c>
      <c r="Q659" s="145">
        <v>0</v>
      </c>
      <c r="R659" s="145">
        <v>0</v>
      </c>
      <c r="S659" s="145">
        <v>0</v>
      </c>
      <c r="T659" s="145">
        <v>0</v>
      </c>
      <c r="U659" s="145">
        <v>0</v>
      </c>
    </row>
    <row r="660" spans="1:21" x14ac:dyDescent="0.2">
      <c r="A660" s="89">
        <f t="shared" si="10"/>
        <v>652</v>
      </c>
      <c r="B660" s="43">
        <v>18</v>
      </c>
      <c r="C660" s="43">
        <v>23</v>
      </c>
      <c r="D660" s="38" t="s">
        <v>634</v>
      </c>
      <c r="E660" s="44" t="s">
        <v>183</v>
      </c>
      <c r="F660" s="44" t="s">
        <v>6</v>
      </c>
      <c r="G660" s="44" t="s">
        <v>120</v>
      </c>
      <c r="H660" s="44" t="s">
        <v>13</v>
      </c>
      <c r="I660" s="44" t="s">
        <v>13</v>
      </c>
      <c r="J660" s="44" t="s">
        <v>7</v>
      </c>
      <c r="K660" s="44" t="s">
        <v>140</v>
      </c>
      <c r="L660" s="40">
        <v>19462</v>
      </c>
      <c r="M660" s="41">
        <v>41851</v>
      </c>
      <c r="N660" s="40" t="s">
        <v>122</v>
      </c>
      <c r="O660" s="42"/>
      <c r="P660" s="40">
        <v>61</v>
      </c>
      <c r="Q660" s="145">
        <v>0</v>
      </c>
      <c r="R660" s="145">
        <v>0</v>
      </c>
      <c r="S660" s="145">
        <v>0</v>
      </c>
      <c r="T660" s="145">
        <v>0</v>
      </c>
      <c r="U660" s="145">
        <v>0</v>
      </c>
    </row>
    <row r="661" spans="1:21" x14ac:dyDescent="0.2">
      <c r="A661" s="89">
        <f t="shared" si="10"/>
        <v>653</v>
      </c>
      <c r="B661" s="43">
        <v>18</v>
      </c>
      <c r="C661" s="43">
        <v>24</v>
      </c>
      <c r="D661" s="38" t="s">
        <v>635</v>
      </c>
      <c r="E661" s="44" t="s">
        <v>185</v>
      </c>
      <c r="F661" s="44" t="s">
        <v>6</v>
      </c>
      <c r="G661" s="44" t="s">
        <v>120</v>
      </c>
      <c r="H661" s="44" t="s">
        <v>12</v>
      </c>
      <c r="I661" s="44" t="s">
        <v>186</v>
      </c>
      <c r="J661" s="44" t="s">
        <v>9</v>
      </c>
      <c r="K661" s="44" t="s">
        <v>135</v>
      </c>
      <c r="L661" s="40">
        <v>19463</v>
      </c>
      <c r="M661" s="41">
        <v>41851</v>
      </c>
      <c r="N661" s="40" t="s">
        <v>122</v>
      </c>
      <c r="O661" s="42"/>
      <c r="P661" s="40">
        <v>61</v>
      </c>
      <c r="Q661" s="145">
        <v>0</v>
      </c>
      <c r="R661" s="145">
        <v>0</v>
      </c>
      <c r="S661" s="145">
        <v>0</v>
      </c>
      <c r="T661" s="145">
        <v>0</v>
      </c>
      <c r="U661" s="145">
        <v>0</v>
      </c>
    </row>
    <row r="662" spans="1:21" x14ac:dyDescent="0.2">
      <c r="A662" s="89">
        <f t="shared" si="10"/>
        <v>654</v>
      </c>
      <c r="B662" s="43">
        <v>18</v>
      </c>
      <c r="C662" s="43">
        <v>25</v>
      </c>
      <c r="D662" s="38" t="s">
        <v>636</v>
      </c>
      <c r="E662" s="44" t="s">
        <v>188</v>
      </c>
      <c r="F662" s="44" t="s">
        <v>6</v>
      </c>
      <c r="G662" s="44" t="s">
        <v>120</v>
      </c>
      <c r="H662" s="44" t="s">
        <v>12</v>
      </c>
      <c r="I662" s="44" t="s">
        <v>186</v>
      </c>
      <c r="J662" s="44" t="s">
        <v>10</v>
      </c>
      <c r="K662" s="44" t="s">
        <v>132</v>
      </c>
      <c r="L662" s="40">
        <v>19464</v>
      </c>
      <c r="M662" s="41">
        <v>41851</v>
      </c>
      <c r="N662" s="40" t="s">
        <v>122</v>
      </c>
      <c r="O662" s="42"/>
      <c r="P662" s="40">
        <v>61</v>
      </c>
      <c r="Q662" s="145">
        <v>0</v>
      </c>
      <c r="R662" s="145">
        <v>0</v>
      </c>
      <c r="S662" s="145">
        <v>0</v>
      </c>
      <c r="T662" s="145">
        <v>0</v>
      </c>
      <c r="U662" s="145">
        <v>0</v>
      </c>
    </row>
    <row r="663" spans="1:21" x14ac:dyDescent="0.2">
      <c r="A663" s="89">
        <f t="shared" si="10"/>
        <v>655</v>
      </c>
      <c r="B663" s="43">
        <v>18</v>
      </c>
      <c r="C663" s="43">
        <v>26</v>
      </c>
      <c r="D663" s="38" t="s">
        <v>637</v>
      </c>
      <c r="E663" s="44" t="s">
        <v>190</v>
      </c>
      <c r="F663" s="44" t="s">
        <v>6</v>
      </c>
      <c r="G663" s="44" t="s">
        <v>120</v>
      </c>
      <c r="H663" s="44" t="s">
        <v>12</v>
      </c>
      <c r="I663" s="44" t="s">
        <v>186</v>
      </c>
      <c r="J663" s="44" t="s">
        <v>11</v>
      </c>
      <c r="K663" s="44" t="s">
        <v>129</v>
      </c>
      <c r="L663" s="40">
        <v>19465</v>
      </c>
      <c r="M663" s="41">
        <v>41851</v>
      </c>
      <c r="N663" s="40" t="s">
        <v>122</v>
      </c>
      <c r="O663" s="42"/>
      <c r="P663" s="40">
        <v>61</v>
      </c>
      <c r="Q663" s="145">
        <v>0</v>
      </c>
      <c r="R663" s="145">
        <v>0</v>
      </c>
      <c r="S663" s="145">
        <v>0</v>
      </c>
      <c r="T663" s="145">
        <v>0</v>
      </c>
      <c r="U663" s="145">
        <v>0</v>
      </c>
    </row>
    <row r="664" spans="1:21" x14ac:dyDescent="0.2">
      <c r="A664" s="89">
        <f t="shared" si="10"/>
        <v>656</v>
      </c>
      <c r="B664" s="43">
        <v>18</v>
      </c>
      <c r="C664" s="43">
        <v>27</v>
      </c>
      <c r="D664" s="38" t="s">
        <v>638</v>
      </c>
      <c r="E664" s="44" t="s">
        <v>192</v>
      </c>
      <c r="F664" s="44" t="s">
        <v>6</v>
      </c>
      <c r="G664" s="44" t="s">
        <v>120</v>
      </c>
      <c r="H664" s="44" t="s">
        <v>100</v>
      </c>
      <c r="I664" s="44" t="s">
        <v>193</v>
      </c>
      <c r="J664" s="44" t="s">
        <v>7</v>
      </c>
      <c r="K664" s="44" t="s">
        <v>140</v>
      </c>
      <c r="L664" s="40">
        <v>19466</v>
      </c>
      <c r="M664" s="41">
        <v>41851</v>
      </c>
      <c r="N664" s="40" t="s">
        <v>122</v>
      </c>
      <c r="O664" s="42"/>
      <c r="P664" s="40">
        <v>61</v>
      </c>
      <c r="Q664" s="145">
        <v>0</v>
      </c>
      <c r="R664" s="145">
        <v>0</v>
      </c>
      <c r="S664" s="145">
        <v>0</v>
      </c>
      <c r="T664" s="145">
        <v>0</v>
      </c>
      <c r="U664" s="145">
        <v>0</v>
      </c>
    </row>
    <row r="665" spans="1:21" x14ac:dyDescent="0.2">
      <c r="A665" s="89">
        <f t="shared" si="10"/>
        <v>657</v>
      </c>
      <c r="B665" s="43">
        <v>18</v>
      </c>
      <c r="C665" s="43">
        <v>28</v>
      </c>
      <c r="D665" s="38" t="s">
        <v>639</v>
      </c>
      <c r="E665" s="44" t="s">
        <v>195</v>
      </c>
      <c r="F665" s="44" t="s">
        <v>39</v>
      </c>
      <c r="G665" s="44" t="s">
        <v>120</v>
      </c>
      <c r="H665" s="44" t="s">
        <v>44</v>
      </c>
      <c r="I665" s="44" t="s">
        <v>44</v>
      </c>
      <c r="J665" s="44" t="s">
        <v>7</v>
      </c>
      <c r="K665" s="44" t="s">
        <v>140</v>
      </c>
      <c r="L665" s="40">
        <v>19467</v>
      </c>
      <c r="M665" s="41">
        <v>41851</v>
      </c>
      <c r="N665" s="40" t="s">
        <v>122</v>
      </c>
      <c r="O665" s="42"/>
      <c r="P665" s="40">
        <v>61</v>
      </c>
      <c r="Q665" s="145">
        <v>0</v>
      </c>
      <c r="R665" s="145">
        <v>0</v>
      </c>
      <c r="S665" s="145">
        <v>0</v>
      </c>
      <c r="T665" s="145">
        <v>0</v>
      </c>
      <c r="U665" s="145">
        <v>0</v>
      </c>
    </row>
    <row r="666" spans="1:21" x14ac:dyDescent="0.2">
      <c r="A666" s="89">
        <f t="shared" si="10"/>
        <v>658</v>
      </c>
      <c r="B666" s="43">
        <v>18</v>
      </c>
      <c r="C666" s="43">
        <v>29</v>
      </c>
      <c r="D666" s="38" t="s">
        <v>640</v>
      </c>
      <c r="E666" s="44" t="s">
        <v>197</v>
      </c>
      <c r="F666" s="44" t="s">
        <v>39</v>
      </c>
      <c r="G666" s="44" t="s">
        <v>120</v>
      </c>
      <c r="H666" s="44" t="s">
        <v>44</v>
      </c>
      <c r="I666" s="44" t="s">
        <v>44</v>
      </c>
      <c r="J666" s="44" t="s">
        <v>45</v>
      </c>
      <c r="K666" s="44" t="s">
        <v>198</v>
      </c>
      <c r="L666" s="40">
        <v>19468</v>
      </c>
      <c r="M666" s="41">
        <v>41851</v>
      </c>
      <c r="N666" s="40" t="s">
        <v>122</v>
      </c>
      <c r="O666" s="42"/>
      <c r="P666" s="40">
        <v>61</v>
      </c>
      <c r="Q666" s="145">
        <v>0</v>
      </c>
      <c r="R666" s="145">
        <v>0</v>
      </c>
      <c r="S666" s="145">
        <v>0</v>
      </c>
      <c r="T666" s="145">
        <v>0</v>
      </c>
      <c r="U666" s="145">
        <v>0</v>
      </c>
    </row>
    <row r="667" spans="1:21" x14ac:dyDescent="0.2">
      <c r="A667" s="89">
        <f t="shared" si="10"/>
        <v>659</v>
      </c>
      <c r="B667" s="43">
        <v>18</v>
      </c>
      <c r="C667" s="43">
        <v>30</v>
      </c>
      <c r="D667" s="38" t="s">
        <v>641</v>
      </c>
      <c r="E667" s="44" t="s">
        <v>200</v>
      </c>
      <c r="F667" s="44" t="s">
        <v>39</v>
      </c>
      <c r="G667" s="44" t="s">
        <v>120</v>
      </c>
      <c r="H667" s="44" t="s">
        <v>44</v>
      </c>
      <c r="I667" s="44" t="s">
        <v>44</v>
      </c>
      <c r="J667" s="44" t="s">
        <v>46</v>
      </c>
      <c r="K667" s="44" t="s">
        <v>46</v>
      </c>
      <c r="L667" s="40">
        <v>19469</v>
      </c>
      <c r="M667" s="41">
        <v>41851</v>
      </c>
      <c r="N667" s="40" t="s">
        <v>122</v>
      </c>
      <c r="O667" s="42"/>
      <c r="P667" s="40">
        <v>61</v>
      </c>
      <c r="Q667" s="145">
        <v>0</v>
      </c>
      <c r="R667" s="145">
        <v>0</v>
      </c>
      <c r="S667" s="145">
        <v>0</v>
      </c>
      <c r="T667" s="145">
        <v>0</v>
      </c>
      <c r="U667" s="145">
        <v>0</v>
      </c>
    </row>
    <row r="668" spans="1:21" x14ac:dyDescent="0.2">
      <c r="A668" s="89">
        <f t="shared" si="10"/>
        <v>660</v>
      </c>
      <c r="B668" s="43">
        <v>18</v>
      </c>
      <c r="C668" s="43">
        <v>31</v>
      </c>
      <c r="D668" s="38" t="s">
        <v>642</v>
      </c>
      <c r="E668" s="44" t="s">
        <v>202</v>
      </c>
      <c r="F668" s="44" t="s">
        <v>39</v>
      </c>
      <c r="G668" s="44" t="s">
        <v>120</v>
      </c>
      <c r="H668" s="44" t="s">
        <v>47</v>
      </c>
      <c r="I668" s="44" t="s">
        <v>47</v>
      </c>
      <c r="J668" s="44" t="s">
        <v>7</v>
      </c>
      <c r="K668" s="44" t="s">
        <v>140</v>
      </c>
      <c r="L668" s="40">
        <v>19470</v>
      </c>
      <c r="M668" s="41">
        <v>41851</v>
      </c>
      <c r="N668" s="40" t="s">
        <v>122</v>
      </c>
      <c r="O668" s="42"/>
      <c r="P668" s="40">
        <v>61</v>
      </c>
      <c r="Q668" s="145">
        <v>0</v>
      </c>
      <c r="R668" s="145">
        <v>0</v>
      </c>
      <c r="S668" s="145">
        <v>0</v>
      </c>
      <c r="T668" s="145">
        <v>0</v>
      </c>
      <c r="U668" s="145">
        <v>0</v>
      </c>
    </row>
    <row r="669" spans="1:21" x14ac:dyDescent="0.2">
      <c r="A669" s="89">
        <f t="shared" si="10"/>
        <v>661</v>
      </c>
      <c r="B669" s="43">
        <v>18</v>
      </c>
      <c r="C669" s="43">
        <v>32</v>
      </c>
      <c r="D669" s="38" t="s">
        <v>643</v>
      </c>
      <c r="E669" s="44" t="s">
        <v>204</v>
      </c>
      <c r="F669" s="44" t="s">
        <v>6</v>
      </c>
      <c r="G669" s="44" t="s">
        <v>120</v>
      </c>
      <c r="H669" s="44" t="s">
        <v>14</v>
      </c>
      <c r="I669" s="44" t="s">
        <v>14</v>
      </c>
      <c r="J669" s="44" t="s">
        <v>15</v>
      </c>
      <c r="K669" s="44" t="s">
        <v>129</v>
      </c>
      <c r="L669" s="40">
        <v>19471</v>
      </c>
      <c r="M669" s="41">
        <v>41851</v>
      </c>
      <c r="N669" s="40" t="s">
        <v>122</v>
      </c>
      <c r="O669" s="42"/>
      <c r="P669" s="40">
        <v>61</v>
      </c>
      <c r="Q669" s="145">
        <v>0</v>
      </c>
      <c r="R669" s="145">
        <v>0</v>
      </c>
      <c r="S669" s="145">
        <v>0</v>
      </c>
      <c r="T669" s="145">
        <v>0</v>
      </c>
      <c r="U669" s="145">
        <v>0</v>
      </c>
    </row>
    <row r="670" spans="1:21" x14ac:dyDescent="0.2">
      <c r="A670" s="89">
        <f t="shared" si="10"/>
        <v>662</v>
      </c>
      <c r="B670" s="43">
        <v>18</v>
      </c>
      <c r="C670" s="43">
        <v>33</v>
      </c>
      <c r="D670" s="38" t="s">
        <v>644</v>
      </c>
      <c r="E670" s="44" t="s">
        <v>206</v>
      </c>
      <c r="F670" s="44" t="s">
        <v>6</v>
      </c>
      <c r="G670" s="44" t="s">
        <v>120</v>
      </c>
      <c r="H670" s="44" t="s">
        <v>14</v>
      </c>
      <c r="I670" s="44" t="s">
        <v>14</v>
      </c>
      <c r="J670" s="44" t="s">
        <v>16</v>
      </c>
      <c r="K670" s="44" t="s">
        <v>135</v>
      </c>
      <c r="L670" s="40">
        <v>19472</v>
      </c>
      <c r="M670" s="41">
        <v>41851</v>
      </c>
      <c r="N670" s="40" t="s">
        <v>122</v>
      </c>
      <c r="O670" s="42"/>
      <c r="P670" s="40">
        <v>61</v>
      </c>
      <c r="Q670" s="145">
        <v>0</v>
      </c>
      <c r="R670" s="145">
        <v>0</v>
      </c>
      <c r="S670" s="145">
        <v>0</v>
      </c>
      <c r="T670" s="145">
        <v>0</v>
      </c>
      <c r="U670" s="145">
        <v>0</v>
      </c>
    </row>
    <row r="671" spans="1:21" x14ac:dyDescent="0.2">
      <c r="A671" s="89">
        <f t="shared" si="10"/>
        <v>663</v>
      </c>
      <c r="B671" s="43">
        <v>18</v>
      </c>
      <c r="C671" s="43">
        <v>34</v>
      </c>
      <c r="D671" s="38" t="s">
        <v>645</v>
      </c>
      <c r="E671" s="44" t="s">
        <v>208</v>
      </c>
      <c r="F671" s="44" t="s">
        <v>31</v>
      </c>
      <c r="G671" s="44" t="s">
        <v>120</v>
      </c>
      <c r="H671" s="44" t="s">
        <v>36</v>
      </c>
      <c r="I671" s="44" t="s">
        <v>36</v>
      </c>
      <c r="J671" s="44" t="s">
        <v>37</v>
      </c>
      <c r="K671" s="44" t="s">
        <v>209</v>
      </c>
      <c r="L671" s="40">
        <v>19473</v>
      </c>
      <c r="M671" s="41">
        <v>41851</v>
      </c>
      <c r="N671" s="40" t="s">
        <v>122</v>
      </c>
      <c r="O671" s="42"/>
      <c r="P671" s="40">
        <v>61</v>
      </c>
      <c r="Q671" s="145">
        <v>0</v>
      </c>
      <c r="R671" s="145">
        <v>0</v>
      </c>
      <c r="S671" s="145">
        <v>0</v>
      </c>
      <c r="T671" s="145">
        <v>0</v>
      </c>
      <c r="U671" s="145">
        <v>0</v>
      </c>
    </row>
    <row r="672" spans="1:21" x14ac:dyDescent="0.2">
      <c r="A672" s="89">
        <f t="shared" si="10"/>
        <v>664</v>
      </c>
      <c r="B672" s="43">
        <v>18</v>
      </c>
      <c r="C672" s="43">
        <v>35</v>
      </c>
      <c r="D672" s="38" t="s">
        <v>646</v>
      </c>
      <c r="E672" s="44" t="s">
        <v>211</v>
      </c>
      <c r="F672" s="44" t="s">
        <v>31</v>
      </c>
      <c r="G672" s="44" t="s">
        <v>120</v>
      </c>
      <c r="H672" s="44" t="s">
        <v>36</v>
      </c>
      <c r="I672" s="44" t="s">
        <v>36</v>
      </c>
      <c r="J672" s="44" t="s">
        <v>38</v>
      </c>
      <c r="K672" s="44" t="s">
        <v>212</v>
      </c>
      <c r="L672" s="40">
        <v>19474</v>
      </c>
      <c r="M672" s="41">
        <v>41851</v>
      </c>
      <c r="N672" s="40" t="s">
        <v>122</v>
      </c>
      <c r="O672" s="42"/>
      <c r="P672" s="40">
        <v>61</v>
      </c>
      <c r="Q672" s="145">
        <v>0</v>
      </c>
      <c r="R672" s="145">
        <v>0</v>
      </c>
      <c r="S672" s="145">
        <v>0</v>
      </c>
      <c r="T672" s="145">
        <v>0</v>
      </c>
      <c r="U672" s="145">
        <v>0</v>
      </c>
    </row>
    <row r="673" spans="1:21" x14ac:dyDescent="0.2">
      <c r="A673" s="89">
        <f t="shared" si="10"/>
        <v>665</v>
      </c>
      <c r="B673" s="43">
        <v>18</v>
      </c>
      <c r="C673" s="43">
        <v>36</v>
      </c>
      <c r="D673" s="38" t="s">
        <v>647</v>
      </c>
      <c r="E673" s="44" t="s">
        <v>214</v>
      </c>
      <c r="F673" s="44" t="s">
        <v>6</v>
      </c>
      <c r="G673" s="44" t="s">
        <v>120</v>
      </c>
      <c r="H673" s="44" t="s">
        <v>17</v>
      </c>
      <c r="I673" s="44" t="s">
        <v>215</v>
      </c>
      <c r="J673" s="44" t="s">
        <v>18</v>
      </c>
      <c r="K673" s="44" t="s">
        <v>140</v>
      </c>
      <c r="L673" s="40">
        <v>19475</v>
      </c>
      <c r="M673" s="41">
        <v>41851</v>
      </c>
      <c r="N673" s="40" t="s">
        <v>122</v>
      </c>
      <c r="O673" s="42"/>
      <c r="P673" s="40">
        <v>61</v>
      </c>
      <c r="Q673" s="145">
        <v>0</v>
      </c>
      <c r="R673" s="145">
        <v>0</v>
      </c>
      <c r="S673" s="145">
        <v>0</v>
      </c>
      <c r="T673" s="145">
        <v>0</v>
      </c>
      <c r="U673" s="145">
        <v>0</v>
      </c>
    </row>
    <row r="674" spans="1:21" x14ac:dyDescent="0.2">
      <c r="A674" s="89">
        <f t="shared" si="10"/>
        <v>666</v>
      </c>
      <c r="B674" s="20"/>
      <c r="C674" s="20"/>
      <c r="D674" s="20"/>
    </row>
    <row r="675" spans="1:21" x14ac:dyDescent="0.2">
      <c r="A675" s="89">
        <f t="shared" si="10"/>
        <v>667</v>
      </c>
      <c r="B675" s="43">
        <v>19</v>
      </c>
      <c r="C675" s="43">
        <v>1</v>
      </c>
      <c r="D675" s="38" t="s">
        <v>612</v>
      </c>
      <c r="E675" s="44" t="s">
        <v>119</v>
      </c>
      <c r="F675" s="44" t="s">
        <v>31</v>
      </c>
      <c r="G675" s="44" t="s">
        <v>120</v>
      </c>
      <c r="H675" s="44" t="s">
        <v>32</v>
      </c>
      <c r="I675" s="44" t="s">
        <v>32</v>
      </c>
      <c r="J675" s="44" t="s">
        <v>33</v>
      </c>
      <c r="K675" s="44" t="s">
        <v>121</v>
      </c>
      <c r="L675" s="40">
        <v>19440</v>
      </c>
      <c r="M675" s="41">
        <v>41851</v>
      </c>
      <c r="N675" s="40" t="s">
        <v>122</v>
      </c>
      <c r="O675" s="42"/>
      <c r="P675" s="40">
        <v>62</v>
      </c>
      <c r="Q675" s="145">
        <v>0</v>
      </c>
      <c r="R675" s="145">
        <v>0</v>
      </c>
      <c r="S675" s="145">
        <v>0</v>
      </c>
      <c r="T675" s="145">
        <v>0</v>
      </c>
      <c r="U675" s="145">
        <v>0</v>
      </c>
    </row>
    <row r="676" spans="1:21" x14ac:dyDescent="0.2">
      <c r="A676" s="89">
        <f t="shared" si="10"/>
        <v>668</v>
      </c>
      <c r="B676" s="43">
        <v>19</v>
      </c>
      <c r="C676" s="43">
        <v>2</v>
      </c>
      <c r="D676" s="38" t="s">
        <v>613</v>
      </c>
      <c r="E676" s="44" t="s">
        <v>124</v>
      </c>
      <c r="F676" s="44" t="s">
        <v>31</v>
      </c>
      <c r="G676" s="44" t="s">
        <v>120</v>
      </c>
      <c r="H676" s="44" t="s">
        <v>32</v>
      </c>
      <c r="I676" s="44" t="s">
        <v>32</v>
      </c>
      <c r="J676" s="44" t="s">
        <v>34</v>
      </c>
      <c r="K676" s="44" t="s">
        <v>125</v>
      </c>
      <c r="L676" s="40">
        <v>19441</v>
      </c>
      <c r="M676" s="41">
        <v>41851</v>
      </c>
      <c r="N676" s="40" t="s">
        <v>122</v>
      </c>
      <c r="O676" s="42"/>
      <c r="P676" s="40">
        <v>62</v>
      </c>
      <c r="Q676" s="145">
        <v>0</v>
      </c>
      <c r="R676" s="145">
        <v>0</v>
      </c>
      <c r="S676" s="145">
        <v>0</v>
      </c>
      <c r="T676" s="145">
        <v>0</v>
      </c>
      <c r="U676" s="145">
        <v>0</v>
      </c>
    </row>
    <row r="677" spans="1:21" x14ac:dyDescent="0.2">
      <c r="A677" s="89">
        <f t="shared" si="10"/>
        <v>669</v>
      </c>
      <c r="B677" s="43">
        <v>19</v>
      </c>
      <c r="C677" s="43">
        <v>3</v>
      </c>
      <c r="D677" s="38" t="s">
        <v>614</v>
      </c>
      <c r="E677" s="44" t="s">
        <v>127</v>
      </c>
      <c r="F677" s="44" t="s">
        <v>20</v>
      </c>
      <c r="G677" s="44" t="s">
        <v>120</v>
      </c>
      <c r="H677" s="44" t="s">
        <v>63</v>
      </c>
      <c r="I677" s="44" t="s">
        <v>128</v>
      </c>
      <c r="J677" s="44" t="s">
        <v>15</v>
      </c>
      <c r="K677" s="44" t="s">
        <v>129</v>
      </c>
      <c r="L677" s="40">
        <v>19442</v>
      </c>
      <c r="M677" s="41">
        <v>41851</v>
      </c>
      <c r="N677" s="40" t="s">
        <v>122</v>
      </c>
      <c r="O677" s="42"/>
      <c r="P677" s="40">
        <v>62</v>
      </c>
      <c r="Q677" s="145">
        <v>0</v>
      </c>
      <c r="R677" s="145">
        <v>0</v>
      </c>
      <c r="S677" s="145">
        <v>0</v>
      </c>
      <c r="T677" s="145">
        <v>0</v>
      </c>
      <c r="U677" s="145">
        <v>0</v>
      </c>
    </row>
    <row r="678" spans="1:21" x14ac:dyDescent="0.2">
      <c r="A678" s="89">
        <f t="shared" si="10"/>
        <v>670</v>
      </c>
      <c r="B678" s="43">
        <v>19</v>
      </c>
      <c r="C678" s="43">
        <v>4</v>
      </c>
      <c r="D678" s="38" t="s">
        <v>615</v>
      </c>
      <c r="E678" s="44" t="s">
        <v>131</v>
      </c>
      <c r="F678" s="44" t="s">
        <v>20</v>
      </c>
      <c r="G678" s="44" t="s">
        <v>120</v>
      </c>
      <c r="H678" s="44" t="s">
        <v>63</v>
      </c>
      <c r="I678" s="44" t="s">
        <v>128</v>
      </c>
      <c r="J678" s="44" t="s">
        <v>21</v>
      </c>
      <c r="K678" s="44" t="s">
        <v>132</v>
      </c>
      <c r="L678" s="40">
        <v>19443</v>
      </c>
      <c r="M678" s="41">
        <v>41851</v>
      </c>
      <c r="N678" s="40" t="s">
        <v>122</v>
      </c>
      <c r="O678" s="42"/>
      <c r="P678" s="40">
        <v>62</v>
      </c>
      <c r="Q678" s="145">
        <v>0</v>
      </c>
      <c r="R678" s="145">
        <v>0</v>
      </c>
      <c r="S678" s="145">
        <v>0</v>
      </c>
      <c r="T678" s="145">
        <v>0</v>
      </c>
      <c r="U678" s="145">
        <v>0</v>
      </c>
    </row>
    <row r="679" spans="1:21" x14ac:dyDescent="0.2">
      <c r="A679" s="89">
        <f t="shared" si="10"/>
        <v>671</v>
      </c>
      <c r="B679" s="43">
        <v>19</v>
      </c>
      <c r="C679" s="43">
        <v>5</v>
      </c>
      <c r="D679" s="38" t="s">
        <v>616</v>
      </c>
      <c r="E679" s="44" t="s">
        <v>134</v>
      </c>
      <c r="F679" s="44" t="s">
        <v>20</v>
      </c>
      <c r="G679" s="44" t="s">
        <v>120</v>
      </c>
      <c r="H679" s="44" t="s">
        <v>63</v>
      </c>
      <c r="I679" s="44" t="s">
        <v>128</v>
      </c>
      <c r="J679" s="44" t="s">
        <v>16</v>
      </c>
      <c r="K679" s="44" t="s">
        <v>135</v>
      </c>
      <c r="L679" s="40">
        <v>19444</v>
      </c>
      <c r="M679" s="41">
        <v>41851</v>
      </c>
      <c r="N679" s="40" t="s">
        <v>122</v>
      </c>
      <c r="O679" s="42"/>
      <c r="P679" s="40">
        <v>62</v>
      </c>
      <c r="Q679" s="145">
        <v>0</v>
      </c>
      <c r="R679" s="145">
        <v>0</v>
      </c>
      <c r="S679" s="145">
        <v>0</v>
      </c>
      <c r="T679" s="145">
        <v>0</v>
      </c>
      <c r="U679" s="145">
        <v>0</v>
      </c>
    </row>
    <row r="680" spans="1:21" x14ac:dyDescent="0.2">
      <c r="A680" s="89">
        <f t="shared" si="10"/>
        <v>672</v>
      </c>
      <c r="B680" s="43">
        <v>19</v>
      </c>
      <c r="C680" s="43">
        <v>6</v>
      </c>
      <c r="D680" s="38" t="s">
        <v>617</v>
      </c>
      <c r="E680" s="44" t="s">
        <v>137</v>
      </c>
      <c r="F680" s="44" t="s">
        <v>25</v>
      </c>
      <c r="G680" s="44" t="s">
        <v>138</v>
      </c>
      <c r="H680" s="44" t="s">
        <v>139</v>
      </c>
      <c r="I680" s="44" t="s">
        <v>29</v>
      </c>
      <c r="J680" s="44" t="s">
        <v>30</v>
      </c>
      <c r="K680" s="44" t="s">
        <v>140</v>
      </c>
      <c r="L680" s="40">
        <v>19445</v>
      </c>
      <c r="M680" s="41">
        <v>41851</v>
      </c>
      <c r="N680" s="40" t="s">
        <v>122</v>
      </c>
      <c r="O680" s="42"/>
      <c r="P680" s="40">
        <v>62</v>
      </c>
      <c r="Q680" s="145">
        <v>0</v>
      </c>
      <c r="R680" s="145">
        <v>0</v>
      </c>
      <c r="S680" s="145">
        <v>0</v>
      </c>
      <c r="T680" s="145">
        <v>0</v>
      </c>
      <c r="U680" s="145">
        <v>0</v>
      </c>
    </row>
    <row r="681" spans="1:21" x14ac:dyDescent="0.2">
      <c r="A681" s="89">
        <f t="shared" si="10"/>
        <v>673</v>
      </c>
      <c r="B681" s="43">
        <v>19</v>
      </c>
      <c r="C681" s="43">
        <v>7</v>
      </c>
      <c r="D681" s="38" t="s">
        <v>618</v>
      </c>
      <c r="E681" s="44" t="s">
        <v>142</v>
      </c>
      <c r="F681" s="44" t="s">
        <v>39</v>
      </c>
      <c r="G681" s="44" t="s">
        <v>120</v>
      </c>
      <c r="H681" s="44" t="s">
        <v>40</v>
      </c>
      <c r="I681" s="44" t="s">
        <v>40</v>
      </c>
      <c r="J681" s="44" t="s">
        <v>42</v>
      </c>
      <c r="K681" s="44" t="s">
        <v>135</v>
      </c>
      <c r="L681" s="40">
        <v>19447</v>
      </c>
      <c r="M681" s="41">
        <v>41851</v>
      </c>
      <c r="N681" s="40" t="s">
        <v>122</v>
      </c>
      <c r="O681" s="42"/>
      <c r="P681" s="40">
        <v>62</v>
      </c>
      <c r="Q681" s="145">
        <v>0</v>
      </c>
      <c r="R681" s="145">
        <v>0</v>
      </c>
      <c r="S681" s="145">
        <v>0</v>
      </c>
      <c r="T681" s="145">
        <v>0</v>
      </c>
      <c r="U681" s="145">
        <v>0</v>
      </c>
    </row>
    <row r="682" spans="1:21" x14ac:dyDescent="0.2">
      <c r="A682" s="89">
        <f t="shared" si="10"/>
        <v>674</v>
      </c>
      <c r="B682" s="43">
        <v>19</v>
      </c>
      <c r="C682" s="43">
        <v>8</v>
      </c>
      <c r="D682" s="38" t="s">
        <v>619</v>
      </c>
      <c r="E682" s="44" t="s">
        <v>144</v>
      </c>
      <c r="F682" s="44" t="s">
        <v>39</v>
      </c>
      <c r="G682" s="44" t="s">
        <v>120</v>
      </c>
      <c r="H682" s="44" t="s">
        <v>40</v>
      </c>
      <c r="I682" s="44" t="s">
        <v>40</v>
      </c>
      <c r="J682" s="44" t="s">
        <v>41</v>
      </c>
      <c r="K682" s="44" t="s">
        <v>132</v>
      </c>
      <c r="L682" s="40">
        <v>19446</v>
      </c>
      <c r="M682" s="41">
        <v>41851</v>
      </c>
      <c r="N682" s="40" t="s">
        <v>122</v>
      </c>
      <c r="O682" s="42"/>
      <c r="P682" s="40">
        <v>62</v>
      </c>
      <c r="Q682" s="145">
        <v>0</v>
      </c>
      <c r="R682" s="145">
        <v>0</v>
      </c>
      <c r="S682" s="145">
        <v>0</v>
      </c>
      <c r="T682" s="145">
        <v>0</v>
      </c>
      <c r="U682" s="145">
        <v>0</v>
      </c>
    </row>
    <row r="683" spans="1:21" x14ac:dyDescent="0.2">
      <c r="A683" s="89">
        <f t="shared" si="10"/>
        <v>675</v>
      </c>
      <c r="B683" s="43">
        <v>19</v>
      </c>
      <c r="C683" s="43">
        <v>9</v>
      </c>
      <c r="D683" s="38" t="s">
        <v>620</v>
      </c>
      <c r="E683" s="44" t="s">
        <v>146</v>
      </c>
      <c r="F683" s="44" t="s">
        <v>39</v>
      </c>
      <c r="G683" s="44" t="s">
        <v>120</v>
      </c>
      <c r="H683" s="44" t="s">
        <v>40</v>
      </c>
      <c r="I683" s="44" t="s">
        <v>40</v>
      </c>
      <c r="J683" s="44" t="s">
        <v>7</v>
      </c>
      <c r="K683" s="44" t="s">
        <v>129</v>
      </c>
      <c r="L683" s="40">
        <v>19448</v>
      </c>
      <c r="M683" s="41">
        <v>41851</v>
      </c>
      <c r="N683" s="40" t="s">
        <v>122</v>
      </c>
      <c r="O683" s="42"/>
      <c r="P683" s="40">
        <v>62</v>
      </c>
      <c r="Q683" s="145">
        <v>0</v>
      </c>
      <c r="R683" s="145">
        <v>0</v>
      </c>
      <c r="S683" s="145">
        <v>0</v>
      </c>
      <c r="T683" s="145">
        <v>0</v>
      </c>
      <c r="U683" s="145">
        <v>0</v>
      </c>
    </row>
    <row r="684" spans="1:21" x14ac:dyDescent="0.2">
      <c r="A684" s="89">
        <f t="shared" si="10"/>
        <v>676</v>
      </c>
      <c r="B684" s="43">
        <v>19</v>
      </c>
      <c r="C684" s="43">
        <v>10</v>
      </c>
      <c r="D684" s="38" t="s">
        <v>621</v>
      </c>
      <c r="E684" s="44" t="s">
        <v>148</v>
      </c>
      <c r="F684" s="44" t="s">
        <v>25</v>
      </c>
      <c r="G684" s="44" t="s">
        <v>120</v>
      </c>
      <c r="H684" s="44" t="s">
        <v>149</v>
      </c>
      <c r="I684" s="44" t="s">
        <v>26</v>
      </c>
      <c r="J684" s="44" t="s">
        <v>27</v>
      </c>
      <c r="K684" s="44" t="s">
        <v>150</v>
      </c>
      <c r="L684" s="40">
        <v>19449</v>
      </c>
      <c r="M684" s="41">
        <v>41851</v>
      </c>
      <c r="N684" s="40" t="s">
        <v>122</v>
      </c>
      <c r="O684" s="42"/>
      <c r="P684" s="40">
        <v>62</v>
      </c>
      <c r="Q684" s="145">
        <v>0</v>
      </c>
      <c r="R684" s="145">
        <v>0</v>
      </c>
      <c r="S684" s="145">
        <v>0</v>
      </c>
      <c r="T684" s="145">
        <v>0</v>
      </c>
      <c r="U684" s="145">
        <v>0</v>
      </c>
    </row>
    <row r="685" spans="1:21" x14ac:dyDescent="0.2">
      <c r="A685" s="89">
        <f t="shared" si="10"/>
        <v>677</v>
      </c>
      <c r="B685" s="43">
        <v>19</v>
      </c>
      <c r="C685" s="43">
        <v>11</v>
      </c>
      <c r="D685" s="38" t="s">
        <v>622</v>
      </c>
      <c r="E685" s="44" t="s">
        <v>152</v>
      </c>
      <c r="F685" s="44" t="s">
        <v>25</v>
      </c>
      <c r="G685" s="44" t="s">
        <v>120</v>
      </c>
      <c r="H685" s="44" t="s">
        <v>149</v>
      </c>
      <c r="I685" s="44" t="s">
        <v>26</v>
      </c>
      <c r="J685" s="44" t="s">
        <v>28</v>
      </c>
      <c r="K685" s="44" t="s">
        <v>153</v>
      </c>
      <c r="L685" s="40">
        <v>19450</v>
      </c>
      <c r="M685" s="41">
        <v>41851</v>
      </c>
      <c r="N685" s="40" t="s">
        <v>122</v>
      </c>
      <c r="O685" s="42"/>
      <c r="P685" s="40">
        <v>62</v>
      </c>
      <c r="Q685" s="145">
        <v>0</v>
      </c>
      <c r="R685" s="145">
        <v>0</v>
      </c>
      <c r="S685" s="145">
        <v>0</v>
      </c>
      <c r="T685" s="145">
        <v>0</v>
      </c>
      <c r="U685" s="145">
        <v>0</v>
      </c>
    </row>
    <row r="686" spans="1:21" x14ac:dyDescent="0.2">
      <c r="A686" s="89">
        <f t="shared" si="10"/>
        <v>678</v>
      </c>
      <c r="B686" s="43">
        <v>19</v>
      </c>
      <c r="C686" s="43">
        <v>12</v>
      </c>
      <c r="D686" s="38" t="s">
        <v>623</v>
      </c>
      <c r="E686" s="44" t="s">
        <v>155</v>
      </c>
      <c r="F686" s="44" t="s">
        <v>20</v>
      </c>
      <c r="G686" s="44" t="s">
        <v>120</v>
      </c>
      <c r="H686" s="44" t="s">
        <v>105</v>
      </c>
      <c r="I686" s="44" t="s">
        <v>156</v>
      </c>
      <c r="J686" s="44" t="s">
        <v>22</v>
      </c>
      <c r="K686" s="44" t="s">
        <v>157</v>
      </c>
      <c r="L686" s="40">
        <v>19451</v>
      </c>
      <c r="M686" s="41">
        <v>41851</v>
      </c>
      <c r="N686" s="40" t="s">
        <v>122</v>
      </c>
      <c r="O686" s="42"/>
      <c r="P686" s="40">
        <v>62</v>
      </c>
      <c r="Q686" s="145">
        <v>0</v>
      </c>
      <c r="R686" s="145">
        <v>0</v>
      </c>
      <c r="S686" s="145">
        <v>0</v>
      </c>
      <c r="T686" s="145">
        <v>0</v>
      </c>
      <c r="U686" s="145">
        <v>0</v>
      </c>
    </row>
    <row r="687" spans="1:21" x14ac:dyDescent="0.2">
      <c r="A687" s="89">
        <f t="shared" si="10"/>
        <v>679</v>
      </c>
      <c r="B687" s="43">
        <v>19</v>
      </c>
      <c r="C687" s="43">
        <v>13</v>
      </c>
      <c r="D687" s="38" t="s">
        <v>624</v>
      </c>
      <c r="E687" s="44" t="s">
        <v>159</v>
      </c>
      <c r="F687" s="44" t="s">
        <v>39</v>
      </c>
      <c r="G687" s="44" t="s">
        <v>120</v>
      </c>
      <c r="H687" s="44" t="s">
        <v>43</v>
      </c>
      <c r="I687" s="44" t="s">
        <v>43</v>
      </c>
      <c r="J687" s="44" t="s">
        <v>7</v>
      </c>
      <c r="K687" s="44" t="s">
        <v>140</v>
      </c>
      <c r="L687" s="40">
        <v>19452</v>
      </c>
      <c r="M687" s="41">
        <v>41851</v>
      </c>
      <c r="N687" s="40" t="s">
        <v>122</v>
      </c>
      <c r="O687" s="42"/>
      <c r="P687" s="40">
        <v>62</v>
      </c>
      <c r="Q687" s="145">
        <v>0</v>
      </c>
      <c r="R687" s="145">
        <v>0</v>
      </c>
      <c r="S687" s="145">
        <v>0</v>
      </c>
      <c r="T687" s="145">
        <v>0</v>
      </c>
      <c r="U687" s="145">
        <v>0</v>
      </c>
    </row>
    <row r="688" spans="1:21" x14ac:dyDescent="0.2">
      <c r="A688" s="89">
        <f t="shared" si="10"/>
        <v>680</v>
      </c>
      <c r="B688" s="43">
        <v>19</v>
      </c>
      <c r="C688" s="43">
        <v>14</v>
      </c>
      <c r="D688" s="38" t="s">
        <v>625</v>
      </c>
      <c r="E688" s="44" t="s">
        <v>161</v>
      </c>
      <c r="F688" s="44" t="s">
        <v>6</v>
      </c>
      <c r="G688" s="44" t="s">
        <v>120</v>
      </c>
      <c r="H688" s="44" t="s">
        <v>48</v>
      </c>
      <c r="I688" s="44" t="s">
        <v>48</v>
      </c>
      <c r="J688" s="44" t="s">
        <v>7</v>
      </c>
      <c r="K688" s="44" t="s">
        <v>140</v>
      </c>
      <c r="L688" s="40">
        <v>19453</v>
      </c>
      <c r="M688" s="41">
        <v>41851</v>
      </c>
      <c r="N688" s="40" t="s">
        <v>122</v>
      </c>
      <c r="O688" s="42"/>
      <c r="P688" s="40">
        <v>62</v>
      </c>
      <c r="Q688" s="145">
        <v>0</v>
      </c>
      <c r="R688" s="145">
        <v>0</v>
      </c>
      <c r="S688" s="145">
        <v>0</v>
      </c>
      <c r="T688" s="145">
        <v>0</v>
      </c>
      <c r="U688" s="145">
        <v>0</v>
      </c>
    </row>
    <row r="689" spans="1:21" x14ac:dyDescent="0.2">
      <c r="A689" s="89">
        <f t="shared" si="10"/>
        <v>681</v>
      </c>
      <c r="B689" s="43">
        <v>19</v>
      </c>
      <c r="C689" s="43">
        <v>15</v>
      </c>
      <c r="D689" s="38" t="s">
        <v>626</v>
      </c>
      <c r="E689" s="44" t="s">
        <v>163</v>
      </c>
      <c r="F689" s="44" t="s">
        <v>20</v>
      </c>
      <c r="G689" s="44" t="s">
        <v>120</v>
      </c>
      <c r="H689" s="44" t="s">
        <v>23</v>
      </c>
      <c r="I689" s="44" t="s">
        <v>164</v>
      </c>
      <c r="J689" s="44" t="s">
        <v>24</v>
      </c>
      <c r="K689" s="44" t="s">
        <v>140</v>
      </c>
      <c r="L689" s="40">
        <v>19454</v>
      </c>
      <c r="M689" s="41">
        <v>41851</v>
      </c>
      <c r="N689" s="40" t="s">
        <v>122</v>
      </c>
      <c r="O689" s="42"/>
      <c r="P689" s="40">
        <v>62</v>
      </c>
      <c r="Q689" s="145">
        <v>0</v>
      </c>
      <c r="R689" s="145">
        <v>0</v>
      </c>
      <c r="S689" s="145">
        <v>0</v>
      </c>
      <c r="T689" s="145">
        <v>0</v>
      </c>
      <c r="U689" s="145">
        <v>0</v>
      </c>
    </row>
    <row r="690" spans="1:21" x14ac:dyDescent="0.2">
      <c r="A690" s="89">
        <f t="shared" si="10"/>
        <v>682</v>
      </c>
      <c r="B690" s="43">
        <v>19</v>
      </c>
      <c r="C690" s="43">
        <v>16</v>
      </c>
      <c r="D690" s="38" t="s">
        <v>627</v>
      </c>
      <c r="E690" s="44" t="s">
        <v>166</v>
      </c>
      <c r="F690" s="44" t="s">
        <v>20</v>
      </c>
      <c r="G690" s="44" t="s">
        <v>120</v>
      </c>
      <c r="H690" s="44" t="s">
        <v>64</v>
      </c>
      <c r="I690" s="44" t="s">
        <v>167</v>
      </c>
      <c r="J690" s="44" t="s">
        <v>7</v>
      </c>
      <c r="K690" s="44" t="s">
        <v>140</v>
      </c>
      <c r="L690" s="40">
        <v>19455</v>
      </c>
      <c r="M690" s="41">
        <v>41851</v>
      </c>
      <c r="N690" s="40" t="s">
        <v>122</v>
      </c>
      <c r="O690" s="42"/>
      <c r="P690" s="40">
        <v>62</v>
      </c>
      <c r="Q690" s="145">
        <v>0</v>
      </c>
      <c r="R690" s="145">
        <v>0</v>
      </c>
      <c r="S690" s="145">
        <v>0</v>
      </c>
      <c r="T690" s="145">
        <v>0</v>
      </c>
      <c r="U690" s="145">
        <v>0</v>
      </c>
    </row>
    <row r="691" spans="1:21" x14ac:dyDescent="0.2">
      <c r="A691" s="89">
        <f t="shared" si="10"/>
        <v>683</v>
      </c>
      <c r="B691" s="43">
        <v>19</v>
      </c>
      <c r="C691" s="43">
        <v>17</v>
      </c>
      <c r="D691" s="38" t="s">
        <v>628</v>
      </c>
      <c r="E691" s="44" t="s">
        <v>169</v>
      </c>
      <c r="F691" s="44" t="s">
        <v>31</v>
      </c>
      <c r="G691" s="44" t="s">
        <v>120</v>
      </c>
      <c r="H691" s="44" t="s">
        <v>35</v>
      </c>
      <c r="I691" s="44" t="s">
        <v>35</v>
      </c>
      <c r="J691" s="44" t="s">
        <v>9</v>
      </c>
      <c r="K691" s="44" t="s">
        <v>135</v>
      </c>
      <c r="L691" s="40">
        <v>19456</v>
      </c>
      <c r="M691" s="41">
        <v>41851</v>
      </c>
      <c r="N691" s="40" t="s">
        <v>122</v>
      </c>
      <c r="O691" s="42"/>
      <c r="P691" s="40">
        <v>62</v>
      </c>
      <c r="Q691" s="145">
        <v>0</v>
      </c>
      <c r="R691" s="145">
        <v>0</v>
      </c>
      <c r="S691" s="145">
        <v>0</v>
      </c>
      <c r="T691" s="145">
        <v>0</v>
      </c>
      <c r="U691" s="145">
        <v>0</v>
      </c>
    </row>
    <row r="692" spans="1:21" x14ac:dyDescent="0.2">
      <c r="A692" s="89">
        <f t="shared" si="10"/>
        <v>684</v>
      </c>
      <c r="B692" s="43">
        <v>19</v>
      </c>
      <c r="C692" s="43">
        <v>18</v>
      </c>
      <c r="D692" s="38" t="s">
        <v>629</v>
      </c>
      <c r="E692" s="44" t="s">
        <v>171</v>
      </c>
      <c r="F692" s="44" t="s">
        <v>31</v>
      </c>
      <c r="G692" s="44" t="s">
        <v>120</v>
      </c>
      <c r="H692" s="44" t="s">
        <v>35</v>
      </c>
      <c r="I692" s="44" t="s">
        <v>35</v>
      </c>
      <c r="J692" s="44" t="s">
        <v>10</v>
      </c>
      <c r="K692" s="44" t="s">
        <v>132</v>
      </c>
      <c r="L692" s="40">
        <v>19457</v>
      </c>
      <c r="M692" s="41">
        <v>41851</v>
      </c>
      <c r="N692" s="40" t="s">
        <v>122</v>
      </c>
      <c r="O692" s="42"/>
      <c r="P692" s="40">
        <v>62</v>
      </c>
      <c r="Q692" s="145">
        <v>0</v>
      </c>
      <c r="R692" s="145">
        <v>0</v>
      </c>
      <c r="S692" s="145">
        <v>0</v>
      </c>
      <c r="T692" s="145">
        <v>0</v>
      </c>
      <c r="U692" s="145">
        <v>0</v>
      </c>
    </row>
    <row r="693" spans="1:21" x14ac:dyDescent="0.2">
      <c r="A693" s="89">
        <f t="shared" si="10"/>
        <v>685</v>
      </c>
      <c r="B693" s="43">
        <v>19</v>
      </c>
      <c r="C693" s="43">
        <v>19</v>
      </c>
      <c r="D693" s="38" t="s">
        <v>630</v>
      </c>
      <c r="E693" s="44" t="s">
        <v>173</v>
      </c>
      <c r="F693" s="44" t="s">
        <v>31</v>
      </c>
      <c r="G693" s="44" t="s">
        <v>120</v>
      </c>
      <c r="H693" s="44" t="s">
        <v>35</v>
      </c>
      <c r="I693" s="44" t="s">
        <v>35</v>
      </c>
      <c r="J693" s="44" t="s">
        <v>11</v>
      </c>
      <c r="K693" s="44" t="s">
        <v>129</v>
      </c>
      <c r="L693" s="40">
        <v>19458</v>
      </c>
      <c r="M693" s="41">
        <v>41851</v>
      </c>
      <c r="N693" s="40" t="s">
        <v>122</v>
      </c>
      <c r="O693" s="42"/>
      <c r="P693" s="40">
        <v>62</v>
      </c>
      <c r="Q693" s="145">
        <v>0</v>
      </c>
      <c r="R693" s="145">
        <v>0</v>
      </c>
      <c r="S693" s="145">
        <v>0</v>
      </c>
      <c r="T693" s="145">
        <v>0</v>
      </c>
      <c r="U693" s="145">
        <v>0</v>
      </c>
    </row>
    <row r="694" spans="1:21" x14ac:dyDescent="0.2">
      <c r="A694" s="89">
        <f t="shared" si="10"/>
        <v>686</v>
      </c>
      <c r="B694" s="43">
        <v>19</v>
      </c>
      <c r="C694" s="43">
        <v>20</v>
      </c>
      <c r="D694" s="38" t="s">
        <v>631</v>
      </c>
      <c r="E694" s="44" t="s">
        <v>175</v>
      </c>
      <c r="F694" s="44" t="s">
        <v>6</v>
      </c>
      <c r="G694" s="44" t="s">
        <v>120</v>
      </c>
      <c r="H694" s="44" t="s">
        <v>176</v>
      </c>
      <c r="I694" s="44" t="s">
        <v>177</v>
      </c>
      <c r="J694" s="44" t="s">
        <v>9</v>
      </c>
      <c r="K694" s="44" t="s">
        <v>135</v>
      </c>
      <c r="L694" s="40">
        <v>19460</v>
      </c>
      <c r="M694" s="41">
        <v>41851</v>
      </c>
      <c r="N694" s="40" t="s">
        <v>122</v>
      </c>
      <c r="O694" s="42"/>
      <c r="P694" s="40">
        <v>62</v>
      </c>
      <c r="Q694" s="145">
        <v>0</v>
      </c>
      <c r="R694" s="145">
        <v>0</v>
      </c>
      <c r="S694" s="145">
        <v>0</v>
      </c>
      <c r="T694" s="145">
        <v>0</v>
      </c>
      <c r="U694" s="145">
        <v>0</v>
      </c>
    </row>
    <row r="695" spans="1:21" x14ac:dyDescent="0.2">
      <c r="A695" s="89">
        <f t="shared" si="10"/>
        <v>687</v>
      </c>
      <c r="B695" s="43">
        <v>19</v>
      </c>
      <c r="C695" s="43">
        <v>21</v>
      </c>
      <c r="D695" s="38" t="s">
        <v>632</v>
      </c>
      <c r="E695" s="44" t="s">
        <v>179</v>
      </c>
      <c r="F695" s="44" t="s">
        <v>6</v>
      </c>
      <c r="G695" s="44" t="s">
        <v>120</v>
      </c>
      <c r="H695" s="44" t="s">
        <v>176</v>
      </c>
      <c r="I695" s="44" t="s">
        <v>177</v>
      </c>
      <c r="J695" s="44" t="s">
        <v>10</v>
      </c>
      <c r="K695" s="44" t="s">
        <v>132</v>
      </c>
      <c r="L695" s="40">
        <v>19459</v>
      </c>
      <c r="M695" s="41">
        <v>41851</v>
      </c>
      <c r="N695" s="40" t="s">
        <v>122</v>
      </c>
      <c r="O695" s="42"/>
      <c r="P695" s="40">
        <v>62</v>
      </c>
      <c r="Q695" s="145">
        <v>0</v>
      </c>
      <c r="R695" s="145">
        <v>0</v>
      </c>
      <c r="S695" s="145">
        <v>0</v>
      </c>
      <c r="T695" s="145">
        <v>0</v>
      </c>
      <c r="U695" s="145">
        <v>0</v>
      </c>
    </row>
    <row r="696" spans="1:21" x14ac:dyDescent="0.2">
      <c r="A696" s="89">
        <f t="shared" si="10"/>
        <v>688</v>
      </c>
      <c r="B696" s="43">
        <v>19</v>
      </c>
      <c r="C696" s="43">
        <v>22</v>
      </c>
      <c r="D696" s="38" t="s">
        <v>633</v>
      </c>
      <c r="E696" s="44" t="s">
        <v>181</v>
      </c>
      <c r="F696" s="44" t="s">
        <v>6</v>
      </c>
      <c r="G696" s="44" t="s">
        <v>120</v>
      </c>
      <c r="H696" s="44" t="s">
        <v>176</v>
      </c>
      <c r="I696" s="44" t="s">
        <v>177</v>
      </c>
      <c r="J696" s="44" t="s">
        <v>11</v>
      </c>
      <c r="K696" s="44" t="s">
        <v>129</v>
      </c>
      <c r="L696" s="40">
        <v>19461</v>
      </c>
      <c r="M696" s="41">
        <v>41851</v>
      </c>
      <c r="N696" s="40" t="s">
        <v>122</v>
      </c>
      <c r="O696" s="42"/>
      <c r="P696" s="40">
        <v>62</v>
      </c>
      <c r="Q696" s="145">
        <v>0</v>
      </c>
      <c r="R696" s="145">
        <v>0</v>
      </c>
      <c r="S696" s="145">
        <v>0</v>
      </c>
      <c r="T696" s="145">
        <v>0</v>
      </c>
      <c r="U696" s="145">
        <v>0</v>
      </c>
    </row>
    <row r="697" spans="1:21" x14ac:dyDescent="0.2">
      <c r="A697" s="89">
        <f t="shared" si="10"/>
        <v>689</v>
      </c>
      <c r="B697" s="43">
        <v>19</v>
      </c>
      <c r="C697" s="43">
        <v>23</v>
      </c>
      <c r="D697" s="38" t="s">
        <v>634</v>
      </c>
      <c r="E697" s="44" t="s">
        <v>183</v>
      </c>
      <c r="F697" s="44" t="s">
        <v>6</v>
      </c>
      <c r="G697" s="44" t="s">
        <v>120</v>
      </c>
      <c r="H697" s="44" t="s">
        <v>13</v>
      </c>
      <c r="I697" s="44" t="s">
        <v>13</v>
      </c>
      <c r="J697" s="44" t="s">
        <v>7</v>
      </c>
      <c r="K697" s="44" t="s">
        <v>140</v>
      </c>
      <c r="L697" s="40">
        <v>19462</v>
      </c>
      <c r="M697" s="41">
        <v>41851</v>
      </c>
      <c r="N697" s="40" t="s">
        <v>122</v>
      </c>
      <c r="O697" s="42"/>
      <c r="P697" s="40">
        <v>62</v>
      </c>
      <c r="Q697" s="145">
        <v>0</v>
      </c>
      <c r="R697" s="145">
        <v>0</v>
      </c>
      <c r="S697" s="145">
        <v>0</v>
      </c>
      <c r="T697" s="145">
        <v>0</v>
      </c>
      <c r="U697" s="145">
        <v>0</v>
      </c>
    </row>
    <row r="698" spans="1:21" x14ac:dyDescent="0.2">
      <c r="A698" s="89">
        <f t="shared" si="10"/>
        <v>690</v>
      </c>
      <c r="B698" s="43">
        <v>19</v>
      </c>
      <c r="C698" s="43">
        <v>24</v>
      </c>
      <c r="D698" s="38" t="s">
        <v>635</v>
      </c>
      <c r="E698" s="44" t="s">
        <v>185</v>
      </c>
      <c r="F698" s="44" t="s">
        <v>6</v>
      </c>
      <c r="G698" s="44" t="s">
        <v>120</v>
      </c>
      <c r="H698" s="44" t="s">
        <v>12</v>
      </c>
      <c r="I698" s="44" t="s">
        <v>186</v>
      </c>
      <c r="J698" s="44" t="s">
        <v>9</v>
      </c>
      <c r="K698" s="44" t="s">
        <v>135</v>
      </c>
      <c r="L698" s="40">
        <v>19463</v>
      </c>
      <c r="M698" s="41">
        <v>41851</v>
      </c>
      <c r="N698" s="40" t="s">
        <v>122</v>
      </c>
      <c r="O698" s="42"/>
      <c r="P698" s="40">
        <v>62</v>
      </c>
      <c r="Q698" s="145">
        <v>0</v>
      </c>
      <c r="R698" s="145">
        <v>0</v>
      </c>
      <c r="S698" s="145">
        <v>0</v>
      </c>
      <c r="T698" s="145">
        <v>0</v>
      </c>
      <c r="U698" s="145">
        <v>0</v>
      </c>
    </row>
    <row r="699" spans="1:21" x14ac:dyDescent="0.2">
      <c r="A699" s="89">
        <f t="shared" si="10"/>
        <v>691</v>
      </c>
      <c r="B699" s="43">
        <v>19</v>
      </c>
      <c r="C699" s="43">
        <v>25</v>
      </c>
      <c r="D699" s="38" t="s">
        <v>636</v>
      </c>
      <c r="E699" s="44" t="s">
        <v>188</v>
      </c>
      <c r="F699" s="44" t="s">
        <v>6</v>
      </c>
      <c r="G699" s="44" t="s">
        <v>120</v>
      </c>
      <c r="H699" s="44" t="s">
        <v>12</v>
      </c>
      <c r="I699" s="44" t="s">
        <v>186</v>
      </c>
      <c r="J699" s="44" t="s">
        <v>10</v>
      </c>
      <c r="K699" s="44" t="s">
        <v>132</v>
      </c>
      <c r="L699" s="40">
        <v>19464</v>
      </c>
      <c r="M699" s="41">
        <v>41851</v>
      </c>
      <c r="N699" s="40" t="s">
        <v>122</v>
      </c>
      <c r="O699" s="42"/>
      <c r="P699" s="40">
        <v>62</v>
      </c>
      <c r="Q699" s="145">
        <v>0</v>
      </c>
      <c r="R699" s="145">
        <v>0</v>
      </c>
      <c r="S699" s="145">
        <v>0</v>
      </c>
      <c r="T699" s="145">
        <v>0</v>
      </c>
      <c r="U699" s="145">
        <v>0</v>
      </c>
    </row>
    <row r="700" spans="1:21" x14ac:dyDescent="0.2">
      <c r="A700" s="89">
        <f t="shared" si="10"/>
        <v>692</v>
      </c>
      <c r="B700" s="43">
        <v>19</v>
      </c>
      <c r="C700" s="43">
        <v>26</v>
      </c>
      <c r="D700" s="38" t="s">
        <v>637</v>
      </c>
      <c r="E700" s="44" t="s">
        <v>190</v>
      </c>
      <c r="F700" s="44" t="s">
        <v>6</v>
      </c>
      <c r="G700" s="44" t="s">
        <v>120</v>
      </c>
      <c r="H700" s="44" t="s">
        <v>12</v>
      </c>
      <c r="I700" s="44" t="s">
        <v>186</v>
      </c>
      <c r="J700" s="44" t="s">
        <v>11</v>
      </c>
      <c r="K700" s="44" t="s">
        <v>129</v>
      </c>
      <c r="L700" s="40">
        <v>19465</v>
      </c>
      <c r="M700" s="41">
        <v>41851</v>
      </c>
      <c r="N700" s="40" t="s">
        <v>122</v>
      </c>
      <c r="O700" s="42"/>
      <c r="P700" s="40">
        <v>62</v>
      </c>
      <c r="Q700" s="145">
        <v>0</v>
      </c>
      <c r="R700" s="145">
        <v>0</v>
      </c>
      <c r="S700" s="145">
        <v>0</v>
      </c>
      <c r="T700" s="145">
        <v>0</v>
      </c>
      <c r="U700" s="145">
        <v>0</v>
      </c>
    </row>
    <row r="701" spans="1:21" x14ac:dyDescent="0.2">
      <c r="A701" s="89">
        <f t="shared" si="10"/>
        <v>693</v>
      </c>
      <c r="B701" s="43">
        <v>19</v>
      </c>
      <c r="C701" s="43">
        <v>27</v>
      </c>
      <c r="D701" s="38" t="s">
        <v>638</v>
      </c>
      <c r="E701" s="44" t="s">
        <v>192</v>
      </c>
      <c r="F701" s="44" t="s">
        <v>6</v>
      </c>
      <c r="G701" s="44" t="s">
        <v>120</v>
      </c>
      <c r="H701" s="44" t="s">
        <v>100</v>
      </c>
      <c r="I701" s="44" t="s">
        <v>193</v>
      </c>
      <c r="J701" s="44" t="s">
        <v>7</v>
      </c>
      <c r="K701" s="44" t="s">
        <v>140</v>
      </c>
      <c r="L701" s="40">
        <v>19466</v>
      </c>
      <c r="M701" s="41">
        <v>41851</v>
      </c>
      <c r="N701" s="40" t="s">
        <v>122</v>
      </c>
      <c r="O701" s="42"/>
      <c r="P701" s="40">
        <v>62</v>
      </c>
      <c r="Q701" s="145">
        <v>0</v>
      </c>
      <c r="R701" s="145">
        <v>0</v>
      </c>
      <c r="S701" s="145">
        <v>0</v>
      </c>
      <c r="T701" s="145">
        <v>0</v>
      </c>
      <c r="U701" s="145">
        <v>0</v>
      </c>
    </row>
    <row r="702" spans="1:21" x14ac:dyDescent="0.2">
      <c r="A702" s="89">
        <f t="shared" si="10"/>
        <v>694</v>
      </c>
      <c r="B702" s="43">
        <v>19</v>
      </c>
      <c r="C702" s="43">
        <v>28</v>
      </c>
      <c r="D702" s="38" t="s">
        <v>639</v>
      </c>
      <c r="E702" s="44" t="s">
        <v>195</v>
      </c>
      <c r="F702" s="44" t="s">
        <v>39</v>
      </c>
      <c r="G702" s="44" t="s">
        <v>120</v>
      </c>
      <c r="H702" s="44" t="s">
        <v>44</v>
      </c>
      <c r="I702" s="44" t="s">
        <v>44</v>
      </c>
      <c r="J702" s="44" t="s">
        <v>7</v>
      </c>
      <c r="K702" s="44" t="s">
        <v>140</v>
      </c>
      <c r="L702" s="40">
        <v>19467</v>
      </c>
      <c r="M702" s="41">
        <v>41851</v>
      </c>
      <c r="N702" s="40" t="s">
        <v>122</v>
      </c>
      <c r="O702" s="42"/>
      <c r="P702" s="40">
        <v>62</v>
      </c>
      <c r="Q702" s="145">
        <v>0</v>
      </c>
      <c r="R702" s="145">
        <v>0</v>
      </c>
      <c r="S702" s="145">
        <v>0</v>
      </c>
      <c r="T702" s="145">
        <v>0</v>
      </c>
      <c r="U702" s="145">
        <v>0</v>
      </c>
    </row>
    <row r="703" spans="1:21" x14ac:dyDescent="0.2">
      <c r="A703" s="89">
        <f t="shared" si="10"/>
        <v>695</v>
      </c>
      <c r="B703" s="43">
        <v>19</v>
      </c>
      <c r="C703" s="43">
        <v>29</v>
      </c>
      <c r="D703" s="38" t="s">
        <v>640</v>
      </c>
      <c r="E703" s="44" t="s">
        <v>197</v>
      </c>
      <c r="F703" s="44" t="s">
        <v>39</v>
      </c>
      <c r="G703" s="44" t="s">
        <v>120</v>
      </c>
      <c r="H703" s="44" t="s">
        <v>44</v>
      </c>
      <c r="I703" s="44" t="s">
        <v>44</v>
      </c>
      <c r="J703" s="44" t="s">
        <v>45</v>
      </c>
      <c r="K703" s="44" t="s">
        <v>198</v>
      </c>
      <c r="L703" s="40">
        <v>19468</v>
      </c>
      <c r="M703" s="41">
        <v>41851</v>
      </c>
      <c r="N703" s="40" t="s">
        <v>122</v>
      </c>
      <c r="O703" s="42"/>
      <c r="P703" s="40">
        <v>62</v>
      </c>
      <c r="Q703" s="145">
        <v>0</v>
      </c>
      <c r="R703" s="145">
        <v>0</v>
      </c>
      <c r="S703" s="145">
        <v>0</v>
      </c>
      <c r="T703" s="145">
        <v>0</v>
      </c>
      <c r="U703" s="145">
        <v>0</v>
      </c>
    </row>
    <row r="704" spans="1:21" x14ac:dyDescent="0.2">
      <c r="A704" s="89">
        <f t="shared" si="10"/>
        <v>696</v>
      </c>
      <c r="B704" s="43">
        <v>19</v>
      </c>
      <c r="C704" s="43">
        <v>30</v>
      </c>
      <c r="D704" s="38" t="s">
        <v>641</v>
      </c>
      <c r="E704" s="44" t="s">
        <v>200</v>
      </c>
      <c r="F704" s="44" t="s">
        <v>39</v>
      </c>
      <c r="G704" s="44" t="s">
        <v>120</v>
      </c>
      <c r="H704" s="44" t="s">
        <v>44</v>
      </c>
      <c r="I704" s="44" t="s">
        <v>44</v>
      </c>
      <c r="J704" s="44" t="s">
        <v>46</v>
      </c>
      <c r="K704" s="44" t="s">
        <v>46</v>
      </c>
      <c r="L704" s="40">
        <v>19469</v>
      </c>
      <c r="M704" s="41">
        <v>41851</v>
      </c>
      <c r="N704" s="40" t="s">
        <v>122</v>
      </c>
      <c r="O704" s="42"/>
      <c r="P704" s="40">
        <v>62</v>
      </c>
      <c r="Q704" s="145">
        <v>0</v>
      </c>
      <c r="R704" s="145">
        <v>0</v>
      </c>
      <c r="S704" s="145">
        <v>0</v>
      </c>
      <c r="T704" s="145">
        <v>0</v>
      </c>
      <c r="U704" s="145">
        <v>0</v>
      </c>
    </row>
    <row r="705" spans="1:21" x14ac:dyDescent="0.2">
      <c r="A705" s="89">
        <f t="shared" si="10"/>
        <v>697</v>
      </c>
      <c r="B705" s="43">
        <v>19</v>
      </c>
      <c r="C705" s="43">
        <v>31</v>
      </c>
      <c r="D705" s="38" t="s">
        <v>642</v>
      </c>
      <c r="E705" s="44" t="s">
        <v>202</v>
      </c>
      <c r="F705" s="44" t="s">
        <v>39</v>
      </c>
      <c r="G705" s="44" t="s">
        <v>120</v>
      </c>
      <c r="H705" s="44" t="s">
        <v>47</v>
      </c>
      <c r="I705" s="44" t="s">
        <v>47</v>
      </c>
      <c r="J705" s="44" t="s">
        <v>7</v>
      </c>
      <c r="K705" s="44" t="s">
        <v>140</v>
      </c>
      <c r="L705" s="40">
        <v>19470</v>
      </c>
      <c r="M705" s="41">
        <v>41851</v>
      </c>
      <c r="N705" s="40" t="s">
        <v>122</v>
      </c>
      <c r="O705" s="42"/>
      <c r="P705" s="40">
        <v>62</v>
      </c>
      <c r="Q705" s="145">
        <v>0</v>
      </c>
      <c r="R705" s="145">
        <v>0</v>
      </c>
      <c r="S705" s="145">
        <v>0</v>
      </c>
      <c r="T705" s="145">
        <v>0</v>
      </c>
      <c r="U705" s="145">
        <v>0</v>
      </c>
    </row>
    <row r="706" spans="1:21" x14ac:dyDescent="0.2">
      <c r="A706" s="89">
        <f t="shared" si="10"/>
        <v>698</v>
      </c>
      <c r="B706" s="43">
        <v>19</v>
      </c>
      <c r="C706" s="43">
        <v>32</v>
      </c>
      <c r="D706" s="38" t="s">
        <v>643</v>
      </c>
      <c r="E706" s="44" t="s">
        <v>204</v>
      </c>
      <c r="F706" s="44" t="s">
        <v>6</v>
      </c>
      <c r="G706" s="44" t="s">
        <v>120</v>
      </c>
      <c r="H706" s="44" t="s">
        <v>14</v>
      </c>
      <c r="I706" s="44" t="s">
        <v>14</v>
      </c>
      <c r="J706" s="44" t="s">
        <v>15</v>
      </c>
      <c r="K706" s="44" t="s">
        <v>129</v>
      </c>
      <c r="L706" s="40">
        <v>19471</v>
      </c>
      <c r="M706" s="41">
        <v>41851</v>
      </c>
      <c r="N706" s="40" t="s">
        <v>122</v>
      </c>
      <c r="O706" s="42"/>
      <c r="P706" s="40">
        <v>62</v>
      </c>
      <c r="Q706" s="145">
        <v>0</v>
      </c>
      <c r="R706" s="145">
        <v>0</v>
      </c>
      <c r="S706" s="145">
        <v>0</v>
      </c>
      <c r="T706" s="145">
        <v>0</v>
      </c>
      <c r="U706" s="145">
        <v>0</v>
      </c>
    </row>
    <row r="707" spans="1:21" x14ac:dyDescent="0.2">
      <c r="A707" s="89">
        <f t="shared" si="10"/>
        <v>699</v>
      </c>
      <c r="B707" s="43">
        <v>19</v>
      </c>
      <c r="C707" s="43">
        <v>33</v>
      </c>
      <c r="D707" s="38" t="s">
        <v>644</v>
      </c>
      <c r="E707" s="44" t="s">
        <v>206</v>
      </c>
      <c r="F707" s="44" t="s">
        <v>6</v>
      </c>
      <c r="G707" s="44" t="s">
        <v>120</v>
      </c>
      <c r="H707" s="44" t="s">
        <v>14</v>
      </c>
      <c r="I707" s="44" t="s">
        <v>14</v>
      </c>
      <c r="J707" s="44" t="s">
        <v>16</v>
      </c>
      <c r="K707" s="44" t="s">
        <v>135</v>
      </c>
      <c r="L707" s="40">
        <v>19472</v>
      </c>
      <c r="M707" s="41">
        <v>41851</v>
      </c>
      <c r="N707" s="40" t="s">
        <v>122</v>
      </c>
      <c r="O707" s="42"/>
      <c r="P707" s="40">
        <v>62</v>
      </c>
      <c r="Q707" s="145">
        <v>0</v>
      </c>
      <c r="R707" s="145">
        <v>0</v>
      </c>
      <c r="S707" s="145">
        <v>0</v>
      </c>
      <c r="T707" s="145">
        <v>0</v>
      </c>
      <c r="U707" s="145">
        <v>0</v>
      </c>
    </row>
    <row r="708" spans="1:21" x14ac:dyDescent="0.2">
      <c r="A708" s="89">
        <f t="shared" si="10"/>
        <v>700</v>
      </c>
      <c r="B708" s="43">
        <v>19</v>
      </c>
      <c r="C708" s="43">
        <v>34</v>
      </c>
      <c r="D708" s="38" t="s">
        <v>645</v>
      </c>
      <c r="E708" s="44" t="s">
        <v>208</v>
      </c>
      <c r="F708" s="44" t="s">
        <v>31</v>
      </c>
      <c r="G708" s="44" t="s">
        <v>120</v>
      </c>
      <c r="H708" s="44" t="s">
        <v>36</v>
      </c>
      <c r="I708" s="44" t="s">
        <v>36</v>
      </c>
      <c r="J708" s="44" t="s">
        <v>37</v>
      </c>
      <c r="K708" s="44" t="s">
        <v>209</v>
      </c>
      <c r="L708" s="40">
        <v>19473</v>
      </c>
      <c r="M708" s="41">
        <v>41851</v>
      </c>
      <c r="N708" s="40" t="s">
        <v>122</v>
      </c>
      <c r="O708" s="42"/>
      <c r="P708" s="40">
        <v>62</v>
      </c>
      <c r="Q708" s="145">
        <v>0</v>
      </c>
      <c r="R708" s="145">
        <v>0</v>
      </c>
      <c r="S708" s="145">
        <v>0</v>
      </c>
      <c r="T708" s="145">
        <v>0</v>
      </c>
      <c r="U708" s="145">
        <v>0</v>
      </c>
    </row>
    <row r="709" spans="1:21" x14ac:dyDescent="0.2">
      <c r="A709" s="89">
        <f t="shared" si="10"/>
        <v>701</v>
      </c>
      <c r="B709" s="43">
        <v>19</v>
      </c>
      <c r="C709" s="43">
        <v>35</v>
      </c>
      <c r="D709" s="38" t="s">
        <v>646</v>
      </c>
      <c r="E709" s="44" t="s">
        <v>211</v>
      </c>
      <c r="F709" s="44" t="s">
        <v>31</v>
      </c>
      <c r="G709" s="44" t="s">
        <v>120</v>
      </c>
      <c r="H709" s="44" t="s">
        <v>36</v>
      </c>
      <c r="I709" s="44" t="s">
        <v>36</v>
      </c>
      <c r="J709" s="44" t="s">
        <v>38</v>
      </c>
      <c r="K709" s="44" t="s">
        <v>212</v>
      </c>
      <c r="L709" s="40">
        <v>19474</v>
      </c>
      <c r="M709" s="41">
        <v>41851</v>
      </c>
      <c r="N709" s="40" t="s">
        <v>122</v>
      </c>
      <c r="O709" s="42"/>
      <c r="P709" s="40">
        <v>62</v>
      </c>
      <c r="Q709" s="145">
        <v>0</v>
      </c>
      <c r="R709" s="145">
        <v>0</v>
      </c>
      <c r="S709" s="145">
        <v>0</v>
      </c>
      <c r="T709" s="145">
        <v>0</v>
      </c>
      <c r="U709" s="145">
        <v>0</v>
      </c>
    </row>
    <row r="710" spans="1:21" x14ac:dyDescent="0.2">
      <c r="A710" s="89">
        <f t="shared" si="10"/>
        <v>702</v>
      </c>
      <c r="B710" s="43">
        <v>19</v>
      </c>
      <c r="C710" s="43">
        <v>36</v>
      </c>
      <c r="D710" s="38" t="s">
        <v>647</v>
      </c>
      <c r="E710" s="44" t="s">
        <v>214</v>
      </c>
      <c r="F710" s="44" t="s">
        <v>6</v>
      </c>
      <c r="G710" s="44" t="s">
        <v>120</v>
      </c>
      <c r="H710" s="44" t="s">
        <v>17</v>
      </c>
      <c r="I710" s="44" t="s">
        <v>215</v>
      </c>
      <c r="J710" s="44" t="s">
        <v>18</v>
      </c>
      <c r="K710" s="44" t="s">
        <v>140</v>
      </c>
      <c r="L710" s="40">
        <v>19475</v>
      </c>
      <c r="M710" s="41">
        <v>41851</v>
      </c>
      <c r="N710" s="40" t="s">
        <v>122</v>
      </c>
      <c r="O710" s="42"/>
      <c r="P710" s="40">
        <v>62</v>
      </c>
      <c r="Q710" s="145">
        <v>0</v>
      </c>
      <c r="R710" s="145">
        <v>0</v>
      </c>
      <c r="S710" s="145">
        <v>0</v>
      </c>
      <c r="T710" s="145">
        <v>0</v>
      </c>
      <c r="U710" s="145">
        <v>0</v>
      </c>
    </row>
    <row r="711" spans="1:21" x14ac:dyDescent="0.2">
      <c r="A711" s="89">
        <f t="shared" si="10"/>
        <v>703</v>
      </c>
      <c r="B711" s="20"/>
      <c r="C711" s="20"/>
      <c r="D711" s="20"/>
    </row>
    <row r="712" spans="1:21" x14ac:dyDescent="0.2">
      <c r="A712" s="89">
        <f t="shared" si="10"/>
        <v>704</v>
      </c>
      <c r="B712" s="43">
        <v>20</v>
      </c>
      <c r="C712" s="43">
        <v>1</v>
      </c>
      <c r="D712" s="38" t="s">
        <v>612</v>
      </c>
      <c r="E712" s="44" t="s">
        <v>119</v>
      </c>
      <c r="F712" s="44" t="s">
        <v>31</v>
      </c>
      <c r="G712" s="44" t="s">
        <v>120</v>
      </c>
      <c r="H712" s="44" t="s">
        <v>32</v>
      </c>
      <c r="I712" s="44" t="s">
        <v>32</v>
      </c>
      <c r="J712" s="44" t="s">
        <v>33</v>
      </c>
      <c r="K712" s="44" t="s">
        <v>121</v>
      </c>
      <c r="L712" s="40">
        <v>19440</v>
      </c>
      <c r="M712" s="41">
        <v>41851</v>
      </c>
      <c r="N712" s="40" t="s">
        <v>122</v>
      </c>
      <c r="O712" s="42"/>
      <c r="P712" s="40">
        <v>63</v>
      </c>
      <c r="Q712" s="145">
        <v>0</v>
      </c>
      <c r="R712" s="145">
        <v>0</v>
      </c>
      <c r="S712" s="145">
        <v>0</v>
      </c>
      <c r="T712" s="145">
        <v>0</v>
      </c>
      <c r="U712" s="145">
        <v>0</v>
      </c>
    </row>
    <row r="713" spans="1:21" x14ac:dyDescent="0.2">
      <c r="A713" s="89">
        <f t="shared" si="10"/>
        <v>705</v>
      </c>
      <c r="B713" s="43">
        <v>20</v>
      </c>
      <c r="C713" s="43">
        <v>2</v>
      </c>
      <c r="D713" s="38" t="s">
        <v>613</v>
      </c>
      <c r="E713" s="44" t="s">
        <v>124</v>
      </c>
      <c r="F713" s="44" t="s">
        <v>31</v>
      </c>
      <c r="G713" s="44" t="s">
        <v>120</v>
      </c>
      <c r="H713" s="44" t="s">
        <v>32</v>
      </c>
      <c r="I713" s="44" t="s">
        <v>32</v>
      </c>
      <c r="J713" s="44" t="s">
        <v>34</v>
      </c>
      <c r="K713" s="44" t="s">
        <v>125</v>
      </c>
      <c r="L713" s="40">
        <v>19441</v>
      </c>
      <c r="M713" s="41">
        <v>41851</v>
      </c>
      <c r="N713" s="40" t="s">
        <v>122</v>
      </c>
      <c r="O713" s="42"/>
      <c r="P713" s="40">
        <v>63</v>
      </c>
      <c r="Q713" s="145">
        <v>0</v>
      </c>
      <c r="R713" s="145">
        <v>0</v>
      </c>
      <c r="S713" s="145">
        <v>0</v>
      </c>
      <c r="T713" s="145">
        <v>0</v>
      </c>
      <c r="U713" s="145">
        <v>0</v>
      </c>
    </row>
    <row r="714" spans="1:21" x14ac:dyDescent="0.2">
      <c r="A714" s="89">
        <f t="shared" si="10"/>
        <v>706</v>
      </c>
      <c r="B714" s="43">
        <v>20</v>
      </c>
      <c r="C714" s="43">
        <v>3</v>
      </c>
      <c r="D714" s="38" t="s">
        <v>614</v>
      </c>
      <c r="E714" s="44" t="s">
        <v>127</v>
      </c>
      <c r="F714" s="44" t="s">
        <v>20</v>
      </c>
      <c r="G714" s="44" t="s">
        <v>120</v>
      </c>
      <c r="H714" s="44" t="s">
        <v>63</v>
      </c>
      <c r="I714" s="44" t="s">
        <v>128</v>
      </c>
      <c r="J714" s="44" t="s">
        <v>15</v>
      </c>
      <c r="K714" s="44" t="s">
        <v>129</v>
      </c>
      <c r="L714" s="40">
        <v>19442</v>
      </c>
      <c r="M714" s="41">
        <v>41851</v>
      </c>
      <c r="N714" s="40" t="s">
        <v>122</v>
      </c>
      <c r="O714" s="42"/>
      <c r="P714" s="40">
        <v>63</v>
      </c>
      <c r="Q714" s="145">
        <v>0</v>
      </c>
      <c r="R714" s="145">
        <v>0</v>
      </c>
      <c r="S714" s="145">
        <v>0</v>
      </c>
      <c r="T714" s="145">
        <v>0</v>
      </c>
      <c r="U714" s="145">
        <v>0</v>
      </c>
    </row>
    <row r="715" spans="1:21" x14ac:dyDescent="0.2">
      <c r="A715" s="89">
        <f t="shared" ref="A715:A778" si="11">A714+1</f>
        <v>707</v>
      </c>
      <c r="B715" s="43">
        <v>20</v>
      </c>
      <c r="C715" s="43">
        <v>4</v>
      </c>
      <c r="D715" s="38" t="s">
        <v>615</v>
      </c>
      <c r="E715" s="44" t="s">
        <v>131</v>
      </c>
      <c r="F715" s="44" t="s">
        <v>20</v>
      </c>
      <c r="G715" s="44" t="s">
        <v>120</v>
      </c>
      <c r="H715" s="44" t="s">
        <v>63</v>
      </c>
      <c r="I715" s="44" t="s">
        <v>128</v>
      </c>
      <c r="J715" s="44" t="s">
        <v>21</v>
      </c>
      <c r="K715" s="44" t="s">
        <v>132</v>
      </c>
      <c r="L715" s="40">
        <v>19443</v>
      </c>
      <c r="M715" s="41">
        <v>41851</v>
      </c>
      <c r="N715" s="40" t="s">
        <v>122</v>
      </c>
      <c r="O715" s="42"/>
      <c r="P715" s="40">
        <v>63</v>
      </c>
      <c r="Q715" s="145">
        <v>0</v>
      </c>
      <c r="R715" s="145">
        <v>0</v>
      </c>
      <c r="S715" s="145">
        <v>0</v>
      </c>
      <c r="T715" s="145">
        <v>0</v>
      </c>
      <c r="U715" s="145">
        <v>0</v>
      </c>
    </row>
    <row r="716" spans="1:21" x14ac:dyDescent="0.2">
      <c r="A716" s="89">
        <f t="shared" si="11"/>
        <v>708</v>
      </c>
      <c r="B716" s="43">
        <v>20</v>
      </c>
      <c r="C716" s="43">
        <v>5</v>
      </c>
      <c r="D716" s="38" t="s">
        <v>616</v>
      </c>
      <c r="E716" s="44" t="s">
        <v>134</v>
      </c>
      <c r="F716" s="44" t="s">
        <v>20</v>
      </c>
      <c r="G716" s="44" t="s">
        <v>120</v>
      </c>
      <c r="H716" s="44" t="s">
        <v>63</v>
      </c>
      <c r="I716" s="44" t="s">
        <v>128</v>
      </c>
      <c r="J716" s="44" t="s">
        <v>16</v>
      </c>
      <c r="K716" s="44" t="s">
        <v>135</v>
      </c>
      <c r="L716" s="40">
        <v>19444</v>
      </c>
      <c r="M716" s="41">
        <v>41851</v>
      </c>
      <c r="N716" s="40" t="s">
        <v>122</v>
      </c>
      <c r="O716" s="42"/>
      <c r="P716" s="40">
        <v>63</v>
      </c>
      <c r="Q716" s="145">
        <v>0</v>
      </c>
      <c r="R716" s="145">
        <v>0</v>
      </c>
      <c r="S716" s="145">
        <v>0</v>
      </c>
      <c r="T716" s="145">
        <v>0</v>
      </c>
      <c r="U716" s="145">
        <v>0</v>
      </c>
    </row>
    <row r="717" spans="1:21" x14ac:dyDescent="0.2">
      <c r="A717" s="89">
        <f t="shared" si="11"/>
        <v>709</v>
      </c>
      <c r="B717" s="43">
        <v>20</v>
      </c>
      <c r="C717" s="43">
        <v>6</v>
      </c>
      <c r="D717" s="38" t="s">
        <v>617</v>
      </c>
      <c r="E717" s="44" t="s">
        <v>137</v>
      </c>
      <c r="F717" s="44" t="s">
        <v>25</v>
      </c>
      <c r="G717" s="44" t="s">
        <v>138</v>
      </c>
      <c r="H717" s="44" t="s">
        <v>139</v>
      </c>
      <c r="I717" s="44" t="s">
        <v>29</v>
      </c>
      <c r="J717" s="44" t="s">
        <v>30</v>
      </c>
      <c r="K717" s="44" t="s">
        <v>140</v>
      </c>
      <c r="L717" s="40">
        <v>19445</v>
      </c>
      <c r="M717" s="41">
        <v>41851</v>
      </c>
      <c r="N717" s="40" t="s">
        <v>122</v>
      </c>
      <c r="O717" s="42"/>
      <c r="P717" s="40">
        <v>63</v>
      </c>
      <c r="Q717" s="145">
        <v>0</v>
      </c>
      <c r="R717" s="145">
        <v>0</v>
      </c>
      <c r="S717" s="145">
        <v>0</v>
      </c>
      <c r="T717" s="145">
        <v>0</v>
      </c>
      <c r="U717" s="145">
        <v>0</v>
      </c>
    </row>
    <row r="718" spans="1:21" x14ac:dyDescent="0.2">
      <c r="A718" s="89">
        <f t="shared" si="11"/>
        <v>710</v>
      </c>
      <c r="B718" s="43">
        <v>20</v>
      </c>
      <c r="C718" s="43">
        <v>7</v>
      </c>
      <c r="D718" s="38" t="s">
        <v>618</v>
      </c>
      <c r="E718" s="44" t="s">
        <v>142</v>
      </c>
      <c r="F718" s="44" t="s">
        <v>39</v>
      </c>
      <c r="G718" s="44" t="s">
        <v>120</v>
      </c>
      <c r="H718" s="44" t="s">
        <v>40</v>
      </c>
      <c r="I718" s="44" t="s">
        <v>40</v>
      </c>
      <c r="J718" s="44" t="s">
        <v>42</v>
      </c>
      <c r="K718" s="44" t="s">
        <v>135</v>
      </c>
      <c r="L718" s="40">
        <v>19447</v>
      </c>
      <c r="M718" s="41">
        <v>41851</v>
      </c>
      <c r="N718" s="40" t="s">
        <v>122</v>
      </c>
      <c r="O718" s="42"/>
      <c r="P718" s="40">
        <v>63</v>
      </c>
      <c r="Q718" s="145">
        <v>0</v>
      </c>
      <c r="R718" s="145">
        <v>0</v>
      </c>
      <c r="S718" s="145">
        <v>0</v>
      </c>
      <c r="T718" s="145">
        <v>0</v>
      </c>
      <c r="U718" s="145">
        <v>0</v>
      </c>
    </row>
    <row r="719" spans="1:21" x14ac:dyDescent="0.2">
      <c r="A719" s="89">
        <f t="shared" si="11"/>
        <v>711</v>
      </c>
      <c r="B719" s="43">
        <v>20</v>
      </c>
      <c r="C719" s="43">
        <v>8</v>
      </c>
      <c r="D719" s="38" t="s">
        <v>619</v>
      </c>
      <c r="E719" s="44" t="s">
        <v>144</v>
      </c>
      <c r="F719" s="44" t="s">
        <v>39</v>
      </c>
      <c r="G719" s="44" t="s">
        <v>120</v>
      </c>
      <c r="H719" s="44" t="s">
        <v>40</v>
      </c>
      <c r="I719" s="44" t="s">
        <v>40</v>
      </c>
      <c r="J719" s="44" t="s">
        <v>41</v>
      </c>
      <c r="K719" s="44" t="s">
        <v>132</v>
      </c>
      <c r="L719" s="40">
        <v>19446</v>
      </c>
      <c r="M719" s="41">
        <v>41851</v>
      </c>
      <c r="N719" s="40" t="s">
        <v>122</v>
      </c>
      <c r="O719" s="42"/>
      <c r="P719" s="40">
        <v>63</v>
      </c>
      <c r="Q719" s="145">
        <v>0</v>
      </c>
      <c r="R719" s="145">
        <v>0</v>
      </c>
      <c r="S719" s="145">
        <v>0</v>
      </c>
      <c r="T719" s="145">
        <v>0</v>
      </c>
      <c r="U719" s="145">
        <v>0</v>
      </c>
    </row>
    <row r="720" spans="1:21" x14ac:dyDescent="0.2">
      <c r="A720" s="89">
        <f t="shared" si="11"/>
        <v>712</v>
      </c>
      <c r="B720" s="43">
        <v>20</v>
      </c>
      <c r="C720" s="43">
        <v>9</v>
      </c>
      <c r="D720" s="38" t="s">
        <v>620</v>
      </c>
      <c r="E720" s="44" t="s">
        <v>146</v>
      </c>
      <c r="F720" s="44" t="s">
        <v>39</v>
      </c>
      <c r="G720" s="44" t="s">
        <v>120</v>
      </c>
      <c r="H720" s="44" t="s">
        <v>40</v>
      </c>
      <c r="I720" s="44" t="s">
        <v>40</v>
      </c>
      <c r="J720" s="44" t="s">
        <v>7</v>
      </c>
      <c r="K720" s="44" t="s">
        <v>129</v>
      </c>
      <c r="L720" s="40">
        <v>19448</v>
      </c>
      <c r="M720" s="41">
        <v>41851</v>
      </c>
      <c r="N720" s="40" t="s">
        <v>122</v>
      </c>
      <c r="O720" s="42"/>
      <c r="P720" s="40">
        <v>63</v>
      </c>
      <c r="Q720" s="145">
        <v>0</v>
      </c>
      <c r="R720" s="145">
        <v>0</v>
      </c>
      <c r="S720" s="145">
        <v>0</v>
      </c>
      <c r="T720" s="145">
        <v>0</v>
      </c>
      <c r="U720" s="145">
        <v>0</v>
      </c>
    </row>
    <row r="721" spans="1:21" x14ac:dyDescent="0.2">
      <c r="A721" s="89">
        <f t="shared" si="11"/>
        <v>713</v>
      </c>
      <c r="B721" s="43">
        <v>20</v>
      </c>
      <c r="C721" s="43">
        <v>10</v>
      </c>
      <c r="D721" s="38" t="s">
        <v>621</v>
      </c>
      <c r="E721" s="44" t="s">
        <v>148</v>
      </c>
      <c r="F721" s="44" t="s">
        <v>25</v>
      </c>
      <c r="G721" s="44" t="s">
        <v>120</v>
      </c>
      <c r="H721" s="44" t="s">
        <v>149</v>
      </c>
      <c r="I721" s="44" t="s">
        <v>26</v>
      </c>
      <c r="J721" s="44" t="s">
        <v>27</v>
      </c>
      <c r="K721" s="44" t="s">
        <v>150</v>
      </c>
      <c r="L721" s="40">
        <v>19449</v>
      </c>
      <c r="M721" s="41">
        <v>41851</v>
      </c>
      <c r="N721" s="40" t="s">
        <v>122</v>
      </c>
      <c r="O721" s="42"/>
      <c r="P721" s="40">
        <v>63</v>
      </c>
      <c r="Q721" s="145">
        <v>0</v>
      </c>
      <c r="R721" s="145">
        <v>0</v>
      </c>
      <c r="S721" s="145">
        <v>0</v>
      </c>
      <c r="T721" s="145">
        <v>0</v>
      </c>
      <c r="U721" s="145">
        <v>0</v>
      </c>
    </row>
    <row r="722" spans="1:21" x14ac:dyDescent="0.2">
      <c r="A722" s="89">
        <f t="shared" si="11"/>
        <v>714</v>
      </c>
      <c r="B722" s="43">
        <v>20</v>
      </c>
      <c r="C722" s="43">
        <v>11</v>
      </c>
      <c r="D722" s="38" t="s">
        <v>622</v>
      </c>
      <c r="E722" s="44" t="s">
        <v>152</v>
      </c>
      <c r="F722" s="44" t="s">
        <v>25</v>
      </c>
      <c r="G722" s="44" t="s">
        <v>120</v>
      </c>
      <c r="H722" s="44" t="s">
        <v>149</v>
      </c>
      <c r="I722" s="44" t="s">
        <v>26</v>
      </c>
      <c r="J722" s="44" t="s">
        <v>28</v>
      </c>
      <c r="K722" s="44" t="s">
        <v>153</v>
      </c>
      <c r="L722" s="40">
        <v>19450</v>
      </c>
      <c r="M722" s="41">
        <v>41851</v>
      </c>
      <c r="N722" s="40" t="s">
        <v>122</v>
      </c>
      <c r="O722" s="42"/>
      <c r="P722" s="40">
        <v>63</v>
      </c>
      <c r="Q722" s="145">
        <v>0</v>
      </c>
      <c r="R722" s="145">
        <v>0</v>
      </c>
      <c r="S722" s="145">
        <v>0</v>
      </c>
      <c r="T722" s="145">
        <v>0</v>
      </c>
      <c r="U722" s="145">
        <v>0</v>
      </c>
    </row>
    <row r="723" spans="1:21" x14ac:dyDescent="0.2">
      <c r="A723" s="89">
        <f t="shared" si="11"/>
        <v>715</v>
      </c>
      <c r="B723" s="43">
        <v>20</v>
      </c>
      <c r="C723" s="43">
        <v>12</v>
      </c>
      <c r="D723" s="38" t="s">
        <v>623</v>
      </c>
      <c r="E723" s="44" t="s">
        <v>155</v>
      </c>
      <c r="F723" s="44" t="s">
        <v>20</v>
      </c>
      <c r="G723" s="44" t="s">
        <v>120</v>
      </c>
      <c r="H723" s="44" t="s">
        <v>105</v>
      </c>
      <c r="I723" s="44" t="s">
        <v>156</v>
      </c>
      <c r="J723" s="44" t="s">
        <v>22</v>
      </c>
      <c r="K723" s="44" t="s">
        <v>157</v>
      </c>
      <c r="L723" s="40">
        <v>19451</v>
      </c>
      <c r="M723" s="41">
        <v>41851</v>
      </c>
      <c r="N723" s="40" t="s">
        <v>122</v>
      </c>
      <c r="O723" s="42"/>
      <c r="P723" s="40">
        <v>63</v>
      </c>
      <c r="Q723" s="145">
        <v>0</v>
      </c>
      <c r="R723" s="145">
        <v>0</v>
      </c>
      <c r="S723" s="145">
        <v>0</v>
      </c>
      <c r="T723" s="145">
        <v>0</v>
      </c>
      <c r="U723" s="145">
        <v>0</v>
      </c>
    </row>
    <row r="724" spans="1:21" x14ac:dyDescent="0.2">
      <c r="A724" s="89">
        <f t="shared" si="11"/>
        <v>716</v>
      </c>
      <c r="B724" s="43">
        <v>20</v>
      </c>
      <c r="C724" s="43">
        <v>13</v>
      </c>
      <c r="D724" s="38" t="s">
        <v>624</v>
      </c>
      <c r="E724" s="44" t="s">
        <v>159</v>
      </c>
      <c r="F724" s="44" t="s">
        <v>39</v>
      </c>
      <c r="G724" s="44" t="s">
        <v>120</v>
      </c>
      <c r="H724" s="44" t="s">
        <v>43</v>
      </c>
      <c r="I724" s="44" t="s">
        <v>43</v>
      </c>
      <c r="J724" s="44" t="s">
        <v>7</v>
      </c>
      <c r="K724" s="44" t="s">
        <v>140</v>
      </c>
      <c r="L724" s="40">
        <v>19452</v>
      </c>
      <c r="M724" s="41">
        <v>41851</v>
      </c>
      <c r="N724" s="40" t="s">
        <v>122</v>
      </c>
      <c r="O724" s="42"/>
      <c r="P724" s="40">
        <v>63</v>
      </c>
      <c r="Q724" s="145">
        <v>0</v>
      </c>
      <c r="R724" s="145">
        <v>0</v>
      </c>
      <c r="S724" s="145">
        <v>0</v>
      </c>
      <c r="T724" s="145">
        <v>0</v>
      </c>
      <c r="U724" s="145">
        <v>0</v>
      </c>
    </row>
    <row r="725" spans="1:21" x14ac:dyDescent="0.2">
      <c r="A725" s="89">
        <f t="shared" si="11"/>
        <v>717</v>
      </c>
      <c r="B725" s="43">
        <v>20</v>
      </c>
      <c r="C725" s="43">
        <v>14</v>
      </c>
      <c r="D725" s="38" t="s">
        <v>625</v>
      </c>
      <c r="E725" s="44" t="s">
        <v>161</v>
      </c>
      <c r="F725" s="44" t="s">
        <v>6</v>
      </c>
      <c r="G725" s="44" t="s">
        <v>120</v>
      </c>
      <c r="H725" s="44" t="s">
        <v>48</v>
      </c>
      <c r="I725" s="44" t="s">
        <v>48</v>
      </c>
      <c r="J725" s="44" t="s">
        <v>7</v>
      </c>
      <c r="K725" s="44" t="s">
        <v>140</v>
      </c>
      <c r="L725" s="40">
        <v>19453</v>
      </c>
      <c r="M725" s="41">
        <v>41851</v>
      </c>
      <c r="N725" s="40" t="s">
        <v>122</v>
      </c>
      <c r="O725" s="42"/>
      <c r="P725" s="40">
        <v>63</v>
      </c>
      <c r="Q725" s="145">
        <v>0</v>
      </c>
      <c r="R725" s="145">
        <v>0</v>
      </c>
      <c r="S725" s="145">
        <v>0</v>
      </c>
      <c r="T725" s="145">
        <v>0</v>
      </c>
      <c r="U725" s="145">
        <v>0</v>
      </c>
    </row>
    <row r="726" spans="1:21" x14ac:dyDescent="0.2">
      <c r="A726" s="89">
        <f t="shared" si="11"/>
        <v>718</v>
      </c>
      <c r="B726" s="43">
        <v>20</v>
      </c>
      <c r="C726" s="43">
        <v>15</v>
      </c>
      <c r="D726" s="38" t="s">
        <v>626</v>
      </c>
      <c r="E726" s="44" t="s">
        <v>163</v>
      </c>
      <c r="F726" s="44" t="s">
        <v>20</v>
      </c>
      <c r="G726" s="44" t="s">
        <v>120</v>
      </c>
      <c r="H726" s="44" t="s">
        <v>23</v>
      </c>
      <c r="I726" s="44" t="s">
        <v>164</v>
      </c>
      <c r="J726" s="44" t="s">
        <v>24</v>
      </c>
      <c r="K726" s="44" t="s">
        <v>140</v>
      </c>
      <c r="L726" s="40">
        <v>19454</v>
      </c>
      <c r="M726" s="41">
        <v>41851</v>
      </c>
      <c r="N726" s="40" t="s">
        <v>122</v>
      </c>
      <c r="O726" s="42"/>
      <c r="P726" s="40">
        <v>63</v>
      </c>
      <c r="Q726" s="145">
        <v>0</v>
      </c>
      <c r="R726" s="145">
        <v>0</v>
      </c>
      <c r="S726" s="145">
        <v>0</v>
      </c>
      <c r="T726" s="145">
        <v>0</v>
      </c>
      <c r="U726" s="145">
        <v>0</v>
      </c>
    </row>
    <row r="727" spans="1:21" x14ac:dyDescent="0.2">
      <c r="A727" s="89">
        <f t="shared" si="11"/>
        <v>719</v>
      </c>
      <c r="B727" s="43">
        <v>20</v>
      </c>
      <c r="C727" s="43">
        <v>16</v>
      </c>
      <c r="D727" s="38" t="s">
        <v>627</v>
      </c>
      <c r="E727" s="44" t="s">
        <v>166</v>
      </c>
      <c r="F727" s="44" t="s">
        <v>20</v>
      </c>
      <c r="G727" s="44" t="s">
        <v>120</v>
      </c>
      <c r="H727" s="44" t="s">
        <v>64</v>
      </c>
      <c r="I727" s="44" t="s">
        <v>167</v>
      </c>
      <c r="J727" s="44" t="s">
        <v>7</v>
      </c>
      <c r="K727" s="44" t="s">
        <v>140</v>
      </c>
      <c r="L727" s="40">
        <v>19455</v>
      </c>
      <c r="M727" s="41">
        <v>41851</v>
      </c>
      <c r="N727" s="40" t="s">
        <v>122</v>
      </c>
      <c r="O727" s="42"/>
      <c r="P727" s="40">
        <v>63</v>
      </c>
      <c r="Q727" s="145">
        <v>0</v>
      </c>
      <c r="R727" s="145">
        <v>0</v>
      </c>
      <c r="S727" s="145">
        <v>0</v>
      </c>
      <c r="T727" s="145">
        <v>0</v>
      </c>
      <c r="U727" s="145">
        <v>0</v>
      </c>
    </row>
    <row r="728" spans="1:21" x14ac:dyDescent="0.2">
      <c r="A728" s="89">
        <f t="shared" si="11"/>
        <v>720</v>
      </c>
      <c r="B728" s="43">
        <v>20</v>
      </c>
      <c r="C728" s="43">
        <v>17</v>
      </c>
      <c r="D728" s="38" t="s">
        <v>628</v>
      </c>
      <c r="E728" s="44" t="s">
        <v>169</v>
      </c>
      <c r="F728" s="44" t="s">
        <v>31</v>
      </c>
      <c r="G728" s="44" t="s">
        <v>120</v>
      </c>
      <c r="H728" s="44" t="s">
        <v>35</v>
      </c>
      <c r="I728" s="44" t="s">
        <v>35</v>
      </c>
      <c r="J728" s="44" t="s">
        <v>9</v>
      </c>
      <c r="K728" s="44" t="s">
        <v>135</v>
      </c>
      <c r="L728" s="40">
        <v>19456</v>
      </c>
      <c r="M728" s="41">
        <v>41851</v>
      </c>
      <c r="N728" s="40" t="s">
        <v>122</v>
      </c>
      <c r="O728" s="42"/>
      <c r="P728" s="40">
        <v>63</v>
      </c>
      <c r="Q728" s="145">
        <v>0</v>
      </c>
      <c r="R728" s="145">
        <v>0</v>
      </c>
      <c r="S728" s="145">
        <v>0</v>
      </c>
      <c r="T728" s="145">
        <v>0</v>
      </c>
      <c r="U728" s="145">
        <v>0</v>
      </c>
    </row>
    <row r="729" spans="1:21" x14ac:dyDescent="0.2">
      <c r="A729" s="89">
        <f t="shared" si="11"/>
        <v>721</v>
      </c>
      <c r="B729" s="43">
        <v>20</v>
      </c>
      <c r="C729" s="43">
        <v>18</v>
      </c>
      <c r="D729" s="38" t="s">
        <v>629</v>
      </c>
      <c r="E729" s="44" t="s">
        <v>171</v>
      </c>
      <c r="F729" s="44" t="s">
        <v>31</v>
      </c>
      <c r="G729" s="44" t="s">
        <v>120</v>
      </c>
      <c r="H729" s="44" t="s">
        <v>35</v>
      </c>
      <c r="I729" s="44" t="s">
        <v>35</v>
      </c>
      <c r="J729" s="44" t="s">
        <v>10</v>
      </c>
      <c r="K729" s="44" t="s">
        <v>132</v>
      </c>
      <c r="L729" s="40">
        <v>19457</v>
      </c>
      <c r="M729" s="41">
        <v>41851</v>
      </c>
      <c r="N729" s="40" t="s">
        <v>122</v>
      </c>
      <c r="O729" s="42"/>
      <c r="P729" s="40">
        <v>63</v>
      </c>
      <c r="Q729" s="145">
        <v>0</v>
      </c>
      <c r="R729" s="145">
        <v>0</v>
      </c>
      <c r="S729" s="145">
        <v>0</v>
      </c>
      <c r="T729" s="145">
        <v>0</v>
      </c>
      <c r="U729" s="145">
        <v>0</v>
      </c>
    </row>
    <row r="730" spans="1:21" x14ac:dyDescent="0.2">
      <c r="A730" s="89">
        <f t="shared" si="11"/>
        <v>722</v>
      </c>
      <c r="B730" s="43">
        <v>20</v>
      </c>
      <c r="C730" s="43">
        <v>19</v>
      </c>
      <c r="D730" s="38" t="s">
        <v>630</v>
      </c>
      <c r="E730" s="44" t="s">
        <v>173</v>
      </c>
      <c r="F730" s="44" t="s">
        <v>31</v>
      </c>
      <c r="G730" s="44" t="s">
        <v>120</v>
      </c>
      <c r="H730" s="44" t="s">
        <v>35</v>
      </c>
      <c r="I730" s="44" t="s">
        <v>35</v>
      </c>
      <c r="J730" s="44" t="s">
        <v>11</v>
      </c>
      <c r="K730" s="44" t="s">
        <v>129</v>
      </c>
      <c r="L730" s="40">
        <v>19458</v>
      </c>
      <c r="M730" s="41">
        <v>41851</v>
      </c>
      <c r="N730" s="40" t="s">
        <v>122</v>
      </c>
      <c r="O730" s="42"/>
      <c r="P730" s="40">
        <v>63</v>
      </c>
      <c r="Q730" s="145">
        <v>0</v>
      </c>
      <c r="R730" s="145">
        <v>0</v>
      </c>
      <c r="S730" s="145">
        <v>0</v>
      </c>
      <c r="T730" s="145">
        <v>0</v>
      </c>
      <c r="U730" s="145">
        <v>0</v>
      </c>
    </row>
    <row r="731" spans="1:21" x14ac:dyDescent="0.2">
      <c r="A731" s="89">
        <f t="shared" si="11"/>
        <v>723</v>
      </c>
      <c r="B731" s="43">
        <v>20</v>
      </c>
      <c r="C731" s="43">
        <v>20</v>
      </c>
      <c r="D731" s="38" t="s">
        <v>631</v>
      </c>
      <c r="E731" s="44" t="s">
        <v>175</v>
      </c>
      <c r="F731" s="44" t="s">
        <v>6</v>
      </c>
      <c r="G731" s="44" t="s">
        <v>120</v>
      </c>
      <c r="H731" s="44" t="s">
        <v>176</v>
      </c>
      <c r="I731" s="44" t="s">
        <v>177</v>
      </c>
      <c r="J731" s="44" t="s">
        <v>9</v>
      </c>
      <c r="K731" s="44" t="s">
        <v>135</v>
      </c>
      <c r="L731" s="40">
        <v>19460</v>
      </c>
      <c r="M731" s="41">
        <v>41851</v>
      </c>
      <c r="N731" s="40" t="s">
        <v>122</v>
      </c>
      <c r="O731" s="42"/>
      <c r="P731" s="40">
        <v>63</v>
      </c>
      <c r="Q731" s="145">
        <v>0</v>
      </c>
      <c r="R731" s="145">
        <v>0</v>
      </c>
      <c r="S731" s="145">
        <v>0</v>
      </c>
      <c r="T731" s="145">
        <v>0</v>
      </c>
      <c r="U731" s="145">
        <v>0</v>
      </c>
    </row>
    <row r="732" spans="1:21" x14ac:dyDescent="0.2">
      <c r="A732" s="89">
        <f t="shared" si="11"/>
        <v>724</v>
      </c>
      <c r="B732" s="43">
        <v>20</v>
      </c>
      <c r="C732" s="43">
        <v>21</v>
      </c>
      <c r="D732" s="38" t="s">
        <v>632</v>
      </c>
      <c r="E732" s="44" t="s">
        <v>179</v>
      </c>
      <c r="F732" s="44" t="s">
        <v>6</v>
      </c>
      <c r="G732" s="44" t="s">
        <v>120</v>
      </c>
      <c r="H732" s="44" t="s">
        <v>176</v>
      </c>
      <c r="I732" s="44" t="s">
        <v>177</v>
      </c>
      <c r="J732" s="44" t="s">
        <v>10</v>
      </c>
      <c r="K732" s="44" t="s">
        <v>132</v>
      </c>
      <c r="L732" s="40">
        <v>19459</v>
      </c>
      <c r="M732" s="41">
        <v>41851</v>
      </c>
      <c r="N732" s="40" t="s">
        <v>122</v>
      </c>
      <c r="O732" s="42"/>
      <c r="P732" s="40">
        <v>63</v>
      </c>
      <c r="Q732" s="145">
        <v>0</v>
      </c>
      <c r="R732" s="145">
        <v>0</v>
      </c>
      <c r="S732" s="145">
        <v>0</v>
      </c>
      <c r="T732" s="145">
        <v>0</v>
      </c>
      <c r="U732" s="145">
        <v>0</v>
      </c>
    </row>
    <row r="733" spans="1:21" x14ac:dyDescent="0.2">
      <c r="A733" s="89">
        <f t="shared" si="11"/>
        <v>725</v>
      </c>
      <c r="B733" s="43">
        <v>20</v>
      </c>
      <c r="C733" s="43">
        <v>22</v>
      </c>
      <c r="D733" s="38" t="s">
        <v>633</v>
      </c>
      <c r="E733" s="44" t="s">
        <v>181</v>
      </c>
      <c r="F733" s="44" t="s">
        <v>6</v>
      </c>
      <c r="G733" s="44" t="s">
        <v>120</v>
      </c>
      <c r="H733" s="44" t="s">
        <v>176</v>
      </c>
      <c r="I733" s="44" t="s">
        <v>177</v>
      </c>
      <c r="J733" s="44" t="s">
        <v>11</v>
      </c>
      <c r="K733" s="44" t="s">
        <v>129</v>
      </c>
      <c r="L733" s="40">
        <v>19461</v>
      </c>
      <c r="M733" s="41">
        <v>41851</v>
      </c>
      <c r="N733" s="40" t="s">
        <v>122</v>
      </c>
      <c r="O733" s="42"/>
      <c r="P733" s="40">
        <v>63</v>
      </c>
      <c r="Q733" s="145">
        <v>0</v>
      </c>
      <c r="R733" s="145">
        <v>0</v>
      </c>
      <c r="S733" s="145">
        <v>0</v>
      </c>
      <c r="T733" s="145">
        <v>0</v>
      </c>
      <c r="U733" s="145">
        <v>0</v>
      </c>
    </row>
    <row r="734" spans="1:21" x14ac:dyDescent="0.2">
      <c r="A734" s="89">
        <f t="shared" si="11"/>
        <v>726</v>
      </c>
      <c r="B734" s="43">
        <v>20</v>
      </c>
      <c r="C734" s="43">
        <v>23</v>
      </c>
      <c r="D734" s="38" t="s">
        <v>634</v>
      </c>
      <c r="E734" s="44" t="s">
        <v>183</v>
      </c>
      <c r="F734" s="44" t="s">
        <v>6</v>
      </c>
      <c r="G734" s="44" t="s">
        <v>120</v>
      </c>
      <c r="H734" s="44" t="s">
        <v>13</v>
      </c>
      <c r="I734" s="44" t="s">
        <v>13</v>
      </c>
      <c r="J734" s="44" t="s">
        <v>7</v>
      </c>
      <c r="K734" s="44" t="s">
        <v>140</v>
      </c>
      <c r="L734" s="40">
        <v>19462</v>
      </c>
      <c r="M734" s="41">
        <v>41851</v>
      </c>
      <c r="N734" s="40" t="s">
        <v>122</v>
      </c>
      <c r="O734" s="42"/>
      <c r="P734" s="40">
        <v>63</v>
      </c>
      <c r="Q734" s="145">
        <v>0</v>
      </c>
      <c r="R734" s="145">
        <v>0</v>
      </c>
      <c r="S734" s="145">
        <v>0</v>
      </c>
      <c r="T734" s="145">
        <v>0</v>
      </c>
      <c r="U734" s="145">
        <v>0</v>
      </c>
    </row>
    <row r="735" spans="1:21" x14ac:dyDescent="0.2">
      <c r="A735" s="89">
        <f t="shared" si="11"/>
        <v>727</v>
      </c>
      <c r="B735" s="43">
        <v>20</v>
      </c>
      <c r="C735" s="43">
        <v>24</v>
      </c>
      <c r="D735" s="38" t="s">
        <v>635</v>
      </c>
      <c r="E735" s="44" t="s">
        <v>185</v>
      </c>
      <c r="F735" s="44" t="s">
        <v>6</v>
      </c>
      <c r="G735" s="44" t="s">
        <v>120</v>
      </c>
      <c r="H735" s="44" t="s">
        <v>12</v>
      </c>
      <c r="I735" s="44" t="s">
        <v>186</v>
      </c>
      <c r="J735" s="44" t="s">
        <v>9</v>
      </c>
      <c r="K735" s="44" t="s">
        <v>135</v>
      </c>
      <c r="L735" s="40">
        <v>19463</v>
      </c>
      <c r="M735" s="41">
        <v>41851</v>
      </c>
      <c r="N735" s="40" t="s">
        <v>122</v>
      </c>
      <c r="O735" s="42"/>
      <c r="P735" s="40">
        <v>63</v>
      </c>
      <c r="Q735" s="145">
        <v>0</v>
      </c>
      <c r="R735" s="145">
        <v>0</v>
      </c>
      <c r="S735" s="145">
        <v>0</v>
      </c>
      <c r="T735" s="145">
        <v>0</v>
      </c>
      <c r="U735" s="145">
        <v>0</v>
      </c>
    </row>
    <row r="736" spans="1:21" x14ac:dyDescent="0.2">
      <c r="A736" s="89">
        <f t="shared" si="11"/>
        <v>728</v>
      </c>
      <c r="B736" s="43">
        <v>20</v>
      </c>
      <c r="C736" s="43">
        <v>25</v>
      </c>
      <c r="D736" s="38" t="s">
        <v>636</v>
      </c>
      <c r="E736" s="44" t="s">
        <v>188</v>
      </c>
      <c r="F736" s="44" t="s">
        <v>6</v>
      </c>
      <c r="G736" s="44" t="s">
        <v>120</v>
      </c>
      <c r="H736" s="44" t="s">
        <v>12</v>
      </c>
      <c r="I736" s="44" t="s">
        <v>186</v>
      </c>
      <c r="J736" s="44" t="s">
        <v>10</v>
      </c>
      <c r="K736" s="44" t="s">
        <v>132</v>
      </c>
      <c r="L736" s="40">
        <v>19464</v>
      </c>
      <c r="M736" s="41">
        <v>41851</v>
      </c>
      <c r="N736" s="40" t="s">
        <v>122</v>
      </c>
      <c r="O736" s="42"/>
      <c r="P736" s="40">
        <v>63</v>
      </c>
      <c r="Q736" s="145">
        <v>0</v>
      </c>
      <c r="R736" s="145">
        <v>0</v>
      </c>
      <c r="S736" s="145">
        <v>0</v>
      </c>
      <c r="T736" s="145">
        <v>0</v>
      </c>
      <c r="U736" s="145">
        <v>0</v>
      </c>
    </row>
    <row r="737" spans="1:21" x14ac:dyDescent="0.2">
      <c r="A737" s="89">
        <f t="shared" si="11"/>
        <v>729</v>
      </c>
      <c r="B737" s="43">
        <v>20</v>
      </c>
      <c r="C737" s="43">
        <v>26</v>
      </c>
      <c r="D737" s="38" t="s">
        <v>637</v>
      </c>
      <c r="E737" s="44" t="s">
        <v>190</v>
      </c>
      <c r="F737" s="44" t="s">
        <v>6</v>
      </c>
      <c r="G737" s="44" t="s">
        <v>120</v>
      </c>
      <c r="H737" s="44" t="s">
        <v>12</v>
      </c>
      <c r="I737" s="44" t="s">
        <v>186</v>
      </c>
      <c r="J737" s="44" t="s">
        <v>11</v>
      </c>
      <c r="K737" s="44" t="s">
        <v>129</v>
      </c>
      <c r="L737" s="40">
        <v>19465</v>
      </c>
      <c r="M737" s="41">
        <v>41851</v>
      </c>
      <c r="N737" s="40" t="s">
        <v>122</v>
      </c>
      <c r="O737" s="42"/>
      <c r="P737" s="40">
        <v>63</v>
      </c>
      <c r="Q737" s="145">
        <v>0</v>
      </c>
      <c r="R737" s="145">
        <v>0</v>
      </c>
      <c r="S737" s="145">
        <v>0</v>
      </c>
      <c r="T737" s="145">
        <v>0</v>
      </c>
      <c r="U737" s="145">
        <v>0</v>
      </c>
    </row>
    <row r="738" spans="1:21" x14ac:dyDescent="0.2">
      <c r="A738" s="89">
        <f t="shared" si="11"/>
        <v>730</v>
      </c>
      <c r="B738" s="43">
        <v>20</v>
      </c>
      <c r="C738" s="43">
        <v>27</v>
      </c>
      <c r="D738" s="38" t="s">
        <v>638</v>
      </c>
      <c r="E738" s="44" t="s">
        <v>192</v>
      </c>
      <c r="F738" s="44" t="s">
        <v>6</v>
      </c>
      <c r="G738" s="44" t="s">
        <v>120</v>
      </c>
      <c r="H738" s="44" t="s">
        <v>100</v>
      </c>
      <c r="I738" s="44" t="s">
        <v>193</v>
      </c>
      <c r="J738" s="44" t="s">
        <v>7</v>
      </c>
      <c r="K738" s="44" t="s">
        <v>140</v>
      </c>
      <c r="L738" s="40">
        <v>19466</v>
      </c>
      <c r="M738" s="41">
        <v>41851</v>
      </c>
      <c r="N738" s="40" t="s">
        <v>122</v>
      </c>
      <c r="O738" s="42"/>
      <c r="P738" s="40">
        <v>63</v>
      </c>
      <c r="Q738" s="145">
        <v>0</v>
      </c>
      <c r="R738" s="145">
        <v>0</v>
      </c>
      <c r="S738" s="145">
        <v>0</v>
      </c>
      <c r="T738" s="145">
        <v>0</v>
      </c>
      <c r="U738" s="145">
        <v>0</v>
      </c>
    </row>
    <row r="739" spans="1:21" x14ac:dyDescent="0.2">
      <c r="A739" s="89">
        <f t="shared" si="11"/>
        <v>731</v>
      </c>
      <c r="B739" s="43">
        <v>20</v>
      </c>
      <c r="C739" s="43">
        <v>28</v>
      </c>
      <c r="D739" s="38" t="s">
        <v>639</v>
      </c>
      <c r="E739" s="44" t="s">
        <v>195</v>
      </c>
      <c r="F739" s="44" t="s">
        <v>39</v>
      </c>
      <c r="G739" s="44" t="s">
        <v>120</v>
      </c>
      <c r="H739" s="44" t="s">
        <v>44</v>
      </c>
      <c r="I739" s="44" t="s">
        <v>44</v>
      </c>
      <c r="J739" s="44" t="s">
        <v>7</v>
      </c>
      <c r="K739" s="44" t="s">
        <v>140</v>
      </c>
      <c r="L739" s="40">
        <v>19467</v>
      </c>
      <c r="M739" s="41">
        <v>41851</v>
      </c>
      <c r="N739" s="40" t="s">
        <v>122</v>
      </c>
      <c r="O739" s="42"/>
      <c r="P739" s="40">
        <v>63</v>
      </c>
      <c r="Q739" s="145">
        <v>0</v>
      </c>
      <c r="R739" s="145">
        <v>0</v>
      </c>
      <c r="S739" s="145">
        <v>0</v>
      </c>
      <c r="T739" s="145">
        <v>0</v>
      </c>
      <c r="U739" s="145">
        <v>0</v>
      </c>
    </row>
    <row r="740" spans="1:21" x14ac:dyDescent="0.2">
      <c r="A740" s="89">
        <f t="shared" si="11"/>
        <v>732</v>
      </c>
      <c r="B740" s="43">
        <v>20</v>
      </c>
      <c r="C740" s="43">
        <v>29</v>
      </c>
      <c r="D740" s="38" t="s">
        <v>640</v>
      </c>
      <c r="E740" s="44" t="s">
        <v>197</v>
      </c>
      <c r="F740" s="44" t="s">
        <v>39</v>
      </c>
      <c r="G740" s="44" t="s">
        <v>120</v>
      </c>
      <c r="H740" s="44" t="s">
        <v>44</v>
      </c>
      <c r="I740" s="44" t="s">
        <v>44</v>
      </c>
      <c r="J740" s="44" t="s">
        <v>45</v>
      </c>
      <c r="K740" s="44" t="s">
        <v>198</v>
      </c>
      <c r="L740" s="40">
        <v>19468</v>
      </c>
      <c r="M740" s="41">
        <v>41851</v>
      </c>
      <c r="N740" s="40" t="s">
        <v>122</v>
      </c>
      <c r="O740" s="42"/>
      <c r="P740" s="40">
        <v>63</v>
      </c>
      <c r="Q740" s="145">
        <v>0</v>
      </c>
      <c r="R740" s="145">
        <v>0</v>
      </c>
      <c r="S740" s="145">
        <v>0</v>
      </c>
      <c r="T740" s="145">
        <v>0</v>
      </c>
      <c r="U740" s="145">
        <v>0</v>
      </c>
    </row>
    <row r="741" spans="1:21" x14ac:dyDescent="0.2">
      <c r="A741" s="89">
        <f t="shared" si="11"/>
        <v>733</v>
      </c>
      <c r="B741" s="43">
        <v>20</v>
      </c>
      <c r="C741" s="43">
        <v>30</v>
      </c>
      <c r="D741" s="38" t="s">
        <v>641</v>
      </c>
      <c r="E741" s="44" t="s">
        <v>200</v>
      </c>
      <c r="F741" s="44" t="s">
        <v>39</v>
      </c>
      <c r="G741" s="44" t="s">
        <v>120</v>
      </c>
      <c r="H741" s="44" t="s">
        <v>44</v>
      </c>
      <c r="I741" s="44" t="s">
        <v>44</v>
      </c>
      <c r="J741" s="44" t="s">
        <v>46</v>
      </c>
      <c r="K741" s="44" t="s">
        <v>46</v>
      </c>
      <c r="L741" s="40">
        <v>19469</v>
      </c>
      <c r="M741" s="41">
        <v>41851</v>
      </c>
      <c r="N741" s="40" t="s">
        <v>122</v>
      </c>
      <c r="O741" s="42"/>
      <c r="P741" s="40">
        <v>63</v>
      </c>
      <c r="Q741" s="145">
        <v>0</v>
      </c>
      <c r="R741" s="145">
        <v>0</v>
      </c>
      <c r="S741" s="145">
        <v>0</v>
      </c>
      <c r="T741" s="145">
        <v>0</v>
      </c>
      <c r="U741" s="145">
        <v>0</v>
      </c>
    </row>
    <row r="742" spans="1:21" x14ac:dyDescent="0.2">
      <c r="A742" s="89">
        <f t="shared" si="11"/>
        <v>734</v>
      </c>
      <c r="B742" s="43">
        <v>20</v>
      </c>
      <c r="C742" s="43">
        <v>31</v>
      </c>
      <c r="D742" s="38" t="s">
        <v>642</v>
      </c>
      <c r="E742" s="44" t="s">
        <v>202</v>
      </c>
      <c r="F742" s="44" t="s">
        <v>39</v>
      </c>
      <c r="G742" s="44" t="s">
        <v>120</v>
      </c>
      <c r="H742" s="44" t="s">
        <v>47</v>
      </c>
      <c r="I742" s="44" t="s">
        <v>47</v>
      </c>
      <c r="J742" s="44" t="s">
        <v>7</v>
      </c>
      <c r="K742" s="44" t="s">
        <v>140</v>
      </c>
      <c r="L742" s="40">
        <v>19470</v>
      </c>
      <c r="M742" s="41">
        <v>41851</v>
      </c>
      <c r="N742" s="40" t="s">
        <v>122</v>
      </c>
      <c r="O742" s="42"/>
      <c r="P742" s="40">
        <v>63</v>
      </c>
      <c r="Q742" s="145">
        <v>0</v>
      </c>
      <c r="R742" s="145">
        <v>0</v>
      </c>
      <c r="S742" s="145">
        <v>0</v>
      </c>
      <c r="T742" s="145">
        <v>0</v>
      </c>
      <c r="U742" s="145">
        <v>0</v>
      </c>
    </row>
    <row r="743" spans="1:21" x14ac:dyDescent="0.2">
      <c r="A743" s="89">
        <f t="shared" si="11"/>
        <v>735</v>
      </c>
      <c r="B743" s="43">
        <v>20</v>
      </c>
      <c r="C743" s="43">
        <v>32</v>
      </c>
      <c r="D743" s="38" t="s">
        <v>643</v>
      </c>
      <c r="E743" s="44" t="s">
        <v>204</v>
      </c>
      <c r="F743" s="44" t="s">
        <v>6</v>
      </c>
      <c r="G743" s="44" t="s">
        <v>120</v>
      </c>
      <c r="H743" s="44" t="s">
        <v>14</v>
      </c>
      <c r="I743" s="44" t="s">
        <v>14</v>
      </c>
      <c r="J743" s="44" t="s">
        <v>15</v>
      </c>
      <c r="K743" s="44" t="s">
        <v>129</v>
      </c>
      <c r="L743" s="40">
        <v>19471</v>
      </c>
      <c r="M743" s="41">
        <v>41851</v>
      </c>
      <c r="N743" s="40" t="s">
        <v>122</v>
      </c>
      <c r="O743" s="42"/>
      <c r="P743" s="40">
        <v>63</v>
      </c>
      <c r="Q743" s="145">
        <v>0</v>
      </c>
      <c r="R743" s="145">
        <v>0</v>
      </c>
      <c r="S743" s="145">
        <v>0</v>
      </c>
      <c r="T743" s="145">
        <v>0</v>
      </c>
      <c r="U743" s="145">
        <v>0</v>
      </c>
    </row>
    <row r="744" spans="1:21" x14ac:dyDescent="0.2">
      <c r="A744" s="89">
        <f t="shared" si="11"/>
        <v>736</v>
      </c>
      <c r="B744" s="43">
        <v>20</v>
      </c>
      <c r="C744" s="43">
        <v>33</v>
      </c>
      <c r="D744" s="38" t="s">
        <v>644</v>
      </c>
      <c r="E744" s="44" t="s">
        <v>206</v>
      </c>
      <c r="F744" s="44" t="s">
        <v>6</v>
      </c>
      <c r="G744" s="44" t="s">
        <v>120</v>
      </c>
      <c r="H744" s="44" t="s">
        <v>14</v>
      </c>
      <c r="I744" s="44" t="s">
        <v>14</v>
      </c>
      <c r="J744" s="44" t="s">
        <v>16</v>
      </c>
      <c r="K744" s="44" t="s">
        <v>135</v>
      </c>
      <c r="L744" s="40">
        <v>19472</v>
      </c>
      <c r="M744" s="41">
        <v>41851</v>
      </c>
      <c r="N744" s="40" t="s">
        <v>122</v>
      </c>
      <c r="O744" s="42"/>
      <c r="P744" s="40">
        <v>63</v>
      </c>
      <c r="Q744" s="145">
        <v>0</v>
      </c>
      <c r="R744" s="145">
        <v>0</v>
      </c>
      <c r="S744" s="145">
        <v>0</v>
      </c>
      <c r="T744" s="145">
        <v>0</v>
      </c>
      <c r="U744" s="145">
        <v>0</v>
      </c>
    </row>
    <row r="745" spans="1:21" x14ac:dyDescent="0.2">
      <c r="A745" s="89">
        <f t="shared" si="11"/>
        <v>737</v>
      </c>
      <c r="B745" s="43">
        <v>20</v>
      </c>
      <c r="C745" s="43">
        <v>34</v>
      </c>
      <c r="D745" s="38" t="s">
        <v>645</v>
      </c>
      <c r="E745" s="44" t="s">
        <v>208</v>
      </c>
      <c r="F745" s="44" t="s">
        <v>31</v>
      </c>
      <c r="G745" s="44" t="s">
        <v>120</v>
      </c>
      <c r="H745" s="44" t="s">
        <v>36</v>
      </c>
      <c r="I745" s="44" t="s">
        <v>36</v>
      </c>
      <c r="J745" s="44" t="s">
        <v>37</v>
      </c>
      <c r="K745" s="44" t="s">
        <v>209</v>
      </c>
      <c r="L745" s="40">
        <v>19473</v>
      </c>
      <c r="M745" s="41">
        <v>41851</v>
      </c>
      <c r="N745" s="40" t="s">
        <v>122</v>
      </c>
      <c r="O745" s="42"/>
      <c r="P745" s="40">
        <v>63</v>
      </c>
      <c r="Q745" s="145">
        <v>0</v>
      </c>
      <c r="R745" s="145">
        <v>0</v>
      </c>
      <c r="S745" s="145">
        <v>0</v>
      </c>
      <c r="T745" s="145">
        <v>0</v>
      </c>
      <c r="U745" s="145">
        <v>0</v>
      </c>
    </row>
    <row r="746" spans="1:21" x14ac:dyDescent="0.2">
      <c r="A746" s="89">
        <f t="shared" si="11"/>
        <v>738</v>
      </c>
      <c r="B746" s="43">
        <v>20</v>
      </c>
      <c r="C746" s="43">
        <v>35</v>
      </c>
      <c r="D746" s="38" t="s">
        <v>646</v>
      </c>
      <c r="E746" s="44" t="s">
        <v>211</v>
      </c>
      <c r="F746" s="44" t="s">
        <v>31</v>
      </c>
      <c r="G746" s="44" t="s">
        <v>120</v>
      </c>
      <c r="H746" s="44" t="s">
        <v>36</v>
      </c>
      <c r="I746" s="44" t="s">
        <v>36</v>
      </c>
      <c r="J746" s="44" t="s">
        <v>38</v>
      </c>
      <c r="K746" s="44" t="s">
        <v>212</v>
      </c>
      <c r="L746" s="40">
        <v>19474</v>
      </c>
      <c r="M746" s="41">
        <v>41851</v>
      </c>
      <c r="N746" s="40" t="s">
        <v>122</v>
      </c>
      <c r="O746" s="42"/>
      <c r="P746" s="40">
        <v>63</v>
      </c>
      <c r="Q746" s="145">
        <v>0</v>
      </c>
      <c r="R746" s="145">
        <v>0</v>
      </c>
      <c r="S746" s="145">
        <v>0</v>
      </c>
      <c r="T746" s="145">
        <v>0</v>
      </c>
      <c r="U746" s="145">
        <v>0</v>
      </c>
    </row>
    <row r="747" spans="1:21" x14ac:dyDescent="0.2">
      <c r="A747" s="89">
        <f t="shared" si="11"/>
        <v>739</v>
      </c>
      <c r="B747" s="43">
        <v>20</v>
      </c>
      <c r="C747" s="43">
        <v>36</v>
      </c>
      <c r="D747" s="38" t="s">
        <v>647</v>
      </c>
      <c r="E747" s="44" t="s">
        <v>214</v>
      </c>
      <c r="F747" s="44" t="s">
        <v>6</v>
      </c>
      <c r="G747" s="44" t="s">
        <v>120</v>
      </c>
      <c r="H747" s="44" t="s">
        <v>17</v>
      </c>
      <c r="I747" s="44" t="s">
        <v>215</v>
      </c>
      <c r="J747" s="44" t="s">
        <v>18</v>
      </c>
      <c r="K747" s="44" t="s">
        <v>140</v>
      </c>
      <c r="L747" s="40">
        <v>19475</v>
      </c>
      <c r="M747" s="41">
        <v>41851</v>
      </c>
      <c r="N747" s="40" t="s">
        <v>122</v>
      </c>
      <c r="O747" s="42"/>
      <c r="P747" s="40">
        <v>63</v>
      </c>
      <c r="Q747" s="145">
        <v>0</v>
      </c>
      <c r="R747" s="145">
        <v>0</v>
      </c>
      <c r="S747" s="145">
        <v>0</v>
      </c>
      <c r="T747" s="145">
        <v>0</v>
      </c>
      <c r="U747" s="145">
        <v>0</v>
      </c>
    </row>
    <row r="748" spans="1:21" x14ac:dyDescent="0.2">
      <c r="A748" s="89">
        <f t="shared" si="11"/>
        <v>740</v>
      </c>
      <c r="B748" s="20"/>
      <c r="C748" s="20"/>
      <c r="D748" s="20"/>
    </row>
    <row r="749" spans="1:21" x14ac:dyDescent="0.2">
      <c r="A749" s="89">
        <f t="shared" si="11"/>
        <v>741</v>
      </c>
      <c r="B749" s="43">
        <v>21</v>
      </c>
      <c r="C749" s="43">
        <v>1</v>
      </c>
      <c r="D749" s="38" t="s">
        <v>612</v>
      </c>
      <c r="E749" s="44" t="s">
        <v>119</v>
      </c>
      <c r="F749" s="44" t="s">
        <v>31</v>
      </c>
      <c r="G749" s="44" t="s">
        <v>120</v>
      </c>
      <c r="H749" s="44" t="s">
        <v>32</v>
      </c>
      <c r="I749" s="44" t="s">
        <v>32</v>
      </c>
      <c r="J749" s="44" t="s">
        <v>33</v>
      </c>
      <c r="K749" s="44" t="s">
        <v>121</v>
      </c>
      <c r="L749" s="40">
        <v>19440</v>
      </c>
      <c r="M749" s="41">
        <v>41851</v>
      </c>
      <c r="N749" s="40" t="s">
        <v>122</v>
      </c>
      <c r="O749" s="42"/>
      <c r="P749" s="40">
        <v>64</v>
      </c>
      <c r="Q749" s="145">
        <v>0</v>
      </c>
      <c r="R749" s="145">
        <v>0</v>
      </c>
      <c r="S749" s="145">
        <v>0</v>
      </c>
      <c r="T749" s="145">
        <v>0</v>
      </c>
      <c r="U749" s="145">
        <v>0</v>
      </c>
    </row>
    <row r="750" spans="1:21" x14ac:dyDescent="0.2">
      <c r="A750" s="89">
        <f t="shared" si="11"/>
        <v>742</v>
      </c>
      <c r="B750" s="43">
        <v>21</v>
      </c>
      <c r="C750" s="43">
        <v>2</v>
      </c>
      <c r="D750" s="38" t="s">
        <v>613</v>
      </c>
      <c r="E750" s="44" t="s">
        <v>124</v>
      </c>
      <c r="F750" s="44" t="s">
        <v>31</v>
      </c>
      <c r="G750" s="44" t="s">
        <v>120</v>
      </c>
      <c r="H750" s="44" t="s">
        <v>32</v>
      </c>
      <c r="I750" s="44" t="s">
        <v>32</v>
      </c>
      <c r="J750" s="44" t="s">
        <v>34</v>
      </c>
      <c r="K750" s="44" t="s">
        <v>125</v>
      </c>
      <c r="L750" s="40">
        <v>19441</v>
      </c>
      <c r="M750" s="41">
        <v>41851</v>
      </c>
      <c r="N750" s="40" t="s">
        <v>122</v>
      </c>
      <c r="O750" s="42"/>
      <c r="P750" s="40">
        <v>64</v>
      </c>
      <c r="Q750" s="145">
        <v>0</v>
      </c>
      <c r="R750" s="145">
        <v>0</v>
      </c>
      <c r="S750" s="145">
        <v>0</v>
      </c>
      <c r="T750" s="145">
        <v>0</v>
      </c>
      <c r="U750" s="145">
        <v>0</v>
      </c>
    </row>
    <row r="751" spans="1:21" x14ac:dyDescent="0.2">
      <c r="A751" s="89">
        <f t="shared" si="11"/>
        <v>743</v>
      </c>
      <c r="B751" s="43">
        <v>21</v>
      </c>
      <c r="C751" s="43">
        <v>3</v>
      </c>
      <c r="D751" s="38" t="s">
        <v>614</v>
      </c>
      <c r="E751" s="44" t="s">
        <v>127</v>
      </c>
      <c r="F751" s="44" t="s">
        <v>20</v>
      </c>
      <c r="G751" s="44" t="s">
        <v>120</v>
      </c>
      <c r="H751" s="44" t="s">
        <v>63</v>
      </c>
      <c r="I751" s="44" t="s">
        <v>128</v>
      </c>
      <c r="J751" s="44" t="s">
        <v>15</v>
      </c>
      <c r="K751" s="44" t="s">
        <v>129</v>
      </c>
      <c r="L751" s="40">
        <v>19442</v>
      </c>
      <c r="M751" s="41">
        <v>41851</v>
      </c>
      <c r="N751" s="40" t="s">
        <v>122</v>
      </c>
      <c r="O751" s="42"/>
      <c r="P751" s="40">
        <v>64</v>
      </c>
      <c r="Q751" s="145">
        <v>0</v>
      </c>
      <c r="R751" s="145">
        <v>0</v>
      </c>
      <c r="S751" s="145">
        <v>0</v>
      </c>
      <c r="T751" s="145">
        <v>0</v>
      </c>
      <c r="U751" s="145">
        <v>0</v>
      </c>
    </row>
    <row r="752" spans="1:21" x14ac:dyDescent="0.2">
      <c r="A752" s="89">
        <f t="shared" si="11"/>
        <v>744</v>
      </c>
      <c r="B752" s="43">
        <v>21</v>
      </c>
      <c r="C752" s="43">
        <v>4</v>
      </c>
      <c r="D752" s="38" t="s">
        <v>615</v>
      </c>
      <c r="E752" s="44" t="s">
        <v>131</v>
      </c>
      <c r="F752" s="44" t="s">
        <v>20</v>
      </c>
      <c r="G752" s="44" t="s">
        <v>120</v>
      </c>
      <c r="H752" s="44" t="s">
        <v>63</v>
      </c>
      <c r="I752" s="44" t="s">
        <v>128</v>
      </c>
      <c r="J752" s="44" t="s">
        <v>21</v>
      </c>
      <c r="K752" s="44" t="s">
        <v>132</v>
      </c>
      <c r="L752" s="40">
        <v>19443</v>
      </c>
      <c r="M752" s="41">
        <v>41851</v>
      </c>
      <c r="N752" s="40" t="s">
        <v>122</v>
      </c>
      <c r="O752" s="42"/>
      <c r="P752" s="40">
        <v>64</v>
      </c>
      <c r="Q752" s="145">
        <v>0</v>
      </c>
      <c r="R752" s="145">
        <v>0</v>
      </c>
      <c r="S752" s="145">
        <v>0</v>
      </c>
      <c r="T752" s="145">
        <v>0</v>
      </c>
      <c r="U752" s="145">
        <v>0</v>
      </c>
    </row>
    <row r="753" spans="1:21" x14ac:dyDescent="0.2">
      <c r="A753" s="89">
        <f t="shared" si="11"/>
        <v>745</v>
      </c>
      <c r="B753" s="43">
        <v>21</v>
      </c>
      <c r="C753" s="43">
        <v>5</v>
      </c>
      <c r="D753" s="38" t="s">
        <v>616</v>
      </c>
      <c r="E753" s="44" t="s">
        <v>134</v>
      </c>
      <c r="F753" s="44" t="s">
        <v>20</v>
      </c>
      <c r="G753" s="44" t="s">
        <v>120</v>
      </c>
      <c r="H753" s="44" t="s">
        <v>63</v>
      </c>
      <c r="I753" s="44" t="s">
        <v>128</v>
      </c>
      <c r="J753" s="44" t="s">
        <v>16</v>
      </c>
      <c r="K753" s="44" t="s">
        <v>135</v>
      </c>
      <c r="L753" s="40">
        <v>19444</v>
      </c>
      <c r="M753" s="41">
        <v>41851</v>
      </c>
      <c r="N753" s="40" t="s">
        <v>122</v>
      </c>
      <c r="O753" s="42"/>
      <c r="P753" s="40">
        <v>64</v>
      </c>
      <c r="Q753" s="145">
        <v>0</v>
      </c>
      <c r="R753" s="145">
        <v>0</v>
      </c>
      <c r="S753" s="145">
        <v>0</v>
      </c>
      <c r="T753" s="145">
        <v>0</v>
      </c>
      <c r="U753" s="145">
        <v>0</v>
      </c>
    </row>
    <row r="754" spans="1:21" x14ac:dyDescent="0.2">
      <c r="A754" s="89">
        <f t="shared" si="11"/>
        <v>746</v>
      </c>
      <c r="B754" s="43">
        <v>21</v>
      </c>
      <c r="C754" s="43">
        <v>6</v>
      </c>
      <c r="D754" s="38" t="s">
        <v>617</v>
      </c>
      <c r="E754" s="44" t="s">
        <v>137</v>
      </c>
      <c r="F754" s="44" t="s">
        <v>25</v>
      </c>
      <c r="G754" s="44" t="s">
        <v>138</v>
      </c>
      <c r="H754" s="44" t="s">
        <v>139</v>
      </c>
      <c r="I754" s="44" t="s">
        <v>29</v>
      </c>
      <c r="J754" s="44" t="s">
        <v>30</v>
      </c>
      <c r="K754" s="44" t="s">
        <v>140</v>
      </c>
      <c r="L754" s="40">
        <v>19445</v>
      </c>
      <c r="M754" s="41">
        <v>41851</v>
      </c>
      <c r="N754" s="40" t="s">
        <v>122</v>
      </c>
      <c r="O754" s="42"/>
      <c r="P754" s="40">
        <v>64</v>
      </c>
      <c r="Q754" s="145">
        <v>0</v>
      </c>
      <c r="R754" s="145">
        <v>0</v>
      </c>
      <c r="S754" s="145">
        <v>0</v>
      </c>
      <c r="T754" s="145">
        <v>0</v>
      </c>
      <c r="U754" s="145">
        <v>0</v>
      </c>
    </row>
    <row r="755" spans="1:21" x14ac:dyDescent="0.2">
      <c r="A755" s="89">
        <f t="shared" si="11"/>
        <v>747</v>
      </c>
      <c r="B755" s="43">
        <v>21</v>
      </c>
      <c r="C755" s="43">
        <v>7</v>
      </c>
      <c r="D755" s="38" t="s">
        <v>618</v>
      </c>
      <c r="E755" s="44" t="s">
        <v>142</v>
      </c>
      <c r="F755" s="44" t="s">
        <v>39</v>
      </c>
      <c r="G755" s="44" t="s">
        <v>120</v>
      </c>
      <c r="H755" s="44" t="s">
        <v>40</v>
      </c>
      <c r="I755" s="44" t="s">
        <v>40</v>
      </c>
      <c r="J755" s="44" t="s">
        <v>42</v>
      </c>
      <c r="K755" s="44" t="s">
        <v>135</v>
      </c>
      <c r="L755" s="40">
        <v>19447</v>
      </c>
      <c r="M755" s="41">
        <v>41851</v>
      </c>
      <c r="N755" s="40" t="s">
        <v>122</v>
      </c>
      <c r="O755" s="42"/>
      <c r="P755" s="40">
        <v>64</v>
      </c>
      <c r="Q755" s="145">
        <v>0</v>
      </c>
      <c r="R755" s="145">
        <v>0</v>
      </c>
      <c r="S755" s="145">
        <v>0</v>
      </c>
      <c r="T755" s="145">
        <v>0</v>
      </c>
      <c r="U755" s="145">
        <v>0</v>
      </c>
    </row>
    <row r="756" spans="1:21" x14ac:dyDescent="0.2">
      <c r="A756" s="89">
        <f t="shared" si="11"/>
        <v>748</v>
      </c>
      <c r="B756" s="43">
        <v>21</v>
      </c>
      <c r="C756" s="43">
        <v>8</v>
      </c>
      <c r="D756" s="38" t="s">
        <v>619</v>
      </c>
      <c r="E756" s="44" t="s">
        <v>144</v>
      </c>
      <c r="F756" s="44" t="s">
        <v>39</v>
      </c>
      <c r="G756" s="44" t="s">
        <v>120</v>
      </c>
      <c r="H756" s="44" t="s">
        <v>40</v>
      </c>
      <c r="I756" s="44" t="s">
        <v>40</v>
      </c>
      <c r="J756" s="44" t="s">
        <v>41</v>
      </c>
      <c r="K756" s="44" t="s">
        <v>132</v>
      </c>
      <c r="L756" s="40">
        <v>19446</v>
      </c>
      <c r="M756" s="41">
        <v>41851</v>
      </c>
      <c r="N756" s="40" t="s">
        <v>122</v>
      </c>
      <c r="O756" s="42"/>
      <c r="P756" s="40">
        <v>64</v>
      </c>
      <c r="Q756" s="145">
        <v>0</v>
      </c>
      <c r="R756" s="145">
        <v>0</v>
      </c>
      <c r="S756" s="145">
        <v>0</v>
      </c>
      <c r="T756" s="145">
        <v>0</v>
      </c>
      <c r="U756" s="145">
        <v>0</v>
      </c>
    </row>
    <row r="757" spans="1:21" x14ac:dyDescent="0.2">
      <c r="A757" s="89">
        <f t="shared" si="11"/>
        <v>749</v>
      </c>
      <c r="B757" s="43">
        <v>21</v>
      </c>
      <c r="C757" s="43">
        <v>9</v>
      </c>
      <c r="D757" s="38" t="s">
        <v>620</v>
      </c>
      <c r="E757" s="44" t="s">
        <v>146</v>
      </c>
      <c r="F757" s="44" t="s">
        <v>39</v>
      </c>
      <c r="G757" s="44" t="s">
        <v>120</v>
      </c>
      <c r="H757" s="44" t="s">
        <v>40</v>
      </c>
      <c r="I757" s="44" t="s">
        <v>40</v>
      </c>
      <c r="J757" s="44" t="s">
        <v>7</v>
      </c>
      <c r="K757" s="44" t="s">
        <v>129</v>
      </c>
      <c r="L757" s="40">
        <v>19448</v>
      </c>
      <c r="M757" s="41">
        <v>41851</v>
      </c>
      <c r="N757" s="40" t="s">
        <v>122</v>
      </c>
      <c r="O757" s="42"/>
      <c r="P757" s="40">
        <v>64</v>
      </c>
      <c r="Q757" s="145">
        <v>0</v>
      </c>
      <c r="R757" s="145">
        <v>0</v>
      </c>
      <c r="S757" s="145">
        <v>0</v>
      </c>
      <c r="T757" s="145">
        <v>0</v>
      </c>
      <c r="U757" s="145">
        <v>0</v>
      </c>
    </row>
    <row r="758" spans="1:21" x14ac:dyDescent="0.2">
      <c r="A758" s="89">
        <f t="shared" si="11"/>
        <v>750</v>
      </c>
      <c r="B758" s="43">
        <v>21</v>
      </c>
      <c r="C758" s="43">
        <v>10</v>
      </c>
      <c r="D758" s="38" t="s">
        <v>621</v>
      </c>
      <c r="E758" s="44" t="s">
        <v>148</v>
      </c>
      <c r="F758" s="44" t="s">
        <v>25</v>
      </c>
      <c r="G758" s="44" t="s">
        <v>120</v>
      </c>
      <c r="H758" s="44" t="s">
        <v>149</v>
      </c>
      <c r="I758" s="44" t="s">
        <v>26</v>
      </c>
      <c r="J758" s="44" t="s">
        <v>27</v>
      </c>
      <c r="K758" s="44" t="s">
        <v>150</v>
      </c>
      <c r="L758" s="40">
        <v>19449</v>
      </c>
      <c r="M758" s="41">
        <v>41851</v>
      </c>
      <c r="N758" s="40" t="s">
        <v>122</v>
      </c>
      <c r="O758" s="42"/>
      <c r="P758" s="40">
        <v>64</v>
      </c>
      <c r="Q758" s="145">
        <v>0</v>
      </c>
      <c r="R758" s="145">
        <v>0</v>
      </c>
      <c r="S758" s="145">
        <v>0</v>
      </c>
      <c r="T758" s="145">
        <v>0</v>
      </c>
      <c r="U758" s="145">
        <v>0</v>
      </c>
    </row>
    <row r="759" spans="1:21" x14ac:dyDescent="0.2">
      <c r="A759" s="89">
        <f t="shared" si="11"/>
        <v>751</v>
      </c>
      <c r="B759" s="43">
        <v>21</v>
      </c>
      <c r="C759" s="43">
        <v>11</v>
      </c>
      <c r="D759" s="38" t="s">
        <v>622</v>
      </c>
      <c r="E759" s="44" t="s">
        <v>152</v>
      </c>
      <c r="F759" s="44" t="s">
        <v>25</v>
      </c>
      <c r="G759" s="44" t="s">
        <v>120</v>
      </c>
      <c r="H759" s="44" t="s">
        <v>149</v>
      </c>
      <c r="I759" s="44" t="s">
        <v>26</v>
      </c>
      <c r="J759" s="44" t="s">
        <v>28</v>
      </c>
      <c r="K759" s="44" t="s">
        <v>153</v>
      </c>
      <c r="L759" s="40">
        <v>19450</v>
      </c>
      <c r="M759" s="41">
        <v>41851</v>
      </c>
      <c r="N759" s="40" t="s">
        <v>122</v>
      </c>
      <c r="O759" s="42"/>
      <c r="P759" s="40">
        <v>64</v>
      </c>
      <c r="Q759" s="145">
        <v>0</v>
      </c>
      <c r="R759" s="145">
        <v>0</v>
      </c>
      <c r="S759" s="145">
        <v>0</v>
      </c>
      <c r="T759" s="145">
        <v>0</v>
      </c>
      <c r="U759" s="145">
        <v>0</v>
      </c>
    </row>
    <row r="760" spans="1:21" x14ac:dyDescent="0.2">
      <c r="A760" s="89">
        <f t="shared" si="11"/>
        <v>752</v>
      </c>
      <c r="B760" s="43">
        <v>21</v>
      </c>
      <c r="C760" s="43">
        <v>12</v>
      </c>
      <c r="D760" s="38" t="s">
        <v>623</v>
      </c>
      <c r="E760" s="44" t="s">
        <v>155</v>
      </c>
      <c r="F760" s="44" t="s">
        <v>20</v>
      </c>
      <c r="G760" s="44" t="s">
        <v>120</v>
      </c>
      <c r="H760" s="44" t="s">
        <v>105</v>
      </c>
      <c r="I760" s="44" t="s">
        <v>156</v>
      </c>
      <c r="J760" s="44" t="s">
        <v>22</v>
      </c>
      <c r="K760" s="44" t="s">
        <v>157</v>
      </c>
      <c r="L760" s="40">
        <v>19451</v>
      </c>
      <c r="M760" s="41">
        <v>41851</v>
      </c>
      <c r="N760" s="40" t="s">
        <v>122</v>
      </c>
      <c r="O760" s="42"/>
      <c r="P760" s="40">
        <v>64</v>
      </c>
      <c r="Q760" s="145">
        <v>0</v>
      </c>
      <c r="R760" s="145">
        <v>0</v>
      </c>
      <c r="S760" s="145">
        <v>0</v>
      </c>
      <c r="T760" s="145">
        <v>0</v>
      </c>
      <c r="U760" s="145">
        <v>0</v>
      </c>
    </row>
    <row r="761" spans="1:21" x14ac:dyDescent="0.2">
      <c r="A761" s="89">
        <f t="shared" si="11"/>
        <v>753</v>
      </c>
      <c r="B761" s="43">
        <v>21</v>
      </c>
      <c r="C761" s="43">
        <v>13</v>
      </c>
      <c r="D761" s="38" t="s">
        <v>624</v>
      </c>
      <c r="E761" s="44" t="s">
        <v>159</v>
      </c>
      <c r="F761" s="44" t="s">
        <v>39</v>
      </c>
      <c r="G761" s="44" t="s">
        <v>120</v>
      </c>
      <c r="H761" s="44" t="s">
        <v>43</v>
      </c>
      <c r="I761" s="44" t="s">
        <v>43</v>
      </c>
      <c r="J761" s="44" t="s">
        <v>7</v>
      </c>
      <c r="K761" s="44" t="s">
        <v>140</v>
      </c>
      <c r="L761" s="40">
        <v>19452</v>
      </c>
      <c r="M761" s="41">
        <v>41851</v>
      </c>
      <c r="N761" s="40" t="s">
        <v>122</v>
      </c>
      <c r="O761" s="42"/>
      <c r="P761" s="40">
        <v>64</v>
      </c>
      <c r="Q761" s="145">
        <v>0</v>
      </c>
      <c r="R761" s="145">
        <v>0</v>
      </c>
      <c r="S761" s="145">
        <v>0</v>
      </c>
      <c r="T761" s="145">
        <v>0</v>
      </c>
      <c r="U761" s="145">
        <v>0</v>
      </c>
    </row>
    <row r="762" spans="1:21" x14ac:dyDescent="0.2">
      <c r="A762" s="89">
        <f t="shared" si="11"/>
        <v>754</v>
      </c>
      <c r="B762" s="43">
        <v>21</v>
      </c>
      <c r="C762" s="43">
        <v>14</v>
      </c>
      <c r="D762" s="38" t="s">
        <v>625</v>
      </c>
      <c r="E762" s="44" t="s">
        <v>161</v>
      </c>
      <c r="F762" s="44" t="s">
        <v>6</v>
      </c>
      <c r="G762" s="44" t="s">
        <v>120</v>
      </c>
      <c r="H762" s="44" t="s">
        <v>48</v>
      </c>
      <c r="I762" s="44" t="s">
        <v>48</v>
      </c>
      <c r="J762" s="44" t="s">
        <v>7</v>
      </c>
      <c r="K762" s="44" t="s">
        <v>140</v>
      </c>
      <c r="L762" s="40">
        <v>19453</v>
      </c>
      <c r="M762" s="41">
        <v>41851</v>
      </c>
      <c r="N762" s="40" t="s">
        <v>122</v>
      </c>
      <c r="O762" s="42"/>
      <c r="P762" s="40">
        <v>64</v>
      </c>
      <c r="Q762" s="145">
        <v>0</v>
      </c>
      <c r="R762" s="145">
        <v>0</v>
      </c>
      <c r="S762" s="145">
        <v>0</v>
      </c>
      <c r="T762" s="145">
        <v>0</v>
      </c>
      <c r="U762" s="145">
        <v>0</v>
      </c>
    </row>
    <row r="763" spans="1:21" x14ac:dyDescent="0.2">
      <c r="A763" s="89">
        <f t="shared" si="11"/>
        <v>755</v>
      </c>
      <c r="B763" s="43">
        <v>21</v>
      </c>
      <c r="C763" s="43">
        <v>15</v>
      </c>
      <c r="D763" s="38" t="s">
        <v>626</v>
      </c>
      <c r="E763" s="44" t="s">
        <v>163</v>
      </c>
      <c r="F763" s="44" t="s">
        <v>20</v>
      </c>
      <c r="G763" s="44" t="s">
        <v>120</v>
      </c>
      <c r="H763" s="44" t="s">
        <v>23</v>
      </c>
      <c r="I763" s="44" t="s">
        <v>164</v>
      </c>
      <c r="J763" s="44" t="s">
        <v>24</v>
      </c>
      <c r="K763" s="44" t="s">
        <v>140</v>
      </c>
      <c r="L763" s="40">
        <v>19454</v>
      </c>
      <c r="M763" s="41">
        <v>41851</v>
      </c>
      <c r="N763" s="40" t="s">
        <v>122</v>
      </c>
      <c r="O763" s="42"/>
      <c r="P763" s="40">
        <v>64</v>
      </c>
      <c r="Q763" s="145">
        <v>0</v>
      </c>
      <c r="R763" s="145">
        <v>0</v>
      </c>
      <c r="S763" s="145">
        <v>0</v>
      </c>
      <c r="T763" s="145">
        <v>0</v>
      </c>
      <c r="U763" s="145">
        <v>0</v>
      </c>
    </row>
    <row r="764" spans="1:21" x14ac:dyDescent="0.2">
      <c r="A764" s="89">
        <f t="shared" si="11"/>
        <v>756</v>
      </c>
      <c r="B764" s="43">
        <v>21</v>
      </c>
      <c r="C764" s="43">
        <v>16</v>
      </c>
      <c r="D764" s="38" t="s">
        <v>627</v>
      </c>
      <c r="E764" s="44" t="s">
        <v>166</v>
      </c>
      <c r="F764" s="44" t="s">
        <v>20</v>
      </c>
      <c r="G764" s="44" t="s">
        <v>120</v>
      </c>
      <c r="H764" s="44" t="s">
        <v>64</v>
      </c>
      <c r="I764" s="44" t="s">
        <v>167</v>
      </c>
      <c r="J764" s="44" t="s">
        <v>7</v>
      </c>
      <c r="K764" s="44" t="s">
        <v>140</v>
      </c>
      <c r="L764" s="40">
        <v>19455</v>
      </c>
      <c r="M764" s="41">
        <v>41851</v>
      </c>
      <c r="N764" s="40" t="s">
        <v>122</v>
      </c>
      <c r="O764" s="42"/>
      <c r="P764" s="40">
        <v>64</v>
      </c>
      <c r="Q764" s="145">
        <v>0</v>
      </c>
      <c r="R764" s="145">
        <v>0</v>
      </c>
      <c r="S764" s="145">
        <v>0</v>
      </c>
      <c r="T764" s="145">
        <v>0</v>
      </c>
      <c r="U764" s="145">
        <v>0</v>
      </c>
    </row>
    <row r="765" spans="1:21" x14ac:dyDescent="0.2">
      <c r="A765" s="89">
        <f t="shared" si="11"/>
        <v>757</v>
      </c>
      <c r="B765" s="43">
        <v>21</v>
      </c>
      <c r="C765" s="43">
        <v>17</v>
      </c>
      <c r="D765" s="38" t="s">
        <v>628</v>
      </c>
      <c r="E765" s="44" t="s">
        <v>169</v>
      </c>
      <c r="F765" s="44" t="s">
        <v>31</v>
      </c>
      <c r="G765" s="44" t="s">
        <v>120</v>
      </c>
      <c r="H765" s="44" t="s">
        <v>35</v>
      </c>
      <c r="I765" s="44" t="s">
        <v>35</v>
      </c>
      <c r="J765" s="44" t="s">
        <v>9</v>
      </c>
      <c r="K765" s="44" t="s">
        <v>135</v>
      </c>
      <c r="L765" s="40">
        <v>19456</v>
      </c>
      <c r="M765" s="41">
        <v>41851</v>
      </c>
      <c r="N765" s="40" t="s">
        <v>122</v>
      </c>
      <c r="O765" s="42"/>
      <c r="P765" s="40">
        <v>64</v>
      </c>
      <c r="Q765" s="145">
        <v>0</v>
      </c>
      <c r="R765" s="145">
        <v>0</v>
      </c>
      <c r="S765" s="145">
        <v>0</v>
      </c>
      <c r="T765" s="145">
        <v>0</v>
      </c>
      <c r="U765" s="145">
        <v>0</v>
      </c>
    </row>
    <row r="766" spans="1:21" x14ac:dyDescent="0.2">
      <c r="A766" s="89">
        <f t="shared" si="11"/>
        <v>758</v>
      </c>
      <c r="B766" s="43">
        <v>21</v>
      </c>
      <c r="C766" s="43">
        <v>18</v>
      </c>
      <c r="D766" s="38" t="s">
        <v>629</v>
      </c>
      <c r="E766" s="44" t="s">
        <v>171</v>
      </c>
      <c r="F766" s="44" t="s">
        <v>31</v>
      </c>
      <c r="G766" s="44" t="s">
        <v>120</v>
      </c>
      <c r="H766" s="44" t="s">
        <v>35</v>
      </c>
      <c r="I766" s="44" t="s">
        <v>35</v>
      </c>
      <c r="J766" s="44" t="s">
        <v>10</v>
      </c>
      <c r="K766" s="44" t="s">
        <v>132</v>
      </c>
      <c r="L766" s="40">
        <v>19457</v>
      </c>
      <c r="M766" s="41">
        <v>41851</v>
      </c>
      <c r="N766" s="40" t="s">
        <v>122</v>
      </c>
      <c r="O766" s="42"/>
      <c r="P766" s="40">
        <v>64</v>
      </c>
      <c r="Q766" s="145">
        <v>0</v>
      </c>
      <c r="R766" s="145">
        <v>0</v>
      </c>
      <c r="S766" s="145">
        <v>0</v>
      </c>
      <c r="T766" s="145">
        <v>0</v>
      </c>
      <c r="U766" s="145">
        <v>0</v>
      </c>
    </row>
    <row r="767" spans="1:21" x14ac:dyDescent="0.2">
      <c r="A767" s="89">
        <f t="shared" si="11"/>
        <v>759</v>
      </c>
      <c r="B767" s="43">
        <v>21</v>
      </c>
      <c r="C767" s="43">
        <v>19</v>
      </c>
      <c r="D767" s="38" t="s">
        <v>630</v>
      </c>
      <c r="E767" s="44" t="s">
        <v>173</v>
      </c>
      <c r="F767" s="44" t="s">
        <v>31</v>
      </c>
      <c r="G767" s="44" t="s">
        <v>120</v>
      </c>
      <c r="H767" s="44" t="s">
        <v>35</v>
      </c>
      <c r="I767" s="44" t="s">
        <v>35</v>
      </c>
      <c r="J767" s="44" t="s">
        <v>11</v>
      </c>
      <c r="K767" s="44" t="s">
        <v>129</v>
      </c>
      <c r="L767" s="40">
        <v>19458</v>
      </c>
      <c r="M767" s="41">
        <v>41851</v>
      </c>
      <c r="N767" s="40" t="s">
        <v>122</v>
      </c>
      <c r="O767" s="42"/>
      <c r="P767" s="40">
        <v>64</v>
      </c>
      <c r="Q767" s="145">
        <v>0</v>
      </c>
      <c r="R767" s="145">
        <v>0</v>
      </c>
      <c r="S767" s="145">
        <v>0</v>
      </c>
      <c r="T767" s="145">
        <v>0</v>
      </c>
      <c r="U767" s="145">
        <v>0</v>
      </c>
    </row>
    <row r="768" spans="1:21" x14ac:dyDescent="0.2">
      <c r="A768" s="89">
        <f t="shared" si="11"/>
        <v>760</v>
      </c>
      <c r="B768" s="43">
        <v>21</v>
      </c>
      <c r="C768" s="43">
        <v>20</v>
      </c>
      <c r="D768" s="38" t="s">
        <v>631</v>
      </c>
      <c r="E768" s="44" t="s">
        <v>175</v>
      </c>
      <c r="F768" s="44" t="s">
        <v>6</v>
      </c>
      <c r="G768" s="44" t="s">
        <v>120</v>
      </c>
      <c r="H768" s="44" t="s">
        <v>176</v>
      </c>
      <c r="I768" s="44" t="s">
        <v>177</v>
      </c>
      <c r="J768" s="44" t="s">
        <v>9</v>
      </c>
      <c r="K768" s="44" t="s">
        <v>135</v>
      </c>
      <c r="L768" s="40">
        <v>19460</v>
      </c>
      <c r="M768" s="41">
        <v>41851</v>
      </c>
      <c r="N768" s="40" t="s">
        <v>122</v>
      </c>
      <c r="O768" s="42"/>
      <c r="P768" s="40">
        <v>64</v>
      </c>
      <c r="Q768" s="145">
        <v>0</v>
      </c>
      <c r="R768" s="145">
        <v>0</v>
      </c>
      <c r="S768" s="145">
        <v>0</v>
      </c>
      <c r="T768" s="145">
        <v>0</v>
      </c>
      <c r="U768" s="145">
        <v>0</v>
      </c>
    </row>
    <row r="769" spans="1:21" x14ac:dyDescent="0.2">
      <c r="A769" s="89">
        <f t="shared" si="11"/>
        <v>761</v>
      </c>
      <c r="B769" s="43">
        <v>21</v>
      </c>
      <c r="C769" s="43">
        <v>21</v>
      </c>
      <c r="D769" s="38" t="s">
        <v>632</v>
      </c>
      <c r="E769" s="44" t="s">
        <v>179</v>
      </c>
      <c r="F769" s="44" t="s">
        <v>6</v>
      </c>
      <c r="G769" s="44" t="s">
        <v>120</v>
      </c>
      <c r="H769" s="44" t="s">
        <v>176</v>
      </c>
      <c r="I769" s="44" t="s">
        <v>177</v>
      </c>
      <c r="J769" s="44" t="s">
        <v>10</v>
      </c>
      <c r="K769" s="44" t="s">
        <v>132</v>
      </c>
      <c r="L769" s="40">
        <v>19459</v>
      </c>
      <c r="M769" s="41">
        <v>41851</v>
      </c>
      <c r="N769" s="40" t="s">
        <v>122</v>
      </c>
      <c r="O769" s="42"/>
      <c r="P769" s="40">
        <v>64</v>
      </c>
      <c r="Q769" s="145">
        <v>0</v>
      </c>
      <c r="R769" s="145">
        <v>0</v>
      </c>
      <c r="S769" s="145">
        <v>0</v>
      </c>
      <c r="T769" s="145">
        <v>0</v>
      </c>
      <c r="U769" s="145">
        <v>0</v>
      </c>
    </row>
    <row r="770" spans="1:21" x14ac:dyDescent="0.2">
      <c r="A770" s="89">
        <f t="shared" si="11"/>
        <v>762</v>
      </c>
      <c r="B770" s="43">
        <v>21</v>
      </c>
      <c r="C770" s="43">
        <v>22</v>
      </c>
      <c r="D770" s="38" t="s">
        <v>633</v>
      </c>
      <c r="E770" s="44" t="s">
        <v>181</v>
      </c>
      <c r="F770" s="44" t="s">
        <v>6</v>
      </c>
      <c r="G770" s="44" t="s">
        <v>120</v>
      </c>
      <c r="H770" s="44" t="s">
        <v>176</v>
      </c>
      <c r="I770" s="44" t="s">
        <v>177</v>
      </c>
      <c r="J770" s="44" t="s">
        <v>11</v>
      </c>
      <c r="K770" s="44" t="s">
        <v>129</v>
      </c>
      <c r="L770" s="40">
        <v>19461</v>
      </c>
      <c r="M770" s="41">
        <v>41851</v>
      </c>
      <c r="N770" s="40" t="s">
        <v>122</v>
      </c>
      <c r="O770" s="42"/>
      <c r="P770" s="40">
        <v>64</v>
      </c>
      <c r="Q770" s="145">
        <v>0</v>
      </c>
      <c r="R770" s="145">
        <v>0</v>
      </c>
      <c r="S770" s="145">
        <v>0</v>
      </c>
      <c r="T770" s="145">
        <v>0</v>
      </c>
      <c r="U770" s="145">
        <v>0</v>
      </c>
    </row>
    <row r="771" spans="1:21" x14ac:dyDescent="0.2">
      <c r="A771" s="89">
        <f t="shared" si="11"/>
        <v>763</v>
      </c>
      <c r="B771" s="43">
        <v>21</v>
      </c>
      <c r="C771" s="43">
        <v>23</v>
      </c>
      <c r="D771" s="38" t="s">
        <v>634</v>
      </c>
      <c r="E771" s="44" t="s">
        <v>183</v>
      </c>
      <c r="F771" s="44" t="s">
        <v>6</v>
      </c>
      <c r="G771" s="44" t="s">
        <v>120</v>
      </c>
      <c r="H771" s="44" t="s">
        <v>13</v>
      </c>
      <c r="I771" s="44" t="s">
        <v>13</v>
      </c>
      <c r="J771" s="44" t="s">
        <v>7</v>
      </c>
      <c r="K771" s="44" t="s">
        <v>140</v>
      </c>
      <c r="L771" s="40">
        <v>19462</v>
      </c>
      <c r="M771" s="41">
        <v>41851</v>
      </c>
      <c r="N771" s="40" t="s">
        <v>122</v>
      </c>
      <c r="O771" s="42"/>
      <c r="P771" s="40">
        <v>64</v>
      </c>
      <c r="Q771" s="145">
        <v>0</v>
      </c>
      <c r="R771" s="145">
        <v>0</v>
      </c>
      <c r="S771" s="145">
        <v>0</v>
      </c>
      <c r="T771" s="145">
        <v>0</v>
      </c>
      <c r="U771" s="145">
        <v>0</v>
      </c>
    </row>
    <row r="772" spans="1:21" x14ac:dyDescent="0.2">
      <c r="A772" s="89">
        <f t="shared" si="11"/>
        <v>764</v>
      </c>
      <c r="B772" s="43">
        <v>21</v>
      </c>
      <c r="C772" s="43">
        <v>24</v>
      </c>
      <c r="D772" s="38" t="s">
        <v>635</v>
      </c>
      <c r="E772" s="44" t="s">
        <v>185</v>
      </c>
      <c r="F772" s="44" t="s">
        <v>6</v>
      </c>
      <c r="G772" s="44" t="s">
        <v>120</v>
      </c>
      <c r="H772" s="44" t="s">
        <v>12</v>
      </c>
      <c r="I772" s="44" t="s">
        <v>186</v>
      </c>
      <c r="J772" s="44" t="s">
        <v>9</v>
      </c>
      <c r="K772" s="44" t="s">
        <v>135</v>
      </c>
      <c r="L772" s="40">
        <v>19463</v>
      </c>
      <c r="M772" s="41">
        <v>41851</v>
      </c>
      <c r="N772" s="40" t="s">
        <v>122</v>
      </c>
      <c r="O772" s="42"/>
      <c r="P772" s="40">
        <v>64</v>
      </c>
      <c r="Q772" s="145">
        <v>0</v>
      </c>
      <c r="R772" s="145">
        <v>0</v>
      </c>
      <c r="S772" s="145">
        <v>0</v>
      </c>
      <c r="T772" s="145">
        <v>0</v>
      </c>
      <c r="U772" s="145">
        <v>0</v>
      </c>
    </row>
    <row r="773" spans="1:21" x14ac:dyDescent="0.2">
      <c r="A773" s="89">
        <f t="shared" si="11"/>
        <v>765</v>
      </c>
      <c r="B773" s="43">
        <v>21</v>
      </c>
      <c r="C773" s="43">
        <v>25</v>
      </c>
      <c r="D773" s="38" t="s">
        <v>636</v>
      </c>
      <c r="E773" s="44" t="s">
        <v>188</v>
      </c>
      <c r="F773" s="44" t="s">
        <v>6</v>
      </c>
      <c r="G773" s="44" t="s">
        <v>120</v>
      </c>
      <c r="H773" s="44" t="s">
        <v>12</v>
      </c>
      <c r="I773" s="44" t="s">
        <v>186</v>
      </c>
      <c r="J773" s="44" t="s">
        <v>10</v>
      </c>
      <c r="K773" s="44" t="s">
        <v>132</v>
      </c>
      <c r="L773" s="40">
        <v>19464</v>
      </c>
      <c r="M773" s="41">
        <v>41851</v>
      </c>
      <c r="N773" s="40" t="s">
        <v>122</v>
      </c>
      <c r="O773" s="42"/>
      <c r="P773" s="40">
        <v>64</v>
      </c>
      <c r="Q773" s="145">
        <v>0</v>
      </c>
      <c r="R773" s="145">
        <v>0</v>
      </c>
      <c r="S773" s="145">
        <v>0</v>
      </c>
      <c r="T773" s="145">
        <v>0</v>
      </c>
      <c r="U773" s="145">
        <v>0</v>
      </c>
    </row>
    <row r="774" spans="1:21" x14ac:dyDescent="0.2">
      <c r="A774" s="89">
        <f t="shared" si="11"/>
        <v>766</v>
      </c>
      <c r="B774" s="43">
        <v>21</v>
      </c>
      <c r="C774" s="43">
        <v>26</v>
      </c>
      <c r="D774" s="38" t="s">
        <v>637</v>
      </c>
      <c r="E774" s="44" t="s">
        <v>190</v>
      </c>
      <c r="F774" s="44" t="s">
        <v>6</v>
      </c>
      <c r="G774" s="44" t="s">
        <v>120</v>
      </c>
      <c r="H774" s="44" t="s">
        <v>12</v>
      </c>
      <c r="I774" s="44" t="s">
        <v>186</v>
      </c>
      <c r="J774" s="44" t="s">
        <v>11</v>
      </c>
      <c r="K774" s="44" t="s">
        <v>129</v>
      </c>
      <c r="L774" s="40">
        <v>19465</v>
      </c>
      <c r="M774" s="41">
        <v>41851</v>
      </c>
      <c r="N774" s="40" t="s">
        <v>122</v>
      </c>
      <c r="O774" s="42"/>
      <c r="P774" s="40">
        <v>64</v>
      </c>
      <c r="Q774" s="145">
        <v>0</v>
      </c>
      <c r="R774" s="145">
        <v>0</v>
      </c>
      <c r="S774" s="145">
        <v>0</v>
      </c>
      <c r="T774" s="145">
        <v>0</v>
      </c>
      <c r="U774" s="145">
        <v>0</v>
      </c>
    </row>
    <row r="775" spans="1:21" x14ac:dyDescent="0.2">
      <c r="A775" s="89">
        <f t="shared" si="11"/>
        <v>767</v>
      </c>
      <c r="B775" s="43">
        <v>21</v>
      </c>
      <c r="C775" s="43">
        <v>27</v>
      </c>
      <c r="D775" s="38" t="s">
        <v>638</v>
      </c>
      <c r="E775" s="44" t="s">
        <v>192</v>
      </c>
      <c r="F775" s="44" t="s">
        <v>6</v>
      </c>
      <c r="G775" s="44" t="s">
        <v>120</v>
      </c>
      <c r="H775" s="44" t="s">
        <v>100</v>
      </c>
      <c r="I775" s="44" t="s">
        <v>193</v>
      </c>
      <c r="J775" s="44" t="s">
        <v>7</v>
      </c>
      <c r="K775" s="44" t="s">
        <v>140</v>
      </c>
      <c r="L775" s="40">
        <v>19466</v>
      </c>
      <c r="M775" s="41">
        <v>41851</v>
      </c>
      <c r="N775" s="40" t="s">
        <v>122</v>
      </c>
      <c r="O775" s="42"/>
      <c r="P775" s="40">
        <v>64</v>
      </c>
      <c r="Q775" s="145">
        <v>0</v>
      </c>
      <c r="R775" s="145">
        <v>0</v>
      </c>
      <c r="S775" s="145">
        <v>0</v>
      </c>
      <c r="T775" s="145">
        <v>0</v>
      </c>
      <c r="U775" s="145">
        <v>0</v>
      </c>
    </row>
    <row r="776" spans="1:21" x14ac:dyDescent="0.2">
      <c r="A776" s="89">
        <f t="shared" si="11"/>
        <v>768</v>
      </c>
      <c r="B776" s="43">
        <v>21</v>
      </c>
      <c r="C776" s="43">
        <v>28</v>
      </c>
      <c r="D776" s="38" t="s">
        <v>639</v>
      </c>
      <c r="E776" s="44" t="s">
        <v>195</v>
      </c>
      <c r="F776" s="44" t="s">
        <v>39</v>
      </c>
      <c r="G776" s="44" t="s">
        <v>120</v>
      </c>
      <c r="H776" s="44" t="s">
        <v>44</v>
      </c>
      <c r="I776" s="44" t="s">
        <v>44</v>
      </c>
      <c r="J776" s="44" t="s">
        <v>7</v>
      </c>
      <c r="K776" s="44" t="s">
        <v>140</v>
      </c>
      <c r="L776" s="40">
        <v>19467</v>
      </c>
      <c r="M776" s="41">
        <v>41851</v>
      </c>
      <c r="N776" s="40" t="s">
        <v>122</v>
      </c>
      <c r="O776" s="42"/>
      <c r="P776" s="40">
        <v>64</v>
      </c>
      <c r="Q776" s="145">
        <v>0</v>
      </c>
      <c r="R776" s="145">
        <v>0</v>
      </c>
      <c r="S776" s="145">
        <v>0</v>
      </c>
      <c r="T776" s="145">
        <v>0</v>
      </c>
      <c r="U776" s="145">
        <v>0</v>
      </c>
    </row>
    <row r="777" spans="1:21" x14ac:dyDescent="0.2">
      <c r="A777" s="89">
        <f t="shared" si="11"/>
        <v>769</v>
      </c>
      <c r="B777" s="43">
        <v>21</v>
      </c>
      <c r="C777" s="43">
        <v>29</v>
      </c>
      <c r="D777" s="38" t="s">
        <v>640</v>
      </c>
      <c r="E777" s="44" t="s">
        <v>197</v>
      </c>
      <c r="F777" s="44" t="s">
        <v>39</v>
      </c>
      <c r="G777" s="44" t="s">
        <v>120</v>
      </c>
      <c r="H777" s="44" t="s">
        <v>44</v>
      </c>
      <c r="I777" s="44" t="s">
        <v>44</v>
      </c>
      <c r="J777" s="44" t="s">
        <v>45</v>
      </c>
      <c r="K777" s="44" t="s">
        <v>198</v>
      </c>
      <c r="L777" s="40">
        <v>19468</v>
      </c>
      <c r="M777" s="41">
        <v>41851</v>
      </c>
      <c r="N777" s="40" t="s">
        <v>122</v>
      </c>
      <c r="O777" s="42"/>
      <c r="P777" s="40">
        <v>64</v>
      </c>
      <c r="Q777" s="145">
        <v>0</v>
      </c>
      <c r="R777" s="145">
        <v>0</v>
      </c>
      <c r="S777" s="145">
        <v>0</v>
      </c>
      <c r="T777" s="145">
        <v>0</v>
      </c>
      <c r="U777" s="145">
        <v>0</v>
      </c>
    </row>
    <row r="778" spans="1:21" x14ac:dyDescent="0.2">
      <c r="A778" s="89">
        <f t="shared" si="11"/>
        <v>770</v>
      </c>
      <c r="B778" s="43">
        <v>21</v>
      </c>
      <c r="C778" s="43">
        <v>30</v>
      </c>
      <c r="D778" s="38" t="s">
        <v>641</v>
      </c>
      <c r="E778" s="44" t="s">
        <v>200</v>
      </c>
      <c r="F778" s="44" t="s">
        <v>39</v>
      </c>
      <c r="G778" s="44" t="s">
        <v>120</v>
      </c>
      <c r="H778" s="44" t="s">
        <v>44</v>
      </c>
      <c r="I778" s="44" t="s">
        <v>44</v>
      </c>
      <c r="J778" s="44" t="s">
        <v>46</v>
      </c>
      <c r="K778" s="44" t="s">
        <v>46</v>
      </c>
      <c r="L778" s="40">
        <v>19469</v>
      </c>
      <c r="M778" s="41">
        <v>41851</v>
      </c>
      <c r="N778" s="40" t="s">
        <v>122</v>
      </c>
      <c r="O778" s="42"/>
      <c r="P778" s="40">
        <v>64</v>
      </c>
      <c r="Q778" s="145">
        <v>0</v>
      </c>
      <c r="R778" s="145">
        <v>0</v>
      </c>
      <c r="S778" s="145">
        <v>0</v>
      </c>
      <c r="T778" s="145">
        <v>0</v>
      </c>
      <c r="U778" s="145">
        <v>0</v>
      </c>
    </row>
    <row r="779" spans="1:21" x14ac:dyDescent="0.2">
      <c r="A779" s="89">
        <f t="shared" ref="A779:A842" si="12">A778+1</f>
        <v>771</v>
      </c>
      <c r="B779" s="43">
        <v>21</v>
      </c>
      <c r="C779" s="43">
        <v>31</v>
      </c>
      <c r="D779" s="38" t="s">
        <v>642</v>
      </c>
      <c r="E779" s="44" t="s">
        <v>202</v>
      </c>
      <c r="F779" s="44" t="s">
        <v>39</v>
      </c>
      <c r="G779" s="44" t="s">
        <v>120</v>
      </c>
      <c r="H779" s="44" t="s">
        <v>47</v>
      </c>
      <c r="I779" s="44" t="s">
        <v>47</v>
      </c>
      <c r="J779" s="44" t="s">
        <v>7</v>
      </c>
      <c r="K779" s="44" t="s">
        <v>140</v>
      </c>
      <c r="L779" s="40">
        <v>19470</v>
      </c>
      <c r="M779" s="41">
        <v>41851</v>
      </c>
      <c r="N779" s="40" t="s">
        <v>122</v>
      </c>
      <c r="O779" s="42"/>
      <c r="P779" s="40">
        <v>64</v>
      </c>
      <c r="Q779" s="145">
        <v>0</v>
      </c>
      <c r="R779" s="145">
        <v>0</v>
      </c>
      <c r="S779" s="145">
        <v>0</v>
      </c>
      <c r="T779" s="145">
        <v>0</v>
      </c>
      <c r="U779" s="145">
        <v>0</v>
      </c>
    </row>
    <row r="780" spans="1:21" x14ac:dyDescent="0.2">
      <c r="A780" s="89">
        <f t="shared" si="12"/>
        <v>772</v>
      </c>
      <c r="B780" s="43">
        <v>21</v>
      </c>
      <c r="C780" s="43">
        <v>32</v>
      </c>
      <c r="D780" s="38" t="s">
        <v>643</v>
      </c>
      <c r="E780" s="44" t="s">
        <v>204</v>
      </c>
      <c r="F780" s="44" t="s">
        <v>6</v>
      </c>
      <c r="G780" s="44" t="s">
        <v>120</v>
      </c>
      <c r="H780" s="44" t="s">
        <v>14</v>
      </c>
      <c r="I780" s="44" t="s">
        <v>14</v>
      </c>
      <c r="J780" s="44" t="s">
        <v>15</v>
      </c>
      <c r="K780" s="44" t="s">
        <v>129</v>
      </c>
      <c r="L780" s="40">
        <v>19471</v>
      </c>
      <c r="M780" s="41">
        <v>41851</v>
      </c>
      <c r="N780" s="40" t="s">
        <v>122</v>
      </c>
      <c r="O780" s="42"/>
      <c r="P780" s="40">
        <v>64</v>
      </c>
      <c r="Q780" s="145">
        <v>0</v>
      </c>
      <c r="R780" s="145">
        <v>0</v>
      </c>
      <c r="S780" s="145">
        <v>0</v>
      </c>
      <c r="T780" s="145">
        <v>0</v>
      </c>
      <c r="U780" s="145">
        <v>0</v>
      </c>
    </row>
    <row r="781" spans="1:21" x14ac:dyDescent="0.2">
      <c r="A781" s="89">
        <f t="shared" si="12"/>
        <v>773</v>
      </c>
      <c r="B781" s="43">
        <v>21</v>
      </c>
      <c r="C781" s="43">
        <v>33</v>
      </c>
      <c r="D781" s="38" t="s">
        <v>644</v>
      </c>
      <c r="E781" s="44" t="s">
        <v>206</v>
      </c>
      <c r="F781" s="44" t="s">
        <v>6</v>
      </c>
      <c r="G781" s="44" t="s">
        <v>120</v>
      </c>
      <c r="H781" s="44" t="s">
        <v>14</v>
      </c>
      <c r="I781" s="44" t="s">
        <v>14</v>
      </c>
      <c r="J781" s="44" t="s">
        <v>16</v>
      </c>
      <c r="K781" s="44" t="s">
        <v>135</v>
      </c>
      <c r="L781" s="40">
        <v>19472</v>
      </c>
      <c r="M781" s="41">
        <v>41851</v>
      </c>
      <c r="N781" s="40" t="s">
        <v>122</v>
      </c>
      <c r="O781" s="42"/>
      <c r="P781" s="40">
        <v>64</v>
      </c>
      <c r="Q781" s="145">
        <v>0</v>
      </c>
      <c r="R781" s="145">
        <v>0</v>
      </c>
      <c r="S781" s="145">
        <v>0</v>
      </c>
      <c r="T781" s="145">
        <v>0</v>
      </c>
      <c r="U781" s="145">
        <v>0</v>
      </c>
    </row>
    <row r="782" spans="1:21" x14ac:dyDescent="0.2">
      <c r="A782" s="89">
        <f t="shared" si="12"/>
        <v>774</v>
      </c>
      <c r="B782" s="43">
        <v>21</v>
      </c>
      <c r="C782" s="43">
        <v>34</v>
      </c>
      <c r="D782" s="38" t="s">
        <v>645</v>
      </c>
      <c r="E782" s="44" t="s">
        <v>208</v>
      </c>
      <c r="F782" s="44" t="s">
        <v>31</v>
      </c>
      <c r="G782" s="44" t="s">
        <v>120</v>
      </c>
      <c r="H782" s="44" t="s">
        <v>36</v>
      </c>
      <c r="I782" s="44" t="s">
        <v>36</v>
      </c>
      <c r="J782" s="44" t="s">
        <v>37</v>
      </c>
      <c r="K782" s="44" t="s">
        <v>209</v>
      </c>
      <c r="L782" s="40">
        <v>19473</v>
      </c>
      <c r="M782" s="41">
        <v>41851</v>
      </c>
      <c r="N782" s="40" t="s">
        <v>122</v>
      </c>
      <c r="O782" s="42"/>
      <c r="P782" s="40">
        <v>64</v>
      </c>
      <c r="Q782" s="145">
        <v>0</v>
      </c>
      <c r="R782" s="145">
        <v>0</v>
      </c>
      <c r="S782" s="145">
        <v>0</v>
      </c>
      <c r="T782" s="145">
        <v>0</v>
      </c>
      <c r="U782" s="145">
        <v>0</v>
      </c>
    </row>
    <row r="783" spans="1:21" x14ac:dyDescent="0.2">
      <c r="A783" s="89">
        <f t="shared" si="12"/>
        <v>775</v>
      </c>
      <c r="B783" s="43">
        <v>21</v>
      </c>
      <c r="C783" s="43">
        <v>35</v>
      </c>
      <c r="D783" s="38" t="s">
        <v>646</v>
      </c>
      <c r="E783" s="44" t="s">
        <v>211</v>
      </c>
      <c r="F783" s="44" t="s">
        <v>31</v>
      </c>
      <c r="G783" s="44" t="s">
        <v>120</v>
      </c>
      <c r="H783" s="44" t="s">
        <v>36</v>
      </c>
      <c r="I783" s="44" t="s">
        <v>36</v>
      </c>
      <c r="J783" s="44" t="s">
        <v>38</v>
      </c>
      <c r="K783" s="44" t="s">
        <v>212</v>
      </c>
      <c r="L783" s="40">
        <v>19474</v>
      </c>
      <c r="M783" s="41">
        <v>41851</v>
      </c>
      <c r="N783" s="40" t="s">
        <v>122</v>
      </c>
      <c r="O783" s="42"/>
      <c r="P783" s="40">
        <v>64</v>
      </c>
      <c r="Q783" s="145">
        <v>0</v>
      </c>
      <c r="R783" s="145">
        <v>0</v>
      </c>
      <c r="S783" s="145">
        <v>0</v>
      </c>
      <c r="T783" s="145">
        <v>0</v>
      </c>
      <c r="U783" s="145">
        <v>0</v>
      </c>
    </row>
    <row r="784" spans="1:21" x14ac:dyDescent="0.2">
      <c r="A784" s="89">
        <f t="shared" si="12"/>
        <v>776</v>
      </c>
      <c r="B784" s="43">
        <v>21</v>
      </c>
      <c r="C784" s="43">
        <v>36</v>
      </c>
      <c r="D784" s="38" t="s">
        <v>647</v>
      </c>
      <c r="E784" s="44" t="s">
        <v>214</v>
      </c>
      <c r="F784" s="44" t="s">
        <v>6</v>
      </c>
      <c r="G784" s="44" t="s">
        <v>120</v>
      </c>
      <c r="H784" s="44" t="s">
        <v>17</v>
      </c>
      <c r="I784" s="44" t="s">
        <v>215</v>
      </c>
      <c r="J784" s="44" t="s">
        <v>18</v>
      </c>
      <c r="K784" s="44" t="s">
        <v>140</v>
      </c>
      <c r="L784" s="40">
        <v>19475</v>
      </c>
      <c r="M784" s="41">
        <v>41851</v>
      </c>
      <c r="N784" s="40" t="s">
        <v>122</v>
      </c>
      <c r="O784" s="42"/>
      <c r="P784" s="40">
        <v>64</v>
      </c>
      <c r="Q784" s="145">
        <v>0</v>
      </c>
      <c r="R784" s="145">
        <v>0</v>
      </c>
      <c r="S784" s="145">
        <v>0</v>
      </c>
      <c r="T784" s="145">
        <v>0</v>
      </c>
      <c r="U784" s="145">
        <v>0</v>
      </c>
    </row>
    <row r="785" spans="1:21" x14ac:dyDescent="0.2">
      <c r="A785" s="89">
        <f t="shared" si="12"/>
        <v>777</v>
      </c>
      <c r="B785" s="20"/>
      <c r="C785" s="20"/>
      <c r="D785" s="20"/>
    </row>
    <row r="786" spans="1:21" x14ac:dyDescent="0.2">
      <c r="A786" s="89">
        <f t="shared" si="12"/>
        <v>778</v>
      </c>
      <c r="B786" s="43">
        <v>22</v>
      </c>
      <c r="C786" s="43">
        <v>1</v>
      </c>
      <c r="D786" s="38" t="s">
        <v>612</v>
      </c>
      <c r="E786" s="44" t="s">
        <v>119</v>
      </c>
      <c r="F786" s="44" t="s">
        <v>31</v>
      </c>
      <c r="G786" s="44" t="s">
        <v>120</v>
      </c>
      <c r="H786" s="44" t="s">
        <v>32</v>
      </c>
      <c r="I786" s="44" t="s">
        <v>32</v>
      </c>
      <c r="J786" s="44" t="s">
        <v>33</v>
      </c>
      <c r="K786" s="44" t="s">
        <v>121</v>
      </c>
      <c r="L786" s="40">
        <v>19440</v>
      </c>
      <c r="M786" s="41">
        <v>41851</v>
      </c>
      <c r="N786" s="40" t="s">
        <v>122</v>
      </c>
      <c r="O786" s="42"/>
      <c r="P786" s="40">
        <v>65</v>
      </c>
      <c r="Q786" s="145">
        <v>0</v>
      </c>
      <c r="R786" s="145">
        <v>0</v>
      </c>
      <c r="S786" s="145">
        <v>0</v>
      </c>
      <c r="T786" s="145">
        <v>0</v>
      </c>
      <c r="U786" s="145">
        <v>0</v>
      </c>
    </row>
    <row r="787" spans="1:21" x14ac:dyDescent="0.2">
      <c r="A787" s="89">
        <f t="shared" si="12"/>
        <v>779</v>
      </c>
      <c r="B787" s="43">
        <v>22</v>
      </c>
      <c r="C787" s="43">
        <v>2</v>
      </c>
      <c r="D787" s="38" t="s">
        <v>613</v>
      </c>
      <c r="E787" s="44" t="s">
        <v>124</v>
      </c>
      <c r="F787" s="44" t="s">
        <v>31</v>
      </c>
      <c r="G787" s="44" t="s">
        <v>120</v>
      </c>
      <c r="H787" s="44" t="s">
        <v>32</v>
      </c>
      <c r="I787" s="44" t="s">
        <v>32</v>
      </c>
      <c r="J787" s="44" t="s">
        <v>34</v>
      </c>
      <c r="K787" s="44" t="s">
        <v>125</v>
      </c>
      <c r="L787" s="40">
        <v>19441</v>
      </c>
      <c r="M787" s="41">
        <v>41851</v>
      </c>
      <c r="N787" s="40" t="s">
        <v>122</v>
      </c>
      <c r="O787" s="42"/>
      <c r="P787" s="40">
        <v>65</v>
      </c>
      <c r="Q787" s="145">
        <v>0</v>
      </c>
      <c r="R787" s="145">
        <v>0</v>
      </c>
      <c r="S787" s="145">
        <v>0</v>
      </c>
      <c r="T787" s="145">
        <v>0</v>
      </c>
      <c r="U787" s="145">
        <v>0</v>
      </c>
    </row>
    <row r="788" spans="1:21" x14ac:dyDescent="0.2">
      <c r="A788" s="89">
        <f t="shared" si="12"/>
        <v>780</v>
      </c>
      <c r="B788" s="43">
        <v>22</v>
      </c>
      <c r="C788" s="43">
        <v>3</v>
      </c>
      <c r="D788" s="38" t="s">
        <v>614</v>
      </c>
      <c r="E788" s="44" t="s">
        <v>127</v>
      </c>
      <c r="F788" s="44" t="s">
        <v>20</v>
      </c>
      <c r="G788" s="44" t="s">
        <v>120</v>
      </c>
      <c r="H788" s="44" t="s">
        <v>63</v>
      </c>
      <c r="I788" s="44" t="s">
        <v>128</v>
      </c>
      <c r="J788" s="44" t="s">
        <v>15</v>
      </c>
      <c r="K788" s="44" t="s">
        <v>129</v>
      </c>
      <c r="L788" s="40">
        <v>19442</v>
      </c>
      <c r="M788" s="41">
        <v>41851</v>
      </c>
      <c r="N788" s="40" t="s">
        <v>122</v>
      </c>
      <c r="O788" s="42"/>
      <c r="P788" s="40">
        <v>65</v>
      </c>
      <c r="Q788" s="145">
        <v>0</v>
      </c>
      <c r="R788" s="145">
        <v>0</v>
      </c>
      <c r="S788" s="145">
        <v>0</v>
      </c>
      <c r="T788" s="145">
        <v>0</v>
      </c>
      <c r="U788" s="145">
        <v>0</v>
      </c>
    </row>
    <row r="789" spans="1:21" x14ac:dyDescent="0.2">
      <c r="A789" s="89">
        <f t="shared" si="12"/>
        <v>781</v>
      </c>
      <c r="B789" s="43">
        <v>22</v>
      </c>
      <c r="C789" s="43">
        <v>4</v>
      </c>
      <c r="D789" s="38" t="s">
        <v>615</v>
      </c>
      <c r="E789" s="44" t="s">
        <v>131</v>
      </c>
      <c r="F789" s="44" t="s">
        <v>20</v>
      </c>
      <c r="G789" s="44" t="s">
        <v>120</v>
      </c>
      <c r="H789" s="44" t="s">
        <v>63</v>
      </c>
      <c r="I789" s="44" t="s">
        <v>128</v>
      </c>
      <c r="J789" s="44" t="s">
        <v>21</v>
      </c>
      <c r="K789" s="44" t="s">
        <v>132</v>
      </c>
      <c r="L789" s="40">
        <v>19443</v>
      </c>
      <c r="M789" s="41">
        <v>41851</v>
      </c>
      <c r="N789" s="40" t="s">
        <v>122</v>
      </c>
      <c r="O789" s="42"/>
      <c r="P789" s="40">
        <v>65</v>
      </c>
      <c r="Q789" s="145">
        <v>0</v>
      </c>
      <c r="R789" s="145">
        <v>0</v>
      </c>
      <c r="S789" s="145">
        <v>0</v>
      </c>
      <c r="T789" s="145">
        <v>0</v>
      </c>
      <c r="U789" s="145">
        <v>0</v>
      </c>
    </row>
    <row r="790" spans="1:21" x14ac:dyDescent="0.2">
      <c r="A790" s="89">
        <f t="shared" si="12"/>
        <v>782</v>
      </c>
      <c r="B790" s="43">
        <v>22</v>
      </c>
      <c r="C790" s="43">
        <v>5</v>
      </c>
      <c r="D790" s="38" t="s">
        <v>616</v>
      </c>
      <c r="E790" s="44" t="s">
        <v>134</v>
      </c>
      <c r="F790" s="44" t="s">
        <v>20</v>
      </c>
      <c r="G790" s="44" t="s">
        <v>120</v>
      </c>
      <c r="H790" s="44" t="s">
        <v>63</v>
      </c>
      <c r="I790" s="44" t="s">
        <v>128</v>
      </c>
      <c r="J790" s="44" t="s">
        <v>16</v>
      </c>
      <c r="K790" s="44" t="s">
        <v>135</v>
      </c>
      <c r="L790" s="40">
        <v>19444</v>
      </c>
      <c r="M790" s="41">
        <v>41851</v>
      </c>
      <c r="N790" s="40" t="s">
        <v>122</v>
      </c>
      <c r="O790" s="42"/>
      <c r="P790" s="40">
        <v>65</v>
      </c>
      <c r="Q790" s="145">
        <v>0</v>
      </c>
      <c r="R790" s="145">
        <v>0</v>
      </c>
      <c r="S790" s="145">
        <v>0</v>
      </c>
      <c r="T790" s="145">
        <v>0</v>
      </c>
      <c r="U790" s="145">
        <v>0</v>
      </c>
    </row>
    <row r="791" spans="1:21" x14ac:dyDescent="0.2">
      <c r="A791" s="89">
        <f t="shared" si="12"/>
        <v>783</v>
      </c>
      <c r="B791" s="43">
        <v>22</v>
      </c>
      <c r="C791" s="43">
        <v>6</v>
      </c>
      <c r="D791" s="38" t="s">
        <v>617</v>
      </c>
      <c r="E791" s="44" t="s">
        <v>137</v>
      </c>
      <c r="F791" s="44" t="s">
        <v>25</v>
      </c>
      <c r="G791" s="44" t="s">
        <v>138</v>
      </c>
      <c r="H791" s="44" t="s">
        <v>139</v>
      </c>
      <c r="I791" s="44" t="s">
        <v>29</v>
      </c>
      <c r="J791" s="44" t="s">
        <v>30</v>
      </c>
      <c r="K791" s="44" t="s">
        <v>140</v>
      </c>
      <c r="L791" s="40">
        <v>19445</v>
      </c>
      <c r="M791" s="41">
        <v>41851</v>
      </c>
      <c r="N791" s="40" t="s">
        <v>122</v>
      </c>
      <c r="O791" s="42"/>
      <c r="P791" s="40">
        <v>65</v>
      </c>
      <c r="Q791" s="145">
        <v>0</v>
      </c>
      <c r="R791" s="145">
        <v>0</v>
      </c>
      <c r="S791" s="145">
        <v>0</v>
      </c>
      <c r="T791" s="145">
        <v>0</v>
      </c>
      <c r="U791" s="145">
        <v>0</v>
      </c>
    </row>
    <row r="792" spans="1:21" x14ac:dyDescent="0.2">
      <c r="A792" s="89">
        <f t="shared" si="12"/>
        <v>784</v>
      </c>
      <c r="B792" s="43">
        <v>22</v>
      </c>
      <c r="C792" s="43">
        <v>7</v>
      </c>
      <c r="D792" s="38" t="s">
        <v>618</v>
      </c>
      <c r="E792" s="44" t="s">
        <v>142</v>
      </c>
      <c r="F792" s="44" t="s">
        <v>39</v>
      </c>
      <c r="G792" s="44" t="s">
        <v>120</v>
      </c>
      <c r="H792" s="44" t="s">
        <v>40</v>
      </c>
      <c r="I792" s="44" t="s">
        <v>40</v>
      </c>
      <c r="J792" s="44" t="s">
        <v>42</v>
      </c>
      <c r="K792" s="44" t="s">
        <v>135</v>
      </c>
      <c r="L792" s="40">
        <v>19447</v>
      </c>
      <c r="M792" s="41">
        <v>41851</v>
      </c>
      <c r="N792" s="40" t="s">
        <v>122</v>
      </c>
      <c r="O792" s="42"/>
      <c r="P792" s="40">
        <v>65</v>
      </c>
      <c r="Q792" s="145">
        <v>0</v>
      </c>
      <c r="R792" s="145">
        <v>0</v>
      </c>
      <c r="S792" s="145">
        <v>0</v>
      </c>
      <c r="T792" s="145">
        <v>0</v>
      </c>
      <c r="U792" s="145">
        <v>0</v>
      </c>
    </row>
    <row r="793" spans="1:21" x14ac:dyDescent="0.2">
      <c r="A793" s="89">
        <f t="shared" si="12"/>
        <v>785</v>
      </c>
      <c r="B793" s="43">
        <v>22</v>
      </c>
      <c r="C793" s="43">
        <v>8</v>
      </c>
      <c r="D793" s="38" t="s">
        <v>619</v>
      </c>
      <c r="E793" s="44" t="s">
        <v>144</v>
      </c>
      <c r="F793" s="44" t="s">
        <v>39</v>
      </c>
      <c r="G793" s="44" t="s">
        <v>120</v>
      </c>
      <c r="H793" s="44" t="s">
        <v>40</v>
      </c>
      <c r="I793" s="44" t="s">
        <v>40</v>
      </c>
      <c r="J793" s="44" t="s">
        <v>41</v>
      </c>
      <c r="K793" s="44" t="s">
        <v>132</v>
      </c>
      <c r="L793" s="40">
        <v>19446</v>
      </c>
      <c r="M793" s="41">
        <v>41851</v>
      </c>
      <c r="N793" s="40" t="s">
        <v>122</v>
      </c>
      <c r="O793" s="42"/>
      <c r="P793" s="40">
        <v>65</v>
      </c>
      <c r="Q793" s="145">
        <v>0</v>
      </c>
      <c r="R793" s="145">
        <v>0</v>
      </c>
      <c r="S793" s="145">
        <v>0</v>
      </c>
      <c r="T793" s="145">
        <v>0</v>
      </c>
      <c r="U793" s="145">
        <v>0</v>
      </c>
    </row>
    <row r="794" spans="1:21" x14ac:dyDescent="0.2">
      <c r="A794" s="89">
        <f t="shared" si="12"/>
        <v>786</v>
      </c>
      <c r="B794" s="43">
        <v>22</v>
      </c>
      <c r="C794" s="43">
        <v>9</v>
      </c>
      <c r="D794" s="38" t="s">
        <v>620</v>
      </c>
      <c r="E794" s="44" t="s">
        <v>146</v>
      </c>
      <c r="F794" s="44" t="s">
        <v>39</v>
      </c>
      <c r="G794" s="44" t="s">
        <v>120</v>
      </c>
      <c r="H794" s="44" t="s">
        <v>40</v>
      </c>
      <c r="I794" s="44" t="s">
        <v>40</v>
      </c>
      <c r="J794" s="44" t="s">
        <v>7</v>
      </c>
      <c r="K794" s="44" t="s">
        <v>129</v>
      </c>
      <c r="L794" s="40">
        <v>19448</v>
      </c>
      <c r="M794" s="41">
        <v>41851</v>
      </c>
      <c r="N794" s="40" t="s">
        <v>122</v>
      </c>
      <c r="O794" s="42"/>
      <c r="P794" s="40">
        <v>65</v>
      </c>
      <c r="Q794" s="145">
        <v>0</v>
      </c>
      <c r="R794" s="145">
        <v>0</v>
      </c>
      <c r="S794" s="145">
        <v>0</v>
      </c>
      <c r="T794" s="145">
        <v>0</v>
      </c>
      <c r="U794" s="145">
        <v>0</v>
      </c>
    </row>
    <row r="795" spans="1:21" x14ac:dyDescent="0.2">
      <c r="A795" s="89">
        <f t="shared" si="12"/>
        <v>787</v>
      </c>
      <c r="B795" s="43">
        <v>22</v>
      </c>
      <c r="C795" s="43">
        <v>10</v>
      </c>
      <c r="D795" s="38" t="s">
        <v>621</v>
      </c>
      <c r="E795" s="44" t="s">
        <v>148</v>
      </c>
      <c r="F795" s="44" t="s">
        <v>25</v>
      </c>
      <c r="G795" s="44" t="s">
        <v>120</v>
      </c>
      <c r="H795" s="44" t="s">
        <v>149</v>
      </c>
      <c r="I795" s="44" t="s">
        <v>26</v>
      </c>
      <c r="J795" s="44" t="s">
        <v>27</v>
      </c>
      <c r="K795" s="44" t="s">
        <v>150</v>
      </c>
      <c r="L795" s="40">
        <v>19449</v>
      </c>
      <c r="M795" s="41">
        <v>41851</v>
      </c>
      <c r="N795" s="40" t="s">
        <v>122</v>
      </c>
      <c r="O795" s="42"/>
      <c r="P795" s="40">
        <v>65</v>
      </c>
      <c r="Q795" s="145">
        <v>0</v>
      </c>
      <c r="R795" s="145">
        <v>0</v>
      </c>
      <c r="S795" s="145">
        <v>0</v>
      </c>
      <c r="T795" s="145">
        <v>0</v>
      </c>
      <c r="U795" s="145">
        <v>0</v>
      </c>
    </row>
    <row r="796" spans="1:21" x14ac:dyDescent="0.2">
      <c r="A796" s="89">
        <f t="shared" si="12"/>
        <v>788</v>
      </c>
      <c r="B796" s="43">
        <v>22</v>
      </c>
      <c r="C796" s="43">
        <v>11</v>
      </c>
      <c r="D796" s="38" t="s">
        <v>622</v>
      </c>
      <c r="E796" s="44" t="s">
        <v>152</v>
      </c>
      <c r="F796" s="44" t="s">
        <v>25</v>
      </c>
      <c r="G796" s="44" t="s">
        <v>120</v>
      </c>
      <c r="H796" s="44" t="s">
        <v>149</v>
      </c>
      <c r="I796" s="44" t="s">
        <v>26</v>
      </c>
      <c r="J796" s="44" t="s">
        <v>28</v>
      </c>
      <c r="K796" s="44" t="s">
        <v>153</v>
      </c>
      <c r="L796" s="40">
        <v>19450</v>
      </c>
      <c r="M796" s="41">
        <v>41851</v>
      </c>
      <c r="N796" s="40" t="s">
        <v>122</v>
      </c>
      <c r="O796" s="42"/>
      <c r="P796" s="40">
        <v>65</v>
      </c>
      <c r="Q796" s="145">
        <v>0</v>
      </c>
      <c r="R796" s="145">
        <v>0</v>
      </c>
      <c r="S796" s="145">
        <v>0</v>
      </c>
      <c r="T796" s="145">
        <v>0</v>
      </c>
      <c r="U796" s="145">
        <v>0</v>
      </c>
    </row>
    <row r="797" spans="1:21" x14ac:dyDescent="0.2">
      <c r="A797" s="89">
        <f t="shared" si="12"/>
        <v>789</v>
      </c>
      <c r="B797" s="43">
        <v>22</v>
      </c>
      <c r="C797" s="43">
        <v>12</v>
      </c>
      <c r="D797" s="38" t="s">
        <v>623</v>
      </c>
      <c r="E797" s="44" t="s">
        <v>155</v>
      </c>
      <c r="F797" s="44" t="s">
        <v>20</v>
      </c>
      <c r="G797" s="44" t="s">
        <v>120</v>
      </c>
      <c r="H797" s="44" t="s">
        <v>105</v>
      </c>
      <c r="I797" s="44" t="s">
        <v>156</v>
      </c>
      <c r="J797" s="44" t="s">
        <v>22</v>
      </c>
      <c r="K797" s="44" t="s">
        <v>157</v>
      </c>
      <c r="L797" s="40">
        <v>19451</v>
      </c>
      <c r="M797" s="41">
        <v>41851</v>
      </c>
      <c r="N797" s="40" t="s">
        <v>122</v>
      </c>
      <c r="O797" s="42"/>
      <c r="P797" s="40">
        <v>65</v>
      </c>
      <c r="Q797" s="145">
        <v>0</v>
      </c>
      <c r="R797" s="145">
        <v>0</v>
      </c>
      <c r="S797" s="145">
        <v>0</v>
      </c>
      <c r="T797" s="145">
        <v>0</v>
      </c>
      <c r="U797" s="145">
        <v>0</v>
      </c>
    </row>
    <row r="798" spans="1:21" x14ac:dyDescent="0.2">
      <c r="A798" s="89">
        <f t="shared" si="12"/>
        <v>790</v>
      </c>
      <c r="B798" s="43">
        <v>22</v>
      </c>
      <c r="C798" s="43">
        <v>13</v>
      </c>
      <c r="D798" s="38" t="s">
        <v>624</v>
      </c>
      <c r="E798" s="44" t="s">
        <v>159</v>
      </c>
      <c r="F798" s="44" t="s">
        <v>39</v>
      </c>
      <c r="G798" s="44" t="s">
        <v>120</v>
      </c>
      <c r="H798" s="44" t="s">
        <v>43</v>
      </c>
      <c r="I798" s="44" t="s">
        <v>43</v>
      </c>
      <c r="J798" s="44" t="s">
        <v>7</v>
      </c>
      <c r="K798" s="44" t="s">
        <v>140</v>
      </c>
      <c r="L798" s="40">
        <v>19452</v>
      </c>
      <c r="M798" s="41">
        <v>41851</v>
      </c>
      <c r="N798" s="40" t="s">
        <v>122</v>
      </c>
      <c r="O798" s="42"/>
      <c r="P798" s="40">
        <v>65</v>
      </c>
      <c r="Q798" s="145">
        <v>0</v>
      </c>
      <c r="R798" s="145">
        <v>0</v>
      </c>
      <c r="S798" s="145">
        <v>0</v>
      </c>
      <c r="T798" s="145">
        <v>0</v>
      </c>
      <c r="U798" s="145">
        <v>0</v>
      </c>
    </row>
    <row r="799" spans="1:21" x14ac:dyDescent="0.2">
      <c r="A799" s="89">
        <f t="shared" si="12"/>
        <v>791</v>
      </c>
      <c r="B799" s="43">
        <v>22</v>
      </c>
      <c r="C799" s="43">
        <v>14</v>
      </c>
      <c r="D799" s="38" t="s">
        <v>625</v>
      </c>
      <c r="E799" s="44" t="s">
        <v>161</v>
      </c>
      <c r="F799" s="44" t="s">
        <v>6</v>
      </c>
      <c r="G799" s="44" t="s">
        <v>120</v>
      </c>
      <c r="H799" s="44" t="s">
        <v>48</v>
      </c>
      <c r="I799" s="44" t="s">
        <v>48</v>
      </c>
      <c r="J799" s="44" t="s">
        <v>7</v>
      </c>
      <c r="K799" s="44" t="s">
        <v>140</v>
      </c>
      <c r="L799" s="40">
        <v>19453</v>
      </c>
      <c r="M799" s="41">
        <v>41851</v>
      </c>
      <c r="N799" s="40" t="s">
        <v>122</v>
      </c>
      <c r="O799" s="42"/>
      <c r="P799" s="40">
        <v>65</v>
      </c>
      <c r="Q799" s="145">
        <v>0</v>
      </c>
      <c r="R799" s="145">
        <v>0</v>
      </c>
      <c r="S799" s="145">
        <v>0</v>
      </c>
      <c r="T799" s="145">
        <v>0</v>
      </c>
      <c r="U799" s="145">
        <v>0</v>
      </c>
    </row>
    <row r="800" spans="1:21" x14ac:dyDescent="0.2">
      <c r="A800" s="89">
        <f t="shared" si="12"/>
        <v>792</v>
      </c>
      <c r="B800" s="43">
        <v>22</v>
      </c>
      <c r="C800" s="43">
        <v>15</v>
      </c>
      <c r="D800" s="38" t="s">
        <v>626</v>
      </c>
      <c r="E800" s="44" t="s">
        <v>163</v>
      </c>
      <c r="F800" s="44" t="s">
        <v>20</v>
      </c>
      <c r="G800" s="44" t="s">
        <v>120</v>
      </c>
      <c r="H800" s="44" t="s">
        <v>23</v>
      </c>
      <c r="I800" s="44" t="s">
        <v>164</v>
      </c>
      <c r="J800" s="44" t="s">
        <v>24</v>
      </c>
      <c r="K800" s="44" t="s">
        <v>140</v>
      </c>
      <c r="L800" s="40">
        <v>19454</v>
      </c>
      <c r="M800" s="41">
        <v>41851</v>
      </c>
      <c r="N800" s="40" t="s">
        <v>122</v>
      </c>
      <c r="O800" s="42"/>
      <c r="P800" s="40">
        <v>65</v>
      </c>
      <c r="Q800" s="145">
        <v>0</v>
      </c>
      <c r="R800" s="145">
        <v>0</v>
      </c>
      <c r="S800" s="145">
        <v>0</v>
      </c>
      <c r="T800" s="145">
        <v>0</v>
      </c>
      <c r="U800" s="145">
        <v>0</v>
      </c>
    </row>
    <row r="801" spans="1:21" x14ac:dyDescent="0.2">
      <c r="A801" s="89">
        <f t="shared" si="12"/>
        <v>793</v>
      </c>
      <c r="B801" s="43">
        <v>22</v>
      </c>
      <c r="C801" s="43">
        <v>16</v>
      </c>
      <c r="D801" s="38" t="s">
        <v>627</v>
      </c>
      <c r="E801" s="44" t="s">
        <v>166</v>
      </c>
      <c r="F801" s="44" t="s">
        <v>20</v>
      </c>
      <c r="G801" s="44" t="s">
        <v>120</v>
      </c>
      <c r="H801" s="44" t="s">
        <v>64</v>
      </c>
      <c r="I801" s="44" t="s">
        <v>167</v>
      </c>
      <c r="J801" s="44" t="s">
        <v>7</v>
      </c>
      <c r="K801" s="44" t="s">
        <v>140</v>
      </c>
      <c r="L801" s="40">
        <v>19455</v>
      </c>
      <c r="M801" s="41">
        <v>41851</v>
      </c>
      <c r="N801" s="40" t="s">
        <v>122</v>
      </c>
      <c r="O801" s="42"/>
      <c r="P801" s="40">
        <v>65</v>
      </c>
      <c r="Q801" s="145">
        <v>0</v>
      </c>
      <c r="R801" s="145">
        <v>0</v>
      </c>
      <c r="S801" s="145">
        <v>0</v>
      </c>
      <c r="T801" s="145">
        <v>0</v>
      </c>
      <c r="U801" s="145">
        <v>0</v>
      </c>
    </row>
    <row r="802" spans="1:21" x14ac:dyDescent="0.2">
      <c r="A802" s="89">
        <f t="shared" si="12"/>
        <v>794</v>
      </c>
      <c r="B802" s="43">
        <v>22</v>
      </c>
      <c r="C802" s="43">
        <v>17</v>
      </c>
      <c r="D802" s="38" t="s">
        <v>628</v>
      </c>
      <c r="E802" s="44" t="s">
        <v>169</v>
      </c>
      <c r="F802" s="44" t="s">
        <v>31</v>
      </c>
      <c r="G802" s="44" t="s">
        <v>120</v>
      </c>
      <c r="H802" s="44" t="s">
        <v>35</v>
      </c>
      <c r="I802" s="44" t="s">
        <v>35</v>
      </c>
      <c r="J802" s="44" t="s">
        <v>9</v>
      </c>
      <c r="K802" s="44" t="s">
        <v>135</v>
      </c>
      <c r="L802" s="40">
        <v>19456</v>
      </c>
      <c r="M802" s="41">
        <v>41851</v>
      </c>
      <c r="N802" s="40" t="s">
        <v>122</v>
      </c>
      <c r="O802" s="42"/>
      <c r="P802" s="40">
        <v>65</v>
      </c>
      <c r="Q802" s="145">
        <v>0</v>
      </c>
      <c r="R802" s="145">
        <v>0</v>
      </c>
      <c r="S802" s="145">
        <v>0</v>
      </c>
      <c r="T802" s="145">
        <v>0</v>
      </c>
      <c r="U802" s="145">
        <v>0</v>
      </c>
    </row>
    <row r="803" spans="1:21" x14ac:dyDescent="0.2">
      <c r="A803" s="89">
        <f t="shared" si="12"/>
        <v>795</v>
      </c>
      <c r="B803" s="43">
        <v>22</v>
      </c>
      <c r="C803" s="43">
        <v>18</v>
      </c>
      <c r="D803" s="38" t="s">
        <v>629</v>
      </c>
      <c r="E803" s="44" t="s">
        <v>171</v>
      </c>
      <c r="F803" s="44" t="s">
        <v>31</v>
      </c>
      <c r="G803" s="44" t="s">
        <v>120</v>
      </c>
      <c r="H803" s="44" t="s">
        <v>35</v>
      </c>
      <c r="I803" s="44" t="s">
        <v>35</v>
      </c>
      <c r="J803" s="44" t="s">
        <v>10</v>
      </c>
      <c r="K803" s="44" t="s">
        <v>132</v>
      </c>
      <c r="L803" s="40">
        <v>19457</v>
      </c>
      <c r="M803" s="41">
        <v>41851</v>
      </c>
      <c r="N803" s="40" t="s">
        <v>122</v>
      </c>
      <c r="O803" s="42"/>
      <c r="P803" s="40">
        <v>65</v>
      </c>
      <c r="Q803" s="145">
        <v>0</v>
      </c>
      <c r="R803" s="145">
        <v>0</v>
      </c>
      <c r="S803" s="145">
        <v>0</v>
      </c>
      <c r="T803" s="145">
        <v>0</v>
      </c>
      <c r="U803" s="145">
        <v>0</v>
      </c>
    </row>
    <row r="804" spans="1:21" x14ac:dyDescent="0.2">
      <c r="A804" s="89">
        <f t="shared" si="12"/>
        <v>796</v>
      </c>
      <c r="B804" s="43">
        <v>22</v>
      </c>
      <c r="C804" s="43">
        <v>19</v>
      </c>
      <c r="D804" s="38" t="s">
        <v>630</v>
      </c>
      <c r="E804" s="44" t="s">
        <v>173</v>
      </c>
      <c r="F804" s="44" t="s">
        <v>31</v>
      </c>
      <c r="G804" s="44" t="s">
        <v>120</v>
      </c>
      <c r="H804" s="44" t="s">
        <v>35</v>
      </c>
      <c r="I804" s="44" t="s">
        <v>35</v>
      </c>
      <c r="J804" s="44" t="s">
        <v>11</v>
      </c>
      <c r="K804" s="44" t="s">
        <v>129</v>
      </c>
      <c r="L804" s="40">
        <v>19458</v>
      </c>
      <c r="M804" s="41">
        <v>41851</v>
      </c>
      <c r="N804" s="40" t="s">
        <v>122</v>
      </c>
      <c r="O804" s="42"/>
      <c r="P804" s="40">
        <v>65</v>
      </c>
      <c r="Q804" s="145">
        <v>0</v>
      </c>
      <c r="R804" s="145">
        <v>0</v>
      </c>
      <c r="S804" s="145">
        <v>0</v>
      </c>
      <c r="T804" s="145">
        <v>0</v>
      </c>
      <c r="U804" s="145">
        <v>0</v>
      </c>
    </row>
    <row r="805" spans="1:21" x14ac:dyDescent="0.2">
      <c r="A805" s="89">
        <f t="shared" si="12"/>
        <v>797</v>
      </c>
      <c r="B805" s="43">
        <v>22</v>
      </c>
      <c r="C805" s="43">
        <v>20</v>
      </c>
      <c r="D805" s="38" t="s">
        <v>631</v>
      </c>
      <c r="E805" s="44" t="s">
        <v>175</v>
      </c>
      <c r="F805" s="44" t="s">
        <v>6</v>
      </c>
      <c r="G805" s="44" t="s">
        <v>120</v>
      </c>
      <c r="H805" s="44" t="s">
        <v>176</v>
      </c>
      <c r="I805" s="44" t="s">
        <v>177</v>
      </c>
      <c r="J805" s="44" t="s">
        <v>9</v>
      </c>
      <c r="K805" s="44" t="s">
        <v>135</v>
      </c>
      <c r="L805" s="40">
        <v>19460</v>
      </c>
      <c r="M805" s="41">
        <v>41851</v>
      </c>
      <c r="N805" s="40" t="s">
        <v>122</v>
      </c>
      <c r="O805" s="42"/>
      <c r="P805" s="40">
        <v>65</v>
      </c>
      <c r="Q805" s="145">
        <v>0</v>
      </c>
      <c r="R805" s="145">
        <v>0</v>
      </c>
      <c r="S805" s="145">
        <v>0</v>
      </c>
      <c r="T805" s="145">
        <v>0</v>
      </c>
      <c r="U805" s="145">
        <v>0</v>
      </c>
    </row>
    <row r="806" spans="1:21" x14ac:dyDescent="0.2">
      <c r="A806" s="89">
        <f t="shared" si="12"/>
        <v>798</v>
      </c>
      <c r="B806" s="43">
        <v>22</v>
      </c>
      <c r="C806" s="43">
        <v>21</v>
      </c>
      <c r="D806" s="38" t="s">
        <v>632</v>
      </c>
      <c r="E806" s="44" t="s">
        <v>179</v>
      </c>
      <c r="F806" s="44" t="s">
        <v>6</v>
      </c>
      <c r="G806" s="44" t="s">
        <v>120</v>
      </c>
      <c r="H806" s="44" t="s">
        <v>176</v>
      </c>
      <c r="I806" s="44" t="s">
        <v>177</v>
      </c>
      <c r="J806" s="44" t="s">
        <v>10</v>
      </c>
      <c r="K806" s="44" t="s">
        <v>132</v>
      </c>
      <c r="L806" s="40">
        <v>19459</v>
      </c>
      <c r="M806" s="41">
        <v>41851</v>
      </c>
      <c r="N806" s="40" t="s">
        <v>122</v>
      </c>
      <c r="O806" s="42"/>
      <c r="P806" s="40">
        <v>65</v>
      </c>
      <c r="Q806" s="145">
        <v>0</v>
      </c>
      <c r="R806" s="145">
        <v>0</v>
      </c>
      <c r="S806" s="145">
        <v>0</v>
      </c>
      <c r="T806" s="145">
        <v>0</v>
      </c>
      <c r="U806" s="145">
        <v>0</v>
      </c>
    </row>
    <row r="807" spans="1:21" x14ac:dyDescent="0.2">
      <c r="A807" s="89">
        <f t="shared" si="12"/>
        <v>799</v>
      </c>
      <c r="B807" s="43">
        <v>22</v>
      </c>
      <c r="C807" s="43">
        <v>22</v>
      </c>
      <c r="D807" s="38" t="s">
        <v>633</v>
      </c>
      <c r="E807" s="44" t="s">
        <v>181</v>
      </c>
      <c r="F807" s="44" t="s">
        <v>6</v>
      </c>
      <c r="G807" s="44" t="s">
        <v>120</v>
      </c>
      <c r="H807" s="44" t="s">
        <v>176</v>
      </c>
      <c r="I807" s="44" t="s">
        <v>177</v>
      </c>
      <c r="J807" s="44" t="s">
        <v>11</v>
      </c>
      <c r="K807" s="44" t="s">
        <v>129</v>
      </c>
      <c r="L807" s="40">
        <v>19461</v>
      </c>
      <c r="M807" s="41">
        <v>41851</v>
      </c>
      <c r="N807" s="40" t="s">
        <v>122</v>
      </c>
      <c r="O807" s="42"/>
      <c r="P807" s="40">
        <v>65</v>
      </c>
      <c r="Q807" s="145">
        <v>0</v>
      </c>
      <c r="R807" s="145">
        <v>0</v>
      </c>
      <c r="S807" s="145">
        <v>0</v>
      </c>
      <c r="T807" s="145">
        <v>0</v>
      </c>
      <c r="U807" s="145">
        <v>0</v>
      </c>
    </row>
    <row r="808" spans="1:21" x14ac:dyDescent="0.2">
      <c r="A808" s="89">
        <f t="shared" si="12"/>
        <v>800</v>
      </c>
      <c r="B808" s="43">
        <v>22</v>
      </c>
      <c r="C808" s="43">
        <v>23</v>
      </c>
      <c r="D808" s="38" t="s">
        <v>634</v>
      </c>
      <c r="E808" s="44" t="s">
        <v>183</v>
      </c>
      <c r="F808" s="44" t="s">
        <v>6</v>
      </c>
      <c r="G808" s="44" t="s">
        <v>120</v>
      </c>
      <c r="H808" s="44" t="s">
        <v>13</v>
      </c>
      <c r="I808" s="44" t="s">
        <v>13</v>
      </c>
      <c r="J808" s="44" t="s">
        <v>7</v>
      </c>
      <c r="K808" s="44" t="s">
        <v>140</v>
      </c>
      <c r="L808" s="40">
        <v>19462</v>
      </c>
      <c r="M808" s="41">
        <v>41851</v>
      </c>
      <c r="N808" s="40" t="s">
        <v>122</v>
      </c>
      <c r="O808" s="42"/>
      <c r="P808" s="40">
        <v>65</v>
      </c>
      <c r="Q808" s="145">
        <v>0</v>
      </c>
      <c r="R808" s="145">
        <v>0</v>
      </c>
      <c r="S808" s="145">
        <v>0</v>
      </c>
      <c r="T808" s="145">
        <v>0</v>
      </c>
      <c r="U808" s="145">
        <v>0</v>
      </c>
    </row>
    <row r="809" spans="1:21" x14ac:dyDescent="0.2">
      <c r="A809" s="89">
        <f t="shared" si="12"/>
        <v>801</v>
      </c>
      <c r="B809" s="43">
        <v>22</v>
      </c>
      <c r="C809" s="43">
        <v>24</v>
      </c>
      <c r="D809" s="38" t="s">
        <v>635</v>
      </c>
      <c r="E809" s="44" t="s">
        <v>185</v>
      </c>
      <c r="F809" s="44" t="s">
        <v>6</v>
      </c>
      <c r="G809" s="44" t="s">
        <v>120</v>
      </c>
      <c r="H809" s="44" t="s">
        <v>12</v>
      </c>
      <c r="I809" s="44" t="s">
        <v>186</v>
      </c>
      <c r="J809" s="44" t="s">
        <v>9</v>
      </c>
      <c r="K809" s="44" t="s">
        <v>135</v>
      </c>
      <c r="L809" s="40">
        <v>19463</v>
      </c>
      <c r="M809" s="41">
        <v>41851</v>
      </c>
      <c r="N809" s="40" t="s">
        <v>122</v>
      </c>
      <c r="O809" s="42"/>
      <c r="P809" s="40">
        <v>65</v>
      </c>
      <c r="Q809" s="145">
        <v>0</v>
      </c>
      <c r="R809" s="145">
        <v>0</v>
      </c>
      <c r="S809" s="145">
        <v>0</v>
      </c>
      <c r="T809" s="145">
        <v>0</v>
      </c>
      <c r="U809" s="145">
        <v>0</v>
      </c>
    </row>
    <row r="810" spans="1:21" x14ac:dyDescent="0.2">
      <c r="A810" s="89">
        <f t="shared" si="12"/>
        <v>802</v>
      </c>
      <c r="B810" s="43">
        <v>22</v>
      </c>
      <c r="C810" s="43">
        <v>25</v>
      </c>
      <c r="D810" s="38" t="s">
        <v>636</v>
      </c>
      <c r="E810" s="44" t="s">
        <v>188</v>
      </c>
      <c r="F810" s="44" t="s">
        <v>6</v>
      </c>
      <c r="G810" s="44" t="s">
        <v>120</v>
      </c>
      <c r="H810" s="44" t="s">
        <v>12</v>
      </c>
      <c r="I810" s="44" t="s">
        <v>186</v>
      </c>
      <c r="J810" s="44" t="s">
        <v>10</v>
      </c>
      <c r="K810" s="44" t="s">
        <v>132</v>
      </c>
      <c r="L810" s="40">
        <v>19464</v>
      </c>
      <c r="M810" s="41">
        <v>41851</v>
      </c>
      <c r="N810" s="40" t="s">
        <v>122</v>
      </c>
      <c r="O810" s="42"/>
      <c r="P810" s="40">
        <v>65</v>
      </c>
      <c r="Q810" s="145">
        <v>0</v>
      </c>
      <c r="R810" s="145">
        <v>0</v>
      </c>
      <c r="S810" s="145">
        <v>0</v>
      </c>
      <c r="T810" s="145">
        <v>0</v>
      </c>
      <c r="U810" s="145">
        <v>0</v>
      </c>
    </row>
    <row r="811" spans="1:21" x14ac:dyDescent="0.2">
      <c r="A811" s="89">
        <f t="shared" si="12"/>
        <v>803</v>
      </c>
      <c r="B811" s="43">
        <v>22</v>
      </c>
      <c r="C811" s="43">
        <v>26</v>
      </c>
      <c r="D811" s="38" t="s">
        <v>637</v>
      </c>
      <c r="E811" s="44" t="s">
        <v>190</v>
      </c>
      <c r="F811" s="44" t="s">
        <v>6</v>
      </c>
      <c r="G811" s="44" t="s">
        <v>120</v>
      </c>
      <c r="H811" s="44" t="s">
        <v>12</v>
      </c>
      <c r="I811" s="44" t="s">
        <v>186</v>
      </c>
      <c r="J811" s="44" t="s">
        <v>11</v>
      </c>
      <c r="K811" s="44" t="s">
        <v>129</v>
      </c>
      <c r="L811" s="40">
        <v>19465</v>
      </c>
      <c r="M811" s="41">
        <v>41851</v>
      </c>
      <c r="N811" s="40" t="s">
        <v>122</v>
      </c>
      <c r="O811" s="42"/>
      <c r="P811" s="40">
        <v>65</v>
      </c>
      <c r="Q811" s="145">
        <v>0</v>
      </c>
      <c r="R811" s="145">
        <v>0</v>
      </c>
      <c r="S811" s="145">
        <v>0</v>
      </c>
      <c r="T811" s="145">
        <v>0</v>
      </c>
      <c r="U811" s="145">
        <v>0</v>
      </c>
    </row>
    <row r="812" spans="1:21" x14ac:dyDescent="0.2">
      <c r="A812" s="89">
        <f t="shared" si="12"/>
        <v>804</v>
      </c>
      <c r="B812" s="43">
        <v>22</v>
      </c>
      <c r="C812" s="43">
        <v>27</v>
      </c>
      <c r="D812" s="38" t="s">
        <v>638</v>
      </c>
      <c r="E812" s="44" t="s">
        <v>192</v>
      </c>
      <c r="F812" s="44" t="s">
        <v>6</v>
      </c>
      <c r="G812" s="44" t="s">
        <v>120</v>
      </c>
      <c r="H812" s="44" t="s">
        <v>100</v>
      </c>
      <c r="I812" s="44" t="s">
        <v>193</v>
      </c>
      <c r="J812" s="44" t="s">
        <v>7</v>
      </c>
      <c r="K812" s="44" t="s">
        <v>140</v>
      </c>
      <c r="L812" s="40">
        <v>19466</v>
      </c>
      <c r="M812" s="41">
        <v>41851</v>
      </c>
      <c r="N812" s="40" t="s">
        <v>122</v>
      </c>
      <c r="O812" s="42"/>
      <c r="P812" s="40">
        <v>65</v>
      </c>
      <c r="Q812" s="145">
        <v>0</v>
      </c>
      <c r="R812" s="145">
        <v>0</v>
      </c>
      <c r="S812" s="145">
        <v>0</v>
      </c>
      <c r="T812" s="145">
        <v>0</v>
      </c>
      <c r="U812" s="145">
        <v>0</v>
      </c>
    </row>
    <row r="813" spans="1:21" x14ac:dyDescent="0.2">
      <c r="A813" s="89">
        <f t="shared" si="12"/>
        <v>805</v>
      </c>
      <c r="B813" s="43">
        <v>22</v>
      </c>
      <c r="C813" s="43">
        <v>28</v>
      </c>
      <c r="D813" s="38" t="s">
        <v>639</v>
      </c>
      <c r="E813" s="44" t="s">
        <v>195</v>
      </c>
      <c r="F813" s="44" t="s">
        <v>39</v>
      </c>
      <c r="G813" s="44" t="s">
        <v>120</v>
      </c>
      <c r="H813" s="44" t="s">
        <v>44</v>
      </c>
      <c r="I813" s="44" t="s">
        <v>44</v>
      </c>
      <c r="J813" s="44" t="s">
        <v>7</v>
      </c>
      <c r="K813" s="44" t="s">
        <v>140</v>
      </c>
      <c r="L813" s="40">
        <v>19467</v>
      </c>
      <c r="M813" s="41">
        <v>41851</v>
      </c>
      <c r="N813" s="40" t="s">
        <v>122</v>
      </c>
      <c r="O813" s="42"/>
      <c r="P813" s="40">
        <v>65</v>
      </c>
      <c r="Q813" s="145">
        <v>0</v>
      </c>
      <c r="R813" s="145">
        <v>0</v>
      </c>
      <c r="S813" s="145">
        <v>0</v>
      </c>
      <c r="T813" s="145">
        <v>0</v>
      </c>
      <c r="U813" s="145">
        <v>0</v>
      </c>
    </row>
    <row r="814" spans="1:21" x14ac:dyDescent="0.2">
      <c r="A814" s="89">
        <f t="shared" si="12"/>
        <v>806</v>
      </c>
      <c r="B814" s="43">
        <v>22</v>
      </c>
      <c r="C814" s="43">
        <v>29</v>
      </c>
      <c r="D814" s="38" t="s">
        <v>640</v>
      </c>
      <c r="E814" s="44" t="s">
        <v>197</v>
      </c>
      <c r="F814" s="44" t="s">
        <v>39</v>
      </c>
      <c r="G814" s="44" t="s">
        <v>120</v>
      </c>
      <c r="H814" s="44" t="s">
        <v>44</v>
      </c>
      <c r="I814" s="44" t="s">
        <v>44</v>
      </c>
      <c r="J814" s="44" t="s">
        <v>45</v>
      </c>
      <c r="K814" s="44" t="s">
        <v>198</v>
      </c>
      <c r="L814" s="40">
        <v>19468</v>
      </c>
      <c r="M814" s="41">
        <v>41851</v>
      </c>
      <c r="N814" s="40" t="s">
        <v>122</v>
      </c>
      <c r="O814" s="42"/>
      <c r="P814" s="40">
        <v>65</v>
      </c>
      <c r="Q814" s="145">
        <v>0</v>
      </c>
      <c r="R814" s="145">
        <v>0</v>
      </c>
      <c r="S814" s="145">
        <v>0</v>
      </c>
      <c r="T814" s="145">
        <v>0</v>
      </c>
      <c r="U814" s="145">
        <v>0</v>
      </c>
    </row>
    <row r="815" spans="1:21" x14ac:dyDescent="0.2">
      <c r="A815" s="89">
        <f t="shared" si="12"/>
        <v>807</v>
      </c>
      <c r="B815" s="43">
        <v>22</v>
      </c>
      <c r="C815" s="43">
        <v>30</v>
      </c>
      <c r="D815" s="38" t="s">
        <v>641</v>
      </c>
      <c r="E815" s="44" t="s">
        <v>200</v>
      </c>
      <c r="F815" s="44" t="s">
        <v>39</v>
      </c>
      <c r="G815" s="44" t="s">
        <v>120</v>
      </c>
      <c r="H815" s="44" t="s">
        <v>44</v>
      </c>
      <c r="I815" s="44" t="s">
        <v>44</v>
      </c>
      <c r="J815" s="44" t="s">
        <v>46</v>
      </c>
      <c r="K815" s="44" t="s">
        <v>46</v>
      </c>
      <c r="L815" s="40">
        <v>19469</v>
      </c>
      <c r="M815" s="41">
        <v>41851</v>
      </c>
      <c r="N815" s="40" t="s">
        <v>122</v>
      </c>
      <c r="O815" s="42"/>
      <c r="P815" s="40">
        <v>65</v>
      </c>
      <c r="Q815" s="145">
        <v>0</v>
      </c>
      <c r="R815" s="145">
        <v>0</v>
      </c>
      <c r="S815" s="145">
        <v>0</v>
      </c>
      <c r="T815" s="145">
        <v>0</v>
      </c>
      <c r="U815" s="145">
        <v>0</v>
      </c>
    </row>
    <row r="816" spans="1:21" x14ac:dyDescent="0.2">
      <c r="A816" s="89">
        <f t="shared" si="12"/>
        <v>808</v>
      </c>
      <c r="B816" s="43">
        <v>22</v>
      </c>
      <c r="C816" s="43">
        <v>31</v>
      </c>
      <c r="D816" s="38" t="s">
        <v>642</v>
      </c>
      <c r="E816" s="44" t="s">
        <v>202</v>
      </c>
      <c r="F816" s="44" t="s">
        <v>39</v>
      </c>
      <c r="G816" s="44" t="s">
        <v>120</v>
      </c>
      <c r="H816" s="44" t="s">
        <v>47</v>
      </c>
      <c r="I816" s="44" t="s">
        <v>47</v>
      </c>
      <c r="J816" s="44" t="s">
        <v>7</v>
      </c>
      <c r="K816" s="44" t="s">
        <v>140</v>
      </c>
      <c r="L816" s="40">
        <v>19470</v>
      </c>
      <c r="M816" s="41">
        <v>41851</v>
      </c>
      <c r="N816" s="40" t="s">
        <v>122</v>
      </c>
      <c r="O816" s="42"/>
      <c r="P816" s="40">
        <v>65</v>
      </c>
      <c r="Q816" s="145">
        <v>0</v>
      </c>
      <c r="R816" s="145">
        <v>0</v>
      </c>
      <c r="S816" s="145">
        <v>0</v>
      </c>
      <c r="T816" s="145">
        <v>0</v>
      </c>
      <c r="U816" s="145">
        <v>0</v>
      </c>
    </row>
    <row r="817" spans="1:21" x14ac:dyDescent="0.2">
      <c r="A817" s="89">
        <f t="shared" si="12"/>
        <v>809</v>
      </c>
      <c r="B817" s="43">
        <v>22</v>
      </c>
      <c r="C817" s="43">
        <v>32</v>
      </c>
      <c r="D817" s="38" t="s">
        <v>643</v>
      </c>
      <c r="E817" s="44" t="s">
        <v>204</v>
      </c>
      <c r="F817" s="44" t="s">
        <v>6</v>
      </c>
      <c r="G817" s="44" t="s">
        <v>120</v>
      </c>
      <c r="H817" s="44" t="s">
        <v>14</v>
      </c>
      <c r="I817" s="44" t="s">
        <v>14</v>
      </c>
      <c r="J817" s="44" t="s">
        <v>15</v>
      </c>
      <c r="K817" s="44" t="s">
        <v>129</v>
      </c>
      <c r="L817" s="40">
        <v>19471</v>
      </c>
      <c r="M817" s="41">
        <v>41851</v>
      </c>
      <c r="N817" s="40" t="s">
        <v>122</v>
      </c>
      <c r="O817" s="42"/>
      <c r="P817" s="40">
        <v>65</v>
      </c>
      <c r="Q817" s="145">
        <v>0</v>
      </c>
      <c r="R817" s="145">
        <v>0</v>
      </c>
      <c r="S817" s="145">
        <v>0</v>
      </c>
      <c r="T817" s="145">
        <v>0</v>
      </c>
      <c r="U817" s="145">
        <v>0</v>
      </c>
    </row>
    <row r="818" spans="1:21" x14ac:dyDescent="0.2">
      <c r="A818" s="89">
        <f t="shared" si="12"/>
        <v>810</v>
      </c>
      <c r="B818" s="43">
        <v>22</v>
      </c>
      <c r="C818" s="43">
        <v>33</v>
      </c>
      <c r="D818" s="38" t="s">
        <v>644</v>
      </c>
      <c r="E818" s="44" t="s">
        <v>206</v>
      </c>
      <c r="F818" s="44" t="s">
        <v>6</v>
      </c>
      <c r="G818" s="44" t="s">
        <v>120</v>
      </c>
      <c r="H818" s="44" t="s">
        <v>14</v>
      </c>
      <c r="I818" s="44" t="s">
        <v>14</v>
      </c>
      <c r="J818" s="44" t="s">
        <v>16</v>
      </c>
      <c r="K818" s="44" t="s">
        <v>135</v>
      </c>
      <c r="L818" s="40">
        <v>19472</v>
      </c>
      <c r="M818" s="41">
        <v>41851</v>
      </c>
      <c r="N818" s="40" t="s">
        <v>122</v>
      </c>
      <c r="O818" s="42"/>
      <c r="P818" s="40">
        <v>65</v>
      </c>
      <c r="Q818" s="145">
        <v>0</v>
      </c>
      <c r="R818" s="145">
        <v>0</v>
      </c>
      <c r="S818" s="145">
        <v>0</v>
      </c>
      <c r="T818" s="145">
        <v>0</v>
      </c>
      <c r="U818" s="145">
        <v>0</v>
      </c>
    </row>
    <row r="819" spans="1:21" x14ac:dyDescent="0.2">
      <c r="A819" s="89">
        <f t="shared" si="12"/>
        <v>811</v>
      </c>
      <c r="B819" s="43">
        <v>22</v>
      </c>
      <c r="C819" s="43">
        <v>34</v>
      </c>
      <c r="D819" s="38" t="s">
        <v>645</v>
      </c>
      <c r="E819" s="44" t="s">
        <v>208</v>
      </c>
      <c r="F819" s="44" t="s">
        <v>31</v>
      </c>
      <c r="G819" s="44" t="s">
        <v>120</v>
      </c>
      <c r="H819" s="44" t="s">
        <v>36</v>
      </c>
      <c r="I819" s="44" t="s">
        <v>36</v>
      </c>
      <c r="J819" s="44" t="s">
        <v>37</v>
      </c>
      <c r="K819" s="44" t="s">
        <v>209</v>
      </c>
      <c r="L819" s="40">
        <v>19473</v>
      </c>
      <c r="M819" s="41">
        <v>41851</v>
      </c>
      <c r="N819" s="40" t="s">
        <v>122</v>
      </c>
      <c r="O819" s="42"/>
      <c r="P819" s="40">
        <v>65</v>
      </c>
      <c r="Q819" s="145">
        <v>0</v>
      </c>
      <c r="R819" s="145">
        <v>0</v>
      </c>
      <c r="S819" s="145">
        <v>0</v>
      </c>
      <c r="T819" s="145">
        <v>0</v>
      </c>
      <c r="U819" s="145">
        <v>0</v>
      </c>
    </row>
    <row r="820" spans="1:21" x14ac:dyDescent="0.2">
      <c r="A820" s="89">
        <f t="shared" si="12"/>
        <v>812</v>
      </c>
      <c r="B820" s="43">
        <v>22</v>
      </c>
      <c r="C820" s="43">
        <v>35</v>
      </c>
      <c r="D820" s="38" t="s">
        <v>646</v>
      </c>
      <c r="E820" s="44" t="s">
        <v>211</v>
      </c>
      <c r="F820" s="44" t="s">
        <v>31</v>
      </c>
      <c r="G820" s="44" t="s">
        <v>120</v>
      </c>
      <c r="H820" s="44" t="s">
        <v>36</v>
      </c>
      <c r="I820" s="44" t="s">
        <v>36</v>
      </c>
      <c r="J820" s="44" t="s">
        <v>38</v>
      </c>
      <c r="K820" s="44" t="s">
        <v>212</v>
      </c>
      <c r="L820" s="40">
        <v>19474</v>
      </c>
      <c r="M820" s="41">
        <v>41851</v>
      </c>
      <c r="N820" s="40" t="s">
        <v>122</v>
      </c>
      <c r="O820" s="42"/>
      <c r="P820" s="40">
        <v>65</v>
      </c>
      <c r="Q820" s="145">
        <v>0</v>
      </c>
      <c r="R820" s="145">
        <v>0</v>
      </c>
      <c r="S820" s="145">
        <v>0</v>
      </c>
      <c r="T820" s="145">
        <v>0</v>
      </c>
      <c r="U820" s="145">
        <v>0</v>
      </c>
    </row>
    <row r="821" spans="1:21" x14ac:dyDescent="0.2">
      <c r="A821" s="89">
        <f t="shared" si="12"/>
        <v>813</v>
      </c>
      <c r="B821" s="43">
        <v>22</v>
      </c>
      <c r="C821" s="43">
        <v>36</v>
      </c>
      <c r="D821" s="38" t="s">
        <v>647</v>
      </c>
      <c r="E821" s="44" t="s">
        <v>214</v>
      </c>
      <c r="F821" s="44" t="s">
        <v>6</v>
      </c>
      <c r="G821" s="44" t="s">
        <v>120</v>
      </c>
      <c r="H821" s="44" t="s">
        <v>17</v>
      </c>
      <c r="I821" s="44" t="s">
        <v>215</v>
      </c>
      <c r="J821" s="44" t="s">
        <v>18</v>
      </c>
      <c r="K821" s="44" t="s">
        <v>140</v>
      </c>
      <c r="L821" s="40">
        <v>19475</v>
      </c>
      <c r="M821" s="41">
        <v>41851</v>
      </c>
      <c r="N821" s="40" t="s">
        <v>122</v>
      </c>
      <c r="O821" s="42"/>
      <c r="P821" s="40">
        <v>65</v>
      </c>
      <c r="Q821" s="145">
        <v>0</v>
      </c>
      <c r="R821" s="145">
        <v>0</v>
      </c>
      <c r="S821" s="145">
        <v>0</v>
      </c>
      <c r="T821" s="145">
        <v>0</v>
      </c>
      <c r="U821" s="145">
        <v>0</v>
      </c>
    </row>
    <row r="822" spans="1:21" x14ac:dyDescent="0.2">
      <c r="A822" s="89">
        <f t="shared" si="12"/>
        <v>814</v>
      </c>
      <c r="B822" s="20"/>
      <c r="C822" s="20"/>
      <c r="D822" s="20"/>
    </row>
    <row r="823" spans="1:21" x14ac:dyDescent="0.2">
      <c r="A823" s="89">
        <f t="shared" si="12"/>
        <v>815</v>
      </c>
      <c r="B823" s="43">
        <v>23</v>
      </c>
      <c r="C823" s="43">
        <v>1</v>
      </c>
      <c r="D823" s="38" t="s">
        <v>612</v>
      </c>
      <c r="E823" s="44" t="s">
        <v>119</v>
      </c>
      <c r="F823" s="44" t="s">
        <v>31</v>
      </c>
      <c r="G823" s="44" t="s">
        <v>120</v>
      </c>
      <c r="H823" s="44" t="s">
        <v>32</v>
      </c>
      <c r="I823" s="44" t="s">
        <v>32</v>
      </c>
      <c r="J823" s="44" t="s">
        <v>33</v>
      </c>
      <c r="K823" s="44" t="s">
        <v>121</v>
      </c>
      <c r="L823" s="40">
        <v>19440</v>
      </c>
      <c r="M823" s="41">
        <v>41851</v>
      </c>
      <c r="N823" s="40" t="s">
        <v>122</v>
      </c>
      <c r="O823" s="42"/>
      <c r="P823" s="40">
        <v>66</v>
      </c>
      <c r="Q823" s="145">
        <v>0</v>
      </c>
      <c r="R823" s="145">
        <v>0</v>
      </c>
      <c r="S823" s="145">
        <v>0</v>
      </c>
      <c r="T823" s="145">
        <v>0</v>
      </c>
      <c r="U823" s="145">
        <v>0</v>
      </c>
    </row>
    <row r="824" spans="1:21" x14ac:dyDescent="0.2">
      <c r="A824" s="89">
        <f t="shared" si="12"/>
        <v>816</v>
      </c>
      <c r="B824" s="43">
        <v>23</v>
      </c>
      <c r="C824" s="43">
        <v>2</v>
      </c>
      <c r="D824" s="38" t="s">
        <v>613</v>
      </c>
      <c r="E824" s="44" t="s">
        <v>124</v>
      </c>
      <c r="F824" s="44" t="s">
        <v>31</v>
      </c>
      <c r="G824" s="44" t="s">
        <v>120</v>
      </c>
      <c r="H824" s="44" t="s">
        <v>32</v>
      </c>
      <c r="I824" s="44" t="s">
        <v>32</v>
      </c>
      <c r="J824" s="44" t="s">
        <v>34</v>
      </c>
      <c r="K824" s="44" t="s">
        <v>125</v>
      </c>
      <c r="L824" s="40">
        <v>19441</v>
      </c>
      <c r="M824" s="41">
        <v>41851</v>
      </c>
      <c r="N824" s="40" t="s">
        <v>122</v>
      </c>
      <c r="O824" s="42"/>
      <c r="P824" s="40">
        <v>66</v>
      </c>
      <c r="Q824" s="145">
        <v>0</v>
      </c>
      <c r="R824" s="145">
        <v>0</v>
      </c>
      <c r="S824" s="145">
        <v>0</v>
      </c>
      <c r="T824" s="145">
        <v>0</v>
      </c>
      <c r="U824" s="145">
        <v>0</v>
      </c>
    </row>
    <row r="825" spans="1:21" x14ac:dyDescent="0.2">
      <c r="A825" s="89">
        <f t="shared" si="12"/>
        <v>817</v>
      </c>
      <c r="B825" s="43">
        <v>23</v>
      </c>
      <c r="C825" s="43">
        <v>3</v>
      </c>
      <c r="D825" s="38" t="s">
        <v>614</v>
      </c>
      <c r="E825" s="44" t="s">
        <v>127</v>
      </c>
      <c r="F825" s="44" t="s">
        <v>20</v>
      </c>
      <c r="G825" s="44" t="s">
        <v>120</v>
      </c>
      <c r="H825" s="44" t="s">
        <v>63</v>
      </c>
      <c r="I825" s="44" t="s">
        <v>128</v>
      </c>
      <c r="J825" s="44" t="s">
        <v>15</v>
      </c>
      <c r="K825" s="44" t="s">
        <v>129</v>
      </c>
      <c r="L825" s="40">
        <v>19442</v>
      </c>
      <c r="M825" s="41">
        <v>41851</v>
      </c>
      <c r="N825" s="40" t="s">
        <v>122</v>
      </c>
      <c r="O825" s="42"/>
      <c r="P825" s="40">
        <v>66</v>
      </c>
      <c r="Q825" s="145">
        <v>0</v>
      </c>
      <c r="R825" s="145">
        <v>0</v>
      </c>
      <c r="S825" s="145">
        <v>0</v>
      </c>
      <c r="T825" s="145">
        <v>0</v>
      </c>
      <c r="U825" s="145">
        <v>0</v>
      </c>
    </row>
    <row r="826" spans="1:21" x14ac:dyDescent="0.2">
      <c r="A826" s="89">
        <f t="shared" si="12"/>
        <v>818</v>
      </c>
      <c r="B826" s="43">
        <v>23</v>
      </c>
      <c r="C826" s="43">
        <v>4</v>
      </c>
      <c r="D826" s="38" t="s">
        <v>615</v>
      </c>
      <c r="E826" s="44" t="s">
        <v>131</v>
      </c>
      <c r="F826" s="44" t="s">
        <v>20</v>
      </c>
      <c r="G826" s="44" t="s">
        <v>120</v>
      </c>
      <c r="H826" s="44" t="s">
        <v>63</v>
      </c>
      <c r="I826" s="44" t="s">
        <v>128</v>
      </c>
      <c r="J826" s="44" t="s">
        <v>21</v>
      </c>
      <c r="K826" s="44" t="s">
        <v>132</v>
      </c>
      <c r="L826" s="40">
        <v>19443</v>
      </c>
      <c r="M826" s="41">
        <v>41851</v>
      </c>
      <c r="N826" s="40" t="s">
        <v>122</v>
      </c>
      <c r="O826" s="42"/>
      <c r="P826" s="40">
        <v>66</v>
      </c>
      <c r="Q826" s="145">
        <v>0</v>
      </c>
      <c r="R826" s="145">
        <v>0</v>
      </c>
      <c r="S826" s="145">
        <v>0</v>
      </c>
      <c r="T826" s="145">
        <v>0</v>
      </c>
      <c r="U826" s="145">
        <v>0</v>
      </c>
    </row>
    <row r="827" spans="1:21" x14ac:dyDescent="0.2">
      <c r="A827" s="89">
        <f t="shared" si="12"/>
        <v>819</v>
      </c>
      <c r="B827" s="43">
        <v>23</v>
      </c>
      <c r="C827" s="43">
        <v>5</v>
      </c>
      <c r="D827" s="38" t="s">
        <v>616</v>
      </c>
      <c r="E827" s="44" t="s">
        <v>134</v>
      </c>
      <c r="F827" s="44" t="s">
        <v>20</v>
      </c>
      <c r="G827" s="44" t="s">
        <v>120</v>
      </c>
      <c r="H827" s="44" t="s">
        <v>63</v>
      </c>
      <c r="I827" s="44" t="s">
        <v>128</v>
      </c>
      <c r="J827" s="44" t="s">
        <v>16</v>
      </c>
      <c r="K827" s="44" t="s">
        <v>135</v>
      </c>
      <c r="L827" s="40">
        <v>19444</v>
      </c>
      <c r="M827" s="41">
        <v>41851</v>
      </c>
      <c r="N827" s="40" t="s">
        <v>122</v>
      </c>
      <c r="O827" s="42"/>
      <c r="P827" s="40">
        <v>66</v>
      </c>
      <c r="Q827" s="145">
        <v>0</v>
      </c>
      <c r="R827" s="145">
        <v>0</v>
      </c>
      <c r="S827" s="145">
        <v>0</v>
      </c>
      <c r="T827" s="145">
        <v>0</v>
      </c>
      <c r="U827" s="145">
        <v>0</v>
      </c>
    </row>
    <row r="828" spans="1:21" x14ac:dyDescent="0.2">
      <c r="A828" s="89">
        <f t="shared" si="12"/>
        <v>820</v>
      </c>
      <c r="B828" s="43">
        <v>23</v>
      </c>
      <c r="C828" s="43">
        <v>6</v>
      </c>
      <c r="D828" s="38" t="s">
        <v>617</v>
      </c>
      <c r="E828" s="44" t="s">
        <v>137</v>
      </c>
      <c r="F828" s="44" t="s">
        <v>25</v>
      </c>
      <c r="G828" s="44" t="s">
        <v>138</v>
      </c>
      <c r="H828" s="44" t="s">
        <v>139</v>
      </c>
      <c r="I828" s="44" t="s">
        <v>29</v>
      </c>
      <c r="J828" s="44" t="s">
        <v>30</v>
      </c>
      <c r="K828" s="44" t="s">
        <v>140</v>
      </c>
      <c r="L828" s="40">
        <v>19445</v>
      </c>
      <c r="M828" s="41">
        <v>41851</v>
      </c>
      <c r="N828" s="40" t="s">
        <v>122</v>
      </c>
      <c r="O828" s="42"/>
      <c r="P828" s="40">
        <v>66</v>
      </c>
      <c r="Q828" s="145">
        <v>0</v>
      </c>
      <c r="R828" s="145">
        <v>0</v>
      </c>
      <c r="S828" s="145">
        <v>0</v>
      </c>
      <c r="T828" s="145">
        <v>0</v>
      </c>
      <c r="U828" s="145">
        <v>0</v>
      </c>
    </row>
    <row r="829" spans="1:21" x14ac:dyDescent="0.2">
      <c r="A829" s="89">
        <f t="shared" si="12"/>
        <v>821</v>
      </c>
      <c r="B829" s="43">
        <v>23</v>
      </c>
      <c r="C829" s="43">
        <v>7</v>
      </c>
      <c r="D829" s="38" t="s">
        <v>618</v>
      </c>
      <c r="E829" s="44" t="s">
        <v>142</v>
      </c>
      <c r="F829" s="44" t="s">
        <v>39</v>
      </c>
      <c r="G829" s="44" t="s">
        <v>120</v>
      </c>
      <c r="H829" s="44" t="s">
        <v>40</v>
      </c>
      <c r="I829" s="44" t="s">
        <v>40</v>
      </c>
      <c r="J829" s="44" t="s">
        <v>42</v>
      </c>
      <c r="K829" s="44" t="s">
        <v>135</v>
      </c>
      <c r="L829" s="40">
        <v>19447</v>
      </c>
      <c r="M829" s="41">
        <v>41851</v>
      </c>
      <c r="N829" s="40" t="s">
        <v>122</v>
      </c>
      <c r="O829" s="42"/>
      <c r="P829" s="40">
        <v>66</v>
      </c>
      <c r="Q829" s="145">
        <v>0</v>
      </c>
      <c r="R829" s="145">
        <v>0</v>
      </c>
      <c r="S829" s="145">
        <v>0</v>
      </c>
      <c r="T829" s="145">
        <v>0</v>
      </c>
      <c r="U829" s="145">
        <v>0</v>
      </c>
    </row>
    <row r="830" spans="1:21" x14ac:dyDescent="0.2">
      <c r="A830" s="89">
        <f t="shared" si="12"/>
        <v>822</v>
      </c>
      <c r="B830" s="43">
        <v>23</v>
      </c>
      <c r="C830" s="43">
        <v>8</v>
      </c>
      <c r="D830" s="38" t="s">
        <v>619</v>
      </c>
      <c r="E830" s="44" t="s">
        <v>144</v>
      </c>
      <c r="F830" s="44" t="s">
        <v>39</v>
      </c>
      <c r="G830" s="44" t="s">
        <v>120</v>
      </c>
      <c r="H830" s="44" t="s">
        <v>40</v>
      </c>
      <c r="I830" s="44" t="s">
        <v>40</v>
      </c>
      <c r="J830" s="44" t="s">
        <v>41</v>
      </c>
      <c r="K830" s="44" t="s">
        <v>132</v>
      </c>
      <c r="L830" s="40">
        <v>19446</v>
      </c>
      <c r="M830" s="41">
        <v>41851</v>
      </c>
      <c r="N830" s="40" t="s">
        <v>122</v>
      </c>
      <c r="O830" s="42"/>
      <c r="P830" s="40">
        <v>66</v>
      </c>
      <c r="Q830" s="145">
        <v>0</v>
      </c>
      <c r="R830" s="145">
        <v>0</v>
      </c>
      <c r="S830" s="145">
        <v>0</v>
      </c>
      <c r="T830" s="145">
        <v>0</v>
      </c>
      <c r="U830" s="145">
        <v>0</v>
      </c>
    </row>
    <row r="831" spans="1:21" x14ac:dyDescent="0.2">
      <c r="A831" s="89">
        <f t="shared" si="12"/>
        <v>823</v>
      </c>
      <c r="B831" s="43">
        <v>23</v>
      </c>
      <c r="C831" s="43">
        <v>9</v>
      </c>
      <c r="D831" s="38" t="s">
        <v>620</v>
      </c>
      <c r="E831" s="44" t="s">
        <v>146</v>
      </c>
      <c r="F831" s="44" t="s">
        <v>39</v>
      </c>
      <c r="G831" s="44" t="s">
        <v>120</v>
      </c>
      <c r="H831" s="44" t="s">
        <v>40</v>
      </c>
      <c r="I831" s="44" t="s">
        <v>40</v>
      </c>
      <c r="J831" s="44" t="s">
        <v>7</v>
      </c>
      <c r="K831" s="44" t="s">
        <v>129</v>
      </c>
      <c r="L831" s="40">
        <v>19448</v>
      </c>
      <c r="M831" s="41">
        <v>41851</v>
      </c>
      <c r="N831" s="40" t="s">
        <v>122</v>
      </c>
      <c r="O831" s="42"/>
      <c r="P831" s="40">
        <v>66</v>
      </c>
      <c r="Q831" s="145">
        <v>0</v>
      </c>
      <c r="R831" s="145">
        <v>0</v>
      </c>
      <c r="S831" s="145">
        <v>0</v>
      </c>
      <c r="T831" s="145">
        <v>0</v>
      </c>
      <c r="U831" s="145">
        <v>0</v>
      </c>
    </row>
    <row r="832" spans="1:21" x14ac:dyDescent="0.2">
      <c r="A832" s="89">
        <f t="shared" si="12"/>
        <v>824</v>
      </c>
      <c r="B832" s="43">
        <v>23</v>
      </c>
      <c r="C832" s="43">
        <v>10</v>
      </c>
      <c r="D832" s="38" t="s">
        <v>621</v>
      </c>
      <c r="E832" s="44" t="s">
        <v>148</v>
      </c>
      <c r="F832" s="44" t="s">
        <v>25</v>
      </c>
      <c r="G832" s="44" t="s">
        <v>120</v>
      </c>
      <c r="H832" s="44" t="s">
        <v>149</v>
      </c>
      <c r="I832" s="44" t="s">
        <v>26</v>
      </c>
      <c r="J832" s="44" t="s">
        <v>27</v>
      </c>
      <c r="K832" s="44" t="s">
        <v>150</v>
      </c>
      <c r="L832" s="40">
        <v>19449</v>
      </c>
      <c r="M832" s="41">
        <v>41851</v>
      </c>
      <c r="N832" s="40" t="s">
        <v>122</v>
      </c>
      <c r="O832" s="42"/>
      <c r="P832" s="40">
        <v>66</v>
      </c>
      <c r="Q832" s="145">
        <v>0</v>
      </c>
      <c r="R832" s="145">
        <v>0</v>
      </c>
      <c r="S832" s="145">
        <v>0</v>
      </c>
      <c r="T832" s="145">
        <v>0</v>
      </c>
      <c r="U832" s="145">
        <v>0</v>
      </c>
    </row>
    <row r="833" spans="1:21" x14ac:dyDescent="0.2">
      <c r="A833" s="89">
        <f t="shared" si="12"/>
        <v>825</v>
      </c>
      <c r="B833" s="43">
        <v>23</v>
      </c>
      <c r="C833" s="43">
        <v>11</v>
      </c>
      <c r="D833" s="38" t="s">
        <v>622</v>
      </c>
      <c r="E833" s="44" t="s">
        <v>152</v>
      </c>
      <c r="F833" s="44" t="s">
        <v>25</v>
      </c>
      <c r="G833" s="44" t="s">
        <v>120</v>
      </c>
      <c r="H833" s="44" t="s">
        <v>149</v>
      </c>
      <c r="I833" s="44" t="s">
        <v>26</v>
      </c>
      <c r="J833" s="44" t="s">
        <v>28</v>
      </c>
      <c r="K833" s="44" t="s">
        <v>153</v>
      </c>
      <c r="L833" s="40">
        <v>19450</v>
      </c>
      <c r="M833" s="41">
        <v>41851</v>
      </c>
      <c r="N833" s="40" t="s">
        <v>122</v>
      </c>
      <c r="O833" s="42"/>
      <c r="P833" s="40">
        <v>66</v>
      </c>
      <c r="Q833" s="145">
        <v>0</v>
      </c>
      <c r="R833" s="145">
        <v>0</v>
      </c>
      <c r="S833" s="145">
        <v>0</v>
      </c>
      <c r="T833" s="145">
        <v>0</v>
      </c>
      <c r="U833" s="145">
        <v>0</v>
      </c>
    </row>
    <row r="834" spans="1:21" x14ac:dyDescent="0.2">
      <c r="A834" s="89">
        <f t="shared" si="12"/>
        <v>826</v>
      </c>
      <c r="B834" s="43">
        <v>23</v>
      </c>
      <c r="C834" s="43">
        <v>12</v>
      </c>
      <c r="D834" s="38" t="s">
        <v>623</v>
      </c>
      <c r="E834" s="44" t="s">
        <v>155</v>
      </c>
      <c r="F834" s="44" t="s">
        <v>20</v>
      </c>
      <c r="G834" s="44" t="s">
        <v>120</v>
      </c>
      <c r="H834" s="44" t="s">
        <v>105</v>
      </c>
      <c r="I834" s="44" t="s">
        <v>156</v>
      </c>
      <c r="J834" s="44" t="s">
        <v>22</v>
      </c>
      <c r="K834" s="44" t="s">
        <v>157</v>
      </c>
      <c r="L834" s="40">
        <v>19451</v>
      </c>
      <c r="M834" s="41">
        <v>41851</v>
      </c>
      <c r="N834" s="40" t="s">
        <v>122</v>
      </c>
      <c r="O834" s="42"/>
      <c r="P834" s="40">
        <v>66</v>
      </c>
      <c r="Q834" s="145">
        <v>0</v>
      </c>
      <c r="R834" s="145">
        <v>0</v>
      </c>
      <c r="S834" s="145">
        <v>0</v>
      </c>
      <c r="T834" s="145">
        <v>0</v>
      </c>
      <c r="U834" s="145">
        <v>0</v>
      </c>
    </row>
    <row r="835" spans="1:21" x14ac:dyDescent="0.2">
      <c r="A835" s="89">
        <f t="shared" si="12"/>
        <v>827</v>
      </c>
      <c r="B835" s="43">
        <v>23</v>
      </c>
      <c r="C835" s="43">
        <v>13</v>
      </c>
      <c r="D835" s="38" t="s">
        <v>624</v>
      </c>
      <c r="E835" s="44" t="s">
        <v>159</v>
      </c>
      <c r="F835" s="44" t="s">
        <v>39</v>
      </c>
      <c r="G835" s="44" t="s">
        <v>120</v>
      </c>
      <c r="H835" s="44" t="s">
        <v>43</v>
      </c>
      <c r="I835" s="44" t="s">
        <v>43</v>
      </c>
      <c r="J835" s="44" t="s">
        <v>7</v>
      </c>
      <c r="K835" s="44" t="s">
        <v>140</v>
      </c>
      <c r="L835" s="40">
        <v>19452</v>
      </c>
      <c r="M835" s="41">
        <v>41851</v>
      </c>
      <c r="N835" s="40" t="s">
        <v>122</v>
      </c>
      <c r="O835" s="42"/>
      <c r="P835" s="40">
        <v>66</v>
      </c>
      <c r="Q835" s="145">
        <v>0</v>
      </c>
      <c r="R835" s="145">
        <v>0</v>
      </c>
      <c r="S835" s="145">
        <v>0</v>
      </c>
      <c r="T835" s="145">
        <v>0</v>
      </c>
      <c r="U835" s="145">
        <v>0</v>
      </c>
    </row>
    <row r="836" spans="1:21" x14ac:dyDescent="0.2">
      <c r="A836" s="89">
        <f t="shared" si="12"/>
        <v>828</v>
      </c>
      <c r="B836" s="43">
        <v>23</v>
      </c>
      <c r="C836" s="43">
        <v>14</v>
      </c>
      <c r="D836" s="38" t="s">
        <v>625</v>
      </c>
      <c r="E836" s="44" t="s">
        <v>161</v>
      </c>
      <c r="F836" s="44" t="s">
        <v>6</v>
      </c>
      <c r="G836" s="44" t="s">
        <v>120</v>
      </c>
      <c r="H836" s="44" t="s">
        <v>48</v>
      </c>
      <c r="I836" s="44" t="s">
        <v>48</v>
      </c>
      <c r="J836" s="44" t="s">
        <v>7</v>
      </c>
      <c r="K836" s="44" t="s">
        <v>140</v>
      </c>
      <c r="L836" s="40">
        <v>19453</v>
      </c>
      <c r="M836" s="41">
        <v>41851</v>
      </c>
      <c r="N836" s="40" t="s">
        <v>122</v>
      </c>
      <c r="O836" s="42"/>
      <c r="P836" s="40">
        <v>66</v>
      </c>
      <c r="Q836" s="145">
        <v>0</v>
      </c>
      <c r="R836" s="145">
        <v>0</v>
      </c>
      <c r="S836" s="145">
        <v>0</v>
      </c>
      <c r="T836" s="145">
        <v>0</v>
      </c>
      <c r="U836" s="145">
        <v>0</v>
      </c>
    </row>
    <row r="837" spans="1:21" x14ac:dyDescent="0.2">
      <c r="A837" s="89">
        <f t="shared" si="12"/>
        <v>829</v>
      </c>
      <c r="B837" s="43">
        <v>23</v>
      </c>
      <c r="C837" s="43">
        <v>15</v>
      </c>
      <c r="D837" s="38" t="s">
        <v>626</v>
      </c>
      <c r="E837" s="44" t="s">
        <v>163</v>
      </c>
      <c r="F837" s="44" t="s">
        <v>20</v>
      </c>
      <c r="G837" s="44" t="s">
        <v>120</v>
      </c>
      <c r="H837" s="44" t="s">
        <v>23</v>
      </c>
      <c r="I837" s="44" t="s">
        <v>164</v>
      </c>
      <c r="J837" s="44" t="s">
        <v>24</v>
      </c>
      <c r="K837" s="44" t="s">
        <v>140</v>
      </c>
      <c r="L837" s="40">
        <v>19454</v>
      </c>
      <c r="M837" s="41">
        <v>41851</v>
      </c>
      <c r="N837" s="40" t="s">
        <v>122</v>
      </c>
      <c r="O837" s="42"/>
      <c r="P837" s="40">
        <v>66</v>
      </c>
      <c r="Q837" s="145">
        <v>0</v>
      </c>
      <c r="R837" s="145">
        <v>0</v>
      </c>
      <c r="S837" s="145">
        <v>0</v>
      </c>
      <c r="T837" s="145">
        <v>0</v>
      </c>
      <c r="U837" s="145">
        <v>0</v>
      </c>
    </row>
    <row r="838" spans="1:21" x14ac:dyDescent="0.2">
      <c r="A838" s="89">
        <f t="shared" si="12"/>
        <v>830</v>
      </c>
      <c r="B838" s="43">
        <v>23</v>
      </c>
      <c r="C838" s="43">
        <v>16</v>
      </c>
      <c r="D838" s="38" t="s">
        <v>627</v>
      </c>
      <c r="E838" s="44" t="s">
        <v>166</v>
      </c>
      <c r="F838" s="44" t="s">
        <v>20</v>
      </c>
      <c r="G838" s="44" t="s">
        <v>120</v>
      </c>
      <c r="H838" s="44" t="s">
        <v>64</v>
      </c>
      <c r="I838" s="44" t="s">
        <v>167</v>
      </c>
      <c r="J838" s="44" t="s">
        <v>7</v>
      </c>
      <c r="K838" s="44" t="s">
        <v>140</v>
      </c>
      <c r="L838" s="40">
        <v>19455</v>
      </c>
      <c r="M838" s="41">
        <v>41851</v>
      </c>
      <c r="N838" s="40" t="s">
        <v>122</v>
      </c>
      <c r="O838" s="42"/>
      <c r="P838" s="40">
        <v>66</v>
      </c>
      <c r="Q838" s="145">
        <v>0</v>
      </c>
      <c r="R838" s="145">
        <v>0</v>
      </c>
      <c r="S838" s="145">
        <v>0</v>
      </c>
      <c r="T838" s="145">
        <v>0</v>
      </c>
      <c r="U838" s="145">
        <v>0</v>
      </c>
    </row>
    <row r="839" spans="1:21" x14ac:dyDescent="0.2">
      <c r="A839" s="89">
        <f t="shared" si="12"/>
        <v>831</v>
      </c>
      <c r="B839" s="43">
        <v>23</v>
      </c>
      <c r="C839" s="43">
        <v>17</v>
      </c>
      <c r="D839" s="38" t="s">
        <v>628</v>
      </c>
      <c r="E839" s="44" t="s">
        <v>169</v>
      </c>
      <c r="F839" s="44" t="s">
        <v>31</v>
      </c>
      <c r="G839" s="44" t="s">
        <v>120</v>
      </c>
      <c r="H839" s="44" t="s">
        <v>35</v>
      </c>
      <c r="I839" s="44" t="s">
        <v>35</v>
      </c>
      <c r="J839" s="44" t="s">
        <v>9</v>
      </c>
      <c r="K839" s="44" t="s">
        <v>135</v>
      </c>
      <c r="L839" s="40">
        <v>19456</v>
      </c>
      <c r="M839" s="41">
        <v>41851</v>
      </c>
      <c r="N839" s="40" t="s">
        <v>122</v>
      </c>
      <c r="O839" s="42"/>
      <c r="P839" s="40">
        <v>66</v>
      </c>
      <c r="Q839" s="145">
        <v>0</v>
      </c>
      <c r="R839" s="145">
        <v>0</v>
      </c>
      <c r="S839" s="145">
        <v>0</v>
      </c>
      <c r="T839" s="145">
        <v>0</v>
      </c>
      <c r="U839" s="145">
        <v>0</v>
      </c>
    </row>
    <row r="840" spans="1:21" x14ac:dyDescent="0.2">
      <c r="A840" s="89">
        <f t="shared" si="12"/>
        <v>832</v>
      </c>
      <c r="B840" s="43">
        <v>23</v>
      </c>
      <c r="C840" s="43">
        <v>18</v>
      </c>
      <c r="D840" s="38" t="s">
        <v>629</v>
      </c>
      <c r="E840" s="44" t="s">
        <v>171</v>
      </c>
      <c r="F840" s="44" t="s">
        <v>31</v>
      </c>
      <c r="G840" s="44" t="s">
        <v>120</v>
      </c>
      <c r="H840" s="44" t="s">
        <v>35</v>
      </c>
      <c r="I840" s="44" t="s">
        <v>35</v>
      </c>
      <c r="J840" s="44" t="s">
        <v>10</v>
      </c>
      <c r="K840" s="44" t="s">
        <v>132</v>
      </c>
      <c r="L840" s="40">
        <v>19457</v>
      </c>
      <c r="M840" s="41">
        <v>41851</v>
      </c>
      <c r="N840" s="40" t="s">
        <v>122</v>
      </c>
      <c r="O840" s="42"/>
      <c r="P840" s="40">
        <v>66</v>
      </c>
      <c r="Q840" s="145">
        <v>0</v>
      </c>
      <c r="R840" s="145">
        <v>0</v>
      </c>
      <c r="S840" s="145">
        <v>0</v>
      </c>
      <c r="T840" s="145">
        <v>0</v>
      </c>
      <c r="U840" s="145">
        <v>0</v>
      </c>
    </row>
    <row r="841" spans="1:21" x14ac:dyDescent="0.2">
      <c r="A841" s="89">
        <f t="shared" si="12"/>
        <v>833</v>
      </c>
      <c r="B841" s="43">
        <v>23</v>
      </c>
      <c r="C841" s="43">
        <v>19</v>
      </c>
      <c r="D841" s="38" t="s">
        <v>630</v>
      </c>
      <c r="E841" s="44" t="s">
        <v>173</v>
      </c>
      <c r="F841" s="44" t="s">
        <v>31</v>
      </c>
      <c r="G841" s="44" t="s">
        <v>120</v>
      </c>
      <c r="H841" s="44" t="s">
        <v>35</v>
      </c>
      <c r="I841" s="44" t="s">
        <v>35</v>
      </c>
      <c r="J841" s="44" t="s">
        <v>11</v>
      </c>
      <c r="K841" s="44" t="s">
        <v>129</v>
      </c>
      <c r="L841" s="40">
        <v>19458</v>
      </c>
      <c r="M841" s="41">
        <v>41851</v>
      </c>
      <c r="N841" s="40" t="s">
        <v>122</v>
      </c>
      <c r="O841" s="42"/>
      <c r="P841" s="40">
        <v>66</v>
      </c>
      <c r="Q841" s="145">
        <v>0</v>
      </c>
      <c r="R841" s="145">
        <v>0</v>
      </c>
      <c r="S841" s="145">
        <v>0</v>
      </c>
      <c r="T841" s="145">
        <v>0</v>
      </c>
      <c r="U841" s="145">
        <v>0</v>
      </c>
    </row>
    <row r="842" spans="1:21" x14ac:dyDescent="0.2">
      <c r="A842" s="89">
        <f t="shared" si="12"/>
        <v>834</v>
      </c>
      <c r="B842" s="43">
        <v>23</v>
      </c>
      <c r="C842" s="43">
        <v>20</v>
      </c>
      <c r="D842" s="38" t="s">
        <v>631</v>
      </c>
      <c r="E842" s="44" t="s">
        <v>175</v>
      </c>
      <c r="F842" s="44" t="s">
        <v>6</v>
      </c>
      <c r="G842" s="44" t="s">
        <v>120</v>
      </c>
      <c r="H842" s="44" t="s">
        <v>176</v>
      </c>
      <c r="I842" s="44" t="s">
        <v>177</v>
      </c>
      <c r="J842" s="44" t="s">
        <v>9</v>
      </c>
      <c r="K842" s="44" t="s">
        <v>135</v>
      </c>
      <c r="L842" s="40">
        <v>19460</v>
      </c>
      <c r="M842" s="41">
        <v>41851</v>
      </c>
      <c r="N842" s="40" t="s">
        <v>122</v>
      </c>
      <c r="O842" s="42"/>
      <c r="P842" s="40">
        <v>66</v>
      </c>
      <c r="Q842" s="145">
        <v>0</v>
      </c>
      <c r="R842" s="145">
        <v>0</v>
      </c>
      <c r="S842" s="145">
        <v>0</v>
      </c>
      <c r="T842" s="145">
        <v>0</v>
      </c>
      <c r="U842" s="145">
        <v>0</v>
      </c>
    </row>
    <row r="843" spans="1:21" x14ac:dyDescent="0.2">
      <c r="A843" s="89">
        <f t="shared" ref="A843:A895" si="13">A842+1</f>
        <v>835</v>
      </c>
      <c r="B843" s="43">
        <v>23</v>
      </c>
      <c r="C843" s="43">
        <v>21</v>
      </c>
      <c r="D843" s="38" t="s">
        <v>632</v>
      </c>
      <c r="E843" s="44" t="s">
        <v>179</v>
      </c>
      <c r="F843" s="44" t="s">
        <v>6</v>
      </c>
      <c r="G843" s="44" t="s">
        <v>120</v>
      </c>
      <c r="H843" s="44" t="s">
        <v>176</v>
      </c>
      <c r="I843" s="44" t="s">
        <v>177</v>
      </c>
      <c r="J843" s="44" t="s">
        <v>10</v>
      </c>
      <c r="K843" s="44" t="s">
        <v>132</v>
      </c>
      <c r="L843" s="40">
        <v>19459</v>
      </c>
      <c r="M843" s="41">
        <v>41851</v>
      </c>
      <c r="N843" s="40" t="s">
        <v>122</v>
      </c>
      <c r="O843" s="42"/>
      <c r="P843" s="40">
        <v>66</v>
      </c>
      <c r="Q843" s="145">
        <v>0</v>
      </c>
      <c r="R843" s="145">
        <v>0</v>
      </c>
      <c r="S843" s="145">
        <v>0</v>
      </c>
      <c r="T843" s="145">
        <v>0</v>
      </c>
      <c r="U843" s="145">
        <v>0</v>
      </c>
    </row>
    <row r="844" spans="1:21" x14ac:dyDescent="0.2">
      <c r="A844" s="89">
        <f t="shared" si="13"/>
        <v>836</v>
      </c>
      <c r="B844" s="43">
        <v>23</v>
      </c>
      <c r="C844" s="43">
        <v>22</v>
      </c>
      <c r="D844" s="38" t="s">
        <v>633</v>
      </c>
      <c r="E844" s="44" t="s">
        <v>181</v>
      </c>
      <c r="F844" s="44" t="s">
        <v>6</v>
      </c>
      <c r="G844" s="44" t="s">
        <v>120</v>
      </c>
      <c r="H844" s="44" t="s">
        <v>176</v>
      </c>
      <c r="I844" s="44" t="s">
        <v>177</v>
      </c>
      <c r="J844" s="44" t="s">
        <v>11</v>
      </c>
      <c r="K844" s="44" t="s">
        <v>129</v>
      </c>
      <c r="L844" s="40">
        <v>19461</v>
      </c>
      <c r="M844" s="41">
        <v>41851</v>
      </c>
      <c r="N844" s="40" t="s">
        <v>122</v>
      </c>
      <c r="O844" s="42"/>
      <c r="P844" s="40">
        <v>66</v>
      </c>
      <c r="Q844" s="145">
        <v>0</v>
      </c>
      <c r="R844" s="145">
        <v>0</v>
      </c>
      <c r="S844" s="145">
        <v>0</v>
      </c>
      <c r="T844" s="145">
        <v>0</v>
      </c>
      <c r="U844" s="145">
        <v>0</v>
      </c>
    </row>
    <row r="845" spans="1:21" x14ac:dyDescent="0.2">
      <c r="A845" s="89">
        <f t="shared" si="13"/>
        <v>837</v>
      </c>
      <c r="B845" s="43">
        <v>23</v>
      </c>
      <c r="C845" s="43">
        <v>23</v>
      </c>
      <c r="D845" s="38" t="s">
        <v>634</v>
      </c>
      <c r="E845" s="44" t="s">
        <v>183</v>
      </c>
      <c r="F845" s="44" t="s">
        <v>6</v>
      </c>
      <c r="G845" s="44" t="s">
        <v>120</v>
      </c>
      <c r="H845" s="44" t="s">
        <v>13</v>
      </c>
      <c r="I845" s="44" t="s">
        <v>13</v>
      </c>
      <c r="J845" s="44" t="s">
        <v>7</v>
      </c>
      <c r="K845" s="44" t="s">
        <v>140</v>
      </c>
      <c r="L845" s="40">
        <v>19462</v>
      </c>
      <c r="M845" s="41">
        <v>41851</v>
      </c>
      <c r="N845" s="40" t="s">
        <v>122</v>
      </c>
      <c r="O845" s="42"/>
      <c r="P845" s="40">
        <v>66</v>
      </c>
      <c r="Q845" s="145">
        <v>0</v>
      </c>
      <c r="R845" s="145">
        <v>0</v>
      </c>
      <c r="S845" s="145">
        <v>0</v>
      </c>
      <c r="T845" s="145">
        <v>0</v>
      </c>
      <c r="U845" s="145">
        <v>0</v>
      </c>
    </row>
    <row r="846" spans="1:21" x14ac:dyDescent="0.2">
      <c r="A846" s="89">
        <f t="shared" si="13"/>
        <v>838</v>
      </c>
      <c r="B846" s="43">
        <v>23</v>
      </c>
      <c r="C846" s="43">
        <v>24</v>
      </c>
      <c r="D846" s="38" t="s">
        <v>635</v>
      </c>
      <c r="E846" s="44" t="s">
        <v>185</v>
      </c>
      <c r="F846" s="44" t="s">
        <v>6</v>
      </c>
      <c r="G846" s="44" t="s">
        <v>120</v>
      </c>
      <c r="H846" s="44" t="s">
        <v>12</v>
      </c>
      <c r="I846" s="44" t="s">
        <v>186</v>
      </c>
      <c r="J846" s="44" t="s">
        <v>9</v>
      </c>
      <c r="K846" s="44" t="s">
        <v>135</v>
      </c>
      <c r="L846" s="40">
        <v>19463</v>
      </c>
      <c r="M846" s="41">
        <v>41851</v>
      </c>
      <c r="N846" s="40" t="s">
        <v>122</v>
      </c>
      <c r="O846" s="42"/>
      <c r="P846" s="40">
        <v>66</v>
      </c>
      <c r="Q846" s="145">
        <v>0</v>
      </c>
      <c r="R846" s="145">
        <v>0</v>
      </c>
      <c r="S846" s="145">
        <v>0</v>
      </c>
      <c r="T846" s="145">
        <v>0</v>
      </c>
      <c r="U846" s="145">
        <v>0</v>
      </c>
    </row>
    <row r="847" spans="1:21" x14ac:dyDescent="0.2">
      <c r="A847" s="89">
        <f t="shared" si="13"/>
        <v>839</v>
      </c>
      <c r="B847" s="43">
        <v>23</v>
      </c>
      <c r="C847" s="43">
        <v>25</v>
      </c>
      <c r="D847" s="38" t="s">
        <v>636</v>
      </c>
      <c r="E847" s="44" t="s">
        <v>188</v>
      </c>
      <c r="F847" s="44" t="s">
        <v>6</v>
      </c>
      <c r="G847" s="44" t="s">
        <v>120</v>
      </c>
      <c r="H847" s="44" t="s">
        <v>12</v>
      </c>
      <c r="I847" s="44" t="s">
        <v>186</v>
      </c>
      <c r="J847" s="44" t="s">
        <v>10</v>
      </c>
      <c r="K847" s="44" t="s">
        <v>132</v>
      </c>
      <c r="L847" s="40">
        <v>19464</v>
      </c>
      <c r="M847" s="41">
        <v>41851</v>
      </c>
      <c r="N847" s="40" t="s">
        <v>122</v>
      </c>
      <c r="O847" s="42"/>
      <c r="P847" s="40">
        <v>66</v>
      </c>
      <c r="Q847" s="145">
        <v>0</v>
      </c>
      <c r="R847" s="145">
        <v>0</v>
      </c>
      <c r="S847" s="145">
        <v>0</v>
      </c>
      <c r="T847" s="145">
        <v>0</v>
      </c>
      <c r="U847" s="145">
        <v>0</v>
      </c>
    </row>
    <row r="848" spans="1:21" x14ac:dyDescent="0.2">
      <c r="A848" s="89">
        <f t="shared" si="13"/>
        <v>840</v>
      </c>
      <c r="B848" s="43">
        <v>23</v>
      </c>
      <c r="C848" s="43">
        <v>26</v>
      </c>
      <c r="D848" s="38" t="s">
        <v>637</v>
      </c>
      <c r="E848" s="44" t="s">
        <v>190</v>
      </c>
      <c r="F848" s="44" t="s">
        <v>6</v>
      </c>
      <c r="G848" s="44" t="s">
        <v>120</v>
      </c>
      <c r="H848" s="44" t="s">
        <v>12</v>
      </c>
      <c r="I848" s="44" t="s">
        <v>186</v>
      </c>
      <c r="J848" s="44" t="s">
        <v>11</v>
      </c>
      <c r="K848" s="44" t="s">
        <v>129</v>
      </c>
      <c r="L848" s="40">
        <v>19465</v>
      </c>
      <c r="M848" s="41">
        <v>41851</v>
      </c>
      <c r="N848" s="40" t="s">
        <v>122</v>
      </c>
      <c r="O848" s="42"/>
      <c r="P848" s="40">
        <v>66</v>
      </c>
      <c r="Q848" s="145">
        <v>0</v>
      </c>
      <c r="R848" s="145">
        <v>0</v>
      </c>
      <c r="S848" s="145">
        <v>0</v>
      </c>
      <c r="T848" s="145">
        <v>0</v>
      </c>
      <c r="U848" s="145">
        <v>0</v>
      </c>
    </row>
    <row r="849" spans="1:21" x14ac:dyDescent="0.2">
      <c r="A849" s="89">
        <f t="shared" si="13"/>
        <v>841</v>
      </c>
      <c r="B849" s="43">
        <v>23</v>
      </c>
      <c r="C849" s="43">
        <v>27</v>
      </c>
      <c r="D849" s="38" t="s">
        <v>638</v>
      </c>
      <c r="E849" s="44" t="s">
        <v>192</v>
      </c>
      <c r="F849" s="44" t="s">
        <v>6</v>
      </c>
      <c r="G849" s="44" t="s">
        <v>120</v>
      </c>
      <c r="H849" s="44" t="s">
        <v>100</v>
      </c>
      <c r="I849" s="44" t="s">
        <v>193</v>
      </c>
      <c r="J849" s="44" t="s">
        <v>7</v>
      </c>
      <c r="K849" s="44" t="s">
        <v>140</v>
      </c>
      <c r="L849" s="40">
        <v>19466</v>
      </c>
      <c r="M849" s="41">
        <v>41851</v>
      </c>
      <c r="N849" s="40" t="s">
        <v>122</v>
      </c>
      <c r="O849" s="42"/>
      <c r="P849" s="40">
        <v>66</v>
      </c>
      <c r="Q849" s="145">
        <v>0</v>
      </c>
      <c r="R849" s="145">
        <v>0</v>
      </c>
      <c r="S849" s="145">
        <v>0</v>
      </c>
      <c r="T849" s="145">
        <v>0</v>
      </c>
      <c r="U849" s="145">
        <v>0</v>
      </c>
    </row>
    <row r="850" spans="1:21" x14ac:dyDescent="0.2">
      <c r="A850" s="89">
        <f t="shared" si="13"/>
        <v>842</v>
      </c>
      <c r="B850" s="43">
        <v>23</v>
      </c>
      <c r="C850" s="43">
        <v>28</v>
      </c>
      <c r="D850" s="38" t="s">
        <v>639</v>
      </c>
      <c r="E850" s="44" t="s">
        <v>195</v>
      </c>
      <c r="F850" s="44" t="s">
        <v>39</v>
      </c>
      <c r="G850" s="44" t="s">
        <v>120</v>
      </c>
      <c r="H850" s="44" t="s">
        <v>44</v>
      </c>
      <c r="I850" s="44" t="s">
        <v>44</v>
      </c>
      <c r="J850" s="44" t="s">
        <v>7</v>
      </c>
      <c r="K850" s="44" t="s">
        <v>140</v>
      </c>
      <c r="L850" s="40">
        <v>19467</v>
      </c>
      <c r="M850" s="41">
        <v>41851</v>
      </c>
      <c r="N850" s="40" t="s">
        <v>122</v>
      </c>
      <c r="O850" s="42"/>
      <c r="P850" s="40">
        <v>66</v>
      </c>
      <c r="Q850" s="145">
        <v>0</v>
      </c>
      <c r="R850" s="145">
        <v>0</v>
      </c>
      <c r="S850" s="145">
        <v>0</v>
      </c>
      <c r="T850" s="145">
        <v>0</v>
      </c>
      <c r="U850" s="145">
        <v>0</v>
      </c>
    </row>
    <row r="851" spans="1:21" x14ac:dyDescent="0.2">
      <c r="A851" s="89">
        <f t="shared" si="13"/>
        <v>843</v>
      </c>
      <c r="B851" s="43">
        <v>23</v>
      </c>
      <c r="C851" s="43">
        <v>29</v>
      </c>
      <c r="D851" s="38" t="s">
        <v>640</v>
      </c>
      <c r="E851" s="44" t="s">
        <v>197</v>
      </c>
      <c r="F851" s="44" t="s">
        <v>39</v>
      </c>
      <c r="G851" s="44" t="s">
        <v>120</v>
      </c>
      <c r="H851" s="44" t="s">
        <v>44</v>
      </c>
      <c r="I851" s="44" t="s">
        <v>44</v>
      </c>
      <c r="J851" s="44" t="s">
        <v>45</v>
      </c>
      <c r="K851" s="44" t="s">
        <v>198</v>
      </c>
      <c r="L851" s="40">
        <v>19468</v>
      </c>
      <c r="M851" s="41">
        <v>41851</v>
      </c>
      <c r="N851" s="40" t="s">
        <v>122</v>
      </c>
      <c r="O851" s="42"/>
      <c r="P851" s="40">
        <v>66</v>
      </c>
      <c r="Q851" s="145">
        <v>0</v>
      </c>
      <c r="R851" s="145">
        <v>0</v>
      </c>
      <c r="S851" s="145">
        <v>0</v>
      </c>
      <c r="T851" s="145">
        <v>0</v>
      </c>
      <c r="U851" s="145">
        <v>0</v>
      </c>
    </row>
    <row r="852" spans="1:21" x14ac:dyDescent="0.2">
      <c r="A852" s="89">
        <f t="shared" si="13"/>
        <v>844</v>
      </c>
      <c r="B852" s="43">
        <v>23</v>
      </c>
      <c r="C852" s="43">
        <v>30</v>
      </c>
      <c r="D852" s="38" t="s">
        <v>641</v>
      </c>
      <c r="E852" s="44" t="s">
        <v>200</v>
      </c>
      <c r="F852" s="44" t="s">
        <v>39</v>
      </c>
      <c r="G852" s="44" t="s">
        <v>120</v>
      </c>
      <c r="H852" s="44" t="s">
        <v>44</v>
      </c>
      <c r="I852" s="44" t="s">
        <v>44</v>
      </c>
      <c r="J852" s="44" t="s">
        <v>46</v>
      </c>
      <c r="K852" s="44" t="s">
        <v>46</v>
      </c>
      <c r="L852" s="40">
        <v>19469</v>
      </c>
      <c r="M852" s="41">
        <v>41851</v>
      </c>
      <c r="N852" s="40" t="s">
        <v>122</v>
      </c>
      <c r="O852" s="42"/>
      <c r="P852" s="40">
        <v>66</v>
      </c>
      <c r="Q852" s="145">
        <v>0</v>
      </c>
      <c r="R852" s="145">
        <v>0</v>
      </c>
      <c r="S852" s="145">
        <v>0</v>
      </c>
      <c r="T852" s="145">
        <v>0</v>
      </c>
      <c r="U852" s="145">
        <v>0</v>
      </c>
    </row>
    <row r="853" spans="1:21" x14ac:dyDescent="0.2">
      <c r="A853" s="89">
        <f t="shared" si="13"/>
        <v>845</v>
      </c>
      <c r="B853" s="43">
        <v>23</v>
      </c>
      <c r="C853" s="43">
        <v>31</v>
      </c>
      <c r="D853" s="38" t="s">
        <v>642</v>
      </c>
      <c r="E853" s="44" t="s">
        <v>202</v>
      </c>
      <c r="F853" s="44" t="s">
        <v>39</v>
      </c>
      <c r="G853" s="44" t="s">
        <v>120</v>
      </c>
      <c r="H853" s="44" t="s">
        <v>47</v>
      </c>
      <c r="I853" s="44" t="s">
        <v>47</v>
      </c>
      <c r="J853" s="44" t="s">
        <v>7</v>
      </c>
      <c r="K853" s="44" t="s">
        <v>140</v>
      </c>
      <c r="L853" s="40">
        <v>19470</v>
      </c>
      <c r="M853" s="41">
        <v>41851</v>
      </c>
      <c r="N853" s="40" t="s">
        <v>122</v>
      </c>
      <c r="O853" s="42"/>
      <c r="P853" s="40">
        <v>66</v>
      </c>
      <c r="Q853" s="145">
        <v>0</v>
      </c>
      <c r="R853" s="145">
        <v>0</v>
      </c>
      <c r="S853" s="145">
        <v>0</v>
      </c>
      <c r="T853" s="145">
        <v>0</v>
      </c>
      <c r="U853" s="145">
        <v>0</v>
      </c>
    </row>
    <row r="854" spans="1:21" x14ac:dyDescent="0.2">
      <c r="A854" s="89">
        <f t="shared" si="13"/>
        <v>846</v>
      </c>
      <c r="B854" s="43">
        <v>23</v>
      </c>
      <c r="C854" s="43">
        <v>32</v>
      </c>
      <c r="D854" s="38" t="s">
        <v>643</v>
      </c>
      <c r="E854" s="44" t="s">
        <v>204</v>
      </c>
      <c r="F854" s="44" t="s">
        <v>6</v>
      </c>
      <c r="G854" s="44" t="s">
        <v>120</v>
      </c>
      <c r="H854" s="44" t="s">
        <v>14</v>
      </c>
      <c r="I854" s="44" t="s">
        <v>14</v>
      </c>
      <c r="J854" s="44" t="s">
        <v>15</v>
      </c>
      <c r="K854" s="44" t="s">
        <v>129</v>
      </c>
      <c r="L854" s="40">
        <v>19471</v>
      </c>
      <c r="M854" s="41">
        <v>41851</v>
      </c>
      <c r="N854" s="40" t="s">
        <v>122</v>
      </c>
      <c r="O854" s="42"/>
      <c r="P854" s="40">
        <v>66</v>
      </c>
      <c r="Q854" s="145">
        <v>0</v>
      </c>
      <c r="R854" s="145">
        <v>0</v>
      </c>
      <c r="S854" s="145">
        <v>0</v>
      </c>
      <c r="T854" s="145">
        <v>0</v>
      </c>
      <c r="U854" s="145">
        <v>0</v>
      </c>
    </row>
    <row r="855" spans="1:21" x14ac:dyDescent="0.2">
      <c r="A855" s="89">
        <f t="shared" si="13"/>
        <v>847</v>
      </c>
      <c r="B855" s="43">
        <v>23</v>
      </c>
      <c r="C855" s="43">
        <v>33</v>
      </c>
      <c r="D855" s="38" t="s">
        <v>644</v>
      </c>
      <c r="E855" s="44" t="s">
        <v>206</v>
      </c>
      <c r="F855" s="44" t="s">
        <v>6</v>
      </c>
      <c r="G855" s="44" t="s">
        <v>120</v>
      </c>
      <c r="H855" s="44" t="s">
        <v>14</v>
      </c>
      <c r="I855" s="44" t="s">
        <v>14</v>
      </c>
      <c r="J855" s="44" t="s">
        <v>16</v>
      </c>
      <c r="K855" s="44" t="s">
        <v>135</v>
      </c>
      <c r="L855" s="40">
        <v>19472</v>
      </c>
      <c r="M855" s="41">
        <v>41851</v>
      </c>
      <c r="N855" s="40" t="s">
        <v>122</v>
      </c>
      <c r="O855" s="42"/>
      <c r="P855" s="40">
        <v>66</v>
      </c>
      <c r="Q855" s="145">
        <v>0</v>
      </c>
      <c r="R855" s="145">
        <v>0</v>
      </c>
      <c r="S855" s="145">
        <v>0</v>
      </c>
      <c r="T855" s="145">
        <v>0</v>
      </c>
      <c r="U855" s="145">
        <v>0</v>
      </c>
    </row>
    <row r="856" spans="1:21" x14ac:dyDescent="0.2">
      <c r="A856" s="89">
        <f t="shared" si="13"/>
        <v>848</v>
      </c>
      <c r="B856" s="43">
        <v>23</v>
      </c>
      <c r="C856" s="43">
        <v>34</v>
      </c>
      <c r="D856" s="38" t="s">
        <v>645</v>
      </c>
      <c r="E856" s="44" t="s">
        <v>208</v>
      </c>
      <c r="F856" s="44" t="s">
        <v>31</v>
      </c>
      <c r="G856" s="44" t="s">
        <v>120</v>
      </c>
      <c r="H856" s="44" t="s">
        <v>36</v>
      </c>
      <c r="I856" s="44" t="s">
        <v>36</v>
      </c>
      <c r="J856" s="44" t="s">
        <v>37</v>
      </c>
      <c r="K856" s="44" t="s">
        <v>209</v>
      </c>
      <c r="L856" s="40">
        <v>19473</v>
      </c>
      <c r="M856" s="41">
        <v>41851</v>
      </c>
      <c r="N856" s="40" t="s">
        <v>122</v>
      </c>
      <c r="O856" s="42"/>
      <c r="P856" s="40">
        <v>66</v>
      </c>
      <c r="Q856" s="145">
        <v>0</v>
      </c>
      <c r="R856" s="145">
        <v>0</v>
      </c>
      <c r="S856" s="145">
        <v>0</v>
      </c>
      <c r="T856" s="145">
        <v>0</v>
      </c>
      <c r="U856" s="145">
        <v>0</v>
      </c>
    </row>
    <row r="857" spans="1:21" x14ac:dyDescent="0.2">
      <c r="A857" s="89">
        <f t="shared" si="13"/>
        <v>849</v>
      </c>
      <c r="B857" s="43">
        <v>23</v>
      </c>
      <c r="C857" s="43">
        <v>35</v>
      </c>
      <c r="D857" s="38" t="s">
        <v>646</v>
      </c>
      <c r="E857" s="44" t="s">
        <v>211</v>
      </c>
      <c r="F857" s="44" t="s">
        <v>31</v>
      </c>
      <c r="G857" s="44" t="s">
        <v>120</v>
      </c>
      <c r="H857" s="44" t="s">
        <v>36</v>
      </c>
      <c r="I857" s="44" t="s">
        <v>36</v>
      </c>
      <c r="J857" s="44" t="s">
        <v>38</v>
      </c>
      <c r="K857" s="44" t="s">
        <v>212</v>
      </c>
      <c r="L857" s="40">
        <v>19474</v>
      </c>
      <c r="M857" s="41">
        <v>41851</v>
      </c>
      <c r="N857" s="40" t="s">
        <v>122</v>
      </c>
      <c r="O857" s="42"/>
      <c r="P857" s="40">
        <v>66</v>
      </c>
      <c r="Q857" s="145">
        <v>0</v>
      </c>
      <c r="R857" s="145">
        <v>0</v>
      </c>
      <c r="S857" s="145">
        <v>0</v>
      </c>
      <c r="T857" s="145">
        <v>0</v>
      </c>
      <c r="U857" s="145">
        <v>0</v>
      </c>
    </row>
    <row r="858" spans="1:21" x14ac:dyDescent="0.2">
      <c r="A858" s="89">
        <f t="shared" si="13"/>
        <v>850</v>
      </c>
      <c r="B858" s="43">
        <v>23</v>
      </c>
      <c r="C858" s="43">
        <v>36</v>
      </c>
      <c r="D858" s="38" t="s">
        <v>647</v>
      </c>
      <c r="E858" s="44" t="s">
        <v>214</v>
      </c>
      <c r="F858" s="44" t="s">
        <v>6</v>
      </c>
      <c r="G858" s="44" t="s">
        <v>120</v>
      </c>
      <c r="H858" s="44" t="s">
        <v>17</v>
      </c>
      <c r="I858" s="44" t="s">
        <v>215</v>
      </c>
      <c r="J858" s="44" t="s">
        <v>18</v>
      </c>
      <c r="K858" s="44" t="s">
        <v>140</v>
      </c>
      <c r="L858" s="40">
        <v>19475</v>
      </c>
      <c r="M858" s="41">
        <v>41851</v>
      </c>
      <c r="N858" s="40" t="s">
        <v>122</v>
      </c>
      <c r="O858" s="42"/>
      <c r="P858" s="40">
        <v>66</v>
      </c>
      <c r="Q858" s="145">
        <v>0</v>
      </c>
      <c r="R858" s="145">
        <v>0</v>
      </c>
      <c r="S858" s="145">
        <v>0</v>
      </c>
      <c r="T858" s="145">
        <v>0</v>
      </c>
      <c r="U858" s="145">
        <v>0</v>
      </c>
    </row>
    <row r="859" spans="1:21" x14ac:dyDescent="0.2">
      <c r="A859" s="89">
        <f t="shared" si="13"/>
        <v>851</v>
      </c>
      <c r="B859" s="20"/>
      <c r="C859" s="20"/>
      <c r="D859" s="20"/>
    </row>
    <row r="860" spans="1:21" x14ac:dyDescent="0.2">
      <c r="A860" s="89">
        <f t="shared" si="13"/>
        <v>852</v>
      </c>
      <c r="B860" s="43">
        <v>24</v>
      </c>
      <c r="C860" s="43">
        <v>1</v>
      </c>
      <c r="D860" s="38" t="s">
        <v>612</v>
      </c>
      <c r="E860" s="44" t="s">
        <v>119</v>
      </c>
      <c r="F860" s="44" t="s">
        <v>31</v>
      </c>
      <c r="G860" s="44" t="s">
        <v>120</v>
      </c>
      <c r="H860" s="44" t="s">
        <v>32</v>
      </c>
      <c r="I860" s="44" t="s">
        <v>32</v>
      </c>
      <c r="J860" s="44" t="s">
        <v>33</v>
      </c>
      <c r="K860" s="44" t="s">
        <v>121</v>
      </c>
      <c r="L860" s="40">
        <v>19440</v>
      </c>
      <c r="M860" s="41">
        <v>41851</v>
      </c>
      <c r="N860" s="40" t="s">
        <v>122</v>
      </c>
      <c r="O860" s="42"/>
      <c r="P860" s="40">
        <v>67</v>
      </c>
      <c r="Q860" s="145">
        <v>0</v>
      </c>
      <c r="R860" s="145">
        <v>0</v>
      </c>
      <c r="S860" s="145">
        <v>0</v>
      </c>
      <c r="T860" s="145">
        <v>0</v>
      </c>
      <c r="U860" s="145">
        <v>0</v>
      </c>
    </row>
    <row r="861" spans="1:21" x14ac:dyDescent="0.2">
      <c r="A861" s="89">
        <f t="shared" si="13"/>
        <v>853</v>
      </c>
      <c r="B861" s="43">
        <v>24</v>
      </c>
      <c r="C861" s="43">
        <v>2</v>
      </c>
      <c r="D861" s="38" t="s">
        <v>613</v>
      </c>
      <c r="E861" s="44" t="s">
        <v>124</v>
      </c>
      <c r="F861" s="44" t="s">
        <v>31</v>
      </c>
      <c r="G861" s="44" t="s">
        <v>120</v>
      </c>
      <c r="H861" s="44" t="s">
        <v>32</v>
      </c>
      <c r="I861" s="44" t="s">
        <v>32</v>
      </c>
      <c r="J861" s="44" t="s">
        <v>34</v>
      </c>
      <c r="K861" s="44" t="s">
        <v>125</v>
      </c>
      <c r="L861" s="40">
        <v>19441</v>
      </c>
      <c r="M861" s="41">
        <v>41851</v>
      </c>
      <c r="N861" s="40" t="s">
        <v>122</v>
      </c>
      <c r="O861" s="42"/>
      <c r="P861" s="40">
        <v>67</v>
      </c>
      <c r="Q861" s="145">
        <v>0</v>
      </c>
      <c r="R861" s="145">
        <v>0</v>
      </c>
      <c r="S861" s="145">
        <v>0</v>
      </c>
      <c r="T861" s="145">
        <v>0</v>
      </c>
      <c r="U861" s="145">
        <v>0</v>
      </c>
    </row>
    <row r="862" spans="1:21" x14ac:dyDescent="0.2">
      <c r="A862" s="89">
        <f t="shared" si="13"/>
        <v>854</v>
      </c>
      <c r="B862" s="43">
        <v>24</v>
      </c>
      <c r="C862" s="43">
        <v>3</v>
      </c>
      <c r="D862" s="38" t="s">
        <v>614</v>
      </c>
      <c r="E862" s="44" t="s">
        <v>127</v>
      </c>
      <c r="F862" s="44" t="s">
        <v>20</v>
      </c>
      <c r="G862" s="44" t="s">
        <v>120</v>
      </c>
      <c r="H862" s="44" t="s">
        <v>63</v>
      </c>
      <c r="I862" s="44" t="s">
        <v>128</v>
      </c>
      <c r="J862" s="44" t="s">
        <v>15</v>
      </c>
      <c r="K862" s="44" t="s">
        <v>129</v>
      </c>
      <c r="L862" s="40">
        <v>19442</v>
      </c>
      <c r="M862" s="41">
        <v>41851</v>
      </c>
      <c r="N862" s="40" t="s">
        <v>122</v>
      </c>
      <c r="O862" s="42"/>
      <c r="P862" s="40">
        <v>67</v>
      </c>
      <c r="Q862" s="145">
        <v>0</v>
      </c>
      <c r="R862" s="145">
        <v>0</v>
      </c>
      <c r="S862" s="145">
        <v>0</v>
      </c>
      <c r="T862" s="145">
        <v>0</v>
      </c>
      <c r="U862" s="145">
        <v>0</v>
      </c>
    </row>
    <row r="863" spans="1:21" x14ac:dyDescent="0.2">
      <c r="A863" s="89">
        <f t="shared" si="13"/>
        <v>855</v>
      </c>
      <c r="B863" s="43">
        <v>24</v>
      </c>
      <c r="C863" s="43">
        <v>4</v>
      </c>
      <c r="D863" s="38" t="s">
        <v>615</v>
      </c>
      <c r="E863" s="44" t="s">
        <v>131</v>
      </c>
      <c r="F863" s="44" t="s">
        <v>20</v>
      </c>
      <c r="G863" s="44" t="s">
        <v>120</v>
      </c>
      <c r="H863" s="44" t="s">
        <v>63</v>
      </c>
      <c r="I863" s="44" t="s">
        <v>128</v>
      </c>
      <c r="J863" s="44" t="s">
        <v>21</v>
      </c>
      <c r="K863" s="44" t="s">
        <v>132</v>
      </c>
      <c r="L863" s="40">
        <v>19443</v>
      </c>
      <c r="M863" s="41">
        <v>41851</v>
      </c>
      <c r="N863" s="40" t="s">
        <v>122</v>
      </c>
      <c r="O863" s="42"/>
      <c r="P863" s="40">
        <v>67</v>
      </c>
      <c r="Q863" s="145">
        <v>0</v>
      </c>
      <c r="R863" s="145">
        <v>0</v>
      </c>
      <c r="S863" s="145">
        <v>0</v>
      </c>
      <c r="T863" s="145">
        <v>0</v>
      </c>
      <c r="U863" s="145">
        <v>0</v>
      </c>
    </row>
    <row r="864" spans="1:21" x14ac:dyDescent="0.2">
      <c r="A864" s="89">
        <f t="shared" si="13"/>
        <v>856</v>
      </c>
      <c r="B864" s="43">
        <v>24</v>
      </c>
      <c r="C864" s="43">
        <v>5</v>
      </c>
      <c r="D864" s="38" t="s">
        <v>616</v>
      </c>
      <c r="E864" s="44" t="s">
        <v>134</v>
      </c>
      <c r="F864" s="44" t="s">
        <v>20</v>
      </c>
      <c r="G864" s="44" t="s">
        <v>120</v>
      </c>
      <c r="H864" s="44" t="s">
        <v>63</v>
      </c>
      <c r="I864" s="44" t="s">
        <v>128</v>
      </c>
      <c r="J864" s="44" t="s">
        <v>16</v>
      </c>
      <c r="K864" s="44" t="s">
        <v>135</v>
      </c>
      <c r="L864" s="40">
        <v>19444</v>
      </c>
      <c r="M864" s="41">
        <v>41851</v>
      </c>
      <c r="N864" s="40" t="s">
        <v>122</v>
      </c>
      <c r="O864" s="42"/>
      <c r="P864" s="40">
        <v>67</v>
      </c>
      <c r="Q864" s="145">
        <v>0</v>
      </c>
      <c r="R864" s="145">
        <v>0</v>
      </c>
      <c r="S864" s="145">
        <v>0</v>
      </c>
      <c r="T864" s="145">
        <v>0</v>
      </c>
      <c r="U864" s="145">
        <v>0</v>
      </c>
    </row>
    <row r="865" spans="1:21" x14ac:dyDescent="0.2">
      <c r="A865" s="89">
        <f t="shared" si="13"/>
        <v>857</v>
      </c>
      <c r="B865" s="43">
        <v>24</v>
      </c>
      <c r="C865" s="43">
        <v>6</v>
      </c>
      <c r="D865" s="38" t="s">
        <v>617</v>
      </c>
      <c r="E865" s="44" t="s">
        <v>137</v>
      </c>
      <c r="F865" s="44" t="s">
        <v>25</v>
      </c>
      <c r="G865" s="44" t="s">
        <v>138</v>
      </c>
      <c r="H865" s="44" t="s">
        <v>139</v>
      </c>
      <c r="I865" s="44" t="s">
        <v>29</v>
      </c>
      <c r="J865" s="44" t="s">
        <v>30</v>
      </c>
      <c r="K865" s="44" t="s">
        <v>140</v>
      </c>
      <c r="L865" s="40">
        <v>19445</v>
      </c>
      <c r="M865" s="41">
        <v>41851</v>
      </c>
      <c r="N865" s="40" t="s">
        <v>122</v>
      </c>
      <c r="O865" s="42"/>
      <c r="P865" s="40">
        <v>67</v>
      </c>
      <c r="Q865" s="145">
        <v>0</v>
      </c>
      <c r="R865" s="145">
        <v>0</v>
      </c>
      <c r="S865" s="145">
        <v>0</v>
      </c>
      <c r="T865" s="145">
        <v>0</v>
      </c>
      <c r="U865" s="145">
        <v>0</v>
      </c>
    </row>
    <row r="866" spans="1:21" x14ac:dyDescent="0.2">
      <c r="A866" s="89">
        <f t="shared" si="13"/>
        <v>858</v>
      </c>
      <c r="B866" s="43">
        <v>24</v>
      </c>
      <c r="C866" s="43">
        <v>7</v>
      </c>
      <c r="D866" s="38" t="s">
        <v>618</v>
      </c>
      <c r="E866" s="44" t="s">
        <v>142</v>
      </c>
      <c r="F866" s="44" t="s">
        <v>39</v>
      </c>
      <c r="G866" s="44" t="s">
        <v>120</v>
      </c>
      <c r="H866" s="44" t="s">
        <v>40</v>
      </c>
      <c r="I866" s="44" t="s">
        <v>40</v>
      </c>
      <c r="J866" s="44" t="s">
        <v>42</v>
      </c>
      <c r="K866" s="44" t="s">
        <v>135</v>
      </c>
      <c r="L866" s="40">
        <v>19447</v>
      </c>
      <c r="M866" s="41">
        <v>41851</v>
      </c>
      <c r="N866" s="40" t="s">
        <v>122</v>
      </c>
      <c r="O866" s="42"/>
      <c r="P866" s="40">
        <v>67</v>
      </c>
      <c r="Q866" s="145">
        <v>0</v>
      </c>
      <c r="R866" s="145">
        <v>0</v>
      </c>
      <c r="S866" s="145">
        <v>0</v>
      </c>
      <c r="T866" s="145">
        <v>0</v>
      </c>
      <c r="U866" s="145">
        <v>0</v>
      </c>
    </row>
    <row r="867" spans="1:21" x14ac:dyDescent="0.2">
      <c r="A867" s="89">
        <f t="shared" si="13"/>
        <v>859</v>
      </c>
      <c r="B867" s="43">
        <v>24</v>
      </c>
      <c r="C867" s="43">
        <v>8</v>
      </c>
      <c r="D867" s="38" t="s">
        <v>619</v>
      </c>
      <c r="E867" s="44" t="s">
        <v>144</v>
      </c>
      <c r="F867" s="44" t="s">
        <v>39</v>
      </c>
      <c r="G867" s="44" t="s">
        <v>120</v>
      </c>
      <c r="H867" s="44" t="s">
        <v>40</v>
      </c>
      <c r="I867" s="44" t="s">
        <v>40</v>
      </c>
      <c r="J867" s="44" t="s">
        <v>41</v>
      </c>
      <c r="K867" s="44" t="s">
        <v>132</v>
      </c>
      <c r="L867" s="40">
        <v>19446</v>
      </c>
      <c r="M867" s="41">
        <v>41851</v>
      </c>
      <c r="N867" s="40" t="s">
        <v>122</v>
      </c>
      <c r="O867" s="42"/>
      <c r="P867" s="40">
        <v>67</v>
      </c>
      <c r="Q867" s="145">
        <v>0</v>
      </c>
      <c r="R867" s="145">
        <v>0</v>
      </c>
      <c r="S867" s="145">
        <v>0</v>
      </c>
      <c r="T867" s="145">
        <v>0</v>
      </c>
      <c r="U867" s="145">
        <v>0</v>
      </c>
    </row>
    <row r="868" spans="1:21" x14ac:dyDescent="0.2">
      <c r="A868" s="89">
        <f t="shared" si="13"/>
        <v>860</v>
      </c>
      <c r="B868" s="43">
        <v>24</v>
      </c>
      <c r="C868" s="43">
        <v>9</v>
      </c>
      <c r="D868" s="38" t="s">
        <v>620</v>
      </c>
      <c r="E868" s="44" t="s">
        <v>146</v>
      </c>
      <c r="F868" s="44" t="s">
        <v>39</v>
      </c>
      <c r="G868" s="44" t="s">
        <v>120</v>
      </c>
      <c r="H868" s="44" t="s">
        <v>40</v>
      </c>
      <c r="I868" s="44" t="s">
        <v>40</v>
      </c>
      <c r="J868" s="44" t="s">
        <v>7</v>
      </c>
      <c r="K868" s="44" t="s">
        <v>129</v>
      </c>
      <c r="L868" s="40">
        <v>19448</v>
      </c>
      <c r="M868" s="41">
        <v>41851</v>
      </c>
      <c r="N868" s="40" t="s">
        <v>122</v>
      </c>
      <c r="O868" s="42"/>
      <c r="P868" s="40">
        <v>67</v>
      </c>
      <c r="Q868" s="145">
        <v>0</v>
      </c>
      <c r="R868" s="145">
        <v>0</v>
      </c>
      <c r="S868" s="145">
        <v>0</v>
      </c>
      <c r="T868" s="145">
        <v>0</v>
      </c>
      <c r="U868" s="145">
        <v>0</v>
      </c>
    </row>
    <row r="869" spans="1:21" x14ac:dyDescent="0.2">
      <c r="A869" s="89">
        <f t="shared" si="13"/>
        <v>861</v>
      </c>
      <c r="B869" s="43">
        <v>24</v>
      </c>
      <c r="C869" s="43">
        <v>10</v>
      </c>
      <c r="D869" s="38" t="s">
        <v>621</v>
      </c>
      <c r="E869" s="44" t="s">
        <v>148</v>
      </c>
      <c r="F869" s="44" t="s">
        <v>25</v>
      </c>
      <c r="G869" s="44" t="s">
        <v>120</v>
      </c>
      <c r="H869" s="44" t="s">
        <v>149</v>
      </c>
      <c r="I869" s="44" t="s">
        <v>26</v>
      </c>
      <c r="J869" s="44" t="s">
        <v>27</v>
      </c>
      <c r="K869" s="44" t="s">
        <v>150</v>
      </c>
      <c r="L869" s="40">
        <v>19449</v>
      </c>
      <c r="M869" s="41">
        <v>41851</v>
      </c>
      <c r="N869" s="40" t="s">
        <v>122</v>
      </c>
      <c r="O869" s="42"/>
      <c r="P869" s="40">
        <v>67</v>
      </c>
      <c r="Q869" s="145">
        <v>0</v>
      </c>
      <c r="R869" s="145">
        <v>0</v>
      </c>
      <c r="S869" s="145">
        <v>0</v>
      </c>
      <c r="T869" s="145">
        <v>0</v>
      </c>
      <c r="U869" s="145">
        <v>0</v>
      </c>
    </row>
    <row r="870" spans="1:21" x14ac:dyDescent="0.2">
      <c r="A870" s="89">
        <f t="shared" si="13"/>
        <v>862</v>
      </c>
      <c r="B870" s="43">
        <v>24</v>
      </c>
      <c r="C870" s="43">
        <v>11</v>
      </c>
      <c r="D870" s="38" t="s">
        <v>622</v>
      </c>
      <c r="E870" s="44" t="s">
        <v>152</v>
      </c>
      <c r="F870" s="44" t="s">
        <v>25</v>
      </c>
      <c r="G870" s="44" t="s">
        <v>120</v>
      </c>
      <c r="H870" s="44" t="s">
        <v>149</v>
      </c>
      <c r="I870" s="44" t="s">
        <v>26</v>
      </c>
      <c r="J870" s="44" t="s">
        <v>28</v>
      </c>
      <c r="K870" s="44" t="s">
        <v>153</v>
      </c>
      <c r="L870" s="40">
        <v>19450</v>
      </c>
      <c r="M870" s="41">
        <v>41851</v>
      </c>
      <c r="N870" s="40" t="s">
        <v>122</v>
      </c>
      <c r="O870" s="42"/>
      <c r="P870" s="40">
        <v>67</v>
      </c>
      <c r="Q870" s="145">
        <v>0</v>
      </c>
      <c r="R870" s="145">
        <v>0</v>
      </c>
      <c r="S870" s="145">
        <v>0</v>
      </c>
      <c r="T870" s="145">
        <v>0</v>
      </c>
      <c r="U870" s="145">
        <v>0</v>
      </c>
    </row>
    <row r="871" spans="1:21" x14ac:dyDescent="0.2">
      <c r="A871" s="89">
        <f t="shared" si="13"/>
        <v>863</v>
      </c>
      <c r="B871" s="43">
        <v>24</v>
      </c>
      <c r="C871" s="43">
        <v>12</v>
      </c>
      <c r="D871" s="38" t="s">
        <v>623</v>
      </c>
      <c r="E871" s="44" t="s">
        <v>155</v>
      </c>
      <c r="F871" s="44" t="s">
        <v>20</v>
      </c>
      <c r="G871" s="44" t="s">
        <v>120</v>
      </c>
      <c r="H871" s="44" t="s">
        <v>105</v>
      </c>
      <c r="I871" s="44" t="s">
        <v>156</v>
      </c>
      <c r="J871" s="44" t="s">
        <v>22</v>
      </c>
      <c r="K871" s="44" t="s">
        <v>157</v>
      </c>
      <c r="L871" s="40">
        <v>19451</v>
      </c>
      <c r="M871" s="41">
        <v>41851</v>
      </c>
      <c r="N871" s="40" t="s">
        <v>122</v>
      </c>
      <c r="O871" s="42"/>
      <c r="P871" s="40">
        <v>67</v>
      </c>
      <c r="Q871" s="145">
        <v>0</v>
      </c>
      <c r="R871" s="145">
        <v>0</v>
      </c>
      <c r="S871" s="145">
        <v>0</v>
      </c>
      <c r="T871" s="145">
        <v>0</v>
      </c>
      <c r="U871" s="145">
        <v>0</v>
      </c>
    </row>
    <row r="872" spans="1:21" x14ac:dyDescent="0.2">
      <c r="A872" s="89">
        <f t="shared" si="13"/>
        <v>864</v>
      </c>
      <c r="B872" s="43">
        <v>24</v>
      </c>
      <c r="C872" s="43">
        <v>13</v>
      </c>
      <c r="D872" s="38" t="s">
        <v>624</v>
      </c>
      <c r="E872" s="44" t="s">
        <v>159</v>
      </c>
      <c r="F872" s="44" t="s">
        <v>39</v>
      </c>
      <c r="G872" s="44" t="s">
        <v>120</v>
      </c>
      <c r="H872" s="44" t="s">
        <v>43</v>
      </c>
      <c r="I872" s="44" t="s">
        <v>43</v>
      </c>
      <c r="J872" s="44" t="s">
        <v>7</v>
      </c>
      <c r="K872" s="44" t="s">
        <v>140</v>
      </c>
      <c r="L872" s="40">
        <v>19452</v>
      </c>
      <c r="M872" s="41">
        <v>41851</v>
      </c>
      <c r="N872" s="40" t="s">
        <v>122</v>
      </c>
      <c r="O872" s="42"/>
      <c r="P872" s="40">
        <v>67</v>
      </c>
      <c r="Q872" s="145">
        <v>0</v>
      </c>
      <c r="R872" s="145">
        <v>0</v>
      </c>
      <c r="S872" s="145">
        <v>0</v>
      </c>
      <c r="T872" s="145">
        <v>0</v>
      </c>
      <c r="U872" s="145">
        <v>0</v>
      </c>
    </row>
    <row r="873" spans="1:21" x14ac:dyDescent="0.2">
      <c r="A873" s="89">
        <f t="shared" si="13"/>
        <v>865</v>
      </c>
      <c r="B873" s="43">
        <v>24</v>
      </c>
      <c r="C873" s="43">
        <v>14</v>
      </c>
      <c r="D873" s="38" t="s">
        <v>625</v>
      </c>
      <c r="E873" s="44" t="s">
        <v>161</v>
      </c>
      <c r="F873" s="44" t="s">
        <v>6</v>
      </c>
      <c r="G873" s="44" t="s">
        <v>120</v>
      </c>
      <c r="H873" s="44" t="s">
        <v>48</v>
      </c>
      <c r="I873" s="44" t="s">
        <v>48</v>
      </c>
      <c r="J873" s="44" t="s">
        <v>7</v>
      </c>
      <c r="K873" s="44" t="s">
        <v>140</v>
      </c>
      <c r="L873" s="40">
        <v>19453</v>
      </c>
      <c r="M873" s="41">
        <v>41851</v>
      </c>
      <c r="N873" s="40" t="s">
        <v>122</v>
      </c>
      <c r="O873" s="42"/>
      <c r="P873" s="40">
        <v>67</v>
      </c>
      <c r="Q873" s="145">
        <v>0</v>
      </c>
      <c r="R873" s="145">
        <v>0</v>
      </c>
      <c r="S873" s="145">
        <v>0</v>
      </c>
      <c r="T873" s="145">
        <v>0</v>
      </c>
      <c r="U873" s="145">
        <v>0</v>
      </c>
    </row>
    <row r="874" spans="1:21" x14ac:dyDescent="0.2">
      <c r="A874" s="89">
        <f t="shared" si="13"/>
        <v>866</v>
      </c>
      <c r="B874" s="43">
        <v>24</v>
      </c>
      <c r="C874" s="43">
        <v>15</v>
      </c>
      <c r="D874" s="38" t="s">
        <v>626</v>
      </c>
      <c r="E874" s="44" t="s">
        <v>163</v>
      </c>
      <c r="F874" s="44" t="s">
        <v>20</v>
      </c>
      <c r="G874" s="44" t="s">
        <v>120</v>
      </c>
      <c r="H874" s="44" t="s">
        <v>23</v>
      </c>
      <c r="I874" s="44" t="s">
        <v>164</v>
      </c>
      <c r="J874" s="44" t="s">
        <v>24</v>
      </c>
      <c r="K874" s="44" t="s">
        <v>140</v>
      </c>
      <c r="L874" s="40">
        <v>19454</v>
      </c>
      <c r="M874" s="41">
        <v>41851</v>
      </c>
      <c r="N874" s="40" t="s">
        <v>122</v>
      </c>
      <c r="O874" s="42"/>
      <c r="P874" s="40">
        <v>67</v>
      </c>
      <c r="Q874" s="145">
        <v>0</v>
      </c>
      <c r="R874" s="145">
        <v>0</v>
      </c>
      <c r="S874" s="145">
        <v>0</v>
      </c>
      <c r="T874" s="145">
        <v>0</v>
      </c>
      <c r="U874" s="145">
        <v>0</v>
      </c>
    </row>
    <row r="875" spans="1:21" x14ac:dyDescent="0.2">
      <c r="A875" s="89">
        <f t="shared" si="13"/>
        <v>867</v>
      </c>
      <c r="B875" s="43">
        <v>24</v>
      </c>
      <c r="C875" s="43">
        <v>16</v>
      </c>
      <c r="D875" s="38" t="s">
        <v>627</v>
      </c>
      <c r="E875" s="44" t="s">
        <v>166</v>
      </c>
      <c r="F875" s="44" t="s">
        <v>20</v>
      </c>
      <c r="G875" s="44" t="s">
        <v>120</v>
      </c>
      <c r="H875" s="44" t="s">
        <v>64</v>
      </c>
      <c r="I875" s="44" t="s">
        <v>167</v>
      </c>
      <c r="J875" s="44" t="s">
        <v>7</v>
      </c>
      <c r="K875" s="44" t="s">
        <v>140</v>
      </c>
      <c r="L875" s="40">
        <v>19455</v>
      </c>
      <c r="M875" s="41">
        <v>41851</v>
      </c>
      <c r="N875" s="40" t="s">
        <v>122</v>
      </c>
      <c r="O875" s="42"/>
      <c r="P875" s="40">
        <v>67</v>
      </c>
      <c r="Q875" s="145">
        <v>0</v>
      </c>
      <c r="R875" s="145">
        <v>0</v>
      </c>
      <c r="S875" s="145">
        <v>0</v>
      </c>
      <c r="T875" s="145">
        <v>0</v>
      </c>
      <c r="U875" s="145">
        <v>0</v>
      </c>
    </row>
    <row r="876" spans="1:21" x14ac:dyDescent="0.2">
      <c r="A876" s="89">
        <f t="shared" si="13"/>
        <v>868</v>
      </c>
      <c r="B876" s="43">
        <v>24</v>
      </c>
      <c r="C876" s="43">
        <v>17</v>
      </c>
      <c r="D876" s="38" t="s">
        <v>628</v>
      </c>
      <c r="E876" s="44" t="s">
        <v>169</v>
      </c>
      <c r="F876" s="44" t="s">
        <v>31</v>
      </c>
      <c r="G876" s="44" t="s">
        <v>120</v>
      </c>
      <c r="H876" s="44" t="s">
        <v>35</v>
      </c>
      <c r="I876" s="44" t="s">
        <v>35</v>
      </c>
      <c r="J876" s="44" t="s">
        <v>9</v>
      </c>
      <c r="K876" s="44" t="s">
        <v>135</v>
      </c>
      <c r="L876" s="40">
        <v>19456</v>
      </c>
      <c r="M876" s="41">
        <v>41851</v>
      </c>
      <c r="N876" s="40" t="s">
        <v>122</v>
      </c>
      <c r="O876" s="42"/>
      <c r="P876" s="40">
        <v>67</v>
      </c>
      <c r="Q876" s="145">
        <v>0</v>
      </c>
      <c r="R876" s="145">
        <v>0</v>
      </c>
      <c r="S876" s="145">
        <v>0</v>
      </c>
      <c r="T876" s="145">
        <v>0</v>
      </c>
      <c r="U876" s="145">
        <v>0</v>
      </c>
    </row>
    <row r="877" spans="1:21" x14ac:dyDescent="0.2">
      <c r="A877" s="89">
        <f t="shared" si="13"/>
        <v>869</v>
      </c>
      <c r="B877" s="43">
        <v>24</v>
      </c>
      <c r="C877" s="43">
        <v>18</v>
      </c>
      <c r="D877" s="38" t="s">
        <v>629</v>
      </c>
      <c r="E877" s="44" t="s">
        <v>171</v>
      </c>
      <c r="F877" s="44" t="s">
        <v>31</v>
      </c>
      <c r="G877" s="44" t="s">
        <v>120</v>
      </c>
      <c r="H877" s="44" t="s">
        <v>35</v>
      </c>
      <c r="I877" s="44" t="s">
        <v>35</v>
      </c>
      <c r="J877" s="44" t="s">
        <v>10</v>
      </c>
      <c r="K877" s="44" t="s">
        <v>132</v>
      </c>
      <c r="L877" s="40">
        <v>19457</v>
      </c>
      <c r="M877" s="41">
        <v>41851</v>
      </c>
      <c r="N877" s="40" t="s">
        <v>122</v>
      </c>
      <c r="O877" s="42"/>
      <c r="P877" s="40">
        <v>67</v>
      </c>
      <c r="Q877" s="145">
        <v>0</v>
      </c>
      <c r="R877" s="145">
        <v>0</v>
      </c>
      <c r="S877" s="145">
        <v>0</v>
      </c>
      <c r="T877" s="145">
        <v>0</v>
      </c>
      <c r="U877" s="145">
        <v>0</v>
      </c>
    </row>
    <row r="878" spans="1:21" x14ac:dyDescent="0.2">
      <c r="A878" s="89">
        <f t="shared" si="13"/>
        <v>870</v>
      </c>
      <c r="B878" s="43">
        <v>24</v>
      </c>
      <c r="C878" s="43">
        <v>19</v>
      </c>
      <c r="D878" s="38" t="s">
        <v>630</v>
      </c>
      <c r="E878" s="44" t="s">
        <v>173</v>
      </c>
      <c r="F878" s="44" t="s">
        <v>31</v>
      </c>
      <c r="G878" s="44" t="s">
        <v>120</v>
      </c>
      <c r="H878" s="44" t="s">
        <v>35</v>
      </c>
      <c r="I878" s="44" t="s">
        <v>35</v>
      </c>
      <c r="J878" s="44" t="s">
        <v>11</v>
      </c>
      <c r="K878" s="44" t="s">
        <v>129</v>
      </c>
      <c r="L878" s="40">
        <v>19458</v>
      </c>
      <c r="M878" s="41">
        <v>41851</v>
      </c>
      <c r="N878" s="40" t="s">
        <v>122</v>
      </c>
      <c r="O878" s="42"/>
      <c r="P878" s="40">
        <v>67</v>
      </c>
      <c r="Q878" s="145">
        <v>0</v>
      </c>
      <c r="R878" s="145">
        <v>0</v>
      </c>
      <c r="S878" s="145">
        <v>0</v>
      </c>
      <c r="T878" s="145">
        <v>0</v>
      </c>
      <c r="U878" s="145">
        <v>0</v>
      </c>
    </row>
    <row r="879" spans="1:21" x14ac:dyDescent="0.2">
      <c r="A879" s="89">
        <f t="shared" si="13"/>
        <v>871</v>
      </c>
      <c r="B879" s="43">
        <v>24</v>
      </c>
      <c r="C879" s="43">
        <v>20</v>
      </c>
      <c r="D879" s="38" t="s">
        <v>631</v>
      </c>
      <c r="E879" s="44" t="s">
        <v>175</v>
      </c>
      <c r="F879" s="44" t="s">
        <v>6</v>
      </c>
      <c r="G879" s="44" t="s">
        <v>120</v>
      </c>
      <c r="H879" s="44" t="s">
        <v>176</v>
      </c>
      <c r="I879" s="44" t="s">
        <v>177</v>
      </c>
      <c r="J879" s="44" t="s">
        <v>9</v>
      </c>
      <c r="K879" s="44" t="s">
        <v>135</v>
      </c>
      <c r="L879" s="40">
        <v>19460</v>
      </c>
      <c r="M879" s="41">
        <v>41851</v>
      </c>
      <c r="N879" s="40" t="s">
        <v>122</v>
      </c>
      <c r="O879" s="42"/>
      <c r="P879" s="40">
        <v>67</v>
      </c>
      <c r="Q879" s="145">
        <v>0</v>
      </c>
      <c r="R879" s="145">
        <v>0</v>
      </c>
      <c r="S879" s="145">
        <v>0</v>
      </c>
      <c r="T879" s="145">
        <v>0</v>
      </c>
      <c r="U879" s="145">
        <v>0</v>
      </c>
    </row>
    <row r="880" spans="1:21" x14ac:dyDescent="0.2">
      <c r="A880" s="89">
        <f t="shared" si="13"/>
        <v>872</v>
      </c>
      <c r="B880" s="43">
        <v>24</v>
      </c>
      <c r="C880" s="43">
        <v>21</v>
      </c>
      <c r="D880" s="38" t="s">
        <v>632</v>
      </c>
      <c r="E880" s="44" t="s">
        <v>179</v>
      </c>
      <c r="F880" s="44" t="s">
        <v>6</v>
      </c>
      <c r="G880" s="44" t="s">
        <v>120</v>
      </c>
      <c r="H880" s="44" t="s">
        <v>176</v>
      </c>
      <c r="I880" s="44" t="s">
        <v>177</v>
      </c>
      <c r="J880" s="44" t="s">
        <v>10</v>
      </c>
      <c r="K880" s="44" t="s">
        <v>132</v>
      </c>
      <c r="L880" s="40">
        <v>19459</v>
      </c>
      <c r="M880" s="41">
        <v>41851</v>
      </c>
      <c r="N880" s="40" t="s">
        <v>122</v>
      </c>
      <c r="O880" s="42"/>
      <c r="P880" s="40">
        <v>67</v>
      </c>
      <c r="Q880" s="145">
        <v>0</v>
      </c>
      <c r="R880" s="145">
        <v>0</v>
      </c>
      <c r="S880" s="145">
        <v>0</v>
      </c>
      <c r="T880" s="145">
        <v>0</v>
      </c>
      <c r="U880" s="145">
        <v>0</v>
      </c>
    </row>
    <row r="881" spans="1:21" x14ac:dyDescent="0.2">
      <c r="A881" s="89">
        <f t="shared" si="13"/>
        <v>873</v>
      </c>
      <c r="B881" s="43">
        <v>24</v>
      </c>
      <c r="C881" s="43">
        <v>22</v>
      </c>
      <c r="D881" s="38" t="s">
        <v>633</v>
      </c>
      <c r="E881" s="44" t="s">
        <v>181</v>
      </c>
      <c r="F881" s="44" t="s">
        <v>6</v>
      </c>
      <c r="G881" s="44" t="s">
        <v>120</v>
      </c>
      <c r="H881" s="44" t="s">
        <v>176</v>
      </c>
      <c r="I881" s="44" t="s">
        <v>177</v>
      </c>
      <c r="J881" s="44" t="s">
        <v>11</v>
      </c>
      <c r="K881" s="44" t="s">
        <v>129</v>
      </c>
      <c r="L881" s="40">
        <v>19461</v>
      </c>
      <c r="M881" s="41">
        <v>41851</v>
      </c>
      <c r="N881" s="40" t="s">
        <v>122</v>
      </c>
      <c r="O881" s="42"/>
      <c r="P881" s="40">
        <v>67</v>
      </c>
      <c r="Q881" s="145">
        <v>0</v>
      </c>
      <c r="R881" s="145">
        <v>0</v>
      </c>
      <c r="S881" s="145">
        <v>0</v>
      </c>
      <c r="T881" s="145">
        <v>0</v>
      </c>
      <c r="U881" s="145">
        <v>0</v>
      </c>
    </row>
    <row r="882" spans="1:21" x14ac:dyDescent="0.2">
      <c r="A882" s="89">
        <f t="shared" si="13"/>
        <v>874</v>
      </c>
      <c r="B882" s="43">
        <v>24</v>
      </c>
      <c r="C882" s="43">
        <v>23</v>
      </c>
      <c r="D882" s="38" t="s">
        <v>634</v>
      </c>
      <c r="E882" s="44" t="s">
        <v>183</v>
      </c>
      <c r="F882" s="44" t="s">
        <v>6</v>
      </c>
      <c r="G882" s="44" t="s">
        <v>120</v>
      </c>
      <c r="H882" s="44" t="s">
        <v>13</v>
      </c>
      <c r="I882" s="44" t="s">
        <v>13</v>
      </c>
      <c r="J882" s="44" t="s">
        <v>7</v>
      </c>
      <c r="K882" s="44" t="s">
        <v>140</v>
      </c>
      <c r="L882" s="40">
        <v>19462</v>
      </c>
      <c r="M882" s="41">
        <v>41851</v>
      </c>
      <c r="N882" s="40" t="s">
        <v>122</v>
      </c>
      <c r="O882" s="42"/>
      <c r="P882" s="40">
        <v>67</v>
      </c>
      <c r="Q882" s="145">
        <v>0</v>
      </c>
      <c r="R882" s="145">
        <v>0</v>
      </c>
      <c r="S882" s="145">
        <v>0</v>
      </c>
      <c r="T882" s="145">
        <v>0</v>
      </c>
      <c r="U882" s="145">
        <v>0</v>
      </c>
    </row>
    <row r="883" spans="1:21" x14ac:dyDescent="0.2">
      <c r="A883" s="89">
        <f t="shared" si="13"/>
        <v>875</v>
      </c>
      <c r="B883" s="43">
        <v>24</v>
      </c>
      <c r="C883" s="43">
        <v>24</v>
      </c>
      <c r="D883" s="38" t="s">
        <v>635</v>
      </c>
      <c r="E883" s="44" t="s">
        <v>185</v>
      </c>
      <c r="F883" s="44" t="s">
        <v>6</v>
      </c>
      <c r="G883" s="44" t="s">
        <v>120</v>
      </c>
      <c r="H883" s="44" t="s">
        <v>12</v>
      </c>
      <c r="I883" s="44" t="s">
        <v>186</v>
      </c>
      <c r="J883" s="44" t="s">
        <v>9</v>
      </c>
      <c r="K883" s="44" t="s">
        <v>135</v>
      </c>
      <c r="L883" s="40">
        <v>19463</v>
      </c>
      <c r="M883" s="41">
        <v>41851</v>
      </c>
      <c r="N883" s="40" t="s">
        <v>122</v>
      </c>
      <c r="O883" s="42"/>
      <c r="P883" s="40">
        <v>67</v>
      </c>
      <c r="Q883" s="145">
        <v>0</v>
      </c>
      <c r="R883" s="145">
        <v>0</v>
      </c>
      <c r="S883" s="145">
        <v>0</v>
      </c>
      <c r="T883" s="145">
        <v>0</v>
      </c>
      <c r="U883" s="145">
        <v>0</v>
      </c>
    </row>
    <row r="884" spans="1:21" x14ac:dyDescent="0.2">
      <c r="A884" s="89">
        <f t="shared" si="13"/>
        <v>876</v>
      </c>
      <c r="B884" s="43">
        <v>24</v>
      </c>
      <c r="C884" s="43">
        <v>25</v>
      </c>
      <c r="D884" s="38" t="s">
        <v>636</v>
      </c>
      <c r="E884" s="44" t="s">
        <v>188</v>
      </c>
      <c r="F884" s="44" t="s">
        <v>6</v>
      </c>
      <c r="G884" s="44" t="s">
        <v>120</v>
      </c>
      <c r="H884" s="44" t="s">
        <v>12</v>
      </c>
      <c r="I884" s="44" t="s">
        <v>186</v>
      </c>
      <c r="J884" s="44" t="s">
        <v>10</v>
      </c>
      <c r="K884" s="44" t="s">
        <v>132</v>
      </c>
      <c r="L884" s="40">
        <v>19464</v>
      </c>
      <c r="M884" s="41">
        <v>41851</v>
      </c>
      <c r="N884" s="40" t="s">
        <v>122</v>
      </c>
      <c r="O884" s="42"/>
      <c r="P884" s="40">
        <v>67</v>
      </c>
      <c r="Q884" s="145">
        <v>0</v>
      </c>
      <c r="R884" s="145">
        <v>0</v>
      </c>
      <c r="S884" s="145">
        <v>0</v>
      </c>
      <c r="T884" s="145">
        <v>0</v>
      </c>
      <c r="U884" s="145">
        <v>0</v>
      </c>
    </row>
    <row r="885" spans="1:21" x14ac:dyDescent="0.2">
      <c r="A885" s="89">
        <f t="shared" si="13"/>
        <v>877</v>
      </c>
      <c r="B885" s="43">
        <v>24</v>
      </c>
      <c r="C885" s="43">
        <v>26</v>
      </c>
      <c r="D885" s="38" t="s">
        <v>637</v>
      </c>
      <c r="E885" s="44" t="s">
        <v>190</v>
      </c>
      <c r="F885" s="44" t="s">
        <v>6</v>
      </c>
      <c r="G885" s="44" t="s">
        <v>120</v>
      </c>
      <c r="H885" s="44" t="s">
        <v>12</v>
      </c>
      <c r="I885" s="44" t="s">
        <v>186</v>
      </c>
      <c r="J885" s="44" t="s">
        <v>11</v>
      </c>
      <c r="K885" s="44" t="s">
        <v>129</v>
      </c>
      <c r="L885" s="40">
        <v>19465</v>
      </c>
      <c r="M885" s="41">
        <v>41851</v>
      </c>
      <c r="N885" s="40" t="s">
        <v>122</v>
      </c>
      <c r="O885" s="42"/>
      <c r="P885" s="40">
        <v>67</v>
      </c>
      <c r="Q885" s="145">
        <v>0</v>
      </c>
      <c r="R885" s="145">
        <v>0</v>
      </c>
      <c r="S885" s="145">
        <v>0</v>
      </c>
      <c r="T885" s="145">
        <v>0</v>
      </c>
      <c r="U885" s="145">
        <v>0</v>
      </c>
    </row>
    <row r="886" spans="1:21" x14ac:dyDescent="0.2">
      <c r="A886" s="89">
        <f t="shared" si="13"/>
        <v>878</v>
      </c>
      <c r="B886" s="43">
        <v>24</v>
      </c>
      <c r="C886" s="43">
        <v>27</v>
      </c>
      <c r="D886" s="38" t="s">
        <v>638</v>
      </c>
      <c r="E886" s="44" t="s">
        <v>192</v>
      </c>
      <c r="F886" s="44" t="s">
        <v>6</v>
      </c>
      <c r="G886" s="44" t="s">
        <v>120</v>
      </c>
      <c r="H886" s="44" t="s">
        <v>100</v>
      </c>
      <c r="I886" s="44" t="s">
        <v>193</v>
      </c>
      <c r="J886" s="44" t="s">
        <v>7</v>
      </c>
      <c r="K886" s="44" t="s">
        <v>140</v>
      </c>
      <c r="L886" s="40">
        <v>19466</v>
      </c>
      <c r="M886" s="41">
        <v>41851</v>
      </c>
      <c r="N886" s="40" t="s">
        <v>122</v>
      </c>
      <c r="O886" s="42"/>
      <c r="P886" s="40">
        <v>67</v>
      </c>
      <c r="Q886" s="145">
        <v>0</v>
      </c>
      <c r="R886" s="145">
        <v>0</v>
      </c>
      <c r="S886" s="145">
        <v>0</v>
      </c>
      <c r="T886" s="145">
        <v>0</v>
      </c>
      <c r="U886" s="145">
        <v>0</v>
      </c>
    </row>
    <row r="887" spans="1:21" x14ac:dyDescent="0.2">
      <c r="A887" s="89">
        <f t="shared" si="13"/>
        <v>879</v>
      </c>
      <c r="B887" s="43">
        <v>24</v>
      </c>
      <c r="C887" s="43">
        <v>28</v>
      </c>
      <c r="D887" s="38" t="s">
        <v>639</v>
      </c>
      <c r="E887" s="44" t="s">
        <v>195</v>
      </c>
      <c r="F887" s="44" t="s">
        <v>39</v>
      </c>
      <c r="G887" s="44" t="s">
        <v>120</v>
      </c>
      <c r="H887" s="44" t="s">
        <v>44</v>
      </c>
      <c r="I887" s="44" t="s">
        <v>44</v>
      </c>
      <c r="J887" s="44" t="s">
        <v>7</v>
      </c>
      <c r="K887" s="44" t="s">
        <v>140</v>
      </c>
      <c r="L887" s="40">
        <v>19467</v>
      </c>
      <c r="M887" s="41">
        <v>41851</v>
      </c>
      <c r="N887" s="40" t="s">
        <v>122</v>
      </c>
      <c r="O887" s="42"/>
      <c r="P887" s="40">
        <v>67</v>
      </c>
      <c r="Q887" s="145">
        <v>0</v>
      </c>
      <c r="R887" s="145">
        <v>0</v>
      </c>
      <c r="S887" s="145">
        <v>0</v>
      </c>
      <c r="T887" s="145">
        <v>0</v>
      </c>
      <c r="U887" s="145">
        <v>0</v>
      </c>
    </row>
    <row r="888" spans="1:21" x14ac:dyDescent="0.2">
      <c r="A888" s="89">
        <f t="shared" si="13"/>
        <v>880</v>
      </c>
      <c r="B888" s="43">
        <v>24</v>
      </c>
      <c r="C888" s="43">
        <v>29</v>
      </c>
      <c r="D888" s="38" t="s">
        <v>640</v>
      </c>
      <c r="E888" s="44" t="s">
        <v>197</v>
      </c>
      <c r="F888" s="44" t="s">
        <v>39</v>
      </c>
      <c r="G888" s="44" t="s">
        <v>120</v>
      </c>
      <c r="H888" s="44" t="s">
        <v>44</v>
      </c>
      <c r="I888" s="44" t="s">
        <v>44</v>
      </c>
      <c r="J888" s="44" t="s">
        <v>45</v>
      </c>
      <c r="K888" s="44" t="s">
        <v>198</v>
      </c>
      <c r="L888" s="40">
        <v>19468</v>
      </c>
      <c r="M888" s="41">
        <v>41851</v>
      </c>
      <c r="N888" s="40" t="s">
        <v>122</v>
      </c>
      <c r="O888" s="42"/>
      <c r="P888" s="40">
        <v>67</v>
      </c>
      <c r="Q888" s="145">
        <v>0</v>
      </c>
      <c r="R888" s="145">
        <v>0</v>
      </c>
      <c r="S888" s="145">
        <v>0</v>
      </c>
      <c r="T888" s="145">
        <v>0</v>
      </c>
      <c r="U888" s="145">
        <v>0</v>
      </c>
    </row>
    <row r="889" spans="1:21" x14ac:dyDescent="0.2">
      <c r="A889" s="89">
        <f t="shared" si="13"/>
        <v>881</v>
      </c>
      <c r="B889" s="43">
        <v>24</v>
      </c>
      <c r="C889" s="43">
        <v>30</v>
      </c>
      <c r="D889" s="38" t="s">
        <v>641</v>
      </c>
      <c r="E889" s="44" t="s">
        <v>200</v>
      </c>
      <c r="F889" s="44" t="s">
        <v>39</v>
      </c>
      <c r="G889" s="44" t="s">
        <v>120</v>
      </c>
      <c r="H889" s="44" t="s">
        <v>44</v>
      </c>
      <c r="I889" s="44" t="s">
        <v>44</v>
      </c>
      <c r="J889" s="44" t="s">
        <v>46</v>
      </c>
      <c r="K889" s="44" t="s">
        <v>46</v>
      </c>
      <c r="L889" s="40">
        <v>19469</v>
      </c>
      <c r="M889" s="41">
        <v>41851</v>
      </c>
      <c r="N889" s="40" t="s">
        <v>122</v>
      </c>
      <c r="O889" s="42"/>
      <c r="P889" s="40">
        <v>67</v>
      </c>
      <c r="Q889" s="145">
        <v>0</v>
      </c>
      <c r="R889" s="145">
        <v>0</v>
      </c>
      <c r="S889" s="145">
        <v>0</v>
      </c>
      <c r="T889" s="145">
        <v>0</v>
      </c>
      <c r="U889" s="145">
        <v>0</v>
      </c>
    </row>
    <row r="890" spans="1:21" x14ac:dyDescent="0.2">
      <c r="A890" s="89">
        <f t="shared" si="13"/>
        <v>882</v>
      </c>
      <c r="B890" s="43">
        <v>24</v>
      </c>
      <c r="C890" s="43">
        <v>31</v>
      </c>
      <c r="D890" s="38" t="s">
        <v>642</v>
      </c>
      <c r="E890" s="44" t="s">
        <v>202</v>
      </c>
      <c r="F890" s="44" t="s">
        <v>39</v>
      </c>
      <c r="G890" s="44" t="s">
        <v>120</v>
      </c>
      <c r="H890" s="44" t="s">
        <v>47</v>
      </c>
      <c r="I890" s="44" t="s">
        <v>47</v>
      </c>
      <c r="J890" s="44" t="s">
        <v>7</v>
      </c>
      <c r="K890" s="44" t="s">
        <v>140</v>
      </c>
      <c r="L890" s="40">
        <v>19470</v>
      </c>
      <c r="M890" s="41">
        <v>41851</v>
      </c>
      <c r="N890" s="40" t="s">
        <v>122</v>
      </c>
      <c r="O890" s="42"/>
      <c r="P890" s="40">
        <v>67</v>
      </c>
      <c r="Q890" s="145">
        <v>0</v>
      </c>
      <c r="R890" s="145">
        <v>0</v>
      </c>
      <c r="S890" s="145">
        <v>0</v>
      </c>
      <c r="T890" s="145">
        <v>0</v>
      </c>
      <c r="U890" s="145">
        <v>0</v>
      </c>
    </row>
    <row r="891" spans="1:21" x14ac:dyDescent="0.2">
      <c r="A891" s="89">
        <f t="shared" si="13"/>
        <v>883</v>
      </c>
      <c r="B891" s="43">
        <v>24</v>
      </c>
      <c r="C891" s="43">
        <v>32</v>
      </c>
      <c r="D891" s="38" t="s">
        <v>643</v>
      </c>
      <c r="E891" s="44" t="s">
        <v>204</v>
      </c>
      <c r="F891" s="44" t="s">
        <v>6</v>
      </c>
      <c r="G891" s="44" t="s">
        <v>120</v>
      </c>
      <c r="H891" s="44" t="s">
        <v>14</v>
      </c>
      <c r="I891" s="44" t="s">
        <v>14</v>
      </c>
      <c r="J891" s="44" t="s">
        <v>15</v>
      </c>
      <c r="K891" s="44" t="s">
        <v>129</v>
      </c>
      <c r="L891" s="40">
        <v>19471</v>
      </c>
      <c r="M891" s="41">
        <v>41851</v>
      </c>
      <c r="N891" s="40" t="s">
        <v>122</v>
      </c>
      <c r="O891" s="42"/>
      <c r="P891" s="40">
        <v>67</v>
      </c>
      <c r="Q891" s="145">
        <v>0</v>
      </c>
      <c r="R891" s="145">
        <v>0</v>
      </c>
      <c r="S891" s="145">
        <v>0</v>
      </c>
      <c r="T891" s="145">
        <v>0</v>
      </c>
      <c r="U891" s="145">
        <v>0</v>
      </c>
    </row>
    <row r="892" spans="1:21" x14ac:dyDescent="0.2">
      <c r="A892" s="89">
        <f t="shared" si="13"/>
        <v>884</v>
      </c>
      <c r="B892" s="43">
        <v>24</v>
      </c>
      <c r="C892" s="43">
        <v>33</v>
      </c>
      <c r="D892" s="38" t="s">
        <v>644</v>
      </c>
      <c r="E892" s="44" t="s">
        <v>206</v>
      </c>
      <c r="F892" s="44" t="s">
        <v>6</v>
      </c>
      <c r="G892" s="44" t="s">
        <v>120</v>
      </c>
      <c r="H892" s="44" t="s">
        <v>14</v>
      </c>
      <c r="I892" s="44" t="s">
        <v>14</v>
      </c>
      <c r="J892" s="44" t="s">
        <v>16</v>
      </c>
      <c r="K892" s="44" t="s">
        <v>135</v>
      </c>
      <c r="L892" s="40">
        <v>19472</v>
      </c>
      <c r="M892" s="41">
        <v>41851</v>
      </c>
      <c r="N892" s="40" t="s">
        <v>122</v>
      </c>
      <c r="O892" s="42"/>
      <c r="P892" s="40">
        <v>67</v>
      </c>
      <c r="Q892" s="145">
        <v>0</v>
      </c>
      <c r="R892" s="145">
        <v>0</v>
      </c>
      <c r="S892" s="145">
        <v>0</v>
      </c>
      <c r="T892" s="145">
        <v>0</v>
      </c>
      <c r="U892" s="145">
        <v>0</v>
      </c>
    </row>
    <row r="893" spans="1:21" x14ac:dyDescent="0.2">
      <c r="A893" s="89">
        <f t="shared" si="13"/>
        <v>885</v>
      </c>
      <c r="B893" s="43">
        <v>24</v>
      </c>
      <c r="C893" s="43">
        <v>34</v>
      </c>
      <c r="D893" s="38" t="s">
        <v>645</v>
      </c>
      <c r="E893" s="44" t="s">
        <v>208</v>
      </c>
      <c r="F893" s="44" t="s">
        <v>31</v>
      </c>
      <c r="G893" s="44" t="s">
        <v>120</v>
      </c>
      <c r="H893" s="44" t="s">
        <v>36</v>
      </c>
      <c r="I893" s="44" t="s">
        <v>36</v>
      </c>
      <c r="J893" s="44" t="s">
        <v>37</v>
      </c>
      <c r="K893" s="44" t="s">
        <v>209</v>
      </c>
      <c r="L893" s="40">
        <v>19473</v>
      </c>
      <c r="M893" s="41">
        <v>41851</v>
      </c>
      <c r="N893" s="40" t="s">
        <v>122</v>
      </c>
      <c r="O893" s="42"/>
      <c r="P893" s="40">
        <v>67</v>
      </c>
      <c r="Q893" s="145">
        <v>0</v>
      </c>
      <c r="R893" s="145">
        <v>0</v>
      </c>
      <c r="S893" s="145">
        <v>0</v>
      </c>
      <c r="T893" s="145">
        <v>0</v>
      </c>
      <c r="U893" s="145">
        <v>0</v>
      </c>
    </row>
    <row r="894" spans="1:21" x14ac:dyDescent="0.2">
      <c r="A894" s="89">
        <f t="shared" si="13"/>
        <v>886</v>
      </c>
      <c r="B894" s="43">
        <v>24</v>
      </c>
      <c r="C894" s="43">
        <v>35</v>
      </c>
      <c r="D894" s="38" t="s">
        <v>646</v>
      </c>
      <c r="E894" s="44" t="s">
        <v>211</v>
      </c>
      <c r="F894" s="44" t="s">
        <v>31</v>
      </c>
      <c r="G894" s="44" t="s">
        <v>120</v>
      </c>
      <c r="H894" s="44" t="s">
        <v>36</v>
      </c>
      <c r="I894" s="44" t="s">
        <v>36</v>
      </c>
      <c r="J894" s="44" t="s">
        <v>38</v>
      </c>
      <c r="K894" s="44" t="s">
        <v>212</v>
      </c>
      <c r="L894" s="40">
        <v>19474</v>
      </c>
      <c r="M894" s="41">
        <v>41851</v>
      </c>
      <c r="N894" s="40" t="s">
        <v>122</v>
      </c>
      <c r="O894" s="42"/>
      <c r="P894" s="40">
        <v>67</v>
      </c>
      <c r="Q894" s="145">
        <v>0</v>
      </c>
      <c r="R894" s="145">
        <v>0</v>
      </c>
      <c r="S894" s="145">
        <v>0</v>
      </c>
      <c r="T894" s="145">
        <v>0</v>
      </c>
      <c r="U894" s="145">
        <v>0</v>
      </c>
    </row>
    <row r="895" spans="1:21" x14ac:dyDescent="0.2">
      <c r="A895" s="89">
        <f t="shared" si="13"/>
        <v>887</v>
      </c>
      <c r="B895" s="43">
        <v>24</v>
      </c>
      <c r="C895" s="43">
        <v>36</v>
      </c>
      <c r="D895" s="38" t="s">
        <v>647</v>
      </c>
      <c r="E895" s="44" t="s">
        <v>214</v>
      </c>
      <c r="F895" s="44" t="s">
        <v>6</v>
      </c>
      <c r="G895" s="44" t="s">
        <v>120</v>
      </c>
      <c r="H895" s="44" t="s">
        <v>17</v>
      </c>
      <c r="I895" s="44" t="s">
        <v>215</v>
      </c>
      <c r="J895" s="44" t="s">
        <v>18</v>
      </c>
      <c r="K895" s="44" t="s">
        <v>140</v>
      </c>
      <c r="L895" s="40">
        <v>19475</v>
      </c>
      <c r="M895" s="41">
        <v>41851</v>
      </c>
      <c r="N895" s="40" t="s">
        <v>122</v>
      </c>
      <c r="O895" s="42"/>
      <c r="P895" s="40">
        <v>67</v>
      </c>
      <c r="Q895" s="145">
        <v>0</v>
      </c>
      <c r="R895" s="145">
        <v>0</v>
      </c>
      <c r="S895" s="145">
        <v>0</v>
      </c>
      <c r="T895" s="145">
        <v>0</v>
      </c>
      <c r="U895" s="145">
        <v>0</v>
      </c>
    </row>
  </sheetData>
  <sheetProtection algorithmName="SHA-512" hashValue="W9ykM4Qm50/TXwkUUCrfiBsE10DOdRdHX24jam2ib0y3723cLmyxDO2+yz548VWv7F3vNce6xB/dlUTIcGziVw==" saltValue="w3g5SOtE8479vFwR5PP9vQ==" spinCount="100000" sheet="1" scenarios="1" autoFilter="0"/>
  <autoFilter ref="B8:U895"/>
  <mergeCells count="4">
    <mergeCell ref="P2:Q2"/>
    <mergeCell ref="P3:Q3"/>
    <mergeCell ref="P4:Q4"/>
    <mergeCell ref="P5:Q5"/>
  </mergeCells>
  <conditionalFormatting sqref="Q9:U895">
    <cfRule type="cellIs" dxfId="3" priority="1" operator="equal">
      <formula>9999</formula>
    </cfRule>
  </conditionalFormatting>
  <pageMargins left="0" right="0" top="0" bottom="0.3" header="0" footer="0"/>
  <pageSetup scale="70" orientation="landscape" horizontalDpi="300" verticalDpi="300" r:id="rId1"/>
  <headerFooter>
    <oddFooter>&amp;LPage &amp;P of &amp;N        &amp;D  &amp;T&amp;R&amp;F &amp;F      &amp;A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  <pageSetUpPr autoPageBreaks="0"/>
  </sheetPr>
  <dimension ref="A1:V895"/>
  <sheetViews>
    <sheetView showGridLines="0" workbookViewId="0">
      <pane xSplit="5" ySplit="8" topLeftCell="F9" activePane="bottomRight" state="frozen"/>
      <selection activeCell="A2" sqref="A2:F2"/>
      <selection pane="topRight" activeCell="A2" sqref="A2:F2"/>
      <selection pane="bottomLeft" activeCell="A2" sqref="A2:F2"/>
      <selection pane="bottomRight" activeCell="Q18" sqref="Q18"/>
    </sheetView>
  </sheetViews>
  <sheetFormatPr defaultRowHeight="11.25" x14ac:dyDescent="0.2"/>
  <cols>
    <col min="1" max="1" width="3.83203125" style="15" customWidth="1"/>
    <col min="2" max="4" width="9.33203125" style="15"/>
    <col min="5" max="5" width="22.6640625" style="15" customWidth="1"/>
    <col min="6" max="7" width="9.33203125" style="15"/>
    <col min="8" max="9" width="16.1640625" style="15" bestFit="1" customWidth="1"/>
    <col min="10" max="10" width="9.33203125" style="15"/>
    <col min="11" max="11" width="22.6640625" style="15" customWidth="1"/>
    <col min="12" max="16384" width="9.33203125" style="15"/>
  </cols>
  <sheetData>
    <row r="1" spans="1:22" ht="15.75" x14ac:dyDescent="0.25">
      <c r="B1" s="12" t="s">
        <v>88</v>
      </c>
      <c r="C1" s="13"/>
      <c r="D1" s="13"/>
      <c r="E1" s="13"/>
      <c r="F1" s="13"/>
      <c r="G1" s="13"/>
      <c r="H1" s="13"/>
      <c r="I1" s="13"/>
      <c r="J1" s="14" t="s">
        <v>89</v>
      </c>
      <c r="K1" s="13"/>
      <c r="O1" s="80"/>
      <c r="P1" s="14" t="s">
        <v>107</v>
      </c>
      <c r="Q1" s="13"/>
      <c r="S1" s="146" t="s">
        <v>108</v>
      </c>
      <c r="T1" s="147"/>
    </row>
    <row r="2" spans="1:22" x14ac:dyDescent="0.2">
      <c r="B2" s="13"/>
      <c r="C2" s="13"/>
      <c r="D2" s="13"/>
      <c r="E2" s="13"/>
      <c r="F2" s="13"/>
      <c r="G2" s="13"/>
      <c r="H2" s="13"/>
      <c r="I2" s="13"/>
      <c r="J2" s="16" t="s">
        <v>75</v>
      </c>
      <c r="K2" s="170">
        <v>41518</v>
      </c>
      <c r="N2" s="17"/>
      <c r="O2" s="16" t="s">
        <v>87</v>
      </c>
      <c r="P2" s="218" t="s">
        <v>109</v>
      </c>
      <c r="Q2" s="218"/>
      <c r="S2" s="148" t="s">
        <v>110</v>
      </c>
      <c r="T2" s="149">
        <v>41339</v>
      </c>
    </row>
    <row r="3" spans="1:22" x14ac:dyDescent="0.2">
      <c r="B3" s="18">
        <v>895</v>
      </c>
      <c r="C3" s="13" t="s">
        <v>80</v>
      </c>
      <c r="D3" s="13"/>
      <c r="E3" s="13"/>
      <c r="F3" s="13"/>
      <c r="G3" s="13"/>
      <c r="H3" s="13"/>
      <c r="I3" s="13"/>
      <c r="J3" s="16" t="s">
        <v>84</v>
      </c>
      <c r="K3" s="19">
        <v>41338.772094907406</v>
      </c>
      <c r="N3" s="17"/>
      <c r="O3" s="16" t="s">
        <v>111</v>
      </c>
      <c r="P3" s="219">
        <v>41339</v>
      </c>
      <c r="Q3" s="219"/>
      <c r="S3" s="148" t="s">
        <v>112</v>
      </c>
      <c r="T3" s="147">
        <v>36</v>
      </c>
    </row>
    <row r="4" spans="1:22" x14ac:dyDescent="0.2">
      <c r="B4" s="18">
        <v>36</v>
      </c>
      <c r="C4" s="13" t="s">
        <v>76</v>
      </c>
      <c r="D4" s="13"/>
      <c r="E4" s="13"/>
      <c r="F4" s="13"/>
      <c r="G4" s="13"/>
      <c r="H4" s="13"/>
      <c r="I4" s="13"/>
      <c r="J4" s="16" t="s">
        <v>87</v>
      </c>
      <c r="K4" s="152" t="s">
        <v>109</v>
      </c>
      <c r="N4" s="17"/>
      <c r="O4" s="16" t="s">
        <v>113</v>
      </c>
      <c r="P4" s="220">
        <v>41338.772094907406</v>
      </c>
      <c r="Q4" s="220"/>
      <c r="S4" s="150" t="s">
        <v>114</v>
      </c>
      <c r="T4" s="151">
        <v>41339</v>
      </c>
    </row>
    <row r="5" spans="1:22" x14ac:dyDescent="0.2">
      <c r="B5" s="21">
        <v>12</v>
      </c>
      <c r="C5" s="13" t="s">
        <v>115</v>
      </c>
      <c r="D5" s="13"/>
      <c r="E5" s="13"/>
      <c r="F5" s="13"/>
      <c r="G5" s="13"/>
      <c r="H5" s="13"/>
      <c r="I5" s="13"/>
      <c r="J5" s="16" t="s">
        <v>74</v>
      </c>
      <c r="K5" s="170">
        <f>K2</f>
        <v>41518</v>
      </c>
      <c r="N5" s="17"/>
      <c r="O5" s="16" t="s">
        <v>116</v>
      </c>
      <c r="P5" s="221">
        <v>41395</v>
      </c>
      <c r="Q5" s="221"/>
      <c r="S5" s="148" t="s">
        <v>117</v>
      </c>
      <c r="T5" s="147">
        <v>36</v>
      </c>
    </row>
    <row r="6" spans="1:22" x14ac:dyDescent="0.2">
      <c r="B6" s="21">
        <v>24</v>
      </c>
      <c r="C6" s="13" t="s">
        <v>90</v>
      </c>
      <c r="D6" s="13"/>
      <c r="E6" s="13"/>
      <c r="F6" s="13"/>
      <c r="G6" s="13"/>
      <c r="H6" s="13"/>
      <c r="I6" s="13"/>
      <c r="J6" s="16" t="s">
        <v>78</v>
      </c>
      <c r="K6" s="170">
        <f>EDATE(K5,11)</f>
        <v>41852</v>
      </c>
      <c r="N6" s="17"/>
      <c r="P6" s="22"/>
    </row>
    <row r="8" spans="1:22" ht="22.5" x14ac:dyDescent="0.2">
      <c r="B8" s="23" t="s">
        <v>79</v>
      </c>
      <c r="C8" s="23" t="s">
        <v>77</v>
      </c>
      <c r="D8" s="24" t="s">
        <v>81</v>
      </c>
      <c r="E8" s="25" t="s">
        <v>49</v>
      </c>
      <c r="F8" s="25" t="s">
        <v>2</v>
      </c>
      <c r="G8" s="25" t="s">
        <v>55</v>
      </c>
      <c r="H8" s="25" t="s">
        <v>65</v>
      </c>
      <c r="I8" s="25" t="s">
        <v>66</v>
      </c>
      <c r="J8" s="25" t="s">
        <v>4</v>
      </c>
      <c r="K8" s="25" t="s">
        <v>67</v>
      </c>
      <c r="L8" s="26" t="s">
        <v>85</v>
      </c>
      <c r="M8" s="26" t="s">
        <v>82</v>
      </c>
      <c r="N8" s="26" t="s">
        <v>83</v>
      </c>
      <c r="O8" s="27" t="s">
        <v>68</v>
      </c>
      <c r="P8" s="27" t="s">
        <v>86</v>
      </c>
      <c r="Q8" s="28" t="s">
        <v>69</v>
      </c>
      <c r="R8" s="28" t="s">
        <v>70</v>
      </c>
      <c r="S8" s="28" t="s">
        <v>71</v>
      </c>
      <c r="T8" s="28" t="s">
        <v>72</v>
      </c>
      <c r="U8" s="28" t="s">
        <v>73</v>
      </c>
      <c r="V8" s="28"/>
    </row>
    <row r="9" spans="1:22" x14ac:dyDescent="0.2">
      <c r="A9" s="89">
        <v>1</v>
      </c>
      <c r="B9" s="29">
        <v>1</v>
      </c>
      <c r="C9" s="29">
        <v>1</v>
      </c>
      <c r="D9" s="30" t="s">
        <v>118</v>
      </c>
      <c r="E9" s="31" t="s">
        <v>119</v>
      </c>
      <c r="F9" s="31" t="s">
        <v>31</v>
      </c>
      <c r="G9" s="31" t="s">
        <v>120</v>
      </c>
      <c r="H9" s="31" t="s">
        <v>32</v>
      </c>
      <c r="I9" s="31" t="s">
        <v>32</v>
      </c>
      <c r="J9" s="31" t="s">
        <v>33</v>
      </c>
      <c r="K9" s="31" t="s">
        <v>121</v>
      </c>
      <c r="L9" s="32">
        <v>1117</v>
      </c>
      <c r="M9" s="33">
        <v>41339</v>
      </c>
      <c r="N9" s="32" t="s">
        <v>122</v>
      </c>
      <c r="O9" s="34">
        <f>[3]Main!O9</f>
        <v>42156</v>
      </c>
      <c r="P9" s="35">
        <v>18</v>
      </c>
      <c r="Q9" s="207">
        <f>'[3]AECO LP_10V1_SMS'!G8</f>
        <v>47.345491062291742</v>
      </c>
      <c r="R9" s="207">
        <f>'[3]AECO LP_10V1_SMS'!H8</f>
        <v>50.952292986781011</v>
      </c>
      <c r="S9" s="207">
        <f>'[3]AECO LP_10V1_SMS'!I8</f>
        <v>48.503591728121137</v>
      </c>
      <c r="T9" s="207">
        <f>'[3]AECO LP_10V1_SMS'!J8</f>
        <v>49.09731872964992</v>
      </c>
      <c r="U9" s="207">
        <f>'[3]AECO LP_10V1_SMS'!K8</f>
        <v>48.680078384624984</v>
      </c>
      <c r="V9" s="145"/>
    </row>
    <row r="10" spans="1:22" x14ac:dyDescent="0.2">
      <c r="A10" s="89">
        <f>A9+1</f>
        <v>2</v>
      </c>
      <c r="B10" s="29">
        <v>1</v>
      </c>
      <c r="C10" s="29">
        <v>2</v>
      </c>
      <c r="D10" s="30" t="s">
        <v>123</v>
      </c>
      <c r="E10" s="31" t="s">
        <v>124</v>
      </c>
      <c r="F10" s="31" t="s">
        <v>31</v>
      </c>
      <c r="G10" s="31" t="s">
        <v>120</v>
      </c>
      <c r="H10" s="31" t="s">
        <v>32</v>
      </c>
      <c r="I10" s="31" t="s">
        <v>32</v>
      </c>
      <c r="J10" s="31" t="s">
        <v>34</v>
      </c>
      <c r="K10" s="31" t="s">
        <v>125</v>
      </c>
      <c r="L10" s="35">
        <v>1118</v>
      </c>
      <c r="M10" s="36">
        <v>41339</v>
      </c>
      <c r="N10" s="35" t="s">
        <v>122</v>
      </c>
      <c r="O10" s="34">
        <f t="shared" ref="O10:O44" si="0">O9</f>
        <v>42156</v>
      </c>
      <c r="P10" s="35">
        <v>18</v>
      </c>
      <c r="Q10" s="207">
        <f>'[3]AECO LP_14V1_MMS'!G8</f>
        <v>48.622962301315255</v>
      </c>
      <c r="R10" s="207">
        <f>'[3]AECO LP_14V1_MMS'!H8</f>
        <v>50.866457693385534</v>
      </c>
      <c r="S10" s="207">
        <f>'[3]AECO LP_14V1_MMS'!I8</f>
        <v>48.898647232478133</v>
      </c>
      <c r="T10" s="207">
        <f>'[3]AECO LP_14V1_MMS'!J8</f>
        <v>49.012508467221977</v>
      </c>
      <c r="U10" s="207">
        <f>'[3]AECO LP_14V1_MMS'!K8</f>
        <v>48.087875905406833</v>
      </c>
      <c r="V10" s="145"/>
    </row>
    <row r="11" spans="1:22" x14ac:dyDescent="0.2">
      <c r="A11" s="89">
        <f t="shared" ref="A11:A74" si="1">A10+1</f>
        <v>3</v>
      </c>
      <c r="B11" s="29">
        <v>1</v>
      </c>
      <c r="C11" s="29">
        <v>3</v>
      </c>
      <c r="D11" s="30" t="s">
        <v>126</v>
      </c>
      <c r="E11" s="31" t="s">
        <v>127</v>
      </c>
      <c r="F11" s="31" t="s">
        <v>20</v>
      </c>
      <c r="G11" s="31" t="s">
        <v>120</v>
      </c>
      <c r="H11" s="31" t="s">
        <v>63</v>
      </c>
      <c r="I11" s="31" t="s">
        <v>128</v>
      </c>
      <c r="J11" s="31" t="s">
        <v>15</v>
      </c>
      <c r="K11" s="31" t="s">
        <v>129</v>
      </c>
      <c r="L11" s="35">
        <v>1119</v>
      </c>
      <c r="M11" s="36">
        <v>41339</v>
      </c>
      <c r="N11" s="35" t="s">
        <v>122</v>
      </c>
      <c r="O11" s="34">
        <f t="shared" si="0"/>
        <v>42156</v>
      </c>
      <c r="P11" s="35">
        <v>18</v>
      </c>
      <c r="Q11" s="207">
        <f>'[3]AEP_OH_CS - test CSGS1MS'!G8</f>
        <v>22.342611705588894</v>
      </c>
      <c r="R11" s="207">
        <f>'[3]AEP_OH_CS - test CSGS1MS'!H8</f>
        <v>23.32071622623338</v>
      </c>
      <c r="S11" s="207">
        <f>'[3]AEP_OH_CS - test CSGS1MS'!I8</f>
        <v>20.382770115157058</v>
      </c>
      <c r="T11" s="207">
        <f>'[3]AEP_OH_CS - test CSGS1MS'!J8</f>
        <v>19.396603642387877</v>
      </c>
      <c r="U11" s="207">
        <f>'[3]AEP_OH_CS - test CSGS1MS'!K8</f>
        <v>20.296968460217158</v>
      </c>
      <c r="V11" s="145"/>
    </row>
    <row r="12" spans="1:22" x14ac:dyDescent="0.2">
      <c r="A12" s="89">
        <f t="shared" si="1"/>
        <v>4</v>
      </c>
      <c r="B12" s="29">
        <v>1</v>
      </c>
      <c r="C12" s="29">
        <v>4</v>
      </c>
      <c r="D12" s="30" t="s">
        <v>130</v>
      </c>
      <c r="E12" s="31" t="s">
        <v>131</v>
      </c>
      <c r="F12" s="31" t="s">
        <v>20</v>
      </c>
      <c r="G12" s="31" t="s">
        <v>120</v>
      </c>
      <c r="H12" s="31" t="s">
        <v>63</v>
      </c>
      <c r="I12" s="31" t="s">
        <v>128</v>
      </c>
      <c r="J12" s="31" t="s">
        <v>21</v>
      </c>
      <c r="K12" s="31" t="s">
        <v>132</v>
      </c>
      <c r="L12" s="35">
        <v>1120</v>
      </c>
      <c r="M12" s="36">
        <v>41339</v>
      </c>
      <c r="N12" s="35" t="s">
        <v>122</v>
      </c>
      <c r="O12" s="34">
        <f t="shared" si="0"/>
        <v>42156</v>
      </c>
      <c r="P12" s="35">
        <v>18</v>
      </c>
      <c r="Q12" s="207">
        <f>'[3]AEP_OH_CS - test CSGS2UMS'!G8</f>
        <v>22.588050322615175</v>
      </c>
      <c r="R12" s="207">
        <f>'[3]AEP_OH_CS - test CSGS2UMS'!H8</f>
        <v>23.403552289195172</v>
      </c>
      <c r="S12" s="207">
        <f>'[3]AEP_OH_CS - test CSGS2UMS'!I8</f>
        <v>20.530979723039071</v>
      </c>
      <c r="T12" s="207">
        <f>'[3]AEP_OH_CS - test CSGS2UMS'!J8</f>
        <v>19.474667448303812</v>
      </c>
      <c r="U12" s="207">
        <f>'[3]AEP_OH_CS - test CSGS2UMS'!K8</f>
        <v>20.373341837849594</v>
      </c>
      <c r="V12" s="145"/>
    </row>
    <row r="13" spans="1:22" x14ac:dyDescent="0.2">
      <c r="A13" s="89">
        <f t="shared" si="1"/>
        <v>5</v>
      </c>
      <c r="B13" s="29">
        <v>1</v>
      </c>
      <c r="C13" s="29">
        <v>5</v>
      </c>
      <c r="D13" s="30" t="s">
        <v>133</v>
      </c>
      <c r="E13" s="31" t="s">
        <v>134</v>
      </c>
      <c r="F13" s="31" t="s">
        <v>20</v>
      </c>
      <c r="G13" s="31" t="s">
        <v>120</v>
      </c>
      <c r="H13" s="31" t="s">
        <v>63</v>
      </c>
      <c r="I13" s="31" t="s">
        <v>128</v>
      </c>
      <c r="J13" s="31" t="s">
        <v>16</v>
      </c>
      <c r="K13" s="31" t="s">
        <v>135</v>
      </c>
      <c r="L13" s="35">
        <v>1121</v>
      </c>
      <c r="M13" s="36">
        <v>41339</v>
      </c>
      <c r="N13" s="35" t="s">
        <v>122</v>
      </c>
      <c r="O13" s="34">
        <f t="shared" si="0"/>
        <v>42156</v>
      </c>
      <c r="P13" s="35">
        <v>18</v>
      </c>
      <c r="Q13" s="207">
        <f>'[3]AEP_OH_CS - test CSGS3UMS'!G8</f>
        <v>21.954800083865774</v>
      </c>
      <c r="R13" s="207">
        <f>'[3]AEP_OH_CS - test CSGS3UMS'!H8</f>
        <v>23.334580772466605</v>
      </c>
      <c r="S13" s="207">
        <f>'[3]AEP_OH_CS - test CSGS3UMS'!I8</f>
        <v>20.292877514075428</v>
      </c>
      <c r="T13" s="207">
        <f>'[3]AEP_OH_CS - test CSGS3UMS'!J8</f>
        <v>19.404486716273944</v>
      </c>
      <c r="U13" s="207">
        <f>'[3]AEP_OH_CS - test CSGS3UMS'!K8</f>
        <v>20.30040551389633</v>
      </c>
      <c r="V13" s="145"/>
    </row>
    <row r="14" spans="1:22" x14ac:dyDescent="0.2">
      <c r="A14" s="89">
        <f t="shared" si="1"/>
        <v>6</v>
      </c>
      <c r="B14" s="29">
        <v>1</v>
      </c>
      <c r="C14" s="29">
        <v>6</v>
      </c>
      <c r="D14" s="30" t="s">
        <v>136</v>
      </c>
      <c r="E14" s="31" t="s">
        <v>137</v>
      </c>
      <c r="F14" s="31" t="s">
        <v>25</v>
      </c>
      <c r="G14" s="31" t="s">
        <v>138</v>
      </c>
      <c r="H14" s="31" t="s">
        <v>139</v>
      </c>
      <c r="I14" s="31" t="s">
        <v>29</v>
      </c>
      <c r="J14" s="31" t="s">
        <v>30</v>
      </c>
      <c r="K14" s="31" t="s">
        <v>140</v>
      </c>
      <c r="L14" s="35">
        <v>1122</v>
      </c>
      <c r="M14" s="36">
        <v>41339</v>
      </c>
      <c r="N14" s="35" t="s">
        <v>122</v>
      </c>
      <c r="O14" s="34">
        <f t="shared" si="0"/>
        <v>42156</v>
      </c>
      <c r="P14" s="35">
        <v>18</v>
      </c>
      <c r="Q14" s="207">
        <f>'[3]Ameren RateZnIII LP DS2HHMS'!G8</f>
        <v>30.229435122231202</v>
      </c>
      <c r="R14" s="207">
        <f>'[3]Ameren RateZnIII LP DS2HHMS'!H8</f>
        <v>31.668172173744654</v>
      </c>
      <c r="S14" s="207">
        <f>'[3]Ameren RateZnIII LP DS2HHMS'!I8</f>
        <v>32.364083010452632</v>
      </c>
      <c r="T14" s="207">
        <f>'[3]Ameren RateZnIII LP DS2HHMS'!J8</f>
        <v>33.478108279941246</v>
      </c>
      <c r="U14" s="207">
        <f>'[3]Ameren RateZnIII LP DS2HHMS'!K8</f>
        <v>34.608548799924939</v>
      </c>
      <c r="V14" s="145"/>
    </row>
    <row r="15" spans="1:22" x14ac:dyDescent="0.2">
      <c r="A15" s="89">
        <f t="shared" si="1"/>
        <v>7</v>
      </c>
      <c r="B15" s="29">
        <v>1</v>
      </c>
      <c r="C15" s="29">
        <v>7</v>
      </c>
      <c r="D15" s="30" t="s">
        <v>141</v>
      </c>
      <c r="E15" s="31" t="s">
        <v>142</v>
      </c>
      <c r="F15" s="31" t="s">
        <v>39</v>
      </c>
      <c r="G15" s="31" t="s">
        <v>120</v>
      </c>
      <c r="H15" s="31" t="s">
        <v>40</v>
      </c>
      <c r="I15" s="31" t="s">
        <v>40</v>
      </c>
      <c r="J15" s="31" t="s">
        <v>42</v>
      </c>
      <c r="K15" s="31" t="s">
        <v>135</v>
      </c>
      <c r="L15" s="35">
        <v>1124</v>
      </c>
      <c r="M15" s="36">
        <v>41339</v>
      </c>
      <c r="N15" s="35" t="s">
        <v>122</v>
      </c>
      <c r="O15" s="34">
        <f t="shared" si="0"/>
        <v>42156</v>
      </c>
      <c r="P15" s="35">
        <v>18</v>
      </c>
      <c r="Q15" s="207">
        <f>'[3]BGE LP_GLMS'!G8</f>
        <v>33.699760374040579</v>
      </c>
      <c r="R15" s="207">
        <f>'[3]BGE LP_GLMS'!H8</f>
        <v>35.84120527907649</v>
      </c>
      <c r="S15" s="207">
        <f>'[3]BGE LP_GLMS'!I8</f>
        <v>33.875580402646584</v>
      </c>
      <c r="T15" s="207">
        <f>'[3]BGE LP_GLMS'!J8</f>
        <v>33.836724669263759</v>
      </c>
      <c r="U15" s="207">
        <f>'[3]BGE LP_GLMS'!K8</f>
        <v>33.45010244858404</v>
      </c>
      <c r="V15" s="145"/>
    </row>
    <row r="16" spans="1:22" x14ac:dyDescent="0.2">
      <c r="A16" s="89">
        <f t="shared" si="1"/>
        <v>8</v>
      </c>
      <c r="B16" s="29">
        <v>1</v>
      </c>
      <c r="C16" s="29">
        <v>8</v>
      </c>
      <c r="D16" s="30" t="s">
        <v>143</v>
      </c>
      <c r="E16" s="31" t="s">
        <v>144</v>
      </c>
      <c r="F16" s="31" t="s">
        <v>39</v>
      </c>
      <c r="G16" s="31" t="s">
        <v>120</v>
      </c>
      <c r="H16" s="31" t="s">
        <v>40</v>
      </c>
      <c r="I16" s="31" t="s">
        <v>40</v>
      </c>
      <c r="J16" s="31" t="s">
        <v>41</v>
      </c>
      <c r="K16" s="31" t="s">
        <v>132</v>
      </c>
      <c r="L16" s="35">
        <v>1123</v>
      </c>
      <c r="M16" s="36">
        <v>41339</v>
      </c>
      <c r="N16" s="35" t="s">
        <v>122</v>
      </c>
      <c r="O16" s="34">
        <f t="shared" si="0"/>
        <v>42156</v>
      </c>
      <c r="P16" s="35">
        <v>18</v>
      </c>
      <c r="Q16" s="207">
        <f>'[3]BGE LP_GMS'!G8</f>
        <v>34.825246135914675</v>
      </c>
      <c r="R16" s="207">
        <f>'[3]BGE LP_GMS'!H8</f>
        <v>35.932987367527559</v>
      </c>
      <c r="S16" s="207">
        <f>'[3]BGE LP_GMS'!I8</f>
        <v>34.299759056620225</v>
      </c>
      <c r="T16" s="207">
        <f>'[3]BGE LP_GMS'!J8</f>
        <v>33.917980576266267</v>
      </c>
      <c r="U16" s="207">
        <f>'[3]BGE LP_GMS'!K8</f>
        <v>33.572445716659303</v>
      </c>
      <c r="V16" s="145"/>
    </row>
    <row r="17" spans="1:22" x14ac:dyDescent="0.2">
      <c r="A17" s="89">
        <f t="shared" si="1"/>
        <v>9</v>
      </c>
      <c r="B17" s="29">
        <v>1</v>
      </c>
      <c r="C17" s="29">
        <v>9</v>
      </c>
      <c r="D17" s="30" t="s">
        <v>145</v>
      </c>
      <c r="E17" s="31" t="s">
        <v>146</v>
      </c>
      <c r="F17" s="31" t="s">
        <v>39</v>
      </c>
      <c r="G17" s="31" t="s">
        <v>120</v>
      </c>
      <c r="H17" s="31" t="s">
        <v>40</v>
      </c>
      <c r="I17" s="31" t="s">
        <v>40</v>
      </c>
      <c r="J17" s="31" t="s">
        <v>7</v>
      </c>
      <c r="K17" s="31" t="s">
        <v>129</v>
      </c>
      <c r="L17" s="35">
        <v>1125</v>
      </c>
      <c r="M17" s="36">
        <v>41339</v>
      </c>
      <c r="N17" s="35" t="s">
        <v>122</v>
      </c>
      <c r="O17" s="34">
        <f t="shared" si="0"/>
        <v>42156</v>
      </c>
      <c r="P17" s="35">
        <v>18</v>
      </c>
      <c r="Q17" s="207">
        <f>'[3]BGE LP_GSMS'!G8</f>
        <v>35.053930557330133</v>
      </c>
      <c r="R17" s="207">
        <f>'[3]BGE LP_GSMS'!H8</f>
        <v>36.895372637458877</v>
      </c>
      <c r="S17" s="207">
        <f>'[3]BGE LP_GSMS'!I8</f>
        <v>35.010848845551656</v>
      </c>
      <c r="T17" s="207">
        <f>'[3]BGE LP_GSMS'!J8</f>
        <v>34.868346280142255</v>
      </c>
      <c r="U17" s="207">
        <f>'[3]BGE LP_GSMS'!K8</f>
        <v>34.440101680757216</v>
      </c>
      <c r="V17" s="145"/>
    </row>
    <row r="18" spans="1:22" x14ac:dyDescent="0.2">
      <c r="A18" s="89">
        <f t="shared" si="1"/>
        <v>10</v>
      </c>
      <c r="B18" s="29">
        <v>1</v>
      </c>
      <c r="C18" s="29">
        <v>10</v>
      </c>
      <c r="D18" s="30" t="s">
        <v>147</v>
      </c>
      <c r="E18" s="31" t="s">
        <v>148</v>
      </c>
      <c r="F18" s="31" t="s">
        <v>25</v>
      </c>
      <c r="G18" s="31" t="s">
        <v>120</v>
      </c>
      <c r="H18" s="31" t="s">
        <v>149</v>
      </c>
      <c r="I18" s="31" t="s">
        <v>26</v>
      </c>
      <c r="J18" s="31" t="s">
        <v>27</v>
      </c>
      <c r="K18" s="31" t="s">
        <v>150</v>
      </c>
      <c r="L18" s="35">
        <v>1126</v>
      </c>
      <c r="M18" s="36">
        <v>41339</v>
      </c>
      <c r="N18" s="35" t="s">
        <v>122</v>
      </c>
      <c r="O18" s="34">
        <f t="shared" si="0"/>
        <v>42156</v>
      </c>
      <c r="P18" s="35">
        <v>18</v>
      </c>
      <c r="Q18" s="207">
        <f>'[3]ComEd - test LP_28MS'!G8</f>
        <v>30.160077057405086</v>
      </c>
      <c r="R18" s="207">
        <f>'[3]ComEd - test LP_28MS'!H8</f>
        <v>31.137622561262997</v>
      </c>
      <c r="S18" s="207">
        <f>'[3]ComEd - test LP_28MS'!I8</f>
        <v>28.299289322880995</v>
      </c>
      <c r="T18" s="207">
        <f>'[3]ComEd - test LP_28MS'!J8</f>
        <v>27.352075366059974</v>
      </c>
      <c r="U18" s="207">
        <f>'[3]ComEd - test LP_28MS'!K8</f>
        <v>28.418927771983668</v>
      </c>
      <c r="V18" s="145"/>
    </row>
    <row r="19" spans="1:22" x14ac:dyDescent="0.2">
      <c r="A19" s="89">
        <f t="shared" si="1"/>
        <v>11</v>
      </c>
      <c r="B19" s="29">
        <v>1</v>
      </c>
      <c r="C19" s="29">
        <v>11</v>
      </c>
      <c r="D19" s="30" t="s">
        <v>151</v>
      </c>
      <c r="E19" s="31" t="s">
        <v>152</v>
      </c>
      <c r="F19" s="31" t="s">
        <v>25</v>
      </c>
      <c r="G19" s="31" t="s">
        <v>120</v>
      </c>
      <c r="H19" s="31" t="s">
        <v>149</v>
      </c>
      <c r="I19" s="31" t="s">
        <v>26</v>
      </c>
      <c r="J19" s="31" t="s">
        <v>28</v>
      </c>
      <c r="K19" s="31" t="s">
        <v>153</v>
      </c>
      <c r="L19" s="35">
        <v>1127</v>
      </c>
      <c r="M19" s="36">
        <v>41339</v>
      </c>
      <c r="N19" s="35" t="s">
        <v>122</v>
      </c>
      <c r="O19" s="34">
        <f t="shared" si="0"/>
        <v>42156</v>
      </c>
      <c r="P19" s="35">
        <v>18</v>
      </c>
      <c r="Q19" s="207">
        <f>'[3]ComEd - test LP_29MS'!G8</f>
        <v>29.167117992539367</v>
      </c>
      <c r="R19" s="207">
        <f>'[3]ComEd - test LP_29MS'!H8</f>
        <v>30.221316035071407</v>
      </c>
      <c r="S19" s="207">
        <f>'[3]ComEd - test LP_29MS'!I8</f>
        <v>27.365148480270335</v>
      </c>
      <c r="T19" s="207">
        <f>'[3]ComEd - test LP_29MS'!J8</f>
        <v>26.442025166888442</v>
      </c>
      <c r="U19" s="207">
        <f>'[3]ComEd - test LP_29MS'!K8</f>
        <v>27.509619404091868</v>
      </c>
      <c r="V19" s="145"/>
    </row>
    <row r="20" spans="1:22" x14ac:dyDescent="0.2">
      <c r="A20" s="89">
        <f t="shared" si="1"/>
        <v>12</v>
      </c>
      <c r="B20" s="29">
        <v>1</v>
      </c>
      <c r="C20" s="29">
        <v>12</v>
      </c>
      <c r="D20" s="30" t="s">
        <v>154</v>
      </c>
      <c r="E20" s="31" t="s">
        <v>155</v>
      </c>
      <c r="F20" s="31" t="s">
        <v>20</v>
      </c>
      <c r="G20" s="31" t="s">
        <v>120</v>
      </c>
      <c r="H20" s="31" t="s">
        <v>105</v>
      </c>
      <c r="I20" s="31" t="s">
        <v>156</v>
      </c>
      <c r="J20" s="31" t="s">
        <v>22</v>
      </c>
      <c r="K20" s="31" t="s">
        <v>157</v>
      </c>
      <c r="L20" s="35">
        <v>1128</v>
      </c>
      <c r="M20" s="36">
        <v>41339</v>
      </c>
      <c r="N20" s="35" t="s">
        <v>122</v>
      </c>
      <c r="O20" s="34">
        <f t="shared" si="0"/>
        <v>42156</v>
      </c>
      <c r="P20" s="35">
        <v>18</v>
      </c>
      <c r="Q20" s="207">
        <f>[3]DAY_RC_843MS!G8</f>
        <v>23.110152850568042</v>
      </c>
      <c r="R20" s="207">
        <f>[3]DAY_RC_843MS!H8</f>
        <v>22.436587054602192</v>
      </c>
      <c r="S20" s="207">
        <f>[3]DAY_RC_843MS!I8</f>
        <v>19.915704857405689</v>
      </c>
      <c r="T20" s="207">
        <f>[3]DAY_RC_843MS!J8</f>
        <v>18.434128999340381</v>
      </c>
      <c r="U20" s="207">
        <f>[3]DAY_RC_843MS!K8</f>
        <v>19.366566613245471</v>
      </c>
      <c r="V20" s="145"/>
    </row>
    <row r="21" spans="1:22" x14ac:dyDescent="0.2">
      <c r="A21" s="89">
        <f t="shared" si="1"/>
        <v>13</v>
      </c>
      <c r="B21" s="29">
        <v>1</v>
      </c>
      <c r="C21" s="29">
        <v>13</v>
      </c>
      <c r="D21" s="30" t="s">
        <v>158</v>
      </c>
      <c r="E21" s="31" t="s">
        <v>159</v>
      </c>
      <c r="F21" s="31" t="s">
        <v>39</v>
      </c>
      <c r="G21" s="31" t="s">
        <v>120</v>
      </c>
      <c r="H21" s="31" t="s">
        <v>43</v>
      </c>
      <c r="I21" s="31" t="s">
        <v>43</v>
      </c>
      <c r="J21" s="31" t="s">
        <v>7</v>
      </c>
      <c r="K21" s="31" t="s">
        <v>140</v>
      </c>
      <c r="L21" s="35">
        <v>1129</v>
      </c>
      <c r="M21" s="36">
        <v>41339</v>
      </c>
      <c r="N21" s="35" t="s">
        <v>122</v>
      </c>
      <c r="O21" s="34">
        <f t="shared" si="0"/>
        <v>42156</v>
      </c>
      <c r="P21" s="35">
        <v>18</v>
      </c>
      <c r="Q21" s="207">
        <f>'[3]Delmarva MD LP_MDGS_MMS'!G8</f>
        <v>37.567201985435268</v>
      </c>
      <c r="R21" s="207">
        <f>'[3]Delmarva MD LP_MDGS_MMS'!H8</f>
        <v>39.412831393240509</v>
      </c>
      <c r="S21" s="207">
        <f>'[3]Delmarva MD LP_MDGS_MMS'!I8</f>
        <v>37.646820318014278</v>
      </c>
      <c r="T21" s="207">
        <f>'[3]Delmarva MD LP_MDGS_MMS'!J8</f>
        <v>37.55151677920005</v>
      </c>
      <c r="U21" s="207">
        <f>'[3]Delmarva MD LP_MDGS_MMS'!K8</f>
        <v>37.335824792319258</v>
      </c>
      <c r="V21" s="145"/>
    </row>
    <row r="22" spans="1:22" x14ac:dyDescent="0.2">
      <c r="A22" s="89">
        <f t="shared" si="1"/>
        <v>14</v>
      </c>
      <c r="B22" s="29">
        <v>1</v>
      </c>
      <c r="C22" s="29">
        <v>14</v>
      </c>
      <c r="D22" s="30" t="s">
        <v>160</v>
      </c>
      <c r="E22" s="31" t="s">
        <v>161</v>
      </c>
      <c r="F22" s="31" t="s">
        <v>6</v>
      </c>
      <c r="G22" s="31" t="s">
        <v>120</v>
      </c>
      <c r="H22" s="31" t="s">
        <v>48</v>
      </c>
      <c r="I22" s="31" t="s">
        <v>48</v>
      </c>
      <c r="J22" s="31" t="s">
        <v>7</v>
      </c>
      <c r="K22" s="31" t="s">
        <v>140</v>
      </c>
      <c r="L22" s="35">
        <v>1130</v>
      </c>
      <c r="M22" s="36">
        <v>41339</v>
      </c>
      <c r="N22" s="35" t="s">
        <v>122</v>
      </c>
      <c r="O22" s="34">
        <f t="shared" si="0"/>
        <v>42156</v>
      </c>
      <c r="P22" s="35">
        <v>18</v>
      </c>
      <c r="Q22" s="207">
        <f>'[3]DQE LP_GSGM_MMS'!G8</f>
        <v>34.225984167215167</v>
      </c>
      <c r="R22" s="207">
        <f>'[3]DQE LP_GSGM_MMS'!H8</f>
        <v>34.808441410508522</v>
      </c>
      <c r="S22" s="207">
        <f>'[3]DQE LP_GSGM_MMS'!I8</f>
        <v>32.098780143784481</v>
      </c>
      <c r="T22" s="207">
        <f>'[3]DQE LP_GSGM_MMS'!J8</f>
        <v>31.011396998857641</v>
      </c>
      <c r="U22" s="207">
        <f>'[3]DQE LP_GSGM_MMS'!K8</f>
        <v>32.078133253906969</v>
      </c>
      <c r="V22" s="145"/>
    </row>
    <row r="23" spans="1:22" x14ac:dyDescent="0.2">
      <c r="A23" s="89">
        <f t="shared" si="1"/>
        <v>15</v>
      </c>
      <c r="B23" s="29">
        <v>1</v>
      </c>
      <c r="C23" s="29">
        <v>15</v>
      </c>
      <c r="D23" s="30" t="s">
        <v>162</v>
      </c>
      <c r="E23" s="31" t="s">
        <v>163</v>
      </c>
      <c r="F23" s="31" t="s">
        <v>20</v>
      </c>
      <c r="G23" s="31" t="s">
        <v>120</v>
      </c>
      <c r="H23" s="31" t="s">
        <v>23</v>
      </c>
      <c r="I23" s="31" t="s">
        <v>164</v>
      </c>
      <c r="J23" s="31" t="s">
        <v>24</v>
      </c>
      <c r="K23" s="31" t="s">
        <v>140</v>
      </c>
      <c r="L23" s="35">
        <v>1131</v>
      </c>
      <c r="M23" s="36">
        <v>41339</v>
      </c>
      <c r="N23" s="35" t="s">
        <v>122</v>
      </c>
      <c r="O23" s="34">
        <f t="shared" si="0"/>
        <v>42156</v>
      </c>
      <c r="P23" s="35">
        <v>18</v>
      </c>
      <c r="Q23" s="207">
        <f>[3]Duke_OH_RC_DS01MS!G8</f>
        <v>21.413541822839775</v>
      </c>
      <c r="R23" s="207">
        <f>[3]Duke_OH_RC_DS01MS!H8</f>
        <v>22.23106098691343</v>
      </c>
      <c r="S23" s="207">
        <f>[3]Duke_OH_RC_DS01MS!I8</f>
        <v>19.342368235779588</v>
      </c>
      <c r="T23" s="207">
        <f>[3]Duke_OH_RC_DS01MS!J8</f>
        <v>18.26655261547473</v>
      </c>
      <c r="U23" s="207">
        <f>[3]Duke_OH_RC_DS01MS!K8</f>
        <v>19.123460980616244</v>
      </c>
      <c r="V23" s="145"/>
    </row>
    <row r="24" spans="1:22" x14ac:dyDescent="0.2">
      <c r="A24" s="89">
        <f t="shared" si="1"/>
        <v>16</v>
      </c>
      <c r="B24" s="29">
        <v>1</v>
      </c>
      <c r="C24" s="29">
        <v>16</v>
      </c>
      <c r="D24" s="30" t="s">
        <v>165</v>
      </c>
      <c r="E24" s="31" t="s">
        <v>166</v>
      </c>
      <c r="F24" s="31" t="s">
        <v>20</v>
      </c>
      <c r="G24" s="31" t="s">
        <v>120</v>
      </c>
      <c r="H24" s="31" t="s">
        <v>64</v>
      </c>
      <c r="I24" s="31" t="s">
        <v>167</v>
      </c>
      <c r="J24" s="31" t="s">
        <v>7</v>
      </c>
      <c r="K24" s="31" t="s">
        <v>140</v>
      </c>
      <c r="L24" s="35">
        <v>1132</v>
      </c>
      <c r="M24" s="36">
        <v>41339</v>
      </c>
      <c r="N24" s="35" t="s">
        <v>122</v>
      </c>
      <c r="O24" s="34">
        <f t="shared" si="0"/>
        <v>42156</v>
      </c>
      <c r="P24" s="35">
        <v>18</v>
      </c>
      <c r="Q24" s="207">
        <f>'[3]FE_OE - test RC_GSFMS'!G8</f>
        <v>42.05904353785678</v>
      </c>
      <c r="R24" s="207">
        <f>'[3]FE_OE - test RC_GSFMS'!H8</f>
        <v>41.376962799527412</v>
      </c>
      <c r="S24" s="207">
        <f>'[3]FE_OE - test RC_GSFMS'!I8</f>
        <v>34.396678974855433</v>
      </c>
      <c r="T24" s="207">
        <f>'[3]FE_OE - test RC_GSFMS'!J8</f>
        <v>30.740334037014044</v>
      </c>
      <c r="U24" s="207">
        <f>'[3]FE_OE - test RC_GSFMS'!K8</f>
        <v>28.321800051847475</v>
      </c>
      <c r="V24" s="145"/>
    </row>
    <row r="25" spans="1:22" x14ac:dyDescent="0.2">
      <c r="A25" s="89">
        <f t="shared" si="1"/>
        <v>17</v>
      </c>
      <c r="B25" s="29">
        <v>1</v>
      </c>
      <c r="C25" s="29">
        <v>17</v>
      </c>
      <c r="D25" s="30" t="s">
        <v>168</v>
      </c>
      <c r="E25" s="31" t="s">
        <v>169</v>
      </c>
      <c r="F25" s="31" t="s">
        <v>31</v>
      </c>
      <c r="G25" s="31" t="s">
        <v>120</v>
      </c>
      <c r="H25" s="31" t="s">
        <v>35</v>
      </c>
      <c r="I25" s="31" t="s">
        <v>35</v>
      </c>
      <c r="J25" s="31" t="s">
        <v>9</v>
      </c>
      <c r="K25" s="31" t="s">
        <v>135</v>
      </c>
      <c r="L25" s="35">
        <v>1133</v>
      </c>
      <c r="M25" s="36">
        <v>41339</v>
      </c>
      <c r="N25" s="35" t="s">
        <v>122</v>
      </c>
      <c r="O25" s="34">
        <f t="shared" si="0"/>
        <v>42156</v>
      </c>
      <c r="P25" s="35">
        <v>18</v>
      </c>
      <c r="Q25" s="207">
        <f>'[3]JCPL LP_GSCLMS'!G8</f>
        <v>46.235709970212561</v>
      </c>
      <c r="R25" s="207">
        <f>'[3]JCPL LP_GSCLMS'!H8</f>
        <v>48.191459388078378</v>
      </c>
      <c r="S25" s="207">
        <f>'[3]JCPL LP_GSCLMS'!I8</f>
        <v>46.270856945137979</v>
      </c>
      <c r="T25" s="207">
        <f>'[3]JCPL LP_GSCLMS'!J8</f>
        <v>46.333805784793178</v>
      </c>
      <c r="U25" s="207">
        <f>'[3]JCPL LP_GSCLMS'!K8</f>
        <v>46.277712976968154</v>
      </c>
      <c r="V25" s="145"/>
    </row>
    <row r="26" spans="1:22" x14ac:dyDescent="0.2">
      <c r="A26" s="89">
        <f t="shared" si="1"/>
        <v>18</v>
      </c>
      <c r="B26" s="29">
        <v>1</v>
      </c>
      <c r="C26" s="29">
        <v>18</v>
      </c>
      <c r="D26" s="30" t="s">
        <v>170</v>
      </c>
      <c r="E26" s="31" t="s">
        <v>171</v>
      </c>
      <c r="F26" s="31" t="s">
        <v>31</v>
      </c>
      <c r="G26" s="31" t="s">
        <v>120</v>
      </c>
      <c r="H26" s="31" t="s">
        <v>35</v>
      </c>
      <c r="I26" s="31" t="s">
        <v>35</v>
      </c>
      <c r="J26" s="31" t="s">
        <v>10</v>
      </c>
      <c r="K26" s="31" t="s">
        <v>132</v>
      </c>
      <c r="L26" s="35">
        <v>1134</v>
      </c>
      <c r="M26" s="36">
        <v>41339</v>
      </c>
      <c r="N26" s="35" t="s">
        <v>122</v>
      </c>
      <c r="O26" s="34">
        <f t="shared" si="0"/>
        <v>42156</v>
      </c>
      <c r="P26" s="35">
        <v>18</v>
      </c>
      <c r="Q26" s="207">
        <f>'[3]JCPL LP_GSCMMS'!G8</f>
        <v>53.120267580604214</v>
      </c>
      <c r="R26" s="207">
        <f>'[3]JCPL LP_GSCMMS'!H8</f>
        <v>49.147273667749545</v>
      </c>
      <c r="S26" s="207">
        <f>'[3]JCPL LP_GSCMMS'!I8</f>
        <v>48.970143447854035</v>
      </c>
      <c r="T26" s="207">
        <f>'[3]JCPL LP_GSCMMS'!J8</f>
        <v>47.323564941779118</v>
      </c>
      <c r="U26" s="207">
        <f>'[3]JCPL LP_GSCMMS'!K8</f>
        <v>47.272625819262352</v>
      </c>
      <c r="V26" s="145"/>
    </row>
    <row r="27" spans="1:22" x14ac:dyDescent="0.2">
      <c r="A27" s="89">
        <f t="shared" si="1"/>
        <v>19</v>
      </c>
      <c r="B27" s="29">
        <v>1</v>
      </c>
      <c r="C27" s="29">
        <v>19</v>
      </c>
      <c r="D27" s="30" t="s">
        <v>172</v>
      </c>
      <c r="E27" s="31" t="s">
        <v>173</v>
      </c>
      <c r="F27" s="31" t="s">
        <v>31</v>
      </c>
      <c r="G27" s="31" t="s">
        <v>120</v>
      </c>
      <c r="H27" s="31" t="s">
        <v>35</v>
      </c>
      <c r="I27" s="31" t="s">
        <v>35</v>
      </c>
      <c r="J27" s="31" t="s">
        <v>11</v>
      </c>
      <c r="K27" s="31" t="s">
        <v>129</v>
      </c>
      <c r="L27" s="35">
        <v>1135</v>
      </c>
      <c r="M27" s="36">
        <v>41339</v>
      </c>
      <c r="N27" s="35" t="s">
        <v>122</v>
      </c>
      <c r="O27" s="34">
        <f t="shared" si="0"/>
        <v>42156</v>
      </c>
      <c r="P27" s="35">
        <v>18</v>
      </c>
      <c r="Q27" s="207">
        <f>'[3]JCPL LP_GSCSMS'!G8</f>
        <v>49.787254887987224</v>
      </c>
      <c r="R27" s="207">
        <f>'[3]JCPL LP_GSCSMS'!H8</f>
        <v>49.394439997014729</v>
      </c>
      <c r="S27" s="207">
        <f>'[3]JCPL LP_GSCSMS'!I8</f>
        <v>48.189494262918195</v>
      </c>
      <c r="T27" s="207">
        <f>'[3]JCPL LP_GSCSMS'!J8</f>
        <v>47.537794199694495</v>
      </c>
      <c r="U27" s="207">
        <f>'[3]JCPL LP_GSCSMS'!K8</f>
        <v>47.461561570563539</v>
      </c>
      <c r="V27" s="145"/>
    </row>
    <row r="28" spans="1:22" x14ac:dyDescent="0.2">
      <c r="A28" s="89">
        <f t="shared" si="1"/>
        <v>20</v>
      </c>
      <c r="B28" s="29">
        <v>1</v>
      </c>
      <c r="C28" s="29">
        <v>20</v>
      </c>
      <c r="D28" s="30" t="s">
        <v>174</v>
      </c>
      <c r="E28" s="31" t="s">
        <v>175</v>
      </c>
      <c r="F28" s="31" t="s">
        <v>6</v>
      </c>
      <c r="G28" s="31" t="s">
        <v>120</v>
      </c>
      <c r="H28" s="31" t="s">
        <v>176</v>
      </c>
      <c r="I28" s="31" t="s">
        <v>177</v>
      </c>
      <c r="J28" s="31" t="s">
        <v>9</v>
      </c>
      <c r="K28" s="31" t="s">
        <v>135</v>
      </c>
      <c r="L28" s="35">
        <v>1137</v>
      </c>
      <c r="M28" s="36">
        <v>41339</v>
      </c>
      <c r="N28" s="35" t="s">
        <v>122</v>
      </c>
      <c r="O28" s="34">
        <f t="shared" si="0"/>
        <v>42156</v>
      </c>
      <c r="P28" s="35">
        <v>18</v>
      </c>
      <c r="Q28" s="207">
        <f>'[3]MetEd RC_GSLFMS'!G8</f>
        <v>28.484522440363222</v>
      </c>
      <c r="R28" s="207">
        <f>'[3]MetEd RC_GSLFMS'!H8</f>
        <v>29.681740984675553</v>
      </c>
      <c r="S28" s="207">
        <f>'[3]MetEd RC_GSLFMS'!I8</f>
        <v>27.877797696286759</v>
      </c>
      <c r="T28" s="207">
        <f>'[3]MetEd RC_GSLFMS'!J8</f>
        <v>27.540507887882864</v>
      </c>
      <c r="U28" s="207">
        <f>'[3]MetEd RC_GSLFMS'!K8</f>
        <v>26.99213949063622</v>
      </c>
      <c r="V28" s="145"/>
    </row>
    <row r="29" spans="1:22" x14ac:dyDescent="0.2">
      <c r="A29" s="89">
        <f t="shared" si="1"/>
        <v>21</v>
      </c>
      <c r="B29" s="29">
        <v>1</v>
      </c>
      <c r="C29" s="29">
        <v>21</v>
      </c>
      <c r="D29" s="30" t="s">
        <v>178</v>
      </c>
      <c r="E29" s="31" t="s">
        <v>179</v>
      </c>
      <c r="F29" s="31" t="s">
        <v>6</v>
      </c>
      <c r="G29" s="31" t="s">
        <v>120</v>
      </c>
      <c r="H29" s="31" t="s">
        <v>176</v>
      </c>
      <c r="I29" s="31" t="s">
        <v>177</v>
      </c>
      <c r="J29" s="31" t="s">
        <v>10</v>
      </c>
      <c r="K29" s="31" t="s">
        <v>132</v>
      </c>
      <c r="L29" s="35">
        <v>1136</v>
      </c>
      <c r="M29" s="36">
        <v>41339</v>
      </c>
      <c r="N29" s="35" t="s">
        <v>122</v>
      </c>
      <c r="O29" s="34">
        <f t="shared" si="0"/>
        <v>42156</v>
      </c>
      <c r="P29" s="35">
        <v>18</v>
      </c>
      <c r="Q29" s="207">
        <f>'[3]MetEd RC_GSDFMS'!G8</f>
        <v>29.72136619163954</v>
      </c>
      <c r="R29" s="207">
        <f>'[3]MetEd RC_GSDFMS'!H8</f>
        <v>30.785489425703055</v>
      </c>
      <c r="S29" s="207">
        <f>'[3]MetEd RC_GSDFMS'!I8</f>
        <v>29.023431337929424</v>
      </c>
      <c r="T29" s="207">
        <f>'[3]MetEd RC_GSDFMS'!J8</f>
        <v>28.63737206771339</v>
      </c>
      <c r="U29" s="207">
        <f>'[3]MetEd RC_GSDFMS'!K8</f>
        <v>28.085784447052692</v>
      </c>
      <c r="V29" s="145"/>
    </row>
    <row r="30" spans="1:22" x14ac:dyDescent="0.2">
      <c r="A30" s="89">
        <f t="shared" si="1"/>
        <v>22</v>
      </c>
      <c r="B30" s="29">
        <v>1</v>
      </c>
      <c r="C30" s="29">
        <v>22</v>
      </c>
      <c r="D30" s="30" t="s">
        <v>180</v>
      </c>
      <c r="E30" s="31" t="s">
        <v>181</v>
      </c>
      <c r="F30" s="31" t="s">
        <v>6</v>
      </c>
      <c r="G30" s="31" t="s">
        <v>120</v>
      </c>
      <c r="H30" s="31" t="s">
        <v>176</v>
      </c>
      <c r="I30" s="31" t="s">
        <v>177</v>
      </c>
      <c r="J30" s="31" t="s">
        <v>11</v>
      </c>
      <c r="K30" s="31" t="s">
        <v>129</v>
      </c>
      <c r="L30" s="35">
        <v>1138</v>
      </c>
      <c r="M30" s="36">
        <v>41339</v>
      </c>
      <c r="N30" s="35" t="s">
        <v>122</v>
      </c>
      <c r="O30" s="34">
        <f t="shared" si="0"/>
        <v>42156</v>
      </c>
      <c r="P30" s="35">
        <v>18</v>
      </c>
      <c r="Q30" s="207">
        <f>'[3]MetEd RC_GSSFMS'!G8</f>
        <v>29.490229401230128</v>
      </c>
      <c r="R30" s="207">
        <f>'[3]MetEd RC_GSSFMS'!H8</f>
        <v>30.702126386700758</v>
      </c>
      <c r="S30" s="207">
        <f>'[3]MetEd RC_GSSFMS'!I8</f>
        <v>28.882707468225025</v>
      </c>
      <c r="T30" s="207">
        <f>'[3]MetEd RC_GSSFMS'!J8</f>
        <v>28.561599315827518</v>
      </c>
      <c r="U30" s="207">
        <f>'[3]MetEd RC_GSSFMS'!K8</f>
        <v>28.014626627039764</v>
      </c>
      <c r="V30" s="145"/>
    </row>
    <row r="31" spans="1:22" x14ac:dyDescent="0.2">
      <c r="A31" s="89">
        <f t="shared" si="1"/>
        <v>23</v>
      </c>
      <c r="B31" s="29">
        <v>1</v>
      </c>
      <c r="C31" s="29">
        <v>23</v>
      </c>
      <c r="D31" s="30" t="s">
        <v>182</v>
      </c>
      <c r="E31" s="31" t="s">
        <v>183</v>
      </c>
      <c r="F31" s="31" t="s">
        <v>6</v>
      </c>
      <c r="G31" s="31" t="s">
        <v>120</v>
      </c>
      <c r="H31" s="31" t="s">
        <v>13</v>
      </c>
      <c r="I31" s="31" t="s">
        <v>13</v>
      </c>
      <c r="J31" s="31" t="s">
        <v>7</v>
      </c>
      <c r="K31" s="31" t="s">
        <v>140</v>
      </c>
      <c r="L31" s="35">
        <v>1139</v>
      </c>
      <c r="M31" s="36">
        <v>41339</v>
      </c>
      <c r="N31" s="35" t="s">
        <v>122</v>
      </c>
      <c r="O31" s="34">
        <f t="shared" si="0"/>
        <v>42156</v>
      </c>
      <c r="P31" s="35">
        <v>18</v>
      </c>
      <c r="Q31" s="207">
        <f>'[3]PECO LP_GSMS'!G8</f>
        <v>31.901201855357002</v>
      </c>
      <c r="R31" s="207">
        <f>'[3]PECO LP_GSMS'!H8</f>
        <v>33.44161347807362</v>
      </c>
      <c r="S31" s="207">
        <f>'[3]PECO LP_GSMS'!I8</f>
        <v>31.463538122098139</v>
      </c>
      <c r="T31" s="207">
        <f>'[3]PECO LP_GSMS'!J8</f>
        <v>31.242919774576169</v>
      </c>
      <c r="U31" s="207">
        <f>'[3]PECO LP_GSMS'!K8</f>
        <v>30.659665622515789</v>
      </c>
      <c r="V31" s="145"/>
    </row>
    <row r="32" spans="1:22" x14ac:dyDescent="0.2">
      <c r="A32" s="89">
        <f t="shared" si="1"/>
        <v>24</v>
      </c>
      <c r="B32" s="29">
        <v>1</v>
      </c>
      <c r="C32" s="29">
        <v>24</v>
      </c>
      <c r="D32" s="30" t="s">
        <v>184</v>
      </c>
      <c r="E32" s="31" t="s">
        <v>185</v>
      </c>
      <c r="F32" s="31" t="s">
        <v>6</v>
      </c>
      <c r="G32" s="31" t="s">
        <v>120</v>
      </c>
      <c r="H32" s="31" t="s">
        <v>12</v>
      </c>
      <c r="I32" s="31" t="s">
        <v>186</v>
      </c>
      <c r="J32" s="31" t="s">
        <v>9</v>
      </c>
      <c r="K32" s="31" t="s">
        <v>135</v>
      </c>
      <c r="L32" s="35">
        <v>1140</v>
      </c>
      <c r="M32" s="36">
        <v>41339</v>
      </c>
      <c r="N32" s="35" t="s">
        <v>122</v>
      </c>
      <c r="O32" s="34">
        <f t="shared" si="0"/>
        <v>42156</v>
      </c>
      <c r="P32" s="35">
        <v>18</v>
      </c>
      <c r="Q32" s="207">
        <f>'[3]Penelec RC_GSLFMS'!G8</f>
        <v>31.254300512408587</v>
      </c>
      <c r="R32" s="207">
        <f>'[3]Penelec RC_GSLFMS'!H8</f>
        <v>31.832739585865784</v>
      </c>
      <c r="S32" s="207">
        <f>'[3]Penelec RC_GSLFMS'!I8</f>
        <v>30.294173193926301</v>
      </c>
      <c r="T32" s="207">
        <f>'[3]Penelec RC_GSLFMS'!J8</f>
        <v>29.820024757831494</v>
      </c>
      <c r="U32" s="207">
        <f>'[3]Penelec RC_GSLFMS'!K8</f>
        <v>29.418435364538894</v>
      </c>
      <c r="V32" s="145"/>
    </row>
    <row r="33" spans="1:22" x14ac:dyDescent="0.2">
      <c r="A33" s="89">
        <f t="shared" si="1"/>
        <v>25</v>
      </c>
      <c r="B33" s="29">
        <v>1</v>
      </c>
      <c r="C33" s="29">
        <v>25</v>
      </c>
      <c r="D33" s="30" t="s">
        <v>187</v>
      </c>
      <c r="E33" s="31" t="s">
        <v>188</v>
      </c>
      <c r="F33" s="31" t="s">
        <v>6</v>
      </c>
      <c r="G33" s="31" t="s">
        <v>120</v>
      </c>
      <c r="H33" s="31" t="s">
        <v>12</v>
      </c>
      <c r="I33" s="31" t="s">
        <v>186</v>
      </c>
      <c r="J33" s="31" t="s">
        <v>10</v>
      </c>
      <c r="K33" s="31" t="s">
        <v>132</v>
      </c>
      <c r="L33" s="35">
        <v>1141</v>
      </c>
      <c r="M33" s="36">
        <v>41339</v>
      </c>
      <c r="N33" s="35" t="s">
        <v>122</v>
      </c>
      <c r="O33" s="34">
        <f t="shared" si="0"/>
        <v>42156</v>
      </c>
      <c r="P33" s="35">
        <v>18</v>
      </c>
      <c r="Q33" s="207">
        <f>'[3]Penelec RC_GSMFMS'!G8</f>
        <v>32.524026075491797</v>
      </c>
      <c r="R33" s="207">
        <f>'[3]Penelec RC_GSMFMS'!H8</f>
        <v>32.963838223779327</v>
      </c>
      <c r="S33" s="207">
        <f>'[3]Penelec RC_GSMFMS'!I8</f>
        <v>31.464584491216879</v>
      </c>
      <c r="T33" s="207">
        <f>'[3]Penelec RC_GSMFMS'!J8</f>
        <v>30.945863042109213</v>
      </c>
      <c r="U33" s="207">
        <f>'[3]Penelec RC_GSMFMS'!K8</f>
        <v>30.538920246774769</v>
      </c>
      <c r="V33" s="145"/>
    </row>
    <row r="34" spans="1:22" x14ac:dyDescent="0.2">
      <c r="A34" s="89">
        <f t="shared" si="1"/>
        <v>26</v>
      </c>
      <c r="B34" s="29">
        <v>1</v>
      </c>
      <c r="C34" s="29">
        <v>26</v>
      </c>
      <c r="D34" s="30" t="s">
        <v>189</v>
      </c>
      <c r="E34" s="31" t="s">
        <v>190</v>
      </c>
      <c r="F34" s="31" t="s">
        <v>6</v>
      </c>
      <c r="G34" s="31" t="s">
        <v>120</v>
      </c>
      <c r="H34" s="31" t="s">
        <v>12</v>
      </c>
      <c r="I34" s="31" t="s">
        <v>186</v>
      </c>
      <c r="J34" s="31" t="s">
        <v>11</v>
      </c>
      <c r="K34" s="31" t="s">
        <v>129</v>
      </c>
      <c r="L34" s="35">
        <v>1142</v>
      </c>
      <c r="M34" s="36">
        <v>41339</v>
      </c>
      <c r="N34" s="35" t="s">
        <v>122</v>
      </c>
      <c r="O34" s="34">
        <f t="shared" si="0"/>
        <v>42156</v>
      </c>
      <c r="P34" s="35">
        <v>18</v>
      </c>
      <c r="Q34" s="207">
        <f>'[3]Penelec RC_GSSFMS'!G8</f>
        <v>36.302937701923526</v>
      </c>
      <c r="R34" s="207">
        <f>'[3]Penelec RC_GSSFMS'!H8</f>
        <v>33.050704560944261</v>
      </c>
      <c r="S34" s="207">
        <f>'[3]Penelec RC_GSSFMS'!I8</f>
        <v>32.532707255644581</v>
      </c>
      <c r="T34" s="207">
        <f>'[3]Penelec RC_GSSFMS'!J8</f>
        <v>31.010722138304104</v>
      </c>
      <c r="U34" s="207">
        <f>'[3]Penelec RC_GSSFMS'!K8</f>
        <v>30.588566277561604</v>
      </c>
      <c r="V34" s="145"/>
    </row>
    <row r="35" spans="1:22" x14ac:dyDescent="0.2">
      <c r="A35" s="89">
        <f t="shared" si="1"/>
        <v>27</v>
      </c>
      <c r="B35" s="29">
        <v>1</v>
      </c>
      <c r="C35" s="29">
        <v>27</v>
      </c>
      <c r="D35" s="30" t="s">
        <v>191</v>
      </c>
      <c r="E35" s="31" t="s">
        <v>192</v>
      </c>
      <c r="F35" s="31" t="s">
        <v>6</v>
      </c>
      <c r="G35" s="31" t="s">
        <v>120</v>
      </c>
      <c r="H35" s="31" t="s">
        <v>100</v>
      </c>
      <c r="I35" s="31" t="s">
        <v>193</v>
      </c>
      <c r="J35" s="31" t="s">
        <v>7</v>
      </c>
      <c r="K35" s="31" t="s">
        <v>140</v>
      </c>
      <c r="L35" s="35">
        <v>1143</v>
      </c>
      <c r="M35" s="36">
        <v>41339</v>
      </c>
      <c r="N35" s="35" t="s">
        <v>122</v>
      </c>
      <c r="O35" s="34">
        <f t="shared" si="0"/>
        <v>42156</v>
      </c>
      <c r="P35" s="35">
        <v>18</v>
      </c>
      <c r="Q35" s="207">
        <f>'[3]Penn Power RC_GMDMS'!G8</f>
        <v>53.380661491028768</v>
      </c>
      <c r="R35" s="207">
        <f>'[3]Penn Power RC_GMDMS'!H8</f>
        <v>52.335435933725364</v>
      </c>
      <c r="S35" s="207">
        <f>'[3]Penn Power RC_GMDMS'!I8</f>
        <v>45.576923810820254</v>
      </c>
      <c r="T35" s="207">
        <f>'[3]Penn Power RC_GMDMS'!J8</f>
        <v>41.825427313198311</v>
      </c>
      <c r="U35" s="207">
        <f>'[3]Penn Power RC_GMDMS'!K8</f>
        <v>39.476185267006365</v>
      </c>
      <c r="V35" s="145"/>
    </row>
    <row r="36" spans="1:22" x14ac:dyDescent="0.2">
      <c r="A36" s="89">
        <f t="shared" si="1"/>
        <v>28</v>
      </c>
      <c r="B36" s="29">
        <v>1</v>
      </c>
      <c r="C36" s="29">
        <v>28</v>
      </c>
      <c r="D36" s="30" t="s">
        <v>194</v>
      </c>
      <c r="E36" s="31" t="s">
        <v>195</v>
      </c>
      <c r="F36" s="31" t="s">
        <v>39</v>
      </c>
      <c r="G36" s="31" t="s">
        <v>120</v>
      </c>
      <c r="H36" s="31" t="s">
        <v>44</v>
      </c>
      <c r="I36" s="31" t="s">
        <v>44</v>
      </c>
      <c r="J36" s="31" t="s">
        <v>7</v>
      </c>
      <c r="K36" s="31" t="s">
        <v>140</v>
      </c>
      <c r="L36" s="35">
        <v>1144</v>
      </c>
      <c r="M36" s="36">
        <v>41339</v>
      </c>
      <c r="N36" s="35" t="s">
        <v>122</v>
      </c>
      <c r="O36" s="34">
        <f t="shared" si="0"/>
        <v>42156</v>
      </c>
      <c r="P36" s="35">
        <v>18</v>
      </c>
      <c r="Q36" s="207">
        <f>'[3]PEPCO MD LP_MDNDMS'!G8</f>
        <v>35.288503549250954</v>
      </c>
      <c r="R36" s="207">
        <f>'[3]PEPCO MD LP_MDNDMS'!H8</f>
        <v>35.560547793388018</v>
      </c>
      <c r="S36" s="207">
        <f>'[3]PEPCO MD LP_MDNDMS'!I8</f>
        <v>34.304916366545577</v>
      </c>
      <c r="T36" s="207">
        <f>'[3]PEPCO MD LP_MDNDMS'!J8</f>
        <v>33.736348473472866</v>
      </c>
      <c r="U36" s="207">
        <f>'[3]PEPCO MD LP_MDNDMS'!K8</f>
        <v>33.476148638039263</v>
      </c>
      <c r="V36" s="145"/>
    </row>
    <row r="37" spans="1:22" x14ac:dyDescent="0.2">
      <c r="A37" s="89">
        <f t="shared" si="1"/>
        <v>29</v>
      </c>
      <c r="B37" s="29">
        <v>1</v>
      </c>
      <c r="C37" s="29">
        <v>29</v>
      </c>
      <c r="D37" s="30" t="s">
        <v>196</v>
      </c>
      <c r="E37" s="31" t="s">
        <v>197</v>
      </c>
      <c r="F37" s="31" t="s">
        <v>39</v>
      </c>
      <c r="G37" s="31" t="s">
        <v>120</v>
      </c>
      <c r="H37" s="31" t="s">
        <v>44</v>
      </c>
      <c r="I37" s="31" t="s">
        <v>44</v>
      </c>
      <c r="J37" s="31" t="s">
        <v>45</v>
      </c>
      <c r="K37" s="31" t="s">
        <v>198</v>
      </c>
      <c r="L37" s="35">
        <v>1145</v>
      </c>
      <c r="M37" s="36">
        <v>41339</v>
      </c>
      <c r="N37" s="35" t="s">
        <v>122</v>
      </c>
      <c r="O37" s="34">
        <f t="shared" si="0"/>
        <v>42156</v>
      </c>
      <c r="P37" s="35">
        <v>18</v>
      </c>
      <c r="Q37" s="207">
        <f>'[3]PEPCO MD LP_MMGTL2AMS'!G8</f>
        <v>33.15488024218849</v>
      </c>
      <c r="R37" s="207">
        <f>'[3]PEPCO MD LP_MMGTL2AMS'!H8</f>
        <v>34.405441026068921</v>
      </c>
      <c r="S37" s="207">
        <f>'[3]PEPCO MD LP_MMGTL2AMS'!I8</f>
        <v>32.861427851076449</v>
      </c>
      <c r="T37" s="207">
        <f>'[3]PEPCO MD LP_MMGTL2AMS'!J8</f>
        <v>32.603747326429321</v>
      </c>
      <c r="U37" s="207">
        <f>'[3]PEPCO MD LP_MMGTL2AMS'!K8</f>
        <v>32.340821146755381</v>
      </c>
      <c r="V37" s="145"/>
    </row>
    <row r="38" spans="1:22" x14ac:dyDescent="0.2">
      <c r="A38" s="89">
        <f t="shared" si="1"/>
        <v>30</v>
      </c>
      <c r="B38" s="29">
        <v>1</v>
      </c>
      <c r="C38" s="29">
        <v>30</v>
      </c>
      <c r="D38" s="30" t="s">
        <v>199</v>
      </c>
      <c r="E38" s="31" t="s">
        <v>200</v>
      </c>
      <c r="F38" s="31" t="s">
        <v>39</v>
      </c>
      <c r="G38" s="31" t="s">
        <v>120</v>
      </c>
      <c r="H38" s="31" t="s">
        <v>44</v>
      </c>
      <c r="I38" s="31" t="s">
        <v>44</v>
      </c>
      <c r="J38" s="31" t="s">
        <v>46</v>
      </c>
      <c r="K38" s="31" t="s">
        <v>46</v>
      </c>
      <c r="L38" s="35">
        <v>1146</v>
      </c>
      <c r="M38" s="36">
        <v>41339</v>
      </c>
      <c r="N38" s="35" t="s">
        <v>122</v>
      </c>
      <c r="O38" s="34">
        <f t="shared" si="0"/>
        <v>42156</v>
      </c>
      <c r="P38" s="35">
        <v>18</v>
      </c>
      <c r="Q38" s="207">
        <f>'[3]PEPCO MD RC_3T7MS'!G8</f>
        <v>35.290720160875019</v>
      </c>
      <c r="R38" s="207">
        <f>'[3]PEPCO MD RC_3T7MS'!H8</f>
        <v>35.316875134553371</v>
      </c>
      <c r="S38" s="207">
        <f>'[3]PEPCO MD RC_3T7MS'!I8</f>
        <v>34.106817430189381</v>
      </c>
      <c r="T38" s="207">
        <f>'[3]PEPCO MD RC_3T7MS'!J8</f>
        <v>33.475594597490598</v>
      </c>
      <c r="U38" s="207">
        <f>'[3]PEPCO MD RC_3T7MS'!K8</f>
        <v>33.279716613989606</v>
      </c>
      <c r="V38" s="145"/>
    </row>
    <row r="39" spans="1:22" x14ac:dyDescent="0.2">
      <c r="A39" s="89">
        <f t="shared" si="1"/>
        <v>31</v>
      </c>
      <c r="B39" s="29">
        <v>1</v>
      </c>
      <c r="C39" s="29">
        <v>31</v>
      </c>
      <c r="D39" s="30" t="s">
        <v>201</v>
      </c>
      <c r="E39" s="31" t="s">
        <v>202</v>
      </c>
      <c r="F39" s="31" t="s">
        <v>39</v>
      </c>
      <c r="G39" s="31" t="s">
        <v>120</v>
      </c>
      <c r="H39" s="31" t="s">
        <v>47</v>
      </c>
      <c r="I39" s="31" t="s">
        <v>47</v>
      </c>
      <c r="J39" s="31" t="s">
        <v>7</v>
      </c>
      <c r="K39" s="31" t="s">
        <v>140</v>
      </c>
      <c r="L39" s="35">
        <v>1147</v>
      </c>
      <c r="M39" s="36">
        <v>41339</v>
      </c>
      <c r="N39" s="35" t="s">
        <v>122</v>
      </c>
      <c r="O39" s="34">
        <f t="shared" si="0"/>
        <v>42156</v>
      </c>
      <c r="P39" s="35">
        <v>18</v>
      </c>
      <c r="Q39" s="207">
        <f>'[3]Potomac Edison LP_GSCM_MMS'!G8</f>
        <v>35.457631946495951</v>
      </c>
      <c r="R39" s="207">
        <f>'[3]Potomac Edison LP_GSCM_MMS'!H8</f>
        <v>32.944511582029904</v>
      </c>
      <c r="S39" s="207">
        <f>'[3]Potomac Edison LP_GSCM_MMS'!I8</f>
        <v>31.262344968906447</v>
      </c>
      <c r="T39" s="207">
        <f>'[3]Potomac Edison LP_GSCM_MMS'!J8</f>
        <v>29.385100986247657</v>
      </c>
      <c r="U39" s="207">
        <f>'[3]Potomac Edison LP_GSCM_MMS'!K8</f>
        <v>30.726710614664686</v>
      </c>
      <c r="V39" s="145"/>
    </row>
    <row r="40" spans="1:22" x14ac:dyDescent="0.2">
      <c r="A40" s="89">
        <f t="shared" si="1"/>
        <v>32</v>
      </c>
      <c r="B40" s="29">
        <v>1</v>
      </c>
      <c r="C40" s="29">
        <v>32</v>
      </c>
      <c r="D40" s="30" t="s">
        <v>203</v>
      </c>
      <c r="E40" s="31" t="s">
        <v>204</v>
      </c>
      <c r="F40" s="31" t="s">
        <v>6</v>
      </c>
      <c r="G40" s="31" t="s">
        <v>120</v>
      </c>
      <c r="H40" s="31" t="s">
        <v>14</v>
      </c>
      <c r="I40" s="31" t="s">
        <v>14</v>
      </c>
      <c r="J40" s="31" t="s">
        <v>15</v>
      </c>
      <c r="K40" s="31" t="s">
        <v>129</v>
      </c>
      <c r="L40" s="35">
        <v>1148</v>
      </c>
      <c r="M40" s="36">
        <v>41339</v>
      </c>
      <c r="N40" s="35" t="s">
        <v>122</v>
      </c>
      <c r="O40" s="34">
        <f t="shared" si="0"/>
        <v>42156</v>
      </c>
      <c r="P40" s="35">
        <v>18</v>
      </c>
      <c r="Q40" s="207">
        <f>[3]PPL_RCGS1MS!G8</f>
        <v>39.16693187975806</v>
      </c>
      <c r="R40" s="207">
        <f>[3]PPL_RCGS1MS!H8</f>
        <v>38.9426579271924</v>
      </c>
      <c r="S40" s="207">
        <f>[3]PPL_RCGS1MS!I8</f>
        <v>37.532731636826647</v>
      </c>
      <c r="T40" s="207">
        <f>[3]PPL_RCGS1MS!J8</f>
        <v>36.745916017613119</v>
      </c>
      <c r="U40" s="207">
        <f>[3]PPL_RCGS1MS!K8</f>
        <v>36.1181647682861</v>
      </c>
      <c r="V40" s="145"/>
    </row>
    <row r="41" spans="1:22" x14ac:dyDescent="0.2">
      <c r="A41" s="89">
        <f t="shared" si="1"/>
        <v>33</v>
      </c>
      <c r="B41" s="29">
        <v>1</v>
      </c>
      <c r="C41" s="29">
        <v>33</v>
      </c>
      <c r="D41" s="30" t="s">
        <v>205</v>
      </c>
      <c r="E41" s="31" t="s">
        <v>206</v>
      </c>
      <c r="F41" s="31" t="s">
        <v>6</v>
      </c>
      <c r="G41" s="31" t="s">
        <v>120</v>
      </c>
      <c r="H41" s="31" t="s">
        <v>14</v>
      </c>
      <c r="I41" s="31" t="s">
        <v>14</v>
      </c>
      <c r="J41" s="31" t="s">
        <v>16</v>
      </c>
      <c r="K41" s="31" t="s">
        <v>135</v>
      </c>
      <c r="L41" s="35">
        <v>1149</v>
      </c>
      <c r="M41" s="36">
        <v>41339</v>
      </c>
      <c r="N41" s="35" t="s">
        <v>122</v>
      </c>
      <c r="O41" s="34">
        <f t="shared" si="0"/>
        <v>42156</v>
      </c>
      <c r="P41" s="35">
        <v>18</v>
      </c>
      <c r="Q41" s="207">
        <f>[3]PPL_RCGS3MS!G8</f>
        <v>38.397526285339111</v>
      </c>
      <c r="R41" s="207">
        <f>[3]PPL_RCGS3MS!H8</f>
        <v>38.980375279099924</v>
      </c>
      <c r="S41" s="207">
        <f>[3]PPL_RCGS3MS!I8</f>
        <v>37.329893580905853</v>
      </c>
      <c r="T41" s="207">
        <f>[3]PPL_RCGS3MS!J8</f>
        <v>36.78718048964798</v>
      </c>
      <c r="U41" s="207">
        <f>[3]PPL_RCGS3MS!K8</f>
        <v>36.170494979375441</v>
      </c>
      <c r="V41" s="145"/>
    </row>
    <row r="42" spans="1:22" x14ac:dyDescent="0.2">
      <c r="A42" s="89">
        <f t="shared" si="1"/>
        <v>34</v>
      </c>
      <c r="B42" s="29">
        <v>1</v>
      </c>
      <c r="C42" s="29">
        <v>34</v>
      </c>
      <c r="D42" s="30" t="s">
        <v>207</v>
      </c>
      <c r="E42" s="31" t="s">
        <v>208</v>
      </c>
      <c r="F42" s="31" t="s">
        <v>31</v>
      </c>
      <c r="G42" s="31" t="s">
        <v>120</v>
      </c>
      <c r="H42" s="31" t="s">
        <v>36</v>
      </c>
      <c r="I42" s="31" t="s">
        <v>36</v>
      </c>
      <c r="J42" s="31" t="s">
        <v>37</v>
      </c>
      <c r="K42" s="31" t="s">
        <v>209</v>
      </c>
      <c r="L42" s="35">
        <v>1150</v>
      </c>
      <c r="M42" s="36">
        <v>41339</v>
      </c>
      <c r="N42" s="35" t="s">
        <v>122</v>
      </c>
      <c r="O42" s="34">
        <f t="shared" si="0"/>
        <v>42156</v>
      </c>
      <c r="P42" s="35">
        <v>18</v>
      </c>
      <c r="Q42" s="207">
        <f>'[3]PSEG LP_GLP_MMS'!G8</f>
        <v>58.188528878672855</v>
      </c>
      <c r="R42" s="207">
        <f>'[3]PSEG LP_GLP_MMS'!H8</f>
        <v>60.842957160874796</v>
      </c>
      <c r="S42" s="207">
        <f>'[3]PSEG LP_GLP_MMS'!I8</f>
        <v>61.065694748204876</v>
      </c>
      <c r="T42" s="207">
        <f>'[3]PSEG LP_GLP_MMS'!J8</f>
        <v>62.381127133453028</v>
      </c>
      <c r="U42" s="207">
        <f>'[3]PSEG LP_GLP_MMS'!K8</f>
        <v>63.300026760585311</v>
      </c>
      <c r="V42" s="145"/>
    </row>
    <row r="43" spans="1:22" x14ac:dyDescent="0.2">
      <c r="A43" s="89">
        <f t="shared" si="1"/>
        <v>35</v>
      </c>
      <c r="B43" s="29">
        <v>1</v>
      </c>
      <c r="C43" s="29">
        <v>35</v>
      </c>
      <c r="D43" s="30" t="s">
        <v>210</v>
      </c>
      <c r="E43" s="31" t="s">
        <v>211</v>
      </c>
      <c r="F43" s="31" t="s">
        <v>31</v>
      </c>
      <c r="G43" s="31" t="s">
        <v>120</v>
      </c>
      <c r="H43" s="31" t="s">
        <v>36</v>
      </c>
      <c r="I43" s="31" t="s">
        <v>36</v>
      </c>
      <c r="J43" s="31" t="s">
        <v>38</v>
      </c>
      <c r="K43" s="31" t="s">
        <v>212</v>
      </c>
      <c r="L43" s="35">
        <v>1151</v>
      </c>
      <c r="M43" s="36">
        <v>41339</v>
      </c>
      <c r="N43" s="35" t="s">
        <v>122</v>
      </c>
      <c r="O43" s="34">
        <f t="shared" si="0"/>
        <v>42156</v>
      </c>
      <c r="P43" s="35">
        <v>18</v>
      </c>
      <c r="Q43" s="207">
        <f>'[3]PSEG LP_LPLMS'!G8</f>
        <v>57.584209720131952</v>
      </c>
      <c r="R43" s="207">
        <f>'[3]PSEG LP_LPLMS'!H8</f>
        <v>60.021649626939372</v>
      </c>
      <c r="S43" s="207">
        <f>'[3]PSEG LP_LPLMS'!I8</f>
        <v>60.335802999797671</v>
      </c>
      <c r="T43" s="207">
        <f>'[3]PSEG LP_LPLMS'!J8</f>
        <v>61.59199518487268</v>
      </c>
      <c r="U43" s="207">
        <f>'[3]PSEG LP_LPLMS'!K8</f>
        <v>62.472286924182782</v>
      </c>
      <c r="V43" s="145"/>
    </row>
    <row r="44" spans="1:22" x14ac:dyDescent="0.2">
      <c r="A44" s="89">
        <f t="shared" si="1"/>
        <v>36</v>
      </c>
      <c r="B44" s="29">
        <v>1</v>
      </c>
      <c r="C44" s="29">
        <v>36</v>
      </c>
      <c r="D44" s="30" t="s">
        <v>213</v>
      </c>
      <c r="E44" s="31" t="s">
        <v>214</v>
      </c>
      <c r="F44" s="31" t="s">
        <v>6</v>
      </c>
      <c r="G44" s="31" t="s">
        <v>120</v>
      </c>
      <c r="H44" s="31" t="s">
        <v>17</v>
      </c>
      <c r="I44" s="31" t="s">
        <v>215</v>
      </c>
      <c r="J44" s="31" t="s">
        <v>18</v>
      </c>
      <c r="K44" s="31" t="s">
        <v>140</v>
      </c>
      <c r="L44" s="35">
        <v>1152</v>
      </c>
      <c r="M44" s="36">
        <v>41339</v>
      </c>
      <c r="N44" s="35" t="s">
        <v>122</v>
      </c>
      <c r="O44" s="34">
        <f t="shared" si="0"/>
        <v>42156</v>
      </c>
      <c r="P44" s="35">
        <v>18</v>
      </c>
      <c r="Q44" s="207">
        <f>'[3]West Penn Power LP_GSCMMS'!G8</f>
        <v>32.496862500316425</v>
      </c>
      <c r="R44" s="207">
        <f>'[3]West Penn Power LP_GSCMMS'!H8</f>
        <v>32.950457422441708</v>
      </c>
      <c r="S44" s="207">
        <f>'[3]West Penn Power LP_GSCMMS'!I8</f>
        <v>30.313731967178175</v>
      </c>
      <c r="T44" s="207">
        <f>'[3]West Penn Power LP_GSCMMS'!J8</f>
        <v>29.218612961811171</v>
      </c>
      <c r="U44" s="207">
        <f>'[3]West Penn Power LP_GSCMMS'!K8</f>
        <v>30.365090356698882</v>
      </c>
      <c r="V44" s="145"/>
    </row>
    <row r="45" spans="1:22" x14ac:dyDescent="0.2">
      <c r="A45" s="89">
        <f t="shared" si="1"/>
        <v>37</v>
      </c>
      <c r="B45" s="20"/>
      <c r="C45" s="20"/>
      <c r="D45" s="20"/>
      <c r="O45" s="37"/>
      <c r="P45" s="37"/>
      <c r="Q45" s="208"/>
      <c r="R45" s="208"/>
      <c r="S45" s="208"/>
      <c r="T45" s="208"/>
      <c r="U45" s="208"/>
    </row>
    <row r="46" spans="1:22" x14ac:dyDescent="0.2">
      <c r="A46" s="89">
        <f t="shared" si="1"/>
        <v>38</v>
      </c>
      <c r="B46" s="38">
        <v>2</v>
      </c>
      <c r="C46" s="38">
        <v>1</v>
      </c>
      <c r="D46" s="38" t="s">
        <v>216</v>
      </c>
      <c r="E46" s="39" t="s">
        <v>119</v>
      </c>
      <c r="F46" s="39" t="s">
        <v>31</v>
      </c>
      <c r="G46" s="39" t="s">
        <v>120</v>
      </c>
      <c r="H46" s="39" t="s">
        <v>32</v>
      </c>
      <c r="I46" s="39" t="s">
        <v>32</v>
      </c>
      <c r="J46" s="39" t="s">
        <v>33</v>
      </c>
      <c r="K46" s="39" t="s">
        <v>121</v>
      </c>
      <c r="L46" s="40">
        <v>1117</v>
      </c>
      <c r="M46" s="41">
        <v>41339</v>
      </c>
      <c r="N46" s="40" t="s">
        <v>122</v>
      </c>
      <c r="O46" s="42">
        <f>EDATE(O9,1)</f>
        <v>42186</v>
      </c>
      <c r="P46" s="40">
        <v>19</v>
      </c>
      <c r="Q46" s="207">
        <f>'[3]AECO LP_10V1_SMS'!G9</f>
        <v>48.409000404647095</v>
      </c>
      <c r="R46" s="207">
        <f>'[3]AECO LP_10V1_SMS'!H9</f>
        <v>50.649535481403241</v>
      </c>
      <c r="S46" s="207">
        <f>'[3]AECO LP_10V1_SMS'!I9</f>
        <v>48.698823677537945</v>
      </c>
      <c r="T46" s="207">
        <f>'[3]AECO LP_10V1_SMS'!J9</f>
        <v>48.970367322246915</v>
      </c>
      <c r="U46" s="207">
        <f>'[3]AECO LP_10V1_SMS'!K9</f>
        <v>48.959080346149783</v>
      </c>
      <c r="V46" s="145"/>
    </row>
    <row r="47" spans="1:22" x14ac:dyDescent="0.2">
      <c r="A47" s="89">
        <f t="shared" si="1"/>
        <v>39</v>
      </c>
      <c r="B47" s="38">
        <v>2</v>
      </c>
      <c r="C47" s="38">
        <v>2</v>
      </c>
      <c r="D47" s="38" t="s">
        <v>217</v>
      </c>
      <c r="E47" s="39" t="s">
        <v>124</v>
      </c>
      <c r="F47" s="39" t="s">
        <v>31</v>
      </c>
      <c r="G47" s="39" t="s">
        <v>120</v>
      </c>
      <c r="H47" s="39" t="s">
        <v>32</v>
      </c>
      <c r="I47" s="39" t="s">
        <v>32</v>
      </c>
      <c r="J47" s="39" t="s">
        <v>34</v>
      </c>
      <c r="K47" s="39" t="s">
        <v>125</v>
      </c>
      <c r="L47" s="40">
        <v>1118</v>
      </c>
      <c r="M47" s="41">
        <v>41339</v>
      </c>
      <c r="N47" s="40" t="s">
        <v>122</v>
      </c>
      <c r="O47" s="42">
        <f>O46</f>
        <v>42186</v>
      </c>
      <c r="P47" s="40">
        <v>19</v>
      </c>
      <c r="Q47" s="207">
        <f>'[3]AECO LP_14V1_MMS'!G9</f>
        <v>49.341732237414007</v>
      </c>
      <c r="R47" s="207">
        <f>'[3]AECO LP_14V1_MMS'!H9</f>
        <v>50.582158817537533</v>
      </c>
      <c r="S47" s="207">
        <f>'[3]AECO LP_14V1_MMS'!I9</f>
        <v>48.950503746111679</v>
      </c>
      <c r="T47" s="207">
        <f>'[3]AECO LP_14V1_MMS'!J9</f>
        <v>48.900990446501979</v>
      </c>
      <c r="U47" s="207">
        <f>'[3]AECO LP_14V1_MMS'!K9</f>
        <v>48.234860022077967</v>
      </c>
      <c r="V47" s="145"/>
    </row>
    <row r="48" spans="1:22" x14ac:dyDescent="0.2">
      <c r="A48" s="89">
        <f t="shared" si="1"/>
        <v>40</v>
      </c>
      <c r="B48" s="38">
        <v>2</v>
      </c>
      <c r="C48" s="38">
        <v>3</v>
      </c>
      <c r="D48" s="38" t="s">
        <v>218</v>
      </c>
      <c r="E48" s="39" t="s">
        <v>127</v>
      </c>
      <c r="F48" s="39" t="s">
        <v>20</v>
      </c>
      <c r="G48" s="39" t="s">
        <v>120</v>
      </c>
      <c r="H48" s="39" t="s">
        <v>63</v>
      </c>
      <c r="I48" s="39" t="s">
        <v>128</v>
      </c>
      <c r="J48" s="39" t="s">
        <v>15</v>
      </c>
      <c r="K48" s="39" t="s">
        <v>129</v>
      </c>
      <c r="L48" s="40">
        <v>1119</v>
      </c>
      <c r="M48" s="41">
        <v>41339</v>
      </c>
      <c r="N48" s="40" t="s">
        <v>122</v>
      </c>
      <c r="O48" s="42">
        <f t="shared" ref="O48:O81" si="2">O47</f>
        <v>42186</v>
      </c>
      <c r="P48" s="40">
        <v>19</v>
      </c>
      <c r="Q48" s="207">
        <f>'[3]AEP_OH_CS - test CSGS1MS'!G9</f>
        <v>22.300605529175083</v>
      </c>
      <c r="R48" s="207">
        <f>'[3]AEP_OH_CS - test CSGS1MS'!H9</f>
        <v>22.678458543892759</v>
      </c>
      <c r="S48" s="207">
        <f>'[3]AEP_OH_CS - test CSGS1MS'!I9</f>
        <v>19.949311722841685</v>
      </c>
      <c r="T48" s="207">
        <f>'[3]AEP_OH_CS - test CSGS1MS'!J9</f>
        <v>19.342213161137916</v>
      </c>
      <c r="U48" s="207">
        <f>'[3]AEP_OH_CS - test CSGS1MS'!K9</f>
        <v>20.343856274957329</v>
      </c>
      <c r="V48" s="145"/>
    </row>
    <row r="49" spans="1:22" x14ac:dyDescent="0.2">
      <c r="A49" s="89">
        <f t="shared" si="1"/>
        <v>41</v>
      </c>
      <c r="B49" s="38">
        <v>2</v>
      </c>
      <c r="C49" s="38">
        <v>4</v>
      </c>
      <c r="D49" s="38" t="s">
        <v>219</v>
      </c>
      <c r="E49" s="39" t="s">
        <v>131</v>
      </c>
      <c r="F49" s="39" t="s">
        <v>20</v>
      </c>
      <c r="G49" s="39" t="s">
        <v>120</v>
      </c>
      <c r="H49" s="39" t="s">
        <v>63</v>
      </c>
      <c r="I49" s="39" t="s">
        <v>128</v>
      </c>
      <c r="J49" s="39" t="s">
        <v>21</v>
      </c>
      <c r="K49" s="39" t="s">
        <v>132</v>
      </c>
      <c r="L49" s="40">
        <v>1120</v>
      </c>
      <c r="M49" s="41">
        <v>41339</v>
      </c>
      <c r="N49" s="40" t="s">
        <v>122</v>
      </c>
      <c r="O49" s="42">
        <f t="shared" si="2"/>
        <v>42186</v>
      </c>
      <c r="P49" s="40">
        <v>19</v>
      </c>
      <c r="Q49" s="207">
        <f>'[3]AEP_OH_CS - test CSGS2UMS'!G9</f>
        <v>22.992368720994875</v>
      </c>
      <c r="R49" s="207">
        <f>'[3]AEP_OH_CS - test CSGS2UMS'!H9</f>
        <v>22.758468214541907</v>
      </c>
      <c r="S49" s="207">
        <f>'[3]AEP_OH_CS - test CSGS2UMS'!I9</f>
        <v>20.206490940254707</v>
      </c>
      <c r="T49" s="207">
        <f>'[3]AEP_OH_CS - test CSGS2UMS'!J9</f>
        <v>19.422604554293564</v>
      </c>
      <c r="U49" s="207">
        <f>'[3]AEP_OH_CS - test CSGS2UMS'!K9</f>
        <v>20.424901535413177</v>
      </c>
      <c r="V49" s="145"/>
    </row>
    <row r="50" spans="1:22" x14ac:dyDescent="0.2">
      <c r="A50" s="89">
        <f t="shared" si="1"/>
        <v>42</v>
      </c>
      <c r="B50" s="38">
        <v>2</v>
      </c>
      <c r="C50" s="38">
        <v>5</v>
      </c>
      <c r="D50" s="38" t="s">
        <v>220</v>
      </c>
      <c r="E50" s="39" t="s">
        <v>134</v>
      </c>
      <c r="F50" s="39" t="s">
        <v>20</v>
      </c>
      <c r="G50" s="39" t="s">
        <v>120</v>
      </c>
      <c r="H50" s="39" t="s">
        <v>63</v>
      </c>
      <c r="I50" s="39" t="s">
        <v>128</v>
      </c>
      <c r="J50" s="39" t="s">
        <v>16</v>
      </c>
      <c r="K50" s="39" t="s">
        <v>135</v>
      </c>
      <c r="L50" s="40">
        <v>1121</v>
      </c>
      <c r="M50" s="41">
        <v>41339</v>
      </c>
      <c r="N50" s="40" t="s">
        <v>122</v>
      </c>
      <c r="O50" s="42">
        <f t="shared" si="2"/>
        <v>42186</v>
      </c>
      <c r="P50" s="40">
        <v>19</v>
      </c>
      <c r="Q50" s="207">
        <f>'[3]AEP_OH_CS - test CSGS3UMS'!G9</f>
        <v>22.453184186953361</v>
      </c>
      <c r="R50" s="207">
        <f>'[3]AEP_OH_CS - test CSGS3UMS'!H9</f>
        <v>22.690037524984088</v>
      </c>
      <c r="S50" s="207">
        <f>'[3]AEP_OH_CS - test CSGS3UMS'!I9</f>
        <v>20.016060658469225</v>
      </c>
      <c r="T50" s="207">
        <f>'[3]AEP_OH_CS - test CSGS3UMS'!J9</f>
        <v>19.353036097537494</v>
      </c>
      <c r="U50" s="207">
        <f>'[3]AEP_OH_CS - test CSGS3UMS'!K9</f>
        <v>20.352992728426898</v>
      </c>
      <c r="V50" s="145"/>
    </row>
    <row r="51" spans="1:22" x14ac:dyDescent="0.2">
      <c r="A51" s="89">
        <f t="shared" si="1"/>
        <v>43</v>
      </c>
      <c r="B51" s="38">
        <v>2</v>
      </c>
      <c r="C51" s="38">
        <v>6</v>
      </c>
      <c r="D51" s="38" t="s">
        <v>221</v>
      </c>
      <c r="E51" s="39" t="s">
        <v>137</v>
      </c>
      <c r="F51" s="39" t="s">
        <v>25</v>
      </c>
      <c r="G51" s="39" t="s">
        <v>138</v>
      </c>
      <c r="H51" s="39" t="s">
        <v>139</v>
      </c>
      <c r="I51" s="39" t="s">
        <v>29</v>
      </c>
      <c r="J51" s="39" t="s">
        <v>30</v>
      </c>
      <c r="K51" s="39" t="s">
        <v>140</v>
      </c>
      <c r="L51" s="40">
        <v>1122</v>
      </c>
      <c r="M51" s="41">
        <v>41339</v>
      </c>
      <c r="N51" s="40" t="s">
        <v>122</v>
      </c>
      <c r="O51" s="42">
        <f t="shared" si="2"/>
        <v>42186</v>
      </c>
      <c r="P51" s="40">
        <v>19</v>
      </c>
      <c r="Q51" s="207">
        <f>'[3]Ameren RateZnIII LP DS2HHMS'!G9</f>
        <v>30.711000930878384</v>
      </c>
      <c r="R51" s="207">
        <f>'[3]Ameren RateZnIII LP DS2HHMS'!H9</f>
        <v>31.955938196756748</v>
      </c>
      <c r="S51" s="207">
        <f>'[3]Ameren RateZnIII LP DS2HHMS'!I9</f>
        <v>32.74995081677821</v>
      </c>
      <c r="T51" s="207">
        <f>'[3]Ameren RateZnIII LP DS2HHMS'!J9</f>
        <v>33.668779684283962</v>
      </c>
      <c r="U51" s="207">
        <f>'[3]Ameren RateZnIII LP DS2HHMS'!K9</f>
        <v>34.795602952419081</v>
      </c>
      <c r="V51" s="145"/>
    </row>
    <row r="52" spans="1:22" x14ac:dyDescent="0.2">
      <c r="A52" s="89">
        <f t="shared" si="1"/>
        <v>44</v>
      </c>
      <c r="B52" s="38">
        <v>2</v>
      </c>
      <c r="C52" s="38">
        <v>7</v>
      </c>
      <c r="D52" s="38" t="s">
        <v>222</v>
      </c>
      <c r="E52" s="39" t="s">
        <v>142</v>
      </c>
      <c r="F52" s="39" t="s">
        <v>39</v>
      </c>
      <c r="G52" s="39" t="s">
        <v>120</v>
      </c>
      <c r="H52" s="39" t="s">
        <v>40</v>
      </c>
      <c r="I52" s="39" t="s">
        <v>40</v>
      </c>
      <c r="J52" s="39" t="s">
        <v>42</v>
      </c>
      <c r="K52" s="39" t="s">
        <v>135</v>
      </c>
      <c r="L52" s="40">
        <v>1124</v>
      </c>
      <c r="M52" s="41">
        <v>41339</v>
      </c>
      <c r="N52" s="40" t="s">
        <v>122</v>
      </c>
      <c r="O52" s="42">
        <f t="shared" si="2"/>
        <v>42186</v>
      </c>
      <c r="P52" s="40">
        <v>19</v>
      </c>
      <c r="Q52" s="207">
        <f>'[3]BGE LP_GLMS'!G9</f>
        <v>34.124011345909828</v>
      </c>
      <c r="R52" s="207">
        <f>'[3]BGE LP_GLMS'!H9</f>
        <v>35.526178879640931</v>
      </c>
      <c r="S52" s="207">
        <f>'[3]BGE LP_GLMS'!I9</f>
        <v>33.815351140625701</v>
      </c>
      <c r="T52" s="207">
        <f>'[3]BGE LP_GLMS'!J9</f>
        <v>33.702617446074093</v>
      </c>
      <c r="U52" s="207">
        <f>'[3]BGE LP_GLMS'!K9</f>
        <v>33.731356853589766</v>
      </c>
      <c r="V52" s="145"/>
    </row>
    <row r="53" spans="1:22" x14ac:dyDescent="0.2">
      <c r="A53" s="89">
        <f t="shared" si="1"/>
        <v>45</v>
      </c>
      <c r="B53" s="38">
        <v>2</v>
      </c>
      <c r="C53" s="38">
        <v>8</v>
      </c>
      <c r="D53" s="38" t="s">
        <v>223</v>
      </c>
      <c r="E53" s="39" t="s">
        <v>144</v>
      </c>
      <c r="F53" s="39" t="s">
        <v>39</v>
      </c>
      <c r="G53" s="39" t="s">
        <v>120</v>
      </c>
      <c r="H53" s="39" t="s">
        <v>40</v>
      </c>
      <c r="I53" s="39" t="s">
        <v>40</v>
      </c>
      <c r="J53" s="39" t="s">
        <v>41</v>
      </c>
      <c r="K53" s="39" t="s">
        <v>132</v>
      </c>
      <c r="L53" s="40">
        <v>1123</v>
      </c>
      <c r="M53" s="41">
        <v>41339</v>
      </c>
      <c r="N53" s="40" t="s">
        <v>122</v>
      </c>
      <c r="O53" s="42">
        <f t="shared" si="2"/>
        <v>42186</v>
      </c>
      <c r="P53" s="40">
        <v>19</v>
      </c>
      <c r="Q53" s="207">
        <f>'[3]BGE LP_GMS'!G9</f>
        <v>34.922172423184215</v>
      </c>
      <c r="R53" s="207">
        <f>'[3]BGE LP_GMS'!H9</f>
        <v>35.60726930733815</v>
      </c>
      <c r="S53" s="207">
        <f>'[3]BGE LP_GMS'!I9</f>
        <v>34.117975299537839</v>
      </c>
      <c r="T53" s="207">
        <f>'[3]BGE LP_GMS'!J9</f>
        <v>33.773397062852638</v>
      </c>
      <c r="U53" s="207">
        <f>'[3]BGE LP_GMS'!K9</f>
        <v>33.843641134160933</v>
      </c>
      <c r="V53" s="145"/>
    </row>
    <row r="54" spans="1:22" x14ac:dyDescent="0.2">
      <c r="A54" s="89">
        <f t="shared" si="1"/>
        <v>46</v>
      </c>
      <c r="B54" s="38">
        <v>2</v>
      </c>
      <c r="C54" s="38">
        <v>9</v>
      </c>
      <c r="D54" s="38" t="s">
        <v>224</v>
      </c>
      <c r="E54" s="39" t="s">
        <v>146</v>
      </c>
      <c r="F54" s="39" t="s">
        <v>39</v>
      </c>
      <c r="G54" s="39" t="s">
        <v>120</v>
      </c>
      <c r="H54" s="39" t="s">
        <v>40</v>
      </c>
      <c r="I54" s="39" t="s">
        <v>40</v>
      </c>
      <c r="J54" s="39" t="s">
        <v>7</v>
      </c>
      <c r="K54" s="39" t="s">
        <v>129</v>
      </c>
      <c r="L54" s="40">
        <v>1125</v>
      </c>
      <c r="M54" s="41">
        <v>41339</v>
      </c>
      <c r="N54" s="40" t="s">
        <v>122</v>
      </c>
      <c r="O54" s="42">
        <f t="shared" si="2"/>
        <v>42186</v>
      </c>
      <c r="P54" s="40">
        <v>19</v>
      </c>
      <c r="Q54" s="207">
        <f>'[3]BGE LP_GSMS'!G9</f>
        <v>35.206465563514655</v>
      </c>
      <c r="R54" s="207">
        <f>'[3]BGE LP_GSMS'!H9</f>
        <v>36.564632392897416</v>
      </c>
      <c r="S54" s="207">
        <f>'[3]BGE LP_GSMS'!I9</f>
        <v>34.841617631448706</v>
      </c>
      <c r="T54" s="207">
        <f>'[3]BGE LP_GSMS'!J9</f>
        <v>34.724065204667404</v>
      </c>
      <c r="U54" s="207">
        <f>'[3]BGE LP_GSMS'!K9</f>
        <v>34.709774416212348</v>
      </c>
      <c r="V54" s="145"/>
    </row>
    <row r="55" spans="1:22" x14ac:dyDescent="0.2">
      <c r="A55" s="89">
        <f t="shared" si="1"/>
        <v>47</v>
      </c>
      <c r="B55" s="38">
        <v>2</v>
      </c>
      <c r="C55" s="38">
        <v>10</v>
      </c>
      <c r="D55" s="38" t="s">
        <v>225</v>
      </c>
      <c r="E55" s="39" t="s">
        <v>148</v>
      </c>
      <c r="F55" s="39" t="s">
        <v>25</v>
      </c>
      <c r="G55" s="39" t="s">
        <v>120</v>
      </c>
      <c r="H55" s="39" t="s">
        <v>149</v>
      </c>
      <c r="I55" s="39" t="s">
        <v>26</v>
      </c>
      <c r="J55" s="39" t="s">
        <v>27</v>
      </c>
      <c r="K55" s="39" t="s">
        <v>150</v>
      </c>
      <c r="L55" s="40">
        <v>1126</v>
      </c>
      <c r="M55" s="41">
        <v>41339</v>
      </c>
      <c r="N55" s="40" t="s">
        <v>122</v>
      </c>
      <c r="O55" s="42">
        <f t="shared" si="2"/>
        <v>42186</v>
      </c>
      <c r="P55" s="40">
        <v>19</v>
      </c>
      <c r="Q55" s="207">
        <f>'[3]ComEd - test LP_28MS'!G9</f>
        <v>30.380662415209983</v>
      </c>
      <c r="R55" s="207">
        <f>'[3]ComEd - test LP_28MS'!H9</f>
        <v>30.494617709528047</v>
      </c>
      <c r="S55" s="207">
        <f>'[3]ComEd - test LP_28MS'!I9</f>
        <v>27.950879171704205</v>
      </c>
      <c r="T55" s="207">
        <f>'[3]ComEd - test LP_28MS'!J9</f>
        <v>27.312410469200291</v>
      </c>
      <c r="U55" s="207">
        <f>'[3]ComEd - test LP_28MS'!K9</f>
        <v>28.449052629316181</v>
      </c>
      <c r="V55" s="145"/>
    </row>
    <row r="56" spans="1:22" x14ac:dyDescent="0.2">
      <c r="A56" s="89">
        <f t="shared" si="1"/>
        <v>48</v>
      </c>
      <c r="B56" s="38">
        <v>2</v>
      </c>
      <c r="C56" s="38">
        <v>11</v>
      </c>
      <c r="D56" s="38" t="s">
        <v>226</v>
      </c>
      <c r="E56" s="39" t="s">
        <v>152</v>
      </c>
      <c r="F56" s="39" t="s">
        <v>25</v>
      </c>
      <c r="G56" s="39" t="s">
        <v>120</v>
      </c>
      <c r="H56" s="39" t="s">
        <v>149</v>
      </c>
      <c r="I56" s="39" t="s">
        <v>26</v>
      </c>
      <c r="J56" s="39" t="s">
        <v>28</v>
      </c>
      <c r="K56" s="39" t="s">
        <v>153</v>
      </c>
      <c r="L56" s="40">
        <v>1127</v>
      </c>
      <c r="M56" s="41">
        <v>41339</v>
      </c>
      <c r="N56" s="40" t="s">
        <v>122</v>
      </c>
      <c r="O56" s="42">
        <f t="shared" si="2"/>
        <v>42186</v>
      </c>
      <c r="P56" s="40">
        <v>19</v>
      </c>
      <c r="Q56" s="207">
        <f>'[3]ComEd - test LP_29MS'!G9</f>
        <v>29.411596463149433</v>
      </c>
      <c r="R56" s="207">
        <f>'[3]ComEd - test LP_29MS'!H9</f>
        <v>29.579826121016879</v>
      </c>
      <c r="S56" s="207">
        <f>'[3]ComEd - test LP_29MS'!I9</f>
        <v>27.028749412909228</v>
      </c>
      <c r="T56" s="207">
        <f>'[3]ComEd - test LP_29MS'!J9</f>
        <v>26.40253981818271</v>
      </c>
      <c r="U56" s="207">
        <f>'[3]ComEd - test LP_29MS'!K9</f>
        <v>27.542629602957135</v>
      </c>
      <c r="V56" s="145"/>
    </row>
    <row r="57" spans="1:22" x14ac:dyDescent="0.2">
      <c r="A57" s="89">
        <f t="shared" si="1"/>
        <v>49</v>
      </c>
      <c r="B57" s="38">
        <v>2</v>
      </c>
      <c r="C57" s="38">
        <v>12</v>
      </c>
      <c r="D57" s="38" t="s">
        <v>227</v>
      </c>
      <c r="E57" s="39" t="s">
        <v>155</v>
      </c>
      <c r="F57" s="39" t="s">
        <v>20</v>
      </c>
      <c r="G57" s="39" t="s">
        <v>120</v>
      </c>
      <c r="H57" s="39" t="s">
        <v>105</v>
      </c>
      <c r="I57" s="39" t="s">
        <v>156</v>
      </c>
      <c r="J57" s="39" t="s">
        <v>22</v>
      </c>
      <c r="K57" s="39" t="s">
        <v>157</v>
      </c>
      <c r="L57" s="40">
        <v>1128</v>
      </c>
      <c r="M57" s="41">
        <v>41339</v>
      </c>
      <c r="N57" s="40" t="s">
        <v>122</v>
      </c>
      <c r="O57" s="42">
        <f t="shared" si="2"/>
        <v>42186</v>
      </c>
      <c r="P57" s="40">
        <v>19</v>
      </c>
      <c r="Q57" s="207">
        <f>[3]DAY_RC_843MS!G9</f>
        <v>23.116523175261296</v>
      </c>
      <c r="R57" s="207">
        <f>[3]DAY_RC_843MS!H9</f>
        <v>21.76770424902206</v>
      </c>
      <c r="S57" s="207">
        <f>[3]DAY_RC_843MS!I9</f>
        <v>19.492476118476407</v>
      </c>
      <c r="T57" s="207">
        <f>[3]DAY_RC_843MS!J9</f>
        <v>18.384445348013866</v>
      </c>
      <c r="U57" s="207">
        <f>[3]DAY_RC_843MS!K9</f>
        <v>19.386699779386948</v>
      </c>
      <c r="V57" s="145"/>
    </row>
    <row r="58" spans="1:22" x14ac:dyDescent="0.2">
      <c r="A58" s="89">
        <f t="shared" si="1"/>
        <v>50</v>
      </c>
      <c r="B58" s="38">
        <v>2</v>
      </c>
      <c r="C58" s="38">
        <v>13</v>
      </c>
      <c r="D58" s="38" t="s">
        <v>228</v>
      </c>
      <c r="E58" s="39" t="s">
        <v>159</v>
      </c>
      <c r="F58" s="39" t="s">
        <v>39</v>
      </c>
      <c r="G58" s="39" t="s">
        <v>120</v>
      </c>
      <c r="H58" s="39" t="s">
        <v>43</v>
      </c>
      <c r="I58" s="39" t="s">
        <v>43</v>
      </c>
      <c r="J58" s="39" t="s">
        <v>7</v>
      </c>
      <c r="K58" s="39" t="s">
        <v>140</v>
      </c>
      <c r="L58" s="40">
        <v>1129</v>
      </c>
      <c r="M58" s="41">
        <v>41339</v>
      </c>
      <c r="N58" s="40" t="s">
        <v>122</v>
      </c>
      <c r="O58" s="42">
        <f t="shared" si="2"/>
        <v>42186</v>
      </c>
      <c r="P58" s="40">
        <v>19</v>
      </c>
      <c r="Q58" s="207">
        <f>'[3]Delmarva MD LP_MDGS_MMS'!G9</f>
        <v>38.271168468405783</v>
      </c>
      <c r="R58" s="207">
        <f>'[3]Delmarva MD LP_MDGS_MMS'!H9</f>
        <v>39.125634928916064</v>
      </c>
      <c r="S58" s="207">
        <f>'[3]Delmarva MD LP_MDGS_MMS'!I9</f>
        <v>37.685708960805506</v>
      </c>
      <c r="T58" s="207">
        <f>'[3]Delmarva MD LP_MDGS_MMS'!J9</f>
        <v>37.443407083782311</v>
      </c>
      <c r="U58" s="207">
        <f>'[3]Delmarva MD LP_MDGS_MMS'!K9</f>
        <v>37.695597385143898</v>
      </c>
      <c r="V58" s="145"/>
    </row>
    <row r="59" spans="1:22" x14ac:dyDescent="0.2">
      <c r="A59" s="89">
        <f t="shared" si="1"/>
        <v>51</v>
      </c>
      <c r="B59" s="38">
        <v>2</v>
      </c>
      <c r="C59" s="38">
        <v>14</v>
      </c>
      <c r="D59" s="38" t="s">
        <v>229</v>
      </c>
      <c r="E59" s="39" t="s">
        <v>161</v>
      </c>
      <c r="F59" s="39" t="s">
        <v>6</v>
      </c>
      <c r="G59" s="39" t="s">
        <v>120</v>
      </c>
      <c r="H59" s="39" t="s">
        <v>48</v>
      </c>
      <c r="I59" s="39" t="s">
        <v>48</v>
      </c>
      <c r="J59" s="39" t="s">
        <v>7</v>
      </c>
      <c r="K59" s="39" t="s">
        <v>140</v>
      </c>
      <c r="L59" s="40">
        <v>1130</v>
      </c>
      <c r="M59" s="41">
        <v>41339</v>
      </c>
      <c r="N59" s="40" t="s">
        <v>122</v>
      </c>
      <c r="O59" s="42">
        <f t="shared" si="2"/>
        <v>42186</v>
      </c>
      <c r="P59" s="40">
        <v>19</v>
      </c>
      <c r="Q59" s="207">
        <f>'[3]DQE LP_GSGM_MMS'!G9</f>
        <v>34.165482428755773</v>
      </c>
      <c r="R59" s="207">
        <f>'[3]DQE LP_GSGM_MMS'!H9</f>
        <v>34.195984176264197</v>
      </c>
      <c r="S59" s="207">
        <f>'[3]DQE LP_GSGM_MMS'!I9</f>
        <v>31.660874813429935</v>
      </c>
      <c r="T59" s="207">
        <f>'[3]DQE LP_GSGM_MMS'!J9</f>
        <v>30.994381601517293</v>
      </c>
      <c r="U59" s="207">
        <f>'[3]DQE LP_GSGM_MMS'!K9</f>
        <v>32.12835304675999</v>
      </c>
      <c r="V59" s="145"/>
    </row>
    <row r="60" spans="1:22" x14ac:dyDescent="0.2">
      <c r="A60" s="89">
        <f t="shared" si="1"/>
        <v>52</v>
      </c>
      <c r="B60" s="38">
        <v>2</v>
      </c>
      <c r="C60" s="38">
        <v>15</v>
      </c>
      <c r="D60" s="38" t="s">
        <v>230</v>
      </c>
      <c r="E60" s="39" t="s">
        <v>163</v>
      </c>
      <c r="F60" s="39" t="s">
        <v>20</v>
      </c>
      <c r="G60" s="39" t="s">
        <v>120</v>
      </c>
      <c r="H60" s="39" t="s">
        <v>23</v>
      </c>
      <c r="I60" s="39" t="s">
        <v>164</v>
      </c>
      <c r="J60" s="39" t="s">
        <v>24</v>
      </c>
      <c r="K60" s="39" t="s">
        <v>140</v>
      </c>
      <c r="L60" s="40">
        <v>1131</v>
      </c>
      <c r="M60" s="41">
        <v>41339</v>
      </c>
      <c r="N60" s="40" t="s">
        <v>122</v>
      </c>
      <c r="O60" s="42">
        <f t="shared" si="2"/>
        <v>42186</v>
      </c>
      <c r="P60" s="40">
        <v>19</v>
      </c>
      <c r="Q60" s="207">
        <f>[3]Duke_OH_RC_DS01MS!G9</f>
        <v>21.784745653187205</v>
      </c>
      <c r="R60" s="207">
        <f>[3]Duke_OH_RC_DS01MS!H9</f>
        <v>21.570492534192304</v>
      </c>
      <c r="S60" s="207">
        <f>[3]Duke_OH_RC_DS01MS!I9</f>
        <v>19.01091107192287</v>
      </c>
      <c r="T60" s="207">
        <f>[3]Duke_OH_RC_DS01MS!J9</f>
        <v>18.201330095664865</v>
      </c>
      <c r="U60" s="207">
        <f>[3]Duke_OH_RC_DS01MS!K9</f>
        <v>19.129592923431556</v>
      </c>
      <c r="V60" s="145"/>
    </row>
    <row r="61" spans="1:22" x14ac:dyDescent="0.2">
      <c r="A61" s="89">
        <f t="shared" si="1"/>
        <v>53</v>
      </c>
      <c r="B61" s="38">
        <v>2</v>
      </c>
      <c r="C61" s="38">
        <v>16</v>
      </c>
      <c r="D61" s="38" t="s">
        <v>231</v>
      </c>
      <c r="E61" s="39" t="s">
        <v>166</v>
      </c>
      <c r="F61" s="39" t="s">
        <v>20</v>
      </c>
      <c r="G61" s="39" t="s">
        <v>120</v>
      </c>
      <c r="H61" s="39" t="s">
        <v>64</v>
      </c>
      <c r="I61" s="39" t="s">
        <v>167</v>
      </c>
      <c r="J61" s="39" t="s">
        <v>7</v>
      </c>
      <c r="K61" s="39" t="s">
        <v>140</v>
      </c>
      <c r="L61" s="40">
        <v>1132</v>
      </c>
      <c r="M61" s="41">
        <v>41339</v>
      </c>
      <c r="N61" s="40" t="s">
        <v>122</v>
      </c>
      <c r="O61" s="42">
        <f t="shared" si="2"/>
        <v>42186</v>
      </c>
      <c r="P61" s="40">
        <v>19</v>
      </c>
      <c r="Q61" s="207">
        <f>'[3]FE_OE - test RC_GSFMS'!G9</f>
        <v>41.600946454610785</v>
      </c>
      <c r="R61" s="207">
        <f>'[3]FE_OE - test RC_GSFMS'!H9</f>
        <v>39.594370679463111</v>
      </c>
      <c r="S61" s="207">
        <f>'[3]FE_OE - test RC_GSFMS'!I9</f>
        <v>33.10060416476788</v>
      </c>
      <c r="T61" s="207">
        <f>'[3]FE_OE - test RC_GSFMS'!J9</f>
        <v>29.985968741114441</v>
      </c>
      <c r="U61" s="207">
        <f>'[3]FE_OE - test RC_GSFMS'!K9</f>
        <v>28.336578279559966</v>
      </c>
      <c r="V61" s="145"/>
    </row>
    <row r="62" spans="1:22" x14ac:dyDescent="0.2">
      <c r="A62" s="89">
        <f t="shared" si="1"/>
        <v>54</v>
      </c>
      <c r="B62" s="38">
        <v>2</v>
      </c>
      <c r="C62" s="38">
        <v>17</v>
      </c>
      <c r="D62" s="38" t="s">
        <v>232</v>
      </c>
      <c r="E62" s="39" t="s">
        <v>169</v>
      </c>
      <c r="F62" s="39" t="s">
        <v>31</v>
      </c>
      <c r="G62" s="39" t="s">
        <v>120</v>
      </c>
      <c r="H62" s="39" t="s">
        <v>35</v>
      </c>
      <c r="I62" s="39" t="s">
        <v>35</v>
      </c>
      <c r="J62" s="39" t="s">
        <v>9</v>
      </c>
      <c r="K62" s="39" t="s">
        <v>135</v>
      </c>
      <c r="L62" s="40">
        <v>1133</v>
      </c>
      <c r="M62" s="41">
        <v>41339</v>
      </c>
      <c r="N62" s="40" t="s">
        <v>122</v>
      </c>
      <c r="O62" s="42">
        <f t="shared" si="2"/>
        <v>42186</v>
      </c>
      <c r="P62" s="40">
        <v>19</v>
      </c>
      <c r="Q62" s="207">
        <f>'[3]JCPL LP_GSCLMS'!G9</f>
        <v>46.812661134914279</v>
      </c>
      <c r="R62" s="207">
        <f>'[3]JCPL LP_GSCLMS'!H9</f>
        <v>47.979846272298978</v>
      </c>
      <c r="S62" s="207">
        <f>'[3]JCPL LP_GSCLMS'!I9</f>
        <v>46.269756980844548</v>
      </c>
      <c r="T62" s="207">
        <f>'[3]JCPL LP_GSCLMS'!J9</f>
        <v>46.215438451104298</v>
      </c>
      <c r="U62" s="207">
        <f>'[3]JCPL LP_GSCLMS'!K9</f>
        <v>46.625966720176912</v>
      </c>
      <c r="V62" s="145"/>
    </row>
    <row r="63" spans="1:22" x14ac:dyDescent="0.2">
      <c r="A63" s="89">
        <f t="shared" si="1"/>
        <v>55</v>
      </c>
      <c r="B63" s="38">
        <v>2</v>
      </c>
      <c r="C63" s="38">
        <v>18</v>
      </c>
      <c r="D63" s="38" t="s">
        <v>233</v>
      </c>
      <c r="E63" s="39" t="s">
        <v>171</v>
      </c>
      <c r="F63" s="39" t="s">
        <v>31</v>
      </c>
      <c r="G63" s="39" t="s">
        <v>120</v>
      </c>
      <c r="H63" s="39" t="s">
        <v>35</v>
      </c>
      <c r="I63" s="39" t="s">
        <v>35</v>
      </c>
      <c r="J63" s="39" t="s">
        <v>10</v>
      </c>
      <c r="K63" s="39" t="s">
        <v>132</v>
      </c>
      <c r="L63" s="40">
        <v>1134</v>
      </c>
      <c r="M63" s="41">
        <v>41339</v>
      </c>
      <c r="N63" s="40" t="s">
        <v>122</v>
      </c>
      <c r="O63" s="42">
        <f t="shared" si="2"/>
        <v>42186</v>
      </c>
      <c r="P63" s="40">
        <v>19</v>
      </c>
      <c r="Q63" s="207">
        <f>'[3]JCPL LP_GSCMMS'!G9</f>
        <v>52.343921558096092</v>
      </c>
      <c r="R63" s="207">
        <f>'[3]JCPL LP_GSCMMS'!H9</f>
        <v>48.955662726479751</v>
      </c>
      <c r="S63" s="207">
        <f>'[3]JCPL LP_GSCMMS'!I9</f>
        <v>48.537171328683257</v>
      </c>
      <c r="T63" s="207">
        <f>'[3]JCPL LP_GSCMMS'!J9</f>
        <v>47.232895831252442</v>
      </c>
      <c r="U63" s="207">
        <f>'[3]JCPL LP_GSCMMS'!K9</f>
        <v>47.649572948462612</v>
      </c>
      <c r="V63" s="145"/>
    </row>
    <row r="64" spans="1:22" x14ac:dyDescent="0.2">
      <c r="A64" s="89">
        <f t="shared" si="1"/>
        <v>56</v>
      </c>
      <c r="B64" s="38">
        <v>2</v>
      </c>
      <c r="C64" s="38">
        <v>19</v>
      </c>
      <c r="D64" s="38" t="s">
        <v>234</v>
      </c>
      <c r="E64" s="39" t="s">
        <v>173</v>
      </c>
      <c r="F64" s="39" t="s">
        <v>31</v>
      </c>
      <c r="G64" s="39" t="s">
        <v>120</v>
      </c>
      <c r="H64" s="39" t="s">
        <v>35</v>
      </c>
      <c r="I64" s="39" t="s">
        <v>35</v>
      </c>
      <c r="J64" s="39" t="s">
        <v>11</v>
      </c>
      <c r="K64" s="39" t="s">
        <v>129</v>
      </c>
      <c r="L64" s="40">
        <v>1135</v>
      </c>
      <c r="M64" s="41">
        <v>41339</v>
      </c>
      <c r="N64" s="40" t="s">
        <v>122</v>
      </c>
      <c r="O64" s="42">
        <f t="shared" si="2"/>
        <v>42186</v>
      </c>
      <c r="P64" s="40">
        <v>19</v>
      </c>
      <c r="Q64" s="207">
        <f>'[3]JCPL LP_GSCSMS'!G9</f>
        <v>49.267907761504681</v>
      </c>
      <c r="R64" s="207">
        <f>'[3]JCPL LP_GSCSMS'!H9</f>
        <v>49.158725577342622</v>
      </c>
      <c r="S64" s="207">
        <f>'[3]JCPL LP_GSCSMS'!I9</f>
        <v>47.820686333095395</v>
      </c>
      <c r="T64" s="207">
        <f>'[3]JCPL LP_GSCSMS'!J9</f>
        <v>47.416978234132294</v>
      </c>
      <c r="U64" s="207">
        <f>'[3]JCPL LP_GSCSMS'!K9</f>
        <v>47.808359679746275</v>
      </c>
      <c r="V64" s="145"/>
    </row>
    <row r="65" spans="1:22" x14ac:dyDescent="0.2">
      <c r="A65" s="89">
        <f t="shared" si="1"/>
        <v>57</v>
      </c>
      <c r="B65" s="38">
        <v>2</v>
      </c>
      <c r="C65" s="38">
        <v>20</v>
      </c>
      <c r="D65" s="38" t="s">
        <v>235</v>
      </c>
      <c r="E65" s="39" t="s">
        <v>175</v>
      </c>
      <c r="F65" s="39" t="s">
        <v>6</v>
      </c>
      <c r="G65" s="39" t="s">
        <v>120</v>
      </c>
      <c r="H65" s="39" t="s">
        <v>176</v>
      </c>
      <c r="I65" s="39" t="s">
        <v>177</v>
      </c>
      <c r="J65" s="39" t="s">
        <v>9</v>
      </c>
      <c r="K65" s="39" t="s">
        <v>135</v>
      </c>
      <c r="L65" s="40">
        <v>1137</v>
      </c>
      <c r="M65" s="41">
        <v>41339</v>
      </c>
      <c r="N65" s="40" t="s">
        <v>122</v>
      </c>
      <c r="O65" s="42">
        <f t="shared" si="2"/>
        <v>42186</v>
      </c>
      <c r="P65" s="40">
        <v>19</v>
      </c>
      <c r="Q65" s="207">
        <f>'[3]MetEd RC_GSLFMS'!G9</f>
        <v>28.823824658618449</v>
      </c>
      <c r="R65" s="207">
        <f>'[3]MetEd RC_GSLFMS'!H9</f>
        <v>29.322534677918959</v>
      </c>
      <c r="S65" s="207">
        <f>'[3]MetEd RC_GSLFMS'!I9</f>
        <v>27.757294727032928</v>
      </c>
      <c r="T65" s="207">
        <f>'[3]MetEd RC_GSLFMS'!J9</f>
        <v>27.382406383420555</v>
      </c>
      <c r="U65" s="207">
        <f>'[3]MetEd RC_GSLFMS'!K9</f>
        <v>27.23542716422746</v>
      </c>
      <c r="V65" s="145"/>
    </row>
    <row r="66" spans="1:22" x14ac:dyDescent="0.2">
      <c r="A66" s="89">
        <f t="shared" si="1"/>
        <v>58</v>
      </c>
      <c r="B66" s="38">
        <v>2</v>
      </c>
      <c r="C66" s="38">
        <v>21</v>
      </c>
      <c r="D66" s="38" t="s">
        <v>236</v>
      </c>
      <c r="E66" s="39" t="s">
        <v>179</v>
      </c>
      <c r="F66" s="39" t="s">
        <v>6</v>
      </c>
      <c r="G66" s="39" t="s">
        <v>120</v>
      </c>
      <c r="H66" s="39" t="s">
        <v>176</v>
      </c>
      <c r="I66" s="39" t="s">
        <v>177</v>
      </c>
      <c r="J66" s="39" t="s">
        <v>10</v>
      </c>
      <c r="K66" s="39" t="s">
        <v>132</v>
      </c>
      <c r="L66" s="40">
        <v>1136</v>
      </c>
      <c r="M66" s="41">
        <v>41339</v>
      </c>
      <c r="N66" s="40" t="s">
        <v>122</v>
      </c>
      <c r="O66" s="42">
        <f t="shared" si="2"/>
        <v>42186</v>
      </c>
      <c r="P66" s="40">
        <v>19</v>
      </c>
      <c r="Q66" s="207">
        <f>'[3]MetEd RC_GSDFMS'!G9</f>
        <v>29.961637794882979</v>
      </c>
      <c r="R66" s="207">
        <f>'[3]MetEd RC_GSDFMS'!H9</f>
        <v>30.42473719220035</v>
      </c>
      <c r="S66" s="207">
        <f>'[3]MetEd RC_GSDFMS'!I9</f>
        <v>28.863552478683083</v>
      </c>
      <c r="T66" s="207">
        <f>'[3]MetEd RC_GSDFMS'!J9</f>
        <v>28.475587238688668</v>
      </c>
      <c r="U66" s="207">
        <f>'[3]MetEd RC_GSDFMS'!K9</f>
        <v>28.324370336637646</v>
      </c>
      <c r="V66" s="145"/>
    </row>
    <row r="67" spans="1:22" x14ac:dyDescent="0.2">
      <c r="A67" s="89">
        <f t="shared" si="1"/>
        <v>59</v>
      </c>
      <c r="B67" s="38">
        <v>2</v>
      </c>
      <c r="C67" s="38">
        <v>22</v>
      </c>
      <c r="D67" s="38" t="s">
        <v>237</v>
      </c>
      <c r="E67" s="39" t="s">
        <v>181</v>
      </c>
      <c r="F67" s="39" t="s">
        <v>6</v>
      </c>
      <c r="G67" s="39" t="s">
        <v>120</v>
      </c>
      <c r="H67" s="39" t="s">
        <v>176</v>
      </c>
      <c r="I67" s="39" t="s">
        <v>177</v>
      </c>
      <c r="J67" s="39" t="s">
        <v>11</v>
      </c>
      <c r="K67" s="39" t="s">
        <v>129</v>
      </c>
      <c r="L67" s="40">
        <v>1138</v>
      </c>
      <c r="M67" s="41">
        <v>41339</v>
      </c>
      <c r="N67" s="40" t="s">
        <v>122</v>
      </c>
      <c r="O67" s="42">
        <f t="shared" si="2"/>
        <v>42186</v>
      </c>
      <c r="P67" s="40">
        <v>19</v>
      </c>
      <c r="Q67" s="207">
        <f>'[3]MetEd RC_GSSFMS'!G9</f>
        <v>29.385035940696042</v>
      </c>
      <c r="R67" s="207">
        <f>'[3]MetEd RC_GSSFMS'!H9</f>
        <v>30.342042538792668</v>
      </c>
      <c r="S67" s="207">
        <f>'[3]MetEd RC_GSSFMS'!I9</f>
        <v>28.6182139012686</v>
      </c>
      <c r="T67" s="207">
        <f>'[3]MetEd RC_GSSFMS'!J9</f>
        <v>28.400005720410597</v>
      </c>
      <c r="U67" s="207">
        <f>'[3]MetEd RC_GSSFMS'!K9</f>
        <v>28.254142915712382</v>
      </c>
      <c r="V67" s="145"/>
    </row>
    <row r="68" spans="1:22" x14ac:dyDescent="0.2">
      <c r="A68" s="89">
        <f t="shared" si="1"/>
        <v>60</v>
      </c>
      <c r="B68" s="38">
        <v>2</v>
      </c>
      <c r="C68" s="38">
        <v>23</v>
      </c>
      <c r="D68" s="38" t="s">
        <v>238</v>
      </c>
      <c r="E68" s="39" t="s">
        <v>183</v>
      </c>
      <c r="F68" s="39" t="s">
        <v>6</v>
      </c>
      <c r="G68" s="39" t="s">
        <v>120</v>
      </c>
      <c r="H68" s="39" t="s">
        <v>13</v>
      </c>
      <c r="I68" s="39" t="s">
        <v>13</v>
      </c>
      <c r="J68" s="39" t="s">
        <v>7</v>
      </c>
      <c r="K68" s="39" t="s">
        <v>140</v>
      </c>
      <c r="L68" s="40">
        <v>1139</v>
      </c>
      <c r="M68" s="41">
        <v>41339</v>
      </c>
      <c r="N68" s="40" t="s">
        <v>122</v>
      </c>
      <c r="O68" s="42">
        <f t="shared" si="2"/>
        <v>42186</v>
      </c>
      <c r="P68" s="40">
        <v>19</v>
      </c>
      <c r="Q68" s="207">
        <f>'[3]PECO LP_GSMS'!G9</f>
        <v>32.472750177590619</v>
      </c>
      <c r="R68" s="207">
        <f>'[3]PECO LP_GSMS'!H9</f>
        <v>33.075260304460514</v>
      </c>
      <c r="S68" s="207">
        <f>'[3]PECO LP_GSMS'!I9</f>
        <v>31.42112197632369</v>
      </c>
      <c r="T68" s="207">
        <f>'[3]PECO LP_GSMS'!J9</f>
        <v>31.081243483051356</v>
      </c>
      <c r="U68" s="207">
        <f>'[3]PECO LP_GSMS'!K9</f>
        <v>30.941770758039866</v>
      </c>
      <c r="V68" s="145"/>
    </row>
    <row r="69" spans="1:22" x14ac:dyDescent="0.2">
      <c r="A69" s="89">
        <f t="shared" si="1"/>
        <v>61</v>
      </c>
      <c r="B69" s="38">
        <v>2</v>
      </c>
      <c r="C69" s="38">
        <v>24</v>
      </c>
      <c r="D69" s="38" t="s">
        <v>239</v>
      </c>
      <c r="E69" s="39" t="s">
        <v>185</v>
      </c>
      <c r="F69" s="39" t="s">
        <v>6</v>
      </c>
      <c r="G69" s="39" t="s">
        <v>120</v>
      </c>
      <c r="H69" s="39" t="s">
        <v>12</v>
      </c>
      <c r="I69" s="39" t="s">
        <v>186</v>
      </c>
      <c r="J69" s="39" t="s">
        <v>9</v>
      </c>
      <c r="K69" s="39" t="s">
        <v>135</v>
      </c>
      <c r="L69" s="40">
        <v>1140</v>
      </c>
      <c r="M69" s="41">
        <v>41339</v>
      </c>
      <c r="N69" s="40" t="s">
        <v>122</v>
      </c>
      <c r="O69" s="42">
        <f t="shared" si="2"/>
        <v>42186</v>
      </c>
      <c r="P69" s="40">
        <v>19</v>
      </c>
      <c r="Q69" s="207">
        <f>'[3]Penelec RC_GSLFMS'!G9</f>
        <v>31.368622263872066</v>
      </c>
      <c r="R69" s="207">
        <f>'[3]Penelec RC_GSLFMS'!H9</f>
        <v>31.4979742681492</v>
      </c>
      <c r="S69" s="207">
        <f>'[3]Penelec RC_GSLFMS'!I9</f>
        <v>30.110668640063604</v>
      </c>
      <c r="T69" s="207">
        <f>'[3]Penelec RC_GSLFMS'!J9</f>
        <v>29.696361075532945</v>
      </c>
      <c r="U69" s="207">
        <f>'[3]Penelec RC_GSLFMS'!K9</f>
        <v>29.701110606877215</v>
      </c>
      <c r="V69" s="145"/>
    </row>
    <row r="70" spans="1:22" x14ac:dyDescent="0.2">
      <c r="A70" s="89">
        <f t="shared" si="1"/>
        <v>62</v>
      </c>
      <c r="B70" s="38">
        <v>2</v>
      </c>
      <c r="C70" s="38">
        <v>25</v>
      </c>
      <c r="D70" s="38" t="s">
        <v>240</v>
      </c>
      <c r="E70" s="39" t="s">
        <v>188</v>
      </c>
      <c r="F70" s="39" t="s">
        <v>6</v>
      </c>
      <c r="G70" s="39" t="s">
        <v>120</v>
      </c>
      <c r="H70" s="39" t="s">
        <v>12</v>
      </c>
      <c r="I70" s="39" t="s">
        <v>186</v>
      </c>
      <c r="J70" s="39" t="s">
        <v>10</v>
      </c>
      <c r="K70" s="39" t="s">
        <v>132</v>
      </c>
      <c r="L70" s="40">
        <v>1141</v>
      </c>
      <c r="M70" s="41">
        <v>41339</v>
      </c>
      <c r="N70" s="40" t="s">
        <v>122</v>
      </c>
      <c r="O70" s="42">
        <f t="shared" si="2"/>
        <v>42186</v>
      </c>
      <c r="P70" s="40">
        <v>19</v>
      </c>
      <c r="Q70" s="207">
        <f>'[3]Penelec RC_GSMFMS'!G9</f>
        <v>32.515359792358666</v>
      </c>
      <c r="R70" s="207">
        <f>'[3]Penelec RC_GSMFMS'!H9</f>
        <v>32.624083181876252</v>
      </c>
      <c r="S70" s="207">
        <f>'[3]Penelec RC_GSMFMS'!I9</f>
        <v>31.236985212124992</v>
      </c>
      <c r="T70" s="207">
        <f>'[3]Penelec RC_GSMFMS'!J9</f>
        <v>30.814777375748175</v>
      </c>
      <c r="U70" s="207">
        <f>'[3]Penelec RC_GSMFMS'!K9</f>
        <v>30.814628010951118</v>
      </c>
      <c r="V70" s="145"/>
    </row>
    <row r="71" spans="1:22" x14ac:dyDescent="0.2">
      <c r="A71" s="89">
        <f t="shared" si="1"/>
        <v>63</v>
      </c>
      <c r="B71" s="38">
        <v>2</v>
      </c>
      <c r="C71" s="38">
        <v>26</v>
      </c>
      <c r="D71" s="38" t="s">
        <v>241</v>
      </c>
      <c r="E71" s="39" t="s">
        <v>190</v>
      </c>
      <c r="F71" s="39" t="s">
        <v>6</v>
      </c>
      <c r="G71" s="39" t="s">
        <v>120</v>
      </c>
      <c r="H71" s="39" t="s">
        <v>12</v>
      </c>
      <c r="I71" s="39" t="s">
        <v>186</v>
      </c>
      <c r="J71" s="39" t="s">
        <v>11</v>
      </c>
      <c r="K71" s="39" t="s">
        <v>129</v>
      </c>
      <c r="L71" s="40">
        <v>1142</v>
      </c>
      <c r="M71" s="41">
        <v>41339</v>
      </c>
      <c r="N71" s="40" t="s">
        <v>122</v>
      </c>
      <c r="O71" s="42">
        <f t="shared" si="2"/>
        <v>42186</v>
      </c>
      <c r="P71" s="40">
        <v>19</v>
      </c>
      <c r="Q71" s="207">
        <f>'[3]Penelec RC_GSSFMS'!G9</f>
        <v>33.712230047392303</v>
      </c>
      <c r="R71" s="207">
        <f>'[3]Penelec RC_GSSFMS'!H9</f>
        <v>32.698284379268735</v>
      </c>
      <c r="S71" s="207">
        <f>'[3]Penelec RC_GSSFMS'!I9</f>
        <v>31.589336537099712</v>
      </c>
      <c r="T71" s="207">
        <f>'[3]Penelec RC_GSSFMS'!J9</f>
        <v>30.867364403214939</v>
      </c>
      <c r="U71" s="207">
        <f>'[3]Penelec RC_GSSFMS'!K9</f>
        <v>30.853645932339134</v>
      </c>
      <c r="V71" s="145"/>
    </row>
    <row r="72" spans="1:22" x14ac:dyDescent="0.2">
      <c r="A72" s="89">
        <f t="shared" si="1"/>
        <v>64</v>
      </c>
      <c r="B72" s="38">
        <v>2</v>
      </c>
      <c r="C72" s="38">
        <v>27</v>
      </c>
      <c r="D72" s="38" t="s">
        <v>242</v>
      </c>
      <c r="E72" s="39" t="s">
        <v>192</v>
      </c>
      <c r="F72" s="39" t="s">
        <v>6</v>
      </c>
      <c r="G72" s="39" t="s">
        <v>120</v>
      </c>
      <c r="H72" s="39" t="s">
        <v>100</v>
      </c>
      <c r="I72" s="39" t="s">
        <v>193</v>
      </c>
      <c r="J72" s="39" t="s">
        <v>7</v>
      </c>
      <c r="K72" s="39" t="s">
        <v>140</v>
      </c>
      <c r="L72" s="40">
        <v>1143</v>
      </c>
      <c r="M72" s="41">
        <v>41339</v>
      </c>
      <c r="N72" s="40" t="s">
        <v>122</v>
      </c>
      <c r="O72" s="42">
        <f t="shared" si="2"/>
        <v>42186</v>
      </c>
      <c r="P72" s="40">
        <v>19</v>
      </c>
      <c r="Q72" s="207">
        <f>'[3]Penn Power RC_GMDMS'!G9</f>
        <v>52.565244912812261</v>
      </c>
      <c r="R72" s="207">
        <f>'[3]Penn Power RC_GMDMS'!H9</f>
        <v>50.574881164160203</v>
      </c>
      <c r="S72" s="207">
        <f>'[3]Penn Power RC_GMDMS'!I9</f>
        <v>44.183518563517531</v>
      </c>
      <c r="T72" s="207">
        <f>'[3]Penn Power RC_GMDMS'!J9</f>
        <v>41.0797521960938</v>
      </c>
      <c r="U72" s="207">
        <f>'[3]Penn Power RC_GMDMS'!K9</f>
        <v>39.494690270303465</v>
      </c>
      <c r="V72" s="145"/>
    </row>
    <row r="73" spans="1:22" x14ac:dyDescent="0.2">
      <c r="A73" s="89">
        <f t="shared" si="1"/>
        <v>65</v>
      </c>
      <c r="B73" s="38">
        <v>2</v>
      </c>
      <c r="C73" s="38">
        <v>28</v>
      </c>
      <c r="D73" s="38" t="s">
        <v>243</v>
      </c>
      <c r="E73" s="39" t="s">
        <v>195</v>
      </c>
      <c r="F73" s="39" t="s">
        <v>39</v>
      </c>
      <c r="G73" s="39" t="s">
        <v>120</v>
      </c>
      <c r="H73" s="39" t="s">
        <v>44</v>
      </c>
      <c r="I73" s="39" t="s">
        <v>44</v>
      </c>
      <c r="J73" s="39" t="s">
        <v>7</v>
      </c>
      <c r="K73" s="39" t="s">
        <v>140</v>
      </c>
      <c r="L73" s="40">
        <v>1144</v>
      </c>
      <c r="M73" s="41">
        <v>41339</v>
      </c>
      <c r="N73" s="40" t="s">
        <v>122</v>
      </c>
      <c r="O73" s="42">
        <f t="shared" si="2"/>
        <v>42186</v>
      </c>
      <c r="P73" s="40">
        <v>19</v>
      </c>
      <c r="Q73" s="207">
        <f>'[3]PEPCO MD LP_MDNDMS'!G9</f>
        <v>34.89931340625828</v>
      </c>
      <c r="R73" s="207">
        <f>'[3]PEPCO MD LP_MDNDMS'!H9</f>
        <v>35.26376266640559</v>
      </c>
      <c r="S73" s="207">
        <f>'[3]PEPCO MD LP_MDNDMS'!I9</f>
        <v>34.003739618679845</v>
      </c>
      <c r="T73" s="207">
        <f>'[3]PEPCO MD LP_MDNDMS'!J9</f>
        <v>33.605658066046182</v>
      </c>
      <c r="U73" s="207">
        <f>'[3]PEPCO MD LP_MDNDMS'!K9</f>
        <v>33.797733944517574</v>
      </c>
      <c r="V73" s="145"/>
    </row>
    <row r="74" spans="1:22" x14ac:dyDescent="0.2">
      <c r="A74" s="89">
        <f t="shared" si="1"/>
        <v>66</v>
      </c>
      <c r="B74" s="38">
        <v>2</v>
      </c>
      <c r="C74" s="38">
        <v>29</v>
      </c>
      <c r="D74" s="38" t="s">
        <v>244</v>
      </c>
      <c r="E74" s="39" t="s">
        <v>197</v>
      </c>
      <c r="F74" s="39" t="s">
        <v>39</v>
      </c>
      <c r="G74" s="39" t="s">
        <v>120</v>
      </c>
      <c r="H74" s="39" t="s">
        <v>44</v>
      </c>
      <c r="I74" s="39" t="s">
        <v>44</v>
      </c>
      <c r="J74" s="39" t="s">
        <v>45</v>
      </c>
      <c r="K74" s="39" t="s">
        <v>198</v>
      </c>
      <c r="L74" s="40">
        <v>1145</v>
      </c>
      <c r="M74" s="41">
        <v>41339</v>
      </c>
      <c r="N74" s="40" t="s">
        <v>122</v>
      </c>
      <c r="O74" s="42">
        <f t="shared" si="2"/>
        <v>42186</v>
      </c>
      <c r="P74" s="40">
        <v>19</v>
      </c>
      <c r="Q74" s="207">
        <f>'[3]PEPCO MD LP_MMGTL2AMS'!G9</f>
        <v>33.410493882314107</v>
      </c>
      <c r="R74" s="207">
        <f>'[3]PEPCO MD LP_MMGTL2AMS'!H9</f>
        <v>34.119620102207143</v>
      </c>
      <c r="S74" s="207">
        <f>'[3]PEPCO MD LP_MMGTL2AMS'!I9</f>
        <v>32.770820222197898</v>
      </c>
      <c r="T74" s="207">
        <f>'[3]PEPCO MD LP_MMGTL2AMS'!J9</f>
        <v>32.480602854830153</v>
      </c>
      <c r="U74" s="207">
        <f>'[3]PEPCO MD LP_MMGTL2AMS'!K9</f>
        <v>32.668657795555482</v>
      </c>
      <c r="V74" s="145"/>
    </row>
    <row r="75" spans="1:22" x14ac:dyDescent="0.2">
      <c r="A75" s="89">
        <f t="shared" ref="A75:A138" si="3">A74+1</f>
        <v>67</v>
      </c>
      <c r="B75" s="38">
        <v>2</v>
      </c>
      <c r="C75" s="38">
        <v>30</v>
      </c>
      <c r="D75" s="38" t="s">
        <v>245</v>
      </c>
      <c r="E75" s="39" t="s">
        <v>200</v>
      </c>
      <c r="F75" s="39" t="s">
        <v>39</v>
      </c>
      <c r="G75" s="39" t="s">
        <v>120</v>
      </c>
      <c r="H75" s="39" t="s">
        <v>44</v>
      </c>
      <c r="I75" s="39" t="s">
        <v>44</v>
      </c>
      <c r="J75" s="39" t="s">
        <v>46</v>
      </c>
      <c r="K75" s="39" t="s">
        <v>46</v>
      </c>
      <c r="L75" s="40">
        <v>1146</v>
      </c>
      <c r="M75" s="41">
        <v>41339</v>
      </c>
      <c r="N75" s="40" t="s">
        <v>122</v>
      </c>
      <c r="O75" s="42">
        <f t="shared" si="2"/>
        <v>42186</v>
      </c>
      <c r="P75" s="40">
        <v>19</v>
      </c>
      <c r="Q75" s="207">
        <f>'[3]PEPCO MD RC_3T7MS'!G9</f>
        <v>34.708581428596709</v>
      </c>
      <c r="R75" s="207">
        <f>'[3]PEPCO MD RC_3T7MS'!H9</f>
        <v>35.016462393928755</v>
      </c>
      <c r="S75" s="207">
        <f>'[3]PEPCO MD RC_3T7MS'!I9</f>
        <v>33.734600635770796</v>
      </c>
      <c r="T75" s="207">
        <f>'[3]PEPCO MD RC_3T7MS'!J9</f>
        <v>33.352305983307566</v>
      </c>
      <c r="U75" s="207">
        <f>'[3]PEPCO MD RC_3T7MS'!K9</f>
        <v>33.599074522161416</v>
      </c>
      <c r="V75" s="145"/>
    </row>
    <row r="76" spans="1:22" x14ac:dyDescent="0.2">
      <c r="A76" s="89">
        <f t="shared" si="3"/>
        <v>68</v>
      </c>
      <c r="B76" s="38">
        <v>2</v>
      </c>
      <c r="C76" s="38">
        <v>31</v>
      </c>
      <c r="D76" s="38" t="s">
        <v>246</v>
      </c>
      <c r="E76" s="39" t="s">
        <v>202</v>
      </c>
      <c r="F76" s="39" t="s">
        <v>39</v>
      </c>
      <c r="G76" s="39" t="s">
        <v>120</v>
      </c>
      <c r="H76" s="39" t="s">
        <v>47</v>
      </c>
      <c r="I76" s="39" t="s">
        <v>47</v>
      </c>
      <c r="J76" s="39" t="s">
        <v>7</v>
      </c>
      <c r="K76" s="39" t="s">
        <v>140</v>
      </c>
      <c r="L76" s="40">
        <v>1147</v>
      </c>
      <c r="M76" s="41">
        <v>41339</v>
      </c>
      <c r="N76" s="40" t="s">
        <v>122</v>
      </c>
      <c r="O76" s="42">
        <f t="shared" si="2"/>
        <v>42186</v>
      </c>
      <c r="P76" s="40">
        <v>19</v>
      </c>
      <c r="Q76" s="207">
        <f>'[3]Potomac Edison LP_GSCM_MMS'!G9</f>
        <v>35.03839582109908</v>
      </c>
      <c r="R76" s="207">
        <f>'[3]Potomac Edison LP_GSCM_MMS'!H9</f>
        <v>32.400921699126705</v>
      </c>
      <c r="S76" s="207">
        <f>'[3]Potomac Edison LP_GSCM_MMS'!I9</f>
        <v>30.742930016755842</v>
      </c>
      <c r="T76" s="207">
        <f>'[3]Potomac Edison LP_GSCM_MMS'!J9</f>
        <v>29.417877365954428</v>
      </c>
      <c r="U76" s="207">
        <f>'[3]Potomac Edison LP_GSCM_MMS'!K9</f>
        <v>30.841497561003962</v>
      </c>
      <c r="V76" s="145"/>
    </row>
    <row r="77" spans="1:22" x14ac:dyDescent="0.2">
      <c r="A77" s="89">
        <f t="shared" si="3"/>
        <v>69</v>
      </c>
      <c r="B77" s="38">
        <v>2</v>
      </c>
      <c r="C77" s="38">
        <v>32</v>
      </c>
      <c r="D77" s="38" t="s">
        <v>247</v>
      </c>
      <c r="E77" s="39" t="s">
        <v>204</v>
      </c>
      <c r="F77" s="39" t="s">
        <v>6</v>
      </c>
      <c r="G77" s="39" t="s">
        <v>120</v>
      </c>
      <c r="H77" s="39" t="s">
        <v>14</v>
      </c>
      <c r="I77" s="39" t="s">
        <v>14</v>
      </c>
      <c r="J77" s="39" t="s">
        <v>15</v>
      </c>
      <c r="K77" s="39" t="s">
        <v>129</v>
      </c>
      <c r="L77" s="40">
        <v>1148</v>
      </c>
      <c r="M77" s="41">
        <v>41339</v>
      </c>
      <c r="N77" s="40" t="s">
        <v>122</v>
      </c>
      <c r="O77" s="42">
        <f t="shared" si="2"/>
        <v>42186</v>
      </c>
      <c r="P77" s="40">
        <v>19</v>
      </c>
      <c r="Q77" s="207">
        <f>[3]PPL_RCGS1MS!G9</f>
        <v>38.569397000273362</v>
      </c>
      <c r="R77" s="207">
        <f>[3]PPL_RCGS1MS!H9</f>
        <v>38.572827636208352</v>
      </c>
      <c r="S77" s="207">
        <f>[3]PPL_RCGS1MS!I9</f>
        <v>37.099082651930196</v>
      </c>
      <c r="T77" s="207">
        <f>[3]PPL_RCGS1MS!J9</f>
        <v>36.577351360393145</v>
      </c>
      <c r="U77" s="207">
        <f>[3]PPL_RCGS1MS!K9</f>
        <v>36.35768615617328</v>
      </c>
      <c r="V77" s="145"/>
    </row>
    <row r="78" spans="1:22" x14ac:dyDescent="0.2">
      <c r="A78" s="89">
        <f t="shared" si="3"/>
        <v>70</v>
      </c>
      <c r="B78" s="38">
        <v>2</v>
      </c>
      <c r="C78" s="38">
        <v>33</v>
      </c>
      <c r="D78" s="38" t="s">
        <v>248</v>
      </c>
      <c r="E78" s="39" t="s">
        <v>206</v>
      </c>
      <c r="F78" s="39" t="s">
        <v>6</v>
      </c>
      <c r="G78" s="39" t="s">
        <v>120</v>
      </c>
      <c r="H78" s="39" t="s">
        <v>14</v>
      </c>
      <c r="I78" s="39" t="s">
        <v>14</v>
      </c>
      <c r="J78" s="39" t="s">
        <v>16</v>
      </c>
      <c r="K78" s="39" t="s">
        <v>135</v>
      </c>
      <c r="L78" s="40">
        <v>1149</v>
      </c>
      <c r="M78" s="41">
        <v>41339</v>
      </c>
      <c r="N78" s="40" t="s">
        <v>122</v>
      </c>
      <c r="O78" s="42">
        <f t="shared" si="2"/>
        <v>42186</v>
      </c>
      <c r="P78" s="40">
        <v>19</v>
      </c>
      <c r="Q78" s="207">
        <f>[3]PPL_RCGS3MS!G9</f>
        <v>38.388793347284043</v>
      </c>
      <c r="R78" s="207">
        <f>[3]PPL_RCGS3MS!H9</f>
        <v>38.609731983234951</v>
      </c>
      <c r="S78" s="207">
        <f>[3]PPL_RCGS3MS!I9</f>
        <v>37.082468011681506</v>
      </c>
      <c r="T78" s="207">
        <f>[3]PPL_RCGS3MS!J9</f>
        <v>36.618182830706481</v>
      </c>
      <c r="U78" s="207">
        <f>[3]PPL_RCGS3MS!K9</f>
        <v>36.411126278956161</v>
      </c>
      <c r="V78" s="145"/>
    </row>
    <row r="79" spans="1:22" x14ac:dyDescent="0.2">
      <c r="A79" s="89">
        <f t="shared" si="3"/>
        <v>71</v>
      </c>
      <c r="B79" s="38">
        <v>2</v>
      </c>
      <c r="C79" s="38">
        <v>34</v>
      </c>
      <c r="D79" s="38" t="s">
        <v>249</v>
      </c>
      <c r="E79" s="39" t="s">
        <v>208</v>
      </c>
      <c r="F79" s="39" t="s">
        <v>31</v>
      </c>
      <c r="G79" s="39" t="s">
        <v>120</v>
      </c>
      <c r="H79" s="39" t="s">
        <v>36</v>
      </c>
      <c r="I79" s="39" t="s">
        <v>36</v>
      </c>
      <c r="J79" s="39" t="s">
        <v>37</v>
      </c>
      <c r="K79" s="39" t="s">
        <v>209</v>
      </c>
      <c r="L79" s="40">
        <v>1150</v>
      </c>
      <c r="M79" s="41">
        <v>41339</v>
      </c>
      <c r="N79" s="40" t="s">
        <v>122</v>
      </c>
      <c r="O79" s="42">
        <f t="shared" si="2"/>
        <v>42186</v>
      </c>
      <c r="P79" s="40">
        <v>19</v>
      </c>
      <c r="Q79" s="207">
        <f>'[3]PSEG LP_GLP_MMS'!G9</f>
        <v>59.115381453271198</v>
      </c>
      <c r="R79" s="207">
        <f>'[3]PSEG LP_GLP_MMS'!H9</f>
        <v>61.119748698807562</v>
      </c>
      <c r="S79" s="207">
        <f>'[3]PSEG LP_GLP_MMS'!I9</f>
        <v>61.585816244761475</v>
      </c>
      <c r="T79" s="207">
        <f>'[3]PSEG LP_GLP_MMS'!J9</f>
        <v>62.573110059106</v>
      </c>
      <c r="U79" s="207">
        <f>'[3]PSEG LP_GLP_MMS'!K9</f>
        <v>63.648780964647713</v>
      </c>
      <c r="V79" s="145"/>
    </row>
    <row r="80" spans="1:22" x14ac:dyDescent="0.2">
      <c r="A80" s="89">
        <f t="shared" si="3"/>
        <v>72</v>
      </c>
      <c r="B80" s="38">
        <v>2</v>
      </c>
      <c r="C80" s="38">
        <v>35</v>
      </c>
      <c r="D80" s="38" t="s">
        <v>250</v>
      </c>
      <c r="E80" s="39" t="s">
        <v>211</v>
      </c>
      <c r="F80" s="39" t="s">
        <v>31</v>
      </c>
      <c r="G80" s="39" t="s">
        <v>120</v>
      </c>
      <c r="H80" s="39" t="s">
        <v>36</v>
      </c>
      <c r="I80" s="39" t="s">
        <v>36</v>
      </c>
      <c r="J80" s="39" t="s">
        <v>38</v>
      </c>
      <c r="K80" s="39" t="s">
        <v>212</v>
      </c>
      <c r="L80" s="40">
        <v>1151</v>
      </c>
      <c r="M80" s="41">
        <v>41339</v>
      </c>
      <c r="N80" s="40" t="s">
        <v>122</v>
      </c>
      <c r="O80" s="42">
        <f t="shared" si="2"/>
        <v>42186</v>
      </c>
      <c r="P80" s="40">
        <v>19</v>
      </c>
      <c r="Q80" s="207">
        <f>'[3]PSEG LP_LPLMS'!G9</f>
        <v>58.622398454754148</v>
      </c>
      <c r="R80" s="207">
        <f>'[3]PSEG LP_LPLMS'!H9</f>
        <v>60.304962937555267</v>
      </c>
      <c r="S80" s="207">
        <f>'[3]PSEG LP_LPLMS'!I9</f>
        <v>60.915746219736036</v>
      </c>
      <c r="T80" s="207">
        <f>'[3]PSEG LP_LPLMS'!J9</f>
        <v>61.793790000363423</v>
      </c>
      <c r="U80" s="207">
        <f>'[3]PSEG LP_LPLMS'!K9</f>
        <v>62.834436757699315</v>
      </c>
      <c r="V80" s="145"/>
    </row>
    <row r="81" spans="1:22" x14ac:dyDescent="0.2">
      <c r="A81" s="89">
        <f t="shared" si="3"/>
        <v>73</v>
      </c>
      <c r="B81" s="38">
        <v>2</v>
      </c>
      <c r="C81" s="38">
        <v>36</v>
      </c>
      <c r="D81" s="38" t="s">
        <v>251</v>
      </c>
      <c r="E81" s="39" t="s">
        <v>214</v>
      </c>
      <c r="F81" s="39" t="s">
        <v>6</v>
      </c>
      <c r="G81" s="39" t="s">
        <v>120</v>
      </c>
      <c r="H81" s="39" t="s">
        <v>17</v>
      </c>
      <c r="I81" s="39" t="s">
        <v>215</v>
      </c>
      <c r="J81" s="39" t="s">
        <v>18</v>
      </c>
      <c r="K81" s="39" t="s">
        <v>140</v>
      </c>
      <c r="L81" s="40">
        <v>1152</v>
      </c>
      <c r="M81" s="41">
        <v>41339</v>
      </c>
      <c r="N81" s="40" t="s">
        <v>122</v>
      </c>
      <c r="O81" s="42">
        <f t="shared" si="2"/>
        <v>42186</v>
      </c>
      <c r="P81" s="40">
        <v>19</v>
      </c>
      <c r="Q81" s="207">
        <f>'[3]West Penn Power LP_GSCMMS'!G9</f>
        <v>32.639963434059261</v>
      </c>
      <c r="R81" s="207">
        <f>'[3]West Penn Power LP_GSCMMS'!H9</f>
        <v>32.326572404655444</v>
      </c>
      <c r="S81" s="207">
        <f>'[3]West Penn Power LP_GSCMMS'!I9</f>
        <v>29.944898867084515</v>
      </c>
      <c r="T81" s="207">
        <f>'[3]West Penn Power LP_GSCMMS'!J9</f>
        <v>29.197850460093687</v>
      </c>
      <c r="U81" s="207">
        <f>'[3]West Penn Power LP_GSCMMS'!K9</f>
        <v>30.415608042377073</v>
      </c>
      <c r="V81" s="145"/>
    </row>
    <row r="82" spans="1:22" x14ac:dyDescent="0.2">
      <c r="A82" s="89">
        <f t="shared" si="3"/>
        <v>74</v>
      </c>
      <c r="B82" s="20"/>
      <c r="C82" s="20"/>
      <c r="D82" s="20"/>
      <c r="Q82" s="208"/>
      <c r="R82" s="208"/>
      <c r="S82" s="208"/>
      <c r="T82" s="208"/>
      <c r="U82" s="208"/>
    </row>
    <row r="83" spans="1:22" x14ac:dyDescent="0.2">
      <c r="A83" s="89">
        <f t="shared" si="3"/>
        <v>75</v>
      </c>
      <c r="B83" s="43">
        <v>3</v>
      </c>
      <c r="C83" s="43">
        <v>1</v>
      </c>
      <c r="D83" s="38" t="s">
        <v>252</v>
      </c>
      <c r="E83" s="44" t="s">
        <v>119</v>
      </c>
      <c r="F83" s="44" t="s">
        <v>31</v>
      </c>
      <c r="G83" s="44" t="s">
        <v>120</v>
      </c>
      <c r="H83" s="44" t="s">
        <v>32</v>
      </c>
      <c r="I83" s="44" t="s">
        <v>32</v>
      </c>
      <c r="J83" s="44" t="s">
        <v>33</v>
      </c>
      <c r="K83" s="44" t="s">
        <v>121</v>
      </c>
      <c r="L83" s="40">
        <v>1117</v>
      </c>
      <c r="M83" s="41">
        <v>41339</v>
      </c>
      <c r="N83" s="40" t="s">
        <v>122</v>
      </c>
      <c r="O83" s="42">
        <f>EDATE(O46,1)</f>
        <v>42217</v>
      </c>
      <c r="P83" s="40">
        <v>20</v>
      </c>
      <c r="Q83" s="207">
        <f>'[3]AECO LP_10V1_SMS'!G10</f>
        <v>50.979589175024294</v>
      </c>
      <c r="R83" s="207">
        <f>'[3]AECO LP_10V1_SMS'!H10</f>
        <v>50.311085319521432</v>
      </c>
      <c r="S83" s="207">
        <f>'[3]AECO LP_10V1_SMS'!I10</f>
        <v>49.336675571238899</v>
      </c>
      <c r="T83" s="207">
        <f>'[3]AECO LP_10V1_SMS'!J10</f>
        <v>48.850945720230513</v>
      </c>
      <c r="U83" s="207">
        <f>'[3]AECO LP_10V1_SMS'!K10</f>
        <v>49.334255021721184</v>
      </c>
      <c r="V83" s="145"/>
    </row>
    <row r="84" spans="1:22" x14ac:dyDescent="0.2">
      <c r="A84" s="89">
        <f t="shared" si="3"/>
        <v>76</v>
      </c>
      <c r="B84" s="43">
        <v>3</v>
      </c>
      <c r="C84" s="43">
        <v>2</v>
      </c>
      <c r="D84" s="38" t="s">
        <v>253</v>
      </c>
      <c r="E84" s="44" t="s">
        <v>124</v>
      </c>
      <c r="F84" s="44" t="s">
        <v>31</v>
      </c>
      <c r="G84" s="44" t="s">
        <v>120</v>
      </c>
      <c r="H84" s="44" t="s">
        <v>32</v>
      </c>
      <c r="I84" s="44" t="s">
        <v>32</v>
      </c>
      <c r="J84" s="44" t="s">
        <v>34</v>
      </c>
      <c r="K84" s="44" t="s">
        <v>125</v>
      </c>
      <c r="L84" s="40">
        <v>1118</v>
      </c>
      <c r="M84" s="41">
        <v>41339</v>
      </c>
      <c r="N84" s="40" t="s">
        <v>122</v>
      </c>
      <c r="O84" s="42">
        <f>O83</f>
        <v>42217</v>
      </c>
      <c r="P84" s="40">
        <v>20</v>
      </c>
      <c r="Q84" s="207">
        <f>'[3]AECO LP_14V1_MMS'!G10</f>
        <v>50.860542648427106</v>
      </c>
      <c r="R84" s="207">
        <f>'[3]AECO LP_14V1_MMS'!H10</f>
        <v>50.275950520244137</v>
      </c>
      <c r="S84" s="207">
        <f>'[3]AECO LP_14V1_MMS'!I10</f>
        <v>49.223151743396755</v>
      </c>
      <c r="T84" s="207">
        <f>'[3]AECO LP_14V1_MMS'!J10</f>
        <v>48.791515139575125</v>
      </c>
      <c r="U84" s="207">
        <f>'[3]AECO LP_14V1_MMS'!K10</f>
        <v>48.463889103566686</v>
      </c>
      <c r="V84" s="145"/>
    </row>
    <row r="85" spans="1:22" x14ac:dyDescent="0.2">
      <c r="A85" s="89">
        <f t="shared" si="3"/>
        <v>77</v>
      </c>
      <c r="B85" s="43">
        <v>3</v>
      </c>
      <c r="C85" s="43">
        <v>3</v>
      </c>
      <c r="D85" s="38" t="s">
        <v>254</v>
      </c>
      <c r="E85" s="44" t="s">
        <v>127</v>
      </c>
      <c r="F85" s="44" t="s">
        <v>20</v>
      </c>
      <c r="G85" s="44" t="s">
        <v>120</v>
      </c>
      <c r="H85" s="44" t="s">
        <v>63</v>
      </c>
      <c r="I85" s="44" t="s">
        <v>128</v>
      </c>
      <c r="J85" s="44" t="s">
        <v>15</v>
      </c>
      <c r="K85" s="44" t="s">
        <v>129</v>
      </c>
      <c r="L85" s="40">
        <v>1119</v>
      </c>
      <c r="M85" s="41">
        <v>41339</v>
      </c>
      <c r="N85" s="40" t="s">
        <v>122</v>
      </c>
      <c r="O85" s="42">
        <f t="shared" ref="O85:O118" si="4">O84</f>
        <v>42217</v>
      </c>
      <c r="P85" s="40">
        <v>20</v>
      </c>
      <c r="Q85" s="207">
        <f>'[3]AEP_OH_CS - test CSGS1MS'!G10</f>
        <v>22.782610079327036</v>
      </c>
      <c r="R85" s="207">
        <f>'[3]AEP_OH_CS - test CSGS1MS'!H10</f>
        <v>22.00524097998083</v>
      </c>
      <c r="S85" s="207">
        <f>'[3]AEP_OH_CS - test CSGS1MS'!I10</f>
        <v>19.687493972609552</v>
      </c>
      <c r="T85" s="207">
        <f>'[3]AEP_OH_CS - test CSGS1MS'!J10</f>
        <v>19.29738036102469</v>
      </c>
      <c r="U85" s="207">
        <f>'[3]AEP_OH_CS - test CSGS1MS'!K10</f>
        <v>20.40243060811796</v>
      </c>
      <c r="V85" s="145"/>
    </row>
    <row r="86" spans="1:22" x14ac:dyDescent="0.2">
      <c r="A86" s="89">
        <f t="shared" si="3"/>
        <v>78</v>
      </c>
      <c r="B86" s="43">
        <v>3</v>
      </c>
      <c r="C86" s="43">
        <v>4</v>
      </c>
      <c r="D86" s="38" t="s">
        <v>255</v>
      </c>
      <c r="E86" s="44" t="s">
        <v>131</v>
      </c>
      <c r="F86" s="44" t="s">
        <v>20</v>
      </c>
      <c r="G86" s="44" t="s">
        <v>120</v>
      </c>
      <c r="H86" s="44" t="s">
        <v>63</v>
      </c>
      <c r="I86" s="44" t="s">
        <v>128</v>
      </c>
      <c r="J86" s="44" t="s">
        <v>21</v>
      </c>
      <c r="K86" s="44" t="s">
        <v>132</v>
      </c>
      <c r="L86" s="40">
        <v>1120</v>
      </c>
      <c r="M86" s="41">
        <v>41339</v>
      </c>
      <c r="N86" s="40" t="s">
        <v>122</v>
      </c>
      <c r="O86" s="42">
        <f t="shared" si="4"/>
        <v>42217</v>
      </c>
      <c r="P86" s="40">
        <v>20</v>
      </c>
      <c r="Q86" s="207">
        <f>'[3]AEP_OH_CS - test CSGS2UMS'!G10</f>
        <v>23.773571774002047</v>
      </c>
      <c r="R86" s="207">
        <f>'[3]AEP_OH_CS - test CSGS2UMS'!H10</f>
        <v>22.095096566879555</v>
      </c>
      <c r="S86" s="207">
        <f>'[3]AEP_OH_CS - test CSGS2UMS'!I10</f>
        <v>19.995902943870686</v>
      </c>
      <c r="T86" s="207">
        <f>'[3]AEP_OH_CS - test CSGS2UMS'!J10</f>
        <v>19.382576083460407</v>
      </c>
      <c r="U86" s="207">
        <f>'[3]AEP_OH_CS - test CSGS2UMS'!K10</f>
        <v>20.485769654228164</v>
      </c>
      <c r="V86" s="145"/>
    </row>
    <row r="87" spans="1:22" x14ac:dyDescent="0.2">
      <c r="A87" s="89">
        <f t="shared" si="3"/>
        <v>79</v>
      </c>
      <c r="B87" s="43">
        <v>3</v>
      </c>
      <c r="C87" s="43">
        <v>5</v>
      </c>
      <c r="D87" s="38" t="s">
        <v>256</v>
      </c>
      <c r="E87" s="44" t="s">
        <v>134</v>
      </c>
      <c r="F87" s="44" t="s">
        <v>20</v>
      </c>
      <c r="G87" s="44" t="s">
        <v>120</v>
      </c>
      <c r="H87" s="44" t="s">
        <v>63</v>
      </c>
      <c r="I87" s="44" t="s">
        <v>128</v>
      </c>
      <c r="J87" s="44" t="s">
        <v>16</v>
      </c>
      <c r="K87" s="44" t="s">
        <v>135</v>
      </c>
      <c r="L87" s="40">
        <v>1121</v>
      </c>
      <c r="M87" s="41">
        <v>41339</v>
      </c>
      <c r="N87" s="40" t="s">
        <v>122</v>
      </c>
      <c r="O87" s="42">
        <f t="shared" si="4"/>
        <v>42217</v>
      </c>
      <c r="P87" s="40">
        <v>20</v>
      </c>
      <c r="Q87" s="207">
        <f>'[3]AEP_OH_CS - test CSGS3UMS'!G10</f>
        <v>23.537124164528564</v>
      </c>
      <c r="R87" s="207">
        <f>'[3]AEP_OH_CS - test CSGS3UMS'!H10</f>
        <v>22.033726735282833</v>
      </c>
      <c r="S87" s="207">
        <f>'[3]AEP_OH_CS - test CSGS3UMS'!I10</f>
        <v>19.889697054518638</v>
      </c>
      <c r="T87" s="207">
        <f>'[3]AEP_OH_CS - test CSGS3UMS'!J10</f>
        <v>19.316354808304048</v>
      </c>
      <c r="U87" s="207">
        <f>'[3]AEP_OH_CS - test CSGS3UMS'!K10</f>
        <v>20.415741353734994</v>
      </c>
      <c r="V87" s="145"/>
    </row>
    <row r="88" spans="1:22" x14ac:dyDescent="0.2">
      <c r="A88" s="89">
        <f t="shared" si="3"/>
        <v>80</v>
      </c>
      <c r="B88" s="43">
        <v>3</v>
      </c>
      <c r="C88" s="43">
        <v>6</v>
      </c>
      <c r="D88" s="38" t="s">
        <v>257</v>
      </c>
      <c r="E88" s="44" t="s">
        <v>137</v>
      </c>
      <c r="F88" s="44" t="s">
        <v>25</v>
      </c>
      <c r="G88" s="44" t="s">
        <v>138</v>
      </c>
      <c r="H88" s="44" t="s">
        <v>139</v>
      </c>
      <c r="I88" s="44" t="s">
        <v>29</v>
      </c>
      <c r="J88" s="44" t="s">
        <v>30</v>
      </c>
      <c r="K88" s="44" t="s">
        <v>140</v>
      </c>
      <c r="L88" s="40">
        <v>1122</v>
      </c>
      <c r="M88" s="41">
        <v>41339</v>
      </c>
      <c r="N88" s="40" t="s">
        <v>122</v>
      </c>
      <c r="O88" s="42">
        <f t="shared" si="4"/>
        <v>42217</v>
      </c>
      <c r="P88" s="40">
        <v>20</v>
      </c>
      <c r="Q88" s="207">
        <f>'[3]Ameren RateZnIII LP DS2HHMS'!G10</f>
        <v>31.973519950088892</v>
      </c>
      <c r="R88" s="207">
        <f>'[3]Ameren RateZnIII LP DS2HHMS'!H10</f>
        <v>32.306578370817761</v>
      </c>
      <c r="S88" s="207">
        <f>'[3]Ameren RateZnIII LP DS2HHMS'!I10</f>
        <v>33.417891680079585</v>
      </c>
      <c r="T88" s="207">
        <f>'[3]Ameren RateZnIII LP DS2HHMS'!J10</f>
        <v>33.920017861166876</v>
      </c>
      <c r="U88" s="207">
        <f>'[3]Ameren RateZnIII LP DS2HHMS'!K10</f>
        <v>35.121691875889695</v>
      </c>
      <c r="V88" s="145"/>
    </row>
    <row r="89" spans="1:22" x14ac:dyDescent="0.2">
      <c r="A89" s="89">
        <f t="shared" si="3"/>
        <v>81</v>
      </c>
      <c r="B89" s="43">
        <v>3</v>
      </c>
      <c r="C89" s="43">
        <v>7</v>
      </c>
      <c r="D89" s="38" t="s">
        <v>258</v>
      </c>
      <c r="E89" s="44" t="s">
        <v>142</v>
      </c>
      <c r="F89" s="44" t="s">
        <v>39</v>
      </c>
      <c r="G89" s="44" t="s">
        <v>120</v>
      </c>
      <c r="H89" s="44" t="s">
        <v>40</v>
      </c>
      <c r="I89" s="44" t="s">
        <v>40</v>
      </c>
      <c r="J89" s="44" t="s">
        <v>42</v>
      </c>
      <c r="K89" s="44" t="s">
        <v>135</v>
      </c>
      <c r="L89" s="40">
        <v>1124</v>
      </c>
      <c r="M89" s="41">
        <v>41339</v>
      </c>
      <c r="N89" s="40" t="s">
        <v>122</v>
      </c>
      <c r="O89" s="42">
        <f t="shared" si="4"/>
        <v>42217</v>
      </c>
      <c r="P89" s="40">
        <v>20</v>
      </c>
      <c r="Q89" s="207">
        <f>'[3]BGE LP_GLMS'!G10</f>
        <v>35.210298060966672</v>
      </c>
      <c r="R89" s="207">
        <f>'[3]BGE LP_GLMS'!H10</f>
        <v>35.239228954067976</v>
      </c>
      <c r="S89" s="207">
        <f>'[3]BGE LP_GLMS'!I10</f>
        <v>33.928507327900547</v>
      </c>
      <c r="T89" s="207">
        <f>'[3]BGE LP_GLMS'!J10</f>
        <v>33.59091877312769</v>
      </c>
      <c r="U89" s="207">
        <f>'[3]BGE LP_GLMS'!K10</f>
        <v>34.028912375339424</v>
      </c>
      <c r="V89" s="145"/>
    </row>
    <row r="90" spans="1:22" x14ac:dyDescent="0.2">
      <c r="A90" s="89">
        <f t="shared" si="3"/>
        <v>82</v>
      </c>
      <c r="B90" s="43">
        <v>3</v>
      </c>
      <c r="C90" s="43">
        <v>8</v>
      </c>
      <c r="D90" s="38" t="s">
        <v>259</v>
      </c>
      <c r="E90" s="44" t="s">
        <v>144</v>
      </c>
      <c r="F90" s="44" t="s">
        <v>39</v>
      </c>
      <c r="G90" s="44" t="s">
        <v>120</v>
      </c>
      <c r="H90" s="44" t="s">
        <v>40</v>
      </c>
      <c r="I90" s="44" t="s">
        <v>40</v>
      </c>
      <c r="J90" s="44" t="s">
        <v>41</v>
      </c>
      <c r="K90" s="44" t="s">
        <v>132</v>
      </c>
      <c r="L90" s="40">
        <v>1123</v>
      </c>
      <c r="M90" s="41">
        <v>41339</v>
      </c>
      <c r="N90" s="40" t="s">
        <v>122</v>
      </c>
      <c r="O90" s="42">
        <f t="shared" si="4"/>
        <v>42217</v>
      </c>
      <c r="P90" s="40">
        <v>20</v>
      </c>
      <c r="Q90" s="207">
        <f>'[3]BGE LP_GMS'!G10</f>
        <v>35.544555585466661</v>
      </c>
      <c r="R90" s="207">
        <f>'[3]BGE LP_GMS'!H10</f>
        <v>35.314120485066894</v>
      </c>
      <c r="S90" s="207">
        <f>'[3]BGE LP_GMS'!I10</f>
        <v>34.073051878830519</v>
      </c>
      <c r="T90" s="207">
        <f>'[3]BGE LP_GMS'!J10</f>
        <v>33.662259140128931</v>
      </c>
      <c r="U90" s="207">
        <f>'[3]BGE LP_GMS'!K10</f>
        <v>34.145202757506489</v>
      </c>
      <c r="V90" s="145"/>
    </row>
    <row r="91" spans="1:22" x14ac:dyDescent="0.2">
      <c r="A91" s="89">
        <f t="shared" si="3"/>
        <v>83</v>
      </c>
      <c r="B91" s="43">
        <v>3</v>
      </c>
      <c r="C91" s="43">
        <v>9</v>
      </c>
      <c r="D91" s="38" t="s">
        <v>260</v>
      </c>
      <c r="E91" s="44" t="s">
        <v>146</v>
      </c>
      <c r="F91" s="44" t="s">
        <v>39</v>
      </c>
      <c r="G91" s="44" t="s">
        <v>120</v>
      </c>
      <c r="H91" s="44" t="s">
        <v>40</v>
      </c>
      <c r="I91" s="44" t="s">
        <v>40</v>
      </c>
      <c r="J91" s="44" t="s">
        <v>7</v>
      </c>
      <c r="K91" s="44" t="s">
        <v>129</v>
      </c>
      <c r="L91" s="40">
        <v>1125</v>
      </c>
      <c r="M91" s="41">
        <v>41339</v>
      </c>
      <c r="N91" s="40" t="s">
        <v>122</v>
      </c>
      <c r="O91" s="42">
        <f t="shared" si="4"/>
        <v>42217</v>
      </c>
      <c r="P91" s="40">
        <v>20</v>
      </c>
      <c r="Q91" s="207">
        <f>'[3]BGE LP_GSMS'!G10</f>
        <v>36.107866442312556</v>
      </c>
      <c r="R91" s="207">
        <f>'[3]BGE LP_GSMS'!H10</f>
        <v>36.246019134254382</v>
      </c>
      <c r="S91" s="207">
        <f>'[3]BGE LP_GSMS'!I10</f>
        <v>34.898462248083895</v>
      </c>
      <c r="T91" s="207">
        <f>'[3]BGE LP_GSMS'!J10</f>
        <v>34.59930486691519</v>
      </c>
      <c r="U91" s="207">
        <f>'[3]BGE LP_GSMS'!K10</f>
        <v>35.002283072173917</v>
      </c>
      <c r="V91" s="145"/>
    </row>
    <row r="92" spans="1:22" x14ac:dyDescent="0.2">
      <c r="A92" s="89">
        <f t="shared" si="3"/>
        <v>84</v>
      </c>
      <c r="B92" s="43">
        <v>3</v>
      </c>
      <c r="C92" s="43">
        <v>10</v>
      </c>
      <c r="D92" s="38" t="s">
        <v>261</v>
      </c>
      <c r="E92" s="44" t="s">
        <v>148</v>
      </c>
      <c r="F92" s="44" t="s">
        <v>25</v>
      </c>
      <c r="G92" s="44" t="s">
        <v>120</v>
      </c>
      <c r="H92" s="44" t="s">
        <v>149</v>
      </c>
      <c r="I92" s="44" t="s">
        <v>26</v>
      </c>
      <c r="J92" s="44" t="s">
        <v>27</v>
      </c>
      <c r="K92" s="44" t="s">
        <v>150</v>
      </c>
      <c r="L92" s="40">
        <v>1126</v>
      </c>
      <c r="M92" s="41">
        <v>41339</v>
      </c>
      <c r="N92" s="40" t="s">
        <v>122</v>
      </c>
      <c r="O92" s="42">
        <f t="shared" si="4"/>
        <v>42217</v>
      </c>
      <c r="P92" s="40">
        <v>20</v>
      </c>
      <c r="Q92" s="207">
        <f>'[3]ComEd - test LP_28MS'!G10</f>
        <v>31.019532642551646</v>
      </c>
      <c r="R92" s="207">
        <f>'[3]ComEd - test LP_28MS'!H10</f>
        <v>29.877164438937651</v>
      </c>
      <c r="S92" s="207">
        <f>'[3]ComEd - test LP_28MS'!I10</f>
        <v>27.714950999774665</v>
      </c>
      <c r="T92" s="207">
        <f>'[3]ComEd - test LP_28MS'!J10</f>
        <v>27.297432609736415</v>
      </c>
      <c r="U92" s="207">
        <f>'[3]ComEd - test LP_28MS'!K10</f>
        <v>28.499185291661551</v>
      </c>
      <c r="V92" s="145"/>
    </row>
    <row r="93" spans="1:22" x14ac:dyDescent="0.2">
      <c r="A93" s="89">
        <f t="shared" si="3"/>
        <v>85</v>
      </c>
      <c r="B93" s="43">
        <v>3</v>
      </c>
      <c r="C93" s="43">
        <v>11</v>
      </c>
      <c r="D93" s="38" t="s">
        <v>262</v>
      </c>
      <c r="E93" s="44" t="s">
        <v>152</v>
      </c>
      <c r="F93" s="44" t="s">
        <v>25</v>
      </c>
      <c r="G93" s="44" t="s">
        <v>120</v>
      </c>
      <c r="H93" s="44" t="s">
        <v>149</v>
      </c>
      <c r="I93" s="44" t="s">
        <v>26</v>
      </c>
      <c r="J93" s="44" t="s">
        <v>28</v>
      </c>
      <c r="K93" s="44" t="s">
        <v>153</v>
      </c>
      <c r="L93" s="40">
        <v>1127</v>
      </c>
      <c r="M93" s="41">
        <v>41339</v>
      </c>
      <c r="N93" s="40" t="s">
        <v>122</v>
      </c>
      <c r="O93" s="42">
        <f t="shared" si="4"/>
        <v>42217</v>
      </c>
      <c r="P93" s="40">
        <v>20</v>
      </c>
      <c r="Q93" s="207">
        <f>'[3]ComEd - test LP_29MS'!G10</f>
        <v>30.063180351833829</v>
      </c>
      <c r="R93" s="207">
        <f>'[3]ComEd - test LP_29MS'!H10</f>
        <v>28.981134493901397</v>
      </c>
      <c r="S93" s="207">
        <f>'[3]ComEd - test LP_29MS'!I10</f>
        <v>26.794511894037093</v>
      </c>
      <c r="T93" s="207">
        <f>'[3]ComEd - test LP_29MS'!J10</f>
        <v>26.396295482313473</v>
      </c>
      <c r="U93" s="207">
        <f>'[3]ComEd - test LP_29MS'!K10</f>
        <v>27.596906931993786</v>
      </c>
      <c r="V93" s="145"/>
    </row>
    <row r="94" spans="1:22" x14ac:dyDescent="0.2">
      <c r="A94" s="89">
        <f t="shared" si="3"/>
        <v>86</v>
      </c>
      <c r="B94" s="43">
        <v>3</v>
      </c>
      <c r="C94" s="43">
        <v>12</v>
      </c>
      <c r="D94" s="38" t="s">
        <v>263</v>
      </c>
      <c r="E94" s="44" t="s">
        <v>155</v>
      </c>
      <c r="F94" s="44" t="s">
        <v>20</v>
      </c>
      <c r="G94" s="44" t="s">
        <v>120</v>
      </c>
      <c r="H94" s="44" t="s">
        <v>105</v>
      </c>
      <c r="I94" s="44" t="s">
        <v>156</v>
      </c>
      <c r="J94" s="44" t="s">
        <v>22</v>
      </c>
      <c r="K94" s="44" t="s">
        <v>157</v>
      </c>
      <c r="L94" s="40">
        <v>1128</v>
      </c>
      <c r="M94" s="41">
        <v>41339</v>
      </c>
      <c r="N94" s="40" t="s">
        <v>122</v>
      </c>
      <c r="O94" s="42">
        <f t="shared" si="4"/>
        <v>42217</v>
      </c>
      <c r="P94" s="40">
        <v>20</v>
      </c>
      <c r="Q94" s="207">
        <f>[3]DAY_RC_843MS!G10</f>
        <v>22.1402621230081</v>
      </c>
      <c r="R94" s="207">
        <f>[3]DAY_RC_843MS!H10</f>
        <v>21.103430847990623</v>
      </c>
      <c r="S94" s="207">
        <f>[3]DAY_RC_843MS!I10</f>
        <v>18.761791764291747</v>
      </c>
      <c r="T94" s="207">
        <f>[3]DAY_RC_843MS!J10</f>
        <v>18.325794027481404</v>
      </c>
      <c r="U94" s="207">
        <f>[3]DAY_RC_843MS!K10</f>
        <v>19.423692922393034</v>
      </c>
      <c r="V94" s="145"/>
    </row>
    <row r="95" spans="1:22" x14ac:dyDescent="0.2">
      <c r="A95" s="89">
        <f t="shared" si="3"/>
        <v>87</v>
      </c>
      <c r="B95" s="43">
        <v>3</v>
      </c>
      <c r="C95" s="43">
        <v>13</v>
      </c>
      <c r="D95" s="38" t="s">
        <v>264</v>
      </c>
      <c r="E95" s="44" t="s">
        <v>159</v>
      </c>
      <c r="F95" s="44" t="s">
        <v>39</v>
      </c>
      <c r="G95" s="44" t="s">
        <v>120</v>
      </c>
      <c r="H95" s="44" t="s">
        <v>43</v>
      </c>
      <c r="I95" s="44" t="s">
        <v>43</v>
      </c>
      <c r="J95" s="44" t="s">
        <v>7</v>
      </c>
      <c r="K95" s="44" t="s">
        <v>140</v>
      </c>
      <c r="L95" s="40">
        <v>1129</v>
      </c>
      <c r="M95" s="41">
        <v>41339</v>
      </c>
      <c r="N95" s="40" t="s">
        <v>122</v>
      </c>
      <c r="O95" s="42">
        <f t="shared" si="4"/>
        <v>42217</v>
      </c>
      <c r="P95" s="40">
        <v>20</v>
      </c>
      <c r="Q95" s="207">
        <f>'[3]Delmarva MD LP_MDGS_MMS'!G10</f>
        <v>39.536917805727242</v>
      </c>
      <c r="R95" s="207">
        <f>'[3]Delmarva MD LP_MDGS_MMS'!H10</f>
        <v>38.852183062452617</v>
      </c>
      <c r="S95" s="207">
        <f>'[3]Delmarva MD LP_MDGS_MMS'!I10</f>
        <v>37.867118428100412</v>
      </c>
      <c r="T95" s="207">
        <f>'[3]Delmarva MD LP_MDGS_MMS'!J10</f>
        <v>37.367974213460954</v>
      </c>
      <c r="U95" s="207">
        <f>'[3]Delmarva MD LP_MDGS_MMS'!K10</f>
        <v>38.089507469767483</v>
      </c>
      <c r="V95" s="145"/>
    </row>
    <row r="96" spans="1:22" x14ac:dyDescent="0.2">
      <c r="A96" s="89">
        <f t="shared" si="3"/>
        <v>88</v>
      </c>
      <c r="B96" s="43">
        <v>3</v>
      </c>
      <c r="C96" s="43">
        <v>14</v>
      </c>
      <c r="D96" s="38" t="s">
        <v>265</v>
      </c>
      <c r="E96" s="44" t="s">
        <v>161</v>
      </c>
      <c r="F96" s="44" t="s">
        <v>6</v>
      </c>
      <c r="G96" s="44" t="s">
        <v>120</v>
      </c>
      <c r="H96" s="44" t="s">
        <v>48</v>
      </c>
      <c r="I96" s="44" t="s">
        <v>48</v>
      </c>
      <c r="J96" s="44" t="s">
        <v>7</v>
      </c>
      <c r="K96" s="44" t="s">
        <v>140</v>
      </c>
      <c r="L96" s="40">
        <v>1130</v>
      </c>
      <c r="M96" s="41">
        <v>41339</v>
      </c>
      <c r="N96" s="40" t="s">
        <v>122</v>
      </c>
      <c r="O96" s="42">
        <f t="shared" si="4"/>
        <v>42217</v>
      </c>
      <c r="P96" s="40">
        <v>20</v>
      </c>
      <c r="Q96" s="207">
        <f>'[3]DQE LP_GSGM_MMS'!G10</f>
        <v>34.589466508199834</v>
      </c>
      <c r="R96" s="207">
        <f>'[3]DQE LP_GSGM_MMS'!H10</f>
        <v>33.567749445065708</v>
      </c>
      <c r="S96" s="207">
        <f>'[3]DQE LP_GSGM_MMS'!I10</f>
        <v>31.359868381259169</v>
      </c>
      <c r="T96" s="207">
        <f>'[3]DQE LP_GSGM_MMS'!J10</f>
        <v>30.977133564636592</v>
      </c>
      <c r="U96" s="207">
        <f>'[3]DQE LP_GSGM_MMS'!K10</f>
        <v>32.176542810759152</v>
      </c>
      <c r="V96" s="145"/>
    </row>
    <row r="97" spans="1:22" x14ac:dyDescent="0.2">
      <c r="A97" s="89">
        <f t="shared" si="3"/>
        <v>89</v>
      </c>
      <c r="B97" s="43">
        <v>3</v>
      </c>
      <c r="C97" s="43">
        <v>15</v>
      </c>
      <c r="D97" s="38" t="s">
        <v>266</v>
      </c>
      <c r="E97" s="44" t="s">
        <v>163</v>
      </c>
      <c r="F97" s="44" t="s">
        <v>20</v>
      </c>
      <c r="G97" s="44" t="s">
        <v>120</v>
      </c>
      <c r="H97" s="44" t="s">
        <v>23</v>
      </c>
      <c r="I97" s="44" t="s">
        <v>164</v>
      </c>
      <c r="J97" s="44" t="s">
        <v>24</v>
      </c>
      <c r="K97" s="44" t="s">
        <v>140</v>
      </c>
      <c r="L97" s="40">
        <v>1131</v>
      </c>
      <c r="M97" s="41">
        <v>41339</v>
      </c>
      <c r="N97" s="40" t="s">
        <v>122</v>
      </c>
      <c r="O97" s="42">
        <f t="shared" si="4"/>
        <v>42217</v>
      </c>
      <c r="P97" s="40">
        <v>20</v>
      </c>
      <c r="Q97" s="207">
        <f>[3]Duke_OH_RC_DS01MS!G10</f>
        <v>22.526783265339276</v>
      </c>
      <c r="R97" s="207">
        <f>[3]Duke_OH_RC_DS01MS!H10</f>
        <v>20.908472971751735</v>
      </c>
      <c r="S97" s="207">
        <f>[3]Duke_OH_RC_DS01MS!I10</f>
        <v>18.751003021744154</v>
      </c>
      <c r="T97" s="207">
        <f>[3]Duke_OH_RC_DS01MS!J10</f>
        <v>18.148342207070915</v>
      </c>
      <c r="U97" s="207">
        <f>[3]Duke_OH_RC_DS01MS!K10</f>
        <v>19.145160684067694</v>
      </c>
      <c r="V97" s="145"/>
    </row>
    <row r="98" spans="1:22" x14ac:dyDescent="0.2">
      <c r="A98" s="89">
        <f t="shared" si="3"/>
        <v>90</v>
      </c>
      <c r="B98" s="43">
        <v>3</v>
      </c>
      <c r="C98" s="43">
        <v>16</v>
      </c>
      <c r="D98" s="38" t="s">
        <v>267</v>
      </c>
      <c r="E98" s="44" t="s">
        <v>166</v>
      </c>
      <c r="F98" s="44" t="s">
        <v>20</v>
      </c>
      <c r="G98" s="44" t="s">
        <v>120</v>
      </c>
      <c r="H98" s="44" t="s">
        <v>64</v>
      </c>
      <c r="I98" s="44" t="s">
        <v>167</v>
      </c>
      <c r="J98" s="44" t="s">
        <v>7</v>
      </c>
      <c r="K98" s="44" t="s">
        <v>140</v>
      </c>
      <c r="L98" s="40">
        <v>1132</v>
      </c>
      <c r="M98" s="41">
        <v>41339</v>
      </c>
      <c r="N98" s="40" t="s">
        <v>122</v>
      </c>
      <c r="O98" s="42">
        <f t="shared" si="4"/>
        <v>42217</v>
      </c>
      <c r="P98" s="40">
        <v>20</v>
      </c>
      <c r="Q98" s="207">
        <f>'[3]FE_OE - test RC_GSFMS'!G10</f>
        <v>41.145318892340335</v>
      </c>
      <c r="R98" s="207">
        <f>'[3]FE_OE - test RC_GSFMS'!H10</f>
        <v>37.853353860981308</v>
      </c>
      <c r="S98" s="207">
        <f>'[3]FE_OE - test RC_GSFMS'!I10</f>
        <v>31.788753837777602</v>
      </c>
      <c r="T98" s="207">
        <f>'[3]FE_OE - test RC_GSFMS'!J10</f>
        <v>29.234855605316259</v>
      </c>
      <c r="U98" s="207">
        <f>'[3]FE_OE - test RC_GSFMS'!K10</f>
        <v>28.36752472429637</v>
      </c>
      <c r="V98" s="145"/>
    </row>
    <row r="99" spans="1:22" x14ac:dyDescent="0.2">
      <c r="A99" s="89">
        <f t="shared" si="3"/>
        <v>91</v>
      </c>
      <c r="B99" s="43">
        <v>3</v>
      </c>
      <c r="C99" s="43">
        <v>17</v>
      </c>
      <c r="D99" s="38" t="s">
        <v>268</v>
      </c>
      <c r="E99" s="44" t="s">
        <v>169</v>
      </c>
      <c r="F99" s="44" t="s">
        <v>31</v>
      </c>
      <c r="G99" s="44" t="s">
        <v>120</v>
      </c>
      <c r="H99" s="44" t="s">
        <v>35</v>
      </c>
      <c r="I99" s="44" t="s">
        <v>35</v>
      </c>
      <c r="J99" s="44" t="s">
        <v>9</v>
      </c>
      <c r="K99" s="44" t="s">
        <v>135</v>
      </c>
      <c r="L99" s="40">
        <v>1133</v>
      </c>
      <c r="M99" s="41">
        <v>41339</v>
      </c>
      <c r="N99" s="40" t="s">
        <v>122</v>
      </c>
      <c r="O99" s="42">
        <f t="shared" si="4"/>
        <v>42217</v>
      </c>
      <c r="P99" s="40">
        <v>20</v>
      </c>
      <c r="Q99" s="207">
        <f>'[3]JCPL LP_GSCLMS'!G10</f>
        <v>47.554733489967369</v>
      </c>
      <c r="R99" s="207">
        <f>'[3]JCPL LP_GSCLMS'!H10</f>
        <v>47.523286802365035</v>
      </c>
      <c r="S99" s="207">
        <f>'[3]JCPL LP_GSCLMS'!I10</f>
        <v>46.287196164161351</v>
      </c>
      <c r="T99" s="207">
        <f>'[3]JCPL LP_GSCLMS'!J10</f>
        <v>46.128959234575241</v>
      </c>
      <c r="U99" s="207">
        <f>'[3]JCPL LP_GSCLMS'!K10</f>
        <v>47.018530424054852</v>
      </c>
      <c r="V99" s="145"/>
    </row>
    <row r="100" spans="1:22" x14ac:dyDescent="0.2">
      <c r="A100" s="89">
        <f t="shared" si="3"/>
        <v>92</v>
      </c>
      <c r="B100" s="43">
        <v>3</v>
      </c>
      <c r="C100" s="43">
        <v>18</v>
      </c>
      <c r="D100" s="38" t="s">
        <v>269</v>
      </c>
      <c r="E100" s="44" t="s">
        <v>171</v>
      </c>
      <c r="F100" s="44" t="s">
        <v>31</v>
      </c>
      <c r="G100" s="44" t="s">
        <v>120</v>
      </c>
      <c r="H100" s="44" t="s">
        <v>35</v>
      </c>
      <c r="I100" s="44" t="s">
        <v>35</v>
      </c>
      <c r="J100" s="44" t="s">
        <v>10</v>
      </c>
      <c r="K100" s="44" t="s">
        <v>132</v>
      </c>
      <c r="L100" s="40">
        <v>1134</v>
      </c>
      <c r="M100" s="41">
        <v>41339</v>
      </c>
      <c r="N100" s="40" t="s">
        <v>122</v>
      </c>
      <c r="O100" s="42">
        <f t="shared" si="4"/>
        <v>42217</v>
      </c>
      <c r="P100" s="40">
        <v>20</v>
      </c>
      <c r="Q100" s="207">
        <f>'[3]JCPL LP_GSCMMS'!G10</f>
        <v>51.627172590202072</v>
      </c>
      <c r="R100" s="207">
        <f>'[3]JCPL LP_GSCMMS'!H10</f>
        <v>48.510865889172223</v>
      </c>
      <c r="S100" s="207">
        <f>'[3]JCPL LP_GSCMMS'!I10</f>
        <v>48.124139405771857</v>
      </c>
      <c r="T100" s="207">
        <f>'[3]JCPL LP_GSCMMS'!J10</f>
        <v>47.124446918191147</v>
      </c>
      <c r="U100" s="207">
        <f>'[3]JCPL LP_GSCMMS'!K10</f>
        <v>48.023861060801352</v>
      </c>
      <c r="V100" s="145"/>
    </row>
    <row r="101" spans="1:22" x14ac:dyDescent="0.2">
      <c r="A101" s="89">
        <f t="shared" si="3"/>
        <v>93</v>
      </c>
      <c r="B101" s="43">
        <v>3</v>
      </c>
      <c r="C101" s="43">
        <v>19</v>
      </c>
      <c r="D101" s="38" t="s">
        <v>270</v>
      </c>
      <c r="E101" s="44" t="s">
        <v>173</v>
      </c>
      <c r="F101" s="44" t="s">
        <v>31</v>
      </c>
      <c r="G101" s="44" t="s">
        <v>120</v>
      </c>
      <c r="H101" s="44" t="s">
        <v>35</v>
      </c>
      <c r="I101" s="44" t="s">
        <v>35</v>
      </c>
      <c r="J101" s="44" t="s">
        <v>11</v>
      </c>
      <c r="K101" s="44" t="s">
        <v>129</v>
      </c>
      <c r="L101" s="40">
        <v>1135</v>
      </c>
      <c r="M101" s="41">
        <v>41339</v>
      </c>
      <c r="N101" s="40" t="s">
        <v>122</v>
      </c>
      <c r="O101" s="42">
        <f t="shared" si="4"/>
        <v>42217</v>
      </c>
      <c r="P101" s="40">
        <v>20</v>
      </c>
      <c r="Q101" s="207">
        <f>'[3]JCPL LP_GSCSMS'!G10</f>
        <v>48.970289193135784</v>
      </c>
      <c r="R101" s="207">
        <f>'[3]JCPL LP_GSCSMS'!H10</f>
        <v>48.711840787108066</v>
      </c>
      <c r="S101" s="207">
        <f>'[3]JCPL LP_GSCSMS'!I10</f>
        <v>47.521594407774153</v>
      </c>
      <c r="T101" s="207">
        <f>'[3]JCPL LP_GSCSMS'!J10</f>
        <v>47.311953324880292</v>
      </c>
      <c r="U101" s="207">
        <f>'[3]JCPL LP_GSCSMS'!K10</f>
        <v>48.185114742570747</v>
      </c>
      <c r="V101" s="145"/>
    </row>
    <row r="102" spans="1:22" x14ac:dyDescent="0.2">
      <c r="A102" s="89">
        <f t="shared" si="3"/>
        <v>94</v>
      </c>
      <c r="B102" s="43">
        <v>3</v>
      </c>
      <c r="C102" s="43">
        <v>20</v>
      </c>
      <c r="D102" s="38" t="s">
        <v>271</v>
      </c>
      <c r="E102" s="44" t="s">
        <v>175</v>
      </c>
      <c r="F102" s="44" t="s">
        <v>6</v>
      </c>
      <c r="G102" s="44" t="s">
        <v>120</v>
      </c>
      <c r="H102" s="44" t="s">
        <v>176</v>
      </c>
      <c r="I102" s="44" t="s">
        <v>177</v>
      </c>
      <c r="J102" s="44" t="s">
        <v>9</v>
      </c>
      <c r="K102" s="44" t="s">
        <v>135</v>
      </c>
      <c r="L102" s="40">
        <v>1137</v>
      </c>
      <c r="M102" s="41">
        <v>41339</v>
      </c>
      <c r="N102" s="40" t="s">
        <v>122</v>
      </c>
      <c r="O102" s="42">
        <f t="shared" si="4"/>
        <v>42217</v>
      </c>
      <c r="P102" s="40">
        <v>20</v>
      </c>
      <c r="Q102" s="207">
        <f>'[3]MetEd RC_GSLFMS'!G10</f>
        <v>29.65766342535613</v>
      </c>
      <c r="R102" s="207">
        <f>'[3]MetEd RC_GSLFMS'!H10</f>
        <v>28.990411338885085</v>
      </c>
      <c r="S102" s="207">
        <f>'[3]MetEd RC_GSLFMS'!I10</f>
        <v>27.76619471513601</v>
      </c>
      <c r="T102" s="207">
        <f>'[3]MetEd RC_GSLFMS'!J10</f>
        <v>27.244771614010897</v>
      </c>
      <c r="U102" s="207">
        <f>'[3]MetEd RC_GSLFMS'!K10</f>
        <v>27.504190336451703</v>
      </c>
      <c r="V102" s="145"/>
    </row>
    <row r="103" spans="1:22" x14ac:dyDescent="0.2">
      <c r="A103" s="89">
        <f t="shared" si="3"/>
        <v>95</v>
      </c>
      <c r="B103" s="43">
        <v>3</v>
      </c>
      <c r="C103" s="43">
        <v>21</v>
      </c>
      <c r="D103" s="38" t="s">
        <v>272</v>
      </c>
      <c r="E103" s="44" t="s">
        <v>179</v>
      </c>
      <c r="F103" s="44" t="s">
        <v>6</v>
      </c>
      <c r="G103" s="44" t="s">
        <v>120</v>
      </c>
      <c r="H103" s="44" t="s">
        <v>176</v>
      </c>
      <c r="I103" s="44" t="s">
        <v>177</v>
      </c>
      <c r="J103" s="44" t="s">
        <v>10</v>
      </c>
      <c r="K103" s="44" t="s">
        <v>132</v>
      </c>
      <c r="L103" s="40">
        <v>1136</v>
      </c>
      <c r="M103" s="41">
        <v>41339</v>
      </c>
      <c r="N103" s="40" t="s">
        <v>122</v>
      </c>
      <c r="O103" s="42">
        <f t="shared" si="4"/>
        <v>42217</v>
      </c>
      <c r="P103" s="40">
        <v>20</v>
      </c>
      <c r="Q103" s="207">
        <f>'[3]MetEd RC_GSDFMS'!G10</f>
        <v>30.800354742240536</v>
      </c>
      <c r="R103" s="207">
        <f>'[3]MetEd RC_GSDFMS'!H10</f>
        <v>30.076813367335859</v>
      </c>
      <c r="S103" s="207">
        <f>'[3]MetEd RC_GSDFMS'!I10</f>
        <v>28.873976525659856</v>
      </c>
      <c r="T103" s="207">
        <f>'[3]MetEd RC_GSDFMS'!J10</f>
        <v>28.335450143911167</v>
      </c>
      <c r="U103" s="207">
        <f>'[3]MetEd RC_GSDFMS'!K10</f>
        <v>28.593165007273598</v>
      </c>
      <c r="V103" s="145"/>
    </row>
    <row r="104" spans="1:22" x14ac:dyDescent="0.2">
      <c r="A104" s="89">
        <f t="shared" si="3"/>
        <v>96</v>
      </c>
      <c r="B104" s="43">
        <v>3</v>
      </c>
      <c r="C104" s="43">
        <v>22</v>
      </c>
      <c r="D104" s="38" t="s">
        <v>273</v>
      </c>
      <c r="E104" s="44" t="s">
        <v>181</v>
      </c>
      <c r="F104" s="44" t="s">
        <v>6</v>
      </c>
      <c r="G104" s="44" t="s">
        <v>120</v>
      </c>
      <c r="H104" s="44" t="s">
        <v>176</v>
      </c>
      <c r="I104" s="44" t="s">
        <v>177</v>
      </c>
      <c r="J104" s="44" t="s">
        <v>11</v>
      </c>
      <c r="K104" s="44" t="s">
        <v>129</v>
      </c>
      <c r="L104" s="40">
        <v>1138</v>
      </c>
      <c r="M104" s="41">
        <v>41339</v>
      </c>
      <c r="N104" s="40" t="s">
        <v>122</v>
      </c>
      <c r="O104" s="42">
        <f t="shared" si="4"/>
        <v>42217</v>
      </c>
      <c r="P104" s="40">
        <v>20</v>
      </c>
      <c r="Q104" s="207">
        <f>'[3]MetEd RC_GSSFMS'!G10</f>
        <v>29.552879561223527</v>
      </c>
      <c r="R104" s="207">
        <f>'[3]MetEd RC_GSSFMS'!H10</f>
        <v>30.005982904665682</v>
      </c>
      <c r="S104" s="207">
        <f>'[3]MetEd RC_GSSFMS'!I10</f>
        <v>28.425645372347851</v>
      </c>
      <c r="T104" s="207">
        <f>'[3]MetEd RC_GSSFMS'!J10</f>
        <v>28.256979336994416</v>
      </c>
      <c r="U104" s="207">
        <f>'[3]MetEd RC_GSSFMS'!K10</f>
        <v>28.518839168087062</v>
      </c>
      <c r="V104" s="145"/>
    </row>
    <row r="105" spans="1:22" x14ac:dyDescent="0.2">
      <c r="A105" s="89">
        <f t="shared" si="3"/>
        <v>97</v>
      </c>
      <c r="B105" s="43">
        <v>3</v>
      </c>
      <c r="C105" s="43">
        <v>23</v>
      </c>
      <c r="D105" s="38" t="s">
        <v>274</v>
      </c>
      <c r="E105" s="44" t="s">
        <v>183</v>
      </c>
      <c r="F105" s="44" t="s">
        <v>6</v>
      </c>
      <c r="G105" s="44" t="s">
        <v>120</v>
      </c>
      <c r="H105" s="44" t="s">
        <v>13</v>
      </c>
      <c r="I105" s="44" t="s">
        <v>13</v>
      </c>
      <c r="J105" s="44" t="s">
        <v>7</v>
      </c>
      <c r="K105" s="44" t="s">
        <v>140</v>
      </c>
      <c r="L105" s="40">
        <v>1139</v>
      </c>
      <c r="M105" s="41">
        <v>41339</v>
      </c>
      <c r="N105" s="40" t="s">
        <v>122</v>
      </c>
      <c r="O105" s="42">
        <f t="shared" si="4"/>
        <v>42217</v>
      </c>
      <c r="P105" s="40">
        <v>20</v>
      </c>
      <c r="Q105" s="207">
        <f>'[3]PECO LP_GSMS'!G10</f>
        <v>33.856034231396691</v>
      </c>
      <c r="R105" s="207">
        <f>'[3]PECO LP_GSMS'!H10</f>
        <v>32.698540502151914</v>
      </c>
      <c r="S105" s="207">
        <f>'[3]PECO LP_GSMS'!I10</f>
        <v>31.609343724690131</v>
      </c>
      <c r="T105" s="207">
        <f>'[3]PECO LP_GSMS'!J10</f>
        <v>30.920708360190979</v>
      </c>
      <c r="U105" s="207">
        <f>'[3]PECO LP_GSMS'!K10</f>
        <v>31.240272124408321</v>
      </c>
      <c r="V105" s="145"/>
    </row>
    <row r="106" spans="1:22" x14ac:dyDescent="0.2">
      <c r="A106" s="89">
        <f t="shared" si="3"/>
        <v>98</v>
      </c>
      <c r="B106" s="43">
        <v>3</v>
      </c>
      <c r="C106" s="43">
        <v>24</v>
      </c>
      <c r="D106" s="38" t="s">
        <v>275</v>
      </c>
      <c r="E106" s="44" t="s">
        <v>185</v>
      </c>
      <c r="F106" s="44" t="s">
        <v>6</v>
      </c>
      <c r="G106" s="44" t="s">
        <v>120</v>
      </c>
      <c r="H106" s="44" t="s">
        <v>12</v>
      </c>
      <c r="I106" s="44" t="s">
        <v>186</v>
      </c>
      <c r="J106" s="44" t="s">
        <v>9</v>
      </c>
      <c r="K106" s="44" t="s">
        <v>135</v>
      </c>
      <c r="L106" s="40">
        <v>1140</v>
      </c>
      <c r="M106" s="41">
        <v>41339</v>
      </c>
      <c r="N106" s="40" t="s">
        <v>122</v>
      </c>
      <c r="O106" s="42">
        <f t="shared" si="4"/>
        <v>42217</v>
      </c>
      <c r="P106" s="40">
        <v>20</v>
      </c>
      <c r="Q106" s="207">
        <f>'[3]Penelec RC_GSLFMS'!G10</f>
        <v>31.683419407754634</v>
      </c>
      <c r="R106" s="207">
        <f>'[3]Penelec RC_GSLFMS'!H10</f>
        <v>31.186832774137788</v>
      </c>
      <c r="S106" s="207">
        <f>'[3]Penelec RC_GSLFMS'!I10</f>
        <v>29.974582422841998</v>
      </c>
      <c r="T106" s="207">
        <f>'[3]Penelec RC_GSLFMS'!J10</f>
        <v>29.580641696450833</v>
      </c>
      <c r="U106" s="207">
        <f>'[3]Penelec RC_GSLFMS'!K10</f>
        <v>29.996165437103642</v>
      </c>
      <c r="V106" s="145"/>
    </row>
    <row r="107" spans="1:22" x14ac:dyDescent="0.2">
      <c r="A107" s="89">
        <f t="shared" si="3"/>
        <v>99</v>
      </c>
      <c r="B107" s="43">
        <v>3</v>
      </c>
      <c r="C107" s="43">
        <v>25</v>
      </c>
      <c r="D107" s="38" t="s">
        <v>276</v>
      </c>
      <c r="E107" s="44" t="s">
        <v>188</v>
      </c>
      <c r="F107" s="44" t="s">
        <v>6</v>
      </c>
      <c r="G107" s="44" t="s">
        <v>120</v>
      </c>
      <c r="H107" s="44" t="s">
        <v>12</v>
      </c>
      <c r="I107" s="44" t="s">
        <v>186</v>
      </c>
      <c r="J107" s="44" t="s">
        <v>10</v>
      </c>
      <c r="K107" s="44" t="s">
        <v>132</v>
      </c>
      <c r="L107" s="40">
        <v>1141</v>
      </c>
      <c r="M107" s="41">
        <v>41339</v>
      </c>
      <c r="N107" s="40" t="s">
        <v>122</v>
      </c>
      <c r="O107" s="42">
        <f t="shared" si="4"/>
        <v>42217</v>
      </c>
      <c r="P107" s="40">
        <v>20</v>
      </c>
      <c r="Q107" s="207">
        <f>'[3]Penelec RC_GSMFMS'!G10</f>
        <v>32.764025928588218</v>
      </c>
      <c r="R107" s="207">
        <f>'[3]Penelec RC_GSMFMS'!H10</f>
        <v>32.315391376900891</v>
      </c>
      <c r="S107" s="207">
        <f>'[3]Penelec RC_GSMFMS'!I10</f>
        <v>31.082032338341524</v>
      </c>
      <c r="T107" s="207">
        <f>'[3]Penelec RC_GSMFMS'!J10</f>
        <v>30.704053486292537</v>
      </c>
      <c r="U107" s="207">
        <f>'[3]Penelec RC_GSMFMS'!K10</f>
        <v>31.114060999660655</v>
      </c>
      <c r="V107" s="145"/>
    </row>
    <row r="108" spans="1:22" x14ac:dyDescent="0.2">
      <c r="A108" s="89">
        <f t="shared" si="3"/>
        <v>100</v>
      </c>
      <c r="B108" s="43">
        <v>3</v>
      </c>
      <c r="C108" s="43">
        <v>26</v>
      </c>
      <c r="D108" s="38" t="s">
        <v>277</v>
      </c>
      <c r="E108" s="44" t="s">
        <v>190</v>
      </c>
      <c r="F108" s="44" t="s">
        <v>6</v>
      </c>
      <c r="G108" s="44" t="s">
        <v>120</v>
      </c>
      <c r="H108" s="44" t="s">
        <v>12</v>
      </c>
      <c r="I108" s="44" t="s">
        <v>186</v>
      </c>
      <c r="J108" s="44" t="s">
        <v>11</v>
      </c>
      <c r="K108" s="44" t="s">
        <v>129</v>
      </c>
      <c r="L108" s="40">
        <v>1142</v>
      </c>
      <c r="M108" s="41">
        <v>41339</v>
      </c>
      <c r="N108" s="40" t="s">
        <v>122</v>
      </c>
      <c r="O108" s="42">
        <f t="shared" si="4"/>
        <v>42217</v>
      </c>
      <c r="P108" s="40">
        <v>20</v>
      </c>
      <c r="Q108" s="207">
        <f>'[3]Penelec RC_GSSFMS'!G10</f>
        <v>31.639793035858414</v>
      </c>
      <c r="R108" s="207">
        <f>'[3]Penelec RC_GSSFMS'!H10</f>
        <v>32.360290624790835</v>
      </c>
      <c r="S108" s="207">
        <f>'[3]Penelec RC_GSSFMS'!I10</f>
        <v>30.725814476443297</v>
      </c>
      <c r="T108" s="207">
        <f>'[3]Penelec RC_GSSFMS'!J10</f>
        <v>30.73165380190224</v>
      </c>
      <c r="U108" s="207">
        <f>'[3]Penelec RC_GSSFMS'!K10</f>
        <v>31.134294791669181</v>
      </c>
      <c r="V108" s="145"/>
    </row>
    <row r="109" spans="1:22" x14ac:dyDescent="0.2">
      <c r="A109" s="89">
        <f t="shared" si="3"/>
        <v>101</v>
      </c>
      <c r="B109" s="43">
        <v>3</v>
      </c>
      <c r="C109" s="43">
        <v>27</v>
      </c>
      <c r="D109" s="38" t="s">
        <v>278</v>
      </c>
      <c r="E109" s="44" t="s">
        <v>192</v>
      </c>
      <c r="F109" s="44" t="s">
        <v>6</v>
      </c>
      <c r="G109" s="44" t="s">
        <v>120</v>
      </c>
      <c r="H109" s="44" t="s">
        <v>100</v>
      </c>
      <c r="I109" s="44" t="s">
        <v>193</v>
      </c>
      <c r="J109" s="44" t="s">
        <v>7</v>
      </c>
      <c r="K109" s="44" t="s">
        <v>140</v>
      </c>
      <c r="L109" s="40">
        <v>1143</v>
      </c>
      <c r="M109" s="41">
        <v>41339</v>
      </c>
      <c r="N109" s="40" t="s">
        <v>122</v>
      </c>
      <c r="O109" s="42">
        <f t="shared" si="4"/>
        <v>42217</v>
      </c>
      <c r="P109" s="40">
        <v>20</v>
      </c>
      <c r="Q109" s="207">
        <f>'[3]Penn Power RC_GMDMS'!G10</f>
        <v>52.075697559429265</v>
      </c>
      <c r="R109" s="207">
        <f>'[3]Penn Power RC_GMDMS'!H10</f>
        <v>48.874942386648051</v>
      </c>
      <c r="S109" s="207">
        <f>'[3]Penn Power RC_GMDMS'!I10</f>
        <v>42.866195815453125</v>
      </c>
      <c r="T109" s="207">
        <f>'[3]Penn Power RC_GMDMS'!J10</f>
        <v>40.365710965107866</v>
      </c>
      <c r="U109" s="207">
        <f>'[3]Penn Power RC_GMDMS'!K10</f>
        <v>39.545910043257798</v>
      </c>
      <c r="V109" s="145"/>
    </row>
    <row r="110" spans="1:22" x14ac:dyDescent="0.2">
      <c r="A110" s="89">
        <f t="shared" si="3"/>
        <v>102</v>
      </c>
      <c r="B110" s="43">
        <v>3</v>
      </c>
      <c r="C110" s="43">
        <v>28</v>
      </c>
      <c r="D110" s="38" t="s">
        <v>279</v>
      </c>
      <c r="E110" s="44" t="s">
        <v>195</v>
      </c>
      <c r="F110" s="44" t="s">
        <v>39</v>
      </c>
      <c r="G110" s="44" t="s">
        <v>120</v>
      </c>
      <c r="H110" s="44" t="s">
        <v>44</v>
      </c>
      <c r="I110" s="44" t="s">
        <v>44</v>
      </c>
      <c r="J110" s="44" t="s">
        <v>7</v>
      </c>
      <c r="K110" s="44" t="s">
        <v>140</v>
      </c>
      <c r="L110" s="40">
        <v>1144</v>
      </c>
      <c r="M110" s="41">
        <v>41339</v>
      </c>
      <c r="N110" s="40" t="s">
        <v>122</v>
      </c>
      <c r="O110" s="42">
        <f t="shared" si="4"/>
        <v>42217</v>
      </c>
      <c r="P110" s="40">
        <v>20</v>
      </c>
      <c r="Q110" s="207">
        <f>'[3]PEPCO MD LP_MDNDMS'!G10</f>
        <v>35.26507966738437</v>
      </c>
      <c r="R110" s="207">
        <f>'[3]PEPCO MD LP_MDNDMS'!H10</f>
        <v>35.025691354915374</v>
      </c>
      <c r="S110" s="207">
        <f>'[3]PEPCO MD LP_MDNDMS'!I10</f>
        <v>33.886198499402582</v>
      </c>
      <c r="T110" s="207">
        <f>'[3]PEPCO MD LP_MDNDMS'!J10</f>
        <v>33.527678511398662</v>
      </c>
      <c r="U110" s="207">
        <f>'[3]PEPCO MD LP_MDNDMS'!K10</f>
        <v>34.159896921988008</v>
      </c>
      <c r="V110" s="145"/>
    </row>
    <row r="111" spans="1:22" x14ac:dyDescent="0.2">
      <c r="A111" s="89">
        <f t="shared" si="3"/>
        <v>103</v>
      </c>
      <c r="B111" s="43">
        <v>3</v>
      </c>
      <c r="C111" s="43">
        <v>29</v>
      </c>
      <c r="D111" s="38" t="s">
        <v>280</v>
      </c>
      <c r="E111" s="44" t="s">
        <v>197</v>
      </c>
      <c r="F111" s="44" t="s">
        <v>39</v>
      </c>
      <c r="G111" s="44" t="s">
        <v>120</v>
      </c>
      <c r="H111" s="44" t="s">
        <v>44</v>
      </c>
      <c r="I111" s="44" t="s">
        <v>44</v>
      </c>
      <c r="J111" s="44" t="s">
        <v>45</v>
      </c>
      <c r="K111" s="44" t="s">
        <v>198</v>
      </c>
      <c r="L111" s="40">
        <v>1145</v>
      </c>
      <c r="M111" s="41">
        <v>41339</v>
      </c>
      <c r="N111" s="40" t="s">
        <v>122</v>
      </c>
      <c r="O111" s="42">
        <f t="shared" si="4"/>
        <v>42217</v>
      </c>
      <c r="P111" s="40">
        <v>20</v>
      </c>
      <c r="Q111" s="207">
        <f>'[3]PEPCO MD LP_MMGTL2AMS'!G10</f>
        <v>34.319202911035958</v>
      </c>
      <c r="R111" s="207">
        <f>'[3]PEPCO MD LP_MMGTL2AMS'!H10</f>
        <v>33.859923092244863</v>
      </c>
      <c r="S111" s="207">
        <f>'[3]PEPCO MD LP_MMGTL2AMS'!I10</f>
        <v>32.844293156273189</v>
      </c>
      <c r="T111" s="207">
        <f>'[3]PEPCO MD LP_MMGTL2AMS'!J10</f>
        <v>32.393900436388833</v>
      </c>
      <c r="U111" s="207">
        <f>'[3]PEPCO MD LP_MMGTL2AMS'!K10</f>
        <v>33.033437027074449</v>
      </c>
      <c r="V111" s="145"/>
    </row>
    <row r="112" spans="1:22" x14ac:dyDescent="0.2">
      <c r="A112" s="89">
        <f t="shared" si="3"/>
        <v>104</v>
      </c>
      <c r="B112" s="43">
        <v>3</v>
      </c>
      <c r="C112" s="43">
        <v>30</v>
      </c>
      <c r="D112" s="38" t="s">
        <v>281</v>
      </c>
      <c r="E112" s="44" t="s">
        <v>200</v>
      </c>
      <c r="F112" s="44" t="s">
        <v>39</v>
      </c>
      <c r="G112" s="44" t="s">
        <v>120</v>
      </c>
      <c r="H112" s="44" t="s">
        <v>44</v>
      </c>
      <c r="I112" s="44" t="s">
        <v>44</v>
      </c>
      <c r="J112" s="44" t="s">
        <v>46</v>
      </c>
      <c r="K112" s="44" t="s">
        <v>46</v>
      </c>
      <c r="L112" s="40">
        <v>1146</v>
      </c>
      <c r="M112" s="41">
        <v>41339</v>
      </c>
      <c r="N112" s="40" t="s">
        <v>122</v>
      </c>
      <c r="O112" s="42">
        <f t="shared" si="4"/>
        <v>42217</v>
      </c>
      <c r="P112" s="40">
        <v>20</v>
      </c>
      <c r="Q112" s="207">
        <f>'[3]PEPCO MD RC_3T7MS'!G10</f>
        <v>34.294933795760258</v>
      </c>
      <c r="R112" s="207">
        <f>'[3]PEPCO MD RC_3T7MS'!H10</f>
        <v>34.721271066372694</v>
      </c>
      <c r="S112" s="207">
        <f>'[3]PEPCO MD RC_3T7MS'!I10</f>
        <v>33.386767603497475</v>
      </c>
      <c r="T112" s="207">
        <f>'[3]PEPCO MD RC_3T7MS'!J10</f>
        <v>33.238465840131269</v>
      </c>
      <c r="U112" s="207">
        <f>'[3]PEPCO MD RC_3T7MS'!K10</f>
        <v>33.938582922456618</v>
      </c>
      <c r="V112" s="145"/>
    </row>
    <row r="113" spans="1:22" x14ac:dyDescent="0.2">
      <c r="A113" s="89">
        <f t="shared" si="3"/>
        <v>105</v>
      </c>
      <c r="B113" s="43">
        <v>3</v>
      </c>
      <c r="C113" s="43">
        <v>31</v>
      </c>
      <c r="D113" s="38" t="s">
        <v>282</v>
      </c>
      <c r="E113" s="44" t="s">
        <v>202</v>
      </c>
      <c r="F113" s="44" t="s">
        <v>39</v>
      </c>
      <c r="G113" s="44" t="s">
        <v>120</v>
      </c>
      <c r="H113" s="44" t="s">
        <v>47</v>
      </c>
      <c r="I113" s="44" t="s">
        <v>47</v>
      </c>
      <c r="J113" s="44" t="s">
        <v>7</v>
      </c>
      <c r="K113" s="44" t="s">
        <v>140</v>
      </c>
      <c r="L113" s="40">
        <v>1147</v>
      </c>
      <c r="M113" s="41">
        <v>41339</v>
      </c>
      <c r="N113" s="40" t="s">
        <v>122</v>
      </c>
      <c r="O113" s="42">
        <f t="shared" si="4"/>
        <v>42217</v>
      </c>
      <c r="P113" s="40">
        <v>20</v>
      </c>
      <c r="Q113" s="207">
        <f>'[3]Potomac Edison LP_GSCM_MMS'!G10</f>
        <v>34.881094333246011</v>
      </c>
      <c r="R113" s="207">
        <f>'[3]Potomac Edison LP_GSCM_MMS'!H10</f>
        <v>31.828080685969219</v>
      </c>
      <c r="S113" s="207">
        <f>'[3]Potomac Edison LP_GSCM_MMS'!I10</f>
        <v>30.287378746419272</v>
      </c>
      <c r="T113" s="207">
        <f>'[3]Potomac Edison LP_GSCM_MMS'!J10</f>
        <v>29.443495790178634</v>
      </c>
      <c r="U113" s="207">
        <f>'[3]Potomac Edison LP_GSCM_MMS'!K10</f>
        <v>30.947552350968643</v>
      </c>
      <c r="V113" s="145"/>
    </row>
    <row r="114" spans="1:22" x14ac:dyDescent="0.2">
      <c r="A114" s="89">
        <f t="shared" si="3"/>
        <v>106</v>
      </c>
      <c r="B114" s="43">
        <v>3</v>
      </c>
      <c r="C114" s="43">
        <v>32</v>
      </c>
      <c r="D114" s="38" t="s">
        <v>283</v>
      </c>
      <c r="E114" s="44" t="s">
        <v>204</v>
      </c>
      <c r="F114" s="44" t="s">
        <v>6</v>
      </c>
      <c r="G114" s="44" t="s">
        <v>120</v>
      </c>
      <c r="H114" s="44" t="s">
        <v>14</v>
      </c>
      <c r="I114" s="44" t="s">
        <v>14</v>
      </c>
      <c r="J114" s="44" t="s">
        <v>15</v>
      </c>
      <c r="K114" s="44" t="s">
        <v>129</v>
      </c>
      <c r="L114" s="40">
        <v>1148</v>
      </c>
      <c r="M114" s="41">
        <v>41339</v>
      </c>
      <c r="N114" s="40" t="s">
        <v>122</v>
      </c>
      <c r="O114" s="42">
        <f t="shared" si="4"/>
        <v>42217</v>
      </c>
      <c r="P114" s="40">
        <v>20</v>
      </c>
      <c r="Q114" s="207">
        <f>[3]PPL_RCGS1MS!G10</f>
        <v>38.415857729426733</v>
      </c>
      <c r="R114" s="207">
        <f>[3]PPL_RCGS1MS!H10</f>
        <v>38.201429481602624</v>
      </c>
      <c r="S114" s="207">
        <f>[3]PPL_RCGS1MS!I10</f>
        <v>36.80067253671919</v>
      </c>
      <c r="T114" s="207">
        <f>[3]PPL_RCGS1MS!J10</f>
        <v>36.420206702992594</v>
      </c>
      <c r="U114" s="207">
        <f>[3]PPL_RCGS1MS!K10</f>
        <v>36.612329762580131</v>
      </c>
      <c r="V114" s="145"/>
    </row>
    <row r="115" spans="1:22" x14ac:dyDescent="0.2">
      <c r="A115" s="89">
        <f t="shared" si="3"/>
        <v>107</v>
      </c>
      <c r="B115" s="43">
        <v>3</v>
      </c>
      <c r="C115" s="43">
        <v>33</v>
      </c>
      <c r="D115" s="38" t="s">
        <v>284</v>
      </c>
      <c r="E115" s="44" t="s">
        <v>206</v>
      </c>
      <c r="F115" s="44" t="s">
        <v>6</v>
      </c>
      <c r="G115" s="44" t="s">
        <v>120</v>
      </c>
      <c r="H115" s="44" t="s">
        <v>14</v>
      </c>
      <c r="I115" s="44" t="s">
        <v>14</v>
      </c>
      <c r="J115" s="44" t="s">
        <v>16</v>
      </c>
      <c r="K115" s="44" t="s">
        <v>135</v>
      </c>
      <c r="L115" s="40">
        <v>1149</v>
      </c>
      <c r="M115" s="41">
        <v>41339</v>
      </c>
      <c r="N115" s="40" t="s">
        <v>122</v>
      </c>
      <c r="O115" s="42">
        <f t="shared" si="4"/>
        <v>42217</v>
      </c>
      <c r="P115" s="40">
        <v>20</v>
      </c>
      <c r="Q115" s="207">
        <f>[3]PPL_RCGS3MS!G10</f>
        <v>38.904901923171288</v>
      </c>
      <c r="R115" s="207">
        <f>[3]PPL_RCGS3MS!H10</f>
        <v>38.248426444437584</v>
      </c>
      <c r="S115" s="207">
        <f>[3]PPL_RCGS3MS!I10</f>
        <v>36.993151204604068</v>
      </c>
      <c r="T115" s="207">
        <f>[3]PPL_RCGS3MS!J10</f>
        <v>36.471746861364586</v>
      </c>
      <c r="U115" s="207">
        <f>[3]PPL_RCGS3MS!K10</f>
        <v>36.671149013056635</v>
      </c>
      <c r="V115" s="145"/>
    </row>
    <row r="116" spans="1:22" x14ac:dyDescent="0.2">
      <c r="A116" s="89">
        <f t="shared" si="3"/>
        <v>108</v>
      </c>
      <c r="B116" s="43">
        <v>3</v>
      </c>
      <c r="C116" s="43">
        <v>34</v>
      </c>
      <c r="D116" s="38" t="s">
        <v>285</v>
      </c>
      <c r="E116" s="44" t="s">
        <v>208</v>
      </c>
      <c r="F116" s="44" t="s">
        <v>31</v>
      </c>
      <c r="G116" s="44" t="s">
        <v>120</v>
      </c>
      <c r="H116" s="44" t="s">
        <v>36</v>
      </c>
      <c r="I116" s="44" t="s">
        <v>36</v>
      </c>
      <c r="J116" s="44" t="s">
        <v>37</v>
      </c>
      <c r="K116" s="44" t="s">
        <v>209</v>
      </c>
      <c r="L116" s="40">
        <v>1150</v>
      </c>
      <c r="M116" s="41">
        <v>41339</v>
      </c>
      <c r="N116" s="40" t="s">
        <v>122</v>
      </c>
      <c r="O116" s="42">
        <f t="shared" si="4"/>
        <v>42217</v>
      </c>
      <c r="P116" s="40">
        <v>20</v>
      </c>
      <c r="Q116" s="207">
        <f>'[3]PSEG LP_GLP_MMS'!G10</f>
        <v>61.225680743145212</v>
      </c>
      <c r="R116" s="207">
        <f>'[3]PSEG LP_GLP_MMS'!H10</f>
        <v>61.442361590327053</v>
      </c>
      <c r="S116" s="207">
        <f>'[3]PSEG LP_GLP_MMS'!I10</f>
        <v>62.426492354550703</v>
      </c>
      <c r="T116" s="207">
        <f>'[3]PSEG LP_GLP_MMS'!J10</f>
        <v>62.820428707213225</v>
      </c>
      <c r="U116" s="207">
        <f>'[3]PSEG LP_GLP_MMS'!K10</f>
        <v>64.044301631522728</v>
      </c>
      <c r="V116" s="145"/>
    </row>
    <row r="117" spans="1:22" x14ac:dyDescent="0.2">
      <c r="A117" s="89">
        <f t="shared" si="3"/>
        <v>109</v>
      </c>
      <c r="B117" s="43">
        <v>3</v>
      </c>
      <c r="C117" s="43">
        <v>35</v>
      </c>
      <c r="D117" s="38" t="s">
        <v>286</v>
      </c>
      <c r="E117" s="44" t="s">
        <v>211</v>
      </c>
      <c r="F117" s="44" t="s">
        <v>31</v>
      </c>
      <c r="G117" s="44" t="s">
        <v>120</v>
      </c>
      <c r="H117" s="44" t="s">
        <v>36</v>
      </c>
      <c r="I117" s="44" t="s">
        <v>36</v>
      </c>
      <c r="J117" s="44" t="s">
        <v>38</v>
      </c>
      <c r="K117" s="44" t="s">
        <v>212</v>
      </c>
      <c r="L117" s="40">
        <v>1151</v>
      </c>
      <c r="M117" s="41">
        <v>41339</v>
      </c>
      <c r="N117" s="40" t="s">
        <v>122</v>
      </c>
      <c r="O117" s="42">
        <f t="shared" si="4"/>
        <v>42217</v>
      </c>
      <c r="P117" s="40">
        <v>20</v>
      </c>
      <c r="Q117" s="207">
        <f>'[3]PSEG LP_LPLMS'!G10</f>
        <v>60.796357841078198</v>
      </c>
      <c r="R117" s="207">
        <f>'[3]PSEG LP_LPLMS'!H10</f>
        <v>60.640341259000557</v>
      </c>
      <c r="S117" s="207">
        <f>'[3]PSEG LP_LPLMS'!I10</f>
        <v>61.762948099935485</v>
      </c>
      <c r="T117" s="207">
        <f>'[3]PSEG LP_LPLMS'!J10</f>
        <v>62.043924244928363</v>
      </c>
      <c r="U117" s="207">
        <f>'[3]PSEG LP_LPLMS'!K10</f>
        <v>63.230749195889246</v>
      </c>
      <c r="V117" s="145"/>
    </row>
    <row r="118" spans="1:22" x14ac:dyDescent="0.2">
      <c r="A118" s="89">
        <f t="shared" si="3"/>
        <v>110</v>
      </c>
      <c r="B118" s="43">
        <v>3</v>
      </c>
      <c r="C118" s="43">
        <v>36</v>
      </c>
      <c r="D118" s="38" t="s">
        <v>287</v>
      </c>
      <c r="E118" s="44" t="s">
        <v>214</v>
      </c>
      <c r="F118" s="44" t="s">
        <v>6</v>
      </c>
      <c r="G118" s="44" t="s">
        <v>120</v>
      </c>
      <c r="H118" s="44" t="s">
        <v>17</v>
      </c>
      <c r="I118" s="44" t="s">
        <v>215</v>
      </c>
      <c r="J118" s="44" t="s">
        <v>18</v>
      </c>
      <c r="K118" s="44" t="s">
        <v>140</v>
      </c>
      <c r="L118" s="40">
        <v>1152</v>
      </c>
      <c r="M118" s="41">
        <v>41339</v>
      </c>
      <c r="N118" s="40" t="s">
        <v>122</v>
      </c>
      <c r="O118" s="42">
        <f t="shared" si="4"/>
        <v>42217</v>
      </c>
      <c r="P118" s="40">
        <v>20</v>
      </c>
      <c r="Q118" s="207">
        <f>'[3]West Penn Power LP_GSCMMS'!G10</f>
        <v>33.203923503984782</v>
      </c>
      <c r="R118" s="207">
        <f>'[3]West Penn Power LP_GSCMMS'!H10</f>
        <v>31.730745644037519</v>
      </c>
      <c r="S118" s="207">
        <f>'[3]West Penn Power LP_GSCMMS'!I10</f>
        <v>29.683932595459662</v>
      </c>
      <c r="T118" s="207">
        <f>'[3]West Penn Power LP_GSCMMS'!J10</f>
        <v>29.224193022990079</v>
      </c>
      <c r="U118" s="207">
        <f>'[3]West Penn Power LP_GSCMMS'!K10</f>
        <v>30.499248813503542</v>
      </c>
      <c r="V118" s="145"/>
    </row>
    <row r="119" spans="1:22" x14ac:dyDescent="0.2">
      <c r="A119" s="89">
        <f t="shared" si="3"/>
        <v>111</v>
      </c>
      <c r="B119" s="20"/>
      <c r="C119" s="20"/>
      <c r="D119" s="20"/>
      <c r="Q119" s="208"/>
      <c r="R119" s="208"/>
      <c r="S119" s="208"/>
      <c r="T119" s="208"/>
      <c r="U119" s="208"/>
    </row>
    <row r="120" spans="1:22" x14ac:dyDescent="0.2">
      <c r="A120" s="89">
        <f t="shared" si="3"/>
        <v>112</v>
      </c>
      <c r="B120" s="43">
        <v>4</v>
      </c>
      <c r="C120" s="43">
        <v>1</v>
      </c>
      <c r="D120" s="38" t="s">
        <v>288</v>
      </c>
      <c r="E120" s="44" t="s">
        <v>119</v>
      </c>
      <c r="F120" s="44" t="s">
        <v>31</v>
      </c>
      <c r="G120" s="44" t="s">
        <v>120</v>
      </c>
      <c r="H120" s="44" t="s">
        <v>32</v>
      </c>
      <c r="I120" s="44" t="s">
        <v>32</v>
      </c>
      <c r="J120" s="44" t="s">
        <v>33</v>
      </c>
      <c r="K120" s="44" t="s">
        <v>121</v>
      </c>
      <c r="L120" s="40">
        <v>1117</v>
      </c>
      <c r="M120" s="41">
        <v>41339</v>
      </c>
      <c r="N120" s="40" t="s">
        <v>122</v>
      </c>
      <c r="O120" s="42">
        <f>EDATE(O83,1)</f>
        <v>42248</v>
      </c>
      <c r="P120" s="40">
        <v>21</v>
      </c>
      <c r="Q120" s="207">
        <f>'[3]AECO LP_10V1_SMS'!G11</f>
        <v>53.867939891923903</v>
      </c>
      <c r="R120" s="207">
        <f>'[3]AECO LP_10V1_SMS'!H11</f>
        <v>50.039842416839839</v>
      </c>
      <c r="S120" s="207">
        <f>'[3]AECO LP_10V1_SMS'!I11</f>
        <v>49.973124394617763</v>
      </c>
      <c r="T120" s="207">
        <f>'[3]AECO LP_10V1_SMS'!J11</f>
        <v>48.761115748170461</v>
      </c>
      <c r="U120" s="207">
        <f>'[3]AECO LP_10V1_SMS'!K11</f>
        <v>49.684372626907738</v>
      </c>
      <c r="V120" s="145"/>
    </row>
    <row r="121" spans="1:22" x14ac:dyDescent="0.2">
      <c r="A121" s="89">
        <f t="shared" si="3"/>
        <v>113</v>
      </c>
      <c r="B121" s="43">
        <v>4</v>
      </c>
      <c r="C121" s="43">
        <v>2</v>
      </c>
      <c r="D121" s="38" t="s">
        <v>289</v>
      </c>
      <c r="E121" s="44" t="s">
        <v>124</v>
      </c>
      <c r="F121" s="44" t="s">
        <v>31</v>
      </c>
      <c r="G121" s="44" t="s">
        <v>120</v>
      </c>
      <c r="H121" s="44" t="s">
        <v>32</v>
      </c>
      <c r="I121" s="44" t="s">
        <v>32</v>
      </c>
      <c r="J121" s="44" t="s">
        <v>34</v>
      </c>
      <c r="K121" s="44" t="s">
        <v>125</v>
      </c>
      <c r="L121" s="40">
        <v>1118</v>
      </c>
      <c r="M121" s="41">
        <v>41339</v>
      </c>
      <c r="N121" s="40" t="s">
        <v>122</v>
      </c>
      <c r="O121" s="42">
        <f>O120</f>
        <v>42248</v>
      </c>
      <c r="P121" s="40">
        <v>21</v>
      </c>
      <c r="Q121" s="207">
        <f>'[3]AECO LP_14V1_MMS'!G11</f>
        <v>52.511604009382687</v>
      </c>
      <c r="R121" s="207">
        <f>'[3]AECO LP_14V1_MMS'!H11</f>
        <v>49.958317565923714</v>
      </c>
      <c r="S121" s="207">
        <f>'[3]AECO LP_14V1_MMS'!I11</f>
        <v>49.514713952300689</v>
      </c>
      <c r="T121" s="207">
        <f>'[3]AECO LP_14V1_MMS'!J11</f>
        <v>48.673061548162799</v>
      </c>
      <c r="U121" s="207">
        <f>'[3]AECO LP_14V1_MMS'!K11</f>
        <v>48.670886193659122</v>
      </c>
      <c r="V121" s="145"/>
    </row>
    <row r="122" spans="1:22" x14ac:dyDescent="0.2">
      <c r="A122" s="89">
        <f t="shared" si="3"/>
        <v>114</v>
      </c>
      <c r="B122" s="43">
        <v>4</v>
      </c>
      <c r="C122" s="43">
        <v>3</v>
      </c>
      <c r="D122" s="38" t="s">
        <v>290</v>
      </c>
      <c r="E122" s="44" t="s">
        <v>127</v>
      </c>
      <c r="F122" s="44" t="s">
        <v>20</v>
      </c>
      <c r="G122" s="44" t="s">
        <v>120</v>
      </c>
      <c r="H122" s="44" t="s">
        <v>63</v>
      </c>
      <c r="I122" s="44" t="s">
        <v>128</v>
      </c>
      <c r="J122" s="44" t="s">
        <v>15</v>
      </c>
      <c r="K122" s="44" t="s">
        <v>129</v>
      </c>
      <c r="L122" s="40">
        <v>1119</v>
      </c>
      <c r="M122" s="41">
        <v>41339</v>
      </c>
      <c r="N122" s="40" t="s">
        <v>122</v>
      </c>
      <c r="O122" s="42">
        <f t="shared" ref="O122:O155" si="5">O121</f>
        <v>42248</v>
      </c>
      <c r="P122" s="40">
        <v>21</v>
      </c>
      <c r="Q122" s="207">
        <f>'[3]AEP_OH_CS - test CSGS1MS'!G11</f>
        <v>23.189785189793728</v>
      </c>
      <c r="R122" s="207">
        <f>'[3]AEP_OH_CS - test CSGS1MS'!H11</f>
        <v>21.325553299453862</v>
      </c>
      <c r="S122" s="207">
        <f>'[3]AEP_OH_CS - test CSGS1MS'!I11</f>
        <v>19.391959582569957</v>
      </c>
      <c r="T122" s="207">
        <f>'[3]AEP_OH_CS - test CSGS1MS'!J11</f>
        <v>19.24360143352553</v>
      </c>
      <c r="U122" s="207">
        <f>'[3]AEP_OH_CS - test CSGS1MS'!K11</f>
        <v>20.454774224750306</v>
      </c>
      <c r="V122" s="145"/>
    </row>
    <row r="123" spans="1:22" x14ac:dyDescent="0.2">
      <c r="A123" s="89">
        <f t="shared" si="3"/>
        <v>115</v>
      </c>
      <c r="B123" s="43">
        <v>4</v>
      </c>
      <c r="C123" s="43">
        <v>4</v>
      </c>
      <c r="D123" s="38" t="s">
        <v>291</v>
      </c>
      <c r="E123" s="44" t="s">
        <v>131</v>
      </c>
      <c r="F123" s="44" t="s">
        <v>20</v>
      </c>
      <c r="G123" s="44" t="s">
        <v>120</v>
      </c>
      <c r="H123" s="44" t="s">
        <v>63</v>
      </c>
      <c r="I123" s="44" t="s">
        <v>128</v>
      </c>
      <c r="J123" s="44" t="s">
        <v>21</v>
      </c>
      <c r="K123" s="44" t="s">
        <v>132</v>
      </c>
      <c r="L123" s="40">
        <v>1120</v>
      </c>
      <c r="M123" s="41">
        <v>41339</v>
      </c>
      <c r="N123" s="40" t="s">
        <v>122</v>
      </c>
      <c r="O123" s="42">
        <f t="shared" si="5"/>
        <v>42248</v>
      </c>
      <c r="P123" s="40">
        <v>21</v>
      </c>
      <c r="Q123" s="207">
        <f>'[3]AEP_OH_CS - test CSGS2UMS'!G11</f>
        <v>24.279472215822729</v>
      </c>
      <c r="R123" s="207">
        <f>'[3]AEP_OH_CS - test CSGS2UMS'!H11</f>
        <v>21.410581105856654</v>
      </c>
      <c r="S123" s="207">
        <f>'[3]AEP_OH_CS - test CSGS2UMS'!I11</f>
        <v>19.689331440262176</v>
      </c>
      <c r="T123" s="207">
        <f>'[3]AEP_OH_CS - test CSGS2UMS'!J11</f>
        <v>19.327479705203245</v>
      </c>
      <c r="U123" s="207">
        <f>'[3]AEP_OH_CS - test CSGS2UMS'!K11</f>
        <v>20.537957867012242</v>
      </c>
      <c r="V123" s="145"/>
    </row>
    <row r="124" spans="1:22" x14ac:dyDescent="0.2">
      <c r="A124" s="89">
        <f t="shared" si="3"/>
        <v>116</v>
      </c>
      <c r="B124" s="43">
        <v>4</v>
      </c>
      <c r="C124" s="43">
        <v>5</v>
      </c>
      <c r="D124" s="38" t="s">
        <v>292</v>
      </c>
      <c r="E124" s="44" t="s">
        <v>134</v>
      </c>
      <c r="F124" s="44" t="s">
        <v>20</v>
      </c>
      <c r="G124" s="44" t="s">
        <v>120</v>
      </c>
      <c r="H124" s="44" t="s">
        <v>63</v>
      </c>
      <c r="I124" s="44" t="s">
        <v>128</v>
      </c>
      <c r="J124" s="44" t="s">
        <v>16</v>
      </c>
      <c r="K124" s="44" t="s">
        <v>135</v>
      </c>
      <c r="L124" s="40">
        <v>1121</v>
      </c>
      <c r="M124" s="41">
        <v>41339</v>
      </c>
      <c r="N124" s="40" t="s">
        <v>122</v>
      </c>
      <c r="O124" s="42">
        <f t="shared" si="5"/>
        <v>42248</v>
      </c>
      <c r="P124" s="40">
        <v>21</v>
      </c>
      <c r="Q124" s="207">
        <f>'[3]AEP_OH_CS - test CSGS3UMS'!G11</f>
        <v>24.374683334655167</v>
      </c>
      <c r="R124" s="207">
        <f>'[3]AEP_OH_CS - test CSGS3UMS'!H11</f>
        <v>21.345818074273168</v>
      </c>
      <c r="S124" s="207">
        <f>'[3]AEP_OH_CS - test CSGS3UMS'!I11</f>
        <v>19.662746813925477</v>
      </c>
      <c r="T124" s="207">
        <f>'[3]AEP_OH_CS - test CSGS3UMS'!J11</f>
        <v>19.259990658199193</v>
      </c>
      <c r="U124" s="207">
        <f>'[3]AEP_OH_CS - test CSGS3UMS'!K11</f>
        <v>20.466922479069549</v>
      </c>
      <c r="V124" s="145"/>
    </row>
    <row r="125" spans="1:22" x14ac:dyDescent="0.2">
      <c r="A125" s="89">
        <f t="shared" si="3"/>
        <v>117</v>
      </c>
      <c r="B125" s="43">
        <v>4</v>
      </c>
      <c r="C125" s="43">
        <v>6</v>
      </c>
      <c r="D125" s="38" t="s">
        <v>293</v>
      </c>
      <c r="E125" s="44" t="s">
        <v>137</v>
      </c>
      <c r="F125" s="44" t="s">
        <v>25</v>
      </c>
      <c r="G125" s="44" t="s">
        <v>138</v>
      </c>
      <c r="H125" s="44" t="s">
        <v>139</v>
      </c>
      <c r="I125" s="44" t="s">
        <v>29</v>
      </c>
      <c r="J125" s="44" t="s">
        <v>30</v>
      </c>
      <c r="K125" s="44" t="s">
        <v>140</v>
      </c>
      <c r="L125" s="40">
        <v>1122</v>
      </c>
      <c r="M125" s="41">
        <v>41339</v>
      </c>
      <c r="N125" s="40" t="s">
        <v>122</v>
      </c>
      <c r="O125" s="42">
        <f t="shared" si="5"/>
        <v>42248</v>
      </c>
      <c r="P125" s="40">
        <v>21</v>
      </c>
      <c r="Q125" s="207">
        <f>'[3]Ameren RateZnIII LP DS2HHMS'!G11</f>
        <v>32.854301960766009</v>
      </c>
      <c r="R125" s="207">
        <f>'[3]Ameren RateZnIII LP DS2HHMS'!H11</f>
        <v>32.600267809670896</v>
      </c>
      <c r="S125" s="207">
        <f>'[3]Ameren RateZnIII LP DS2HHMS'!I11</f>
        <v>33.914347411240342</v>
      </c>
      <c r="T125" s="207">
        <f>'[3]Ameren RateZnIII LP DS2HHMS'!J11</f>
        <v>34.131144476440795</v>
      </c>
      <c r="U125" s="207">
        <f>'[3]Ameren RateZnIII LP DS2HHMS'!K11</f>
        <v>35.328687604122948</v>
      </c>
      <c r="V125" s="145"/>
    </row>
    <row r="126" spans="1:22" x14ac:dyDescent="0.2">
      <c r="A126" s="89">
        <f t="shared" si="3"/>
        <v>118</v>
      </c>
      <c r="B126" s="43">
        <v>4</v>
      </c>
      <c r="C126" s="43">
        <v>7</v>
      </c>
      <c r="D126" s="38" t="s">
        <v>294</v>
      </c>
      <c r="E126" s="44" t="s">
        <v>142</v>
      </c>
      <c r="F126" s="44" t="s">
        <v>39</v>
      </c>
      <c r="G126" s="44" t="s">
        <v>120</v>
      </c>
      <c r="H126" s="44" t="s">
        <v>40</v>
      </c>
      <c r="I126" s="44" t="s">
        <v>40</v>
      </c>
      <c r="J126" s="44" t="s">
        <v>42</v>
      </c>
      <c r="K126" s="44" t="s">
        <v>135</v>
      </c>
      <c r="L126" s="40">
        <v>1124</v>
      </c>
      <c r="M126" s="41">
        <v>41339</v>
      </c>
      <c r="N126" s="40" t="s">
        <v>122</v>
      </c>
      <c r="O126" s="42">
        <f t="shared" si="5"/>
        <v>42248</v>
      </c>
      <c r="P126" s="40">
        <v>21</v>
      </c>
      <c r="Q126" s="207">
        <f>'[3]BGE LP_GLMS'!G11</f>
        <v>36.412218628429812</v>
      </c>
      <c r="R126" s="207">
        <f>'[3]BGE LP_GLMS'!H11</f>
        <v>34.905586083036056</v>
      </c>
      <c r="S126" s="207">
        <f>'[3]BGE LP_GLMS'!I11</f>
        <v>34.073118892426976</v>
      </c>
      <c r="T126" s="207">
        <f>'[3]BGE LP_GLMS'!J11</f>
        <v>33.455141146156436</v>
      </c>
      <c r="U126" s="207">
        <f>'[3]BGE LP_GLMS'!K11</f>
        <v>34.320126157934965</v>
      </c>
      <c r="V126" s="145"/>
    </row>
    <row r="127" spans="1:22" x14ac:dyDescent="0.2">
      <c r="A127" s="89">
        <f t="shared" si="3"/>
        <v>119</v>
      </c>
      <c r="B127" s="43">
        <v>4</v>
      </c>
      <c r="C127" s="43">
        <v>8</v>
      </c>
      <c r="D127" s="38" t="s">
        <v>295</v>
      </c>
      <c r="E127" s="44" t="s">
        <v>144</v>
      </c>
      <c r="F127" s="44" t="s">
        <v>39</v>
      </c>
      <c r="G127" s="44" t="s">
        <v>120</v>
      </c>
      <c r="H127" s="44" t="s">
        <v>40</v>
      </c>
      <c r="I127" s="44" t="s">
        <v>40</v>
      </c>
      <c r="J127" s="44" t="s">
        <v>41</v>
      </c>
      <c r="K127" s="44" t="s">
        <v>132</v>
      </c>
      <c r="L127" s="40">
        <v>1123</v>
      </c>
      <c r="M127" s="41">
        <v>41339</v>
      </c>
      <c r="N127" s="40" t="s">
        <v>122</v>
      </c>
      <c r="O127" s="42">
        <f t="shared" si="5"/>
        <v>42248</v>
      </c>
      <c r="P127" s="40">
        <v>21</v>
      </c>
      <c r="Q127" s="207">
        <f>'[3]BGE LP_GMS'!G11</f>
        <v>36.179404183761605</v>
      </c>
      <c r="R127" s="207">
        <f>'[3]BGE LP_GMS'!H11</f>
        <v>34.982562206949218</v>
      </c>
      <c r="S127" s="207">
        <f>'[3]BGE LP_GMS'!I11</f>
        <v>34.048401738197079</v>
      </c>
      <c r="T127" s="207">
        <f>'[3]BGE LP_GMS'!J11</f>
        <v>33.52632039589443</v>
      </c>
      <c r="U127" s="207">
        <f>'[3]BGE LP_GMS'!K11</f>
        <v>34.435456258767935</v>
      </c>
      <c r="V127" s="145"/>
    </row>
    <row r="128" spans="1:22" x14ac:dyDescent="0.2">
      <c r="A128" s="89">
        <f t="shared" si="3"/>
        <v>120</v>
      </c>
      <c r="B128" s="43">
        <v>4</v>
      </c>
      <c r="C128" s="43">
        <v>9</v>
      </c>
      <c r="D128" s="38" t="s">
        <v>296</v>
      </c>
      <c r="E128" s="44" t="s">
        <v>146</v>
      </c>
      <c r="F128" s="44" t="s">
        <v>39</v>
      </c>
      <c r="G128" s="44" t="s">
        <v>120</v>
      </c>
      <c r="H128" s="44" t="s">
        <v>40</v>
      </c>
      <c r="I128" s="44" t="s">
        <v>40</v>
      </c>
      <c r="J128" s="44" t="s">
        <v>7</v>
      </c>
      <c r="K128" s="44" t="s">
        <v>129</v>
      </c>
      <c r="L128" s="40">
        <v>1125</v>
      </c>
      <c r="M128" s="41">
        <v>41339</v>
      </c>
      <c r="N128" s="40" t="s">
        <v>122</v>
      </c>
      <c r="O128" s="42">
        <f t="shared" si="5"/>
        <v>42248</v>
      </c>
      <c r="P128" s="40">
        <v>21</v>
      </c>
      <c r="Q128" s="207">
        <f>'[3]BGE LP_GSMS'!G11</f>
        <v>37.036167808551554</v>
      </c>
      <c r="R128" s="207">
        <f>'[3]BGE LP_GSMS'!H11</f>
        <v>35.933052996926669</v>
      </c>
      <c r="S128" s="207">
        <f>'[3]BGE LP_GSMS'!I11</f>
        <v>34.963018611932149</v>
      </c>
      <c r="T128" s="207">
        <f>'[3]BGE LP_GSMS'!J11</f>
        <v>34.47254883938043</v>
      </c>
      <c r="U128" s="207">
        <f>'[3]BGE LP_GSMS'!K11</f>
        <v>35.298446799676348</v>
      </c>
      <c r="V128" s="145"/>
    </row>
    <row r="129" spans="1:22" x14ac:dyDescent="0.2">
      <c r="A129" s="89">
        <f t="shared" si="3"/>
        <v>121</v>
      </c>
      <c r="B129" s="43">
        <v>4</v>
      </c>
      <c r="C129" s="43">
        <v>10</v>
      </c>
      <c r="D129" s="38" t="s">
        <v>297</v>
      </c>
      <c r="E129" s="44" t="s">
        <v>148</v>
      </c>
      <c r="F129" s="44" t="s">
        <v>25</v>
      </c>
      <c r="G129" s="44" t="s">
        <v>120</v>
      </c>
      <c r="H129" s="44" t="s">
        <v>149</v>
      </c>
      <c r="I129" s="44" t="s">
        <v>26</v>
      </c>
      <c r="J129" s="44" t="s">
        <v>27</v>
      </c>
      <c r="K129" s="44" t="s">
        <v>150</v>
      </c>
      <c r="L129" s="40">
        <v>1126</v>
      </c>
      <c r="M129" s="41">
        <v>41339</v>
      </c>
      <c r="N129" s="40" t="s">
        <v>122</v>
      </c>
      <c r="O129" s="42">
        <f t="shared" si="5"/>
        <v>42248</v>
      </c>
      <c r="P129" s="40">
        <v>21</v>
      </c>
      <c r="Q129" s="207">
        <f>'[3]ComEd - test LP_28MS'!G11</f>
        <v>31.383135360929018</v>
      </c>
      <c r="R129" s="207">
        <f>'[3]ComEd - test LP_28MS'!H11</f>
        <v>29.208827787010726</v>
      </c>
      <c r="S129" s="207">
        <f>'[3]ComEd - test LP_28MS'!I11</f>
        <v>27.409049758605324</v>
      </c>
      <c r="T129" s="207">
        <f>'[3]ComEd - test LP_28MS'!J11</f>
        <v>27.261645394192197</v>
      </c>
      <c r="U129" s="207">
        <f>'[3]ComEd - test LP_28MS'!K11</f>
        <v>28.537162444996579</v>
      </c>
      <c r="V129" s="145"/>
    </row>
    <row r="130" spans="1:22" x14ac:dyDescent="0.2">
      <c r="A130" s="89">
        <f t="shared" si="3"/>
        <v>122</v>
      </c>
      <c r="B130" s="43">
        <v>4</v>
      </c>
      <c r="C130" s="43">
        <v>11</v>
      </c>
      <c r="D130" s="38" t="s">
        <v>298</v>
      </c>
      <c r="E130" s="44" t="s">
        <v>152</v>
      </c>
      <c r="F130" s="44" t="s">
        <v>25</v>
      </c>
      <c r="G130" s="44" t="s">
        <v>120</v>
      </c>
      <c r="H130" s="44" t="s">
        <v>149</v>
      </c>
      <c r="I130" s="44" t="s">
        <v>26</v>
      </c>
      <c r="J130" s="44" t="s">
        <v>28</v>
      </c>
      <c r="K130" s="44" t="s">
        <v>153</v>
      </c>
      <c r="L130" s="40">
        <v>1127</v>
      </c>
      <c r="M130" s="41">
        <v>41339</v>
      </c>
      <c r="N130" s="40" t="s">
        <v>122</v>
      </c>
      <c r="O130" s="42">
        <f t="shared" si="5"/>
        <v>42248</v>
      </c>
      <c r="P130" s="40">
        <v>21</v>
      </c>
      <c r="Q130" s="207">
        <f>'[3]ComEd - test LP_29MS'!G11</f>
        <v>30.420002822543481</v>
      </c>
      <c r="R130" s="207">
        <f>'[3]ComEd - test LP_29MS'!H11</f>
        <v>28.302013673146948</v>
      </c>
      <c r="S130" s="207">
        <f>'[3]ComEd - test LP_29MS'!I11</f>
        <v>26.487581986736014</v>
      </c>
      <c r="T130" s="207">
        <f>'[3]ComEd - test LP_29MS'!J11</f>
        <v>26.354387633025983</v>
      </c>
      <c r="U130" s="207">
        <f>'[3]ComEd - test LP_29MS'!K11</f>
        <v>27.631546963867482</v>
      </c>
      <c r="V130" s="145"/>
    </row>
    <row r="131" spans="1:22" x14ac:dyDescent="0.2">
      <c r="A131" s="89">
        <f t="shared" si="3"/>
        <v>123</v>
      </c>
      <c r="B131" s="43">
        <v>4</v>
      </c>
      <c r="C131" s="43">
        <v>12</v>
      </c>
      <c r="D131" s="38" t="s">
        <v>299</v>
      </c>
      <c r="E131" s="44" t="s">
        <v>155</v>
      </c>
      <c r="F131" s="44" t="s">
        <v>20</v>
      </c>
      <c r="G131" s="44" t="s">
        <v>120</v>
      </c>
      <c r="H131" s="44" t="s">
        <v>105</v>
      </c>
      <c r="I131" s="44" t="s">
        <v>156</v>
      </c>
      <c r="J131" s="44" t="s">
        <v>22</v>
      </c>
      <c r="K131" s="44" t="s">
        <v>157</v>
      </c>
      <c r="L131" s="40">
        <v>1128</v>
      </c>
      <c r="M131" s="41">
        <v>41339</v>
      </c>
      <c r="N131" s="40" t="s">
        <v>122</v>
      </c>
      <c r="O131" s="42">
        <f t="shared" si="5"/>
        <v>42248</v>
      </c>
      <c r="P131" s="40">
        <v>21</v>
      </c>
      <c r="Q131" s="207">
        <f>[3]DAY_RC_843MS!G11</f>
        <v>21.635927274687369</v>
      </c>
      <c r="R131" s="207">
        <f>[3]DAY_RC_843MS!H11</f>
        <v>20.382848465060395</v>
      </c>
      <c r="S131" s="207">
        <f>[3]DAY_RC_843MS!I11</f>
        <v>18.217008098887575</v>
      </c>
      <c r="T131" s="207">
        <f>[3]DAY_RC_843MS!J11</f>
        <v>18.247294926854853</v>
      </c>
      <c r="U131" s="207">
        <f>[3]DAY_RC_843MS!K11</f>
        <v>19.422100181261722</v>
      </c>
      <c r="V131" s="145"/>
    </row>
    <row r="132" spans="1:22" x14ac:dyDescent="0.2">
      <c r="A132" s="89">
        <f t="shared" si="3"/>
        <v>124</v>
      </c>
      <c r="B132" s="43">
        <v>4</v>
      </c>
      <c r="C132" s="43">
        <v>13</v>
      </c>
      <c r="D132" s="38" t="s">
        <v>300</v>
      </c>
      <c r="E132" s="44" t="s">
        <v>159</v>
      </c>
      <c r="F132" s="44" t="s">
        <v>39</v>
      </c>
      <c r="G132" s="44" t="s">
        <v>120</v>
      </c>
      <c r="H132" s="44" t="s">
        <v>43</v>
      </c>
      <c r="I132" s="44" t="s">
        <v>43</v>
      </c>
      <c r="J132" s="44" t="s">
        <v>7</v>
      </c>
      <c r="K132" s="44" t="s">
        <v>140</v>
      </c>
      <c r="L132" s="40">
        <v>1129</v>
      </c>
      <c r="M132" s="41">
        <v>41339</v>
      </c>
      <c r="N132" s="40" t="s">
        <v>122</v>
      </c>
      <c r="O132" s="42">
        <f t="shared" si="5"/>
        <v>42248</v>
      </c>
      <c r="P132" s="40">
        <v>21</v>
      </c>
      <c r="Q132" s="207">
        <f>'[3]Delmarva MD LP_MDGS_MMS'!G11</f>
        <v>40.663301999826864</v>
      </c>
      <c r="R132" s="207">
        <f>'[3]Delmarva MD LP_MDGS_MMS'!H11</f>
        <v>38.548826839994732</v>
      </c>
      <c r="S132" s="207">
        <f>'[3]Delmarva MD LP_MDGS_MMS'!I11</f>
        <v>37.983377354901712</v>
      </c>
      <c r="T132" s="207">
        <f>'[3]Delmarva MD LP_MDGS_MMS'!J11</f>
        <v>37.265449985798384</v>
      </c>
      <c r="U132" s="207">
        <f>'[3]Delmarva MD LP_MDGS_MMS'!K11</f>
        <v>38.46478789548852</v>
      </c>
      <c r="V132" s="145"/>
    </row>
    <row r="133" spans="1:22" x14ac:dyDescent="0.2">
      <c r="A133" s="89">
        <f t="shared" si="3"/>
        <v>125</v>
      </c>
      <c r="B133" s="43">
        <v>4</v>
      </c>
      <c r="C133" s="43">
        <v>14</v>
      </c>
      <c r="D133" s="38" t="s">
        <v>301</v>
      </c>
      <c r="E133" s="44" t="s">
        <v>161</v>
      </c>
      <c r="F133" s="44" t="s">
        <v>6</v>
      </c>
      <c r="G133" s="44" t="s">
        <v>120</v>
      </c>
      <c r="H133" s="44" t="s">
        <v>48</v>
      </c>
      <c r="I133" s="44" t="s">
        <v>48</v>
      </c>
      <c r="J133" s="44" t="s">
        <v>7</v>
      </c>
      <c r="K133" s="44" t="s">
        <v>140</v>
      </c>
      <c r="L133" s="40">
        <v>1130</v>
      </c>
      <c r="M133" s="41">
        <v>41339</v>
      </c>
      <c r="N133" s="40" t="s">
        <v>122</v>
      </c>
      <c r="O133" s="42">
        <f t="shared" si="5"/>
        <v>42248</v>
      </c>
      <c r="P133" s="40">
        <v>21</v>
      </c>
      <c r="Q133" s="207">
        <f>'[3]DQE LP_GSGM_MMS'!G11</f>
        <v>35.088220130107899</v>
      </c>
      <c r="R133" s="207">
        <f>'[3]DQE LP_GSGM_MMS'!H11</f>
        <v>32.909596013374184</v>
      </c>
      <c r="S133" s="207">
        <f>'[3]DQE LP_GSGM_MMS'!I11</f>
        <v>31.101217093934075</v>
      </c>
      <c r="T133" s="207">
        <f>'[3]DQE LP_GSGM_MMS'!J11</f>
        <v>30.947191317133871</v>
      </c>
      <c r="U133" s="207">
        <f>'[3]DQE LP_GSGM_MMS'!K11</f>
        <v>32.219397973848366</v>
      </c>
      <c r="V133" s="145"/>
    </row>
    <row r="134" spans="1:22" x14ac:dyDescent="0.2">
      <c r="A134" s="89">
        <f t="shared" si="3"/>
        <v>126</v>
      </c>
      <c r="B134" s="43">
        <v>4</v>
      </c>
      <c r="C134" s="43">
        <v>15</v>
      </c>
      <c r="D134" s="38" t="s">
        <v>302</v>
      </c>
      <c r="E134" s="44" t="s">
        <v>163</v>
      </c>
      <c r="F134" s="44" t="s">
        <v>20</v>
      </c>
      <c r="G134" s="44" t="s">
        <v>120</v>
      </c>
      <c r="H134" s="44" t="s">
        <v>23</v>
      </c>
      <c r="I134" s="44" t="s">
        <v>164</v>
      </c>
      <c r="J134" s="44" t="s">
        <v>24</v>
      </c>
      <c r="K134" s="44" t="s">
        <v>140</v>
      </c>
      <c r="L134" s="40">
        <v>1131</v>
      </c>
      <c r="M134" s="41">
        <v>41339</v>
      </c>
      <c r="N134" s="40" t="s">
        <v>122</v>
      </c>
      <c r="O134" s="42">
        <f t="shared" si="5"/>
        <v>42248</v>
      </c>
      <c r="P134" s="40">
        <v>21</v>
      </c>
      <c r="Q134" s="207">
        <f>[3]Duke_OH_RC_DS01MS!G11</f>
        <v>23.087640535005391</v>
      </c>
      <c r="R134" s="207">
        <f>[3]Duke_OH_RC_DS01MS!H11</f>
        <v>20.216938919642839</v>
      </c>
      <c r="S134" s="207">
        <f>[3]Duke_OH_RC_DS01MS!I11</f>
        <v>18.450165556633074</v>
      </c>
      <c r="T134" s="207">
        <f>[3]Duke_OH_RC_DS01MS!J11</f>
        <v>18.081808365882591</v>
      </c>
      <c r="U134" s="207">
        <f>[3]Duke_OH_RC_DS01MS!K11</f>
        <v>19.152682206007011</v>
      </c>
      <c r="V134" s="145"/>
    </row>
    <row r="135" spans="1:22" x14ac:dyDescent="0.2">
      <c r="A135" s="89">
        <f t="shared" si="3"/>
        <v>127</v>
      </c>
      <c r="B135" s="43">
        <v>4</v>
      </c>
      <c r="C135" s="43">
        <v>16</v>
      </c>
      <c r="D135" s="38" t="s">
        <v>303</v>
      </c>
      <c r="E135" s="44" t="s">
        <v>166</v>
      </c>
      <c r="F135" s="44" t="s">
        <v>20</v>
      </c>
      <c r="G135" s="44" t="s">
        <v>120</v>
      </c>
      <c r="H135" s="44" t="s">
        <v>64</v>
      </c>
      <c r="I135" s="44" t="s">
        <v>167</v>
      </c>
      <c r="J135" s="44" t="s">
        <v>7</v>
      </c>
      <c r="K135" s="44" t="s">
        <v>140</v>
      </c>
      <c r="L135" s="40">
        <v>1132</v>
      </c>
      <c r="M135" s="41">
        <v>41339</v>
      </c>
      <c r="N135" s="40" t="s">
        <v>122</v>
      </c>
      <c r="O135" s="42">
        <f t="shared" si="5"/>
        <v>42248</v>
      </c>
      <c r="P135" s="40">
        <v>21</v>
      </c>
      <c r="Q135" s="207">
        <f>'[3]FE_OE - test RC_GSFMS'!G11</f>
        <v>40.613167003162943</v>
      </c>
      <c r="R135" s="207">
        <f>'[3]FE_OE - test RC_GSFMS'!H11</f>
        <v>36.02318709839134</v>
      </c>
      <c r="S135" s="207">
        <f>'[3]FE_OE - test RC_GSFMS'!I11</f>
        <v>30.559320622439255</v>
      </c>
      <c r="T135" s="207">
        <f>'[3]FE_OE - test RC_GSFMS'!J11</f>
        <v>28.465378525376785</v>
      </c>
      <c r="U135" s="207">
        <f>'[3]FE_OE - test RC_GSFMS'!K11</f>
        <v>28.383674869231665</v>
      </c>
      <c r="V135" s="145"/>
    </row>
    <row r="136" spans="1:22" x14ac:dyDescent="0.2">
      <c r="A136" s="89">
        <f t="shared" si="3"/>
        <v>128</v>
      </c>
      <c r="B136" s="43">
        <v>4</v>
      </c>
      <c r="C136" s="43">
        <v>17</v>
      </c>
      <c r="D136" s="38" t="s">
        <v>304</v>
      </c>
      <c r="E136" s="44" t="s">
        <v>169</v>
      </c>
      <c r="F136" s="44" t="s">
        <v>31</v>
      </c>
      <c r="G136" s="44" t="s">
        <v>120</v>
      </c>
      <c r="H136" s="44" t="s">
        <v>35</v>
      </c>
      <c r="I136" s="44" t="s">
        <v>35</v>
      </c>
      <c r="J136" s="44" t="s">
        <v>9</v>
      </c>
      <c r="K136" s="44" t="s">
        <v>135</v>
      </c>
      <c r="L136" s="40">
        <v>1133</v>
      </c>
      <c r="M136" s="41">
        <v>41339</v>
      </c>
      <c r="N136" s="40" t="s">
        <v>122</v>
      </c>
      <c r="O136" s="42">
        <f t="shared" si="5"/>
        <v>42248</v>
      </c>
      <c r="P136" s="40">
        <v>21</v>
      </c>
      <c r="Q136" s="207">
        <f>'[3]JCPL LP_GSCLMS'!G11</f>
        <v>49.40067578924608</v>
      </c>
      <c r="R136" s="207">
        <f>'[3]JCPL LP_GSCLMS'!H11</f>
        <v>47.24781496516831</v>
      </c>
      <c r="S136" s="207">
        <f>'[3]JCPL LP_GSCLMS'!I11</f>
        <v>46.660905017191823</v>
      </c>
      <c r="T136" s="207">
        <f>'[3]JCPL LP_GSCLMS'!J11</f>
        <v>46.052778781353041</v>
      </c>
      <c r="U136" s="207">
        <f>'[3]JCPL LP_GSCLMS'!K11</f>
        <v>47.404370496626903</v>
      </c>
      <c r="V136" s="145"/>
    </row>
    <row r="137" spans="1:22" x14ac:dyDescent="0.2">
      <c r="A137" s="89">
        <f t="shared" si="3"/>
        <v>129</v>
      </c>
      <c r="B137" s="43">
        <v>4</v>
      </c>
      <c r="C137" s="43">
        <v>18</v>
      </c>
      <c r="D137" s="38" t="s">
        <v>305</v>
      </c>
      <c r="E137" s="44" t="s">
        <v>171</v>
      </c>
      <c r="F137" s="44" t="s">
        <v>31</v>
      </c>
      <c r="G137" s="44" t="s">
        <v>120</v>
      </c>
      <c r="H137" s="44" t="s">
        <v>35</v>
      </c>
      <c r="I137" s="44" t="s">
        <v>35</v>
      </c>
      <c r="J137" s="44" t="s">
        <v>10</v>
      </c>
      <c r="K137" s="44" t="s">
        <v>132</v>
      </c>
      <c r="L137" s="40">
        <v>1134</v>
      </c>
      <c r="M137" s="41">
        <v>41339</v>
      </c>
      <c r="N137" s="40" t="s">
        <v>122</v>
      </c>
      <c r="O137" s="42">
        <f t="shared" si="5"/>
        <v>42248</v>
      </c>
      <c r="P137" s="40">
        <v>21</v>
      </c>
      <c r="Q137" s="207">
        <f>'[3]JCPL LP_GSCMMS'!G11</f>
        <v>51.7380312911651</v>
      </c>
      <c r="R137" s="207">
        <f>'[3]JCPL LP_GSCMMS'!H11</f>
        <v>48.210555926297822</v>
      </c>
      <c r="S137" s="207">
        <f>'[3]JCPL LP_GSCMMS'!I11</f>
        <v>47.999109912922862</v>
      </c>
      <c r="T137" s="207">
        <f>'[3]JCPL LP_GSCMMS'!J11</f>
        <v>47.024184479355071</v>
      </c>
      <c r="U137" s="207">
        <f>'[3]JCPL LP_GSCMMS'!K11</f>
        <v>48.390804534101505</v>
      </c>
      <c r="V137" s="145"/>
    </row>
    <row r="138" spans="1:22" x14ac:dyDescent="0.2">
      <c r="A138" s="89">
        <f t="shared" si="3"/>
        <v>130</v>
      </c>
      <c r="B138" s="43">
        <v>4</v>
      </c>
      <c r="C138" s="43">
        <v>19</v>
      </c>
      <c r="D138" s="38" t="s">
        <v>306</v>
      </c>
      <c r="E138" s="44" t="s">
        <v>173</v>
      </c>
      <c r="F138" s="44" t="s">
        <v>31</v>
      </c>
      <c r="G138" s="44" t="s">
        <v>120</v>
      </c>
      <c r="H138" s="44" t="s">
        <v>35</v>
      </c>
      <c r="I138" s="44" t="s">
        <v>35</v>
      </c>
      <c r="J138" s="44" t="s">
        <v>11</v>
      </c>
      <c r="K138" s="44" t="s">
        <v>129</v>
      </c>
      <c r="L138" s="40">
        <v>1135</v>
      </c>
      <c r="M138" s="41">
        <v>41339</v>
      </c>
      <c r="N138" s="40" t="s">
        <v>122</v>
      </c>
      <c r="O138" s="42">
        <f t="shared" si="5"/>
        <v>42248</v>
      </c>
      <c r="P138" s="40">
        <v>21</v>
      </c>
      <c r="Q138" s="207">
        <f>'[3]JCPL LP_GSCSMS'!G11</f>
        <v>49.377790446640695</v>
      </c>
      <c r="R138" s="207">
        <f>'[3]JCPL LP_GSCSMS'!H11</f>
        <v>48.414187849634224</v>
      </c>
      <c r="S138" s="207">
        <f>'[3]JCPL LP_GSCSMS'!I11</f>
        <v>47.47772266106557</v>
      </c>
      <c r="T138" s="207">
        <f>'[3]JCPL LP_GSCSMS'!J11</f>
        <v>47.214736524677839</v>
      </c>
      <c r="U138" s="207">
        <f>'[3]JCPL LP_GSCSMS'!K11</f>
        <v>48.554717101446542</v>
      </c>
      <c r="V138" s="145"/>
    </row>
    <row r="139" spans="1:22" x14ac:dyDescent="0.2">
      <c r="A139" s="89">
        <f t="shared" ref="A139:A202" si="6">A138+1</f>
        <v>131</v>
      </c>
      <c r="B139" s="43">
        <v>4</v>
      </c>
      <c r="C139" s="43">
        <v>20</v>
      </c>
      <c r="D139" s="38" t="s">
        <v>307</v>
      </c>
      <c r="E139" s="44" t="s">
        <v>175</v>
      </c>
      <c r="F139" s="44" t="s">
        <v>6</v>
      </c>
      <c r="G139" s="44" t="s">
        <v>120</v>
      </c>
      <c r="H139" s="44" t="s">
        <v>176</v>
      </c>
      <c r="I139" s="44" t="s">
        <v>177</v>
      </c>
      <c r="J139" s="44" t="s">
        <v>9</v>
      </c>
      <c r="K139" s="44" t="s">
        <v>135</v>
      </c>
      <c r="L139" s="40">
        <v>1137</v>
      </c>
      <c r="M139" s="41">
        <v>41339</v>
      </c>
      <c r="N139" s="40" t="s">
        <v>122</v>
      </c>
      <c r="O139" s="42">
        <f t="shared" si="5"/>
        <v>42248</v>
      </c>
      <c r="P139" s="40">
        <v>21</v>
      </c>
      <c r="Q139" s="207">
        <f>'[3]MetEd RC_GSLFMS'!G11</f>
        <v>30.323778172249376</v>
      </c>
      <c r="R139" s="207">
        <f>'[3]MetEd RC_GSLFMS'!H11</f>
        <v>28.601255654673377</v>
      </c>
      <c r="S139" s="207">
        <f>'[3]MetEd RC_GSLFMS'!I11</f>
        <v>27.726558896462929</v>
      </c>
      <c r="T139" s="207">
        <f>'[3]MetEd RC_GSLFMS'!J11</f>
        <v>27.077604421131323</v>
      </c>
      <c r="U139" s="207">
        <f>'[3]MetEd RC_GSLFMS'!K11</f>
        <v>27.755931589884959</v>
      </c>
      <c r="V139" s="145"/>
    </row>
    <row r="140" spans="1:22" x14ac:dyDescent="0.2">
      <c r="A140" s="89">
        <f t="shared" si="6"/>
        <v>132</v>
      </c>
      <c r="B140" s="43">
        <v>4</v>
      </c>
      <c r="C140" s="43">
        <v>21</v>
      </c>
      <c r="D140" s="38" t="s">
        <v>308</v>
      </c>
      <c r="E140" s="44" t="s">
        <v>179</v>
      </c>
      <c r="F140" s="44" t="s">
        <v>6</v>
      </c>
      <c r="G140" s="44" t="s">
        <v>120</v>
      </c>
      <c r="H140" s="44" t="s">
        <v>176</v>
      </c>
      <c r="I140" s="44" t="s">
        <v>177</v>
      </c>
      <c r="J140" s="44" t="s">
        <v>10</v>
      </c>
      <c r="K140" s="44" t="s">
        <v>132</v>
      </c>
      <c r="L140" s="40">
        <v>1136</v>
      </c>
      <c r="M140" s="41">
        <v>41339</v>
      </c>
      <c r="N140" s="40" t="s">
        <v>122</v>
      </c>
      <c r="O140" s="42">
        <f t="shared" si="5"/>
        <v>42248</v>
      </c>
      <c r="P140" s="40">
        <v>21</v>
      </c>
      <c r="Q140" s="207">
        <f>'[3]MetEd RC_GSDFMS'!G11</f>
        <v>31.421493921913129</v>
      </c>
      <c r="R140" s="207">
        <f>'[3]MetEd RC_GSDFMS'!H11</f>
        <v>29.697592327657837</v>
      </c>
      <c r="S140" s="207">
        <f>'[3]MetEd RC_GSDFMS'!I11</f>
        <v>28.819860175611453</v>
      </c>
      <c r="T140" s="207">
        <f>'[3]MetEd RC_GSDFMS'!J11</f>
        <v>28.174649098996138</v>
      </c>
      <c r="U140" s="207">
        <f>'[3]MetEd RC_GSDFMS'!K11</f>
        <v>28.848980019637303</v>
      </c>
      <c r="V140" s="145"/>
    </row>
    <row r="141" spans="1:22" x14ac:dyDescent="0.2">
      <c r="A141" s="89">
        <f t="shared" si="6"/>
        <v>133</v>
      </c>
      <c r="B141" s="43">
        <v>4</v>
      </c>
      <c r="C141" s="43">
        <v>22</v>
      </c>
      <c r="D141" s="38" t="s">
        <v>309</v>
      </c>
      <c r="E141" s="44" t="s">
        <v>181</v>
      </c>
      <c r="F141" s="44" t="s">
        <v>6</v>
      </c>
      <c r="G141" s="44" t="s">
        <v>120</v>
      </c>
      <c r="H141" s="44" t="s">
        <v>176</v>
      </c>
      <c r="I141" s="44" t="s">
        <v>177</v>
      </c>
      <c r="J141" s="44" t="s">
        <v>11</v>
      </c>
      <c r="K141" s="44" t="s">
        <v>129</v>
      </c>
      <c r="L141" s="40">
        <v>1138</v>
      </c>
      <c r="M141" s="41">
        <v>41339</v>
      </c>
      <c r="N141" s="40" t="s">
        <v>122</v>
      </c>
      <c r="O141" s="42">
        <f t="shared" si="5"/>
        <v>42248</v>
      </c>
      <c r="P141" s="40">
        <v>21</v>
      </c>
      <c r="Q141" s="207">
        <f>'[3]MetEd RC_GSSFMS'!G11</f>
        <v>29.627879029730547</v>
      </c>
      <c r="R141" s="207">
        <f>'[3]MetEd RC_GSSFMS'!H11</f>
        <v>29.617216123980906</v>
      </c>
      <c r="S141" s="207">
        <f>'[3]MetEd RC_GSSFMS'!I11</f>
        <v>28.220431768599592</v>
      </c>
      <c r="T141" s="207">
        <f>'[3]MetEd RC_GSSFMS'!J11</f>
        <v>28.087960983768603</v>
      </c>
      <c r="U141" s="207">
        <f>'[3]MetEd RC_GSSFMS'!K11</f>
        <v>28.767900317152236</v>
      </c>
      <c r="V141" s="145"/>
    </row>
    <row r="142" spans="1:22" x14ac:dyDescent="0.2">
      <c r="A142" s="89">
        <f t="shared" si="6"/>
        <v>134</v>
      </c>
      <c r="B142" s="43">
        <v>4</v>
      </c>
      <c r="C142" s="43">
        <v>23</v>
      </c>
      <c r="D142" s="38" t="s">
        <v>310</v>
      </c>
      <c r="E142" s="44" t="s">
        <v>183</v>
      </c>
      <c r="F142" s="44" t="s">
        <v>6</v>
      </c>
      <c r="G142" s="44" t="s">
        <v>120</v>
      </c>
      <c r="H142" s="44" t="s">
        <v>13</v>
      </c>
      <c r="I142" s="44" t="s">
        <v>13</v>
      </c>
      <c r="J142" s="44" t="s">
        <v>7</v>
      </c>
      <c r="K142" s="44" t="s">
        <v>140</v>
      </c>
      <c r="L142" s="40">
        <v>1139</v>
      </c>
      <c r="M142" s="41">
        <v>41339</v>
      </c>
      <c r="N142" s="40" t="s">
        <v>122</v>
      </c>
      <c r="O142" s="42">
        <f t="shared" si="5"/>
        <v>42248</v>
      </c>
      <c r="P142" s="40">
        <v>21</v>
      </c>
      <c r="Q142" s="207">
        <f>'[3]PECO LP_GSMS'!G11</f>
        <v>34.752827042701462</v>
      </c>
      <c r="R142" s="207">
        <f>'[3]PECO LP_GSMS'!H11</f>
        <v>32.30674329234229</v>
      </c>
      <c r="S142" s="207">
        <f>'[3]PECO LP_GSMS'!I11</f>
        <v>31.632901000430419</v>
      </c>
      <c r="T142" s="207">
        <f>'[3]PECO LP_GSMS'!J11</f>
        <v>30.74848204918592</v>
      </c>
      <c r="U142" s="207">
        <f>'[3]PECO LP_GSMS'!K11</f>
        <v>31.532968289496917</v>
      </c>
      <c r="V142" s="145"/>
    </row>
    <row r="143" spans="1:22" x14ac:dyDescent="0.2">
      <c r="A143" s="89">
        <f t="shared" si="6"/>
        <v>135</v>
      </c>
      <c r="B143" s="43">
        <v>4</v>
      </c>
      <c r="C143" s="43">
        <v>24</v>
      </c>
      <c r="D143" s="38" t="s">
        <v>311</v>
      </c>
      <c r="E143" s="44" t="s">
        <v>185</v>
      </c>
      <c r="F143" s="44" t="s">
        <v>6</v>
      </c>
      <c r="G143" s="44" t="s">
        <v>120</v>
      </c>
      <c r="H143" s="44" t="s">
        <v>12</v>
      </c>
      <c r="I143" s="44" t="s">
        <v>186</v>
      </c>
      <c r="J143" s="44" t="s">
        <v>9</v>
      </c>
      <c r="K143" s="44" t="s">
        <v>135</v>
      </c>
      <c r="L143" s="40">
        <v>1140</v>
      </c>
      <c r="M143" s="41">
        <v>41339</v>
      </c>
      <c r="N143" s="40" t="s">
        <v>122</v>
      </c>
      <c r="O143" s="42">
        <f t="shared" si="5"/>
        <v>42248</v>
      </c>
      <c r="P143" s="40">
        <v>21</v>
      </c>
      <c r="Q143" s="207">
        <f>'[3]Penelec RC_GSLFMS'!G11</f>
        <v>32.035904867095681</v>
      </c>
      <c r="R143" s="207">
        <f>'[3]Penelec RC_GSLFMS'!H11</f>
        <v>30.821885316503362</v>
      </c>
      <c r="S143" s="207">
        <f>'[3]Penelec RC_GSLFMS'!I11</f>
        <v>29.871118025669926</v>
      </c>
      <c r="T143" s="207">
        <f>'[3]Penelec RC_GSLFMS'!J11</f>
        <v>29.433186562294917</v>
      </c>
      <c r="U143" s="207">
        <f>'[3]Penelec RC_GSLFMS'!K11</f>
        <v>30.271427239518975</v>
      </c>
      <c r="V143" s="145"/>
    </row>
    <row r="144" spans="1:22" x14ac:dyDescent="0.2">
      <c r="A144" s="89">
        <f t="shared" si="6"/>
        <v>136</v>
      </c>
      <c r="B144" s="43">
        <v>4</v>
      </c>
      <c r="C144" s="43">
        <v>25</v>
      </c>
      <c r="D144" s="38" t="s">
        <v>312</v>
      </c>
      <c r="E144" s="44" t="s">
        <v>188</v>
      </c>
      <c r="F144" s="44" t="s">
        <v>6</v>
      </c>
      <c r="G144" s="44" t="s">
        <v>120</v>
      </c>
      <c r="H144" s="44" t="s">
        <v>12</v>
      </c>
      <c r="I144" s="44" t="s">
        <v>186</v>
      </c>
      <c r="J144" s="44" t="s">
        <v>10</v>
      </c>
      <c r="K144" s="44" t="s">
        <v>132</v>
      </c>
      <c r="L144" s="40">
        <v>1141</v>
      </c>
      <c r="M144" s="41">
        <v>41339</v>
      </c>
      <c r="N144" s="40" t="s">
        <v>122</v>
      </c>
      <c r="O144" s="42">
        <f t="shared" si="5"/>
        <v>42248</v>
      </c>
      <c r="P144" s="40">
        <v>21</v>
      </c>
      <c r="Q144" s="207">
        <f>'[3]Penelec RC_GSMFMS'!G11</f>
        <v>33.007716330184977</v>
      </c>
      <c r="R144" s="207">
        <f>'[3]Penelec RC_GSMFMS'!H11</f>
        <v>31.947970402019301</v>
      </c>
      <c r="S144" s="207">
        <f>'[3]Penelec RC_GSMFMS'!I11</f>
        <v>30.945538034480109</v>
      </c>
      <c r="T144" s="207">
        <f>'[3]Penelec RC_GSMFMS'!J11</f>
        <v>30.556592466975523</v>
      </c>
      <c r="U144" s="207">
        <f>'[3]Penelec RC_GSMFMS'!K11</f>
        <v>31.389763265839537</v>
      </c>
      <c r="V144" s="145"/>
    </row>
    <row r="145" spans="1:22" x14ac:dyDescent="0.2">
      <c r="A145" s="89">
        <f t="shared" si="6"/>
        <v>137</v>
      </c>
      <c r="B145" s="43">
        <v>4</v>
      </c>
      <c r="C145" s="43">
        <v>26</v>
      </c>
      <c r="D145" s="38" t="s">
        <v>313</v>
      </c>
      <c r="E145" s="44" t="s">
        <v>190</v>
      </c>
      <c r="F145" s="44" t="s">
        <v>6</v>
      </c>
      <c r="G145" s="44" t="s">
        <v>120</v>
      </c>
      <c r="H145" s="44" t="s">
        <v>12</v>
      </c>
      <c r="I145" s="44" t="s">
        <v>186</v>
      </c>
      <c r="J145" s="44" t="s">
        <v>11</v>
      </c>
      <c r="K145" s="44" t="s">
        <v>129</v>
      </c>
      <c r="L145" s="40">
        <v>1142</v>
      </c>
      <c r="M145" s="41">
        <v>41339</v>
      </c>
      <c r="N145" s="40" t="s">
        <v>122</v>
      </c>
      <c r="O145" s="42">
        <f t="shared" si="5"/>
        <v>42248</v>
      </c>
      <c r="P145" s="40">
        <v>21</v>
      </c>
      <c r="Q145" s="207">
        <f>'[3]Penelec RC_GSSFMS'!G11</f>
        <v>30.125524909149743</v>
      </c>
      <c r="R145" s="207">
        <f>'[3]Penelec RC_GSSFMS'!H11</f>
        <v>31.997599779443007</v>
      </c>
      <c r="S145" s="207">
        <f>'[3]Penelec RC_GSSFMS'!I11</f>
        <v>30.012910335519805</v>
      </c>
      <c r="T145" s="207">
        <f>'[3]Penelec RC_GSSFMS'!J11</f>
        <v>30.580385672487893</v>
      </c>
      <c r="U145" s="207">
        <f>'[3]Penelec RC_GSSFMS'!K11</f>
        <v>31.405019825688349</v>
      </c>
      <c r="V145" s="145"/>
    </row>
    <row r="146" spans="1:22" x14ac:dyDescent="0.2">
      <c r="A146" s="89">
        <f t="shared" si="6"/>
        <v>138</v>
      </c>
      <c r="B146" s="43">
        <v>4</v>
      </c>
      <c r="C146" s="43">
        <v>27</v>
      </c>
      <c r="D146" s="38" t="s">
        <v>314</v>
      </c>
      <c r="E146" s="44" t="s">
        <v>192</v>
      </c>
      <c r="F146" s="44" t="s">
        <v>6</v>
      </c>
      <c r="G146" s="44" t="s">
        <v>120</v>
      </c>
      <c r="H146" s="44" t="s">
        <v>100</v>
      </c>
      <c r="I146" s="44" t="s">
        <v>193</v>
      </c>
      <c r="J146" s="44" t="s">
        <v>7</v>
      </c>
      <c r="K146" s="44" t="s">
        <v>140</v>
      </c>
      <c r="L146" s="40">
        <v>1143</v>
      </c>
      <c r="M146" s="41">
        <v>41339</v>
      </c>
      <c r="N146" s="40" t="s">
        <v>122</v>
      </c>
      <c r="O146" s="42">
        <f t="shared" si="5"/>
        <v>42248</v>
      </c>
      <c r="P146" s="40">
        <v>21</v>
      </c>
      <c r="Q146" s="207">
        <f>'[3]Penn Power RC_GMDMS'!G11</f>
        <v>51.300461883614311</v>
      </c>
      <c r="R146" s="207">
        <f>'[3]Penn Power RC_GMDMS'!H11</f>
        <v>47.041102272836234</v>
      </c>
      <c r="S146" s="207">
        <f>'[3]Penn Power RC_GMDMS'!I11</f>
        <v>41.56096618890453</v>
      </c>
      <c r="T146" s="207">
        <f>'[3]Penn Power RC_GMDMS'!J11</f>
        <v>39.60087012958104</v>
      </c>
      <c r="U146" s="207">
        <f>'[3]Penn Power RC_GMDMS'!K11</f>
        <v>39.567398864899502</v>
      </c>
      <c r="V146" s="145"/>
    </row>
    <row r="147" spans="1:22" x14ac:dyDescent="0.2">
      <c r="A147" s="89">
        <f t="shared" si="6"/>
        <v>139</v>
      </c>
      <c r="B147" s="43">
        <v>4</v>
      </c>
      <c r="C147" s="43">
        <v>28</v>
      </c>
      <c r="D147" s="38" t="s">
        <v>315</v>
      </c>
      <c r="E147" s="44" t="s">
        <v>195</v>
      </c>
      <c r="F147" s="44" t="s">
        <v>39</v>
      </c>
      <c r="G147" s="44" t="s">
        <v>120</v>
      </c>
      <c r="H147" s="44" t="s">
        <v>44</v>
      </c>
      <c r="I147" s="44" t="s">
        <v>44</v>
      </c>
      <c r="J147" s="44" t="s">
        <v>7</v>
      </c>
      <c r="K147" s="44" t="s">
        <v>140</v>
      </c>
      <c r="L147" s="40">
        <v>1144</v>
      </c>
      <c r="M147" s="41">
        <v>41339</v>
      </c>
      <c r="N147" s="40" t="s">
        <v>122</v>
      </c>
      <c r="O147" s="42">
        <f t="shared" si="5"/>
        <v>42248</v>
      </c>
      <c r="P147" s="40">
        <v>21</v>
      </c>
      <c r="Q147" s="207">
        <f>'[3]PEPCO MD LP_MDNDMS'!G11</f>
        <v>35.325224789730193</v>
      </c>
      <c r="R147" s="207">
        <f>'[3]PEPCO MD LP_MDNDMS'!H11</f>
        <v>34.693191968156256</v>
      </c>
      <c r="S147" s="207">
        <f>'[3]PEPCO MD LP_MDNDMS'!I11</f>
        <v>33.702646350901631</v>
      </c>
      <c r="T147" s="207">
        <f>'[3]PEPCO MD LP_MDNDMS'!J11</f>
        <v>33.384388893461214</v>
      </c>
      <c r="U147" s="207">
        <f>'[3]PEPCO MD LP_MDNDMS'!K11</f>
        <v>34.483354316211923</v>
      </c>
      <c r="V147" s="145"/>
    </row>
    <row r="148" spans="1:22" x14ac:dyDescent="0.2">
      <c r="A148" s="89">
        <f t="shared" si="6"/>
        <v>140</v>
      </c>
      <c r="B148" s="43">
        <v>4</v>
      </c>
      <c r="C148" s="43">
        <v>29</v>
      </c>
      <c r="D148" s="38" t="s">
        <v>316</v>
      </c>
      <c r="E148" s="44" t="s">
        <v>197</v>
      </c>
      <c r="F148" s="44" t="s">
        <v>39</v>
      </c>
      <c r="G148" s="44" t="s">
        <v>120</v>
      </c>
      <c r="H148" s="44" t="s">
        <v>44</v>
      </c>
      <c r="I148" s="44" t="s">
        <v>44</v>
      </c>
      <c r="J148" s="44" t="s">
        <v>45</v>
      </c>
      <c r="K148" s="44" t="s">
        <v>198</v>
      </c>
      <c r="L148" s="40">
        <v>1145</v>
      </c>
      <c r="M148" s="41">
        <v>41339</v>
      </c>
      <c r="N148" s="40" t="s">
        <v>122</v>
      </c>
      <c r="O148" s="42">
        <f t="shared" si="5"/>
        <v>42248</v>
      </c>
      <c r="P148" s="40">
        <v>21</v>
      </c>
      <c r="Q148" s="207">
        <f>'[3]PEPCO MD LP_MMGTL2AMS'!G11</f>
        <v>35.236431487194885</v>
      </c>
      <c r="R148" s="207">
        <f>'[3]PEPCO MD LP_MMGTL2AMS'!H11</f>
        <v>33.564401096389005</v>
      </c>
      <c r="S148" s="207">
        <f>'[3]PEPCO MD LP_MMGTL2AMS'!I11</f>
        <v>32.911452134193439</v>
      </c>
      <c r="T148" s="207">
        <f>'[3]PEPCO MD LP_MMGTL2AMS'!J11</f>
        <v>32.280109881039202</v>
      </c>
      <c r="U148" s="207">
        <f>'[3]PEPCO MD LP_MMGTL2AMS'!K11</f>
        <v>33.378314840885331</v>
      </c>
      <c r="V148" s="145"/>
    </row>
    <row r="149" spans="1:22" x14ac:dyDescent="0.2">
      <c r="A149" s="89">
        <f t="shared" si="6"/>
        <v>141</v>
      </c>
      <c r="B149" s="43">
        <v>4</v>
      </c>
      <c r="C149" s="43">
        <v>30</v>
      </c>
      <c r="D149" s="38" t="s">
        <v>317</v>
      </c>
      <c r="E149" s="44" t="s">
        <v>200</v>
      </c>
      <c r="F149" s="44" t="s">
        <v>39</v>
      </c>
      <c r="G149" s="44" t="s">
        <v>120</v>
      </c>
      <c r="H149" s="44" t="s">
        <v>44</v>
      </c>
      <c r="I149" s="44" t="s">
        <v>44</v>
      </c>
      <c r="J149" s="44" t="s">
        <v>46</v>
      </c>
      <c r="K149" s="44" t="s">
        <v>46</v>
      </c>
      <c r="L149" s="40">
        <v>1146</v>
      </c>
      <c r="M149" s="41">
        <v>41339</v>
      </c>
      <c r="N149" s="40" t="s">
        <v>122</v>
      </c>
      <c r="O149" s="42">
        <f t="shared" si="5"/>
        <v>42248</v>
      </c>
      <c r="P149" s="40">
        <v>21</v>
      </c>
      <c r="Q149" s="207">
        <f>'[3]PEPCO MD RC_3T7MS'!G11</f>
        <v>34.261409022795206</v>
      </c>
      <c r="R149" s="207">
        <f>'[3]PEPCO MD RC_3T7MS'!H11</f>
        <v>34.424811570575685</v>
      </c>
      <c r="S149" s="207">
        <f>'[3]PEPCO MD RC_3T7MS'!I11</f>
        <v>33.175404844359562</v>
      </c>
      <c r="T149" s="207">
        <f>'[3]PEPCO MD RC_3T7MS'!J11</f>
        <v>33.123551770903049</v>
      </c>
      <c r="U149" s="207">
        <f>'[3]PEPCO MD RC_3T7MS'!K11</f>
        <v>34.276686625803514</v>
      </c>
      <c r="V149" s="145"/>
    </row>
    <row r="150" spans="1:22" x14ac:dyDescent="0.2">
      <c r="A150" s="89">
        <f t="shared" si="6"/>
        <v>142</v>
      </c>
      <c r="B150" s="43">
        <v>4</v>
      </c>
      <c r="C150" s="43">
        <v>31</v>
      </c>
      <c r="D150" s="38" t="s">
        <v>318</v>
      </c>
      <c r="E150" s="44" t="s">
        <v>202</v>
      </c>
      <c r="F150" s="44" t="s">
        <v>39</v>
      </c>
      <c r="G150" s="44" t="s">
        <v>120</v>
      </c>
      <c r="H150" s="44" t="s">
        <v>47</v>
      </c>
      <c r="I150" s="44" t="s">
        <v>47</v>
      </c>
      <c r="J150" s="44" t="s">
        <v>7</v>
      </c>
      <c r="K150" s="44" t="s">
        <v>140</v>
      </c>
      <c r="L150" s="40">
        <v>1147</v>
      </c>
      <c r="M150" s="41">
        <v>41339</v>
      </c>
      <c r="N150" s="40" t="s">
        <v>122</v>
      </c>
      <c r="O150" s="42">
        <f t="shared" si="5"/>
        <v>42248</v>
      </c>
      <c r="P150" s="40">
        <v>21</v>
      </c>
      <c r="Q150" s="207">
        <f>'[3]Potomac Edison LP_GSCM_MMS'!G11</f>
        <v>34.60317659779021</v>
      </c>
      <c r="R150" s="207">
        <f>'[3]Potomac Edison LP_GSCM_MMS'!H11</f>
        <v>31.218964694694488</v>
      </c>
      <c r="S150" s="207">
        <f>'[3]Potomac Edison LP_GSCM_MMS'!I11</f>
        <v>29.829499901337186</v>
      </c>
      <c r="T150" s="207">
        <f>'[3]Potomac Edison LP_GSCM_MMS'!J11</f>
        <v>29.441278331696115</v>
      </c>
      <c r="U150" s="207">
        <f>'[3]Potomac Edison LP_GSCM_MMS'!K11</f>
        <v>31.032366664743325</v>
      </c>
      <c r="V150" s="145"/>
    </row>
    <row r="151" spans="1:22" x14ac:dyDescent="0.2">
      <c r="A151" s="89">
        <f t="shared" si="6"/>
        <v>143</v>
      </c>
      <c r="B151" s="43">
        <v>4</v>
      </c>
      <c r="C151" s="43">
        <v>32</v>
      </c>
      <c r="D151" s="38" t="s">
        <v>319</v>
      </c>
      <c r="E151" s="44" t="s">
        <v>204</v>
      </c>
      <c r="F151" s="44" t="s">
        <v>6</v>
      </c>
      <c r="G151" s="44" t="s">
        <v>120</v>
      </c>
      <c r="H151" s="44" t="s">
        <v>14</v>
      </c>
      <c r="I151" s="44" t="s">
        <v>14</v>
      </c>
      <c r="J151" s="44" t="s">
        <v>15</v>
      </c>
      <c r="K151" s="44" t="s">
        <v>129</v>
      </c>
      <c r="L151" s="40">
        <v>1148</v>
      </c>
      <c r="M151" s="41">
        <v>41339</v>
      </c>
      <c r="N151" s="40" t="s">
        <v>122</v>
      </c>
      <c r="O151" s="42">
        <f t="shared" si="5"/>
        <v>42248</v>
      </c>
      <c r="P151" s="40">
        <v>21</v>
      </c>
      <c r="Q151" s="207">
        <f>[3]PPL_RCGS1MS!G11</f>
        <v>38.221436163684849</v>
      </c>
      <c r="R151" s="207">
        <f>[3]PPL_RCGS1MS!H11</f>
        <v>37.812644416982657</v>
      </c>
      <c r="S151" s="207">
        <f>[3]PPL_RCGS1MS!I11</f>
        <v>36.514662637998093</v>
      </c>
      <c r="T151" s="207">
        <f>[3]PPL_RCGS1MS!J11</f>
        <v>36.244131749866405</v>
      </c>
      <c r="U151" s="207">
        <f>[3]PPL_RCGS1MS!K11</f>
        <v>36.85716231841468</v>
      </c>
      <c r="V151" s="145"/>
    </row>
    <row r="152" spans="1:22" x14ac:dyDescent="0.2">
      <c r="A152" s="89">
        <f t="shared" si="6"/>
        <v>144</v>
      </c>
      <c r="B152" s="43">
        <v>4</v>
      </c>
      <c r="C152" s="43">
        <v>33</v>
      </c>
      <c r="D152" s="38" t="s">
        <v>320</v>
      </c>
      <c r="E152" s="44" t="s">
        <v>206</v>
      </c>
      <c r="F152" s="44" t="s">
        <v>6</v>
      </c>
      <c r="G152" s="44" t="s">
        <v>120</v>
      </c>
      <c r="H152" s="44" t="s">
        <v>14</v>
      </c>
      <c r="I152" s="44" t="s">
        <v>14</v>
      </c>
      <c r="J152" s="44" t="s">
        <v>16</v>
      </c>
      <c r="K152" s="44" t="s">
        <v>135</v>
      </c>
      <c r="L152" s="40">
        <v>1149</v>
      </c>
      <c r="M152" s="41">
        <v>41339</v>
      </c>
      <c r="N152" s="40" t="s">
        <v>122</v>
      </c>
      <c r="O152" s="42">
        <f t="shared" si="5"/>
        <v>42248</v>
      </c>
      <c r="P152" s="40">
        <v>21</v>
      </c>
      <c r="Q152" s="207">
        <f>[3]PPL_RCGS3MS!G11</f>
        <v>39.317674991685088</v>
      </c>
      <c r="R152" s="207">
        <f>[3]PPL_RCGS3MS!H11</f>
        <v>37.848958086131589</v>
      </c>
      <c r="S152" s="207">
        <f>[3]PPL_RCGS3MS!I11</f>
        <v>36.891960999740562</v>
      </c>
      <c r="T152" s="207">
        <f>[3]PPL_RCGS3MS!J11</f>
        <v>36.293230343644012</v>
      </c>
      <c r="U152" s="207">
        <f>[3]PPL_RCGS3MS!K11</f>
        <v>36.914632633615909</v>
      </c>
      <c r="V152" s="145"/>
    </row>
    <row r="153" spans="1:22" x14ac:dyDescent="0.2">
      <c r="A153" s="89">
        <f t="shared" si="6"/>
        <v>145</v>
      </c>
      <c r="B153" s="43">
        <v>4</v>
      </c>
      <c r="C153" s="43">
        <v>34</v>
      </c>
      <c r="D153" s="38" t="s">
        <v>321</v>
      </c>
      <c r="E153" s="44" t="s">
        <v>208</v>
      </c>
      <c r="F153" s="44" t="s">
        <v>31</v>
      </c>
      <c r="G153" s="44" t="s">
        <v>120</v>
      </c>
      <c r="H153" s="44" t="s">
        <v>36</v>
      </c>
      <c r="I153" s="44" t="s">
        <v>36</v>
      </c>
      <c r="J153" s="44" t="s">
        <v>37</v>
      </c>
      <c r="K153" s="44" t="s">
        <v>209</v>
      </c>
      <c r="L153" s="40">
        <v>1150</v>
      </c>
      <c r="M153" s="41">
        <v>41339</v>
      </c>
      <c r="N153" s="40" t="s">
        <v>122</v>
      </c>
      <c r="O153" s="42">
        <f t="shared" si="5"/>
        <v>42248</v>
      </c>
      <c r="P153" s="40">
        <v>21</v>
      </c>
      <c r="Q153" s="207">
        <f>'[3]PSEG LP_GLP_MMS'!G11</f>
        <v>62.769066706140194</v>
      </c>
      <c r="R153" s="207">
        <f>'[3]PSEG LP_GLP_MMS'!H11</f>
        <v>61.716128682451327</v>
      </c>
      <c r="S153" s="207">
        <f>'[3]PSEG LP_GLP_MMS'!I11</f>
        <v>63.069229920457914</v>
      </c>
      <c r="T153" s="207">
        <f>'[3]PSEG LP_GLP_MMS'!J11</f>
        <v>62.973957374774081</v>
      </c>
      <c r="U153" s="207">
        <f>'[3]PSEG LP_GLP_MMS'!K11</f>
        <v>64.37901632156948</v>
      </c>
      <c r="V153" s="145"/>
    </row>
    <row r="154" spans="1:22" x14ac:dyDescent="0.2">
      <c r="A154" s="89">
        <f t="shared" si="6"/>
        <v>146</v>
      </c>
      <c r="B154" s="43">
        <v>4</v>
      </c>
      <c r="C154" s="43">
        <v>35</v>
      </c>
      <c r="D154" s="38" t="s">
        <v>322</v>
      </c>
      <c r="E154" s="44" t="s">
        <v>211</v>
      </c>
      <c r="F154" s="44" t="s">
        <v>31</v>
      </c>
      <c r="G154" s="44" t="s">
        <v>120</v>
      </c>
      <c r="H154" s="44" t="s">
        <v>36</v>
      </c>
      <c r="I154" s="44" t="s">
        <v>36</v>
      </c>
      <c r="J154" s="44" t="s">
        <v>38</v>
      </c>
      <c r="K154" s="44" t="s">
        <v>212</v>
      </c>
      <c r="L154" s="40">
        <v>1151</v>
      </c>
      <c r="M154" s="41">
        <v>41339</v>
      </c>
      <c r="N154" s="40" t="s">
        <v>122</v>
      </c>
      <c r="O154" s="42">
        <f t="shared" si="5"/>
        <v>42248</v>
      </c>
      <c r="P154" s="40">
        <v>21</v>
      </c>
      <c r="Q154" s="207">
        <f>'[3]PSEG LP_LPLMS'!G11</f>
        <v>62.100837302867127</v>
      </c>
      <c r="R154" s="207">
        <f>'[3]PSEG LP_LPLMS'!H11</f>
        <v>60.904814171303684</v>
      </c>
      <c r="S154" s="207">
        <f>'[3]PSEG LP_LPLMS'!I11</f>
        <v>62.332763588181244</v>
      </c>
      <c r="T154" s="207">
        <f>'[3]PSEG LP_LPLMS'!J11</f>
        <v>62.112730735197637</v>
      </c>
      <c r="U154" s="207">
        <f>'[3]PSEG LP_LPLMS'!K11</f>
        <v>63.51050707715298</v>
      </c>
      <c r="V154" s="145"/>
    </row>
    <row r="155" spans="1:22" x14ac:dyDescent="0.2">
      <c r="A155" s="89">
        <f t="shared" si="6"/>
        <v>147</v>
      </c>
      <c r="B155" s="43">
        <v>4</v>
      </c>
      <c r="C155" s="43">
        <v>36</v>
      </c>
      <c r="D155" s="38" t="s">
        <v>323</v>
      </c>
      <c r="E155" s="44" t="s">
        <v>214</v>
      </c>
      <c r="F155" s="44" t="s">
        <v>6</v>
      </c>
      <c r="G155" s="44" t="s">
        <v>120</v>
      </c>
      <c r="H155" s="44" t="s">
        <v>17</v>
      </c>
      <c r="I155" s="44" t="s">
        <v>215</v>
      </c>
      <c r="J155" s="44" t="s">
        <v>18</v>
      </c>
      <c r="K155" s="44" t="s">
        <v>140</v>
      </c>
      <c r="L155" s="40">
        <v>1152</v>
      </c>
      <c r="M155" s="41">
        <v>41339</v>
      </c>
      <c r="N155" s="40" t="s">
        <v>122</v>
      </c>
      <c r="O155" s="42">
        <f t="shared" si="5"/>
        <v>42248</v>
      </c>
      <c r="P155" s="40">
        <v>21</v>
      </c>
      <c r="Q155" s="207">
        <f>'[3]West Penn Power LP_GSCMMS'!G11</f>
        <v>33.391708203924992</v>
      </c>
      <c r="R155" s="207">
        <f>'[3]West Penn Power LP_GSCMMS'!H11</f>
        <v>31.070465553578686</v>
      </c>
      <c r="S155" s="207">
        <f>'[3]West Penn Power LP_GSCMMS'!I11</f>
        <v>29.335363359927467</v>
      </c>
      <c r="T155" s="207">
        <f>'[3]West Penn Power LP_GSCMMS'!J11</f>
        <v>29.199506151631152</v>
      </c>
      <c r="U155" s="207">
        <f>'[3]West Penn Power LP_GSCMMS'!K11</f>
        <v>30.548647257359946</v>
      </c>
      <c r="V155" s="145"/>
    </row>
    <row r="156" spans="1:22" x14ac:dyDescent="0.2">
      <c r="A156" s="89">
        <f t="shared" si="6"/>
        <v>148</v>
      </c>
      <c r="B156" s="20"/>
      <c r="C156" s="20"/>
      <c r="D156" s="20"/>
      <c r="Q156" s="208"/>
      <c r="R156" s="208"/>
      <c r="S156" s="208"/>
      <c r="T156" s="208"/>
      <c r="U156" s="208"/>
    </row>
    <row r="157" spans="1:22" x14ac:dyDescent="0.2">
      <c r="A157" s="89">
        <f t="shared" si="6"/>
        <v>149</v>
      </c>
      <c r="B157" s="43">
        <v>5</v>
      </c>
      <c r="C157" s="43">
        <v>1</v>
      </c>
      <c r="D157" s="38" t="s">
        <v>324</v>
      </c>
      <c r="E157" s="44" t="s">
        <v>119</v>
      </c>
      <c r="F157" s="44" t="s">
        <v>31</v>
      </c>
      <c r="G157" s="44" t="s">
        <v>120</v>
      </c>
      <c r="H157" s="44" t="s">
        <v>32</v>
      </c>
      <c r="I157" s="44" t="s">
        <v>32</v>
      </c>
      <c r="J157" s="44" t="s">
        <v>33</v>
      </c>
      <c r="K157" s="44" t="s">
        <v>121</v>
      </c>
      <c r="L157" s="40">
        <v>1117</v>
      </c>
      <c r="M157" s="41">
        <v>41339</v>
      </c>
      <c r="N157" s="40" t="s">
        <v>122</v>
      </c>
      <c r="O157" s="42">
        <f>EDATE(O120,1)</f>
        <v>42278</v>
      </c>
      <c r="P157" s="40">
        <v>22</v>
      </c>
      <c r="Q157" s="207">
        <f>'[3]AECO LP_10V1_SMS'!G12</f>
        <v>55.747531339394193</v>
      </c>
      <c r="R157" s="207">
        <f>'[3]AECO LP_10V1_SMS'!H12</f>
        <v>49.779698249163729</v>
      </c>
      <c r="S157" s="207">
        <f>'[3]AECO LP_10V1_SMS'!I12</f>
        <v>50.273825663419984</v>
      </c>
      <c r="T157" s="207">
        <f>'[3]AECO LP_10V1_SMS'!J12</f>
        <v>48.675930321868407</v>
      </c>
      <c r="U157" s="207">
        <f>'[3]AECO LP_10V1_SMS'!K12</f>
        <v>49.890951773721078</v>
      </c>
      <c r="V157" s="145"/>
    </row>
    <row r="158" spans="1:22" x14ac:dyDescent="0.2">
      <c r="A158" s="89">
        <f t="shared" si="6"/>
        <v>150</v>
      </c>
      <c r="B158" s="43">
        <v>5</v>
      </c>
      <c r="C158" s="43">
        <v>2</v>
      </c>
      <c r="D158" s="38" t="s">
        <v>325</v>
      </c>
      <c r="E158" s="44" t="s">
        <v>124</v>
      </c>
      <c r="F158" s="44" t="s">
        <v>31</v>
      </c>
      <c r="G158" s="44" t="s">
        <v>120</v>
      </c>
      <c r="H158" s="44" t="s">
        <v>32</v>
      </c>
      <c r="I158" s="44" t="s">
        <v>32</v>
      </c>
      <c r="J158" s="44" t="s">
        <v>34</v>
      </c>
      <c r="K158" s="44" t="s">
        <v>125</v>
      </c>
      <c r="L158" s="40">
        <v>1118</v>
      </c>
      <c r="M158" s="41">
        <v>41339</v>
      </c>
      <c r="N158" s="40" t="s">
        <v>122</v>
      </c>
      <c r="O158" s="42">
        <f>O157</f>
        <v>42278</v>
      </c>
      <c r="P158" s="40">
        <v>22</v>
      </c>
      <c r="Q158" s="207">
        <f>'[3]AECO LP_14V1_MMS'!G12</f>
        <v>53.594352908102444</v>
      </c>
      <c r="R158" s="207">
        <f>'[3]AECO LP_14V1_MMS'!H12</f>
        <v>49.670495313623434</v>
      </c>
      <c r="S158" s="207">
        <f>'[3]AECO LP_14V1_MMS'!I12</f>
        <v>49.633504254479895</v>
      </c>
      <c r="T158" s="207">
        <f>'[3]AECO LP_14V1_MMS'!J12</f>
        <v>48.565726082979168</v>
      </c>
      <c r="U158" s="207">
        <f>'[3]AECO LP_14V1_MMS'!K12</f>
        <v>48.810642018788606</v>
      </c>
      <c r="V158" s="145"/>
    </row>
    <row r="159" spans="1:22" x14ac:dyDescent="0.2">
      <c r="A159" s="89">
        <f t="shared" si="6"/>
        <v>151</v>
      </c>
      <c r="B159" s="43">
        <v>5</v>
      </c>
      <c r="C159" s="43">
        <v>3</v>
      </c>
      <c r="D159" s="38" t="s">
        <v>326</v>
      </c>
      <c r="E159" s="44" t="s">
        <v>127</v>
      </c>
      <c r="F159" s="44" t="s">
        <v>20</v>
      </c>
      <c r="G159" s="44" t="s">
        <v>120</v>
      </c>
      <c r="H159" s="44" t="s">
        <v>63</v>
      </c>
      <c r="I159" s="44" t="s">
        <v>128</v>
      </c>
      <c r="J159" s="44" t="s">
        <v>15</v>
      </c>
      <c r="K159" s="44" t="s">
        <v>129</v>
      </c>
      <c r="L159" s="40">
        <v>1119</v>
      </c>
      <c r="M159" s="41">
        <v>41339</v>
      </c>
      <c r="N159" s="40" t="s">
        <v>122</v>
      </c>
      <c r="O159" s="42">
        <f t="shared" ref="O159:O192" si="7">O158</f>
        <v>42278</v>
      </c>
      <c r="P159" s="40">
        <v>22</v>
      </c>
      <c r="Q159" s="207">
        <f>'[3]AEP_OH_CS - test CSGS1MS'!G12</f>
        <v>23.739305695449133</v>
      </c>
      <c r="R159" s="207">
        <f>'[3]AEP_OH_CS - test CSGS1MS'!H12</f>
        <v>20.696419772316702</v>
      </c>
      <c r="S159" s="207">
        <f>'[3]AEP_OH_CS - test CSGS1MS'!I12</f>
        <v>19.116802085781249</v>
      </c>
      <c r="T159" s="207">
        <f>'[3]AEP_OH_CS - test CSGS1MS'!J12</f>
        <v>19.193614345297259</v>
      </c>
      <c r="U159" s="207">
        <f>'[3]AEP_OH_CS - test CSGS1MS'!K12</f>
        <v>20.507936493537958</v>
      </c>
      <c r="V159" s="145"/>
    </row>
    <row r="160" spans="1:22" x14ac:dyDescent="0.2">
      <c r="A160" s="89">
        <f t="shared" si="6"/>
        <v>152</v>
      </c>
      <c r="B160" s="43">
        <v>5</v>
      </c>
      <c r="C160" s="43">
        <v>4</v>
      </c>
      <c r="D160" s="38" t="s">
        <v>327</v>
      </c>
      <c r="E160" s="44" t="s">
        <v>131</v>
      </c>
      <c r="F160" s="44" t="s">
        <v>20</v>
      </c>
      <c r="G160" s="44" t="s">
        <v>120</v>
      </c>
      <c r="H160" s="44" t="s">
        <v>63</v>
      </c>
      <c r="I160" s="44" t="s">
        <v>128</v>
      </c>
      <c r="J160" s="44" t="s">
        <v>21</v>
      </c>
      <c r="K160" s="44" t="s">
        <v>132</v>
      </c>
      <c r="L160" s="40">
        <v>1120</v>
      </c>
      <c r="M160" s="41">
        <v>41339</v>
      </c>
      <c r="N160" s="40" t="s">
        <v>122</v>
      </c>
      <c r="O160" s="42">
        <f t="shared" si="7"/>
        <v>42278</v>
      </c>
      <c r="P160" s="40">
        <v>22</v>
      </c>
      <c r="Q160" s="207">
        <f>'[3]AEP_OH_CS - test CSGS2UMS'!G12</f>
        <v>24.669115436924535</v>
      </c>
      <c r="R160" s="207">
        <f>'[3]AEP_OH_CS - test CSGS2UMS'!H12</f>
        <v>20.790518838635801</v>
      </c>
      <c r="S160" s="207">
        <f>'[3]AEP_OH_CS - test CSGS2UMS'!I12</f>
        <v>19.359203267096394</v>
      </c>
      <c r="T160" s="207">
        <f>'[3]AEP_OH_CS - test CSGS2UMS'!J12</f>
        <v>19.283612121429115</v>
      </c>
      <c r="U160" s="207">
        <f>'[3]AEP_OH_CS - test CSGS2UMS'!K12</f>
        <v>20.596996947449721</v>
      </c>
      <c r="V160" s="145"/>
    </row>
    <row r="161" spans="1:22" x14ac:dyDescent="0.2">
      <c r="A161" s="89">
        <f t="shared" si="6"/>
        <v>153</v>
      </c>
      <c r="B161" s="43">
        <v>5</v>
      </c>
      <c r="C161" s="43">
        <v>5</v>
      </c>
      <c r="D161" s="38" t="s">
        <v>328</v>
      </c>
      <c r="E161" s="44" t="s">
        <v>134</v>
      </c>
      <c r="F161" s="44" t="s">
        <v>20</v>
      </c>
      <c r="G161" s="44" t="s">
        <v>120</v>
      </c>
      <c r="H161" s="44" t="s">
        <v>63</v>
      </c>
      <c r="I161" s="44" t="s">
        <v>128</v>
      </c>
      <c r="J161" s="44" t="s">
        <v>16</v>
      </c>
      <c r="K161" s="44" t="s">
        <v>135</v>
      </c>
      <c r="L161" s="40">
        <v>1121</v>
      </c>
      <c r="M161" s="41">
        <v>41339</v>
      </c>
      <c r="N161" s="40" t="s">
        <v>122</v>
      </c>
      <c r="O161" s="42">
        <f t="shared" si="7"/>
        <v>42278</v>
      </c>
      <c r="P161" s="40">
        <v>22</v>
      </c>
      <c r="Q161" s="207">
        <f>'[3]AEP_OH_CS - test CSGS3UMS'!G12</f>
        <v>25.116657769673925</v>
      </c>
      <c r="R161" s="207">
        <f>'[3]AEP_OH_CS - test CSGS3UMS'!H12</f>
        <v>20.722852810155995</v>
      </c>
      <c r="S161" s="207">
        <f>'[3]AEP_OH_CS - test CSGS3UMS'!I12</f>
        <v>19.400536190980631</v>
      </c>
      <c r="T161" s="207">
        <f>'[3]AEP_OH_CS - test CSGS3UMS'!J12</f>
        <v>19.21429670801351</v>
      </c>
      <c r="U161" s="207">
        <f>'[3]AEP_OH_CS - test CSGS3UMS'!K12</f>
        <v>20.525005530986821</v>
      </c>
      <c r="V161" s="145"/>
    </row>
    <row r="162" spans="1:22" x14ac:dyDescent="0.2">
      <c r="A162" s="89">
        <f t="shared" si="6"/>
        <v>154</v>
      </c>
      <c r="B162" s="43">
        <v>5</v>
      </c>
      <c r="C162" s="43">
        <v>6</v>
      </c>
      <c r="D162" s="38" t="s">
        <v>329</v>
      </c>
      <c r="E162" s="44" t="s">
        <v>137</v>
      </c>
      <c r="F162" s="44" t="s">
        <v>25</v>
      </c>
      <c r="G162" s="44" t="s">
        <v>138</v>
      </c>
      <c r="H162" s="44" t="s">
        <v>139</v>
      </c>
      <c r="I162" s="44" t="s">
        <v>29</v>
      </c>
      <c r="J162" s="44" t="s">
        <v>30</v>
      </c>
      <c r="K162" s="44" t="s">
        <v>140</v>
      </c>
      <c r="L162" s="40">
        <v>1122</v>
      </c>
      <c r="M162" s="41">
        <v>41339</v>
      </c>
      <c r="N162" s="40" t="s">
        <v>122</v>
      </c>
      <c r="O162" s="42">
        <f t="shared" si="7"/>
        <v>42278</v>
      </c>
      <c r="P162" s="40">
        <v>22</v>
      </c>
      <c r="Q162" s="207">
        <f>'[3]Ameren RateZnIII LP DS2HHMS'!G12</f>
        <v>33.505298125245815</v>
      </c>
      <c r="R162" s="207">
        <f>'[3]Ameren RateZnIII LP DS2HHMS'!H12</f>
        <v>32.917397999245168</v>
      </c>
      <c r="S162" s="207">
        <f>'[3]Ameren RateZnIII LP DS2HHMS'!I12</f>
        <v>34.339274171924224</v>
      </c>
      <c r="T162" s="207">
        <f>'[3]Ameren RateZnIII LP DS2HHMS'!J12</f>
        <v>34.3547329961374</v>
      </c>
      <c r="U162" s="207">
        <f>'[3]Ameren RateZnIII LP DS2HHMS'!K12</f>
        <v>35.514222192095524</v>
      </c>
      <c r="V162" s="145"/>
    </row>
    <row r="163" spans="1:22" x14ac:dyDescent="0.2">
      <c r="A163" s="89">
        <f t="shared" si="6"/>
        <v>155</v>
      </c>
      <c r="B163" s="43">
        <v>5</v>
      </c>
      <c r="C163" s="43">
        <v>7</v>
      </c>
      <c r="D163" s="38" t="s">
        <v>330</v>
      </c>
      <c r="E163" s="44" t="s">
        <v>142</v>
      </c>
      <c r="F163" s="44" t="s">
        <v>39</v>
      </c>
      <c r="G163" s="44" t="s">
        <v>120</v>
      </c>
      <c r="H163" s="44" t="s">
        <v>40</v>
      </c>
      <c r="I163" s="44" t="s">
        <v>40</v>
      </c>
      <c r="J163" s="44" t="s">
        <v>42</v>
      </c>
      <c r="K163" s="44" t="s">
        <v>135</v>
      </c>
      <c r="L163" s="40">
        <v>1124</v>
      </c>
      <c r="M163" s="41">
        <v>41339</v>
      </c>
      <c r="N163" s="40" t="s">
        <v>122</v>
      </c>
      <c r="O163" s="42">
        <f t="shared" si="7"/>
        <v>42278</v>
      </c>
      <c r="P163" s="40">
        <v>22</v>
      </c>
      <c r="Q163" s="207">
        <f>'[3]BGE LP_GLMS'!G12</f>
        <v>37.544245686225437</v>
      </c>
      <c r="R163" s="207">
        <f>'[3]BGE LP_GLMS'!H12</f>
        <v>34.6066119300339</v>
      </c>
      <c r="S163" s="207">
        <f>'[3]BGE LP_GLMS'!I12</f>
        <v>34.168916828356792</v>
      </c>
      <c r="T163" s="207">
        <f>'[3]BGE LP_GLMS'!J12</f>
        <v>33.33380014432602</v>
      </c>
      <c r="U163" s="207">
        <f>'[3]BGE LP_GLMS'!K12</f>
        <v>34.614319549314949</v>
      </c>
      <c r="V163" s="145"/>
    </row>
    <row r="164" spans="1:22" x14ac:dyDescent="0.2">
      <c r="A164" s="89">
        <f t="shared" si="6"/>
        <v>156</v>
      </c>
      <c r="B164" s="43">
        <v>5</v>
      </c>
      <c r="C164" s="43">
        <v>8</v>
      </c>
      <c r="D164" s="38" t="s">
        <v>331</v>
      </c>
      <c r="E164" s="44" t="s">
        <v>144</v>
      </c>
      <c r="F164" s="44" t="s">
        <v>39</v>
      </c>
      <c r="G164" s="44" t="s">
        <v>120</v>
      </c>
      <c r="H164" s="44" t="s">
        <v>40</v>
      </c>
      <c r="I164" s="44" t="s">
        <v>40</v>
      </c>
      <c r="J164" s="44" t="s">
        <v>41</v>
      </c>
      <c r="K164" s="44" t="s">
        <v>132</v>
      </c>
      <c r="L164" s="40">
        <v>1123</v>
      </c>
      <c r="M164" s="41">
        <v>41339</v>
      </c>
      <c r="N164" s="40" t="s">
        <v>122</v>
      </c>
      <c r="O164" s="42">
        <f t="shared" si="7"/>
        <v>42278</v>
      </c>
      <c r="P164" s="40">
        <v>22</v>
      </c>
      <c r="Q164" s="207">
        <f>'[3]BGE LP_GMS'!G12</f>
        <v>36.853754398237101</v>
      </c>
      <c r="R164" s="207">
        <f>'[3]BGE LP_GMS'!H12</f>
        <v>34.681969497681202</v>
      </c>
      <c r="S164" s="207">
        <f>'[3]BGE LP_GMS'!I12</f>
        <v>34.019759844445879</v>
      </c>
      <c r="T164" s="207">
        <f>'[3]BGE LP_GMS'!J12</f>
        <v>33.404623911519764</v>
      </c>
      <c r="U164" s="207">
        <f>'[3]BGE LP_GMS'!K12</f>
        <v>34.728617486581783</v>
      </c>
      <c r="V164" s="145"/>
    </row>
    <row r="165" spans="1:22" x14ac:dyDescent="0.2">
      <c r="A165" s="89">
        <f t="shared" si="6"/>
        <v>157</v>
      </c>
      <c r="B165" s="43">
        <v>5</v>
      </c>
      <c r="C165" s="43">
        <v>9</v>
      </c>
      <c r="D165" s="38" t="s">
        <v>332</v>
      </c>
      <c r="E165" s="44" t="s">
        <v>146</v>
      </c>
      <c r="F165" s="44" t="s">
        <v>39</v>
      </c>
      <c r="G165" s="44" t="s">
        <v>120</v>
      </c>
      <c r="H165" s="44" t="s">
        <v>40</v>
      </c>
      <c r="I165" s="44" t="s">
        <v>40</v>
      </c>
      <c r="J165" s="44" t="s">
        <v>7</v>
      </c>
      <c r="K165" s="44" t="s">
        <v>129</v>
      </c>
      <c r="L165" s="40">
        <v>1125</v>
      </c>
      <c r="M165" s="41">
        <v>41339</v>
      </c>
      <c r="N165" s="40" t="s">
        <v>122</v>
      </c>
      <c r="O165" s="42">
        <f t="shared" si="7"/>
        <v>42278</v>
      </c>
      <c r="P165" s="40">
        <v>22</v>
      </c>
      <c r="Q165" s="207">
        <f>'[3]BGE LP_GSMS'!G12</f>
        <v>37.869853250130397</v>
      </c>
      <c r="R165" s="207">
        <f>'[3]BGE LP_GSMS'!H12</f>
        <v>35.628520579502187</v>
      </c>
      <c r="S165" s="207">
        <f>'[3]BGE LP_GSMS'!I12</f>
        <v>34.981045459328854</v>
      </c>
      <c r="T165" s="207">
        <f>'[3]BGE LP_GSMS'!J12</f>
        <v>34.344672252956464</v>
      </c>
      <c r="U165" s="207">
        <f>'[3]BGE LP_GSMS'!K12</f>
        <v>35.583134352995678</v>
      </c>
      <c r="V165" s="145"/>
    </row>
    <row r="166" spans="1:22" x14ac:dyDescent="0.2">
      <c r="A166" s="89">
        <f t="shared" si="6"/>
        <v>158</v>
      </c>
      <c r="B166" s="43">
        <v>5</v>
      </c>
      <c r="C166" s="43">
        <v>10</v>
      </c>
      <c r="D166" s="38" t="s">
        <v>333</v>
      </c>
      <c r="E166" s="44" t="s">
        <v>148</v>
      </c>
      <c r="F166" s="44" t="s">
        <v>25</v>
      </c>
      <c r="G166" s="44" t="s">
        <v>120</v>
      </c>
      <c r="H166" s="44" t="s">
        <v>149</v>
      </c>
      <c r="I166" s="44" t="s">
        <v>26</v>
      </c>
      <c r="J166" s="44" t="s">
        <v>27</v>
      </c>
      <c r="K166" s="44" t="s">
        <v>150</v>
      </c>
      <c r="L166" s="40">
        <v>1126</v>
      </c>
      <c r="M166" s="41">
        <v>41339</v>
      </c>
      <c r="N166" s="40" t="s">
        <v>122</v>
      </c>
      <c r="O166" s="42">
        <f t="shared" si="7"/>
        <v>42278</v>
      </c>
      <c r="P166" s="40">
        <v>22</v>
      </c>
      <c r="Q166" s="207">
        <f>'[3]ComEd - test LP_28MS'!G12</f>
        <v>31.73634100804103</v>
      </c>
      <c r="R166" s="207">
        <f>'[3]ComEd - test LP_28MS'!H12</f>
        <v>28.591347133149025</v>
      </c>
      <c r="S166" s="207">
        <f>'[3]ComEd - test LP_28MS'!I12</f>
        <v>27.08856190729081</v>
      </c>
      <c r="T166" s="207">
        <f>'[3]ComEd - test LP_28MS'!J12</f>
        <v>27.242561792624063</v>
      </c>
      <c r="U166" s="207">
        <f>'[3]ComEd - test LP_28MS'!K12</f>
        <v>28.589640701081208</v>
      </c>
      <c r="V166" s="145"/>
    </row>
    <row r="167" spans="1:22" x14ac:dyDescent="0.2">
      <c r="A167" s="89">
        <f t="shared" si="6"/>
        <v>159</v>
      </c>
      <c r="B167" s="43">
        <v>5</v>
      </c>
      <c r="C167" s="43">
        <v>11</v>
      </c>
      <c r="D167" s="38" t="s">
        <v>334</v>
      </c>
      <c r="E167" s="44" t="s">
        <v>152</v>
      </c>
      <c r="F167" s="44" t="s">
        <v>25</v>
      </c>
      <c r="G167" s="44" t="s">
        <v>120</v>
      </c>
      <c r="H167" s="44" t="s">
        <v>149</v>
      </c>
      <c r="I167" s="44" t="s">
        <v>26</v>
      </c>
      <c r="J167" s="44" t="s">
        <v>28</v>
      </c>
      <c r="K167" s="44" t="s">
        <v>153</v>
      </c>
      <c r="L167" s="40">
        <v>1127</v>
      </c>
      <c r="M167" s="41">
        <v>41339</v>
      </c>
      <c r="N167" s="40" t="s">
        <v>122</v>
      </c>
      <c r="O167" s="42">
        <f t="shared" si="7"/>
        <v>42278</v>
      </c>
      <c r="P167" s="40">
        <v>22</v>
      </c>
      <c r="Q167" s="207">
        <f>'[3]ComEd - test LP_29MS'!G12</f>
        <v>30.787855084325031</v>
      </c>
      <c r="R167" s="207">
        <f>'[3]ComEd - test LP_29MS'!H12</f>
        <v>27.684994588447889</v>
      </c>
      <c r="S167" s="207">
        <f>'[3]ComEd - test LP_29MS'!I12</f>
        <v>26.172549392242029</v>
      </c>
      <c r="T167" s="207">
        <f>'[3]ComEd - test LP_29MS'!J12</f>
        <v>26.337392898593745</v>
      </c>
      <c r="U167" s="207">
        <f>'[3]ComEd - test LP_29MS'!K12</f>
        <v>27.687712432932297</v>
      </c>
      <c r="V167" s="145"/>
    </row>
    <row r="168" spans="1:22" x14ac:dyDescent="0.2">
      <c r="A168" s="89">
        <f t="shared" si="6"/>
        <v>160</v>
      </c>
      <c r="B168" s="43">
        <v>5</v>
      </c>
      <c r="C168" s="43">
        <v>12</v>
      </c>
      <c r="D168" s="38" t="s">
        <v>335</v>
      </c>
      <c r="E168" s="44" t="s">
        <v>155</v>
      </c>
      <c r="F168" s="44" t="s">
        <v>20</v>
      </c>
      <c r="G168" s="44" t="s">
        <v>120</v>
      </c>
      <c r="H168" s="44" t="s">
        <v>105</v>
      </c>
      <c r="I168" s="44" t="s">
        <v>156</v>
      </c>
      <c r="J168" s="44" t="s">
        <v>22</v>
      </c>
      <c r="K168" s="44" t="s">
        <v>157</v>
      </c>
      <c r="L168" s="40">
        <v>1128</v>
      </c>
      <c r="M168" s="41">
        <v>41339</v>
      </c>
      <c r="N168" s="40" t="s">
        <v>122</v>
      </c>
      <c r="O168" s="42">
        <f t="shared" si="7"/>
        <v>42278</v>
      </c>
      <c r="P168" s="40">
        <v>22</v>
      </c>
      <c r="Q168" s="207">
        <f>[3]DAY_RC_843MS!G12</f>
        <v>20.50672397193518</v>
      </c>
      <c r="R168" s="207">
        <f>[3]DAY_RC_843MS!H12</f>
        <v>19.709279158648229</v>
      </c>
      <c r="S168" s="207">
        <f>[3]DAY_RC_843MS!I12</f>
        <v>17.478473330150347</v>
      </c>
      <c r="T168" s="207">
        <f>[3]DAY_RC_843MS!J12</f>
        <v>18.197268804340919</v>
      </c>
      <c r="U168" s="207">
        <f>[3]DAY_RC_843MS!K12</f>
        <v>19.444018928872421</v>
      </c>
      <c r="V168" s="145"/>
    </row>
    <row r="169" spans="1:22" x14ac:dyDescent="0.2">
      <c r="A169" s="89">
        <f t="shared" si="6"/>
        <v>161</v>
      </c>
      <c r="B169" s="43">
        <v>5</v>
      </c>
      <c r="C169" s="43">
        <v>13</v>
      </c>
      <c r="D169" s="38" t="s">
        <v>336</v>
      </c>
      <c r="E169" s="44" t="s">
        <v>159</v>
      </c>
      <c r="F169" s="44" t="s">
        <v>39</v>
      </c>
      <c r="G169" s="44" t="s">
        <v>120</v>
      </c>
      <c r="H169" s="44" t="s">
        <v>43</v>
      </c>
      <c r="I169" s="44" t="s">
        <v>43</v>
      </c>
      <c r="J169" s="44" t="s">
        <v>7</v>
      </c>
      <c r="K169" s="44" t="s">
        <v>140</v>
      </c>
      <c r="L169" s="40">
        <v>1129</v>
      </c>
      <c r="M169" s="41">
        <v>41339</v>
      </c>
      <c r="N169" s="40" t="s">
        <v>122</v>
      </c>
      <c r="O169" s="42">
        <f t="shared" si="7"/>
        <v>42278</v>
      </c>
      <c r="P169" s="40">
        <v>22</v>
      </c>
      <c r="Q169" s="207">
        <f>'[3]Delmarva MD LP_MDGS_MMS'!G12</f>
        <v>41.646155681865949</v>
      </c>
      <c r="R169" s="207">
        <f>'[3]Delmarva MD LP_MDGS_MMS'!H12</f>
        <v>38.294593461615563</v>
      </c>
      <c r="S169" s="207">
        <f>'[3]Delmarva MD LP_MDGS_MMS'!I12</f>
        <v>38.040223897736375</v>
      </c>
      <c r="T169" s="207">
        <f>'[3]Delmarva MD LP_MDGS_MMS'!J12</f>
        <v>37.186510886600821</v>
      </c>
      <c r="U169" s="207">
        <f>'[3]Delmarva MD LP_MDGS_MMS'!K12</f>
        <v>38.849211841362198</v>
      </c>
      <c r="V169" s="145"/>
    </row>
    <row r="170" spans="1:22" x14ac:dyDescent="0.2">
      <c r="A170" s="89">
        <f t="shared" si="6"/>
        <v>162</v>
      </c>
      <c r="B170" s="43">
        <v>5</v>
      </c>
      <c r="C170" s="43">
        <v>14</v>
      </c>
      <c r="D170" s="38" t="s">
        <v>337</v>
      </c>
      <c r="E170" s="44" t="s">
        <v>161</v>
      </c>
      <c r="F170" s="44" t="s">
        <v>6</v>
      </c>
      <c r="G170" s="44" t="s">
        <v>120</v>
      </c>
      <c r="H170" s="44" t="s">
        <v>48</v>
      </c>
      <c r="I170" s="44" t="s">
        <v>48</v>
      </c>
      <c r="J170" s="44" t="s">
        <v>7</v>
      </c>
      <c r="K170" s="44" t="s">
        <v>140</v>
      </c>
      <c r="L170" s="40">
        <v>1130</v>
      </c>
      <c r="M170" s="41">
        <v>41339</v>
      </c>
      <c r="N170" s="40" t="s">
        <v>122</v>
      </c>
      <c r="O170" s="42">
        <f t="shared" si="7"/>
        <v>42278</v>
      </c>
      <c r="P170" s="40">
        <v>22</v>
      </c>
      <c r="Q170" s="207">
        <f>'[3]DQE LP_GSGM_MMS'!G12</f>
        <v>35.296832877959936</v>
      </c>
      <c r="R170" s="207">
        <f>'[3]DQE LP_GSGM_MMS'!H12</f>
        <v>32.2922386358876</v>
      </c>
      <c r="S170" s="207">
        <f>'[3]DQE LP_GSGM_MMS'!I12</f>
        <v>30.736059868132198</v>
      </c>
      <c r="T170" s="207">
        <f>'[3]DQE LP_GSGM_MMS'!J12</f>
        <v>30.93281551569001</v>
      </c>
      <c r="U170" s="207">
        <f>'[3]DQE LP_GSGM_MMS'!K12</f>
        <v>32.279121137537118</v>
      </c>
      <c r="V170" s="145"/>
    </row>
    <row r="171" spans="1:22" x14ac:dyDescent="0.2">
      <c r="A171" s="89">
        <f t="shared" si="6"/>
        <v>163</v>
      </c>
      <c r="B171" s="43">
        <v>5</v>
      </c>
      <c r="C171" s="43">
        <v>15</v>
      </c>
      <c r="D171" s="38" t="s">
        <v>338</v>
      </c>
      <c r="E171" s="44" t="s">
        <v>163</v>
      </c>
      <c r="F171" s="44" t="s">
        <v>20</v>
      </c>
      <c r="G171" s="44" t="s">
        <v>120</v>
      </c>
      <c r="H171" s="44" t="s">
        <v>23</v>
      </c>
      <c r="I171" s="44" t="s">
        <v>164</v>
      </c>
      <c r="J171" s="44" t="s">
        <v>24</v>
      </c>
      <c r="K171" s="44" t="s">
        <v>140</v>
      </c>
      <c r="L171" s="40">
        <v>1131</v>
      </c>
      <c r="M171" s="41">
        <v>41339</v>
      </c>
      <c r="N171" s="40" t="s">
        <v>122</v>
      </c>
      <c r="O171" s="42">
        <f t="shared" si="7"/>
        <v>42278</v>
      </c>
      <c r="P171" s="40">
        <v>22</v>
      </c>
      <c r="Q171" s="207">
        <f>[3]Duke_OH_RC_DS01MS!G12</f>
        <v>23.446438752341123</v>
      </c>
      <c r="R171" s="207">
        <f>[3]Duke_OH_RC_DS01MS!H12</f>
        <v>19.582340812520087</v>
      </c>
      <c r="S171" s="207">
        <f>[3]Duke_OH_RC_DS01MS!I12</f>
        <v>18.088265732886782</v>
      </c>
      <c r="T171" s="207">
        <f>[3]Duke_OH_RC_DS01MS!J12</f>
        <v>18.032638181786474</v>
      </c>
      <c r="U171" s="207">
        <f>[3]Duke_OH_RC_DS01MS!K12</f>
        <v>19.176974999725623</v>
      </c>
      <c r="V171" s="145"/>
    </row>
    <row r="172" spans="1:22" x14ac:dyDescent="0.2">
      <c r="A172" s="89">
        <f t="shared" si="6"/>
        <v>164</v>
      </c>
      <c r="B172" s="43">
        <v>5</v>
      </c>
      <c r="C172" s="43">
        <v>16</v>
      </c>
      <c r="D172" s="38" t="s">
        <v>339</v>
      </c>
      <c r="E172" s="44" t="s">
        <v>166</v>
      </c>
      <c r="F172" s="44" t="s">
        <v>20</v>
      </c>
      <c r="G172" s="44" t="s">
        <v>120</v>
      </c>
      <c r="H172" s="44" t="s">
        <v>64</v>
      </c>
      <c r="I172" s="44" t="s">
        <v>167</v>
      </c>
      <c r="J172" s="44" t="s">
        <v>7</v>
      </c>
      <c r="K172" s="44" t="s">
        <v>140</v>
      </c>
      <c r="L172" s="40">
        <v>1132</v>
      </c>
      <c r="M172" s="41">
        <v>41339</v>
      </c>
      <c r="N172" s="40" t="s">
        <v>122</v>
      </c>
      <c r="O172" s="42">
        <f t="shared" si="7"/>
        <v>42278</v>
      </c>
      <c r="P172" s="40">
        <v>22</v>
      </c>
      <c r="Q172" s="207">
        <f>'[3]FE_OE - test RC_GSFMS'!G12</f>
        <v>40.263841032505745</v>
      </c>
      <c r="R172" s="207">
        <f>'[3]FE_OE - test RC_GSFMS'!H12</f>
        <v>34.256649688570469</v>
      </c>
      <c r="S172" s="207">
        <f>'[3]FE_OE - test RC_GSFMS'!I12</f>
        <v>29.296225708601504</v>
      </c>
      <c r="T172" s="207">
        <f>'[3]FE_OE - test RC_GSFMS'!J12</f>
        <v>27.71512976630034</v>
      </c>
      <c r="U172" s="207">
        <f>'[3]FE_OE - test RC_GSFMS'!K12</f>
        <v>28.400611585474362</v>
      </c>
      <c r="V172" s="145"/>
    </row>
    <row r="173" spans="1:22" x14ac:dyDescent="0.2">
      <c r="A173" s="89">
        <f t="shared" si="6"/>
        <v>165</v>
      </c>
      <c r="B173" s="43">
        <v>5</v>
      </c>
      <c r="C173" s="43">
        <v>17</v>
      </c>
      <c r="D173" s="38" t="s">
        <v>340</v>
      </c>
      <c r="E173" s="44" t="s">
        <v>169</v>
      </c>
      <c r="F173" s="44" t="s">
        <v>31</v>
      </c>
      <c r="G173" s="44" t="s">
        <v>120</v>
      </c>
      <c r="H173" s="44" t="s">
        <v>35</v>
      </c>
      <c r="I173" s="44" t="s">
        <v>35</v>
      </c>
      <c r="J173" s="44" t="s">
        <v>9</v>
      </c>
      <c r="K173" s="44" t="s">
        <v>135</v>
      </c>
      <c r="L173" s="40">
        <v>1133</v>
      </c>
      <c r="M173" s="41">
        <v>41339</v>
      </c>
      <c r="N173" s="40" t="s">
        <v>122</v>
      </c>
      <c r="O173" s="42">
        <f t="shared" si="7"/>
        <v>42278</v>
      </c>
      <c r="P173" s="40">
        <v>22</v>
      </c>
      <c r="Q173" s="207">
        <f>'[3]JCPL LP_GSCLMS'!G12</f>
        <v>50.068258067474083</v>
      </c>
      <c r="R173" s="207">
        <f>'[3]JCPL LP_GSCLMS'!H12</f>
        <v>46.894302264381224</v>
      </c>
      <c r="S173" s="207">
        <f>'[3]JCPL LP_GSCLMS'!I12</f>
        <v>46.665415707349318</v>
      </c>
      <c r="T173" s="207">
        <f>'[3]JCPL LP_GSCLMS'!J12</f>
        <v>45.966005403413611</v>
      </c>
      <c r="U173" s="207">
        <f>'[3]JCPL LP_GSCLMS'!K12</f>
        <v>47.787904583259206</v>
      </c>
      <c r="V173" s="145"/>
    </row>
    <row r="174" spans="1:22" x14ac:dyDescent="0.2">
      <c r="A174" s="89">
        <f t="shared" si="6"/>
        <v>166</v>
      </c>
      <c r="B174" s="43">
        <v>5</v>
      </c>
      <c r="C174" s="43">
        <v>18</v>
      </c>
      <c r="D174" s="38" t="s">
        <v>341</v>
      </c>
      <c r="E174" s="44" t="s">
        <v>171</v>
      </c>
      <c r="F174" s="44" t="s">
        <v>31</v>
      </c>
      <c r="G174" s="44" t="s">
        <v>120</v>
      </c>
      <c r="H174" s="44" t="s">
        <v>35</v>
      </c>
      <c r="I174" s="44" t="s">
        <v>35</v>
      </c>
      <c r="J174" s="44" t="s">
        <v>10</v>
      </c>
      <c r="K174" s="44" t="s">
        <v>132</v>
      </c>
      <c r="L174" s="40">
        <v>1134</v>
      </c>
      <c r="M174" s="41">
        <v>41339</v>
      </c>
      <c r="N174" s="40" t="s">
        <v>122</v>
      </c>
      <c r="O174" s="42">
        <f t="shared" si="7"/>
        <v>42278</v>
      </c>
      <c r="P174" s="40">
        <v>22</v>
      </c>
      <c r="Q174" s="207">
        <f>'[3]JCPL LP_GSCMMS'!G12</f>
        <v>49.934039769141314</v>
      </c>
      <c r="R174" s="207">
        <f>'[3]JCPL LP_GSCMMS'!H12</f>
        <v>47.843453339779749</v>
      </c>
      <c r="S174" s="207">
        <f>'[3]JCPL LP_GSCMMS'!I12</f>
        <v>47.312438518667953</v>
      </c>
      <c r="T174" s="207">
        <f>'[3]JCPL LP_GSCMMS'!J12</f>
        <v>46.917595802827677</v>
      </c>
      <c r="U174" s="207">
        <f>'[3]JCPL LP_GSCMMS'!K12</f>
        <v>48.758635785569638</v>
      </c>
      <c r="V174" s="145"/>
    </row>
    <row r="175" spans="1:22" x14ac:dyDescent="0.2">
      <c r="A175" s="89">
        <f t="shared" si="6"/>
        <v>167</v>
      </c>
      <c r="B175" s="43">
        <v>5</v>
      </c>
      <c r="C175" s="43">
        <v>19</v>
      </c>
      <c r="D175" s="38" t="s">
        <v>342</v>
      </c>
      <c r="E175" s="44" t="s">
        <v>173</v>
      </c>
      <c r="F175" s="44" t="s">
        <v>31</v>
      </c>
      <c r="G175" s="44" t="s">
        <v>120</v>
      </c>
      <c r="H175" s="44" t="s">
        <v>35</v>
      </c>
      <c r="I175" s="44" t="s">
        <v>35</v>
      </c>
      <c r="J175" s="44" t="s">
        <v>11</v>
      </c>
      <c r="K175" s="44" t="s">
        <v>129</v>
      </c>
      <c r="L175" s="40">
        <v>1135</v>
      </c>
      <c r="M175" s="41">
        <v>41339</v>
      </c>
      <c r="N175" s="40" t="s">
        <v>122</v>
      </c>
      <c r="O175" s="42">
        <f t="shared" si="7"/>
        <v>42278</v>
      </c>
      <c r="P175" s="40">
        <v>22</v>
      </c>
      <c r="Q175" s="207">
        <f>'[3]JCPL LP_GSCSMS'!G12</f>
        <v>49.110026940044079</v>
      </c>
      <c r="R175" s="207">
        <f>'[3]JCPL LP_GSCSMS'!H12</f>
        <v>48.050703078839099</v>
      </c>
      <c r="S175" s="207">
        <f>'[3]JCPL LP_GSCSMS'!I12</f>
        <v>47.220904571325001</v>
      </c>
      <c r="T175" s="207">
        <f>'[3]JCPL LP_GSCSMS'!J12</f>
        <v>47.11198311811544</v>
      </c>
      <c r="U175" s="207">
        <f>'[3]JCPL LP_GSCSMS'!K12</f>
        <v>48.920851126092458</v>
      </c>
      <c r="V175" s="145"/>
    </row>
    <row r="176" spans="1:22" x14ac:dyDescent="0.2">
      <c r="A176" s="89">
        <f t="shared" si="6"/>
        <v>168</v>
      </c>
      <c r="B176" s="43">
        <v>5</v>
      </c>
      <c r="C176" s="43">
        <v>20</v>
      </c>
      <c r="D176" s="38" t="s">
        <v>343</v>
      </c>
      <c r="E176" s="44" t="s">
        <v>175</v>
      </c>
      <c r="F176" s="44" t="s">
        <v>6</v>
      </c>
      <c r="G176" s="44" t="s">
        <v>120</v>
      </c>
      <c r="H176" s="44" t="s">
        <v>176</v>
      </c>
      <c r="I176" s="44" t="s">
        <v>177</v>
      </c>
      <c r="J176" s="44" t="s">
        <v>9</v>
      </c>
      <c r="K176" s="44" t="s">
        <v>135</v>
      </c>
      <c r="L176" s="40">
        <v>1137</v>
      </c>
      <c r="M176" s="41">
        <v>41339</v>
      </c>
      <c r="N176" s="40" t="s">
        <v>122</v>
      </c>
      <c r="O176" s="42">
        <f t="shared" si="7"/>
        <v>42278</v>
      </c>
      <c r="P176" s="40">
        <v>22</v>
      </c>
      <c r="Q176" s="207">
        <f>'[3]MetEd RC_GSLFMS'!G12</f>
        <v>30.783129749999571</v>
      </c>
      <c r="R176" s="207">
        <f>'[3]MetEd RC_GSLFMS'!H12</f>
        <v>28.265365239887181</v>
      </c>
      <c r="S176" s="207">
        <f>'[3]MetEd RC_GSLFMS'!I12</f>
        <v>27.625328054399752</v>
      </c>
      <c r="T176" s="207">
        <f>'[3]MetEd RC_GSLFMS'!J12</f>
        <v>26.933308949684349</v>
      </c>
      <c r="U176" s="207">
        <f>'[3]MetEd RC_GSLFMS'!K12</f>
        <v>28.015906610174657</v>
      </c>
      <c r="V176" s="145"/>
    </row>
    <row r="177" spans="1:22" x14ac:dyDescent="0.2">
      <c r="A177" s="89">
        <f t="shared" si="6"/>
        <v>169</v>
      </c>
      <c r="B177" s="43">
        <v>5</v>
      </c>
      <c r="C177" s="43">
        <v>21</v>
      </c>
      <c r="D177" s="38" t="s">
        <v>344</v>
      </c>
      <c r="E177" s="44" t="s">
        <v>179</v>
      </c>
      <c r="F177" s="44" t="s">
        <v>6</v>
      </c>
      <c r="G177" s="44" t="s">
        <v>120</v>
      </c>
      <c r="H177" s="44" t="s">
        <v>176</v>
      </c>
      <c r="I177" s="44" t="s">
        <v>177</v>
      </c>
      <c r="J177" s="44" t="s">
        <v>10</v>
      </c>
      <c r="K177" s="44" t="s">
        <v>132</v>
      </c>
      <c r="L177" s="40">
        <v>1136</v>
      </c>
      <c r="M177" s="41">
        <v>41339</v>
      </c>
      <c r="N177" s="40" t="s">
        <v>122</v>
      </c>
      <c r="O177" s="42">
        <f t="shared" si="7"/>
        <v>42278</v>
      </c>
      <c r="P177" s="40">
        <v>22</v>
      </c>
      <c r="Q177" s="207">
        <f>'[3]MetEd RC_GSDFMS'!G12</f>
        <v>31.804738898746294</v>
      </c>
      <c r="R177" s="207">
        <f>'[3]MetEd RC_GSDFMS'!H12</f>
        <v>29.368581377409058</v>
      </c>
      <c r="S177" s="207">
        <f>'[3]MetEd RC_GSDFMS'!I12</f>
        <v>28.696693974117633</v>
      </c>
      <c r="T177" s="207">
        <f>'[3]MetEd RC_GSDFMS'!J12</f>
        <v>28.032634631740049</v>
      </c>
      <c r="U177" s="207">
        <f>'[3]MetEd RC_GSDFMS'!K12</f>
        <v>29.109818760896353</v>
      </c>
      <c r="V177" s="145"/>
    </row>
    <row r="178" spans="1:22" x14ac:dyDescent="0.2">
      <c r="A178" s="89">
        <f t="shared" si="6"/>
        <v>170</v>
      </c>
      <c r="B178" s="43">
        <v>5</v>
      </c>
      <c r="C178" s="43">
        <v>22</v>
      </c>
      <c r="D178" s="38" t="s">
        <v>345</v>
      </c>
      <c r="E178" s="44" t="s">
        <v>181</v>
      </c>
      <c r="F178" s="44" t="s">
        <v>6</v>
      </c>
      <c r="G178" s="44" t="s">
        <v>120</v>
      </c>
      <c r="H178" s="44" t="s">
        <v>176</v>
      </c>
      <c r="I178" s="44" t="s">
        <v>177</v>
      </c>
      <c r="J178" s="44" t="s">
        <v>11</v>
      </c>
      <c r="K178" s="44" t="s">
        <v>129</v>
      </c>
      <c r="L178" s="40">
        <v>1138</v>
      </c>
      <c r="M178" s="41">
        <v>41339</v>
      </c>
      <c r="N178" s="40" t="s">
        <v>122</v>
      </c>
      <c r="O178" s="42">
        <f t="shared" si="7"/>
        <v>42278</v>
      </c>
      <c r="P178" s="40">
        <v>22</v>
      </c>
      <c r="Q178" s="207">
        <f>'[3]MetEd RC_GSSFMS'!G12</f>
        <v>30.472834453797336</v>
      </c>
      <c r="R178" s="207">
        <f>'[3]MetEd RC_GSSFMS'!H12</f>
        <v>29.269290422472906</v>
      </c>
      <c r="S178" s="207">
        <f>'[3]MetEd RC_GSSFMS'!I12</f>
        <v>28.257035801350373</v>
      </c>
      <c r="T178" s="207">
        <f>'[3]MetEd RC_GSSFMS'!J12</f>
        <v>27.933596967457685</v>
      </c>
      <c r="U178" s="207">
        <f>'[3]MetEd RC_GSSFMS'!K12</f>
        <v>29.015693275839123</v>
      </c>
      <c r="V178" s="145"/>
    </row>
    <row r="179" spans="1:22" x14ac:dyDescent="0.2">
      <c r="A179" s="89">
        <f t="shared" si="6"/>
        <v>171</v>
      </c>
      <c r="B179" s="43">
        <v>5</v>
      </c>
      <c r="C179" s="43">
        <v>23</v>
      </c>
      <c r="D179" s="38" t="s">
        <v>346</v>
      </c>
      <c r="E179" s="44" t="s">
        <v>183</v>
      </c>
      <c r="F179" s="44" t="s">
        <v>6</v>
      </c>
      <c r="G179" s="44" t="s">
        <v>120</v>
      </c>
      <c r="H179" s="44" t="s">
        <v>13</v>
      </c>
      <c r="I179" s="44" t="s">
        <v>13</v>
      </c>
      <c r="J179" s="44" t="s">
        <v>7</v>
      </c>
      <c r="K179" s="44" t="s">
        <v>140</v>
      </c>
      <c r="L179" s="40">
        <v>1139</v>
      </c>
      <c r="M179" s="41">
        <v>41339</v>
      </c>
      <c r="N179" s="40" t="s">
        <v>122</v>
      </c>
      <c r="O179" s="42">
        <f t="shared" si="7"/>
        <v>42278</v>
      </c>
      <c r="P179" s="40">
        <v>22</v>
      </c>
      <c r="Q179" s="207">
        <f>'[3]PECO LP_GSMS'!G12</f>
        <v>35.375625628880222</v>
      </c>
      <c r="R179" s="207">
        <f>'[3]PECO LP_GSMS'!H12</f>
        <v>31.957152168016624</v>
      </c>
      <c r="S179" s="207">
        <f>'[3]PECO LP_GSMS'!I12</f>
        <v>31.576482459226206</v>
      </c>
      <c r="T179" s="207">
        <f>'[3]PECO LP_GSMS'!J12</f>
        <v>30.608743455862705</v>
      </c>
      <c r="U179" s="207">
        <f>'[3]PECO LP_GSMS'!K12</f>
        <v>31.838778149194461</v>
      </c>
      <c r="V179" s="145"/>
    </row>
    <row r="180" spans="1:22" x14ac:dyDescent="0.2">
      <c r="A180" s="89">
        <f t="shared" si="6"/>
        <v>172</v>
      </c>
      <c r="B180" s="43">
        <v>5</v>
      </c>
      <c r="C180" s="43">
        <v>24</v>
      </c>
      <c r="D180" s="38" t="s">
        <v>347</v>
      </c>
      <c r="E180" s="44" t="s">
        <v>185</v>
      </c>
      <c r="F180" s="44" t="s">
        <v>6</v>
      </c>
      <c r="G180" s="44" t="s">
        <v>120</v>
      </c>
      <c r="H180" s="44" t="s">
        <v>12</v>
      </c>
      <c r="I180" s="44" t="s">
        <v>186</v>
      </c>
      <c r="J180" s="44" t="s">
        <v>9</v>
      </c>
      <c r="K180" s="44" t="s">
        <v>135</v>
      </c>
      <c r="L180" s="40">
        <v>1140</v>
      </c>
      <c r="M180" s="41">
        <v>41339</v>
      </c>
      <c r="N180" s="40" t="s">
        <v>122</v>
      </c>
      <c r="O180" s="42">
        <f t="shared" si="7"/>
        <v>42278</v>
      </c>
      <c r="P180" s="40">
        <v>22</v>
      </c>
      <c r="Q180" s="207">
        <f>'[3]Penelec RC_GSLFMS'!G12</f>
        <v>32.209168312873821</v>
      </c>
      <c r="R180" s="207">
        <f>'[3]Penelec RC_GSLFMS'!H12</f>
        <v>30.491923336290899</v>
      </c>
      <c r="S180" s="207">
        <f>'[3]Penelec RC_GSLFMS'!I12</f>
        <v>29.710928107396967</v>
      </c>
      <c r="T180" s="207">
        <f>'[3]Penelec RC_GSLFMS'!J12</f>
        <v>29.303826069439996</v>
      </c>
      <c r="U180" s="207">
        <f>'[3]Penelec RC_GSLFMS'!K12</f>
        <v>30.552655728815083</v>
      </c>
      <c r="V180" s="145"/>
    </row>
    <row r="181" spans="1:22" x14ac:dyDescent="0.2">
      <c r="A181" s="89">
        <f t="shared" si="6"/>
        <v>173</v>
      </c>
      <c r="B181" s="43">
        <v>5</v>
      </c>
      <c r="C181" s="43">
        <v>25</v>
      </c>
      <c r="D181" s="38" t="s">
        <v>348</v>
      </c>
      <c r="E181" s="44" t="s">
        <v>188</v>
      </c>
      <c r="F181" s="44" t="s">
        <v>6</v>
      </c>
      <c r="G181" s="44" t="s">
        <v>120</v>
      </c>
      <c r="H181" s="44" t="s">
        <v>12</v>
      </c>
      <c r="I181" s="44" t="s">
        <v>186</v>
      </c>
      <c r="J181" s="44" t="s">
        <v>10</v>
      </c>
      <c r="K181" s="44" t="s">
        <v>132</v>
      </c>
      <c r="L181" s="40">
        <v>1141</v>
      </c>
      <c r="M181" s="41">
        <v>41339</v>
      </c>
      <c r="N181" s="40" t="s">
        <v>122</v>
      </c>
      <c r="O181" s="42">
        <f t="shared" si="7"/>
        <v>42278</v>
      </c>
      <c r="P181" s="40">
        <v>22</v>
      </c>
      <c r="Q181" s="207">
        <f>'[3]Penelec RC_GSMFMS'!G12</f>
        <v>33.09889094841536</v>
      </c>
      <c r="R181" s="207">
        <f>'[3]Penelec RC_GSMFMS'!H12</f>
        <v>31.623034005116409</v>
      </c>
      <c r="S181" s="207">
        <f>'[3]Penelec RC_GSMFMS'!I12</f>
        <v>30.7613189149316</v>
      </c>
      <c r="T181" s="207">
        <f>'[3]Penelec RC_GSMFMS'!J12</f>
        <v>30.427850384303554</v>
      </c>
      <c r="U181" s="207">
        <f>'[3]Penelec RC_GSMFMS'!K12</f>
        <v>31.672605525668782</v>
      </c>
      <c r="V181" s="145"/>
    </row>
    <row r="182" spans="1:22" x14ac:dyDescent="0.2">
      <c r="A182" s="89">
        <f t="shared" si="6"/>
        <v>174</v>
      </c>
      <c r="B182" s="43">
        <v>5</v>
      </c>
      <c r="C182" s="43">
        <v>26</v>
      </c>
      <c r="D182" s="38" t="s">
        <v>349</v>
      </c>
      <c r="E182" s="44" t="s">
        <v>190</v>
      </c>
      <c r="F182" s="44" t="s">
        <v>6</v>
      </c>
      <c r="G182" s="44" t="s">
        <v>120</v>
      </c>
      <c r="H182" s="44" t="s">
        <v>12</v>
      </c>
      <c r="I182" s="44" t="s">
        <v>186</v>
      </c>
      <c r="J182" s="44" t="s">
        <v>11</v>
      </c>
      <c r="K182" s="44" t="s">
        <v>129</v>
      </c>
      <c r="L182" s="40">
        <v>1142</v>
      </c>
      <c r="M182" s="41">
        <v>41339</v>
      </c>
      <c r="N182" s="40" t="s">
        <v>122</v>
      </c>
      <c r="O182" s="42">
        <f t="shared" si="7"/>
        <v>42278</v>
      </c>
      <c r="P182" s="40">
        <v>22</v>
      </c>
      <c r="Q182" s="207">
        <f>'[3]Penelec RC_GSSFMS'!G12</f>
        <v>29.740944447627346</v>
      </c>
      <c r="R182" s="207">
        <f>'[3]Penelec RC_GSSFMS'!H12</f>
        <v>31.652143953431619</v>
      </c>
      <c r="S182" s="207">
        <f>'[3]Penelec RC_GSSFMS'!I12</f>
        <v>29.67167819597525</v>
      </c>
      <c r="T182" s="207">
        <f>'[3]Penelec RC_GSSFMS'!J12</f>
        <v>30.432266540204758</v>
      </c>
      <c r="U182" s="207">
        <f>'[3]Penelec RC_GSSFMS'!K12</f>
        <v>31.66613519824206</v>
      </c>
      <c r="V182" s="145"/>
    </row>
    <row r="183" spans="1:22" x14ac:dyDescent="0.2">
      <c r="A183" s="89">
        <f t="shared" si="6"/>
        <v>175</v>
      </c>
      <c r="B183" s="43">
        <v>5</v>
      </c>
      <c r="C183" s="43">
        <v>27</v>
      </c>
      <c r="D183" s="38" t="s">
        <v>350</v>
      </c>
      <c r="E183" s="44" t="s">
        <v>192</v>
      </c>
      <c r="F183" s="44" t="s">
        <v>6</v>
      </c>
      <c r="G183" s="44" t="s">
        <v>120</v>
      </c>
      <c r="H183" s="44" t="s">
        <v>100</v>
      </c>
      <c r="I183" s="44" t="s">
        <v>193</v>
      </c>
      <c r="J183" s="44" t="s">
        <v>7</v>
      </c>
      <c r="K183" s="44" t="s">
        <v>140</v>
      </c>
      <c r="L183" s="40">
        <v>1143</v>
      </c>
      <c r="M183" s="41">
        <v>41339</v>
      </c>
      <c r="N183" s="40" t="s">
        <v>122</v>
      </c>
      <c r="O183" s="42">
        <f t="shared" si="7"/>
        <v>42278</v>
      </c>
      <c r="P183" s="40">
        <v>22</v>
      </c>
      <c r="Q183" s="207">
        <f>'[3]Penn Power RC_GMDMS'!G12</f>
        <v>51.139781833516061</v>
      </c>
      <c r="R183" s="207">
        <f>'[3]Penn Power RC_GMDMS'!H12</f>
        <v>45.322190920260802</v>
      </c>
      <c r="S183" s="207">
        <f>'[3]Penn Power RC_GMDMS'!I12</f>
        <v>40.375695918703435</v>
      </c>
      <c r="T183" s="207">
        <f>'[3]Penn Power RC_GMDMS'!J12</f>
        <v>38.88472147950381</v>
      </c>
      <c r="U183" s="207">
        <f>'[3]Penn Power RC_GMDMS'!K12</f>
        <v>39.611519812751055</v>
      </c>
      <c r="V183" s="145"/>
    </row>
    <row r="184" spans="1:22" x14ac:dyDescent="0.2">
      <c r="A184" s="89">
        <f t="shared" si="6"/>
        <v>176</v>
      </c>
      <c r="B184" s="43">
        <v>5</v>
      </c>
      <c r="C184" s="43">
        <v>28</v>
      </c>
      <c r="D184" s="38" t="s">
        <v>351</v>
      </c>
      <c r="E184" s="44" t="s">
        <v>195</v>
      </c>
      <c r="F184" s="44" t="s">
        <v>39</v>
      </c>
      <c r="G184" s="44" t="s">
        <v>120</v>
      </c>
      <c r="H184" s="44" t="s">
        <v>44</v>
      </c>
      <c r="I184" s="44" t="s">
        <v>44</v>
      </c>
      <c r="J184" s="44" t="s">
        <v>7</v>
      </c>
      <c r="K184" s="44" t="s">
        <v>140</v>
      </c>
      <c r="L184" s="40">
        <v>1144</v>
      </c>
      <c r="M184" s="41">
        <v>41339</v>
      </c>
      <c r="N184" s="40" t="s">
        <v>122</v>
      </c>
      <c r="O184" s="42">
        <f t="shared" si="7"/>
        <v>42278</v>
      </c>
      <c r="P184" s="40">
        <v>22</v>
      </c>
      <c r="Q184" s="207">
        <f>'[3]PEPCO MD LP_MDNDMS'!G12</f>
        <v>35.465472639290653</v>
      </c>
      <c r="R184" s="207">
        <f>'[3]PEPCO MD LP_MDNDMS'!H12</f>
        <v>34.436641978623783</v>
      </c>
      <c r="S184" s="207">
        <f>'[3]PEPCO MD LP_MDNDMS'!I12</f>
        <v>33.540524219932031</v>
      </c>
      <c r="T184" s="207">
        <f>'[3]PEPCO MD LP_MDNDMS'!J12</f>
        <v>33.298837659999599</v>
      </c>
      <c r="U184" s="207">
        <f>'[3]PEPCO MD LP_MDNDMS'!K12</f>
        <v>34.839895011793971</v>
      </c>
      <c r="V184" s="145"/>
    </row>
    <row r="185" spans="1:22" x14ac:dyDescent="0.2">
      <c r="A185" s="89">
        <f t="shared" si="6"/>
        <v>177</v>
      </c>
      <c r="B185" s="43">
        <v>5</v>
      </c>
      <c r="C185" s="43">
        <v>29</v>
      </c>
      <c r="D185" s="38" t="s">
        <v>352</v>
      </c>
      <c r="E185" s="44" t="s">
        <v>197</v>
      </c>
      <c r="F185" s="44" t="s">
        <v>39</v>
      </c>
      <c r="G185" s="44" t="s">
        <v>120</v>
      </c>
      <c r="H185" s="44" t="s">
        <v>44</v>
      </c>
      <c r="I185" s="44" t="s">
        <v>44</v>
      </c>
      <c r="J185" s="44" t="s">
        <v>45</v>
      </c>
      <c r="K185" s="44" t="s">
        <v>198</v>
      </c>
      <c r="L185" s="40">
        <v>1145</v>
      </c>
      <c r="M185" s="41">
        <v>41339</v>
      </c>
      <c r="N185" s="40" t="s">
        <v>122</v>
      </c>
      <c r="O185" s="42">
        <f t="shared" si="7"/>
        <v>42278</v>
      </c>
      <c r="P185" s="40">
        <v>22</v>
      </c>
      <c r="Q185" s="207">
        <f>'[3]PEPCO MD LP_MMGTL2AMS'!G12</f>
        <v>35.986954149330131</v>
      </c>
      <c r="R185" s="207">
        <f>'[3]PEPCO MD LP_MMGTL2AMS'!H12</f>
        <v>33.300277229351735</v>
      </c>
      <c r="S185" s="207">
        <f>'[3]PEPCO MD LP_MMGTL2AMS'!I12</f>
        <v>32.917357595687534</v>
      </c>
      <c r="T185" s="207">
        <f>'[3]PEPCO MD LP_MMGTL2AMS'!J12</f>
        <v>32.187532239559566</v>
      </c>
      <c r="U185" s="207">
        <f>'[3]PEPCO MD LP_MMGTL2AMS'!K12</f>
        <v>33.732269804518282</v>
      </c>
      <c r="V185" s="145"/>
    </row>
    <row r="186" spans="1:22" x14ac:dyDescent="0.2">
      <c r="A186" s="89">
        <f t="shared" si="6"/>
        <v>178</v>
      </c>
      <c r="B186" s="43">
        <v>5</v>
      </c>
      <c r="C186" s="43">
        <v>30</v>
      </c>
      <c r="D186" s="38" t="s">
        <v>353</v>
      </c>
      <c r="E186" s="44" t="s">
        <v>200</v>
      </c>
      <c r="F186" s="44" t="s">
        <v>39</v>
      </c>
      <c r="G186" s="44" t="s">
        <v>120</v>
      </c>
      <c r="H186" s="44" t="s">
        <v>44</v>
      </c>
      <c r="I186" s="44" t="s">
        <v>44</v>
      </c>
      <c r="J186" s="44" t="s">
        <v>46</v>
      </c>
      <c r="K186" s="44" t="s">
        <v>46</v>
      </c>
      <c r="L186" s="40">
        <v>1146</v>
      </c>
      <c r="M186" s="41">
        <v>41339</v>
      </c>
      <c r="N186" s="40" t="s">
        <v>122</v>
      </c>
      <c r="O186" s="42">
        <f t="shared" si="7"/>
        <v>42278</v>
      </c>
      <c r="P186" s="40">
        <v>22</v>
      </c>
      <c r="Q186" s="207">
        <f>'[3]PEPCO MD RC_3T7MS'!G12</f>
        <v>34.472313603693429</v>
      </c>
      <c r="R186" s="207">
        <f>'[3]PEPCO MD RC_3T7MS'!H12</f>
        <v>34.11921068391792</v>
      </c>
      <c r="S186" s="207">
        <f>'[3]PEPCO MD RC_3T7MS'!I12</f>
        <v>33.040604172781791</v>
      </c>
      <c r="T186" s="207">
        <f>'[3]PEPCO MD RC_3T7MS'!J12</f>
        <v>32.996894163913353</v>
      </c>
      <c r="U186" s="207">
        <f>'[3]PEPCO MD RC_3T7MS'!K12</f>
        <v>34.592967941334656</v>
      </c>
      <c r="V186" s="145"/>
    </row>
    <row r="187" spans="1:22" x14ac:dyDescent="0.2">
      <c r="A187" s="89">
        <f t="shared" si="6"/>
        <v>179</v>
      </c>
      <c r="B187" s="43">
        <v>5</v>
      </c>
      <c r="C187" s="43">
        <v>31</v>
      </c>
      <c r="D187" s="38" t="s">
        <v>354</v>
      </c>
      <c r="E187" s="44" t="s">
        <v>202</v>
      </c>
      <c r="F187" s="44" t="s">
        <v>39</v>
      </c>
      <c r="G187" s="44" t="s">
        <v>120</v>
      </c>
      <c r="H187" s="44" t="s">
        <v>47</v>
      </c>
      <c r="I187" s="44" t="s">
        <v>47</v>
      </c>
      <c r="J187" s="44" t="s">
        <v>7</v>
      </c>
      <c r="K187" s="44" t="s">
        <v>140</v>
      </c>
      <c r="L187" s="40">
        <v>1147</v>
      </c>
      <c r="M187" s="41">
        <v>41339</v>
      </c>
      <c r="N187" s="40" t="s">
        <v>122</v>
      </c>
      <c r="O187" s="42">
        <f t="shared" si="7"/>
        <v>42278</v>
      </c>
      <c r="P187" s="40">
        <v>22</v>
      </c>
      <c r="Q187" s="207">
        <f>'[3]Potomac Edison LP_GSCM_MMS'!G12</f>
        <v>33.556551279323983</v>
      </c>
      <c r="R187" s="207">
        <f>'[3]Potomac Edison LP_GSCM_MMS'!H12</f>
        <v>30.650532124169949</v>
      </c>
      <c r="S187" s="207">
        <f>'[3]Potomac Edison LP_GSCM_MMS'!I12</f>
        <v>29.181653399371548</v>
      </c>
      <c r="T187" s="207">
        <f>'[3]Potomac Edison LP_GSCM_MMS'!J12</f>
        <v>29.449073961220225</v>
      </c>
      <c r="U187" s="207">
        <f>'[3]Potomac Edison LP_GSCM_MMS'!K12</f>
        <v>31.125686064381235</v>
      </c>
      <c r="V187" s="145"/>
    </row>
    <row r="188" spans="1:22" x14ac:dyDescent="0.2">
      <c r="A188" s="89">
        <f t="shared" si="6"/>
        <v>180</v>
      </c>
      <c r="B188" s="43">
        <v>5</v>
      </c>
      <c r="C188" s="43">
        <v>32</v>
      </c>
      <c r="D188" s="38" t="s">
        <v>355</v>
      </c>
      <c r="E188" s="44" t="s">
        <v>204</v>
      </c>
      <c r="F188" s="44" t="s">
        <v>6</v>
      </c>
      <c r="G188" s="44" t="s">
        <v>120</v>
      </c>
      <c r="H188" s="44" t="s">
        <v>14</v>
      </c>
      <c r="I188" s="44" t="s">
        <v>14</v>
      </c>
      <c r="J188" s="44" t="s">
        <v>15</v>
      </c>
      <c r="K188" s="44" t="s">
        <v>129</v>
      </c>
      <c r="L188" s="40">
        <v>1148</v>
      </c>
      <c r="M188" s="41">
        <v>41339</v>
      </c>
      <c r="N188" s="40" t="s">
        <v>122</v>
      </c>
      <c r="O188" s="42">
        <f t="shared" si="7"/>
        <v>42278</v>
      </c>
      <c r="P188" s="40">
        <v>22</v>
      </c>
      <c r="Q188" s="207">
        <f>[3]PPL_RCGS1MS!G12</f>
        <v>38.293772002817313</v>
      </c>
      <c r="R188" s="207">
        <f>[3]PPL_RCGS1MS!H12</f>
        <v>37.472823800550856</v>
      </c>
      <c r="S188" s="207">
        <f>[3]PPL_RCGS1MS!I12</f>
        <v>36.307640842122574</v>
      </c>
      <c r="T188" s="207">
        <f>[3]PPL_RCGS1MS!J12</f>
        <v>36.088969751000647</v>
      </c>
      <c r="U188" s="207">
        <f>[3]PPL_RCGS1MS!K12</f>
        <v>37.107745276602373</v>
      </c>
      <c r="V188" s="145"/>
    </row>
    <row r="189" spans="1:22" x14ac:dyDescent="0.2">
      <c r="A189" s="89">
        <f t="shared" si="6"/>
        <v>181</v>
      </c>
      <c r="B189" s="43">
        <v>5</v>
      </c>
      <c r="C189" s="43">
        <v>33</v>
      </c>
      <c r="D189" s="38" t="s">
        <v>356</v>
      </c>
      <c r="E189" s="44" t="s">
        <v>206</v>
      </c>
      <c r="F189" s="44" t="s">
        <v>6</v>
      </c>
      <c r="G189" s="44" t="s">
        <v>120</v>
      </c>
      <c r="H189" s="44" t="s">
        <v>14</v>
      </c>
      <c r="I189" s="44" t="s">
        <v>14</v>
      </c>
      <c r="J189" s="44" t="s">
        <v>16</v>
      </c>
      <c r="K189" s="44" t="s">
        <v>135</v>
      </c>
      <c r="L189" s="40">
        <v>1149</v>
      </c>
      <c r="M189" s="41">
        <v>41339</v>
      </c>
      <c r="N189" s="40" t="s">
        <v>122</v>
      </c>
      <c r="O189" s="42">
        <f t="shared" si="7"/>
        <v>42278</v>
      </c>
      <c r="P189" s="40">
        <v>22</v>
      </c>
      <c r="Q189" s="207">
        <f>[3]PPL_RCGS3MS!G12</f>
        <v>39.698714826933255</v>
      </c>
      <c r="R189" s="207">
        <f>[3]PPL_RCGS3MS!H12</f>
        <v>37.51600663173555</v>
      </c>
      <c r="S189" s="207">
        <f>[3]PPL_RCGS3MS!I12</f>
        <v>36.77439221063787</v>
      </c>
      <c r="T189" s="207">
        <f>[3]PPL_RCGS3MS!J12</f>
        <v>36.148612160776949</v>
      </c>
      <c r="U189" s="207">
        <f>[3]PPL_RCGS3MS!K12</f>
        <v>37.178840363224573</v>
      </c>
      <c r="V189" s="145"/>
    </row>
    <row r="190" spans="1:22" x14ac:dyDescent="0.2">
      <c r="A190" s="89">
        <f t="shared" si="6"/>
        <v>182</v>
      </c>
      <c r="B190" s="43">
        <v>5</v>
      </c>
      <c r="C190" s="43">
        <v>34</v>
      </c>
      <c r="D190" s="38" t="s">
        <v>357</v>
      </c>
      <c r="E190" s="44" t="s">
        <v>208</v>
      </c>
      <c r="F190" s="44" t="s">
        <v>31</v>
      </c>
      <c r="G190" s="44" t="s">
        <v>120</v>
      </c>
      <c r="H190" s="44" t="s">
        <v>36</v>
      </c>
      <c r="I190" s="44" t="s">
        <v>36</v>
      </c>
      <c r="J190" s="44" t="s">
        <v>37</v>
      </c>
      <c r="K190" s="44" t="s">
        <v>209</v>
      </c>
      <c r="L190" s="40">
        <v>1150</v>
      </c>
      <c r="M190" s="41">
        <v>41339</v>
      </c>
      <c r="N190" s="40" t="s">
        <v>122</v>
      </c>
      <c r="O190" s="42">
        <f t="shared" si="7"/>
        <v>42278</v>
      </c>
      <c r="P190" s="40">
        <v>22</v>
      </c>
      <c r="Q190" s="207">
        <f>'[3]PSEG LP_GLP_MMS'!G12</f>
        <v>63.854455805146181</v>
      </c>
      <c r="R190" s="207">
        <f>'[3]PSEG LP_GLP_MMS'!H12</f>
        <v>62.001182777062262</v>
      </c>
      <c r="S190" s="207">
        <f>'[3]PSEG LP_GLP_MMS'!I12</f>
        <v>63.596679358462751</v>
      </c>
      <c r="T190" s="207">
        <f>'[3]PSEG LP_GLP_MMS'!J12</f>
        <v>63.157527572909927</v>
      </c>
      <c r="U190" s="207">
        <f>'[3]PSEG LP_GLP_MMS'!K12</f>
        <v>64.743455063925722</v>
      </c>
      <c r="V190" s="145"/>
    </row>
    <row r="191" spans="1:22" x14ac:dyDescent="0.2">
      <c r="A191" s="89">
        <f t="shared" si="6"/>
        <v>183</v>
      </c>
      <c r="B191" s="43">
        <v>5</v>
      </c>
      <c r="C191" s="43">
        <v>35</v>
      </c>
      <c r="D191" s="38" t="s">
        <v>358</v>
      </c>
      <c r="E191" s="44" t="s">
        <v>211</v>
      </c>
      <c r="F191" s="44" t="s">
        <v>31</v>
      </c>
      <c r="G191" s="44" t="s">
        <v>120</v>
      </c>
      <c r="H191" s="44" t="s">
        <v>36</v>
      </c>
      <c r="I191" s="44" t="s">
        <v>36</v>
      </c>
      <c r="J191" s="44" t="s">
        <v>38</v>
      </c>
      <c r="K191" s="44" t="s">
        <v>212</v>
      </c>
      <c r="L191" s="40">
        <v>1151</v>
      </c>
      <c r="M191" s="41">
        <v>41339</v>
      </c>
      <c r="N191" s="40" t="s">
        <v>122</v>
      </c>
      <c r="O191" s="42">
        <f t="shared" si="7"/>
        <v>42278</v>
      </c>
      <c r="P191" s="40">
        <v>22</v>
      </c>
      <c r="Q191" s="207">
        <f>'[3]PSEG LP_LPLMS'!G12</f>
        <v>63.063455768617679</v>
      </c>
      <c r="R191" s="207">
        <f>'[3]PSEG LP_LPLMS'!H12</f>
        <v>61.205091169599847</v>
      </c>
      <c r="S191" s="207">
        <f>'[3]PSEG LP_LPLMS'!I12</f>
        <v>62.824350151705076</v>
      </c>
      <c r="T191" s="207">
        <f>'[3]PSEG LP_LPLMS'!J12</f>
        <v>62.310907013519383</v>
      </c>
      <c r="U191" s="207">
        <f>'[3]PSEG LP_LPLMS'!K12</f>
        <v>63.887696089256309</v>
      </c>
      <c r="V191" s="145"/>
    </row>
    <row r="192" spans="1:22" x14ac:dyDescent="0.2">
      <c r="A192" s="89">
        <f t="shared" si="6"/>
        <v>184</v>
      </c>
      <c r="B192" s="43">
        <v>5</v>
      </c>
      <c r="C192" s="43">
        <v>36</v>
      </c>
      <c r="D192" s="38" t="s">
        <v>359</v>
      </c>
      <c r="E192" s="44" t="s">
        <v>214</v>
      </c>
      <c r="F192" s="44" t="s">
        <v>6</v>
      </c>
      <c r="G192" s="44" t="s">
        <v>120</v>
      </c>
      <c r="H192" s="44" t="s">
        <v>17</v>
      </c>
      <c r="I192" s="44" t="s">
        <v>215</v>
      </c>
      <c r="J192" s="44" t="s">
        <v>18</v>
      </c>
      <c r="K192" s="44" t="s">
        <v>140</v>
      </c>
      <c r="L192" s="40">
        <v>1152</v>
      </c>
      <c r="M192" s="41">
        <v>41339</v>
      </c>
      <c r="N192" s="40" t="s">
        <v>122</v>
      </c>
      <c r="O192" s="42">
        <f t="shared" si="7"/>
        <v>42278</v>
      </c>
      <c r="P192" s="40">
        <v>22</v>
      </c>
      <c r="Q192" s="207">
        <f>'[3]West Penn Power LP_GSCMMS'!G12</f>
        <v>33.475571326376283</v>
      </c>
      <c r="R192" s="207">
        <f>'[3]West Penn Power LP_GSCMMS'!H12</f>
        <v>30.468981517262019</v>
      </c>
      <c r="S192" s="207">
        <f>'[3]West Penn Power LP_GSCMMS'!I12</f>
        <v>28.956202034042313</v>
      </c>
      <c r="T192" s="207">
        <f>'[3]West Penn Power LP_GSCMMS'!J12</f>
        <v>29.19552872624643</v>
      </c>
      <c r="U192" s="207">
        <f>'[3]West Penn Power LP_GSCMMS'!K12</f>
        <v>30.616884358880679</v>
      </c>
      <c r="V192" s="145"/>
    </row>
    <row r="193" spans="1:22" x14ac:dyDescent="0.2">
      <c r="A193" s="89">
        <f t="shared" si="6"/>
        <v>185</v>
      </c>
      <c r="B193" s="20"/>
      <c r="C193" s="20"/>
      <c r="D193" s="20"/>
      <c r="Q193" s="208"/>
      <c r="R193" s="208"/>
      <c r="S193" s="208"/>
      <c r="T193" s="208"/>
      <c r="U193" s="208"/>
    </row>
    <row r="194" spans="1:22" x14ac:dyDescent="0.2">
      <c r="A194" s="89">
        <f t="shared" si="6"/>
        <v>186</v>
      </c>
      <c r="B194" s="43">
        <v>6</v>
      </c>
      <c r="C194" s="43">
        <v>1</v>
      </c>
      <c r="D194" s="38" t="s">
        <v>360</v>
      </c>
      <c r="E194" s="44" t="s">
        <v>119</v>
      </c>
      <c r="F194" s="44" t="s">
        <v>31</v>
      </c>
      <c r="G194" s="44" t="s">
        <v>120</v>
      </c>
      <c r="H194" s="44" t="s">
        <v>32</v>
      </c>
      <c r="I194" s="44" t="s">
        <v>32</v>
      </c>
      <c r="J194" s="44" t="s">
        <v>33</v>
      </c>
      <c r="K194" s="44" t="s">
        <v>121</v>
      </c>
      <c r="L194" s="40">
        <v>1117</v>
      </c>
      <c r="M194" s="41">
        <v>41339</v>
      </c>
      <c r="N194" s="40" t="s">
        <v>122</v>
      </c>
      <c r="O194" s="42">
        <f>EDATE(O157,1)</f>
        <v>42309</v>
      </c>
      <c r="P194" s="40">
        <v>23</v>
      </c>
      <c r="Q194" s="207">
        <f>'[3]AECO LP_10V1_SMS'!G13</f>
        <v>56.335879912149124</v>
      </c>
      <c r="R194" s="207">
        <f>'[3]AECO LP_10V1_SMS'!H13</f>
        <v>49.487118120156062</v>
      </c>
      <c r="S194" s="207">
        <f>'[3]AECO LP_10V1_SMS'!I13</f>
        <v>50.203393854878627</v>
      </c>
      <c r="T194" s="207">
        <f>'[3]AECO LP_10V1_SMS'!J13</f>
        <v>48.55706967440981</v>
      </c>
      <c r="U194" s="207">
        <f>'[3]AECO LP_10V1_SMS'!K13</f>
        <v>50.134611135413202</v>
      </c>
      <c r="V194" s="145"/>
    </row>
    <row r="195" spans="1:22" x14ac:dyDescent="0.2">
      <c r="A195" s="89">
        <f t="shared" si="6"/>
        <v>187</v>
      </c>
      <c r="B195" s="43">
        <v>6</v>
      </c>
      <c r="C195" s="43">
        <v>2</v>
      </c>
      <c r="D195" s="38" t="s">
        <v>361</v>
      </c>
      <c r="E195" s="44" t="s">
        <v>124</v>
      </c>
      <c r="F195" s="44" t="s">
        <v>31</v>
      </c>
      <c r="G195" s="44" t="s">
        <v>120</v>
      </c>
      <c r="H195" s="44" t="s">
        <v>32</v>
      </c>
      <c r="I195" s="44" t="s">
        <v>32</v>
      </c>
      <c r="J195" s="44" t="s">
        <v>34</v>
      </c>
      <c r="K195" s="44" t="s">
        <v>125</v>
      </c>
      <c r="L195" s="40">
        <v>1118</v>
      </c>
      <c r="M195" s="41">
        <v>41339</v>
      </c>
      <c r="N195" s="40" t="s">
        <v>122</v>
      </c>
      <c r="O195" s="42">
        <f>O194</f>
        <v>42309</v>
      </c>
      <c r="P195" s="40">
        <v>23</v>
      </c>
      <c r="Q195" s="207">
        <f>'[3]AECO LP_14V1_MMS'!G13</f>
        <v>53.926295426317175</v>
      </c>
      <c r="R195" s="207">
        <f>'[3]AECO LP_14V1_MMS'!H13</f>
        <v>49.380712960154739</v>
      </c>
      <c r="S195" s="207">
        <f>'[3]AECO LP_14V1_MMS'!I13</f>
        <v>49.521740983851387</v>
      </c>
      <c r="T195" s="207">
        <f>'[3]AECO LP_14V1_MMS'!J13</f>
        <v>48.44958136627902</v>
      </c>
      <c r="U195" s="207">
        <f>'[3]AECO LP_14V1_MMS'!K13</f>
        <v>48.964298072202233</v>
      </c>
      <c r="V195" s="145"/>
    </row>
    <row r="196" spans="1:22" x14ac:dyDescent="0.2">
      <c r="A196" s="89">
        <f t="shared" si="6"/>
        <v>188</v>
      </c>
      <c r="B196" s="43">
        <v>6</v>
      </c>
      <c r="C196" s="43">
        <v>3</v>
      </c>
      <c r="D196" s="38" t="s">
        <v>362</v>
      </c>
      <c r="E196" s="44" t="s">
        <v>127</v>
      </c>
      <c r="F196" s="44" t="s">
        <v>20</v>
      </c>
      <c r="G196" s="44" t="s">
        <v>120</v>
      </c>
      <c r="H196" s="44" t="s">
        <v>63</v>
      </c>
      <c r="I196" s="44" t="s">
        <v>128</v>
      </c>
      <c r="J196" s="44" t="s">
        <v>15</v>
      </c>
      <c r="K196" s="44" t="s">
        <v>129</v>
      </c>
      <c r="L196" s="40">
        <v>1119</v>
      </c>
      <c r="M196" s="41">
        <v>41339</v>
      </c>
      <c r="N196" s="40" t="s">
        <v>122</v>
      </c>
      <c r="O196" s="42">
        <f t="shared" ref="O196:O229" si="8">O195</f>
        <v>42309</v>
      </c>
      <c r="P196" s="40">
        <v>23</v>
      </c>
      <c r="Q196" s="207">
        <f>'[3]AEP_OH_CS - test CSGS1MS'!G13</f>
        <v>24.061650581422718</v>
      </c>
      <c r="R196" s="207">
        <f>'[3]AEP_OH_CS - test CSGS1MS'!H13</f>
        <v>20.018393648189608</v>
      </c>
      <c r="S196" s="207">
        <f>'[3]AEP_OH_CS - test CSGS1MS'!I13</f>
        <v>18.743576343297363</v>
      </c>
      <c r="T196" s="207">
        <f>'[3]AEP_OH_CS - test CSGS1MS'!J13</f>
        <v>19.131486270938652</v>
      </c>
      <c r="U196" s="207">
        <f>'[3]AEP_OH_CS - test CSGS1MS'!K13</f>
        <v>20.552582608078133</v>
      </c>
      <c r="V196" s="145"/>
    </row>
    <row r="197" spans="1:22" x14ac:dyDescent="0.2">
      <c r="A197" s="89">
        <f t="shared" si="6"/>
        <v>189</v>
      </c>
      <c r="B197" s="43">
        <v>6</v>
      </c>
      <c r="C197" s="43">
        <v>4</v>
      </c>
      <c r="D197" s="38" t="s">
        <v>363</v>
      </c>
      <c r="E197" s="44" t="s">
        <v>131</v>
      </c>
      <c r="F197" s="44" t="s">
        <v>20</v>
      </c>
      <c r="G197" s="44" t="s">
        <v>120</v>
      </c>
      <c r="H197" s="44" t="s">
        <v>63</v>
      </c>
      <c r="I197" s="44" t="s">
        <v>128</v>
      </c>
      <c r="J197" s="44" t="s">
        <v>21</v>
      </c>
      <c r="K197" s="44" t="s">
        <v>132</v>
      </c>
      <c r="L197" s="40">
        <v>1120</v>
      </c>
      <c r="M197" s="41">
        <v>41339</v>
      </c>
      <c r="N197" s="40" t="s">
        <v>122</v>
      </c>
      <c r="O197" s="42">
        <f t="shared" si="8"/>
        <v>42309</v>
      </c>
      <c r="P197" s="40">
        <v>23</v>
      </c>
      <c r="Q197" s="207">
        <f>'[3]AEP_OH_CS - test CSGS2UMS'!G13</f>
        <v>24.629040576142533</v>
      </c>
      <c r="R197" s="207">
        <f>'[3]AEP_OH_CS - test CSGS2UMS'!H13</f>
        <v>20.120715963797029</v>
      </c>
      <c r="S197" s="207">
        <f>'[3]AEP_OH_CS - test CSGS2UMS'!I13</f>
        <v>18.903311699762895</v>
      </c>
      <c r="T197" s="207">
        <f>'[3]AEP_OH_CS - test CSGS2UMS'!J13</f>
        <v>19.226741698120044</v>
      </c>
      <c r="U197" s="207">
        <f>'[3]AEP_OH_CS - test CSGS2UMS'!K13</f>
        <v>20.647587579674404</v>
      </c>
      <c r="V197" s="145"/>
    </row>
    <row r="198" spans="1:22" x14ac:dyDescent="0.2">
      <c r="A198" s="89">
        <f t="shared" si="6"/>
        <v>190</v>
      </c>
      <c r="B198" s="43">
        <v>6</v>
      </c>
      <c r="C198" s="43">
        <v>5</v>
      </c>
      <c r="D198" s="38" t="s">
        <v>364</v>
      </c>
      <c r="E198" s="44" t="s">
        <v>134</v>
      </c>
      <c r="F198" s="44" t="s">
        <v>20</v>
      </c>
      <c r="G198" s="44" t="s">
        <v>120</v>
      </c>
      <c r="H198" s="44" t="s">
        <v>63</v>
      </c>
      <c r="I198" s="44" t="s">
        <v>128</v>
      </c>
      <c r="J198" s="44" t="s">
        <v>16</v>
      </c>
      <c r="K198" s="44" t="s">
        <v>135</v>
      </c>
      <c r="L198" s="40">
        <v>1121</v>
      </c>
      <c r="M198" s="41">
        <v>41339</v>
      </c>
      <c r="N198" s="40" t="s">
        <v>122</v>
      </c>
      <c r="O198" s="42">
        <f t="shared" si="8"/>
        <v>42309</v>
      </c>
      <c r="P198" s="40">
        <v>23</v>
      </c>
      <c r="Q198" s="207">
        <f>'[3]AEP_OH_CS - test CSGS3UMS'!G13</f>
        <v>25.364799101729606</v>
      </c>
      <c r="R198" s="207">
        <f>'[3]AEP_OH_CS - test CSGS3UMS'!H13</f>
        <v>20.050715008549904</v>
      </c>
      <c r="S198" s="207">
        <f>'[3]AEP_OH_CS - test CSGS3UMS'!I13</f>
        <v>18.989863334940122</v>
      </c>
      <c r="T198" s="207">
        <f>'[3]AEP_OH_CS - test CSGS3UMS'!J13</f>
        <v>19.156727104020064</v>
      </c>
      <c r="U198" s="207">
        <f>'[3]AEP_OH_CS - test CSGS3UMS'!K13</f>
        <v>20.57517465709768</v>
      </c>
      <c r="V198" s="145"/>
    </row>
    <row r="199" spans="1:22" x14ac:dyDescent="0.2">
      <c r="A199" s="89">
        <f t="shared" si="6"/>
        <v>191</v>
      </c>
      <c r="B199" s="43">
        <v>6</v>
      </c>
      <c r="C199" s="43">
        <v>6</v>
      </c>
      <c r="D199" s="38" t="s">
        <v>365</v>
      </c>
      <c r="E199" s="44" t="s">
        <v>137</v>
      </c>
      <c r="F199" s="44" t="s">
        <v>25</v>
      </c>
      <c r="G199" s="44" t="s">
        <v>138</v>
      </c>
      <c r="H199" s="44" t="s">
        <v>139</v>
      </c>
      <c r="I199" s="44" t="s">
        <v>29</v>
      </c>
      <c r="J199" s="44" t="s">
        <v>30</v>
      </c>
      <c r="K199" s="44" t="s">
        <v>140</v>
      </c>
      <c r="L199" s="40">
        <v>1122</v>
      </c>
      <c r="M199" s="41">
        <v>41339</v>
      </c>
      <c r="N199" s="40" t="s">
        <v>122</v>
      </c>
      <c r="O199" s="42">
        <f t="shared" si="8"/>
        <v>42309</v>
      </c>
      <c r="P199" s="40">
        <v>23</v>
      </c>
      <c r="Q199" s="207">
        <f>'[3]Ameren RateZnIII LP DS2HHMS'!G13</f>
        <v>33.743070768985262</v>
      </c>
      <c r="R199" s="207">
        <f>'[3]Ameren RateZnIII LP DS2HHMS'!H13</f>
        <v>33.23149368494262</v>
      </c>
      <c r="S199" s="207">
        <f>'[3]Ameren RateZnIII LP DS2HHMS'!I13</f>
        <v>34.624838940140947</v>
      </c>
      <c r="T199" s="207">
        <f>'[3]Ameren RateZnIII LP DS2HHMS'!J13</f>
        <v>34.571266055116126</v>
      </c>
      <c r="U199" s="207">
        <f>'[3]Ameren RateZnIII LP DS2HHMS'!K13</f>
        <v>35.723945545767485</v>
      </c>
      <c r="V199" s="145"/>
    </row>
    <row r="200" spans="1:22" x14ac:dyDescent="0.2">
      <c r="A200" s="89">
        <f t="shared" si="6"/>
        <v>192</v>
      </c>
      <c r="B200" s="43">
        <v>6</v>
      </c>
      <c r="C200" s="43">
        <v>7</v>
      </c>
      <c r="D200" s="38" t="s">
        <v>366</v>
      </c>
      <c r="E200" s="44" t="s">
        <v>142</v>
      </c>
      <c r="F200" s="44" t="s">
        <v>39</v>
      </c>
      <c r="G200" s="44" t="s">
        <v>120</v>
      </c>
      <c r="H200" s="44" t="s">
        <v>40</v>
      </c>
      <c r="I200" s="44" t="s">
        <v>40</v>
      </c>
      <c r="J200" s="44" t="s">
        <v>42</v>
      </c>
      <c r="K200" s="44" t="s">
        <v>135</v>
      </c>
      <c r="L200" s="40">
        <v>1124</v>
      </c>
      <c r="M200" s="41">
        <v>41339</v>
      </c>
      <c r="N200" s="40" t="s">
        <v>122</v>
      </c>
      <c r="O200" s="42">
        <f t="shared" si="8"/>
        <v>42309</v>
      </c>
      <c r="P200" s="40">
        <v>23</v>
      </c>
      <c r="Q200" s="207">
        <f>'[3]BGE LP_GLMS'!G13</f>
        <v>38.298639518025041</v>
      </c>
      <c r="R200" s="207">
        <f>'[3]BGE LP_GLMS'!H13</f>
        <v>34.307177495154654</v>
      </c>
      <c r="S200" s="207">
        <f>'[3]BGE LP_GLMS'!I13</f>
        <v>34.140427957084079</v>
      </c>
      <c r="T200" s="207">
        <f>'[3]BGE LP_GLMS'!J13</f>
        <v>33.204746580237256</v>
      </c>
      <c r="U200" s="207">
        <f>'[3]BGE LP_GLMS'!K13</f>
        <v>34.900061670714365</v>
      </c>
      <c r="V200" s="145"/>
    </row>
    <row r="201" spans="1:22" x14ac:dyDescent="0.2">
      <c r="A201" s="89">
        <f t="shared" si="6"/>
        <v>193</v>
      </c>
      <c r="B201" s="43">
        <v>6</v>
      </c>
      <c r="C201" s="43">
        <v>8</v>
      </c>
      <c r="D201" s="38" t="s">
        <v>367</v>
      </c>
      <c r="E201" s="44" t="s">
        <v>144</v>
      </c>
      <c r="F201" s="44" t="s">
        <v>39</v>
      </c>
      <c r="G201" s="44" t="s">
        <v>120</v>
      </c>
      <c r="H201" s="44" t="s">
        <v>40</v>
      </c>
      <c r="I201" s="44" t="s">
        <v>40</v>
      </c>
      <c r="J201" s="44" t="s">
        <v>41</v>
      </c>
      <c r="K201" s="44" t="s">
        <v>132</v>
      </c>
      <c r="L201" s="40">
        <v>1123</v>
      </c>
      <c r="M201" s="41">
        <v>41339</v>
      </c>
      <c r="N201" s="40" t="s">
        <v>122</v>
      </c>
      <c r="O201" s="42">
        <f t="shared" si="8"/>
        <v>42309</v>
      </c>
      <c r="P201" s="40">
        <v>23</v>
      </c>
      <c r="Q201" s="207">
        <f>'[3]BGE LP_GMS'!G13</f>
        <v>36.996023832793114</v>
      </c>
      <c r="R201" s="207">
        <f>'[3]BGE LP_GMS'!H13</f>
        <v>34.380549602017396</v>
      </c>
      <c r="S201" s="207">
        <f>'[3]BGE LP_GMS'!I13</f>
        <v>33.830413421645879</v>
      </c>
      <c r="T201" s="207">
        <f>'[3]BGE LP_GMS'!J13</f>
        <v>33.273318475781487</v>
      </c>
      <c r="U201" s="207">
        <f>'[3]BGE LP_GMS'!K13</f>
        <v>35.009610217673952</v>
      </c>
      <c r="V201" s="145"/>
    </row>
    <row r="202" spans="1:22" x14ac:dyDescent="0.2">
      <c r="A202" s="89">
        <f t="shared" si="6"/>
        <v>194</v>
      </c>
      <c r="B202" s="43">
        <v>6</v>
      </c>
      <c r="C202" s="43">
        <v>9</v>
      </c>
      <c r="D202" s="38" t="s">
        <v>368</v>
      </c>
      <c r="E202" s="44" t="s">
        <v>146</v>
      </c>
      <c r="F202" s="44" t="s">
        <v>39</v>
      </c>
      <c r="G202" s="44" t="s">
        <v>120</v>
      </c>
      <c r="H202" s="44" t="s">
        <v>40</v>
      </c>
      <c r="I202" s="44" t="s">
        <v>40</v>
      </c>
      <c r="J202" s="44" t="s">
        <v>7</v>
      </c>
      <c r="K202" s="44" t="s">
        <v>129</v>
      </c>
      <c r="L202" s="40">
        <v>1125</v>
      </c>
      <c r="M202" s="41">
        <v>41339</v>
      </c>
      <c r="N202" s="40" t="s">
        <v>122</v>
      </c>
      <c r="O202" s="42">
        <f t="shared" si="8"/>
        <v>42309</v>
      </c>
      <c r="P202" s="40">
        <v>23</v>
      </c>
      <c r="Q202" s="207">
        <f>'[3]BGE LP_GSMS'!G13</f>
        <v>38.475142110880611</v>
      </c>
      <c r="R202" s="207">
        <f>'[3]BGE LP_GSMS'!H13</f>
        <v>35.308383516055898</v>
      </c>
      <c r="S202" s="207">
        <f>'[3]BGE LP_GSMS'!I13</f>
        <v>34.916334316973256</v>
      </c>
      <c r="T202" s="207">
        <f>'[3]BGE LP_GSMS'!J13</f>
        <v>34.207388997019955</v>
      </c>
      <c r="U202" s="207">
        <f>'[3]BGE LP_GSMS'!K13</f>
        <v>35.8656154641344</v>
      </c>
      <c r="V202" s="145"/>
    </row>
    <row r="203" spans="1:22" x14ac:dyDescent="0.2">
      <c r="A203" s="89">
        <f t="shared" ref="A203:A266" si="9">A202+1</f>
        <v>195</v>
      </c>
      <c r="B203" s="43">
        <v>6</v>
      </c>
      <c r="C203" s="43">
        <v>10</v>
      </c>
      <c r="D203" s="38" t="s">
        <v>369</v>
      </c>
      <c r="E203" s="44" t="s">
        <v>148</v>
      </c>
      <c r="F203" s="44" t="s">
        <v>25</v>
      </c>
      <c r="G203" s="44" t="s">
        <v>120</v>
      </c>
      <c r="H203" s="44" t="s">
        <v>149</v>
      </c>
      <c r="I203" s="44" t="s">
        <v>26</v>
      </c>
      <c r="J203" s="44" t="s">
        <v>27</v>
      </c>
      <c r="K203" s="44" t="s">
        <v>150</v>
      </c>
      <c r="L203" s="40">
        <v>1126</v>
      </c>
      <c r="M203" s="41">
        <v>41339</v>
      </c>
      <c r="N203" s="40" t="s">
        <v>122</v>
      </c>
      <c r="O203" s="42">
        <f t="shared" si="8"/>
        <v>42309</v>
      </c>
      <c r="P203" s="40">
        <v>23</v>
      </c>
      <c r="Q203" s="207">
        <f>'[3]ComEd - test LP_28MS'!G13</f>
        <v>32.073312779313468</v>
      </c>
      <c r="R203" s="207">
        <f>'[3]ComEd - test LP_28MS'!H13</f>
        <v>27.953493469558566</v>
      </c>
      <c r="S203" s="207">
        <f>'[3]ComEd - test LP_28MS'!I13</f>
        <v>26.753303126133318</v>
      </c>
      <c r="T203" s="207">
        <f>'[3]ComEd - test LP_28MS'!J13</f>
        <v>27.233217332309671</v>
      </c>
      <c r="U203" s="207">
        <f>'[3]ComEd - test LP_28MS'!K13</f>
        <v>28.641553225558596</v>
      </c>
      <c r="V203" s="145"/>
    </row>
    <row r="204" spans="1:22" x14ac:dyDescent="0.2">
      <c r="A204" s="89">
        <f t="shared" si="9"/>
        <v>196</v>
      </c>
      <c r="B204" s="43">
        <v>6</v>
      </c>
      <c r="C204" s="43">
        <v>11</v>
      </c>
      <c r="D204" s="38" t="s">
        <v>370</v>
      </c>
      <c r="E204" s="44" t="s">
        <v>152</v>
      </c>
      <c r="F204" s="44" t="s">
        <v>25</v>
      </c>
      <c r="G204" s="44" t="s">
        <v>120</v>
      </c>
      <c r="H204" s="44" t="s">
        <v>149</v>
      </c>
      <c r="I204" s="44" t="s">
        <v>26</v>
      </c>
      <c r="J204" s="44" t="s">
        <v>28</v>
      </c>
      <c r="K204" s="44" t="s">
        <v>153</v>
      </c>
      <c r="L204" s="40">
        <v>1127</v>
      </c>
      <c r="M204" s="41">
        <v>41339</v>
      </c>
      <c r="N204" s="40" t="s">
        <v>122</v>
      </c>
      <c r="O204" s="42">
        <f t="shared" si="8"/>
        <v>42309</v>
      </c>
      <c r="P204" s="40">
        <v>23</v>
      </c>
      <c r="Q204" s="207">
        <f>'[3]ComEd - test LP_29MS'!G13</f>
        <v>31.181713987393177</v>
      </c>
      <c r="R204" s="207">
        <f>'[3]ComEd - test LP_29MS'!H13</f>
        <v>27.053176720550965</v>
      </c>
      <c r="S204" s="207">
        <f>'[3]ComEd - test LP_29MS'!I13</f>
        <v>25.857184645622617</v>
      </c>
      <c r="T204" s="207">
        <f>'[3]ComEd - test LP_29MS'!J13</f>
        <v>26.328118017756342</v>
      </c>
      <c r="U204" s="207">
        <f>'[3]ComEd - test LP_29MS'!K13</f>
        <v>27.737207386661339</v>
      </c>
      <c r="V204" s="145"/>
    </row>
    <row r="205" spans="1:22" x14ac:dyDescent="0.2">
      <c r="A205" s="89">
        <f t="shared" si="9"/>
        <v>197</v>
      </c>
      <c r="B205" s="43">
        <v>6</v>
      </c>
      <c r="C205" s="43">
        <v>12</v>
      </c>
      <c r="D205" s="38" t="s">
        <v>371</v>
      </c>
      <c r="E205" s="44" t="s">
        <v>155</v>
      </c>
      <c r="F205" s="44" t="s">
        <v>20</v>
      </c>
      <c r="G205" s="44" t="s">
        <v>120</v>
      </c>
      <c r="H205" s="44" t="s">
        <v>105</v>
      </c>
      <c r="I205" s="44" t="s">
        <v>156</v>
      </c>
      <c r="J205" s="44" t="s">
        <v>22</v>
      </c>
      <c r="K205" s="44" t="s">
        <v>157</v>
      </c>
      <c r="L205" s="40">
        <v>1128</v>
      </c>
      <c r="M205" s="41">
        <v>41339</v>
      </c>
      <c r="N205" s="40" t="s">
        <v>122</v>
      </c>
      <c r="O205" s="42">
        <f t="shared" si="8"/>
        <v>42309</v>
      </c>
      <c r="P205" s="40">
        <v>23</v>
      </c>
      <c r="Q205" s="207">
        <f>[3]DAY_RC_843MS!G13</f>
        <v>21.137489726226839</v>
      </c>
      <c r="R205" s="207">
        <f>[3]DAY_RC_843MS!H13</f>
        <v>19.034526131322295</v>
      </c>
      <c r="S205" s="207">
        <f>[3]DAY_RC_843MS!I13</f>
        <v>17.224484060014621</v>
      </c>
      <c r="T205" s="207">
        <f>[3]DAY_RC_843MS!J13</f>
        <v>18.136940599881811</v>
      </c>
      <c r="U205" s="207">
        <f>[3]DAY_RC_843MS!K13</f>
        <v>19.453205410449865</v>
      </c>
      <c r="V205" s="145"/>
    </row>
    <row r="206" spans="1:22" x14ac:dyDescent="0.2">
      <c r="A206" s="89">
        <f t="shared" si="9"/>
        <v>198</v>
      </c>
      <c r="B206" s="43">
        <v>6</v>
      </c>
      <c r="C206" s="43">
        <v>13</v>
      </c>
      <c r="D206" s="38" t="s">
        <v>372</v>
      </c>
      <c r="E206" s="44" t="s">
        <v>159</v>
      </c>
      <c r="F206" s="44" t="s">
        <v>39</v>
      </c>
      <c r="G206" s="44" t="s">
        <v>120</v>
      </c>
      <c r="H206" s="44" t="s">
        <v>43</v>
      </c>
      <c r="I206" s="44" t="s">
        <v>43</v>
      </c>
      <c r="J206" s="44" t="s">
        <v>7</v>
      </c>
      <c r="K206" s="44" t="s">
        <v>140</v>
      </c>
      <c r="L206" s="40">
        <v>1129</v>
      </c>
      <c r="M206" s="41">
        <v>41339</v>
      </c>
      <c r="N206" s="40" t="s">
        <v>122</v>
      </c>
      <c r="O206" s="42">
        <f t="shared" si="8"/>
        <v>42309</v>
      </c>
      <c r="P206" s="40">
        <v>23</v>
      </c>
      <c r="Q206" s="207">
        <f>'[3]Delmarva MD LP_MDGS_MMS'!G13</f>
        <v>41.991849686556883</v>
      </c>
      <c r="R206" s="207">
        <f>'[3]Delmarva MD LP_MDGS_MMS'!H13</f>
        <v>38.009377588429366</v>
      </c>
      <c r="S206" s="207">
        <f>'[3]Delmarva MD LP_MDGS_MMS'!I13</f>
        <v>37.913888132655913</v>
      </c>
      <c r="T206" s="207">
        <f>'[3]Delmarva MD LP_MDGS_MMS'!J13</f>
        <v>37.076837344662231</v>
      </c>
      <c r="U206" s="207">
        <f>'[3]Delmarva MD LP_MDGS_MMS'!K13</f>
        <v>39.215258565961264</v>
      </c>
      <c r="V206" s="145"/>
    </row>
    <row r="207" spans="1:22" x14ac:dyDescent="0.2">
      <c r="A207" s="89">
        <f t="shared" si="9"/>
        <v>199</v>
      </c>
      <c r="B207" s="43">
        <v>6</v>
      </c>
      <c r="C207" s="43">
        <v>14</v>
      </c>
      <c r="D207" s="38" t="s">
        <v>373</v>
      </c>
      <c r="E207" s="44" t="s">
        <v>161</v>
      </c>
      <c r="F207" s="44" t="s">
        <v>6</v>
      </c>
      <c r="G207" s="44" t="s">
        <v>120</v>
      </c>
      <c r="H207" s="44" t="s">
        <v>48</v>
      </c>
      <c r="I207" s="44" t="s">
        <v>48</v>
      </c>
      <c r="J207" s="44" t="s">
        <v>7</v>
      </c>
      <c r="K207" s="44" t="s">
        <v>140</v>
      </c>
      <c r="L207" s="40">
        <v>1130</v>
      </c>
      <c r="M207" s="41">
        <v>41339</v>
      </c>
      <c r="N207" s="40" t="s">
        <v>122</v>
      </c>
      <c r="O207" s="42">
        <f t="shared" si="8"/>
        <v>42309</v>
      </c>
      <c r="P207" s="40">
        <v>23</v>
      </c>
      <c r="Q207" s="207">
        <f>'[3]DQE LP_GSGM_MMS'!G13</f>
        <v>35.380466162477568</v>
      </c>
      <c r="R207" s="207">
        <f>'[3]DQE LP_GSGM_MMS'!H13</f>
        <v>31.650979515320369</v>
      </c>
      <c r="S207" s="207">
        <f>'[3]DQE LP_GSGM_MMS'!I13</f>
        <v>30.337739394664332</v>
      </c>
      <c r="T207" s="207">
        <f>'[3]DQE LP_GSGM_MMS'!J13</f>
        <v>30.901199012317139</v>
      </c>
      <c r="U207" s="207">
        <f>'[3]DQE LP_GSGM_MMS'!K13</f>
        <v>32.314625091700144</v>
      </c>
      <c r="V207" s="145"/>
    </row>
    <row r="208" spans="1:22" x14ac:dyDescent="0.2">
      <c r="A208" s="89">
        <f t="shared" si="9"/>
        <v>200</v>
      </c>
      <c r="B208" s="43">
        <v>6</v>
      </c>
      <c r="C208" s="43">
        <v>15</v>
      </c>
      <c r="D208" s="38" t="s">
        <v>374</v>
      </c>
      <c r="E208" s="44" t="s">
        <v>163</v>
      </c>
      <c r="F208" s="44" t="s">
        <v>20</v>
      </c>
      <c r="G208" s="44" t="s">
        <v>120</v>
      </c>
      <c r="H208" s="44" t="s">
        <v>23</v>
      </c>
      <c r="I208" s="44" t="s">
        <v>164</v>
      </c>
      <c r="J208" s="44" t="s">
        <v>24</v>
      </c>
      <c r="K208" s="44" t="s">
        <v>140</v>
      </c>
      <c r="L208" s="40">
        <v>1131</v>
      </c>
      <c r="M208" s="41">
        <v>41339</v>
      </c>
      <c r="N208" s="40" t="s">
        <v>122</v>
      </c>
      <c r="O208" s="42">
        <f t="shared" si="8"/>
        <v>42309</v>
      </c>
      <c r="P208" s="40">
        <v>23</v>
      </c>
      <c r="Q208" s="207">
        <f>[3]Duke_OH_RC_DS01MS!G13</f>
        <v>23.520624599492866</v>
      </c>
      <c r="R208" s="207">
        <f>[3]Duke_OH_RC_DS01MS!H13</f>
        <v>18.913981479996092</v>
      </c>
      <c r="S208" s="207">
        <f>[3]Duke_OH_RC_DS01MS!I13</f>
        <v>17.656793399080268</v>
      </c>
      <c r="T208" s="207">
        <f>[3]Duke_OH_RC_DS01MS!J13</f>
        <v>17.974933102469951</v>
      </c>
      <c r="U208" s="207">
        <f>[3]Duke_OH_RC_DS01MS!K13</f>
        <v>19.18752423714248</v>
      </c>
      <c r="V208" s="145"/>
    </row>
    <row r="209" spans="1:22" x14ac:dyDescent="0.2">
      <c r="A209" s="89">
        <f t="shared" si="9"/>
        <v>201</v>
      </c>
      <c r="B209" s="43">
        <v>6</v>
      </c>
      <c r="C209" s="43">
        <v>16</v>
      </c>
      <c r="D209" s="38" t="s">
        <v>375</v>
      </c>
      <c r="E209" s="44" t="s">
        <v>166</v>
      </c>
      <c r="F209" s="44" t="s">
        <v>20</v>
      </c>
      <c r="G209" s="44" t="s">
        <v>120</v>
      </c>
      <c r="H209" s="44" t="s">
        <v>64</v>
      </c>
      <c r="I209" s="44" t="s">
        <v>167</v>
      </c>
      <c r="J209" s="44" t="s">
        <v>7</v>
      </c>
      <c r="K209" s="44" t="s">
        <v>140</v>
      </c>
      <c r="L209" s="40">
        <v>1132</v>
      </c>
      <c r="M209" s="41">
        <v>41339</v>
      </c>
      <c r="N209" s="40" t="s">
        <v>122</v>
      </c>
      <c r="O209" s="42">
        <f t="shared" si="8"/>
        <v>42309</v>
      </c>
      <c r="P209" s="40">
        <v>23</v>
      </c>
      <c r="Q209" s="207">
        <f>'[3]FE_OE - test RC_GSFMS'!G13</f>
        <v>40.499312391708912</v>
      </c>
      <c r="R209" s="207">
        <f>'[3]FE_OE - test RC_GSFMS'!H13</f>
        <v>32.465076202692806</v>
      </c>
      <c r="S209" s="207">
        <f>'[3]FE_OE - test RC_GSFMS'!I13</f>
        <v>28.230252137942784</v>
      </c>
      <c r="T209" s="207">
        <f>'[3]FE_OE - test RC_GSFMS'!J13</f>
        <v>26.951102615471395</v>
      </c>
      <c r="U209" s="207">
        <f>'[3]FE_OE - test RC_GSFMS'!K13</f>
        <v>28.413900242874028</v>
      </c>
      <c r="V209" s="145"/>
    </row>
    <row r="210" spans="1:22" x14ac:dyDescent="0.2">
      <c r="A210" s="89">
        <f t="shared" si="9"/>
        <v>202</v>
      </c>
      <c r="B210" s="43">
        <v>6</v>
      </c>
      <c r="C210" s="43">
        <v>17</v>
      </c>
      <c r="D210" s="38" t="s">
        <v>376</v>
      </c>
      <c r="E210" s="44" t="s">
        <v>169</v>
      </c>
      <c r="F210" s="44" t="s">
        <v>31</v>
      </c>
      <c r="G210" s="44" t="s">
        <v>120</v>
      </c>
      <c r="H210" s="44" t="s">
        <v>35</v>
      </c>
      <c r="I210" s="44" t="s">
        <v>35</v>
      </c>
      <c r="J210" s="44" t="s">
        <v>9</v>
      </c>
      <c r="K210" s="44" t="s">
        <v>135</v>
      </c>
      <c r="L210" s="40">
        <v>1133</v>
      </c>
      <c r="M210" s="41">
        <v>41339</v>
      </c>
      <c r="N210" s="40" t="s">
        <v>122</v>
      </c>
      <c r="O210" s="42">
        <f t="shared" si="8"/>
        <v>42309</v>
      </c>
      <c r="P210" s="40">
        <v>23</v>
      </c>
      <c r="Q210" s="207">
        <f>'[3]JCPL LP_GSCLMS'!G13</f>
        <v>50.902715592067558</v>
      </c>
      <c r="R210" s="207">
        <f>'[3]JCPL LP_GSCLMS'!H13</f>
        <v>46.629658643390478</v>
      </c>
      <c r="S210" s="207">
        <f>'[3]JCPL LP_GSCLMS'!I13</f>
        <v>46.730816781738156</v>
      </c>
      <c r="T210" s="207">
        <f>'[3]JCPL LP_GSCLMS'!J13</f>
        <v>46.022645359001466</v>
      </c>
      <c r="U210" s="207">
        <f>'[3]JCPL LP_GSCLMS'!K13</f>
        <v>48.26000434605227</v>
      </c>
      <c r="V210" s="145"/>
    </row>
    <row r="211" spans="1:22" x14ac:dyDescent="0.2">
      <c r="A211" s="89">
        <f t="shared" si="9"/>
        <v>203</v>
      </c>
      <c r="B211" s="43">
        <v>6</v>
      </c>
      <c r="C211" s="43">
        <v>18</v>
      </c>
      <c r="D211" s="38" t="s">
        <v>377</v>
      </c>
      <c r="E211" s="44" t="s">
        <v>171</v>
      </c>
      <c r="F211" s="44" t="s">
        <v>31</v>
      </c>
      <c r="G211" s="44" t="s">
        <v>120</v>
      </c>
      <c r="H211" s="44" t="s">
        <v>35</v>
      </c>
      <c r="I211" s="44" t="s">
        <v>35</v>
      </c>
      <c r="J211" s="44" t="s">
        <v>10</v>
      </c>
      <c r="K211" s="44" t="s">
        <v>132</v>
      </c>
      <c r="L211" s="40">
        <v>1134</v>
      </c>
      <c r="M211" s="41">
        <v>41339</v>
      </c>
      <c r="N211" s="40" t="s">
        <v>122</v>
      </c>
      <c r="O211" s="42">
        <f t="shared" si="8"/>
        <v>42309</v>
      </c>
      <c r="P211" s="40">
        <v>23</v>
      </c>
      <c r="Q211" s="207">
        <f>'[3]JCPL LP_GSCMMS'!G13</f>
        <v>48.349374400883896</v>
      </c>
      <c r="R211" s="207">
        <f>'[3]JCPL LP_GSCMMS'!H13</f>
        <v>47.557479342907563</v>
      </c>
      <c r="S211" s="207">
        <f>'[3]JCPL LP_GSCMMS'!I13</f>
        <v>46.68138096343344</v>
      </c>
      <c r="T211" s="207">
        <f>'[3]JCPL LP_GSCMMS'!J13</f>
        <v>46.925955852348388</v>
      </c>
      <c r="U211" s="207">
        <f>'[3]JCPL LP_GSCMMS'!K13</f>
        <v>49.194371297823388</v>
      </c>
      <c r="V211" s="145"/>
    </row>
    <row r="212" spans="1:22" x14ac:dyDescent="0.2">
      <c r="A212" s="89">
        <f t="shared" si="9"/>
        <v>204</v>
      </c>
      <c r="B212" s="43">
        <v>6</v>
      </c>
      <c r="C212" s="43">
        <v>19</v>
      </c>
      <c r="D212" s="38" t="s">
        <v>378</v>
      </c>
      <c r="E212" s="44" t="s">
        <v>173</v>
      </c>
      <c r="F212" s="44" t="s">
        <v>31</v>
      </c>
      <c r="G212" s="44" t="s">
        <v>120</v>
      </c>
      <c r="H212" s="44" t="s">
        <v>35</v>
      </c>
      <c r="I212" s="44" t="s">
        <v>35</v>
      </c>
      <c r="J212" s="44" t="s">
        <v>11</v>
      </c>
      <c r="K212" s="44" t="s">
        <v>129</v>
      </c>
      <c r="L212" s="40">
        <v>1135</v>
      </c>
      <c r="M212" s="41">
        <v>41339</v>
      </c>
      <c r="N212" s="40" t="s">
        <v>122</v>
      </c>
      <c r="O212" s="42">
        <f t="shared" si="8"/>
        <v>42309</v>
      </c>
      <c r="P212" s="40">
        <v>23</v>
      </c>
      <c r="Q212" s="207">
        <f>'[3]JCPL LP_GSCSMS'!G13</f>
        <v>49.318098960253657</v>
      </c>
      <c r="R212" s="207">
        <f>'[3]JCPL LP_GSCSMS'!H13</f>
        <v>47.758727728211667</v>
      </c>
      <c r="S212" s="207">
        <f>'[3]JCPL LP_GSCSMS'!I13</f>
        <v>47.124330266521802</v>
      </c>
      <c r="T212" s="207">
        <f>'[3]JCPL LP_GSCSMS'!J13</f>
        <v>47.143254370235113</v>
      </c>
      <c r="U212" s="207">
        <f>'[3]JCPL LP_GSCSMS'!K13</f>
        <v>49.374850251258515</v>
      </c>
      <c r="V212" s="145"/>
    </row>
    <row r="213" spans="1:22" x14ac:dyDescent="0.2">
      <c r="A213" s="89">
        <f t="shared" si="9"/>
        <v>205</v>
      </c>
      <c r="B213" s="43">
        <v>6</v>
      </c>
      <c r="C213" s="43">
        <v>20</v>
      </c>
      <c r="D213" s="38" t="s">
        <v>379</v>
      </c>
      <c r="E213" s="44" t="s">
        <v>175</v>
      </c>
      <c r="F213" s="44" t="s">
        <v>6</v>
      </c>
      <c r="G213" s="44" t="s">
        <v>120</v>
      </c>
      <c r="H213" s="44" t="s">
        <v>176</v>
      </c>
      <c r="I213" s="44" t="s">
        <v>177</v>
      </c>
      <c r="J213" s="44" t="s">
        <v>9</v>
      </c>
      <c r="K213" s="44" t="s">
        <v>135</v>
      </c>
      <c r="L213" s="40">
        <v>1137</v>
      </c>
      <c r="M213" s="41">
        <v>41339</v>
      </c>
      <c r="N213" s="40" t="s">
        <v>122</v>
      </c>
      <c r="O213" s="42">
        <f t="shared" si="8"/>
        <v>42309</v>
      </c>
      <c r="P213" s="40">
        <v>23</v>
      </c>
      <c r="Q213" s="207">
        <f>'[3]MetEd RC_GSLFMS'!G13</f>
        <v>31.067748444899131</v>
      </c>
      <c r="R213" s="207">
        <f>'[3]MetEd RC_GSLFMS'!H13</f>
        <v>27.925941629767465</v>
      </c>
      <c r="S213" s="207">
        <f>'[3]MetEd RC_GSLFMS'!I13</f>
        <v>27.47362473246092</v>
      </c>
      <c r="T213" s="207">
        <f>'[3]MetEd RC_GSLFMS'!J13</f>
        <v>26.779551111431449</v>
      </c>
      <c r="U213" s="207">
        <f>'[3]MetEd RC_GSLFMS'!K13</f>
        <v>28.269417228192495</v>
      </c>
      <c r="V213" s="145"/>
    </row>
    <row r="214" spans="1:22" x14ac:dyDescent="0.2">
      <c r="A214" s="89">
        <f t="shared" si="9"/>
        <v>206</v>
      </c>
      <c r="B214" s="43">
        <v>6</v>
      </c>
      <c r="C214" s="43">
        <v>21</v>
      </c>
      <c r="D214" s="38" t="s">
        <v>380</v>
      </c>
      <c r="E214" s="44" t="s">
        <v>179</v>
      </c>
      <c r="F214" s="44" t="s">
        <v>6</v>
      </c>
      <c r="G214" s="44" t="s">
        <v>120</v>
      </c>
      <c r="H214" s="44" t="s">
        <v>176</v>
      </c>
      <c r="I214" s="44" t="s">
        <v>177</v>
      </c>
      <c r="J214" s="44" t="s">
        <v>10</v>
      </c>
      <c r="K214" s="44" t="s">
        <v>132</v>
      </c>
      <c r="L214" s="40">
        <v>1136</v>
      </c>
      <c r="M214" s="41">
        <v>41339</v>
      </c>
      <c r="N214" s="40" t="s">
        <v>122</v>
      </c>
      <c r="O214" s="42">
        <f t="shared" si="8"/>
        <v>42309</v>
      </c>
      <c r="P214" s="40">
        <v>23</v>
      </c>
      <c r="Q214" s="207">
        <f>'[3]MetEd RC_GSDFMS'!G13</f>
        <v>31.980930521946132</v>
      </c>
      <c r="R214" s="207">
        <f>'[3]MetEd RC_GSDFMS'!H13</f>
        <v>29.021554556748342</v>
      </c>
      <c r="S214" s="207">
        <f>'[3]MetEd RC_GSDFMS'!I13</f>
        <v>28.514190992382954</v>
      </c>
      <c r="T214" s="207">
        <f>'[3]MetEd RC_GSDFMS'!J13</f>
        <v>27.876294428005021</v>
      </c>
      <c r="U214" s="207">
        <f>'[3]MetEd RC_GSDFMS'!K13</f>
        <v>29.362350020891075</v>
      </c>
      <c r="V214" s="145"/>
    </row>
    <row r="215" spans="1:22" x14ac:dyDescent="0.2">
      <c r="A215" s="89">
        <f t="shared" si="9"/>
        <v>207</v>
      </c>
      <c r="B215" s="43">
        <v>6</v>
      </c>
      <c r="C215" s="43">
        <v>22</v>
      </c>
      <c r="D215" s="38" t="s">
        <v>381</v>
      </c>
      <c r="E215" s="44" t="s">
        <v>181</v>
      </c>
      <c r="F215" s="44" t="s">
        <v>6</v>
      </c>
      <c r="G215" s="44" t="s">
        <v>120</v>
      </c>
      <c r="H215" s="44" t="s">
        <v>176</v>
      </c>
      <c r="I215" s="44" t="s">
        <v>177</v>
      </c>
      <c r="J215" s="44" t="s">
        <v>11</v>
      </c>
      <c r="K215" s="44" t="s">
        <v>129</v>
      </c>
      <c r="L215" s="40">
        <v>1138</v>
      </c>
      <c r="M215" s="41">
        <v>41339</v>
      </c>
      <c r="N215" s="40" t="s">
        <v>122</v>
      </c>
      <c r="O215" s="42">
        <f t="shared" si="8"/>
        <v>42309</v>
      </c>
      <c r="P215" s="40">
        <v>23</v>
      </c>
      <c r="Q215" s="207">
        <f>'[3]MetEd RC_GSSFMS'!G13</f>
        <v>31.244458891253153</v>
      </c>
      <c r="R215" s="207">
        <f>'[3]MetEd RC_GSSFMS'!H13</f>
        <v>28.919649523897494</v>
      </c>
      <c r="S215" s="207">
        <f>'[3]MetEd RC_GSSFMS'!I13</f>
        <v>28.256622363000229</v>
      </c>
      <c r="T215" s="207">
        <f>'[3]MetEd RC_GSSFMS'!J13</f>
        <v>27.778746600779776</v>
      </c>
      <c r="U215" s="207">
        <f>'[3]MetEd RC_GSSFMS'!K13</f>
        <v>29.270545023437755</v>
      </c>
      <c r="V215" s="145"/>
    </row>
    <row r="216" spans="1:22" x14ac:dyDescent="0.2">
      <c r="A216" s="89">
        <f t="shared" si="9"/>
        <v>208</v>
      </c>
      <c r="B216" s="43">
        <v>6</v>
      </c>
      <c r="C216" s="43">
        <v>23</v>
      </c>
      <c r="D216" s="38" t="s">
        <v>382</v>
      </c>
      <c r="E216" s="44" t="s">
        <v>183</v>
      </c>
      <c r="F216" s="44" t="s">
        <v>6</v>
      </c>
      <c r="G216" s="44" t="s">
        <v>120</v>
      </c>
      <c r="H216" s="44" t="s">
        <v>13</v>
      </c>
      <c r="I216" s="44" t="s">
        <v>13</v>
      </c>
      <c r="J216" s="44" t="s">
        <v>7</v>
      </c>
      <c r="K216" s="44" t="s">
        <v>140</v>
      </c>
      <c r="L216" s="40">
        <v>1139</v>
      </c>
      <c r="M216" s="41">
        <v>41339</v>
      </c>
      <c r="N216" s="40" t="s">
        <v>122</v>
      </c>
      <c r="O216" s="42">
        <f t="shared" si="8"/>
        <v>42309</v>
      </c>
      <c r="P216" s="40">
        <v>23</v>
      </c>
      <c r="Q216" s="207">
        <f>'[3]PECO LP_GSMS'!G13</f>
        <v>35.488938315950605</v>
      </c>
      <c r="R216" s="207">
        <f>'[3]PECO LP_GSMS'!H13</f>
        <v>31.618594289792263</v>
      </c>
      <c r="S216" s="207">
        <f>'[3]PECO LP_GSMS'!I13</f>
        <v>31.357201851526401</v>
      </c>
      <c r="T216" s="207">
        <f>'[3]PECO LP_GSMS'!J13</f>
        <v>30.447835926095845</v>
      </c>
      <c r="U216" s="207">
        <f>'[3]PECO LP_GSMS'!K13</f>
        <v>32.131900412803851</v>
      </c>
      <c r="V216" s="145"/>
    </row>
    <row r="217" spans="1:22" x14ac:dyDescent="0.2">
      <c r="A217" s="89">
        <f t="shared" si="9"/>
        <v>209</v>
      </c>
      <c r="B217" s="43">
        <v>6</v>
      </c>
      <c r="C217" s="43">
        <v>24</v>
      </c>
      <c r="D217" s="38" t="s">
        <v>383</v>
      </c>
      <c r="E217" s="44" t="s">
        <v>185</v>
      </c>
      <c r="F217" s="44" t="s">
        <v>6</v>
      </c>
      <c r="G217" s="44" t="s">
        <v>120</v>
      </c>
      <c r="H217" s="44" t="s">
        <v>12</v>
      </c>
      <c r="I217" s="44" t="s">
        <v>186</v>
      </c>
      <c r="J217" s="44" t="s">
        <v>9</v>
      </c>
      <c r="K217" s="44" t="s">
        <v>135</v>
      </c>
      <c r="L217" s="40">
        <v>1140</v>
      </c>
      <c r="M217" s="41">
        <v>41339</v>
      </c>
      <c r="N217" s="40" t="s">
        <v>122</v>
      </c>
      <c r="O217" s="42">
        <f t="shared" si="8"/>
        <v>42309</v>
      </c>
      <c r="P217" s="40">
        <v>23</v>
      </c>
      <c r="Q217" s="207">
        <f>'[3]Penelec RC_GSLFMS'!G13</f>
        <v>32.396566685223689</v>
      </c>
      <c r="R217" s="207">
        <f>'[3]Penelec RC_GSLFMS'!H13</f>
        <v>30.166982968318038</v>
      </c>
      <c r="S217" s="207">
        <f>'[3]Penelec RC_GSLFMS'!I13</f>
        <v>29.556493047720888</v>
      </c>
      <c r="T217" s="207">
        <f>'[3]Penelec RC_GSLFMS'!J13</f>
        <v>29.165508606947764</v>
      </c>
      <c r="U217" s="207">
        <f>'[3]Penelec RC_GSLFMS'!K13</f>
        <v>30.828169596330071</v>
      </c>
      <c r="V217" s="145"/>
    </row>
    <row r="218" spans="1:22" x14ac:dyDescent="0.2">
      <c r="A218" s="89">
        <f t="shared" si="9"/>
        <v>210</v>
      </c>
      <c r="B218" s="43">
        <v>6</v>
      </c>
      <c r="C218" s="43">
        <v>25</v>
      </c>
      <c r="D218" s="38" t="s">
        <v>384</v>
      </c>
      <c r="E218" s="44" t="s">
        <v>188</v>
      </c>
      <c r="F218" s="44" t="s">
        <v>6</v>
      </c>
      <c r="G218" s="44" t="s">
        <v>120</v>
      </c>
      <c r="H218" s="44" t="s">
        <v>12</v>
      </c>
      <c r="I218" s="44" t="s">
        <v>186</v>
      </c>
      <c r="J218" s="44" t="s">
        <v>10</v>
      </c>
      <c r="K218" s="44" t="s">
        <v>132</v>
      </c>
      <c r="L218" s="40">
        <v>1141</v>
      </c>
      <c r="M218" s="41">
        <v>41339</v>
      </c>
      <c r="N218" s="40" t="s">
        <v>122</v>
      </c>
      <c r="O218" s="42">
        <f t="shared" si="8"/>
        <v>42309</v>
      </c>
      <c r="P218" s="40">
        <v>23</v>
      </c>
      <c r="Q218" s="207">
        <f>'[3]Penelec RC_GSMFMS'!G13</f>
        <v>33.150152793870717</v>
      </c>
      <c r="R218" s="207">
        <f>'[3]Penelec RC_GSMFMS'!H13</f>
        <v>31.29050011966055</v>
      </c>
      <c r="S218" s="207">
        <f>'[3]Penelec RC_GSMFMS'!I13</f>
        <v>30.569232371613445</v>
      </c>
      <c r="T218" s="207">
        <f>'[3]Penelec RC_GSMFMS'!J13</f>
        <v>30.287496370217472</v>
      </c>
      <c r="U218" s="207">
        <f>'[3]Penelec RC_GSMFMS'!K13</f>
        <v>31.945305184590801</v>
      </c>
      <c r="V218" s="145"/>
    </row>
    <row r="219" spans="1:22" x14ac:dyDescent="0.2">
      <c r="A219" s="89">
        <f t="shared" si="9"/>
        <v>211</v>
      </c>
      <c r="B219" s="43">
        <v>6</v>
      </c>
      <c r="C219" s="43">
        <v>26</v>
      </c>
      <c r="D219" s="38" t="s">
        <v>385</v>
      </c>
      <c r="E219" s="44" t="s">
        <v>190</v>
      </c>
      <c r="F219" s="44" t="s">
        <v>6</v>
      </c>
      <c r="G219" s="44" t="s">
        <v>120</v>
      </c>
      <c r="H219" s="44" t="s">
        <v>12</v>
      </c>
      <c r="I219" s="44" t="s">
        <v>186</v>
      </c>
      <c r="J219" s="44" t="s">
        <v>11</v>
      </c>
      <c r="K219" s="44" t="s">
        <v>129</v>
      </c>
      <c r="L219" s="40">
        <v>1142</v>
      </c>
      <c r="M219" s="41">
        <v>41339</v>
      </c>
      <c r="N219" s="40" t="s">
        <v>122</v>
      </c>
      <c r="O219" s="42">
        <f t="shared" si="8"/>
        <v>42309</v>
      </c>
      <c r="P219" s="40">
        <v>23</v>
      </c>
      <c r="Q219" s="207">
        <f>'[3]Penelec RC_GSSFMS'!G13</f>
        <v>29.608358655423949</v>
      </c>
      <c r="R219" s="207">
        <f>'[3]Penelec RC_GSSFMS'!H13</f>
        <v>31.283852537342558</v>
      </c>
      <c r="S219" s="207">
        <f>'[3]Penelec RC_GSSFMS'!I13</f>
        <v>29.423494576565801</v>
      </c>
      <c r="T219" s="207">
        <f>'[3]Penelec RC_GSSFMS'!J13</f>
        <v>30.272561747598104</v>
      </c>
      <c r="U219" s="207">
        <f>'[3]Penelec RC_GSSFMS'!K13</f>
        <v>31.926349761600964</v>
      </c>
      <c r="V219" s="145"/>
    </row>
    <row r="220" spans="1:22" x14ac:dyDescent="0.2">
      <c r="A220" s="89">
        <f t="shared" si="9"/>
        <v>212</v>
      </c>
      <c r="B220" s="43">
        <v>6</v>
      </c>
      <c r="C220" s="43">
        <v>27</v>
      </c>
      <c r="D220" s="38" t="s">
        <v>386</v>
      </c>
      <c r="E220" s="44" t="s">
        <v>192</v>
      </c>
      <c r="F220" s="44" t="s">
        <v>6</v>
      </c>
      <c r="G220" s="44" t="s">
        <v>120</v>
      </c>
      <c r="H220" s="44" t="s">
        <v>100</v>
      </c>
      <c r="I220" s="44" t="s">
        <v>193</v>
      </c>
      <c r="J220" s="44" t="s">
        <v>7</v>
      </c>
      <c r="K220" s="44" t="s">
        <v>140</v>
      </c>
      <c r="L220" s="40">
        <v>1143</v>
      </c>
      <c r="M220" s="41">
        <v>41339</v>
      </c>
      <c r="N220" s="40" t="s">
        <v>122</v>
      </c>
      <c r="O220" s="42">
        <f t="shared" si="8"/>
        <v>42309</v>
      </c>
      <c r="P220" s="40">
        <v>23</v>
      </c>
      <c r="Q220" s="207">
        <f>'[3]Penn Power RC_GMDMS'!G13</f>
        <v>51.116680921303235</v>
      </c>
      <c r="R220" s="207">
        <f>'[3]Penn Power RC_GMDMS'!H13</f>
        <v>43.541632655909766</v>
      </c>
      <c r="S220" s="207">
        <f>'[3]Penn Power RC_GMDMS'!I13</f>
        <v>39.228432638332926</v>
      </c>
      <c r="T220" s="207">
        <f>'[3]Penn Power RC_GMDMS'!J13</f>
        <v>38.132076060187934</v>
      </c>
      <c r="U220" s="207">
        <f>'[3]Penn Power RC_GMDMS'!K13</f>
        <v>39.632556767676292</v>
      </c>
      <c r="V220" s="145"/>
    </row>
    <row r="221" spans="1:22" x14ac:dyDescent="0.2">
      <c r="A221" s="89">
        <f t="shared" si="9"/>
        <v>213</v>
      </c>
      <c r="B221" s="43">
        <v>6</v>
      </c>
      <c r="C221" s="43">
        <v>28</v>
      </c>
      <c r="D221" s="38" t="s">
        <v>387</v>
      </c>
      <c r="E221" s="44" t="s">
        <v>195</v>
      </c>
      <c r="F221" s="44" t="s">
        <v>39</v>
      </c>
      <c r="G221" s="44" t="s">
        <v>120</v>
      </c>
      <c r="H221" s="44" t="s">
        <v>44</v>
      </c>
      <c r="I221" s="44" t="s">
        <v>44</v>
      </c>
      <c r="J221" s="44" t="s">
        <v>7</v>
      </c>
      <c r="K221" s="44" t="s">
        <v>140</v>
      </c>
      <c r="L221" s="40">
        <v>1144</v>
      </c>
      <c r="M221" s="41">
        <v>41339</v>
      </c>
      <c r="N221" s="40" t="s">
        <v>122</v>
      </c>
      <c r="O221" s="42">
        <f t="shared" si="8"/>
        <v>42309</v>
      </c>
      <c r="P221" s="40">
        <v>23</v>
      </c>
      <c r="Q221" s="207">
        <f>'[3]PEPCO MD LP_MDNDMS'!G13</f>
        <v>35.299079785095948</v>
      </c>
      <c r="R221" s="207">
        <f>'[3]PEPCO MD LP_MDNDMS'!H13</f>
        <v>34.128523150282192</v>
      </c>
      <c r="S221" s="207">
        <f>'[3]PEPCO MD LP_MDNDMS'!I13</f>
        <v>33.287047207105537</v>
      </c>
      <c r="T221" s="207">
        <f>'[3]PEPCO MD LP_MDNDMS'!J13</f>
        <v>33.158209721726529</v>
      </c>
      <c r="U221" s="207">
        <f>'[3]PEPCO MD LP_MDNDMS'!K13</f>
        <v>35.156175057537254</v>
      </c>
      <c r="V221" s="145"/>
    </row>
    <row r="222" spans="1:22" x14ac:dyDescent="0.2">
      <c r="A222" s="89">
        <f t="shared" si="9"/>
        <v>214</v>
      </c>
      <c r="B222" s="43">
        <v>6</v>
      </c>
      <c r="C222" s="43">
        <v>29</v>
      </c>
      <c r="D222" s="38" t="s">
        <v>388</v>
      </c>
      <c r="E222" s="44" t="s">
        <v>197</v>
      </c>
      <c r="F222" s="44" t="s">
        <v>39</v>
      </c>
      <c r="G222" s="44" t="s">
        <v>120</v>
      </c>
      <c r="H222" s="44" t="s">
        <v>44</v>
      </c>
      <c r="I222" s="44" t="s">
        <v>44</v>
      </c>
      <c r="J222" s="44" t="s">
        <v>45</v>
      </c>
      <c r="K222" s="44" t="s">
        <v>198</v>
      </c>
      <c r="L222" s="40">
        <v>1145</v>
      </c>
      <c r="M222" s="41">
        <v>41339</v>
      </c>
      <c r="N222" s="40" t="s">
        <v>122</v>
      </c>
      <c r="O222" s="42">
        <f t="shared" si="8"/>
        <v>42309</v>
      </c>
      <c r="P222" s="40">
        <v>23</v>
      </c>
      <c r="Q222" s="207">
        <f>'[3]PEPCO MD LP_MMGTL2AMS'!G13</f>
        <v>36.02510126608481</v>
      </c>
      <c r="R222" s="207">
        <f>'[3]PEPCO MD LP_MMGTL2AMS'!H13</f>
        <v>33.017448897099563</v>
      </c>
      <c r="S222" s="207">
        <f>'[3]PEPCO MD LP_MMGTL2AMS'!I13</f>
        <v>32.713254158891857</v>
      </c>
      <c r="T222" s="207">
        <f>'[3]PEPCO MD LP_MMGTL2AMS'!J13</f>
        <v>32.069351185845129</v>
      </c>
      <c r="U222" s="207">
        <f>'[3]PEPCO MD LP_MMGTL2AMS'!K13</f>
        <v>34.065842808672976</v>
      </c>
      <c r="V222" s="145"/>
    </row>
    <row r="223" spans="1:22" x14ac:dyDescent="0.2">
      <c r="A223" s="89">
        <f t="shared" si="9"/>
        <v>215</v>
      </c>
      <c r="B223" s="43">
        <v>6</v>
      </c>
      <c r="C223" s="43">
        <v>30</v>
      </c>
      <c r="D223" s="38" t="s">
        <v>389</v>
      </c>
      <c r="E223" s="44" t="s">
        <v>200</v>
      </c>
      <c r="F223" s="44" t="s">
        <v>39</v>
      </c>
      <c r="G223" s="44" t="s">
        <v>120</v>
      </c>
      <c r="H223" s="44" t="s">
        <v>44</v>
      </c>
      <c r="I223" s="44" t="s">
        <v>44</v>
      </c>
      <c r="J223" s="44" t="s">
        <v>46</v>
      </c>
      <c r="K223" s="44" t="s">
        <v>46</v>
      </c>
      <c r="L223" s="40">
        <v>1146</v>
      </c>
      <c r="M223" s="41">
        <v>41339</v>
      </c>
      <c r="N223" s="40" t="s">
        <v>122</v>
      </c>
      <c r="O223" s="42">
        <f t="shared" si="8"/>
        <v>42309</v>
      </c>
      <c r="P223" s="40">
        <v>23</v>
      </c>
      <c r="Q223" s="207">
        <f>'[3]PEPCO MD RC_3T7MS'!G13</f>
        <v>35.048487366664055</v>
      </c>
      <c r="R223" s="207">
        <f>'[3]PEPCO MD RC_3T7MS'!H13</f>
        <v>33.827562595883023</v>
      </c>
      <c r="S223" s="207">
        <f>'[3]PEPCO MD RC_3T7MS'!I13</f>
        <v>33.008512448144927</v>
      </c>
      <c r="T223" s="207">
        <f>'[3]PEPCO MD RC_3T7MS'!J13</f>
        <v>32.87899226744743</v>
      </c>
      <c r="U223" s="207">
        <f>'[3]PEPCO MD RC_3T7MS'!K13</f>
        <v>34.94271984625636</v>
      </c>
      <c r="V223" s="145"/>
    </row>
    <row r="224" spans="1:22" x14ac:dyDescent="0.2">
      <c r="A224" s="89">
        <f t="shared" si="9"/>
        <v>216</v>
      </c>
      <c r="B224" s="43">
        <v>6</v>
      </c>
      <c r="C224" s="43">
        <v>31</v>
      </c>
      <c r="D224" s="38" t="s">
        <v>390</v>
      </c>
      <c r="E224" s="44" t="s">
        <v>202</v>
      </c>
      <c r="F224" s="44" t="s">
        <v>39</v>
      </c>
      <c r="G224" s="44" t="s">
        <v>120</v>
      </c>
      <c r="H224" s="44" t="s">
        <v>47</v>
      </c>
      <c r="I224" s="44" t="s">
        <v>47</v>
      </c>
      <c r="J224" s="44" t="s">
        <v>7</v>
      </c>
      <c r="K224" s="44" t="s">
        <v>140</v>
      </c>
      <c r="L224" s="40">
        <v>1147</v>
      </c>
      <c r="M224" s="41">
        <v>41339</v>
      </c>
      <c r="N224" s="40" t="s">
        <v>122</v>
      </c>
      <c r="O224" s="42">
        <f t="shared" si="8"/>
        <v>42309</v>
      </c>
      <c r="P224" s="40">
        <v>23</v>
      </c>
      <c r="Q224" s="207">
        <f>'[3]Potomac Edison LP_GSCM_MMS'!G13</f>
        <v>32.318988423875112</v>
      </c>
      <c r="R224" s="207">
        <f>'[3]Potomac Edison LP_GSCM_MMS'!H13</f>
        <v>30.063973082019366</v>
      </c>
      <c r="S224" s="207">
        <f>'[3]Potomac Edison LP_GSCM_MMS'!I13</f>
        <v>28.480713538885439</v>
      </c>
      <c r="T224" s="207">
        <f>'[3]Potomac Edison LP_GSCM_MMS'!J13</f>
        <v>29.451680451876836</v>
      </c>
      <c r="U224" s="207">
        <f>'[3]Potomac Edison LP_GSCM_MMS'!K13</f>
        <v>31.20380212727795</v>
      </c>
      <c r="V224" s="145"/>
    </row>
    <row r="225" spans="1:22" x14ac:dyDescent="0.2">
      <c r="A225" s="89">
        <f t="shared" si="9"/>
        <v>217</v>
      </c>
      <c r="B225" s="43">
        <v>6</v>
      </c>
      <c r="C225" s="43">
        <v>32</v>
      </c>
      <c r="D225" s="38" t="s">
        <v>391</v>
      </c>
      <c r="E225" s="44" t="s">
        <v>204</v>
      </c>
      <c r="F225" s="44" t="s">
        <v>6</v>
      </c>
      <c r="G225" s="44" t="s">
        <v>120</v>
      </c>
      <c r="H225" s="44" t="s">
        <v>14</v>
      </c>
      <c r="I225" s="44" t="s">
        <v>14</v>
      </c>
      <c r="J225" s="44" t="s">
        <v>15</v>
      </c>
      <c r="K225" s="44" t="s">
        <v>129</v>
      </c>
      <c r="L225" s="40">
        <v>1148</v>
      </c>
      <c r="M225" s="41">
        <v>41339</v>
      </c>
      <c r="N225" s="40" t="s">
        <v>122</v>
      </c>
      <c r="O225" s="42">
        <f t="shared" si="8"/>
        <v>42309</v>
      </c>
      <c r="P225" s="40">
        <v>23</v>
      </c>
      <c r="Q225" s="207">
        <f>[3]PPL_RCGS1MS!G13</f>
        <v>38.345620263256912</v>
      </c>
      <c r="R225" s="207">
        <f>[3]PPL_RCGS1MS!H13</f>
        <v>37.104598155923391</v>
      </c>
      <c r="S225" s="207">
        <f>[3]PPL_RCGS1MS!I13</f>
        <v>36.094093649092706</v>
      </c>
      <c r="T225" s="207">
        <f>[3]PPL_RCGS1MS!J13</f>
        <v>35.911564060860734</v>
      </c>
      <c r="U225" s="207">
        <f>[3]PPL_RCGS1MS!K13</f>
        <v>37.346630925599101</v>
      </c>
      <c r="V225" s="145"/>
    </row>
    <row r="226" spans="1:22" x14ac:dyDescent="0.2">
      <c r="A226" s="89">
        <f t="shared" si="9"/>
        <v>218</v>
      </c>
      <c r="B226" s="43">
        <v>6</v>
      </c>
      <c r="C226" s="43">
        <v>33</v>
      </c>
      <c r="D226" s="38" t="s">
        <v>392</v>
      </c>
      <c r="E226" s="44" t="s">
        <v>206</v>
      </c>
      <c r="F226" s="44" t="s">
        <v>6</v>
      </c>
      <c r="G226" s="44" t="s">
        <v>120</v>
      </c>
      <c r="H226" s="44" t="s">
        <v>14</v>
      </c>
      <c r="I226" s="44" t="s">
        <v>14</v>
      </c>
      <c r="J226" s="44" t="s">
        <v>16</v>
      </c>
      <c r="K226" s="44" t="s">
        <v>135</v>
      </c>
      <c r="L226" s="40">
        <v>1149</v>
      </c>
      <c r="M226" s="41">
        <v>41339</v>
      </c>
      <c r="N226" s="40" t="s">
        <v>122</v>
      </c>
      <c r="O226" s="42">
        <f t="shared" si="8"/>
        <v>42309</v>
      </c>
      <c r="P226" s="40">
        <v>23</v>
      </c>
      <c r="Q226" s="207">
        <f>[3]PPL_RCGS3MS!G13</f>
        <v>39.711675714953095</v>
      </c>
      <c r="R226" s="207">
        <f>[3]PPL_RCGS3MS!H13</f>
        <v>37.171522979726383</v>
      </c>
      <c r="S226" s="207">
        <f>[3]PPL_RCGS3MS!I13</f>
        <v>36.546210544229957</v>
      </c>
      <c r="T226" s="207">
        <f>[3]PPL_RCGS3MS!J13</f>
        <v>35.98096116306133</v>
      </c>
      <c r="U226" s="207">
        <f>[3]PPL_RCGS3MS!K13</f>
        <v>37.422691635609475</v>
      </c>
      <c r="V226" s="145"/>
    </row>
    <row r="227" spans="1:22" x14ac:dyDescent="0.2">
      <c r="A227" s="89">
        <f t="shared" si="9"/>
        <v>219</v>
      </c>
      <c r="B227" s="43">
        <v>6</v>
      </c>
      <c r="C227" s="43">
        <v>34</v>
      </c>
      <c r="D227" s="38" t="s">
        <v>393</v>
      </c>
      <c r="E227" s="44" t="s">
        <v>208</v>
      </c>
      <c r="F227" s="44" t="s">
        <v>31</v>
      </c>
      <c r="G227" s="44" t="s">
        <v>120</v>
      </c>
      <c r="H227" s="44" t="s">
        <v>36</v>
      </c>
      <c r="I227" s="44" t="s">
        <v>36</v>
      </c>
      <c r="J227" s="44" t="s">
        <v>37</v>
      </c>
      <c r="K227" s="44" t="s">
        <v>209</v>
      </c>
      <c r="L227" s="40">
        <v>1150</v>
      </c>
      <c r="M227" s="41">
        <v>41339</v>
      </c>
      <c r="N227" s="40" t="s">
        <v>122</v>
      </c>
      <c r="O227" s="42">
        <f t="shared" si="8"/>
        <v>42309</v>
      </c>
      <c r="P227" s="40">
        <v>23</v>
      </c>
      <c r="Q227" s="207">
        <f>'[3]PSEG LP_GLP_MMS'!G13</f>
        <v>64.028387456003998</v>
      </c>
      <c r="R227" s="207">
        <f>'[3]PSEG LP_GLP_MMS'!H13</f>
        <v>62.340531902892749</v>
      </c>
      <c r="S227" s="207">
        <f>'[3]PSEG LP_GLP_MMS'!I13</f>
        <v>63.837330262280837</v>
      </c>
      <c r="T227" s="207">
        <f>'[3]PSEG LP_GLP_MMS'!J13</f>
        <v>63.374667444828511</v>
      </c>
      <c r="U227" s="207">
        <f>'[3]PSEG LP_GLP_MMS'!K13</f>
        <v>65.106148167891277</v>
      </c>
      <c r="V227" s="145"/>
    </row>
    <row r="228" spans="1:22" x14ac:dyDescent="0.2">
      <c r="A228" s="89">
        <f t="shared" si="9"/>
        <v>220</v>
      </c>
      <c r="B228" s="43">
        <v>6</v>
      </c>
      <c r="C228" s="43">
        <v>35</v>
      </c>
      <c r="D228" s="38" t="s">
        <v>394</v>
      </c>
      <c r="E228" s="44" t="s">
        <v>211</v>
      </c>
      <c r="F228" s="44" t="s">
        <v>31</v>
      </c>
      <c r="G228" s="44" t="s">
        <v>120</v>
      </c>
      <c r="H228" s="44" t="s">
        <v>36</v>
      </c>
      <c r="I228" s="44" t="s">
        <v>36</v>
      </c>
      <c r="J228" s="44" t="s">
        <v>38</v>
      </c>
      <c r="K228" s="44" t="s">
        <v>212</v>
      </c>
      <c r="L228" s="40">
        <v>1151</v>
      </c>
      <c r="M228" s="41">
        <v>41339</v>
      </c>
      <c r="N228" s="40" t="s">
        <v>122</v>
      </c>
      <c r="O228" s="42">
        <f t="shared" si="8"/>
        <v>42309</v>
      </c>
      <c r="P228" s="40">
        <v>23</v>
      </c>
      <c r="Q228" s="207">
        <f>'[3]PSEG LP_LPLMS'!G13</f>
        <v>63.065274327680825</v>
      </c>
      <c r="R228" s="207">
        <f>'[3]PSEG LP_LPLMS'!H13</f>
        <v>61.549027125510669</v>
      </c>
      <c r="S228" s="207">
        <f>'[3]PSEG LP_LPLMS'!I13</f>
        <v>63.014647361767103</v>
      </c>
      <c r="T228" s="207">
        <f>'[3]PSEG LP_LPLMS'!J13</f>
        <v>62.525281456940185</v>
      </c>
      <c r="U228" s="207">
        <f>'[3]PSEG LP_LPLMS'!K13</f>
        <v>64.249634206824965</v>
      </c>
      <c r="V228" s="145"/>
    </row>
    <row r="229" spans="1:22" x14ac:dyDescent="0.2">
      <c r="A229" s="89">
        <f t="shared" si="9"/>
        <v>221</v>
      </c>
      <c r="B229" s="43">
        <v>6</v>
      </c>
      <c r="C229" s="43">
        <v>36</v>
      </c>
      <c r="D229" s="38" t="s">
        <v>395</v>
      </c>
      <c r="E229" s="44" t="s">
        <v>214</v>
      </c>
      <c r="F229" s="44" t="s">
        <v>6</v>
      </c>
      <c r="G229" s="44" t="s">
        <v>120</v>
      </c>
      <c r="H229" s="44" t="s">
        <v>17</v>
      </c>
      <c r="I229" s="44" t="s">
        <v>215</v>
      </c>
      <c r="J229" s="44" t="s">
        <v>18</v>
      </c>
      <c r="K229" s="44" t="s">
        <v>140</v>
      </c>
      <c r="L229" s="40">
        <v>1152</v>
      </c>
      <c r="M229" s="41">
        <v>41339</v>
      </c>
      <c r="N229" s="40" t="s">
        <v>122</v>
      </c>
      <c r="O229" s="42">
        <f t="shared" si="8"/>
        <v>42309</v>
      </c>
      <c r="P229" s="40">
        <v>23</v>
      </c>
      <c r="Q229" s="207">
        <f>'[3]West Penn Power LP_GSCMMS'!G13</f>
        <v>33.495208578581959</v>
      </c>
      <c r="R229" s="207">
        <f>'[3]West Penn Power LP_GSCMMS'!H13</f>
        <v>29.843147527067671</v>
      </c>
      <c r="S229" s="207">
        <f>'[3]West Penn Power LP_GSCMMS'!I13</f>
        <v>28.555012530825341</v>
      </c>
      <c r="T229" s="207">
        <f>'[3]West Penn Power LP_GSCMMS'!J13</f>
        <v>29.180801149594753</v>
      </c>
      <c r="U229" s="207">
        <f>'[3]West Penn Power LP_GSCMMS'!K13</f>
        <v>30.665207307562742</v>
      </c>
      <c r="V229" s="145"/>
    </row>
    <row r="230" spans="1:22" x14ac:dyDescent="0.2">
      <c r="A230" s="89">
        <f t="shared" si="9"/>
        <v>222</v>
      </c>
      <c r="B230" s="20"/>
      <c r="C230" s="20"/>
      <c r="D230" s="20"/>
      <c r="Q230" s="208"/>
      <c r="R230" s="208"/>
      <c r="S230" s="208"/>
      <c r="T230" s="208"/>
      <c r="U230" s="208"/>
    </row>
    <row r="231" spans="1:22" x14ac:dyDescent="0.2">
      <c r="A231" s="89">
        <f t="shared" si="9"/>
        <v>223</v>
      </c>
      <c r="B231" s="43">
        <v>7</v>
      </c>
      <c r="C231" s="43">
        <v>1</v>
      </c>
      <c r="D231" s="38" t="s">
        <v>396</v>
      </c>
      <c r="E231" s="44" t="s">
        <v>119</v>
      </c>
      <c r="F231" s="44" t="s">
        <v>31</v>
      </c>
      <c r="G231" s="44" t="s">
        <v>120</v>
      </c>
      <c r="H231" s="44" t="s">
        <v>32</v>
      </c>
      <c r="I231" s="44" t="s">
        <v>32</v>
      </c>
      <c r="J231" s="44" t="s">
        <v>33</v>
      </c>
      <c r="K231" s="44" t="s">
        <v>121</v>
      </c>
      <c r="L231" s="40">
        <v>1117</v>
      </c>
      <c r="M231" s="41">
        <v>41339</v>
      </c>
      <c r="N231" s="40" t="s">
        <v>122</v>
      </c>
      <c r="O231" s="42">
        <f>EDATE(O194,1)</f>
        <v>42339</v>
      </c>
      <c r="P231" s="40">
        <v>24</v>
      </c>
      <c r="Q231" s="207">
        <f>'[3]AECO LP_10V1_SMS'!G14</f>
        <v>55.604416899780155</v>
      </c>
      <c r="R231" s="207">
        <f>'[3]AECO LP_10V1_SMS'!H14</f>
        <v>49.157308838981045</v>
      </c>
      <c r="S231" s="207">
        <f>'[3]AECO LP_10V1_SMS'!I14</f>
        <v>49.78643616865552</v>
      </c>
      <c r="T231" s="207">
        <f>'[3]AECO LP_10V1_SMS'!J14</f>
        <v>48.386153542668502</v>
      </c>
      <c r="U231" s="207">
        <f>'[3]AECO LP_10V1_SMS'!K14</f>
        <v>50.432119114187884</v>
      </c>
      <c r="V231" s="145"/>
    </row>
    <row r="232" spans="1:22" x14ac:dyDescent="0.2">
      <c r="A232" s="89">
        <f t="shared" si="9"/>
        <v>224</v>
      </c>
      <c r="B232" s="43">
        <v>7</v>
      </c>
      <c r="C232" s="43">
        <v>2</v>
      </c>
      <c r="D232" s="38" t="s">
        <v>397</v>
      </c>
      <c r="E232" s="44" t="s">
        <v>124</v>
      </c>
      <c r="F232" s="44" t="s">
        <v>31</v>
      </c>
      <c r="G232" s="44" t="s">
        <v>120</v>
      </c>
      <c r="H232" s="44" t="s">
        <v>32</v>
      </c>
      <c r="I232" s="44" t="s">
        <v>32</v>
      </c>
      <c r="J232" s="44" t="s">
        <v>34</v>
      </c>
      <c r="K232" s="44" t="s">
        <v>125</v>
      </c>
      <c r="L232" s="40">
        <v>1118</v>
      </c>
      <c r="M232" s="41">
        <v>41339</v>
      </c>
      <c r="N232" s="40" t="s">
        <v>122</v>
      </c>
      <c r="O232" s="42">
        <f>O231</f>
        <v>42339</v>
      </c>
      <c r="P232" s="40">
        <v>24</v>
      </c>
      <c r="Q232" s="207">
        <f>'[3]AECO LP_14V1_MMS'!G14</f>
        <v>53.419823379144276</v>
      </c>
      <c r="R232" s="207">
        <f>'[3]AECO LP_14V1_MMS'!H14</f>
        <v>49.045662445141026</v>
      </c>
      <c r="S232" s="207">
        <f>'[3]AECO LP_14V1_MMS'!I14</f>
        <v>49.154231655905079</v>
      </c>
      <c r="T232" s="207">
        <f>'[3]AECO LP_14V1_MMS'!J14</f>
        <v>48.289193278927385</v>
      </c>
      <c r="U232" s="207">
        <f>'[3]AECO LP_14V1_MMS'!K14</f>
        <v>49.11568662950372</v>
      </c>
      <c r="V232" s="145"/>
    </row>
    <row r="233" spans="1:22" x14ac:dyDescent="0.2">
      <c r="A233" s="89">
        <f t="shared" si="9"/>
        <v>225</v>
      </c>
      <c r="B233" s="43">
        <v>7</v>
      </c>
      <c r="C233" s="43">
        <v>3</v>
      </c>
      <c r="D233" s="38" t="s">
        <v>398</v>
      </c>
      <c r="E233" s="44" t="s">
        <v>127</v>
      </c>
      <c r="F233" s="44" t="s">
        <v>20</v>
      </c>
      <c r="G233" s="44" t="s">
        <v>120</v>
      </c>
      <c r="H233" s="44" t="s">
        <v>63</v>
      </c>
      <c r="I233" s="44" t="s">
        <v>128</v>
      </c>
      <c r="J233" s="44" t="s">
        <v>15</v>
      </c>
      <c r="K233" s="44" t="s">
        <v>129</v>
      </c>
      <c r="L233" s="40">
        <v>1119</v>
      </c>
      <c r="M233" s="41">
        <v>41339</v>
      </c>
      <c r="N233" s="40" t="s">
        <v>122</v>
      </c>
      <c r="O233" s="42">
        <f t="shared" ref="O233:O266" si="10">O232</f>
        <v>42339</v>
      </c>
      <c r="P233" s="40">
        <v>24</v>
      </c>
      <c r="Q233" s="207">
        <f>'[3]AEP_OH_CS - test CSGS1MS'!G14</f>
        <v>24.399289225163734</v>
      </c>
      <c r="R233" s="207">
        <f>'[3]AEP_OH_CS - test CSGS1MS'!H14</f>
        <v>19.3541846831036</v>
      </c>
      <c r="S233" s="207">
        <f>'[3]AEP_OH_CS - test CSGS1MS'!I14</f>
        <v>18.346572782233121</v>
      </c>
      <c r="T233" s="207">
        <f>'[3]AEP_OH_CS - test CSGS1MS'!J14</f>
        <v>19.066107399633388</v>
      </c>
      <c r="U233" s="207">
        <f>'[3]AEP_OH_CS - test CSGS1MS'!K14</f>
        <v>20.592338111718401</v>
      </c>
      <c r="V233" s="145"/>
    </row>
    <row r="234" spans="1:22" x14ac:dyDescent="0.2">
      <c r="A234" s="89">
        <f t="shared" si="9"/>
        <v>226</v>
      </c>
      <c r="B234" s="43">
        <v>7</v>
      </c>
      <c r="C234" s="43">
        <v>4</v>
      </c>
      <c r="D234" s="38" t="s">
        <v>399</v>
      </c>
      <c r="E234" s="44" t="s">
        <v>131</v>
      </c>
      <c r="F234" s="44" t="s">
        <v>20</v>
      </c>
      <c r="G234" s="44" t="s">
        <v>120</v>
      </c>
      <c r="H234" s="44" t="s">
        <v>63</v>
      </c>
      <c r="I234" s="44" t="s">
        <v>128</v>
      </c>
      <c r="J234" s="44" t="s">
        <v>21</v>
      </c>
      <c r="K234" s="44" t="s">
        <v>132</v>
      </c>
      <c r="L234" s="40">
        <v>1120</v>
      </c>
      <c r="M234" s="41">
        <v>41339</v>
      </c>
      <c r="N234" s="40" t="s">
        <v>122</v>
      </c>
      <c r="O234" s="42">
        <f t="shared" si="10"/>
        <v>42339</v>
      </c>
      <c r="P234" s="40">
        <v>24</v>
      </c>
      <c r="Q234" s="207">
        <f>'[3]AEP_OH_CS - test CSGS2UMS'!G14</f>
        <v>24.288218623625134</v>
      </c>
      <c r="R234" s="207">
        <f>'[3]AEP_OH_CS - test CSGS2UMS'!H14</f>
        <v>19.458019191238542</v>
      </c>
      <c r="S234" s="207">
        <f>'[3]AEP_OH_CS - test CSGS2UMS'!I14</f>
        <v>18.377057083513137</v>
      </c>
      <c r="T234" s="207">
        <f>'[3]AEP_OH_CS - test CSGS2UMS'!J14</f>
        <v>19.158832730390095</v>
      </c>
      <c r="U234" s="207">
        <f>'[3]AEP_OH_CS - test CSGS2UMS'!K14</f>
        <v>20.684131253698119</v>
      </c>
      <c r="V234" s="145"/>
    </row>
    <row r="235" spans="1:22" x14ac:dyDescent="0.2">
      <c r="A235" s="89">
        <f t="shared" si="9"/>
        <v>227</v>
      </c>
      <c r="B235" s="43">
        <v>7</v>
      </c>
      <c r="C235" s="43">
        <v>5</v>
      </c>
      <c r="D235" s="38" t="s">
        <v>400</v>
      </c>
      <c r="E235" s="44" t="s">
        <v>134</v>
      </c>
      <c r="F235" s="44" t="s">
        <v>20</v>
      </c>
      <c r="G235" s="44" t="s">
        <v>120</v>
      </c>
      <c r="H235" s="44" t="s">
        <v>63</v>
      </c>
      <c r="I235" s="44" t="s">
        <v>128</v>
      </c>
      <c r="J235" s="44" t="s">
        <v>16</v>
      </c>
      <c r="K235" s="44" t="s">
        <v>135</v>
      </c>
      <c r="L235" s="40">
        <v>1121</v>
      </c>
      <c r="M235" s="41">
        <v>41339</v>
      </c>
      <c r="N235" s="40" t="s">
        <v>122</v>
      </c>
      <c r="O235" s="42">
        <f t="shared" si="10"/>
        <v>42339</v>
      </c>
      <c r="P235" s="40">
        <v>24</v>
      </c>
      <c r="Q235" s="207">
        <f>'[3]AEP_OH_CS - test CSGS3UMS'!G14</f>
        <v>24.981202429006427</v>
      </c>
      <c r="R235" s="207">
        <f>'[3]AEP_OH_CS - test CSGS3UMS'!H14</f>
        <v>19.386584295257343</v>
      </c>
      <c r="S235" s="207">
        <f>'[3]AEP_OH_CS - test CSGS3UMS'!I14</f>
        <v>18.448876090789089</v>
      </c>
      <c r="T235" s="207">
        <f>'[3]AEP_OH_CS - test CSGS3UMS'!J14</f>
        <v>19.089263377093758</v>
      </c>
      <c r="U235" s="207">
        <f>'[3]AEP_OH_CS - test CSGS3UMS'!K14</f>
        <v>20.613504821231793</v>
      </c>
      <c r="V235" s="145"/>
    </row>
    <row r="236" spans="1:22" x14ac:dyDescent="0.2">
      <c r="A236" s="89">
        <f t="shared" si="9"/>
        <v>228</v>
      </c>
      <c r="B236" s="43">
        <v>7</v>
      </c>
      <c r="C236" s="43">
        <v>6</v>
      </c>
      <c r="D236" s="38" t="s">
        <v>401</v>
      </c>
      <c r="E236" s="44" t="s">
        <v>137</v>
      </c>
      <c r="F236" s="44" t="s">
        <v>25</v>
      </c>
      <c r="G236" s="44" t="s">
        <v>138</v>
      </c>
      <c r="H236" s="44" t="s">
        <v>139</v>
      </c>
      <c r="I236" s="44" t="s">
        <v>29</v>
      </c>
      <c r="J236" s="44" t="s">
        <v>30</v>
      </c>
      <c r="K236" s="44" t="s">
        <v>140</v>
      </c>
      <c r="L236" s="40">
        <v>1122</v>
      </c>
      <c r="M236" s="41">
        <v>41339</v>
      </c>
      <c r="N236" s="40" t="s">
        <v>122</v>
      </c>
      <c r="O236" s="42">
        <f t="shared" si="10"/>
        <v>42339</v>
      </c>
      <c r="P236" s="40">
        <v>24</v>
      </c>
      <c r="Q236" s="207">
        <f>'[3]Ameren RateZnIII LP DS2HHMS'!G14</f>
        <v>33.283379144775012</v>
      </c>
      <c r="R236" s="207">
        <f>'[3]Ameren RateZnIII LP DS2HHMS'!H14</f>
        <v>33.493703832401287</v>
      </c>
      <c r="S236" s="207">
        <f>'[3]Ameren RateZnIII LP DS2HHMS'!I14</f>
        <v>34.64904475734604</v>
      </c>
      <c r="T236" s="207">
        <f>'[3]Ameren RateZnIII LP DS2HHMS'!J14</f>
        <v>34.755389484791863</v>
      </c>
      <c r="U236" s="207">
        <f>'[3]Ameren RateZnIII LP DS2HHMS'!K14</f>
        <v>35.890164200087042</v>
      </c>
      <c r="V236" s="145"/>
    </row>
    <row r="237" spans="1:22" x14ac:dyDescent="0.2">
      <c r="A237" s="89">
        <f t="shared" si="9"/>
        <v>229</v>
      </c>
      <c r="B237" s="43">
        <v>7</v>
      </c>
      <c r="C237" s="43">
        <v>7</v>
      </c>
      <c r="D237" s="38" t="s">
        <v>402</v>
      </c>
      <c r="E237" s="44" t="s">
        <v>142</v>
      </c>
      <c r="F237" s="44" t="s">
        <v>39</v>
      </c>
      <c r="G237" s="44" t="s">
        <v>120</v>
      </c>
      <c r="H237" s="44" t="s">
        <v>40</v>
      </c>
      <c r="I237" s="44" t="s">
        <v>40</v>
      </c>
      <c r="J237" s="44" t="s">
        <v>42</v>
      </c>
      <c r="K237" s="44" t="s">
        <v>135</v>
      </c>
      <c r="L237" s="40">
        <v>1124</v>
      </c>
      <c r="M237" s="41">
        <v>41339</v>
      </c>
      <c r="N237" s="40" t="s">
        <v>122</v>
      </c>
      <c r="O237" s="42">
        <f t="shared" si="10"/>
        <v>42339</v>
      </c>
      <c r="P237" s="40">
        <v>24</v>
      </c>
      <c r="Q237" s="207">
        <f>'[3]BGE LP_GLMS'!G14</f>
        <v>38.310556116614222</v>
      </c>
      <c r="R237" s="207">
        <f>'[3]BGE LP_GLMS'!H14</f>
        <v>33.969970052385321</v>
      </c>
      <c r="S237" s="207">
        <f>'[3]BGE LP_GLMS'!I14</f>
        <v>33.88699634625236</v>
      </c>
      <c r="T237" s="207">
        <f>'[3]BGE LP_GLMS'!J14</f>
        <v>33.038907393585554</v>
      </c>
      <c r="U237" s="207">
        <f>'[3]BGE LP_GLMS'!K14</f>
        <v>35.148955783268931</v>
      </c>
      <c r="V237" s="145"/>
    </row>
    <row r="238" spans="1:22" x14ac:dyDescent="0.2">
      <c r="A238" s="89">
        <f t="shared" si="9"/>
        <v>230</v>
      </c>
      <c r="B238" s="43">
        <v>7</v>
      </c>
      <c r="C238" s="43">
        <v>8</v>
      </c>
      <c r="D238" s="38" t="s">
        <v>403</v>
      </c>
      <c r="E238" s="44" t="s">
        <v>144</v>
      </c>
      <c r="F238" s="44" t="s">
        <v>39</v>
      </c>
      <c r="G238" s="44" t="s">
        <v>120</v>
      </c>
      <c r="H238" s="44" t="s">
        <v>40</v>
      </c>
      <c r="I238" s="44" t="s">
        <v>40</v>
      </c>
      <c r="J238" s="44" t="s">
        <v>41</v>
      </c>
      <c r="K238" s="44" t="s">
        <v>132</v>
      </c>
      <c r="L238" s="40">
        <v>1123</v>
      </c>
      <c r="M238" s="41">
        <v>41339</v>
      </c>
      <c r="N238" s="40" t="s">
        <v>122</v>
      </c>
      <c r="O238" s="42">
        <f t="shared" si="10"/>
        <v>42339</v>
      </c>
      <c r="P238" s="40">
        <v>24</v>
      </c>
      <c r="Q238" s="207">
        <f>'[3]BGE LP_GMS'!G14</f>
        <v>37.094511868272917</v>
      </c>
      <c r="R238" s="207">
        <f>'[3]BGE LP_GMS'!H14</f>
        <v>34.030286803263024</v>
      </c>
      <c r="S238" s="207">
        <f>'[3]BGE LP_GMS'!I14</f>
        <v>33.604904569311799</v>
      </c>
      <c r="T238" s="207">
        <f>'[3]BGE LP_GMS'!J14</f>
        <v>33.091938100075758</v>
      </c>
      <c r="U238" s="207">
        <f>'[3]BGE LP_GMS'!K14</f>
        <v>35.245576238658359</v>
      </c>
      <c r="V238" s="145"/>
    </row>
    <row r="239" spans="1:22" x14ac:dyDescent="0.2">
      <c r="A239" s="89">
        <f t="shared" si="9"/>
        <v>231</v>
      </c>
      <c r="B239" s="43">
        <v>7</v>
      </c>
      <c r="C239" s="43">
        <v>9</v>
      </c>
      <c r="D239" s="38" t="s">
        <v>404</v>
      </c>
      <c r="E239" s="44" t="s">
        <v>146</v>
      </c>
      <c r="F239" s="44" t="s">
        <v>39</v>
      </c>
      <c r="G239" s="44" t="s">
        <v>120</v>
      </c>
      <c r="H239" s="44" t="s">
        <v>40</v>
      </c>
      <c r="I239" s="44" t="s">
        <v>40</v>
      </c>
      <c r="J239" s="44" t="s">
        <v>7</v>
      </c>
      <c r="K239" s="44" t="s">
        <v>129</v>
      </c>
      <c r="L239" s="40">
        <v>1125</v>
      </c>
      <c r="M239" s="41">
        <v>41339</v>
      </c>
      <c r="N239" s="40" t="s">
        <v>122</v>
      </c>
      <c r="O239" s="42">
        <f t="shared" si="10"/>
        <v>42339</v>
      </c>
      <c r="P239" s="40">
        <v>24</v>
      </c>
      <c r="Q239" s="207">
        <f>'[3]BGE LP_GSMS'!G14</f>
        <v>38.951914766295992</v>
      </c>
      <c r="R239" s="207">
        <f>'[3]BGE LP_GSMS'!H14</f>
        <v>34.98808647665048</v>
      </c>
      <c r="S239" s="207">
        <f>'[3]BGE LP_GSMS'!I14</f>
        <v>34.801669235193515</v>
      </c>
      <c r="T239" s="207">
        <f>'[3]BGE LP_GSMS'!J14</f>
        <v>34.021987595176562</v>
      </c>
      <c r="U239" s="207">
        <f>'[3]BGE LP_GSMS'!K14</f>
        <v>36.102157362429971</v>
      </c>
      <c r="V239" s="145"/>
    </row>
    <row r="240" spans="1:22" x14ac:dyDescent="0.2">
      <c r="A240" s="89">
        <f t="shared" si="9"/>
        <v>232</v>
      </c>
      <c r="B240" s="43">
        <v>7</v>
      </c>
      <c r="C240" s="43">
        <v>10</v>
      </c>
      <c r="D240" s="38" t="s">
        <v>405</v>
      </c>
      <c r="E240" s="44" t="s">
        <v>148</v>
      </c>
      <c r="F240" s="44" t="s">
        <v>25</v>
      </c>
      <c r="G240" s="44" t="s">
        <v>120</v>
      </c>
      <c r="H240" s="44" t="s">
        <v>149</v>
      </c>
      <c r="I240" s="44" t="s">
        <v>26</v>
      </c>
      <c r="J240" s="44" t="s">
        <v>27</v>
      </c>
      <c r="K240" s="44" t="s">
        <v>150</v>
      </c>
      <c r="L240" s="40">
        <v>1126</v>
      </c>
      <c r="M240" s="41">
        <v>41339</v>
      </c>
      <c r="N240" s="40" t="s">
        <v>122</v>
      </c>
      <c r="O240" s="42">
        <f t="shared" si="10"/>
        <v>42339</v>
      </c>
      <c r="P240" s="40">
        <v>24</v>
      </c>
      <c r="Q240" s="207">
        <f>'[3]ComEd - test LP_28MS'!G14</f>
        <v>32.212648614799441</v>
      </c>
      <c r="R240" s="207">
        <f>'[3]ComEd - test LP_28MS'!H14</f>
        <v>27.324104586052378</v>
      </c>
      <c r="S240" s="207">
        <f>'[3]ComEd - test LP_28MS'!I14</f>
        <v>26.353580543203318</v>
      </c>
      <c r="T240" s="207">
        <f>'[3]ComEd - test LP_28MS'!J14</f>
        <v>27.197747380369147</v>
      </c>
      <c r="U240" s="207">
        <f>'[3]ComEd - test LP_28MS'!K14</f>
        <v>28.675401923738129</v>
      </c>
      <c r="V240" s="145"/>
    </row>
    <row r="241" spans="1:22" x14ac:dyDescent="0.2">
      <c r="A241" s="89">
        <f t="shared" si="9"/>
        <v>233</v>
      </c>
      <c r="B241" s="43">
        <v>7</v>
      </c>
      <c r="C241" s="43">
        <v>11</v>
      </c>
      <c r="D241" s="38" t="s">
        <v>406</v>
      </c>
      <c r="E241" s="44" t="s">
        <v>152</v>
      </c>
      <c r="F241" s="44" t="s">
        <v>25</v>
      </c>
      <c r="G241" s="44" t="s">
        <v>120</v>
      </c>
      <c r="H241" s="44" t="s">
        <v>149</v>
      </c>
      <c r="I241" s="44" t="s">
        <v>26</v>
      </c>
      <c r="J241" s="44" t="s">
        <v>28</v>
      </c>
      <c r="K241" s="44" t="s">
        <v>153</v>
      </c>
      <c r="L241" s="40">
        <v>1127</v>
      </c>
      <c r="M241" s="41">
        <v>41339</v>
      </c>
      <c r="N241" s="40" t="s">
        <v>122</v>
      </c>
      <c r="O241" s="42">
        <f t="shared" si="10"/>
        <v>42339</v>
      </c>
      <c r="P241" s="40">
        <v>24</v>
      </c>
      <c r="Q241" s="207">
        <f>'[3]ComEd - test LP_29MS'!G14</f>
        <v>31.387868296314473</v>
      </c>
      <c r="R241" s="207">
        <f>'[3]ComEd - test LP_29MS'!H14</f>
        <v>26.417733124380582</v>
      </c>
      <c r="S241" s="207">
        <f>'[3]ComEd - test LP_29MS'!I14</f>
        <v>25.468836662830576</v>
      </c>
      <c r="T241" s="207">
        <f>'[3]ComEd - test LP_29MS'!J14</f>
        <v>26.291958583724302</v>
      </c>
      <c r="U241" s="207">
        <f>'[3]ComEd - test LP_29MS'!K14</f>
        <v>27.771032516893943</v>
      </c>
      <c r="V241" s="145"/>
    </row>
    <row r="242" spans="1:22" x14ac:dyDescent="0.2">
      <c r="A242" s="89">
        <f t="shared" si="9"/>
        <v>234</v>
      </c>
      <c r="B242" s="43">
        <v>7</v>
      </c>
      <c r="C242" s="43">
        <v>12</v>
      </c>
      <c r="D242" s="38" t="s">
        <v>407</v>
      </c>
      <c r="E242" s="44" t="s">
        <v>155</v>
      </c>
      <c r="F242" s="44" t="s">
        <v>20</v>
      </c>
      <c r="G242" s="44" t="s">
        <v>120</v>
      </c>
      <c r="H242" s="44" t="s">
        <v>105</v>
      </c>
      <c r="I242" s="44" t="s">
        <v>156</v>
      </c>
      <c r="J242" s="44" t="s">
        <v>22</v>
      </c>
      <c r="K242" s="44" t="s">
        <v>157</v>
      </c>
      <c r="L242" s="40">
        <v>1128</v>
      </c>
      <c r="M242" s="41">
        <v>41339</v>
      </c>
      <c r="N242" s="40" t="s">
        <v>122</v>
      </c>
      <c r="O242" s="42">
        <f t="shared" si="10"/>
        <v>42339</v>
      </c>
      <c r="P242" s="40">
        <v>24</v>
      </c>
      <c r="Q242" s="207">
        <f>[3]DAY_RC_843MS!G14</f>
        <v>21.815477573990719</v>
      </c>
      <c r="R242" s="207">
        <f>[3]DAY_RC_843MS!H14</f>
        <v>18.384184774913127</v>
      </c>
      <c r="S242" s="207">
        <f>[3]DAY_RC_843MS!I14</f>
        <v>16.95537447480957</v>
      </c>
      <c r="T242" s="207">
        <f>[3]DAY_RC_843MS!J14</f>
        <v>18.093863133250935</v>
      </c>
      <c r="U242" s="207">
        <f>[3]DAY_RC_843MS!K14</f>
        <v>19.482034083222697</v>
      </c>
      <c r="V242" s="145"/>
    </row>
    <row r="243" spans="1:22" x14ac:dyDescent="0.2">
      <c r="A243" s="89">
        <f t="shared" si="9"/>
        <v>235</v>
      </c>
      <c r="B243" s="43">
        <v>7</v>
      </c>
      <c r="C243" s="43">
        <v>13</v>
      </c>
      <c r="D243" s="38" t="s">
        <v>408</v>
      </c>
      <c r="E243" s="44" t="s">
        <v>159</v>
      </c>
      <c r="F243" s="44" t="s">
        <v>39</v>
      </c>
      <c r="G243" s="44" t="s">
        <v>120</v>
      </c>
      <c r="H243" s="44" t="s">
        <v>43</v>
      </c>
      <c r="I243" s="44" t="s">
        <v>43</v>
      </c>
      <c r="J243" s="44" t="s">
        <v>7</v>
      </c>
      <c r="K243" s="44" t="s">
        <v>140</v>
      </c>
      <c r="L243" s="40">
        <v>1129</v>
      </c>
      <c r="M243" s="41">
        <v>41339</v>
      </c>
      <c r="N243" s="40" t="s">
        <v>122</v>
      </c>
      <c r="O243" s="42">
        <f t="shared" si="10"/>
        <v>42339</v>
      </c>
      <c r="P243" s="40">
        <v>24</v>
      </c>
      <c r="Q243" s="207">
        <f>'[3]Delmarva MD LP_MDGS_MMS'!G14</f>
        <v>41.505751247958955</v>
      </c>
      <c r="R243" s="207">
        <f>'[3]Delmarva MD LP_MDGS_MMS'!H14</f>
        <v>37.689201363111785</v>
      </c>
      <c r="S243" s="207">
        <f>'[3]Delmarva MD LP_MDGS_MMS'!I14</f>
        <v>37.545822481327413</v>
      </c>
      <c r="T243" s="207">
        <f>'[3]Delmarva MD LP_MDGS_MMS'!J14</f>
        <v>36.920670628527482</v>
      </c>
      <c r="U243" s="207">
        <f>'[3]Delmarva MD LP_MDGS_MMS'!K14</f>
        <v>39.522135996320159</v>
      </c>
      <c r="V243" s="145"/>
    </row>
    <row r="244" spans="1:22" x14ac:dyDescent="0.2">
      <c r="A244" s="89">
        <f t="shared" si="9"/>
        <v>236</v>
      </c>
      <c r="B244" s="43">
        <v>7</v>
      </c>
      <c r="C244" s="43">
        <v>14</v>
      </c>
      <c r="D244" s="38" t="s">
        <v>409</v>
      </c>
      <c r="E244" s="44" t="s">
        <v>161</v>
      </c>
      <c r="F244" s="44" t="s">
        <v>6</v>
      </c>
      <c r="G244" s="44" t="s">
        <v>120</v>
      </c>
      <c r="H244" s="44" t="s">
        <v>48</v>
      </c>
      <c r="I244" s="44" t="s">
        <v>48</v>
      </c>
      <c r="J244" s="44" t="s">
        <v>7</v>
      </c>
      <c r="K244" s="44" t="s">
        <v>140</v>
      </c>
      <c r="L244" s="40">
        <v>1130</v>
      </c>
      <c r="M244" s="41">
        <v>41339</v>
      </c>
      <c r="N244" s="40" t="s">
        <v>122</v>
      </c>
      <c r="O244" s="42">
        <f t="shared" si="10"/>
        <v>42339</v>
      </c>
      <c r="P244" s="40">
        <v>24</v>
      </c>
      <c r="Q244" s="207">
        <f>'[3]DQE LP_GSGM_MMS'!G14</f>
        <v>35.418406497659618</v>
      </c>
      <c r="R244" s="207">
        <f>'[3]DQE LP_GSGM_MMS'!H14</f>
        <v>31.008995505815548</v>
      </c>
      <c r="S244" s="207">
        <f>'[3]DQE LP_GSGM_MMS'!I14</f>
        <v>29.90350297759872</v>
      </c>
      <c r="T244" s="207">
        <f>'[3]DQE LP_GSGM_MMS'!J14</f>
        <v>30.863506812712764</v>
      </c>
      <c r="U244" s="207">
        <f>'[3]DQE LP_GSGM_MMS'!K14</f>
        <v>32.346159732494584</v>
      </c>
      <c r="V244" s="145"/>
    </row>
    <row r="245" spans="1:22" x14ac:dyDescent="0.2">
      <c r="A245" s="89">
        <f t="shared" si="9"/>
        <v>237</v>
      </c>
      <c r="B245" s="43">
        <v>7</v>
      </c>
      <c r="C245" s="43">
        <v>15</v>
      </c>
      <c r="D245" s="38" t="s">
        <v>410</v>
      </c>
      <c r="E245" s="44" t="s">
        <v>163</v>
      </c>
      <c r="F245" s="44" t="s">
        <v>20</v>
      </c>
      <c r="G245" s="44" t="s">
        <v>120</v>
      </c>
      <c r="H245" s="44" t="s">
        <v>23</v>
      </c>
      <c r="I245" s="44" t="s">
        <v>164</v>
      </c>
      <c r="J245" s="44" t="s">
        <v>24</v>
      </c>
      <c r="K245" s="44" t="s">
        <v>140</v>
      </c>
      <c r="L245" s="40">
        <v>1131</v>
      </c>
      <c r="M245" s="41">
        <v>41339</v>
      </c>
      <c r="N245" s="40" t="s">
        <v>122</v>
      </c>
      <c r="O245" s="42">
        <f t="shared" si="10"/>
        <v>42339</v>
      </c>
      <c r="P245" s="40">
        <v>24</v>
      </c>
      <c r="Q245" s="207">
        <f>[3]Duke_OH_RC_DS01MS!G14</f>
        <v>23.146980876354903</v>
      </c>
      <c r="R245" s="207">
        <f>[3]Duke_OH_RC_DS01MS!H14</f>
        <v>18.247113817140626</v>
      </c>
      <c r="S245" s="207">
        <f>[3]Duke_OH_RC_DS01MS!I14</f>
        <v>17.13431260479463</v>
      </c>
      <c r="T245" s="207">
        <f>[3]Duke_OH_RC_DS01MS!J14</f>
        <v>17.907877765478389</v>
      </c>
      <c r="U245" s="207">
        <f>[3]Duke_OH_RC_DS01MS!K14</f>
        <v>19.191874838447955</v>
      </c>
      <c r="V245" s="145"/>
    </row>
    <row r="246" spans="1:22" x14ac:dyDescent="0.2">
      <c r="A246" s="89">
        <f t="shared" si="9"/>
        <v>238</v>
      </c>
      <c r="B246" s="43">
        <v>7</v>
      </c>
      <c r="C246" s="43">
        <v>16</v>
      </c>
      <c r="D246" s="38" t="s">
        <v>411</v>
      </c>
      <c r="E246" s="44" t="s">
        <v>166</v>
      </c>
      <c r="F246" s="44" t="s">
        <v>20</v>
      </c>
      <c r="G246" s="44" t="s">
        <v>120</v>
      </c>
      <c r="H246" s="44" t="s">
        <v>64</v>
      </c>
      <c r="I246" s="44" t="s">
        <v>167</v>
      </c>
      <c r="J246" s="44" t="s">
        <v>7</v>
      </c>
      <c r="K246" s="44" t="s">
        <v>140</v>
      </c>
      <c r="L246" s="40">
        <v>1132</v>
      </c>
      <c r="M246" s="41">
        <v>41339</v>
      </c>
      <c r="N246" s="40" t="s">
        <v>122</v>
      </c>
      <c r="O246" s="42">
        <f t="shared" si="10"/>
        <v>42339</v>
      </c>
      <c r="P246" s="40">
        <v>24</v>
      </c>
      <c r="Q246" s="207">
        <f>'[3]FE_OE - test RC_GSFMS'!G14</f>
        <v>40.734791855639273</v>
      </c>
      <c r="R246" s="207">
        <f>'[3]FE_OE - test RC_GSFMS'!H14</f>
        <v>30.679927872419114</v>
      </c>
      <c r="S246" s="207">
        <f>'[3]FE_OE - test RC_GSFMS'!I14</f>
        <v>27.109790441146846</v>
      </c>
      <c r="T246" s="207">
        <f>'[3]FE_OE - test RC_GSFMS'!J14</f>
        <v>26.231786045341124</v>
      </c>
      <c r="U246" s="207">
        <f>'[3]FE_OE - test RC_GSFMS'!K14</f>
        <v>28.446196224944089</v>
      </c>
      <c r="V246" s="145"/>
    </row>
    <row r="247" spans="1:22" x14ac:dyDescent="0.2">
      <c r="A247" s="89">
        <f t="shared" si="9"/>
        <v>239</v>
      </c>
      <c r="B247" s="43">
        <v>7</v>
      </c>
      <c r="C247" s="43">
        <v>17</v>
      </c>
      <c r="D247" s="38" t="s">
        <v>412</v>
      </c>
      <c r="E247" s="44" t="s">
        <v>169</v>
      </c>
      <c r="F247" s="44" t="s">
        <v>31</v>
      </c>
      <c r="G247" s="44" t="s">
        <v>120</v>
      </c>
      <c r="H247" s="44" t="s">
        <v>35</v>
      </c>
      <c r="I247" s="44" t="s">
        <v>35</v>
      </c>
      <c r="J247" s="44" t="s">
        <v>9</v>
      </c>
      <c r="K247" s="44" t="s">
        <v>135</v>
      </c>
      <c r="L247" s="40">
        <v>1133</v>
      </c>
      <c r="M247" s="41">
        <v>41339</v>
      </c>
      <c r="N247" s="40" t="s">
        <v>122</v>
      </c>
      <c r="O247" s="42">
        <f t="shared" si="10"/>
        <v>42339</v>
      </c>
      <c r="P247" s="40">
        <v>24</v>
      </c>
      <c r="Q247" s="207">
        <f>'[3]JCPL LP_GSCLMS'!G14</f>
        <v>50.405272382166849</v>
      </c>
      <c r="R247" s="207">
        <f>'[3]JCPL LP_GSCLMS'!H14</f>
        <v>46.289539041178827</v>
      </c>
      <c r="S247" s="207">
        <f>'[3]JCPL LP_GSCLMS'!I14</f>
        <v>46.369352493331874</v>
      </c>
      <c r="T247" s="207">
        <f>'[3]JCPL LP_GSCLMS'!J14</f>
        <v>45.905498182064171</v>
      </c>
      <c r="U247" s="207">
        <f>'[3]JCPL LP_GSCLMS'!K14</f>
        <v>48.602725186721656</v>
      </c>
      <c r="V247" s="145"/>
    </row>
    <row r="248" spans="1:22" x14ac:dyDescent="0.2">
      <c r="A248" s="89">
        <f t="shared" si="9"/>
        <v>240</v>
      </c>
      <c r="B248" s="43">
        <v>7</v>
      </c>
      <c r="C248" s="43">
        <v>18</v>
      </c>
      <c r="D248" s="38" t="s">
        <v>413</v>
      </c>
      <c r="E248" s="44" t="s">
        <v>171</v>
      </c>
      <c r="F248" s="44" t="s">
        <v>31</v>
      </c>
      <c r="G248" s="44" t="s">
        <v>120</v>
      </c>
      <c r="H248" s="44" t="s">
        <v>35</v>
      </c>
      <c r="I248" s="44" t="s">
        <v>35</v>
      </c>
      <c r="J248" s="44" t="s">
        <v>10</v>
      </c>
      <c r="K248" s="44" t="s">
        <v>132</v>
      </c>
      <c r="L248" s="40">
        <v>1134</v>
      </c>
      <c r="M248" s="41">
        <v>41339</v>
      </c>
      <c r="N248" s="40" t="s">
        <v>122</v>
      </c>
      <c r="O248" s="42">
        <f t="shared" si="10"/>
        <v>42339</v>
      </c>
      <c r="P248" s="40">
        <v>24</v>
      </c>
      <c r="Q248" s="207">
        <f>'[3]JCPL LP_GSCMMS'!G14</f>
        <v>46.214563179158596</v>
      </c>
      <c r="R248" s="207">
        <f>'[3]JCPL LP_GSCMMS'!H14</f>
        <v>47.202729810183826</v>
      </c>
      <c r="S248" s="207">
        <f>'[3]JCPL LP_GSCMMS'!I14</f>
        <v>45.757355694666344</v>
      </c>
      <c r="T248" s="207">
        <f>'[3]JCPL LP_GSCMMS'!J14</f>
        <v>46.789088898278123</v>
      </c>
      <c r="U248" s="207">
        <f>'[3]JCPL LP_GSCMMS'!K14</f>
        <v>49.521646861699473</v>
      </c>
      <c r="V248" s="145"/>
    </row>
    <row r="249" spans="1:22" x14ac:dyDescent="0.2">
      <c r="A249" s="89">
        <f t="shared" si="9"/>
        <v>241</v>
      </c>
      <c r="B249" s="43">
        <v>7</v>
      </c>
      <c r="C249" s="43">
        <v>19</v>
      </c>
      <c r="D249" s="38" t="s">
        <v>414</v>
      </c>
      <c r="E249" s="44" t="s">
        <v>173</v>
      </c>
      <c r="F249" s="44" t="s">
        <v>31</v>
      </c>
      <c r="G249" s="44" t="s">
        <v>120</v>
      </c>
      <c r="H249" s="44" t="s">
        <v>35</v>
      </c>
      <c r="I249" s="44" t="s">
        <v>35</v>
      </c>
      <c r="J249" s="44" t="s">
        <v>11</v>
      </c>
      <c r="K249" s="44" t="s">
        <v>129</v>
      </c>
      <c r="L249" s="40">
        <v>1135</v>
      </c>
      <c r="M249" s="41">
        <v>41339</v>
      </c>
      <c r="N249" s="40" t="s">
        <v>122</v>
      </c>
      <c r="O249" s="42">
        <f t="shared" si="10"/>
        <v>42339</v>
      </c>
      <c r="P249" s="40">
        <v>24</v>
      </c>
      <c r="Q249" s="207">
        <f>'[3]JCPL LP_GSCSMS'!G14</f>
        <v>49.035571939522363</v>
      </c>
      <c r="R249" s="207">
        <f>'[3]JCPL LP_GSCSMS'!H14</f>
        <v>47.426345511922385</v>
      </c>
      <c r="S249" s="207">
        <f>'[3]JCPL LP_GSCSMS'!I14</f>
        <v>46.830912260322172</v>
      </c>
      <c r="T249" s="207">
        <f>'[3]JCPL LP_GSCSMS'!J14</f>
        <v>47.008564149148626</v>
      </c>
      <c r="U249" s="207">
        <f>'[3]JCPL LP_GSCSMS'!K14</f>
        <v>49.704758605107152</v>
      </c>
      <c r="V249" s="145"/>
    </row>
    <row r="250" spans="1:22" x14ac:dyDescent="0.2">
      <c r="A250" s="89">
        <f t="shared" si="9"/>
        <v>242</v>
      </c>
      <c r="B250" s="43">
        <v>7</v>
      </c>
      <c r="C250" s="43">
        <v>20</v>
      </c>
      <c r="D250" s="38" t="s">
        <v>415</v>
      </c>
      <c r="E250" s="44" t="s">
        <v>175</v>
      </c>
      <c r="F250" s="44" t="s">
        <v>6</v>
      </c>
      <c r="G250" s="44" t="s">
        <v>120</v>
      </c>
      <c r="H250" s="44" t="s">
        <v>176</v>
      </c>
      <c r="I250" s="44" t="s">
        <v>177</v>
      </c>
      <c r="J250" s="44" t="s">
        <v>9</v>
      </c>
      <c r="K250" s="44" t="s">
        <v>135</v>
      </c>
      <c r="L250" s="40">
        <v>1137</v>
      </c>
      <c r="M250" s="41">
        <v>41339</v>
      </c>
      <c r="N250" s="40" t="s">
        <v>122</v>
      </c>
      <c r="O250" s="42">
        <f t="shared" si="10"/>
        <v>42339</v>
      </c>
      <c r="P250" s="40">
        <v>24</v>
      </c>
      <c r="Q250" s="207">
        <f>'[3]MetEd RC_GSLFMS'!G14</f>
        <v>31.002976526120406</v>
      </c>
      <c r="R250" s="207">
        <f>'[3]MetEd RC_GSLFMS'!H14</f>
        <v>27.559160350463934</v>
      </c>
      <c r="S250" s="207">
        <f>'[3]MetEd RC_GSLFMS'!I14</f>
        <v>27.203987092644933</v>
      </c>
      <c r="T250" s="207">
        <f>'[3]MetEd RC_GSLFMS'!J14</f>
        <v>26.612279239225117</v>
      </c>
      <c r="U250" s="207">
        <f>'[3]MetEd RC_GSLFMS'!K14</f>
        <v>28.505214156941733</v>
      </c>
      <c r="V250" s="145"/>
    </row>
    <row r="251" spans="1:22" x14ac:dyDescent="0.2">
      <c r="A251" s="89">
        <f t="shared" si="9"/>
        <v>243</v>
      </c>
      <c r="B251" s="43">
        <v>7</v>
      </c>
      <c r="C251" s="43">
        <v>21</v>
      </c>
      <c r="D251" s="38" t="s">
        <v>416</v>
      </c>
      <c r="E251" s="44" t="s">
        <v>179</v>
      </c>
      <c r="F251" s="44" t="s">
        <v>6</v>
      </c>
      <c r="G251" s="44" t="s">
        <v>120</v>
      </c>
      <c r="H251" s="44" t="s">
        <v>176</v>
      </c>
      <c r="I251" s="44" t="s">
        <v>177</v>
      </c>
      <c r="J251" s="44" t="s">
        <v>10</v>
      </c>
      <c r="K251" s="44" t="s">
        <v>132</v>
      </c>
      <c r="L251" s="40">
        <v>1136</v>
      </c>
      <c r="M251" s="41">
        <v>41339</v>
      </c>
      <c r="N251" s="40" t="s">
        <v>122</v>
      </c>
      <c r="O251" s="42">
        <f t="shared" si="10"/>
        <v>42339</v>
      </c>
      <c r="P251" s="40">
        <v>24</v>
      </c>
      <c r="Q251" s="207">
        <f>'[3]MetEd RC_GSDFMS'!G14</f>
        <v>31.945463854414495</v>
      </c>
      <c r="R251" s="207">
        <f>'[3]MetEd RC_GSDFMS'!H14</f>
        <v>28.659052341726557</v>
      </c>
      <c r="S251" s="207">
        <f>'[3]MetEd RC_GSDFMS'!I14</f>
        <v>28.254088265330516</v>
      </c>
      <c r="T251" s="207">
        <f>'[3]MetEd RC_GSDFMS'!J14</f>
        <v>27.70507289371292</v>
      </c>
      <c r="U251" s="207">
        <f>'[3]MetEd RC_GSDFMS'!K14</f>
        <v>29.594752721702491</v>
      </c>
      <c r="V251" s="145"/>
    </row>
    <row r="252" spans="1:22" x14ac:dyDescent="0.2">
      <c r="A252" s="89">
        <f t="shared" si="9"/>
        <v>244</v>
      </c>
      <c r="B252" s="43">
        <v>7</v>
      </c>
      <c r="C252" s="43">
        <v>22</v>
      </c>
      <c r="D252" s="38" t="s">
        <v>417</v>
      </c>
      <c r="E252" s="44" t="s">
        <v>181</v>
      </c>
      <c r="F252" s="44" t="s">
        <v>6</v>
      </c>
      <c r="G252" s="44" t="s">
        <v>120</v>
      </c>
      <c r="H252" s="44" t="s">
        <v>176</v>
      </c>
      <c r="I252" s="44" t="s">
        <v>177</v>
      </c>
      <c r="J252" s="44" t="s">
        <v>11</v>
      </c>
      <c r="K252" s="44" t="s">
        <v>129</v>
      </c>
      <c r="L252" s="40">
        <v>1138</v>
      </c>
      <c r="M252" s="41">
        <v>41339</v>
      </c>
      <c r="N252" s="40" t="s">
        <v>122</v>
      </c>
      <c r="O252" s="42">
        <f t="shared" si="10"/>
        <v>42339</v>
      </c>
      <c r="P252" s="40">
        <v>24</v>
      </c>
      <c r="Q252" s="207">
        <f>'[3]MetEd RC_GSSFMS'!G14</f>
        <v>32.037169394842273</v>
      </c>
      <c r="R252" s="207">
        <f>'[3]MetEd RC_GSSFMS'!H14</f>
        <v>28.564228238661943</v>
      </c>
      <c r="S252" s="207">
        <f>'[3]MetEd RC_GSSFMS'!I14</f>
        <v>28.230934011797334</v>
      </c>
      <c r="T252" s="207">
        <f>'[3]MetEd RC_GSSFMS'!J14</f>
        <v>27.623401789766515</v>
      </c>
      <c r="U252" s="207">
        <f>'[3]MetEd RC_GSSFMS'!K14</f>
        <v>29.515881379397221</v>
      </c>
      <c r="V252" s="145"/>
    </row>
    <row r="253" spans="1:22" x14ac:dyDescent="0.2">
      <c r="A253" s="89">
        <f t="shared" si="9"/>
        <v>245</v>
      </c>
      <c r="B253" s="43">
        <v>7</v>
      </c>
      <c r="C253" s="43">
        <v>23</v>
      </c>
      <c r="D253" s="38" t="s">
        <v>418</v>
      </c>
      <c r="E253" s="44" t="s">
        <v>183</v>
      </c>
      <c r="F253" s="44" t="s">
        <v>6</v>
      </c>
      <c r="G253" s="44" t="s">
        <v>120</v>
      </c>
      <c r="H253" s="44" t="s">
        <v>13</v>
      </c>
      <c r="I253" s="44" t="s">
        <v>13</v>
      </c>
      <c r="J253" s="44" t="s">
        <v>7</v>
      </c>
      <c r="K253" s="44" t="s">
        <v>140</v>
      </c>
      <c r="L253" s="40">
        <v>1139</v>
      </c>
      <c r="M253" s="41">
        <v>41339</v>
      </c>
      <c r="N253" s="40" t="s">
        <v>122</v>
      </c>
      <c r="O253" s="42">
        <f t="shared" si="10"/>
        <v>42339</v>
      </c>
      <c r="P253" s="40">
        <v>24</v>
      </c>
      <c r="Q253" s="207">
        <f>'[3]PECO LP_GSMS'!G14</f>
        <v>35.170338616724266</v>
      </c>
      <c r="R253" s="207">
        <f>'[3]PECO LP_GSMS'!H14</f>
        <v>31.231783072066943</v>
      </c>
      <c r="S253" s="207">
        <f>'[3]PECO LP_GSMS'!I14</f>
        <v>31.005601956157292</v>
      </c>
      <c r="T253" s="207">
        <f>'[3]PECO LP_GSMS'!J14</f>
        <v>30.258253691165336</v>
      </c>
      <c r="U253" s="207">
        <f>'[3]PECO LP_GSMS'!K14</f>
        <v>32.398882562521941</v>
      </c>
      <c r="V253" s="145"/>
    </row>
    <row r="254" spans="1:22" x14ac:dyDescent="0.2">
      <c r="A254" s="89">
        <f t="shared" si="9"/>
        <v>246</v>
      </c>
      <c r="B254" s="43">
        <v>7</v>
      </c>
      <c r="C254" s="43">
        <v>24</v>
      </c>
      <c r="D254" s="38" t="s">
        <v>419</v>
      </c>
      <c r="E254" s="44" t="s">
        <v>185</v>
      </c>
      <c r="F254" s="44" t="s">
        <v>6</v>
      </c>
      <c r="G254" s="44" t="s">
        <v>120</v>
      </c>
      <c r="H254" s="44" t="s">
        <v>12</v>
      </c>
      <c r="I254" s="44" t="s">
        <v>186</v>
      </c>
      <c r="J254" s="44" t="s">
        <v>9</v>
      </c>
      <c r="K254" s="44" t="s">
        <v>135</v>
      </c>
      <c r="L254" s="40">
        <v>1140</v>
      </c>
      <c r="M254" s="41">
        <v>41339</v>
      </c>
      <c r="N254" s="40" t="s">
        <v>122</v>
      </c>
      <c r="O254" s="42">
        <f t="shared" si="10"/>
        <v>42339</v>
      </c>
      <c r="P254" s="40">
        <v>24</v>
      </c>
      <c r="Q254" s="207">
        <f>'[3]Penelec RC_GSLFMS'!G14</f>
        <v>32.422112763020387</v>
      </c>
      <c r="R254" s="207">
        <f>'[3]Penelec RC_GSLFMS'!H14</f>
        <v>29.809208802016027</v>
      </c>
      <c r="S254" s="207">
        <f>'[3]Penelec RC_GSLFMS'!I14</f>
        <v>29.334786973419192</v>
      </c>
      <c r="T254" s="207">
        <f>'[3]Penelec RC_GSLFMS'!J14</f>
        <v>29.013779178827491</v>
      </c>
      <c r="U254" s="207">
        <f>'[3]Penelec RC_GSLFMS'!K14</f>
        <v>31.087415933343483</v>
      </c>
      <c r="V254" s="145"/>
    </row>
    <row r="255" spans="1:22" x14ac:dyDescent="0.2">
      <c r="A255" s="89">
        <f t="shared" si="9"/>
        <v>247</v>
      </c>
      <c r="B255" s="43">
        <v>7</v>
      </c>
      <c r="C255" s="43">
        <v>25</v>
      </c>
      <c r="D255" s="38" t="s">
        <v>420</v>
      </c>
      <c r="E255" s="44" t="s">
        <v>188</v>
      </c>
      <c r="F255" s="44" t="s">
        <v>6</v>
      </c>
      <c r="G255" s="44" t="s">
        <v>120</v>
      </c>
      <c r="H255" s="44" t="s">
        <v>12</v>
      </c>
      <c r="I255" s="44" t="s">
        <v>186</v>
      </c>
      <c r="J255" s="44" t="s">
        <v>10</v>
      </c>
      <c r="K255" s="44" t="s">
        <v>132</v>
      </c>
      <c r="L255" s="40">
        <v>1141</v>
      </c>
      <c r="M255" s="41">
        <v>41339</v>
      </c>
      <c r="N255" s="40" t="s">
        <v>122</v>
      </c>
      <c r="O255" s="42">
        <f t="shared" si="10"/>
        <v>42339</v>
      </c>
      <c r="P255" s="40">
        <v>24</v>
      </c>
      <c r="Q255" s="207">
        <f>'[3]Penelec RC_GSMFMS'!G14</f>
        <v>33.406940303919505</v>
      </c>
      <c r="R255" s="207">
        <f>'[3]Penelec RC_GSMFMS'!H14</f>
        <v>30.932492706813644</v>
      </c>
      <c r="S255" s="207">
        <f>'[3]Penelec RC_GSMFMS'!I14</f>
        <v>30.415916611909434</v>
      </c>
      <c r="T255" s="207">
        <f>'[3]Penelec RC_GSMFMS'!J14</f>
        <v>30.125405680417511</v>
      </c>
      <c r="U255" s="207">
        <f>'[3]Penelec RC_GSMFMS'!K14</f>
        <v>32.196358501501585</v>
      </c>
      <c r="V255" s="145"/>
    </row>
    <row r="256" spans="1:22" x14ac:dyDescent="0.2">
      <c r="A256" s="89">
        <f t="shared" si="9"/>
        <v>248</v>
      </c>
      <c r="B256" s="43">
        <v>7</v>
      </c>
      <c r="C256" s="43">
        <v>26</v>
      </c>
      <c r="D256" s="38" t="s">
        <v>421</v>
      </c>
      <c r="E256" s="44" t="s">
        <v>190</v>
      </c>
      <c r="F256" s="44" t="s">
        <v>6</v>
      </c>
      <c r="G256" s="44" t="s">
        <v>120</v>
      </c>
      <c r="H256" s="44" t="s">
        <v>12</v>
      </c>
      <c r="I256" s="44" t="s">
        <v>186</v>
      </c>
      <c r="J256" s="44" t="s">
        <v>11</v>
      </c>
      <c r="K256" s="44" t="s">
        <v>129</v>
      </c>
      <c r="L256" s="40">
        <v>1142</v>
      </c>
      <c r="M256" s="41">
        <v>41339</v>
      </c>
      <c r="N256" s="40" t="s">
        <v>122</v>
      </c>
      <c r="O256" s="42">
        <f t="shared" si="10"/>
        <v>42339</v>
      </c>
      <c r="P256" s="40">
        <v>24</v>
      </c>
      <c r="Q256" s="207">
        <f>'[3]Penelec RC_GSSFMS'!G14</f>
        <v>30.660734873480454</v>
      </c>
      <c r="R256" s="207">
        <f>'[3]Penelec RC_GSSFMS'!H14</f>
        <v>30.937652175012097</v>
      </c>
      <c r="S256" s="207">
        <f>'[3]Penelec RC_GSSFMS'!I14</f>
        <v>29.586407827209616</v>
      </c>
      <c r="T256" s="207">
        <f>'[3]Penelec RC_GSSFMS'!J14</f>
        <v>30.082637183604508</v>
      </c>
      <c r="U256" s="207">
        <f>'[3]Penelec RC_GSSFMS'!K14</f>
        <v>32.158397591151271</v>
      </c>
      <c r="V256" s="145"/>
    </row>
    <row r="257" spans="1:22" x14ac:dyDescent="0.2">
      <c r="A257" s="89">
        <f t="shared" si="9"/>
        <v>249</v>
      </c>
      <c r="B257" s="43">
        <v>7</v>
      </c>
      <c r="C257" s="43">
        <v>27</v>
      </c>
      <c r="D257" s="38" t="s">
        <v>422</v>
      </c>
      <c r="E257" s="44" t="s">
        <v>192</v>
      </c>
      <c r="F257" s="44" t="s">
        <v>6</v>
      </c>
      <c r="G257" s="44" t="s">
        <v>120</v>
      </c>
      <c r="H257" s="44" t="s">
        <v>100</v>
      </c>
      <c r="I257" s="44" t="s">
        <v>193</v>
      </c>
      <c r="J257" s="44" t="s">
        <v>7</v>
      </c>
      <c r="K257" s="44" t="s">
        <v>140</v>
      </c>
      <c r="L257" s="40">
        <v>1143</v>
      </c>
      <c r="M257" s="41">
        <v>41339</v>
      </c>
      <c r="N257" s="40" t="s">
        <v>122</v>
      </c>
      <c r="O257" s="42">
        <f t="shared" si="10"/>
        <v>42339</v>
      </c>
      <c r="P257" s="40">
        <v>24</v>
      </c>
      <c r="Q257" s="207">
        <f>'[3]Penn Power RC_GMDMS'!G14</f>
        <v>51.34867650895734</v>
      </c>
      <c r="R257" s="207">
        <f>'[3]Penn Power RC_GMDMS'!H14</f>
        <v>41.785968573515888</v>
      </c>
      <c r="S257" s="207">
        <f>'[3]Penn Power RC_GMDMS'!I14</f>
        <v>38.112063145122121</v>
      </c>
      <c r="T257" s="207">
        <f>'[3]Penn Power RC_GMDMS'!J14</f>
        <v>37.382677877001875</v>
      </c>
      <c r="U257" s="207">
        <f>'[3]Penn Power RC_GMDMS'!K14</f>
        <v>39.64554111777904</v>
      </c>
      <c r="V257" s="145"/>
    </row>
    <row r="258" spans="1:22" x14ac:dyDescent="0.2">
      <c r="A258" s="89">
        <f t="shared" si="9"/>
        <v>250</v>
      </c>
      <c r="B258" s="43">
        <v>7</v>
      </c>
      <c r="C258" s="43">
        <v>28</v>
      </c>
      <c r="D258" s="38" t="s">
        <v>423</v>
      </c>
      <c r="E258" s="44" t="s">
        <v>195</v>
      </c>
      <c r="F258" s="44" t="s">
        <v>39</v>
      </c>
      <c r="G258" s="44" t="s">
        <v>120</v>
      </c>
      <c r="H258" s="44" t="s">
        <v>44</v>
      </c>
      <c r="I258" s="44" t="s">
        <v>44</v>
      </c>
      <c r="J258" s="44" t="s">
        <v>7</v>
      </c>
      <c r="K258" s="44" t="s">
        <v>140</v>
      </c>
      <c r="L258" s="40">
        <v>1144</v>
      </c>
      <c r="M258" s="41">
        <v>41339</v>
      </c>
      <c r="N258" s="40" t="s">
        <v>122</v>
      </c>
      <c r="O258" s="42">
        <f t="shared" si="10"/>
        <v>42339</v>
      </c>
      <c r="P258" s="40">
        <v>24</v>
      </c>
      <c r="Q258" s="207">
        <f>'[3]PEPCO MD LP_MDNDMS'!G14</f>
        <v>35.829709505857437</v>
      </c>
      <c r="R258" s="207">
        <f>'[3]PEPCO MD LP_MDNDMS'!H14</f>
        <v>33.815291301176423</v>
      </c>
      <c r="S258" s="207">
        <f>'[3]PEPCO MD LP_MDNDMS'!I14</f>
        <v>33.221038211831832</v>
      </c>
      <c r="T258" s="207">
        <f>'[3]PEPCO MD LP_MDNDMS'!J14</f>
        <v>33.033572896583166</v>
      </c>
      <c r="U258" s="207">
        <f>'[3]PEPCO MD LP_MDNDMS'!K14</f>
        <v>35.478246299124315</v>
      </c>
      <c r="V258" s="145"/>
    </row>
    <row r="259" spans="1:22" x14ac:dyDescent="0.2">
      <c r="A259" s="89">
        <f t="shared" si="9"/>
        <v>251</v>
      </c>
      <c r="B259" s="43">
        <v>7</v>
      </c>
      <c r="C259" s="43">
        <v>29</v>
      </c>
      <c r="D259" s="38" t="s">
        <v>424</v>
      </c>
      <c r="E259" s="44" t="s">
        <v>197</v>
      </c>
      <c r="F259" s="44" t="s">
        <v>39</v>
      </c>
      <c r="G259" s="44" t="s">
        <v>120</v>
      </c>
      <c r="H259" s="44" t="s">
        <v>44</v>
      </c>
      <c r="I259" s="44" t="s">
        <v>44</v>
      </c>
      <c r="J259" s="44" t="s">
        <v>45</v>
      </c>
      <c r="K259" s="44" t="s">
        <v>198</v>
      </c>
      <c r="L259" s="40">
        <v>1145</v>
      </c>
      <c r="M259" s="41">
        <v>41339</v>
      </c>
      <c r="N259" s="40" t="s">
        <v>122</v>
      </c>
      <c r="O259" s="42">
        <f t="shared" si="10"/>
        <v>42339</v>
      </c>
      <c r="P259" s="40">
        <v>24</v>
      </c>
      <c r="Q259" s="207">
        <f>'[3]PEPCO MD LP_MMGTL2AMS'!G14</f>
        <v>35.751105863612231</v>
      </c>
      <c r="R259" s="207">
        <f>'[3]PEPCO MD LP_MMGTL2AMS'!H14</f>
        <v>32.709068010930125</v>
      </c>
      <c r="S259" s="207">
        <f>'[3]PEPCO MD LP_MMGTL2AMS'!I14</f>
        <v>32.41020197115818</v>
      </c>
      <c r="T259" s="207">
        <f>'[3]PEPCO MD LP_MMGTL2AMS'!J14</f>
        <v>31.938155014901213</v>
      </c>
      <c r="U259" s="207">
        <f>'[3]PEPCO MD LP_MMGTL2AMS'!K14</f>
        <v>34.373606616472031</v>
      </c>
      <c r="V259" s="145"/>
    </row>
    <row r="260" spans="1:22" x14ac:dyDescent="0.2">
      <c r="A260" s="89">
        <f t="shared" si="9"/>
        <v>252</v>
      </c>
      <c r="B260" s="43">
        <v>7</v>
      </c>
      <c r="C260" s="43">
        <v>30</v>
      </c>
      <c r="D260" s="38" t="s">
        <v>425</v>
      </c>
      <c r="E260" s="44" t="s">
        <v>200</v>
      </c>
      <c r="F260" s="44" t="s">
        <v>39</v>
      </c>
      <c r="G260" s="44" t="s">
        <v>120</v>
      </c>
      <c r="H260" s="44" t="s">
        <v>44</v>
      </c>
      <c r="I260" s="44" t="s">
        <v>44</v>
      </c>
      <c r="J260" s="44" t="s">
        <v>46</v>
      </c>
      <c r="K260" s="44" t="s">
        <v>46</v>
      </c>
      <c r="L260" s="40">
        <v>1146</v>
      </c>
      <c r="M260" s="41">
        <v>41339</v>
      </c>
      <c r="N260" s="40" t="s">
        <v>122</v>
      </c>
      <c r="O260" s="42">
        <f t="shared" si="10"/>
        <v>42339</v>
      </c>
      <c r="P260" s="40">
        <v>24</v>
      </c>
      <c r="Q260" s="207">
        <f>'[3]PEPCO MD RC_3T7MS'!G14</f>
        <v>35.342111122138746</v>
      </c>
      <c r="R260" s="207">
        <f>'[3]PEPCO MD RC_3T7MS'!H14</f>
        <v>33.526353298916902</v>
      </c>
      <c r="S260" s="207">
        <f>'[3]PEPCO MD RC_3T7MS'!I14</f>
        <v>32.884162865992288</v>
      </c>
      <c r="T260" s="207">
        <f>'[3]PEPCO MD RC_3T7MS'!J14</f>
        <v>32.846037159435774</v>
      </c>
      <c r="U260" s="207">
        <f>'[3]PEPCO MD RC_3T7MS'!K14</f>
        <v>35.316924379789768</v>
      </c>
      <c r="V260" s="145"/>
    </row>
    <row r="261" spans="1:22" x14ac:dyDescent="0.2">
      <c r="A261" s="89">
        <f t="shared" si="9"/>
        <v>253</v>
      </c>
      <c r="B261" s="43">
        <v>7</v>
      </c>
      <c r="C261" s="43">
        <v>31</v>
      </c>
      <c r="D261" s="38" t="s">
        <v>426</v>
      </c>
      <c r="E261" s="44" t="s">
        <v>202</v>
      </c>
      <c r="F261" s="44" t="s">
        <v>39</v>
      </c>
      <c r="G261" s="44" t="s">
        <v>120</v>
      </c>
      <c r="H261" s="44" t="s">
        <v>47</v>
      </c>
      <c r="I261" s="44" t="s">
        <v>47</v>
      </c>
      <c r="J261" s="44" t="s">
        <v>7</v>
      </c>
      <c r="K261" s="44" t="s">
        <v>140</v>
      </c>
      <c r="L261" s="40">
        <v>1147</v>
      </c>
      <c r="M261" s="41">
        <v>41339</v>
      </c>
      <c r="N261" s="40" t="s">
        <v>122</v>
      </c>
      <c r="O261" s="42">
        <f t="shared" si="10"/>
        <v>42339</v>
      </c>
      <c r="P261" s="40">
        <v>24</v>
      </c>
      <c r="Q261" s="207">
        <f>'[3]Potomac Edison LP_GSCM_MMS'!G14</f>
        <v>31.065111639610986</v>
      </c>
      <c r="R261" s="207">
        <f>'[3]Potomac Edison LP_GSCM_MMS'!H14</f>
        <v>29.462124448374489</v>
      </c>
      <c r="S261" s="207">
        <f>'[3]Potomac Edison LP_GSCM_MMS'!I14</f>
        <v>27.728960518157479</v>
      </c>
      <c r="T261" s="207">
        <f>'[3]Potomac Edison LP_GSCM_MMS'!J14</f>
        <v>29.437027134539246</v>
      </c>
      <c r="U261" s="207">
        <f>'[3]Potomac Edison LP_GSCM_MMS'!K14</f>
        <v>31.271014103014721</v>
      </c>
      <c r="V261" s="145"/>
    </row>
    <row r="262" spans="1:22" x14ac:dyDescent="0.2">
      <c r="A262" s="89">
        <f t="shared" si="9"/>
        <v>254</v>
      </c>
      <c r="B262" s="43">
        <v>7</v>
      </c>
      <c r="C262" s="43">
        <v>32</v>
      </c>
      <c r="D262" s="38" t="s">
        <v>427</v>
      </c>
      <c r="E262" s="44" t="s">
        <v>204</v>
      </c>
      <c r="F262" s="44" t="s">
        <v>6</v>
      </c>
      <c r="G262" s="44" t="s">
        <v>120</v>
      </c>
      <c r="H262" s="44" t="s">
        <v>14</v>
      </c>
      <c r="I262" s="44" t="s">
        <v>14</v>
      </c>
      <c r="J262" s="44" t="s">
        <v>15</v>
      </c>
      <c r="K262" s="44" t="s">
        <v>129</v>
      </c>
      <c r="L262" s="40">
        <v>1148</v>
      </c>
      <c r="M262" s="41">
        <v>41339</v>
      </c>
      <c r="N262" s="40" t="s">
        <v>122</v>
      </c>
      <c r="O262" s="42">
        <f t="shared" si="10"/>
        <v>42339</v>
      </c>
      <c r="P262" s="40">
        <v>24</v>
      </c>
      <c r="Q262" s="207">
        <f>[3]PPL_RCGS1MS!G14</f>
        <v>38.727834500791346</v>
      </c>
      <c r="R262" s="207">
        <f>[3]PPL_RCGS1MS!H14</f>
        <v>36.733388406894925</v>
      </c>
      <c r="S262" s="207">
        <f>[3]PPL_RCGS1MS!I14</f>
        <v>35.960576499317533</v>
      </c>
      <c r="T262" s="207">
        <f>[3]PPL_RCGS1MS!J14</f>
        <v>35.704983619558782</v>
      </c>
      <c r="U262" s="207">
        <f>[3]PPL_RCGS1MS!K14</f>
        <v>37.555233781308829</v>
      </c>
      <c r="V262" s="145"/>
    </row>
    <row r="263" spans="1:22" x14ac:dyDescent="0.2">
      <c r="A263" s="89">
        <f t="shared" si="9"/>
        <v>255</v>
      </c>
      <c r="B263" s="43">
        <v>7</v>
      </c>
      <c r="C263" s="43">
        <v>33</v>
      </c>
      <c r="D263" s="38" t="s">
        <v>428</v>
      </c>
      <c r="E263" s="44" t="s">
        <v>206</v>
      </c>
      <c r="F263" s="44" t="s">
        <v>6</v>
      </c>
      <c r="G263" s="44" t="s">
        <v>120</v>
      </c>
      <c r="H263" s="44" t="s">
        <v>14</v>
      </c>
      <c r="I263" s="44" t="s">
        <v>14</v>
      </c>
      <c r="J263" s="44" t="s">
        <v>16</v>
      </c>
      <c r="K263" s="44" t="s">
        <v>135</v>
      </c>
      <c r="L263" s="40">
        <v>1149</v>
      </c>
      <c r="M263" s="41">
        <v>41339</v>
      </c>
      <c r="N263" s="40" t="s">
        <v>122</v>
      </c>
      <c r="O263" s="42">
        <f t="shared" si="10"/>
        <v>42339</v>
      </c>
      <c r="P263" s="40">
        <v>24</v>
      </c>
      <c r="Q263" s="207">
        <f>[3]PPL_RCGS3MS!G14</f>
        <v>39.572323705430072</v>
      </c>
      <c r="R263" s="207">
        <f>[3]PPL_RCGS3MS!H14</f>
        <v>36.791710926657146</v>
      </c>
      <c r="S263" s="207">
        <f>[3]PPL_RCGS3MS!I14</f>
        <v>36.243813491046815</v>
      </c>
      <c r="T263" s="207">
        <f>[3]PPL_RCGS3MS!J14</f>
        <v>35.775184697666383</v>
      </c>
      <c r="U263" s="207">
        <f>[3]PPL_RCGS3MS!K14</f>
        <v>37.629603902705931</v>
      </c>
      <c r="V263" s="145"/>
    </row>
    <row r="264" spans="1:22" x14ac:dyDescent="0.2">
      <c r="A264" s="89">
        <f t="shared" si="9"/>
        <v>256</v>
      </c>
      <c r="B264" s="43">
        <v>7</v>
      </c>
      <c r="C264" s="43">
        <v>34</v>
      </c>
      <c r="D264" s="38" t="s">
        <v>429</v>
      </c>
      <c r="E264" s="44" t="s">
        <v>208</v>
      </c>
      <c r="F264" s="44" t="s">
        <v>31</v>
      </c>
      <c r="G264" s="44" t="s">
        <v>120</v>
      </c>
      <c r="H264" s="44" t="s">
        <v>36</v>
      </c>
      <c r="I264" s="44" t="s">
        <v>36</v>
      </c>
      <c r="J264" s="44" t="s">
        <v>37</v>
      </c>
      <c r="K264" s="44" t="s">
        <v>209</v>
      </c>
      <c r="L264" s="40">
        <v>1150</v>
      </c>
      <c r="M264" s="41">
        <v>41339</v>
      </c>
      <c r="N264" s="40" t="s">
        <v>122</v>
      </c>
      <c r="O264" s="42">
        <f t="shared" si="10"/>
        <v>42339</v>
      </c>
      <c r="P264" s="40">
        <v>24</v>
      </c>
      <c r="Q264" s="207">
        <f>'[3]PSEG LP_GLP_MMS'!G14</f>
        <v>63.786619388288436</v>
      </c>
      <c r="R264" s="207">
        <f>'[3]PSEG LP_GLP_MMS'!H14</f>
        <v>62.580713411377843</v>
      </c>
      <c r="S264" s="207">
        <f>'[3]PSEG LP_GLP_MMS'!I14</f>
        <v>63.880833651158284</v>
      </c>
      <c r="T264" s="207">
        <f>'[3]PSEG LP_GLP_MMS'!J14</f>
        <v>63.546525154598982</v>
      </c>
      <c r="U264" s="207">
        <f>'[3]PSEG LP_GLP_MMS'!K14</f>
        <v>65.442400580360555</v>
      </c>
      <c r="V264" s="145"/>
    </row>
    <row r="265" spans="1:22" x14ac:dyDescent="0.2">
      <c r="A265" s="89">
        <f t="shared" si="9"/>
        <v>257</v>
      </c>
      <c r="B265" s="43">
        <v>7</v>
      </c>
      <c r="C265" s="43">
        <v>35</v>
      </c>
      <c r="D265" s="38" t="s">
        <v>430</v>
      </c>
      <c r="E265" s="44" t="s">
        <v>211</v>
      </c>
      <c r="F265" s="44" t="s">
        <v>31</v>
      </c>
      <c r="G265" s="44" t="s">
        <v>120</v>
      </c>
      <c r="H265" s="44" t="s">
        <v>36</v>
      </c>
      <c r="I265" s="44" t="s">
        <v>36</v>
      </c>
      <c r="J265" s="44" t="s">
        <v>38</v>
      </c>
      <c r="K265" s="44" t="s">
        <v>212</v>
      </c>
      <c r="L265" s="40">
        <v>1151</v>
      </c>
      <c r="M265" s="41">
        <v>41339</v>
      </c>
      <c r="N265" s="40" t="s">
        <v>122</v>
      </c>
      <c r="O265" s="42">
        <f t="shared" si="10"/>
        <v>42339</v>
      </c>
      <c r="P265" s="40">
        <v>24</v>
      </c>
      <c r="Q265" s="207">
        <f>'[3]PSEG LP_LPLMS'!G14</f>
        <v>62.676317380348713</v>
      </c>
      <c r="R265" s="207">
        <f>'[3]PSEG LP_LPLMS'!H14</f>
        <v>61.77223108912721</v>
      </c>
      <c r="S265" s="207">
        <f>'[3]PSEG LP_LPLMS'!I14</f>
        <v>63.009547986466252</v>
      </c>
      <c r="T265" s="207">
        <f>'[3]PSEG LP_LPLMS'!J14</f>
        <v>62.687981508654843</v>
      </c>
      <c r="U265" s="207">
        <f>'[3]PSEG LP_LPLMS'!K14</f>
        <v>64.582196315469858</v>
      </c>
      <c r="V265" s="145"/>
    </row>
    <row r="266" spans="1:22" x14ac:dyDescent="0.2">
      <c r="A266" s="89">
        <f t="shared" si="9"/>
        <v>258</v>
      </c>
      <c r="B266" s="43">
        <v>7</v>
      </c>
      <c r="C266" s="43">
        <v>36</v>
      </c>
      <c r="D266" s="38" t="s">
        <v>431</v>
      </c>
      <c r="E266" s="44" t="s">
        <v>214</v>
      </c>
      <c r="F266" s="44" t="s">
        <v>6</v>
      </c>
      <c r="G266" s="44" t="s">
        <v>120</v>
      </c>
      <c r="H266" s="44" t="s">
        <v>17</v>
      </c>
      <c r="I266" s="44" t="s">
        <v>215</v>
      </c>
      <c r="J266" s="44" t="s">
        <v>18</v>
      </c>
      <c r="K266" s="44" t="s">
        <v>140</v>
      </c>
      <c r="L266" s="40">
        <v>1152</v>
      </c>
      <c r="M266" s="41">
        <v>41339</v>
      </c>
      <c r="N266" s="40" t="s">
        <v>122</v>
      </c>
      <c r="O266" s="42">
        <f t="shared" si="10"/>
        <v>42339</v>
      </c>
      <c r="P266" s="40">
        <v>24</v>
      </c>
      <c r="Q266" s="207">
        <f>'[3]West Penn Power LP_GSCMMS'!G14</f>
        <v>33.41398121693716</v>
      </c>
      <c r="R266" s="207">
        <f>'[3]West Penn Power LP_GSCMMS'!H14</f>
        <v>29.209523722240679</v>
      </c>
      <c r="S266" s="207">
        <f>'[3]West Penn Power LP_GSCMMS'!I14</f>
        <v>28.107365244047006</v>
      </c>
      <c r="T266" s="207">
        <f>'[3]West Penn Power LP_GSCMMS'!J14</f>
        <v>29.145059812552564</v>
      </c>
      <c r="U266" s="207">
        <f>'[3]West Penn Power LP_GSCMMS'!K14</f>
        <v>30.704029830770097</v>
      </c>
      <c r="V266" s="145"/>
    </row>
    <row r="267" spans="1:22" x14ac:dyDescent="0.2">
      <c r="A267" s="89">
        <f t="shared" ref="A267:A330" si="11">A266+1</f>
        <v>259</v>
      </c>
      <c r="B267" s="20"/>
      <c r="C267" s="20"/>
      <c r="D267" s="20"/>
      <c r="Q267" s="208"/>
      <c r="R267" s="208"/>
      <c r="S267" s="208"/>
      <c r="T267" s="208"/>
      <c r="U267" s="208"/>
    </row>
    <row r="268" spans="1:22" x14ac:dyDescent="0.2">
      <c r="A268" s="89">
        <f t="shared" si="11"/>
        <v>260</v>
      </c>
      <c r="B268" s="43">
        <v>8</v>
      </c>
      <c r="C268" s="43">
        <v>1</v>
      </c>
      <c r="D268" s="38" t="s">
        <v>432</v>
      </c>
      <c r="E268" s="44" t="s">
        <v>119</v>
      </c>
      <c r="F268" s="44" t="s">
        <v>31</v>
      </c>
      <c r="G268" s="44" t="s">
        <v>120</v>
      </c>
      <c r="H268" s="44" t="s">
        <v>32</v>
      </c>
      <c r="I268" s="44" t="s">
        <v>32</v>
      </c>
      <c r="J268" s="44" t="s">
        <v>33</v>
      </c>
      <c r="K268" s="44" t="s">
        <v>121</v>
      </c>
      <c r="L268" s="40">
        <v>1117</v>
      </c>
      <c r="M268" s="41">
        <v>41339</v>
      </c>
      <c r="N268" s="40" t="s">
        <v>122</v>
      </c>
      <c r="O268" s="42">
        <f>EDATE(O231,1)</f>
        <v>42370</v>
      </c>
      <c r="P268" s="40">
        <v>25</v>
      </c>
      <c r="Q268" s="207">
        <f>'[3]AECO LP_10V1_SMS'!G15</f>
        <v>53.329512768306436</v>
      </c>
      <c r="R268" s="207">
        <f>'[3]AECO LP_10V1_SMS'!H15</f>
        <v>48.857307925291877</v>
      </c>
      <c r="S268" s="207">
        <f>'[3]AECO LP_10V1_SMS'!I15</f>
        <v>49.181113858138715</v>
      </c>
      <c r="T268" s="207">
        <f>'[3]AECO LP_10V1_SMS'!J15</f>
        <v>48.257985065092534</v>
      </c>
      <c r="U268" s="207">
        <f>'[3]AECO LP_10V1_SMS'!K15</f>
        <v>50.762643977483044</v>
      </c>
      <c r="V268" s="145"/>
    </row>
    <row r="269" spans="1:22" x14ac:dyDescent="0.2">
      <c r="A269" s="89">
        <f t="shared" si="11"/>
        <v>261</v>
      </c>
      <c r="B269" s="43">
        <v>8</v>
      </c>
      <c r="C269" s="43">
        <v>2</v>
      </c>
      <c r="D269" s="38" t="s">
        <v>433</v>
      </c>
      <c r="E269" s="44" t="s">
        <v>124</v>
      </c>
      <c r="F269" s="44" t="s">
        <v>31</v>
      </c>
      <c r="G269" s="44" t="s">
        <v>120</v>
      </c>
      <c r="H269" s="44" t="s">
        <v>32</v>
      </c>
      <c r="I269" s="44" t="s">
        <v>32</v>
      </c>
      <c r="J269" s="44" t="s">
        <v>34</v>
      </c>
      <c r="K269" s="44" t="s">
        <v>125</v>
      </c>
      <c r="L269" s="40">
        <v>1118</v>
      </c>
      <c r="M269" s="41">
        <v>41339</v>
      </c>
      <c r="N269" s="40" t="s">
        <v>122</v>
      </c>
      <c r="O269" s="42">
        <f>O268</f>
        <v>42370</v>
      </c>
      <c r="P269" s="40">
        <v>25</v>
      </c>
      <c r="Q269" s="207">
        <f>'[3]AECO LP_14V1_MMS'!G15</f>
        <v>51.942584743326144</v>
      </c>
      <c r="R269" s="207">
        <f>'[3]AECO LP_14V1_MMS'!H15</f>
        <v>48.745309975359113</v>
      </c>
      <c r="S269" s="207">
        <f>'[3]AECO LP_14V1_MMS'!I15</f>
        <v>48.744449839259445</v>
      </c>
      <c r="T269" s="207">
        <f>'[3]AECO LP_14V1_MMS'!J15</f>
        <v>48.099617651170256</v>
      </c>
      <c r="U269" s="207">
        <f>'[3]AECO LP_14V1_MMS'!K15</f>
        <v>49.304515656995065</v>
      </c>
      <c r="V269" s="145"/>
    </row>
    <row r="270" spans="1:22" x14ac:dyDescent="0.2">
      <c r="A270" s="89">
        <f t="shared" si="11"/>
        <v>262</v>
      </c>
      <c r="B270" s="43">
        <v>8</v>
      </c>
      <c r="C270" s="43">
        <v>3</v>
      </c>
      <c r="D270" s="38" t="s">
        <v>434</v>
      </c>
      <c r="E270" s="44" t="s">
        <v>127</v>
      </c>
      <c r="F270" s="44" t="s">
        <v>20</v>
      </c>
      <c r="G270" s="44" t="s">
        <v>120</v>
      </c>
      <c r="H270" s="44" t="s">
        <v>63</v>
      </c>
      <c r="I270" s="44" t="s">
        <v>128</v>
      </c>
      <c r="J270" s="44" t="s">
        <v>15</v>
      </c>
      <c r="K270" s="44" t="s">
        <v>129</v>
      </c>
      <c r="L270" s="40">
        <v>1119</v>
      </c>
      <c r="M270" s="41">
        <v>41339</v>
      </c>
      <c r="N270" s="40" t="s">
        <v>122</v>
      </c>
      <c r="O270" s="42">
        <f t="shared" ref="O270:O303" si="12">O269</f>
        <v>42370</v>
      </c>
      <c r="P270" s="40">
        <v>25</v>
      </c>
      <c r="Q270" s="207">
        <f>'[3]AEP_OH_CS - test CSGS1MS'!G15</f>
        <v>23.115474609263181</v>
      </c>
      <c r="R270" s="207">
        <f>'[3]AEP_OH_CS - test CSGS1MS'!H15</f>
        <v>18.687276300257714</v>
      </c>
      <c r="S270" s="207">
        <f>'[3]AEP_OH_CS - test CSGS1MS'!I15</f>
        <v>18.256129738640563</v>
      </c>
      <c r="T270" s="207">
        <f>'[3]AEP_OH_CS - test CSGS1MS'!J15</f>
        <v>19.011528871328697</v>
      </c>
      <c r="U270" s="207">
        <f>'[3]AEP_OH_CS - test CSGS1MS'!K15</f>
        <v>20.649055307474086</v>
      </c>
      <c r="V270" s="145"/>
    </row>
    <row r="271" spans="1:22" x14ac:dyDescent="0.2">
      <c r="A271" s="89">
        <f t="shared" si="11"/>
        <v>263</v>
      </c>
      <c r="B271" s="43">
        <v>8</v>
      </c>
      <c r="C271" s="43">
        <v>4</v>
      </c>
      <c r="D271" s="38" t="s">
        <v>435</v>
      </c>
      <c r="E271" s="44" t="s">
        <v>131</v>
      </c>
      <c r="F271" s="44" t="s">
        <v>20</v>
      </c>
      <c r="G271" s="44" t="s">
        <v>120</v>
      </c>
      <c r="H271" s="44" t="s">
        <v>63</v>
      </c>
      <c r="I271" s="44" t="s">
        <v>128</v>
      </c>
      <c r="J271" s="44" t="s">
        <v>21</v>
      </c>
      <c r="K271" s="44" t="s">
        <v>132</v>
      </c>
      <c r="L271" s="40">
        <v>1120</v>
      </c>
      <c r="M271" s="41">
        <v>41339</v>
      </c>
      <c r="N271" s="40" t="s">
        <v>122</v>
      </c>
      <c r="O271" s="42">
        <f t="shared" si="12"/>
        <v>42370</v>
      </c>
      <c r="P271" s="40">
        <v>25</v>
      </c>
      <c r="Q271" s="207">
        <f>'[3]AEP_OH_CS - test CSGS2UMS'!G15</f>
        <v>22.513691246337721</v>
      </c>
      <c r="R271" s="207">
        <f>'[3]AEP_OH_CS - test CSGS2UMS'!H15</f>
        <v>18.779376443944503</v>
      </c>
      <c r="S271" s="207">
        <f>'[3]AEP_OH_CS - test CSGS2UMS'!I15</f>
        <v>18.193903807805363</v>
      </c>
      <c r="T271" s="207">
        <f>'[3]AEP_OH_CS - test CSGS2UMS'!J15</f>
        <v>19.097125007187696</v>
      </c>
      <c r="U271" s="207">
        <f>'[3]AEP_OH_CS - test CSGS2UMS'!K15</f>
        <v>20.736708113740626</v>
      </c>
      <c r="V271" s="145"/>
    </row>
    <row r="272" spans="1:22" x14ac:dyDescent="0.2">
      <c r="A272" s="89">
        <f t="shared" si="11"/>
        <v>264</v>
      </c>
      <c r="B272" s="43">
        <v>8</v>
      </c>
      <c r="C272" s="43">
        <v>5</v>
      </c>
      <c r="D272" s="38" t="s">
        <v>436</v>
      </c>
      <c r="E272" s="44" t="s">
        <v>134</v>
      </c>
      <c r="F272" s="44" t="s">
        <v>20</v>
      </c>
      <c r="G272" s="44" t="s">
        <v>120</v>
      </c>
      <c r="H272" s="44" t="s">
        <v>63</v>
      </c>
      <c r="I272" s="44" t="s">
        <v>128</v>
      </c>
      <c r="J272" s="44" t="s">
        <v>16</v>
      </c>
      <c r="K272" s="44" t="s">
        <v>135</v>
      </c>
      <c r="L272" s="40">
        <v>1121</v>
      </c>
      <c r="M272" s="41">
        <v>41339</v>
      </c>
      <c r="N272" s="40" t="s">
        <v>122</v>
      </c>
      <c r="O272" s="42">
        <f t="shared" si="12"/>
        <v>42370</v>
      </c>
      <c r="P272" s="40">
        <v>25</v>
      </c>
      <c r="Q272" s="207">
        <f>'[3]AEP_OH_CS - test CSGS3UMS'!G15</f>
        <v>22.958108622223023</v>
      </c>
      <c r="R272" s="207">
        <f>'[3]AEP_OH_CS - test CSGS3UMS'!H15</f>
        <v>18.718735883226312</v>
      </c>
      <c r="S272" s="207">
        <f>'[3]AEP_OH_CS - test CSGS3UMS'!I15</f>
        <v>18.230332063837416</v>
      </c>
      <c r="T272" s="207">
        <f>'[3]AEP_OH_CS - test CSGS3UMS'!J15</f>
        <v>19.033992736294248</v>
      </c>
      <c r="U272" s="207">
        <f>'[3]AEP_OH_CS - test CSGS3UMS'!K15</f>
        <v>20.667537741102905</v>
      </c>
      <c r="V272" s="145"/>
    </row>
    <row r="273" spans="1:22" x14ac:dyDescent="0.2">
      <c r="A273" s="89">
        <f t="shared" si="11"/>
        <v>265</v>
      </c>
      <c r="B273" s="43">
        <v>8</v>
      </c>
      <c r="C273" s="43">
        <v>6</v>
      </c>
      <c r="D273" s="38" t="s">
        <v>437</v>
      </c>
      <c r="E273" s="44" t="s">
        <v>137</v>
      </c>
      <c r="F273" s="44" t="s">
        <v>25</v>
      </c>
      <c r="G273" s="44" t="s">
        <v>138</v>
      </c>
      <c r="H273" s="44" t="s">
        <v>139</v>
      </c>
      <c r="I273" s="44" t="s">
        <v>29</v>
      </c>
      <c r="J273" s="44" t="s">
        <v>30</v>
      </c>
      <c r="K273" s="44" t="s">
        <v>140</v>
      </c>
      <c r="L273" s="40">
        <v>1122</v>
      </c>
      <c r="M273" s="41">
        <v>41339</v>
      </c>
      <c r="N273" s="40" t="s">
        <v>122</v>
      </c>
      <c r="O273" s="42">
        <f t="shared" si="12"/>
        <v>42370</v>
      </c>
      <c r="P273" s="40">
        <v>25</v>
      </c>
      <c r="Q273" s="207">
        <f>'[3]Ameren RateZnIII LP DS2HHMS'!G15</f>
        <v>33.302886499429754</v>
      </c>
      <c r="R273" s="207">
        <f>'[3]Ameren RateZnIII LP DS2HHMS'!H15</f>
        <v>33.811975374663348</v>
      </c>
      <c r="S273" s="207">
        <f>'[3]Ameren RateZnIII LP DS2HHMS'!I15</f>
        <v>34.709728037188029</v>
      </c>
      <c r="T273" s="207">
        <f>'[3]Ameren RateZnIII LP DS2HHMS'!J15</f>
        <v>34.973522521284373</v>
      </c>
      <c r="U273" s="207">
        <f>'[3]Ameren RateZnIII LP DS2HHMS'!K15</f>
        <v>36.069251485465472</v>
      </c>
      <c r="V273" s="145"/>
    </row>
    <row r="274" spans="1:22" x14ac:dyDescent="0.2">
      <c r="A274" s="89">
        <f t="shared" si="11"/>
        <v>266</v>
      </c>
      <c r="B274" s="43">
        <v>8</v>
      </c>
      <c r="C274" s="43">
        <v>7</v>
      </c>
      <c r="D274" s="38" t="s">
        <v>438</v>
      </c>
      <c r="E274" s="44" t="s">
        <v>142</v>
      </c>
      <c r="F274" s="44" t="s">
        <v>39</v>
      </c>
      <c r="G274" s="44" t="s">
        <v>120</v>
      </c>
      <c r="H274" s="44" t="s">
        <v>40</v>
      </c>
      <c r="I274" s="44" t="s">
        <v>40</v>
      </c>
      <c r="J274" s="44" t="s">
        <v>42</v>
      </c>
      <c r="K274" s="44" t="s">
        <v>135</v>
      </c>
      <c r="L274" s="40">
        <v>1124</v>
      </c>
      <c r="M274" s="41">
        <v>41339</v>
      </c>
      <c r="N274" s="40" t="s">
        <v>122</v>
      </c>
      <c r="O274" s="42">
        <f t="shared" si="12"/>
        <v>42370</v>
      </c>
      <c r="P274" s="40">
        <v>25</v>
      </c>
      <c r="Q274" s="207">
        <f>'[3]BGE LP_GLMS'!G15</f>
        <v>37.110841508740748</v>
      </c>
      <c r="R274" s="207">
        <f>'[3]BGE LP_GLMS'!H15</f>
        <v>33.651076631813702</v>
      </c>
      <c r="S274" s="207">
        <f>'[3]BGE LP_GLMS'!I15</f>
        <v>33.549960716295736</v>
      </c>
      <c r="T274" s="207">
        <f>'[3]BGE LP_GLMS'!J15</f>
        <v>32.895357428368627</v>
      </c>
      <c r="U274" s="207">
        <f>'[3]BGE LP_GLMS'!K15</f>
        <v>35.427619389932076</v>
      </c>
      <c r="V274" s="145"/>
    </row>
    <row r="275" spans="1:22" x14ac:dyDescent="0.2">
      <c r="A275" s="89">
        <f t="shared" si="11"/>
        <v>267</v>
      </c>
      <c r="B275" s="43">
        <v>8</v>
      </c>
      <c r="C275" s="43">
        <v>8</v>
      </c>
      <c r="D275" s="38" t="s">
        <v>439</v>
      </c>
      <c r="E275" s="44" t="s">
        <v>144</v>
      </c>
      <c r="F275" s="44" t="s">
        <v>39</v>
      </c>
      <c r="G275" s="44" t="s">
        <v>120</v>
      </c>
      <c r="H275" s="44" t="s">
        <v>40</v>
      </c>
      <c r="I275" s="44" t="s">
        <v>40</v>
      </c>
      <c r="J275" s="44" t="s">
        <v>41</v>
      </c>
      <c r="K275" s="44" t="s">
        <v>132</v>
      </c>
      <c r="L275" s="40">
        <v>1123</v>
      </c>
      <c r="M275" s="41">
        <v>41339</v>
      </c>
      <c r="N275" s="40" t="s">
        <v>122</v>
      </c>
      <c r="O275" s="42">
        <f t="shared" si="12"/>
        <v>42370</v>
      </c>
      <c r="P275" s="40">
        <v>25</v>
      </c>
      <c r="Q275" s="207">
        <f>'[3]BGE LP_GMS'!G15</f>
        <v>36.331799841778114</v>
      </c>
      <c r="R275" s="207">
        <f>'[3]BGE LP_GMS'!H15</f>
        <v>33.703649838293458</v>
      </c>
      <c r="S275" s="207">
        <f>'[3]BGE LP_GMS'!I15</f>
        <v>33.374885337615581</v>
      </c>
      <c r="T275" s="207">
        <f>'[3]BGE LP_GMS'!J15</f>
        <v>33.010562070062605</v>
      </c>
      <c r="U275" s="207">
        <f>'[3]BGE LP_GMS'!K15</f>
        <v>35.570110479422979</v>
      </c>
      <c r="V275" s="145"/>
    </row>
    <row r="276" spans="1:22" x14ac:dyDescent="0.2">
      <c r="A276" s="89">
        <f t="shared" si="11"/>
        <v>268</v>
      </c>
      <c r="B276" s="43">
        <v>8</v>
      </c>
      <c r="C276" s="43">
        <v>9</v>
      </c>
      <c r="D276" s="38" t="s">
        <v>440</v>
      </c>
      <c r="E276" s="44" t="s">
        <v>146</v>
      </c>
      <c r="F276" s="44" t="s">
        <v>39</v>
      </c>
      <c r="G276" s="44" t="s">
        <v>120</v>
      </c>
      <c r="H276" s="44" t="s">
        <v>40</v>
      </c>
      <c r="I276" s="44" t="s">
        <v>40</v>
      </c>
      <c r="J276" s="44" t="s">
        <v>7</v>
      </c>
      <c r="K276" s="44" t="s">
        <v>129</v>
      </c>
      <c r="L276" s="40">
        <v>1125</v>
      </c>
      <c r="M276" s="41">
        <v>41339</v>
      </c>
      <c r="N276" s="40" t="s">
        <v>122</v>
      </c>
      <c r="O276" s="42">
        <f t="shared" si="12"/>
        <v>42370</v>
      </c>
      <c r="P276" s="40">
        <v>25</v>
      </c>
      <c r="Q276" s="207">
        <f>'[3]BGE LP_GSMS'!G15</f>
        <v>38.089996795051206</v>
      </c>
      <c r="R276" s="207">
        <f>'[3]BGE LP_GSMS'!H15</f>
        <v>34.648301002723521</v>
      </c>
      <c r="S276" s="207">
        <f>'[3]BGE LP_GSMS'!I15</f>
        <v>34.550146198032486</v>
      </c>
      <c r="T276" s="207">
        <f>'[3]BGE LP_GSMS'!J15</f>
        <v>33.840026669450637</v>
      </c>
      <c r="U276" s="207">
        <f>'[3]BGE LP_GSMS'!K15</f>
        <v>36.358274490916529</v>
      </c>
      <c r="V276" s="145"/>
    </row>
    <row r="277" spans="1:22" x14ac:dyDescent="0.2">
      <c r="A277" s="89">
        <f t="shared" si="11"/>
        <v>269</v>
      </c>
      <c r="B277" s="43">
        <v>8</v>
      </c>
      <c r="C277" s="43">
        <v>10</v>
      </c>
      <c r="D277" s="38" t="s">
        <v>441</v>
      </c>
      <c r="E277" s="44" t="s">
        <v>148</v>
      </c>
      <c r="F277" s="44" t="s">
        <v>25</v>
      </c>
      <c r="G277" s="44" t="s">
        <v>120</v>
      </c>
      <c r="H277" s="44" t="s">
        <v>149</v>
      </c>
      <c r="I277" s="44" t="s">
        <v>26</v>
      </c>
      <c r="J277" s="44" t="s">
        <v>27</v>
      </c>
      <c r="K277" s="44" t="s">
        <v>150</v>
      </c>
      <c r="L277" s="40">
        <v>1126</v>
      </c>
      <c r="M277" s="41">
        <v>41339</v>
      </c>
      <c r="N277" s="40" t="s">
        <v>122</v>
      </c>
      <c r="O277" s="42">
        <f t="shared" si="12"/>
        <v>42370</v>
      </c>
      <c r="P277" s="40">
        <v>25</v>
      </c>
      <c r="Q277" s="207">
        <f>'[3]ComEd - test LP_28MS'!G15</f>
        <v>30.619033507781975</v>
      </c>
      <c r="R277" s="207">
        <f>'[3]ComEd - test LP_28MS'!H15</f>
        <v>26.680300169045207</v>
      </c>
      <c r="S277" s="207">
        <f>'[3]ComEd - test LP_28MS'!I15</f>
        <v>26.226111932619649</v>
      </c>
      <c r="T277" s="207">
        <f>'[3]ComEd - test LP_28MS'!J15</f>
        <v>27.170657020719052</v>
      </c>
      <c r="U277" s="207">
        <f>'[3]ComEd - test LP_28MS'!K15</f>
        <v>28.722624620966325</v>
      </c>
      <c r="V277" s="145"/>
    </row>
    <row r="278" spans="1:22" x14ac:dyDescent="0.2">
      <c r="A278" s="89">
        <f t="shared" si="11"/>
        <v>270</v>
      </c>
      <c r="B278" s="43">
        <v>8</v>
      </c>
      <c r="C278" s="43">
        <v>11</v>
      </c>
      <c r="D278" s="38" t="s">
        <v>442</v>
      </c>
      <c r="E278" s="44" t="s">
        <v>152</v>
      </c>
      <c r="F278" s="44" t="s">
        <v>25</v>
      </c>
      <c r="G278" s="44" t="s">
        <v>120</v>
      </c>
      <c r="H278" s="44" t="s">
        <v>149</v>
      </c>
      <c r="I278" s="44" t="s">
        <v>26</v>
      </c>
      <c r="J278" s="44" t="s">
        <v>28</v>
      </c>
      <c r="K278" s="44" t="s">
        <v>153</v>
      </c>
      <c r="L278" s="40">
        <v>1127</v>
      </c>
      <c r="M278" s="41">
        <v>41339</v>
      </c>
      <c r="N278" s="40" t="s">
        <v>122</v>
      </c>
      <c r="O278" s="42">
        <f t="shared" si="12"/>
        <v>42370</v>
      </c>
      <c r="P278" s="40">
        <v>25</v>
      </c>
      <c r="Q278" s="207">
        <f>'[3]ComEd - test LP_29MS'!G15</f>
        <v>29.764238313202696</v>
      </c>
      <c r="R278" s="207">
        <f>'[3]ComEd - test LP_29MS'!H15</f>
        <v>25.779498862202935</v>
      </c>
      <c r="S278" s="207">
        <f>'[3]ComEd - test LP_29MS'!I15</f>
        <v>25.334122471412599</v>
      </c>
      <c r="T278" s="207">
        <f>'[3]ComEd - test LP_29MS'!J15</f>
        <v>26.268458802931693</v>
      </c>
      <c r="U278" s="207">
        <f>'[3]ComEd - test LP_29MS'!K15</f>
        <v>27.822011424932441</v>
      </c>
      <c r="V278" s="145"/>
    </row>
    <row r="279" spans="1:22" x14ac:dyDescent="0.2">
      <c r="A279" s="89">
        <f t="shared" si="11"/>
        <v>271</v>
      </c>
      <c r="B279" s="43">
        <v>8</v>
      </c>
      <c r="C279" s="43">
        <v>12</v>
      </c>
      <c r="D279" s="38" t="s">
        <v>443</v>
      </c>
      <c r="E279" s="44" t="s">
        <v>155</v>
      </c>
      <c r="F279" s="44" t="s">
        <v>20</v>
      </c>
      <c r="G279" s="44" t="s">
        <v>120</v>
      </c>
      <c r="H279" s="44" t="s">
        <v>105</v>
      </c>
      <c r="I279" s="44" t="s">
        <v>156</v>
      </c>
      <c r="J279" s="44" t="s">
        <v>22</v>
      </c>
      <c r="K279" s="44" t="s">
        <v>157</v>
      </c>
      <c r="L279" s="40">
        <v>1128</v>
      </c>
      <c r="M279" s="41">
        <v>41339</v>
      </c>
      <c r="N279" s="40" t="s">
        <v>122</v>
      </c>
      <c r="O279" s="42">
        <f t="shared" si="12"/>
        <v>42370</v>
      </c>
      <c r="P279" s="40">
        <v>25</v>
      </c>
      <c r="Q279" s="207">
        <f>[3]DAY_RC_843MS!G15</f>
        <v>20.429534886909622</v>
      </c>
      <c r="R279" s="207">
        <f>[3]DAY_RC_843MS!H15</f>
        <v>17.686996420792678</v>
      </c>
      <c r="S279" s="207">
        <f>[3]DAY_RC_843MS!I15</f>
        <v>16.812008943811279</v>
      </c>
      <c r="T279" s="207">
        <f>[3]DAY_RC_843MS!J15</f>
        <v>18.039798447656391</v>
      </c>
      <c r="U279" s="207">
        <f>[3]DAY_RC_843MS!K15</f>
        <v>19.508231559206635</v>
      </c>
      <c r="V279" s="145"/>
    </row>
    <row r="280" spans="1:22" x14ac:dyDescent="0.2">
      <c r="A280" s="89">
        <f t="shared" si="11"/>
        <v>272</v>
      </c>
      <c r="B280" s="43">
        <v>8</v>
      </c>
      <c r="C280" s="43">
        <v>13</v>
      </c>
      <c r="D280" s="38" t="s">
        <v>444</v>
      </c>
      <c r="E280" s="44" t="s">
        <v>159</v>
      </c>
      <c r="F280" s="44" t="s">
        <v>39</v>
      </c>
      <c r="G280" s="44" t="s">
        <v>120</v>
      </c>
      <c r="H280" s="44" t="s">
        <v>43</v>
      </c>
      <c r="I280" s="44" t="s">
        <v>43</v>
      </c>
      <c r="J280" s="44" t="s">
        <v>7</v>
      </c>
      <c r="K280" s="44" t="s">
        <v>140</v>
      </c>
      <c r="L280" s="40">
        <v>1129</v>
      </c>
      <c r="M280" s="41">
        <v>41339</v>
      </c>
      <c r="N280" s="40" t="s">
        <v>122</v>
      </c>
      <c r="O280" s="42">
        <f t="shared" si="12"/>
        <v>42370</v>
      </c>
      <c r="P280" s="40">
        <v>25</v>
      </c>
      <c r="Q280" s="207">
        <f>'[3]Delmarva MD LP_MDGS_MMS'!G15</f>
        <v>40.044569243886514</v>
      </c>
      <c r="R280" s="207">
        <f>'[3]Delmarva MD LP_MDGS_MMS'!H15</f>
        <v>37.381548931543769</v>
      </c>
      <c r="S280" s="207">
        <f>'[3]Delmarva MD LP_MDGS_MMS'!I15</f>
        <v>37.153108680521214</v>
      </c>
      <c r="T280" s="207">
        <f>'[3]Delmarva MD LP_MDGS_MMS'!J15</f>
        <v>36.803899604870118</v>
      </c>
      <c r="U280" s="207">
        <f>'[3]Delmarva MD LP_MDGS_MMS'!K15</f>
        <v>39.878726212976225</v>
      </c>
      <c r="V280" s="145"/>
    </row>
    <row r="281" spans="1:22" x14ac:dyDescent="0.2">
      <c r="A281" s="89">
        <f t="shared" si="11"/>
        <v>273</v>
      </c>
      <c r="B281" s="43">
        <v>8</v>
      </c>
      <c r="C281" s="43">
        <v>14</v>
      </c>
      <c r="D281" s="38" t="s">
        <v>445</v>
      </c>
      <c r="E281" s="44" t="s">
        <v>161</v>
      </c>
      <c r="F281" s="44" t="s">
        <v>6</v>
      </c>
      <c r="G281" s="44" t="s">
        <v>120</v>
      </c>
      <c r="H281" s="44" t="s">
        <v>48</v>
      </c>
      <c r="I281" s="44" t="s">
        <v>48</v>
      </c>
      <c r="J281" s="44" t="s">
        <v>7</v>
      </c>
      <c r="K281" s="44" t="s">
        <v>140</v>
      </c>
      <c r="L281" s="40">
        <v>1130</v>
      </c>
      <c r="M281" s="41">
        <v>41339</v>
      </c>
      <c r="N281" s="40" t="s">
        <v>122</v>
      </c>
      <c r="O281" s="42">
        <f t="shared" si="12"/>
        <v>42370</v>
      </c>
      <c r="P281" s="40">
        <v>25</v>
      </c>
      <c r="Q281" s="207">
        <f>'[3]DQE LP_GSGM_MMS'!G15</f>
        <v>34.228541413171072</v>
      </c>
      <c r="R281" s="207">
        <f>'[3]DQE LP_GSGM_MMS'!H15</f>
        <v>30.36609688549725</v>
      </c>
      <c r="S281" s="207">
        <f>'[3]DQE LP_GSGM_MMS'!I15</f>
        <v>29.888004405098659</v>
      </c>
      <c r="T281" s="207">
        <f>'[3]DQE LP_GSGM_MMS'!J15</f>
        <v>30.841393168487514</v>
      </c>
      <c r="U281" s="207">
        <f>'[3]DQE LP_GSGM_MMS'!K15</f>
        <v>32.396584745498146</v>
      </c>
      <c r="V281" s="145"/>
    </row>
    <row r="282" spans="1:22" x14ac:dyDescent="0.2">
      <c r="A282" s="89">
        <f t="shared" si="11"/>
        <v>274</v>
      </c>
      <c r="B282" s="43">
        <v>8</v>
      </c>
      <c r="C282" s="43">
        <v>15</v>
      </c>
      <c r="D282" s="38" t="s">
        <v>446</v>
      </c>
      <c r="E282" s="44" t="s">
        <v>163</v>
      </c>
      <c r="F282" s="44" t="s">
        <v>20</v>
      </c>
      <c r="G282" s="44" t="s">
        <v>120</v>
      </c>
      <c r="H282" s="44" t="s">
        <v>23</v>
      </c>
      <c r="I282" s="44" t="s">
        <v>164</v>
      </c>
      <c r="J282" s="44" t="s">
        <v>24</v>
      </c>
      <c r="K282" s="44" t="s">
        <v>140</v>
      </c>
      <c r="L282" s="40">
        <v>1131</v>
      </c>
      <c r="M282" s="41">
        <v>41339</v>
      </c>
      <c r="N282" s="40" t="s">
        <v>122</v>
      </c>
      <c r="O282" s="42">
        <f t="shared" si="12"/>
        <v>42370</v>
      </c>
      <c r="P282" s="40">
        <v>25</v>
      </c>
      <c r="Q282" s="207">
        <f>[3]Duke_OH_RC_DS01MS!G15</f>
        <v>21.342810728834301</v>
      </c>
      <c r="R282" s="207">
        <f>[3]Duke_OH_RC_DS01MS!H15</f>
        <v>17.578871742967078</v>
      </c>
      <c r="S282" s="207">
        <f>[3]Duke_OH_RC_DS01MS!I15</f>
        <v>16.955264365579858</v>
      </c>
      <c r="T282" s="207">
        <f>[3]Duke_OH_RC_DS01MS!J15</f>
        <v>17.851347460021476</v>
      </c>
      <c r="U282" s="207">
        <f>[3]Duke_OH_RC_DS01MS!K15</f>
        <v>19.206877370876281</v>
      </c>
      <c r="V282" s="145"/>
    </row>
    <row r="283" spans="1:22" x14ac:dyDescent="0.2">
      <c r="A283" s="89">
        <f t="shared" si="11"/>
        <v>275</v>
      </c>
      <c r="B283" s="43">
        <v>8</v>
      </c>
      <c r="C283" s="43">
        <v>16</v>
      </c>
      <c r="D283" s="38" t="s">
        <v>447</v>
      </c>
      <c r="E283" s="44" t="s">
        <v>166</v>
      </c>
      <c r="F283" s="44" t="s">
        <v>20</v>
      </c>
      <c r="G283" s="44" t="s">
        <v>120</v>
      </c>
      <c r="H283" s="44" t="s">
        <v>64</v>
      </c>
      <c r="I283" s="44" t="s">
        <v>167</v>
      </c>
      <c r="J283" s="44" t="s">
        <v>7</v>
      </c>
      <c r="K283" s="44" t="s">
        <v>140</v>
      </c>
      <c r="L283" s="40">
        <v>1132</v>
      </c>
      <c r="M283" s="41">
        <v>41339</v>
      </c>
      <c r="N283" s="40" t="s">
        <v>122</v>
      </c>
      <c r="O283" s="42">
        <f t="shared" si="12"/>
        <v>42370</v>
      </c>
      <c r="P283" s="40">
        <v>25</v>
      </c>
      <c r="Q283" s="207">
        <f>'[3]FE_OE - test RC_GSFMS'!G15</f>
        <v>37.600675670523309</v>
      </c>
      <c r="R283" s="207">
        <f>'[3]FE_OE - test RC_GSFMS'!H15</f>
        <v>28.860303249411587</v>
      </c>
      <c r="S283" s="207">
        <f>'[3]FE_OE - test RC_GSFMS'!I15</f>
        <v>26.121793303950952</v>
      </c>
      <c r="T283" s="207">
        <f>'[3]FE_OE - test RC_GSFMS'!J15</f>
        <v>25.469244258144915</v>
      </c>
      <c r="U283" s="207">
        <f>'[3]FE_OE - test RC_GSFMS'!K15</f>
        <v>28.471736666847804</v>
      </c>
      <c r="V283" s="145"/>
    </row>
    <row r="284" spans="1:22" x14ac:dyDescent="0.2">
      <c r="A284" s="89">
        <f t="shared" si="11"/>
        <v>276</v>
      </c>
      <c r="B284" s="43">
        <v>8</v>
      </c>
      <c r="C284" s="43">
        <v>17</v>
      </c>
      <c r="D284" s="38" t="s">
        <v>448</v>
      </c>
      <c r="E284" s="44" t="s">
        <v>169</v>
      </c>
      <c r="F284" s="44" t="s">
        <v>31</v>
      </c>
      <c r="G284" s="44" t="s">
        <v>120</v>
      </c>
      <c r="H284" s="44" t="s">
        <v>35</v>
      </c>
      <c r="I284" s="44" t="s">
        <v>35</v>
      </c>
      <c r="J284" s="44" t="s">
        <v>9</v>
      </c>
      <c r="K284" s="44" t="s">
        <v>135</v>
      </c>
      <c r="L284" s="40">
        <v>1133</v>
      </c>
      <c r="M284" s="41">
        <v>41339</v>
      </c>
      <c r="N284" s="40" t="s">
        <v>122</v>
      </c>
      <c r="O284" s="42">
        <f t="shared" si="12"/>
        <v>42370</v>
      </c>
      <c r="P284" s="40">
        <v>25</v>
      </c>
      <c r="Q284" s="207">
        <f>'[3]JCPL LP_GSCLMS'!G15</f>
        <v>49.249542930354856</v>
      </c>
      <c r="R284" s="207">
        <f>'[3]JCPL LP_GSCLMS'!H15</f>
        <v>45.986251391679502</v>
      </c>
      <c r="S284" s="207">
        <f>'[3]JCPL LP_GSCLMS'!I15</f>
        <v>46.004516965242757</v>
      </c>
      <c r="T284" s="207">
        <f>'[3]JCPL LP_GSCLMS'!J15</f>
        <v>45.797342218642378</v>
      </c>
      <c r="U284" s="207">
        <f>'[3]JCPL LP_GSCLMS'!K15</f>
        <v>48.977626071678166</v>
      </c>
      <c r="V284" s="145"/>
    </row>
    <row r="285" spans="1:22" x14ac:dyDescent="0.2">
      <c r="A285" s="89">
        <f t="shared" si="11"/>
        <v>277</v>
      </c>
      <c r="B285" s="43">
        <v>8</v>
      </c>
      <c r="C285" s="43">
        <v>18</v>
      </c>
      <c r="D285" s="38" t="s">
        <v>449</v>
      </c>
      <c r="E285" s="44" t="s">
        <v>171</v>
      </c>
      <c r="F285" s="44" t="s">
        <v>31</v>
      </c>
      <c r="G285" s="44" t="s">
        <v>120</v>
      </c>
      <c r="H285" s="44" t="s">
        <v>35</v>
      </c>
      <c r="I285" s="44" t="s">
        <v>35</v>
      </c>
      <c r="J285" s="44" t="s">
        <v>10</v>
      </c>
      <c r="K285" s="44" t="s">
        <v>132</v>
      </c>
      <c r="L285" s="40">
        <v>1134</v>
      </c>
      <c r="M285" s="41">
        <v>41339</v>
      </c>
      <c r="N285" s="40" t="s">
        <v>122</v>
      </c>
      <c r="O285" s="42">
        <f t="shared" si="12"/>
        <v>42370</v>
      </c>
      <c r="P285" s="40">
        <v>25</v>
      </c>
      <c r="Q285" s="207">
        <f>'[3]JCPL LP_GSCMMS'!G15</f>
        <v>46.307664392410352</v>
      </c>
      <c r="R285" s="207">
        <f>'[3]JCPL LP_GSCMMS'!H15</f>
        <v>46.867213542131104</v>
      </c>
      <c r="S285" s="207">
        <f>'[3]JCPL LP_GSCMMS'!I15</f>
        <v>45.794002690665636</v>
      </c>
      <c r="T285" s="207">
        <f>'[3]JCPL LP_GSCMMS'!J15</f>
        <v>46.693660874489574</v>
      </c>
      <c r="U285" s="207">
        <f>'[3]JCPL LP_GSCMMS'!K15</f>
        <v>49.896975858747659</v>
      </c>
      <c r="V285" s="145"/>
    </row>
    <row r="286" spans="1:22" x14ac:dyDescent="0.2">
      <c r="A286" s="89">
        <f t="shared" si="11"/>
        <v>278</v>
      </c>
      <c r="B286" s="43">
        <v>8</v>
      </c>
      <c r="C286" s="43">
        <v>19</v>
      </c>
      <c r="D286" s="38" t="s">
        <v>450</v>
      </c>
      <c r="E286" s="44" t="s">
        <v>173</v>
      </c>
      <c r="F286" s="44" t="s">
        <v>31</v>
      </c>
      <c r="G286" s="44" t="s">
        <v>120</v>
      </c>
      <c r="H286" s="44" t="s">
        <v>35</v>
      </c>
      <c r="I286" s="44" t="s">
        <v>35</v>
      </c>
      <c r="J286" s="44" t="s">
        <v>11</v>
      </c>
      <c r="K286" s="44" t="s">
        <v>129</v>
      </c>
      <c r="L286" s="40">
        <v>1135</v>
      </c>
      <c r="M286" s="41">
        <v>41339</v>
      </c>
      <c r="N286" s="40" t="s">
        <v>122</v>
      </c>
      <c r="O286" s="42">
        <f t="shared" si="12"/>
        <v>42370</v>
      </c>
      <c r="P286" s="40">
        <v>25</v>
      </c>
      <c r="Q286" s="207">
        <f>'[3]JCPL LP_GSCSMS'!G15</f>
        <v>49.053240986471614</v>
      </c>
      <c r="R286" s="207">
        <f>'[3]JCPL LP_GSCSMS'!H15</f>
        <v>47.109392924254941</v>
      </c>
      <c r="S286" s="207">
        <f>'[3]JCPL LP_GSCSMS'!I15</f>
        <v>46.812838087448903</v>
      </c>
      <c r="T286" s="207">
        <f>'[3]JCPL LP_GSCSMS'!J15</f>
        <v>46.900030713738737</v>
      </c>
      <c r="U286" s="207">
        <f>'[3]JCPL LP_GSCSMS'!K15</f>
        <v>50.079661975513829</v>
      </c>
      <c r="V286" s="145"/>
    </row>
    <row r="287" spans="1:22" x14ac:dyDescent="0.2">
      <c r="A287" s="89">
        <f t="shared" si="11"/>
        <v>279</v>
      </c>
      <c r="B287" s="43">
        <v>8</v>
      </c>
      <c r="C287" s="43">
        <v>20</v>
      </c>
      <c r="D287" s="38" t="s">
        <v>451</v>
      </c>
      <c r="E287" s="44" t="s">
        <v>175</v>
      </c>
      <c r="F287" s="44" t="s">
        <v>6</v>
      </c>
      <c r="G287" s="44" t="s">
        <v>120</v>
      </c>
      <c r="H287" s="44" t="s">
        <v>176</v>
      </c>
      <c r="I287" s="44" t="s">
        <v>177</v>
      </c>
      <c r="J287" s="44" t="s">
        <v>9</v>
      </c>
      <c r="K287" s="44" t="s">
        <v>135</v>
      </c>
      <c r="L287" s="40">
        <v>1137</v>
      </c>
      <c r="M287" s="41">
        <v>41339</v>
      </c>
      <c r="N287" s="40" t="s">
        <v>122</v>
      </c>
      <c r="O287" s="42">
        <f t="shared" si="12"/>
        <v>42370</v>
      </c>
      <c r="P287" s="40">
        <v>25</v>
      </c>
      <c r="Q287" s="207">
        <f>'[3]MetEd RC_GSLFMS'!G15</f>
        <v>29.859777853765728</v>
      </c>
      <c r="R287" s="207">
        <f>'[3]MetEd RC_GSLFMS'!H15</f>
        <v>27.202994688032209</v>
      </c>
      <c r="S287" s="207">
        <f>'[3]MetEd RC_GSLFMS'!I15</f>
        <v>26.87652451348951</v>
      </c>
      <c r="T287" s="207">
        <f>'[3]MetEd RC_GSLFMS'!J15</f>
        <v>26.458110749774818</v>
      </c>
      <c r="U287" s="207">
        <f>'[3]MetEd RC_GSLFMS'!K15</f>
        <v>28.764531208248602</v>
      </c>
      <c r="V287" s="145"/>
    </row>
    <row r="288" spans="1:22" x14ac:dyDescent="0.2">
      <c r="A288" s="89">
        <f t="shared" si="11"/>
        <v>280</v>
      </c>
      <c r="B288" s="43">
        <v>8</v>
      </c>
      <c r="C288" s="43">
        <v>21</v>
      </c>
      <c r="D288" s="38" t="s">
        <v>452</v>
      </c>
      <c r="E288" s="44" t="s">
        <v>179</v>
      </c>
      <c r="F288" s="44" t="s">
        <v>6</v>
      </c>
      <c r="G288" s="44" t="s">
        <v>120</v>
      </c>
      <c r="H288" s="44" t="s">
        <v>176</v>
      </c>
      <c r="I288" s="44" t="s">
        <v>177</v>
      </c>
      <c r="J288" s="44" t="s">
        <v>10</v>
      </c>
      <c r="K288" s="44" t="s">
        <v>132</v>
      </c>
      <c r="L288" s="40">
        <v>1136</v>
      </c>
      <c r="M288" s="41">
        <v>41339</v>
      </c>
      <c r="N288" s="40" t="s">
        <v>122</v>
      </c>
      <c r="O288" s="42">
        <f t="shared" si="12"/>
        <v>42370</v>
      </c>
      <c r="P288" s="40">
        <v>25</v>
      </c>
      <c r="Q288" s="207">
        <f>'[3]MetEd RC_GSDFMS'!G15</f>
        <v>30.921975314694105</v>
      </c>
      <c r="R288" s="207">
        <f>'[3]MetEd RC_GSDFMS'!H15</f>
        <v>28.293994931896883</v>
      </c>
      <c r="S288" s="207">
        <f>'[3]MetEd RC_GSDFMS'!I15</f>
        <v>27.955293594168516</v>
      </c>
      <c r="T288" s="207">
        <f>'[3]MetEd RC_GSDFMS'!J15</f>
        <v>27.544196133202583</v>
      </c>
      <c r="U288" s="207">
        <f>'[3]MetEd RC_GSDFMS'!K15</f>
        <v>29.848029207598529</v>
      </c>
      <c r="V288" s="145"/>
    </row>
    <row r="289" spans="1:22" x14ac:dyDescent="0.2">
      <c r="A289" s="89">
        <f t="shared" si="11"/>
        <v>281</v>
      </c>
      <c r="B289" s="43">
        <v>8</v>
      </c>
      <c r="C289" s="43">
        <v>22</v>
      </c>
      <c r="D289" s="38" t="s">
        <v>453</v>
      </c>
      <c r="E289" s="44" t="s">
        <v>181</v>
      </c>
      <c r="F289" s="44" t="s">
        <v>6</v>
      </c>
      <c r="G289" s="44" t="s">
        <v>120</v>
      </c>
      <c r="H289" s="44" t="s">
        <v>176</v>
      </c>
      <c r="I289" s="44" t="s">
        <v>177</v>
      </c>
      <c r="J289" s="44" t="s">
        <v>11</v>
      </c>
      <c r="K289" s="44" t="s">
        <v>129</v>
      </c>
      <c r="L289" s="40">
        <v>1138</v>
      </c>
      <c r="M289" s="41">
        <v>41339</v>
      </c>
      <c r="N289" s="40" t="s">
        <v>122</v>
      </c>
      <c r="O289" s="42">
        <f t="shared" si="12"/>
        <v>42370</v>
      </c>
      <c r="P289" s="40">
        <v>25</v>
      </c>
      <c r="Q289" s="207">
        <f>'[3]MetEd RC_GSSFMS'!G15</f>
        <v>31.42171498128107</v>
      </c>
      <c r="R289" s="207">
        <f>'[3]MetEd RC_GSSFMS'!H15</f>
        <v>28.211193414132701</v>
      </c>
      <c r="S289" s="207">
        <f>'[3]MetEd RC_GSSFMS'!I15</f>
        <v>28.04387568428713</v>
      </c>
      <c r="T289" s="207">
        <f>'[3]MetEd RC_GSSFMS'!J15</f>
        <v>27.467129013566321</v>
      </c>
      <c r="U289" s="207">
        <f>'[3]MetEd RC_GSSFMS'!K15</f>
        <v>29.77356481344555</v>
      </c>
      <c r="V289" s="145"/>
    </row>
    <row r="290" spans="1:22" x14ac:dyDescent="0.2">
      <c r="A290" s="89">
        <f t="shared" si="11"/>
        <v>282</v>
      </c>
      <c r="B290" s="43">
        <v>8</v>
      </c>
      <c r="C290" s="43">
        <v>23</v>
      </c>
      <c r="D290" s="38" t="s">
        <v>454</v>
      </c>
      <c r="E290" s="44" t="s">
        <v>183</v>
      </c>
      <c r="F290" s="44" t="s">
        <v>6</v>
      </c>
      <c r="G290" s="44" t="s">
        <v>120</v>
      </c>
      <c r="H290" s="44" t="s">
        <v>13</v>
      </c>
      <c r="I290" s="44" t="s">
        <v>13</v>
      </c>
      <c r="J290" s="44" t="s">
        <v>7</v>
      </c>
      <c r="K290" s="44" t="s">
        <v>140</v>
      </c>
      <c r="L290" s="40">
        <v>1139</v>
      </c>
      <c r="M290" s="41">
        <v>41339</v>
      </c>
      <c r="N290" s="40" t="s">
        <v>122</v>
      </c>
      <c r="O290" s="42">
        <f t="shared" si="12"/>
        <v>42370</v>
      </c>
      <c r="P290" s="40">
        <v>25</v>
      </c>
      <c r="Q290" s="207">
        <f>'[3]PECO LP_GSMS'!G15</f>
        <v>33.729268436476275</v>
      </c>
      <c r="R290" s="207">
        <f>'[3]PECO LP_GSMS'!H15</f>
        <v>30.872206049645555</v>
      </c>
      <c r="S290" s="207">
        <f>'[3]PECO LP_GSMS'!I15</f>
        <v>30.590333512198491</v>
      </c>
      <c r="T290" s="207">
        <f>'[3]PECO LP_GSMS'!J15</f>
        <v>30.095933320950238</v>
      </c>
      <c r="U290" s="207">
        <f>'[3]PECO LP_GSMS'!K15</f>
        <v>32.696067080803523</v>
      </c>
      <c r="V290" s="145"/>
    </row>
    <row r="291" spans="1:22" x14ac:dyDescent="0.2">
      <c r="A291" s="89">
        <f t="shared" si="11"/>
        <v>283</v>
      </c>
      <c r="B291" s="43">
        <v>8</v>
      </c>
      <c r="C291" s="43">
        <v>24</v>
      </c>
      <c r="D291" s="38" t="s">
        <v>455</v>
      </c>
      <c r="E291" s="44" t="s">
        <v>185</v>
      </c>
      <c r="F291" s="44" t="s">
        <v>6</v>
      </c>
      <c r="G291" s="44" t="s">
        <v>120</v>
      </c>
      <c r="H291" s="44" t="s">
        <v>12</v>
      </c>
      <c r="I291" s="44" t="s">
        <v>186</v>
      </c>
      <c r="J291" s="44" t="s">
        <v>9</v>
      </c>
      <c r="K291" s="44" t="s">
        <v>135</v>
      </c>
      <c r="L291" s="40">
        <v>1140</v>
      </c>
      <c r="M291" s="41">
        <v>41339</v>
      </c>
      <c r="N291" s="40" t="s">
        <v>122</v>
      </c>
      <c r="O291" s="42">
        <f t="shared" si="12"/>
        <v>42370</v>
      </c>
      <c r="P291" s="40">
        <v>25</v>
      </c>
      <c r="Q291" s="207">
        <f>'[3]Penelec RC_GSLFMS'!G15</f>
        <v>31.630017441925137</v>
      </c>
      <c r="R291" s="207">
        <f>'[3]Penelec RC_GSLFMS'!H15</f>
        <v>29.47425494832876</v>
      </c>
      <c r="S291" s="207">
        <f>'[3]Penelec RC_GSLFMS'!I15</f>
        <v>29.129932154104988</v>
      </c>
      <c r="T291" s="207">
        <f>'[3]Penelec RC_GSLFMS'!J15</f>
        <v>28.88355791964144</v>
      </c>
      <c r="U291" s="207">
        <f>'[3]Penelec RC_GSLFMS'!K15</f>
        <v>31.376287438435273</v>
      </c>
      <c r="V291" s="145"/>
    </row>
    <row r="292" spans="1:22" x14ac:dyDescent="0.2">
      <c r="A292" s="89">
        <f t="shared" si="11"/>
        <v>284</v>
      </c>
      <c r="B292" s="43">
        <v>8</v>
      </c>
      <c r="C292" s="43">
        <v>25</v>
      </c>
      <c r="D292" s="38" t="s">
        <v>456</v>
      </c>
      <c r="E292" s="44" t="s">
        <v>188</v>
      </c>
      <c r="F292" s="44" t="s">
        <v>6</v>
      </c>
      <c r="G292" s="44" t="s">
        <v>120</v>
      </c>
      <c r="H292" s="44" t="s">
        <v>12</v>
      </c>
      <c r="I292" s="44" t="s">
        <v>186</v>
      </c>
      <c r="J292" s="44" t="s">
        <v>10</v>
      </c>
      <c r="K292" s="44" t="s">
        <v>132</v>
      </c>
      <c r="L292" s="40">
        <v>1141</v>
      </c>
      <c r="M292" s="41">
        <v>41339</v>
      </c>
      <c r="N292" s="40" t="s">
        <v>122</v>
      </c>
      <c r="O292" s="42">
        <f t="shared" si="12"/>
        <v>42370</v>
      </c>
      <c r="P292" s="40">
        <v>25</v>
      </c>
      <c r="Q292" s="207">
        <f>'[3]Penelec RC_GSMFMS'!G15</f>
        <v>32.735032049770837</v>
      </c>
      <c r="R292" s="207">
        <f>'[3]Penelec RC_GSMFMS'!H15</f>
        <v>30.590446302488822</v>
      </c>
      <c r="S292" s="207">
        <f>'[3]Penelec RC_GSMFMS'!I15</f>
        <v>30.238984712502123</v>
      </c>
      <c r="T292" s="207">
        <f>'[3]Penelec RC_GSMFMS'!J15</f>
        <v>29.992914592113561</v>
      </c>
      <c r="U292" s="207">
        <f>'[3]Penelec RC_GSMFMS'!K15</f>
        <v>32.484070320011064</v>
      </c>
      <c r="V292" s="145"/>
    </row>
    <row r="293" spans="1:22" x14ac:dyDescent="0.2">
      <c r="A293" s="89">
        <f t="shared" si="11"/>
        <v>285</v>
      </c>
      <c r="B293" s="43">
        <v>8</v>
      </c>
      <c r="C293" s="43">
        <v>26</v>
      </c>
      <c r="D293" s="38" t="s">
        <v>457</v>
      </c>
      <c r="E293" s="44" t="s">
        <v>190</v>
      </c>
      <c r="F293" s="44" t="s">
        <v>6</v>
      </c>
      <c r="G293" s="44" t="s">
        <v>120</v>
      </c>
      <c r="H293" s="44" t="s">
        <v>12</v>
      </c>
      <c r="I293" s="44" t="s">
        <v>186</v>
      </c>
      <c r="J293" s="44" t="s">
        <v>11</v>
      </c>
      <c r="K293" s="44" t="s">
        <v>129</v>
      </c>
      <c r="L293" s="40">
        <v>1142</v>
      </c>
      <c r="M293" s="41">
        <v>41339</v>
      </c>
      <c r="N293" s="40" t="s">
        <v>122</v>
      </c>
      <c r="O293" s="42">
        <f t="shared" si="12"/>
        <v>42370</v>
      </c>
      <c r="P293" s="40">
        <v>25</v>
      </c>
      <c r="Q293" s="207">
        <f>'[3]Penelec RC_GSSFMS'!G15</f>
        <v>31.770861981283836</v>
      </c>
      <c r="R293" s="207">
        <f>'[3]Penelec RC_GSSFMS'!H15</f>
        <v>30.577396163686092</v>
      </c>
      <c r="S293" s="207">
        <f>'[3]Penelec RC_GSSFMS'!I15</f>
        <v>29.973091849012459</v>
      </c>
      <c r="T293" s="207">
        <f>'[3]Penelec RC_GSSFMS'!J15</f>
        <v>29.96538837711303</v>
      </c>
      <c r="U293" s="207">
        <f>'[3]Penelec RC_GSSFMS'!K15</f>
        <v>32.4608684442182</v>
      </c>
      <c r="V293" s="145"/>
    </row>
    <row r="294" spans="1:22" x14ac:dyDescent="0.2">
      <c r="A294" s="89">
        <f t="shared" si="11"/>
        <v>286</v>
      </c>
      <c r="B294" s="43">
        <v>8</v>
      </c>
      <c r="C294" s="43">
        <v>27</v>
      </c>
      <c r="D294" s="38" t="s">
        <v>458</v>
      </c>
      <c r="E294" s="44" t="s">
        <v>192</v>
      </c>
      <c r="F294" s="44" t="s">
        <v>6</v>
      </c>
      <c r="G294" s="44" t="s">
        <v>120</v>
      </c>
      <c r="H294" s="44" t="s">
        <v>100</v>
      </c>
      <c r="I294" s="44" t="s">
        <v>193</v>
      </c>
      <c r="J294" s="44" t="s">
        <v>7</v>
      </c>
      <c r="K294" s="44" t="s">
        <v>140</v>
      </c>
      <c r="L294" s="40">
        <v>1143</v>
      </c>
      <c r="M294" s="41">
        <v>41339</v>
      </c>
      <c r="N294" s="40" t="s">
        <v>122</v>
      </c>
      <c r="O294" s="42">
        <f t="shared" si="12"/>
        <v>42370</v>
      </c>
      <c r="P294" s="40">
        <v>25</v>
      </c>
      <c r="Q294" s="207">
        <f>'[3]Penn Power RC_GMDMS'!G15</f>
        <v>48.593215922874016</v>
      </c>
      <c r="R294" s="207">
        <f>'[3]Penn Power RC_GMDMS'!H15</f>
        <v>39.997495595963535</v>
      </c>
      <c r="S294" s="207">
        <f>'[3]Penn Power RC_GMDMS'!I15</f>
        <v>37.253447282398234</v>
      </c>
      <c r="T294" s="207">
        <f>'[3]Penn Power RC_GMDMS'!J15</f>
        <v>36.654861951450606</v>
      </c>
      <c r="U294" s="207">
        <f>'[3]Penn Power RC_GMDMS'!K15</f>
        <v>39.692092463443629</v>
      </c>
      <c r="V294" s="145"/>
    </row>
    <row r="295" spans="1:22" x14ac:dyDescent="0.2">
      <c r="A295" s="89">
        <f t="shared" si="11"/>
        <v>287</v>
      </c>
      <c r="B295" s="43">
        <v>8</v>
      </c>
      <c r="C295" s="43">
        <v>28</v>
      </c>
      <c r="D295" s="38" t="s">
        <v>459</v>
      </c>
      <c r="E295" s="44" t="s">
        <v>195</v>
      </c>
      <c r="F295" s="44" t="s">
        <v>39</v>
      </c>
      <c r="G295" s="44" t="s">
        <v>120</v>
      </c>
      <c r="H295" s="44" t="s">
        <v>44</v>
      </c>
      <c r="I295" s="44" t="s">
        <v>44</v>
      </c>
      <c r="J295" s="44" t="s">
        <v>7</v>
      </c>
      <c r="K295" s="44" t="s">
        <v>140</v>
      </c>
      <c r="L295" s="40">
        <v>1144</v>
      </c>
      <c r="M295" s="41">
        <v>41339</v>
      </c>
      <c r="N295" s="40" t="s">
        <v>122</v>
      </c>
      <c r="O295" s="42">
        <f t="shared" si="12"/>
        <v>42370</v>
      </c>
      <c r="P295" s="40">
        <v>25</v>
      </c>
      <c r="Q295" s="207">
        <f>'[3]PEPCO MD LP_MDNDMS'!G15</f>
        <v>35.640930699531957</v>
      </c>
      <c r="R295" s="207">
        <f>'[3]PEPCO MD LP_MDNDMS'!H15</f>
        <v>33.547198064919336</v>
      </c>
      <c r="S295" s="207">
        <f>'[3]PEPCO MD LP_MDNDMS'!I15</f>
        <v>33.163401392266081</v>
      </c>
      <c r="T295" s="207">
        <f>'[3]PEPCO MD LP_MDNDMS'!J15</f>
        <v>32.94247487208991</v>
      </c>
      <c r="U295" s="207">
        <f>'[3]PEPCO MD LP_MDNDMS'!K15</f>
        <v>35.844006172659917</v>
      </c>
      <c r="V295" s="145"/>
    </row>
    <row r="296" spans="1:22" x14ac:dyDescent="0.2">
      <c r="A296" s="89">
        <f t="shared" si="11"/>
        <v>288</v>
      </c>
      <c r="B296" s="43">
        <v>8</v>
      </c>
      <c r="C296" s="43">
        <v>29</v>
      </c>
      <c r="D296" s="38" t="s">
        <v>460</v>
      </c>
      <c r="E296" s="44" t="s">
        <v>197</v>
      </c>
      <c r="F296" s="44" t="s">
        <v>39</v>
      </c>
      <c r="G296" s="44" t="s">
        <v>120</v>
      </c>
      <c r="H296" s="44" t="s">
        <v>44</v>
      </c>
      <c r="I296" s="44" t="s">
        <v>44</v>
      </c>
      <c r="J296" s="44" t="s">
        <v>45</v>
      </c>
      <c r="K296" s="44" t="s">
        <v>198</v>
      </c>
      <c r="L296" s="40">
        <v>1145</v>
      </c>
      <c r="M296" s="41">
        <v>41339</v>
      </c>
      <c r="N296" s="40" t="s">
        <v>122</v>
      </c>
      <c r="O296" s="42">
        <f t="shared" si="12"/>
        <v>42370</v>
      </c>
      <c r="P296" s="40">
        <v>25</v>
      </c>
      <c r="Q296" s="207">
        <f>'[3]PEPCO MD LP_MMGTL2AMS'!G15</f>
        <v>34.875472590594633</v>
      </c>
      <c r="R296" s="207">
        <f>'[3]PEPCO MD LP_MMGTL2AMS'!H15</f>
        <v>32.439668461687582</v>
      </c>
      <c r="S296" s="207">
        <f>'[3]PEPCO MD LP_MMGTL2AMS'!I15</f>
        <v>32.156228705856201</v>
      </c>
      <c r="T296" s="207">
        <f>'[3]PEPCO MD LP_MMGTL2AMS'!J15</f>
        <v>31.832094200877631</v>
      </c>
      <c r="U296" s="207">
        <f>'[3]PEPCO MD LP_MMGTL2AMS'!K15</f>
        <v>34.707822819440722</v>
      </c>
      <c r="V296" s="145"/>
    </row>
    <row r="297" spans="1:22" x14ac:dyDescent="0.2">
      <c r="A297" s="89">
        <f t="shared" si="11"/>
        <v>289</v>
      </c>
      <c r="B297" s="43">
        <v>8</v>
      </c>
      <c r="C297" s="43">
        <v>30</v>
      </c>
      <c r="D297" s="38" t="s">
        <v>461</v>
      </c>
      <c r="E297" s="44" t="s">
        <v>200</v>
      </c>
      <c r="F297" s="44" t="s">
        <v>39</v>
      </c>
      <c r="G297" s="44" t="s">
        <v>120</v>
      </c>
      <c r="H297" s="44" t="s">
        <v>44</v>
      </c>
      <c r="I297" s="44" t="s">
        <v>44</v>
      </c>
      <c r="J297" s="44" t="s">
        <v>46</v>
      </c>
      <c r="K297" s="44" t="s">
        <v>46</v>
      </c>
      <c r="L297" s="40">
        <v>1146</v>
      </c>
      <c r="M297" s="41">
        <v>41339</v>
      </c>
      <c r="N297" s="40" t="s">
        <v>122</v>
      </c>
      <c r="O297" s="42">
        <f t="shared" si="12"/>
        <v>42370</v>
      </c>
      <c r="P297" s="40">
        <v>25</v>
      </c>
      <c r="Q297" s="207">
        <f>'[3]PEPCO MD RC_3T7MS'!G15</f>
        <v>35.332396992259632</v>
      </c>
      <c r="R297" s="207">
        <f>'[3]PEPCO MD RC_3T7MS'!H15</f>
        <v>33.241770275478352</v>
      </c>
      <c r="S297" s="207">
        <f>'[3]PEPCO MD RC_3T7MS'!I15</f>
        <v>32.891729866752499</v>
      </c>
      <c r="T297" s="207">
        <f>'[3]PEPCO MD RC_3T7MS'!J15</f>
        <v>32.736967117006373</v>
      </c>
      <c r="U297" s="207">
        <f>'[3]PEPCO MD RC_3T7MS'!K15</f>
        <v>35.670288347396969</v>
      </c>
      <c r="V297" s="145"/>
    </row>
    <row r="298" spans="1:22" x14ac:dyDescent="0.2">
      <c r="A298" s="89">
        <f t="shared" si="11"/>
        <v>290</v>
      </c>
      <c r="B298" s="43">
        <v>8</v>
      </c>
      <c r="C298" s="43">
        <v>31</v>
      </c>
      <c r="D298" s="38" t="s">
        <v>462</v>
      </c>
      <c r="E298" s="44" t="s">
        <v>202</v>
      </c>
      <c r="F298" s="44" t="s">
        <v>39</v>
      </c>
      <c r="G298" s="44" t="s">
        <v>120</v>
      </c>
      <c r="H298" s="44" t="s">
        <v>47</v>
      </c>
      <c r="I298" s="44" t="s">
        <v>47</v>
      </c>
      <c r="J298" s="44" t="s">
        <v>7</v>
      </c>
      <c r="K298" s="44" t="s">
        <v>140</v>
      </c>
      <c r="L298" s="40">
        <v>1147</v>
      </c>
      <c r="M298" s="41">
        <v>41339</v>
      </c>
      <c r="N298" s="40" t="s">
        <v>122</v>
      </c>
      <c r="O298" s="42">
        <f t="shared" si="12"/>
        <v>42370</v>
      </c>
      <c r="P298" s="40">
        <v>25</v>
      </c>
      <c r="Q298" s="207">
        <f>'[3]Potomac Edison LP_GSCM_MMS'!G15</f>
        <v>30.333926690949223</v>
      </c>
      <c r="R298" s="207">
        <f>'[3]Potomac Edison LP_GSCM_MMS'!H15</f>
        <v>28.855333285123464</v>
      </c>
      <c r="S298" s="207">
        <f>'[3]Potomac Edison LP_GSCM_MMS'!I15</f>
        <v>27.832652998900151</v>
      </c>
      <c r="T298" s="207">
        <f>'[3]Potomac Edison LP_GSCM_MMS'!J15</f>
        <v>29.454044269656553</v>
      </c>
      <c r="U298" s="207">
        <f>'[3]Potomac Edison LP_GSCM_MMS'!K15</f>
        <v>31.368669564606918</v>
      </c>
      <c r="V298" s="145"/>
    </row>
    <row r="299" spans="1:22" x14ac:dyDescent="0.2">
      <c r="A299" s="89">
        <f t="shared" si="11"/>
        <v>291</v>
      </c>
      <c r="B299" s="43">
        <v>8</v>
      </c>
      <c r="C299" s="43">
        <v>32</v>
      </c>
      <c r="D299" s="38" t="s">
        <v>463</v>
      </c>
      <c r="E299" s="44" t="s">
        <v>204</v>
      </c>
      <c r="F299" s="44" t="s">
        <v>6</v>
      </c>
      <c r="G299" s="44" t="s">
        <v>120</v>
      </c>
      <c r="H299" s="44" t="s">
        <v>14</v>
      </c>
      <c r="I299" s="44" t="s">
        <v>14</v>
      </c>
      <c r="J299" s="44" t="s">
        <v>15</v>
      </c>
      <c r="K299" s="44" t="s">
        <v>129</v>
      </c>
      <c r="L299" s="40">
        <v>1148</v>
      </c>
      <c r="M299" s="41">
        <v>41339</v>
      </c>
      <c r="N299" s="40" t="s">
        <v>122</v>
      </c>
      <c r="O299" s="42">
        <f t="shared" si="12"/>
        <v>42370</v>
      </c>
      <c r="P299" s="40">
        <v>25</v>
      </c>
      <c r="Q299" s="207">
        <f>[3]PPL_RCGS1MS!G15</f>
        <v>38.576298316847897</v>
      </c>
      <c r="R299" s="207">
        <f>[3]PPL_RCGS1MS!H15</f>
        <v>36.359685302547618</v>
      </c>
      <c r="S299" s="207">
        <f>[3]PPL_RCGS1MS!I15</f>
        <v>35.906975976259957</v>
      </c>
      <c r="T299" s="207">
        <f>[3]PPL_RCGS1MS!J15</f>
        <v>35.534929371892716</v>
      </c>
      <c r="U299" s="207">
        <f>[3]PPL_RCGS1MS!K15</f>
        <v>37.805935640369434</v>
      </c>
      <c r="V299" s="145"/>
    </row>
    <row r="300" spans="1:22" x14ac:dyDescent="0.2">
      <c r="A300" s="89">
        <f t="shared" si="11"/>
        <v>292</v>
      </c>
      <c r="B300" s="43">
        <v>8</v>
      </c>
      <c r="C300" s="43">
        <v>33</v>
      </c>
      <c r="D300" s="38" t="s">
        <v>464</v>
      </c>
      <c r="E300" s="44" t="s">
        <v>206</v>
      </c>
      <c r="F300" s="44" t="s">
        <v>6</v>
      </c>
      <c r="G300" s="44" t="s">
        <v>120</v>
      </c>
      <c r="H300" s="44" t="s">
        <v>14</v>
      </c>
      <c r="I300" s="44" t="s">
        <v>14</v>
      </c>
      <c r="J300" s="44" t="s">
        <v>16</v>
      </c>
      <c r="K300" s="44" t="s">
        <v>135</v>
      </c>
      <c r="L300" s="40">
        <v>1149</v>
      </c>
      <c r="M300" s="41">
        <v>41339</v>
      </c>
      <c r="N300" s="40" t="s">
        <v>122</v>
      </c>
      <c r="O300" s="42">
        <f t="shared" si="12"/>
        <v>42370</v>
      </c>
      <c r="P300" s="40">
        <v>25</v>
      </c>
      <c r="Q300" s="207">
        <f>[3]PPL_RCGS3MS!G15</f>
        <v>38.837152970113785</v>
      </c>
      <c r="R300" s="207">
        <f>[3]PPL_RCGS3MS!H15</f>
        <v>36.41925827616592</v>
      </c>
      <c r="S300" s="207">
        <f>[3]PPL_RCGS3MS!I15</f>
        <v>36.015333844542234</v>
      </c>
      <c r="T300" s="207">
        <f>[3]PPL_RCGS3MS!J15</f>
        <v>35.610023303264228</v>
      </c>
      <c r="U300" s="207">
        <f>[3]PPL_RCGS3MS!K15</f>
        <v>37.882881465659089</v>
      </c>
      <c r="V300" s="145"/>
    </row>
    <row r="301" spans="1:22" x14ac:dyDescent="0.2">
      <c r="A301" s="89">
        <f t="shared" si="11"/>
        <v>293</v>
      </c>
      <c r="B301" s="43">
        <v>8</v>
      </c>
      <c r="C301" s="43">
        <v>34</v>
      </c>
      <c r="D301" s="38" t="s">
        <v>465</v>
      </c>
      <c r="E301" s="44" t="s">
        <v>208</v>
      </c>
      <c r="F301" s="44" t="s">
        <v>31</v>
      </c>
      <c r="G301" s="44" t="s">
        <v>120</v>
      </c>
      <c r="H301" s="44" t="s">
        <v>36</v>
      </c>
      <c r="I301" s="44" t="s">
        <v>36</v>
      </c>
      <c r="J301" s="44" t="s">
        <v>37</v>
      </c>
      <c r="K301" s="44" t="s">
        <v>209</v>
      </c>
      <c r="L301" s="40">
        <v>1150</v>
      </c>
      <c r="M301" s="41">
        <v>41339</v>
      </c>
      <c r="N301" s="40" t="s">
        <v>122</v>
      </c>
      <c r="O301" s="42">
        <f t="shared" si="12"/>
        <v>42370</v>
      </c>
      <c r="P301" s="40">
        <v>25</v>
      </c>
      <c r="Q301" s="207">
        <f>'[3]PSEG LP_GLP_MMS'!G15</f>
        <v>63.279785087424692</v>
      </c>
      <c r="R301" s="207">
        <f>'[3]PSEG LP_GLP_MMS'!H15</f>
        <v>62.870627632825304</v>
      </c>
      <c r="S301" s="207">
        <f>'[3]PSEG LP_GLP_MMS'!I15</f>
        <v>63.787050702938004</v>
      </c>
      <c r="T301" s="207">
        <f>'[3]PSEG LP_GLP_MMS'!J15</f>
        <v>63.743963295370456</v>
      </c>
      <c r="U301" s="207">
        <f>'[3]PSEG LP_GLP_MMS'!K15</f>
        <v>65.803989326526363</v>
      </c>
      <c r="V301" s="145"/>
    </row>
    <row r="302" spans="1:22" x14ac:dyDescent="0.2">
      <c r="A302" s="89">
        <f t="shared" si="11"/>
        <v>294</v>
      </c>
      <c r="B302" s="43">
        <v>8</v>
      </c>
      <c r="C302" s="43">
        <v>35</v>
      </c>
      <c r="D302" s="38" t="s">
        <v>466</v>
      </c>
      <c r="E302" s="44" t="s">
        <v>211</v>
      </c>
      <c r="F302" s="44" t="s">
        <v>31</v>
      </c>
      <c r="G302" s="44" t="s">
        <v>120</v>
      </c>
      <c r="H302" s="44" t="s">
        <v>36</v>
      </c>
      <c r="I302" s="44" t="s">
        <v>36</v>
      </c>
      <c r="J302" s="44" t="s">
        <v>38</v>
      </c>
      <c r="K302" s="44" t="s">
        <v>212</v>
      </c>
      <c r="L302" s="40">
        <v>1151</v>
      </c>
      <c r="M302" s="41">
        <v>41339</v>
      </c>
      <c r="N302" s="40" t="s">
        <v>122</v>
      </c>
      <c r="O302" s="42">
        <f t="shared" si="12"/>
        <v>42370</v>
      </c>
      <c r="P302" s="40">
        <v>25</v>
      </c>
      <c r="Q302" s="207">
        <f>'[3]PSEG LP_LPLMS'!G15</f>
        <v>62.079754361499027</v>
      </c>
      <c r="R302" s="207">
        <f>'[3]PSEG LP_LPLMS'!H15</f>
        <v>62.096910735466523</v>
      </c>
      <c r="S302" s="207">
        <f>'[3]PSEG LP_LPLMS'!I15</f>
        <v>62.892361483208852</v>
      </c>
      <c r="T302" s="207">
        <f>'[3]PSEG LP_LPLMS'!J15</f>
        <v>62.904663367381026</v>
      </c>
      <c r="U302" s="207">
        <f>'[3]PSEG LP_LPLMS'!K15</f>
        <v>64.953182291240324</v>
      </c>
      <c r="V302" s="145"/>
    </row>
    <row r="303" spans="1:22" x14ac:dyDescent="0.2">
      <c r="A303" s="89">
        <f t="shared" si="11"/>
        <v>295</v>
      </c>
      <c r="B303" s="43">
        <v>8</v>
      </c>
      <c r="C303" s="43">
        <v>36</v>
      </c>
      <c r="D303" s="38" t="s">
        <v>467</v>
      </c>
      <c r="E303" s="44" t="s">
        <v>214</v>
      </c>
      <c r="F303" s="44" t="s">
        <v>6</v>
      </c>
      <c r="G303" s="44" t="s">
        <v>120</v>
      </c>
      <c r="H303" s="44" t="s">
        <v>17</v>
      </c>
      <c r="I303" s="44" t="s">
        <v>215</v>
      </c>
      <c r="J303" s="44" t="s">
        <v>18</v>
      </c>
      <c r="K303" s="44" t="s">
        <v>140</v>
      </c>
      <c r="L303" s="40">
        <v>1152</v>
      </c>
      <c r="M303" s="41">
        <v>41339</v>
      </c>
      <c r="N303" s="40" t="s">
        <v>122</v>
      </c>
      <c r="O303" s="42">
        <f t="shared" si="12"/>
        <v>42370</v>
      </c>
      <c r="P303" s="40">
        <v>25</v>
      </c>
      <c r="Q303" s="207">
        <f>'[3]West Penn Power LP_GSCMMS'!G15</f>
        <v>32.005628903369939</v>
      </c>
      <c r="R303" s="207">
        <f>'[3]West Penn Power LP_GSCMMS'!H15</f>
        <v>28.578982258206146</v>
      </c>
      <c r="S303" s="207">
        <f>'[3]West Penn Power LP_GSCMMS'!I15</f>
        <v>28.030005077088827</v>
      </c>
      <c r="T303" s="207">
        <f>'[3]West Penn Power LP_GSCMMS'!J15</f>
        <v>29.138251843369691</v>
      </c>
      <c r="U303" s="207">
        <f>'[3]West Penn Power LP_GSCMMS'!K15</f>
        <v>30.76535609521591</v>
      </c>
      <c r="V303" s="145"/>
    </row>
    <row r="304" spans="1:22" x14ac:dyDescent="0.2">
      <c r="A304" s="89">
        <f t="shared" si="11"/>
        <v>296</v>
      </c>
      <c r="B304" s="20"/>
      <c r="C304" s="20"/>
      <c r="D304" s="20"/>
      <c r="Q304" s="208"/>
      <c r="R304" s="208"/>
      <c r="S304" s="208"/>
      <c r="T304" s="208"/>
      <c r="U304" s="208"/>
    </row>
    <row r="305" spans="1:22" x14ac:dyDescent="0.2">
      <c r="A305" s="89">
        <f t="shared" si="11"/>
        <v>297</v>
      </c>
      <c r="B305" s="43">
        <v>9</v>
      </c>
      <c r="C305" s="43">
        <v>1</v>
      </c>
      <c r="D305" s="38" t="s">
        <v>468</v>
      </c>
      <c r="E305" s="44" t="s">
        <v>119</v>
      </c>
      <c r="F305" s="44" t="s">
        <v>31</v>
      </c>
      <c r="G305" s="44" t="s">
        <v>120</v>
      </c>
      <c r="H305" s="44" t="s">
        <v>32</v>
      </c>
      <c r="I305" s="44" t="s">
        <v>32</v>
      </c>
      <c r="J305" s="44" t="s">
        <v>33</v>
      </c>
      <c r="K305" s="44" t="s">
        <v>121</v>
      </c>
      <c r="L305" s="40">
        <v>1117</v>
      </c>
      <c r="M305" s="41">
        <v>41339</v>
      </c>
      <c r="N305" s="40" t="s">
        <v>122</v>
      </c>
      <c r="O305" s="42">
        <f>EDATE(O268,1)</f>
        <v>42401</v>
      </c>
      <c r="P305" s="40">
        <v>26</v>
      </c>
      <c r="Q305" s="207">
        <f>'[3]AECO LP_10V1_SMS'!G16</f>
        <v>49.643649362522808</v>
      </c>
      <c r="R305" s="207">
        <f>'[3]AECO LP_10V1_SMS'!H16</f>
        <v>48.512621212488213</v>
      </c>
      <c r="S305" s="207">
        <f>'[3]AECO LP_10V1_SMS'!I16</f>
        <v>48.139511113005952</v>
      </c>
      <c r="T305" s="207">
        <f>'[3]AECO LP_10V1_SMS'!J16</f>
        <v>48.08034132643418</v>
      </c>
      <c r="U305" s="207">
        <f>'[3]AECO LP_10V1_SMS'!K16</f>
        <v>51.052930488638189</v>
      </c>
      <c r="V305" s="145"/>
    </row>
    <row r="306" spans="1:22" x14ac:dyDescent="0.2">
      <c r="A306" s="89">
        <f t="shared" si="11"/>
        <v>298</v>
      </c>
      <c r="B306" s="43">
        <v>9</v>
      </c>
      <c r="C306" s="43">
        <v>2</v>
      </c>
      <c r="D306" s="38" t="s">
        <v>469</v>
      </c>
      <c r="E306" s="44" t="s">
        <v>124</v>
      </c>
      <c r="F306" s="44" t="s">
        <v>31</v>
      </c>
      <c r="G306" s="44" t="s">
        <v>120</v>
      </c>
      <c r="H306" s="44" t="s">
        <v>32</v>
      </c>
      <c r="I306" s="44" t="s">
        <v>32</v>
      </c>
      <c r="J306" s="44" t="s">
        <v>34</v>
      </c>
      <c r="K306" s="44" t="s">
        <v>125</v>
      </c>
      <c r="L306" s="40">
        <v>1118</v>
      </c>
      <c r="M306" s="41">
        <v>41339</v>
      </c>
      <c r="N306" s="40" t="s">
        <v>122</v>
      </c>
      <c r="O306" s="42">
        <f>O305</f>
        <v>42401</v>
      </c>
      <c r="P306" s="40">
        <v>26</v>
      </c>
      <c r="Q306" s="207">
        <f>'[3]AECO LP_14V1_MMS'!G16</f>
        <v>49.686959473079895</v>
      </c>
      <c r="R306" s="207">
        <f>'[3]AECO LP_14V1_MMS'!H16</f>
        <v>48.400376663122344</v>
      </c>
      <c r="S306" s="207">
        <f>'[3]AECO LP_14V1_MMS'!I16</f>
        <v>48.096603120806705</v>
      </c>
      <c r="T306" s="207">
        <f>'[3]AECO LP_14V1_MMS'!J16</f>
        <v>47.843419308849654</v>
      </c>
      <c r="U306" s="207">
        <f>'[3]AECO LP_14V1_MMS'!K16</f>
        <v>49.528883293082735</v>
      </c>
      <c r="V306" s="145"/>
    </row>
    <row r="307" spans="1:22" x14ac:dyDescent="0.2">
      <c r="A307" s="89">
        <f t="shared" si="11"/>
        <v>299</v>
      </c>
      <c r="B307" s="43">
        <v>9</v>
      </c>
      <c r="C307" s="43">
        <v>3</v>
      </c>
      <c r="D307" s="38" t="s">
        <v>470</v>
      </c>
      <c r="E307" s="44" t="s">
        <v>127</v>
      </c>
      <c r="F307" s="44" t="s">
        <v>20</v>
      </c>
      <c r="G307" s="44" t="s">
        <v>120</v>
      </c>
      <c r="H307" s="44" t="s">
        <v>63</v>
      </c>
      <c r="I307" s="44" t="s">
        <v>128</v>
      </c>
      <c r="J307" s="44" t="s">
        <v>15</v>
      </c>
      <c r="K307" s="44" t="s">
        <v>129</v>
      </c>
      <c r="L307" s="40">
        <v>1119</v>
      </c>
      <c r="M307" s="41">
        <v>41339</v>
      </c>
      <c r="N307" s="40" t="s">
        <v>122</v>
      </c>
      <c r="O307" s="42">
        <f t="shared" ref="O307:O340" si="13">O306</f>
        <v>42401</v>
      </c>
      <c r="P307" s="40">
        <v>26</v>
      </c>
      <c r="Q307" s="207">
        <f>'[3]AEP_OH_CS - test CSGS1MS'!G16</f>
        <v>21.140017690524136</v>
      </c>
      <c r="R307" s="207">
        <f>'[3]AEP_OH_CS - test CSGS1MS'!H16</f>
        <v>18.058574794053879</v>
      </c>
      <c r="S307" s="207">
        <f>'[3]AEP_OH_CS - test CSGS1MS'!I16</f>
        <v>18.048986537602531</v>
      </c>
      <c r="T307" s="207">
        <f>'[3]AEP_OH_CS - test CSGS1MS'!J16</f>
        <v>18.991612031518812</v>
      </c>
      <c r="U307" s="207">
        <f>'[3]AEP_OH_CS - test CSGS1MS'!K16</f>
        <v>20.722439514811835</v>
      </c>
      <c r="V307" s="145"/>
    </row>
    <row r="308" spans="1:22" x14ac:dyDescent="0.2">
      <c r="A308" s="89">
        <f t="shared" si="11"/>
        <v>300</v>
      </c>
      <c r="B308" s="43">
        <v>9</v>
      </c>
      <c r="C308" s="43">
        <v>4</v>
      </c>
      <c r="D308" s="38" t="s">
        <v>471</v>
      </c>
      <c r="E308" s="44" t="s">
        <v>131</v>
      </c>
      <c r="F308" s="44" t="s">
        <v>20</v>
      </c>
      <c r="G308" s="44" t="s">
        <v>120</v>
      </c>
      <c r="H308" s="44" t="s">
        <v>63</v>
      </c>
      <c r="I308" s="44" t="s">
        <v>128</v>
      </c>
      <c r="J308" s="44" t="s">
        <v>21</v>
      </c>
      <c r="K308" s="44" t="s">
        <v>132</v>
      </c>
      <c r="L308" s="40">
        <v>1120</v>
      </c>
      <c r="M308" s="41">
        <v>41339</v>
      </c>
      <c r="N308" s="40" t="s">
        <v>122</v>
      </c>
      <c r="O308" s="42">
        <f t="shared" si="13"/>
        <v>42401</v>
      </c>
      <c r="P308" s="40">
        <v>26</v>
      </c>
      <c r="Q308" s="207">
        <f>'[3]AEP_OH_CS - test CSGS2UMS'!G16</f>
        <v>20.486683924014365</v>
      </c>
      <c r="R308" s="207">
        <f>'[3]AEP_OH_CS - test CSGS2UMS'!H16</f>
        <v>18.147602810295208</v>
      </c>
      <c r="S308" s="207">
        <f>'[3]AEP_OH_CS - test CSGS2UMS'!I16</f>
        <v>17.958125507667368</v>
      </c>
      <c r="T308" s="207">
        <f>'[3]AEP_OH_CS - test CSGS2UMS'!J16</f>
        <v>19.072630793465976</v>
      </c>
      <c r="U308" s="207">
        <f>'[3]AEP_OH_CS - test CSGS2UMS'!K16</f>
        <v>20.804750390839388</v>
      </c>
      <c r="V308" s="145"/>
    </row>
    <row r="309" spans="1:22" x14ac:dyDescent="0.2">
      <c r="A309" s="89">
        <f t="shared" si="11"/>
        <v>301</v>
      </c>
      <c r="B309" s="43">
        <v>9</v>
      </c>
      <c r="C309" s="43">
        <v>5</v>
      </c>
      <c r="D309" s="38" t="s">
        <v>472</v>
      </c>
      <c r="E309" s="44" t="s">
        <v>134</v>
      </c>
      <c r="F309" s="44" t="s">
        <v>20</v>
      </c>
      <c r="G309" s="44" t="s">
        <v>120</v>
      </c>
      <c r="H309" s="44" t="s">
        <v>63</v>
      </c>
      <c r="I309" s="44" t="s">
        <v>128</v>
      </c>
      <c r="J309" s="44" t="s">
        <v>16</v>
      </c>
      <c r="K309" s="44" t="s">
        <v>135</v>
      </c>
      <c r="L309" s="40">
        <v>1121</v>
      </c>
      <c r="M309" s="41">
        <v>41339</v>
      </c>
      <c r="N309" s="40" t="s">
        <v>122</v>
      </c>
      <c r="O309" s="42">
        <f t="shared" si="13"/>
        <v>42401</v>
      </c>
      <c r="P309" s="40">
        <v>26</v>
      </c>
      <c r="Q309" s="207">
        <f>'[3]AEP_OH_CS - test CSGS3UMS'!G16</f>
        <v>20.554898959031839</v>
      </c>
      <c r="R309" s="207">
        <f>'[3]AEP_OH_CS - test CSGS3UMS'!H16</f>
        <v>18.081309788822256</v>
      </c>
      <c r="S309" s="207">
        <f>'[3]AEP_OH_CS - test CSGS3UMS'!I16</f>
        <v>17.922974714592204</v>
      </c>
      <c r="T309" s="207">
        <f>'[3]AEP_OH_CS - test CSGS3UMS'!J16</f>
        <v>19.004062199066482</v>
      </c>
      <c r="U309" s="207">
        <f>'[3]AEP_OH_CS - test CSGS3UMS'!K16</f>
        <v>20.731855355655654</v>
      </c>
      <c r="V309" s="145"/>
    </row>
    <row r="310" spans="1:22" x14ac:dyDescent="0.2">
      <c r="A310" s="89">
        <f t="shared" si="11"/>
        <v>302</v>
      </c>
      <c r="B310" s="43">
        <v>9</v>
      </c>
      <c r="C310" s="43">
        <v>6</v>
      </c>
      <c r="D310" s="38" t="s">
        <v>473</v>
      </c>
      <c r="E310" s="44" t="s">
        <v>137</v>
      </c>
      <c r="F310" s="44" t="s">
        <v>25</v>
      </c>
      <c r="G310" s="44" t="s">
        <v>138</v>
      </c>
      <c r="H310" s="44" t="s">
        <v>139</v>
      </c>
      <c r="I310" s="44" t="s">
        <v>29</v>
      </c>
      <c r="J310" s="44" t="s">
        <v>30</v>
      </c>
      <c r="K310" s="44" t="s">
        <v>140</v>
      </c>
      <c r="L310" s="40">
        <v>1122</v>
      </c>
      <c r="M310" s="41">
        <v>41339</v>
      </c>
      <c r="N310" s="40" t="s">
        <v>122</v>
      </c>
      <c r="O310" s="42">
        <f t="shared" si="13"/>
        <v>42401</v>
      </c>
      <c r="P310" s="40">
        <v>26</v>
      </c>
      <c r="Q310" s="207">
        <f>'[3]Ameren RateZnIII LP DS2HHMS'!G16</f>
        <v>32.631717523129126</v>
      </c>
      <c r="R310" s="207">
        <f>'[3]Ameren RateZnIII LP DS2HHMS'!H16</f>
        <v>34.131945601416966</v>
      </c>
      <c r="S310" s="207">
        <f>'[3]Ameren RateZnIII LP DS2HHMS'!I16</f>
        <v>34.559610352504784</v>
      </c>
      <c r="T310" s="207">
        <f>'[3]Ameren RateZnIII LP DS2HHMS'!J16</f>
        <v>35.179241790943969</v>
      </c>
      <c r="U310" s="207">
        <f>'[3]Ameren RateZnIII LP DS2HHMS'!K16</f>
        <v>36.240485334917778</v>
      </c>
      <c r="V310" s="145"/>
    </row>
    <row r="311" spans="1:22" x14ac:dyDescent="0.2">
      <c r="A311" s="89">
        <f t="shared" si="11"/>
        <v>303</v>
      </c>
      <c r="B311" s="43">
        <v>9</v>
      </c>
      <c r="C311" s="43">
        <v>7</v>
      </c>
      <c r="D311" s="38" t="s">
        <v>474</v>
      </c>
      <c r="E311" s="44" t="s">
        <v>142</v>
      </c>
      <c r="F311" s="44" t="s">
        <v>39</v>
      </c>
      <c r="G311" s="44" t="s">
        <v>120</v>
      </c>
      <c r="H311" s="44" t="s">
        <v>40</v>
      </c>
      <c r="I311" s="44" t="s">
        <v>40</v>
      </c>
      <c r="J311" s="44" t="s">
        <v>42</v>
      </c>
      <c r="K311" s="44" t="s">
        <v>135</v>
      </c>
      <c r="L311" s="40">
        <v>1124</v>
      </c>
      <c r="M311" s="41">
        <v>41339</v>
      </c>
      <c r="N311" s="40" t="s">
        <v>122</v>
      </c>
      <c r="O311" s="42">
        <f t="shared" si="13"/>
        <v>42401</v>
      </c>
      <c r="P311" s="40">
        <v>26</v>
      </c>
      <c r="Q311" s="207">
        <f>'[3]BGE LP_GLMS'!G16</f>
        <v>35.269613607319179</v>
      </c>
      <c r="R311" s="207">
        <f>'[3]BGE LP_GLMS'!H16</f>
        <v>33.271088041125495</v>
      </c>
      <c r="S311" s="207">
        <f>'[3]BGE LP_GLMS'!I16</f>
        <v>33.031841367584825</v>
      </c>
      <c r="T311" s="207">
        <f>'[3]BGE LP_GLMS'!J16</f>
        <v>32.763437404154558</v>
      </c>
      <c r="U311" s="207">
        <f>'[3]BGE LP_GLMS'!K16</f>
        <v>35.69595859947276</v>
      </c>
      <c r="V311" s="145"/>
    </row>
    <row r="312" spans="1:22" x14ac:dyDescent="0.2">
      <c r="A312" s="89">
        <f t="shared" si="11"/>
        <v>304</v>
      </c>
      <c r="B312" s="43">
        <v>9</v>
      </c>
      <c r="C312" s="43">
        <v>8</v>
      </c>
      <c r="D312" s="38" t="s">
        <v>475</v>
      </c>
      <c r="E312" s="44" t="s">
        <v>144</v>
      </c>
      <c r="F312" s="44" t="s">
        <v>39</v>
      </c>
      <c r="G312" s="44" t="s">
        <v>120</v>
      </c>
      <c r="H312" s="44" t="s">
        <v>40</v>
      </c>
      <c r="I312" s="44" t="s">
        <v>40</v>
      </c>
      <c r="J312" s="44" t="s">
        <v>41</v>
      </c>
      <c r="K312" s="44" t="s">
        <v>132</v>
      </c>
      <c r="L312" s="40">
        <v>1123</v>
      </c>
      <c r="M312" s="41">
        <v>41339</v>
      </c>
      <c r="N312" s="40" t="s">
        <v>122</v>
      </c>
      <c r="O312" s="42">
        <f t="shared" si="13"/>
        <v>42401</v>
      </c>
      <c r="P312" s="40">
        <v>26</v>
      </c>
      <c r="Q312" s="207">
        <f>'[3]BGE LP_GMS'!G16</f>
        <v>35.077095987059302</v>
      </c>
      <c r="R312" s="207">
        <f>'[3]BGE LP_GMS'!H16</f>
        <v>33.326394008562652</v>
      </c>
      <c r="S312" s="207">
        <f>'[3]BGE LP_GMS'!I16</f>
        <v>33.021305121959131</v>
      </c>
      <c r="T312" s="207">
        <f>'[3]BGE LP_GMS'!J16</f>
        <v>32.886889511186382</v>
      </c>
      <c r="U312" s="207">
        <f>'[3]BGE LP_GMS'!K16</f>
        <v>35.849127132244867</v>
      </c>
      <c r="V312" s="145"/>
    </row>
    <row r="313" spans="1:22" x14ac:dyDescent="0.2">
      <c r="A313" s="89">
        <f t="shared" si="11"/>
        <v>305</v>
      </c>
      <c r="B313" s="43">
        <v>9</v>
      </c>
      <c r="C313" s="43">
        <v>9</v>
      </c>
      <c r="D313" s="38" t="s">
        <v>476</v>
      </c>
      <c r="E313" s="44" t="s">
        <v>146</v>
      </c>
      <c r="F313" s="44" t="s">
        <v>39</v>
      </c>
      <c r="G313" s="44" t="s">
        <v>120</v>
      </c>
      <c r="H313" s="44" t="s">
        <v>40</v>
      </c>
      <c r="I313" s="44" t="s">
        <v>40</v>
      </c>
      <c r="J313" s="44" t="s">
        <v>7</v>
      </c>
      <c r="K313" s="44" t="s">
        <v>129</v>
      </c>
      <c r="L313" s="40">
        <v>1125</v>
      </c>
      <c r="M313" s="41">
        <v>41339</v>
      </c>
      <c r="N313" s="40" t="s">
        <v>122</v>
      </c>
      <c r="O313" s="42">
        <f t="shared" si="13"/>
        <v>42401</v>
      </c>
      <c r="P313" s="40">
        <v>26</v>
      </c>
      <c r="Q313" s="207">
        <f>'[3]BGE LP_GSMS'!G16</f>
        <v>36.392802987894868</v>
      </c>
      <c r="R313" s="207">
        <f>'[3]BGE LP_GSMS'!H16</f>
        <v>34.274608735164961</v>
      </c>
      <c r="S313" s="207">
        <f>'[3]BGE LP_GSMS'!I16</f>
        <v>34.074505905609506</v>
      </c>
      <c r="T313" s="207">
        <f>'[3]BGE LP_GSMS'!J16</f>
        <v>33.717835252793954</v>
      </c>
      <c r="U313" s="207">
        <f>'[3]BGE LP_GSMS'!K16</f>
        <v>36.633659971979021</v>
      </c>
      <c r="V313" s="145"/>
    </row>
    <row r="314" spans="1:22" x14ac:dyDescent="0.2">
      <c r="A314" s="89">
        <f t="shared" si="11"/>
        <v>306</v>
      </c>
      <c r="B314" s="43">
        <v>9</v>
      </c>
      <c r="C314" s="43">
        <v>10</v>
      </c>
      <c r="D314" s="38" t="s">
        <v>477</v>
      </c>
      <c r="E314" s="44" t="s">
        <v>148</v>
      </c>
      <c r="F314" s="44" t="s">
        <v>25</v>
      </c>
      <c r="G314" s="44" t="s">
        <v>120</v>
      </c>
      <c r="H314" s="44" t="s">
        <v>149</v>
      </c>
      <c r="I314" s="44" t="s">
        <v>26</v>
      </c>
      <c r="J314" s="44" t="s">
        <v>27</v>
      </c>
      <c r="K314" s="44" t="s">
        <v>150</v>
      </c>
      <c r="L314" s="40">
        <v>1126</v>
      </c>
      <c r="M314" s="41">
        <v>41339</v>
      </c>
      <c r="N314" s="40" t="s">
        <v>122</v>
      </c>
      <c r="O314" s="42">
        <f t="shared" si="13"/>
        <v>42401</v>
      </c>
      <c r="P314" s="40">
        <v>26</v>
      </c>
      <c r="Q314" s="207">
        <f>'[3]ComEd - test LP_28MS'!G16</f>
        <v>28.703903774788117</v>
      </c>
      <c r="R314" s="207">
        <f>'[3]ComEd - test LP_28MS'!H16</f>
        <v>26.041247066787186</v>
      </c>
      <c r="S314" s="207">
        <f>'[3]ComEd - test LP_28MS'!I16</f>
        <v>26.03289080195049</v>
      </c>
      <c r="T314" s="207">
        <f>'[3]ComEd - test LP_28MS'!J16</f>
        <v>27.150845806723826</v>
      </c>
      <c r="U314" s="207">
        <f>'[3]ComEd - test LP_28MS'!K16</f>
        <v>28.770062718391319</v>
      </c>
      <c r="V314" s="145"/>
    </row>
    <row r="315" spans="1:22" x14ac:dyDescent="0.2">
      <c r="A315" s="89">
        <f t="shared" si="11"/>
        <v>307</v>
      </c>
      <c r="B315" s="43">
        <v>9</v>
      </c>
      <c r="C315" s="43">
        <v>11</v>
      </c>
      <c r="D315" s="38" t="s">
        <v>478</v>
      </c>
      <c r="E315" s="44" t="s">
        <v>152</v>
      </c>
      <c r="F315" s="44" t="s">
        <v>25</v>
      </c>
      <c r="G315" s="44" t="s">
        <v>120</v>
      </c>
      <c r="H315" s="44" t="s">
        <v>149</v>
      </c>
      <c r="I315" s="44" t="s">
        <v>26</v>
      </c>
      <c r="J315" s="44" t="s">
        <v>28</v>
      </c>
      <c r="K315" s="44" t="s">
        <v>153</v>
      </c>
      <c r="L315" s="40">
        <v>1127</v>
      </c>
      <c r="M315" s="41">
        <v>41339</v>
      </c>
      <c r="N315" s="40" t="s">
        <v>122</v>
      </c>
      <c r="O315" s="42">
        <f t="shared" si="13"/>
        <v>42401</v>
      </c>
      <c r="P315" s="40">
        <v>26</v>
      </c>
      <c r="Q315" s="207">
        <f>'[3]ComEd - test LP_29MS'!G16</f>
        <v>27.863786737820927</v>
      </c>
      <c r="R315" s="207">
        <f>'[3]ComEd - test LP_29MS'!H16</f>
        <v>25.135459102044475</v>
      </c>
      <c r="S315" s="207">
        <f>'[3]ComEd - test LP_29MS'!I16</f>
        <v>25.146436623121339</v>
      </c>
      <c r="T315" s="207">
        <f>'[3]ComEd - test LP_29MS'!J16</f>
        <v>26.245053040468612</v>
      </c>
      <c r="U315" s="207">
        <f>'[3]ComEd - test LP_29MS'!K16</f>
        <v>27.867684868010436</v>
      </c>
      <c r="V315" s="145"/>
    </row>
    <row r="316" spans="1:22" x14ac:dyDescent="0.2">
      <c r="A316" s="89">
        <f t="shared" si="11"/>
        <v>308</v>
      </c>
      <c r="B316" s="43">
        <v>9</v>
      </c>
      <c r="C316" s="43">
        <v>12</v>
      </c>
      <c r="D316" s="38" t="s">
        <v>479</v>
      </c>
      <c r="E316" s="44" t="s">
        <v>155</v>
      </c>
      <c r="F316" s="44" t="s">
        <v>20</v>
      </c>
      <c r="G316" s="44" t="s">
        <v>120</v>
      </c>
      <c r="H316" s="44" t="s">
        <v>105</v>
      </c>
      <c r="I316" s="44" t="s">
        <v>156</v>
      </c>
      <c r="J316" s="44" t="s">
        <v>22</v>
      </c>
      <c r="K316" s="44" t="s">
        <v>157</v>
      </c>
      <c r="L316" s="40">
        <v>1128</v>
      </c>
      <c r="M316" s="41">
        <v>41339</v>
      </c>
      <c r="N316" s="40" t="s">
        <v>122</v>
      </c>
      <c r="O316" s="42">
        <f t="shared" si="13"/>
        <v>42401</v>
      </c>
      <c r="P316" s="40">
        <v>26</v>
      </c>
      <c r="Q316" s="207">
        <f>[3]DAY_RC_843MS!G16</f>
        <v>19.997875552514564</v>
      </c>
      <c r="R316" s="207">
        <f>[3]DAY_RC_843MS!H16</f>
        <v>17.023179510376213</v>
      </c>
      <c r="S316" s="207">
        <f>[3]DAY_RC_843MS!I16</f>
        <v>16.998475272403617</v>
      </c>
      <c r="T316" s="207">
        <f>[3]DAY_RC_843MS!J16</f>
        <v>17.985189586664067</v>
      </c>
      <c r="U316" s="207">
        <f>[3]DAY_RC_843MS!K16</f>
        <v>19.51232885704399</v>
      </c>
      <c r="V316" s="145"/>
    </row>
    <row r="317" spans="1:22" x14ac:dyDescent="0.2">
      <c r="A317" s="89">
        <f t="shared" si="11"/>
        <v>309</v>
      </c>
      <c r="B317" s="43">
        <v>9</v>
      </c>
      <c r="C317" s="43">
        <v>13</v>
      </c>
      <c r="D317" s="38" t="s">
        <v>480</v>
      </c>
      <c r="E317" s="44" t="s">
        <v>159</v>
      </c>
      <c r="F317" s="44" t="s">
        <v>39</v>
      </c>
      <c r="G317" s="44" t="s">
        <v>120</v>
      </c>
      <c r="H317" s="44" t="s">
        <v>43</v>
      </c>
      <c r="I317" s="44" t="s">
        <v>43</v>
      </c>
      <c r="J317" s="44" t="s">
        <v>7</v>
      </c>
      <c r="K317" s="44" t="s">
        <v>140</v>
      </c>
      <c r="L317" s="40">
        <v>1129</v>
      </c>
      <c r="M317" s="41">
        <v>41339</v>
      </c>
      <c r="N317" s="40" t="s">
        <v>122</v>
      </c>
      <c r="O317" s="42">
        <f t="shared" si="13"/>
        <v>42401</v>
      </c>
      <c r="P317" s="40">
        <v>26</v>
      </c>
      <c r="Q317" s="207">
        <f>'[3]Delmarva MD LP_MDGS_MMS'!G16</f>
        <v>38.178405522114979</v>
      </c>
      <c r="R317" s="207">
        <f>'[3]Delmarva MD LP_MDGS_MMS'!H16</f>
        <v>37.037334708485531</v>
      </c>
      <c r="S317" s="207">
        <f>'[3]Delmarva MD LP_MDGS_MMS'!I16</f>
        <v>36.650625351189269</v>
      </c>
      <c r="T317" s="207">
        <f>'[3]Delmarva MD LP_MDGS_MMS'!J16</f>
        <v>36.709728347378608</v>
      </c>
      <c r="U317" s="207">
        <f>'[3]Delmarva MD LP_MDGS_MMS'!K16</f>
        <v>40.242894385493237</v>
      </c>
      <c r="V317" s="145"/>
    </row>
    <row r="318" spans="1:22" x14ac:dyDescent="0.2">
      <c r="A318" s="89">
        <f t="shared" si="11"/>
        <v>310</v>
      </c>
      <c r="B318" s="43">
        <v>9</v>
      </c>
      <c r="C318" s="43">
        <v>14</v>
      </c>
      <c r="D318" s="38" t="s">
        <v>481</v>
      </c>
      <c r="E318" s="44" t="s">
        <v>161</v>
      </c>
      <c r="F318" s="44" t="s">
        <v>6</v>
      </c>
      <c r="G318" s="44" t="s">
        <v>120</v>
      </c>
      <c r="H318" s="44" t="s">
        <v>48</v>
      </c>
      <c r="I318" s="44" t="s">
        <v>48</v>
      </c>
      <c r="J318" s="44" t="s">
        <v>7</v>
      </c>
      <c r="K318" s="44" t="s">
        <v>140</v>
      </c>
      <c r="L318" s="40">
        <v>1130</v>
      </c>
      <c r="M318" s="41">
        <v>41339</v>
      </c>
      <c r="N318" s="40" t="s">
        <v>122</v>
      </c>
      <c r="O318" s="42">
        <f t="shared" si="13"/>
        <v>42401</v>
      </c>
      <c r="P318" s="40">
        <v>26</v>
      </c>
      <c r="Q318" s="207">
        <f>'[3]DQE LP_GSGM_MMS'!G16</f>
        <v>32.511227564705415</v>
      </c>
      <c r="R318" s="207">
        <f>'[3]DQE LP_GSGM_MMS'!H16</f>
        <v>29.717930587807331</v>
      </c>
      <c r="S318" s="207">
        <f>'[3]DQE LP_GSGM_MMS'!I16</f>
        <v>29.74359711993516</v>
      </c>
      <c r="T318" s="207">
        <f>'[3]DQE LP_GSGM_MMS'!J16</f>
        <v>30.816561063246958</v>
      </c>
      <c r="U318" s="207">
        <f>'[3]DQE LP_GSGM_MMS'!K16</f>
        <v>32.448089123350798</v>
      </c>
      <c r="V318" s="145"/>
    </row>
    <row r="319" spans="1:22" x14ac:dyDescent="0.2">
      <c r="A319" s="89">
        <f t="shared" si="11"/>
        <v>311</v>
      </c>
      <c r="B319" s="43">
        <v>9</v>
      </c>
      <c r="C319" s="43">
        <v>15</v>
      </c>
      <c r="D319" s="38" t="s">
        <v>482</v>
      </c>
      <c r="E319" s="44" t="s">
        <v>163</v>
      </c>
      <c r="F319" s="44" t="s">
        <v>20</v>
      </c>
      <c r="G319" s="44" t="s">
        <v>120</v>
      </c>
      <c r="H319" s="44" t="s">
        <v>23</v>
      </c>
      <c r="I319" s="44" t="s">
        <v>164</v>
      </c>
      <c r="J319" s="44" t="s">
        <v>24</v>
      </c>
      <c r="K319" s="44" t="s">
        <v>140</v>
      </c>
      <c r="L319" s="40">
        <v>1131</v>
      </c>
      <c r="M319" s="41">
        <v>41339</v>
      </c>
      <c r="N319" s="40" t="s">
        <v>122</v>
      </c>
      <c r="O319" s="42">
        <f t="shared" si="13"/>
        <v>42401</v>
      </c>
      <c r="P319" s="40">
        <v>26</v>
      </c>
      <c r="Q319" s="207">
        <f>[3]Duke_OH_RC_DS01MS!G16</f>
        <v>19.359673269154055</v>
      </c>
      <c r="R319" s="207">
        <f>[3]Duke_OH_RC_DS01MS!H16</f>
        <v>16.904747343159571</v>
      </c>
      <c r="S319" s="207">
        <f>[3]Duke_OH_RC_DS01MS!I16</f>
        <v>16.729142743955084</v>
      </c>
      <c r="T319" s="207">
        <f>[3]Duke_OH_RC_DS01MS!J16</f>
        <v>17.794898484678182</v>
      </c>
      <c r="U319" s="207">
        <f>[3]Duke_OH_RC_DS01MS!K16</f>
        <v>19.220522553829287</v>
      </c>
      <c r="V319" s="145"/>
    </row>
    <row r="320" spans="1:22" x14ac:dyDescent="0.2">
      <c r="A320" s="89">
        <f t="shared" si="11"/>
        <v>312</v>
      </c>
      <c r="B320" s="43">
        <v>9</v>
      </c>
      <c r="C320" s="43">
        <v>16</v>
      </c>
      <c r="D320" s="38" t="s">
        <v>483</v>
      </c>
      <c r="E320" s="44" t="s">
        <v>166</v>
      </c>
      <c r="F320" s="44" t="s">
        <v>20</v>
      </c>
      <c r="G320" s="44" t="s">
        <v>120</v>
      </c>
      <c r="H320" s="44" t="s">
        <v>64</v>
      </c>
      <c r="I320" s="44" t="s">
        <v>167</v>
      </c>
      <c r="J320" s="44" t="s">
        <v>7</v>
      </c>
      <c r="K320" s="44" t="s">
        <v>140</v>
      </c>
      <c r="L320" s="40">
        <v>1132</v>
      </c>
      <c r="M320" s="41">
        <v>41339</v>
      </c>
      <c r="N320" s="40" t="s">
        <v>122</v>
      </c>
      <c r="O320" s="42">
        <f t="shared" si="13"/>
        <v>42401</v>
      </c>
      <c r="P320" s="40">
        <v>26</v>
      </c>
      <c r="Q320" s="207">
        <f>'[3]FE_OE - test RC_GSFMS'!G16</f>
        <v>34.484163970327629</v>
      </c>
      <c r="R320" s="207">
        <f>'[3]FE_OE - test RC_GSFMS'!H16</f>
        <v>27.065203659619545</v>
      </c>
      <c r="S320" s="207">
        <f>'[3]FE_OE - test RC_GSFMS'!I16</f>
        <v>25.19962932805203</v>
      </c>
      <c r="T320" s="207">
        <f>'[3]FE_OE - test RC_GSFMS'!J16</f>
        <v>24.715471208977302</v>
      </c>
      <c r="U320" s="207">
        <f>'[3]FE_OE - test RC_GSFMS'!K16</f>
        <v>28.495784782702806</v>
      </c>
      <c r="V320" s="145"/>
    </row>
    <row r="321" spans="1:22" x14ac:dyDescent="0.2">
      <c r="A321" s="89">
        <f t="shared" si="11"/>
        <v>313</v>
      </c>
      <c r="B321" s="43">
        <v>9</v>
      </c>
      <c r="C321" s="43">
        <v>17</v>
      </c>
      <c r="D321" s="38" t="s">
        <v>484</v>
      </c>
      <c r="E321" s="44" t="s">
        <v>169</v>
      </c>
      <c r="F321" s="44" t="s">
        <v>31</v>
      </c>
      <c r="G321" s="44" t="s">
        <v>120</v>
      </c>
      <c r="H321" s="44" t="s">
        <v>35</v>
      </c>
      <c r="I321" s="44" t="s">
        <v>35</v>
      </c>
      <c r="J321" s="44" t="s">
        <v>9</v>
      </c>
      <c r="K321" s="44" t="s">
        <v>135</v>
      </c>
      <c r="L321" s="40">
        <v>1133</v>
      </c>
      <c r="M321" s="41">
        <v>41339</v>
      </c>
      <c r="N321" s="40" t="s">
        <v>122</v>
      </c>
      <c r="O321" s="42">
        <f t="shared" si="13"/>
        <v>42401</v>
      </c>
      <c r="P321" s="40">
        <v>26</v>
      </c>
      <c r="Q321" s="207">
        <f>'[3]JCPL LP_GSCLMS'!G16</f>
        <v>47.491927739361152</v>
      </c>
      <c r="R321" s="207">
        <f>'[3]JCPL LP_GSCLMS'!H16</f>
        <v>45.654187877555145</v>
      </c>
      <c r="S321" s="207">
        <f>'[3]JCPL LP_GSCLMS'!I16</f>
        <v>45.653777295406066</v>
      </c>
      <c r="T321" s="207">
        <f>'[3]JCPL LP_GSCLMS'!J16</f>
        <v>45.699622657562742</v>
      </c>
      <c r="U321" s="207">
        <f>'[3]JCPL LP_GSCLMS'!K16</f>
        <v>49.34749482146691</v>
      </c>
      <c r="V321" s="145"/>
    </row>
    <row r="322" spans="1:22" x14ac:dyDescent="0.2">
      <c r="A322" s="89">
        <f t="shared" si="11"/>
        <v>314</v>
      </c>
      <c r="B322" s="43">
        <v>9</v>
      </c>
      <c r="C322" s="43">
        <v>18</v>
      </c>
      <c r="D322" s="38" t="s">
        <v>485</v>
      </c>
      <c r="E322" s="44" t="s">
        <v>171</v>
      </c>
      <c r="F322" s="44" t="s">
        <v>31</v>
      </c>
      <c r="G322" s="44" t="s">
        <v>120</v>
      </c>
      <c r="H322" s="44" t="s">
        <v>35</v>
      </c>
      <c r="I322" s="44" t="s">
        <v>35</v>
      </c>
      <c r="J322" s="44" t="s">
        <v>10</v>
      </c>
      <c r="K322" s="44" t="s">
        <v>132</v>
      </c>
      <c r="L322" s="40">
        <v>1134</v>
      </c>
      <c r="M322" s="41">
        <v>41339</v>
      </c>
      <c r="N322" s="40" t="s">
        <v>122</v>
      </c>
      <c r="O322" s="42">
        <f t="shared" si="13"/>
        <v>42401</v>
      </c>
      <c r="P322" s="40">
        <v>26</v>
      </c>
      <c r="Q322" s="207">
        <f>'[3]JCPL LP_GSCMMS'!G16</f>
        <v>45.94918357758165</v>
      </c>
      <c r="R322" s="207">
        <f>'[3]JCPL LP_GSCMMS'!H16</f>
        <v>46.546335490149566</v>
      </c>
      <c r="S322" s="207">
        <f>'[3]JCPL LP_GSCMMS'!I16</f>
        <v>45.810940150677318</v>
      </c>
      <c r="T322" s="207">
        <f>'[3]JCPL LP_GSCMMS'!J16</f>
        <v>46.608213863880792</v>
      </c>
      <c r="U322" s="207">
        <f>'[3]JCPL LP_GSCMMS'!K16</f>
        <v>50.277299943807812</v>
      </c>
      <c r="V322" s="145"/>
    </row>
    <row r="323" spans="1:22" x14ac:dyDescent="0.2">
      <c r="A323" s="89">
        <f t="shared" si="11"/>
        <v>315</v>
      </c>
      <c r="B323" s="43">
        <v>9</v>
      </c>
      <c r="C323" s="43">
        <v>19</v>
      </c>
      <c r="D323" s="38" t="s">
        <v>486</v>
      </c>
      <c r="E323" s="44" t="s">
        <v>173</v>
      </c>
      <c r="F323" s="44" t="s">
        <v>31</v>
      </c>
      <c r="G323" s="44" t="s">
        <v>120</v>
      </c>
      <c r="H323" s="44" t="s">
        <v>35</v>
      </c>
      <c r="I323" s="44" t="s">
        <v>35</v>
      </c>
      <c r="J323" s="44" t="s">
        <v>11</v>
      </c>
      <c r="K323" s="44" t="s">
        <v>129</v>
      </c>
      <c r="L323" s="40">
        <v>1135</v>
      </c>
      <c r="M323" s="41">
        <v>41339</v>
      </c>
      <c r="N323" s="40" t="s">
        <v>122</v>
      </c>
      <c r="O323" s="42">
        <f t="shared" si="13"/>
        <v>42401</v>
      </c>
      <c r="P323" s="40">
        <v>26</v>
      </c>
      <c r="Q323" s="207">
        <f>'[3]JCPL LP_GSCSMS'!G16</f>
        <v>48.452911371241129</v>
      </c>
      <c r="R323" s="207">
        <f>'[3]JCPL LP_GSCSMS'!H16</f>
        <v>46.797619014175694</v>
      </c>
      <c r="S323" s="207">
        <f>'[3]JCPL LP_GSCSMS'!I16</f>
        <v>46.75765935646762</v>
      </c>
      <c r="T323" s="207">
        <f>'[3]JCPL LP_GSCSMS'!J16</f>
        <v>46.824132090434205</v>
      </c>
      <c r="U323" s="207">
        <f>'[3]JCPL LP_GSCSMS'!K16</f>
        <v>50.468048924550459</v>
      </c>
      <c r="V323" s="145"/>
    </row>
    <row r="324" spans="1:22" x14ac:dyDescent="0.2">
      <c r="A324" s="89">
        <f t="shared" si="11"/>
        <v>316</v>
      </c>
      <c r="B324" s="43">
        <v>9</v>
      </c>
      <c r="C324" s="43">
        <v>20</v>
      </c>
      <c r="D324" s="38" t="s">
        <v>487</v>
      </c>
      <c r="E324" s="44" t="s">
        <v>175</v>
      </c>
      <c r="F324" s="44" t="s">
        <v>6</v>
      </c>
      <c r="G324" s="44" t="s">
        <v>120</v>
      </c>
      <c r="H324" s="44" t="s">
        <v>176</v>
      </c>
      <c r="I324" s="44" t="s">
        <v>177</v>
      </c>
      <c r="J324" s="44" t="s">
        <v>9</v>
      </c>
      <c r="K324" s="44" t="s">
        <v>135</v>
      </c>
      <c r="L324" s="40">
        <v>1137</v>
      </c>
      <c r="M324" s="41">
        <v>41339</v>
      </c>
      <c r="N324" s="40" t="s">
        <v>122</v>
      </c>
      <c r="O324" s="42">
        <f t="shared" si="13"/>
        <v>42401</v>
      </c>
      <c r="P324" s="40">
        <v>26</v>
      </c>
      <c r="Q324" s="207">
        <f>'[3]MetEd RC_GSLFMS'!G16</f>
        <v>28.316757584957521</v>
      </c>
      <c r="R324" s="207">
        <f>'[3]MetEd RC_GSLFMS'!H16</f>
        <v>26.816431045631838</v>
      </c>
      <c r="S324" s="207">
        <f>'[3]MetEd RC_GSLFMS'!I16</f>
        <v>26.434237798281117</v>
      </c>
      <c r="T324" s="207">
        <f>'[3]MetEd RC_GSLFMS'!J16</f>
        <v>26.28398855973191</v>
      </c>
      <c r="U324" s="207">
        <f>'[3]MetEd RC_GSLFMS'!K16</f>
        <v>29.00630487573136</v>
      </c>
      <c r="V324" s="145"/>
    </row>
    <row r="325" spans="1:22" x14ac:dyDescent="0.2">
      <c r="A325" s="89">
        <f t="shared" si="11"/>
        <v>317</v>
      </c>
      <c r="B325" s="43">
        <v>9</v>
      </c>
      <c r="C325" s="43">
        <v>21</v>
      </c>
      <c r="D325" s="38" t="s">
        <v>488</v>
      </c>
      <c r="E325" s="44" t="s">
        <v>179</v>
      </c>
      <c r="F325" s="44" t="s">
        <v>6</v>
      </c>
      <c r="G325" s="44" t="s">
        <v>120</v>
      </c>
      <c r="H325" s="44" t="s">
        <v>176</v>
      </c>
      <c r="I325" s="44" t="s">
        <v>177</v>
      </c>
      <c r="J325" s="44" t="s">
        <v>10</v>
      </c>
      <c r="K325" s="44" t="s">
        <v>132</v>
      </c>
      <c r="L325" s="40">
        <v>1136</v>
      </c>
      <c r="M325" s="41">
        <v>41339</v>
      </c>
      <c r="N325" s="40" t="s">
        <v>122</v>
      </c>
      <c r="O325" s="42">
        <f t="shared" si="13"/>
        <v>42401</v>
      </c>
      <c r="P325" s="40">
        <v>26</v>
      </c>
      <c r="Q325" s="207">
        <f>'[3]MetEd RC_GSDFMS'!G16</f>
        <v>29.350569242758418</v>
      </c>
      <c r="R325" s="207">
        <f>'[3]MetEd RC_GSDFMS'!H16</f>
        <v>27.909086631890862</v>
      </c>
      <c r="S325" s="207">
        <f>'[3]MetEd RC_GSDFMS'!I16</f>
        <v>27.51027765651267</v>
      </c>
      <c r="T325" s="207">
        <f>'[3]MetEd RC_GSDFMS'!J16</f>
        <v>27.373530109686396</v>
      </c>
      <c r="U325" s="207">
        <f>'[3]MetEd RC_GSDFMS'!K16</f>
        <v>30.093835115984735</v>
      </c>
      <c r="V325" s="145"/>
    </row>
    <row r="326" spans="1:22" x14ac:dyDescent="0.2">
      <c r="A326" s="89">
        <f t="shared" si="11"/>
        <v>318</v>
      </c>
      <c r="B326" s="43">
        <v>9</v>
      </c>
      <c r="C326" s="43">
        <v>22</v>
      </c>
      <c r="D326" s="38" t="s">
        <v>489</v>
      </c>
      <c r="E326" s="44" t="s">
        <v>181</v>
      </c>
      <c r="F326" s="44" t="s">
        <v>6</v>
      </c>
      <c r="G326" s="44" t="s">
        <v>120</v>
      </c>
      <c r="H326" s="44" t="s">
        <v>176</v>
      </c>
      <c r="I326" s="44" t="s">
        <v>177</v>
      </c>
      <c r="J326" s="44" t="s">
        <v>11</v>
      </c>
      <c r="K326" s="44" t="s">
        <v>129</v>
      </c>
      <c r="L326" s="40">
        <v>1138</v>
      </c>
      <c r="M326" s="41">
        <v>41339</v>
      </c>
      <c r="N326" s="40" t="s">
        <v>122</v>
      </c>
      <c r="O326" s="42">
        <f t="shared" si="13"/>
        <v>42401</v>
      </c>
      <c r="P326" s="40">
        <v>26</v>
      </c>
      <c r="Q326" s="207">
        <f>'[3]MetEd RC_GSSFMS'!G16</f>
        <v>30.519865518786666</v>
      </c>
      <c r="R326" s="207">
        <f>'[3]MetEd RC_GSSFMS'!H16</f>
        <v>27.8272779910521</v>
      </c>
      <c r="S326" s="207">
        <f>'[3]MetEd RC_GSSFMS'!I16</f>
        <v>27.787444053914193</v>
      </c>
      <c r="T326" s="207">
        <f>'[3]MetEd RC_GSSFMS'!J16</f>
        <v>27.297761622415585</v>
      </c>
      <c r="U326" s="207">
        <f>'[3]MetEd RC_GSSFMS'!K16</f>
        <v>30.020167233454401</v>
      </c>
      <c r="V326" s="145"/>
    </row>
    <row r="327" spans="1:22" x14ac:dyDescent="0.2">
      <c r="A327" s="89">
        <f t="shared" si="11"/>
        <v>319</v>
      </c>
      <c r="B327" s="43">
        <v>9</v>
      </c>
      <c r="C327" s="43">
        <v>23</v>
      </c>
      <c r="D327" s="38" t="s">
        <v>490</v>
      </c>
      <c r="E327" s="44" t="s">
        <v>183</v>
      </c>
      <c r="F327" s="44" t="s">
        <v>6</v>
      </c>
      <c r="G327" s="44" t="s">
        <v>120</v>
      </c>
      <c r="H327" s="44" t="s">
        <v>13</v>
      </c>
      <c r="I327" s="44" t="s">
        <v>13</v>
      </c>
      <c r="J327" s="44" t="s">
        <v>7</v>
      </c>
      <c r="K327" s="44" t="s">
        <v>140</v>
      </c>
      <c r="L327" s="40">
        <v>1139</v>
      </c>
      <c r="M327" s="41">
        <v>41339</v>
      </c>
      <c r="N327" s="40" t="s">
        <v>122</v>
      </c>
      <c r="O327" s="42">
        <f t="shared" si="13"/>
        <v>42401</v>
      </c>
      <c r="P327" s="40">
        <v>26</v>
      </c>
      <c r="Q327" s="207">
        <f>'[3]PECO LP_GSMS'!G16</f>
        <v>31.551386087627804</v>
      </c>
      <c r="R327" s="207">
        <f>'[3]PECO LP_GSMS'!H16</f>
        <v>30.489750578917004</v>
      </c>
      <c r="S327" s="207">
        <f>'[3]PECO LP_GSMS'!I16</f>
        <v>29.945843034967009</v>
      </c>
      <c r="T327" s="207">
        <f>'[3]PECO LP_GSMS'!J16</f>
        <v>29.924266544017627</v>
      </c>
      <c r="U327" s="207">
        <f>'[3]PECO LP_GSMS'!K16</f>
        <v>32.986006731236714</v>
      </c>
      <c r="V327" s="145"/>
    </row>
    <row r="328" spans="1:22" x14ac:dyDescent="0.2">
      <c r="A328" s="89">
        <f t="shared" si="11"/>
        <v>320</v>
      </c>
      <c r="B328" s="43">
        <v>9</v>
      </c>
      <c r="C328" s="43">
        <v>24</v>
      </c>
      <c r="D328" s="38" t="s">
        <v>491</v>
      </c>
      <c r="E328" s="44" t="s">
        <v>185</v>
      </c>
      <c r="F328" s="44" t="s">
        <v>6</v>
      </c>
      <c r="G328" s="44" t="s">
        <v>120</v>
      </c>
      <c r="H328" s="44" t="s">
        <v>12</v>
      </c>
      <c r="I328" s="44" t="s">
        <v>186</v>
      </c>
      <c r="J328" s="44" t="s">
        <v>9</v>
      </c>
      <c r="K328" s="44" t="s">
        <v>135</v>
      </c>
      <c r="L328" s="40">
        <v>1140</v>
      </c>
      <c r="M328" s="41">
        <v>41339</v>
      </c>
      <c r="N328" s="40" t="s">
        <v>122</v>
      </c>
      <c r="O328" s="42">
        <f t="shared" si="13"/>
        <v>42401</v>
      </c>
      <c r="P328" s="40">
        <v>26</v>
      </c>
      <c r="Q328" s="207">
        <f>'[3]Penelec RC_GSLFMS'!G16</f>
        <v>30.690025262123388</v>
      </c>
      <c r="R328" s="207">
        <f>'[3]Penelec RC_GSLFMS'!H16</f>
        <v>29.120968572437999</v>
      </c>
      <c r="S328" s="207">
        <f>'[3]Penelec RC_GSLFMS'!I16</f>
        <v>28.878690104569603</v>
      </c>
      <c r="T328" s="207">
        <f>'[3]Penelec RC_GSLFMS'!J16</f>
        <v>28.738664304540997</v>
      </c>
      <c r="U328" s="207">
        <f>'[3]Penelec RC_GSLFMS'!K16</f>
        <v>31.651808709494077</v>
      </c>
      <c r="V328" s="145"/>
    </row>
    <row r="329" spans="1:22" x14ac:dyDescent="0.2">
      <c r="A329" s="89">
        <f t="shared" si="11"/>
        <v>321</v>
      </c>
      <c r="B329" s="43">
        <v>9</v>
      </c>
      <c r="C329" s="43">
        <v>25</v>
      </c>
      <c r="D329" s="38" t="s">
        <v>492</v>
      </c>
      <c r="E329" s="44" t="s">
        <v>188</v>
      </c>
      <c r="F329" s="44" t="s">
        <v>6</v>
      </c>
      <c r="G329" s="44" t="s">
        <v>120</v>
      </c>
      <c r="H329" s="44" t="s">
        <v>12</v>
      </c>
      <c r="I329" s="44" t="s">
        <v>186</v>
      </c>
      <c r="J329" s="44" t="s">
        <v>10</v>
      </c>
      <c r="K329" s="44" t="s">
        <v>132</v>
      </c>
      <c r="L329" s="40">
        <v>1141</v>
      </c>
      <c r="M329" s="41">
        <v>41339</v>
      </c>
      <c r="N329" s="40" t="s">
        <v>122</v>
      </c>
      <c r="O329" s="42">
        <f t="shared" si="13"/>
        <v>42401</v>
      </c>
      <c r="P329" s="40">
        <v>26</v>
      </c>
      <c r="Q329" s="207">
        <f>'[3]Penelec RC_GSMFMS'!G16</f>
        <v>31.864859920130304</v>
      </c>
      <c r="R329" s="207">
        <f>'[3]Penelec RC_GSMFMS'!H16</f>
        <v>30.240357270164424</v>
      </c>
      <c r="S329" s="207">
        <f>'[3]Penelec RC_GSMFMS'!I16</f>
        <v>30.014655671702055</v>
      </c>
      <c r="T329" s="207">
        <f>'[3]Penelec RC_GSMFMS'!J16</f>
        <v>29.851592780082839</v>
      </c>
      <c r="U329" s="207">
        <f>'[3]Penelec RC_GSMFMS'!K16</f>
        <v>32.764263651718871</v>
      </c>
      <c r="V329" s="145"/>
    </row>
    <row r="330" spans="1:22" x14ac:dyDescent="0.2">
      <c r="A330" s="89">
        <f t="shared" si="11"/>
        <v>322</v>
      </c>
      <c r="B330" s="43">
        <v>9</v>
      </c>
      <c r="C330" s="43">
        <v>26</v>
      </c>
      <c r="D330" s="38" t="s">
        <v>493</v>
      </c>
      <c r="E330" s="44" t="s">
        <v>190</v>
      </c>
      <c r="F330" s="44" t="s">
        <v>6</v>
      </c>
      <c r="G330" s="44" t="s">
        <v>120</v>
      </c>
      <c r="H330" s="44" t="s">
        <v>12</v>
      </c>
      <c r="I330" s="44" t="s">
        <v>186</v>
      </c>
      <c r="J330" s="44" t="s">
        <v>11</v>
      </c>
      <c r="K330" s="44" t="s">
        <v>129</v>
      </c>
      <c r="L330" s="40">
        <v>1142</v>
      </c>
      <c r="M330" s="41">
        <v>41339</v>
      </c>
      <c r="N330" s="40" t="s">
        <v>122</v>
      </c>
      <c r="O330" s="42">
        <f t="shared" si="13"/>
        <v>42401</v>
      </c>
      <c r="P330" s="40">
        <v>26</v>
      </c>
      <c r="Q330" s="207">
        <f>'[3]Penelec RC_GSSFMS'!G16</f>
        <v>33.184018927836163</v>
      </c>
      <c r="R330" s="207">
        <f>'[3]Penelec RC_GSSFMS'!H16</f>
        <v>30.240147871841998</v>
      </c>
      <c r="S330" s="207">
        <f>'[3]Penelec RC_GSSFMS'!I16</f>
        <v>30.400968505152413</v>
      </c>
      <c r="T330" s="207">
        <f>'[3]Penelec RC_GSSFMS'!J16</f>
        <v>29.846365074023915</v>
      </c>
      <c r="U330" s="207">
        <f>'[3]Penelec RC_GSSFMS'!K16</f>
        <v>32.766833423092997</v>
      </c>
      <c r="V330" s="145"/>
    </row>
    <row r="331" spans="1:22" x14ac:dyDescent="0.2">
      <c r="A331" s="89">
        <f t="shared" ref="A331:A394" si="14">A330+1</f>
        <v>323</v>
      </c>
      <c r="B331" s="43">
        <v>9</v>
      </c>
      <c r="C331" s="43">
        <v>27</v>
      </c>
      <c r="D331" s="38" t="s">
        <v>494</v>
      </c>
      <c r="E331" s="44" t="s">
        <v>192</v>
      </c>
      <c r="F331" s="44" t="s">
        <v>6</v>
      </c>
      <c r="G331" s="44" t="s">
        <v>120</v>
      </c>
      <c r="H331" s="44" t="s">
        <v>100</v>
      </c>
      <c r="I331" s="44" t="s">
        <v>193</v>
      </c>
      <c r="J331" s="44" t="s">
        <v>7</v>
      </c>
      <c r="K331" s="44" t="s">
        <v>140</v>
      </c>
      <c r="L331" s="40">
        <v>1143</v>
      </c>
      <c r="M331" s="41">
        <v>41339</v>
      </c>
      <c r="N331" s="40" t="s">
        <v>122</v>
      </c>
      <c r="O331" s="42">
        <f t="shared" si="13"/>
        <v>42401</v>
      </c>
      <c r="P331" s="40">
        <v>26</v>
      </c>
      <c r="Q331" s="207">
        <f>'[3]Penn Power RC_GMDMS'!G16</f>
        <v>45.586980353707595</v>
      </c>
      <c r="R331" s="207">
        <f>'[3]Penn Power RC_GMDMS'!H16</f>
        <v>38.208702525855379</v>
      </c>
      <c r="S331" s="207">
        <f>'[3]Penn Power RC_GMDMS'!I16</f>
        <v>36.38895207648666</v>
      </c>
      <c r="T331" s="207">
        <f>'[3]Penn Power RC_GMDMS'!J16</f>
        <v>35.914791750046817</v>
      </c>
      <c r="U331" s="207">
        <f>'[3]Penn Power RC_GMDMS'!K16</f>
        <v>39.730967908361677</v>
      </c>
      <c r="V331" s="145"/>
    </row>
    <row r="332" spans="1:22" x14ac:dyDescent="0.2">
      <c r="A332" s="89">
        <f t="shared" si="14"/>
        <v>324</v>
      </c>
      <c r="B332" s="43">
        <v>9</v>
      </c>
      <c r="C332" s="43">
        <v>28</v>
      </c>
      <c r="D332" s="38" t="s">
        <v>495</v>
      </c>
      <c r="E332" s="44" t="s">
        <v>195</v>
      </c>
      <c r="F332" s="44" t="s">
        <v>39</v>
      </c>
      <c r="G332" s="44" t="s">
        <v>120</v>
      </c>
      <c r="H332" s="44" t="s">
        <v>44</v>
      </c>
      <c r="I332" s="44" t="s">
        <v>44</v>
      </c>
      <c r="J332" s="44" t="s">
        <v>7</v>
      </c>
      <c r="K332" s="44" t="s">
        <v>140</v>
      </c>
      <c r="L332" s="40">
        <v>1144</v>
      </c>
      <c r="M332" s="41">
        <v>41339</v>
      </c>
      <c r="N332" s="40" t="s">
        <v>122</v>
      </c>
      <c r="O332" s="42">
        <f t="shared" si="13"/>
        <v>42401</v>
      </c>
      <c r="P332" s="40">
        <v>26</v>
      </c>
      <c r="Q332" s="207">
        <f>'[3]PEPCO MD LP_MDNDMS'!G16</f>
        <v>34.779915268545317</v>
      </c>
      <c r="R332" s="207">
        <f>'[3]PEPCO MD LP_MDNDMS'!H16</f>
        <v>33.188631554712593</v>
      </c>
      <c r="S332" s="207">
        <f>'[3]PEPCO MD LP_MDNDMS'!I16</f>
        <v>32.937484998356616</v>
      </c>
      <c r="T332" s="207">
        <f>'[3]PEPCO MD LP_MDNDMS'!J16</f>
        <v>32.826831494486697</v>
      </c>
      <c r="U332" s="207">
        <f>'[3]PEPCO MD LP_MDNDMS'!K16</f>
        <v>36.168851111860249</v>
      </c>
      <c r="V332" s="145"/>
    </row>
    <row r="333" spans="1:22" x14ac:dyDescent="0.2">
      <c r="A333" s="89">
        <f t="shared" si="14"/>
        <v>325</v>
      </c>
      <c r="B333" s="43">
        <v>9</v>
      </c>
      <c r="C333" s="43">
        <v>29</v>
      </c>
      <c r="D333" s="38" t="s">
        <v>496</v>
      </c>
      <c r="E333" s="44" t="s">
        <v>197</v>
      </c>
      <c r="F333" s="44" t="s">
        <v>39</v>
      </c>
      <c r="G333" s="44" t="s">
        <v>120</v>
      </c>
      <c r="H333" s="44" t="s">
        <v>44</v>
      </c>
      <c r="I333" s="44" t="s">
        <v>44</v>
      </c>
      <c r="J333" s="44" t="s">
        <v>45</v>
      </c>
      <c r="K333" s="44" t="s">
        <v>198</v>
      </c>
      <c r="L333" s="40">
        <v>1145</v>
      </c>
      <c r="M333" s="41">
        <v>41339</v>
      </c>
      <c r="N333" s="40" t="s">
        <v>122</v>
      </c>
      <c r="O333" s="42">
        <f t="shared" si="13"/>
        <v>42401</v>
      </c>
      <c r="P333" s="40">
        <v>26</v>
      </c>
      <c r="Q333" s="207">
        <f>'[3]PEPCO MD LP_MMGTL2AMS'!G16</f>
        <v>33.39758900189517</v>
      </c>
      <c r="R333" s="207">
        <f>'[3]PEPCO MD LP_MMGTL2AMS'!H16</f>
        <v>32.102681199474645</v>
      </c>
      <c r="S333" s="207">
        <f>'[3]PEPCO MD LP_MMGTL2AMS'!I16</f>
        <v>31.747281688567366</v>
      </c>
      <c r="T333" s="207">
        <f>'[3]PEPCO MD LP_MMGTL2AMS'!J16</f>
        <v>31.729155994244735</v>
      </c>
      <c r="U333" s="207">
        <f>'[3]PEPCO MD LP_MMGTL2AMS'!K16</f>
        <v>35.046164253756217</v>
      </c>
      <c r="V333" s="145"/>
    </row>
    <row r="334" spans="1:22" x14ac:dyDescent="0.2">
      <c r="A334" s="89">
        <f t="shared" si="14"/>
        <v>326</v>
      </c>
      <c r="B334" s="43">
        <v>9</v>
      </c>
      <c r="C334" s="43">
        <v>30</v>
      </c>
      <c r="D334" s="38" t="s">
        <v>497</v>
      </c>
      <c r="E334" s="44" t="s">
        <v>200</v>
      </c>
      <c r="F334" s="44" t="s">
        <v>39</v>
      </c>
      <c r="G334" s="44" t="s">
        <v>120</v>
      </c>
      <c r="H334" s="44" t="s">
        <v>44</v>
      </c>
      <c r="I334" s="44" t="s">
        <v>44</v>
      </c>
      <c r="J334" s="44" t="s">
        <v>46</v>
      </c>
      <c r="K334" s="44" t="s">
        <v>46</v>
      </c>
      <c r="L334" s="40">
        <v>1146</v>
      </c>
      <c r="M334" s="41">
        <v>41339</v>
      </c>
      <c r="N334" s="40" t="s">
        <v>122</v>
      </c>
      <c r="O334" s="42">
        <f t="shared" si="13"/>
        <v>42401</v>
      </c>
      <c r="P334" s="40">
        <v>26</v>
      </c>
      <c r="Q334" s="207">
        <f>'[3]PEPCO MD RC_3T7MS'!G16</f>
        <v>35.186560128693685</v>
      </c>
      <c r="R334" s="207">
        <f>'[3]PEPCO MD RC_3T7MS'!H16</f>
        <v>32.91344735321055</v>
      </c>
      <c r="S334" s="207">
        <f>'[3]PEPCO MD RC_3T7MS'!I16</f>
        <v>32.86498325138664</v>
      </c>
      <c r="T334" s="207">
        <f>'[3]PEPCO MD RC_3T7MS'!J16</f>
        <v>32.646836597318405</v>
      </c>
      <c r="U334" s="207">
        <f>'[3]PEPCO MD RC_3T7MS'!K16</f>
        <v>36.012804392383408</v>
      </c>
      <c r="V334" s="145"/>
    </row>
    <row r="335" spans="1:22" x14ac:dyDescent="0.2">
      <c r="A335" s="89">
        <f t="shared" si="14"/>
        <v>327</v>
      </c>
      <c r="B335" s="43">
        <v>9</v>
      </c>
      <c r="C335" s="43">
        <v>31</v>
      </c>
      <c r="D335" s="38" t="s">
        <v>498</v>
      </c>
      <c r="E335" s="44" t="s">
        <v>202</v>
      </c>
      <c r="F335" s="44" t="s">
        <v>39</v>
      </c>
      <c r="G335" s="44" t="s">
        <v>120</v>
      </c>
      <c r="H335" s="44" t="s">
        <v>47</v>
      </c>
      <c r="I335" s="44" t="s">
        <v>47</v>
      </c>
      <c r="J335" s="44" t="s">
        <v>7</v>
      </c>
      <c r="K335" s="44" t="s">
        <v>140</v>
      </c>
      <c r="L335" s="40">
        <v>1147</v>
      </c>
      <c r="M335" s="41">
        <v>41339</v>
      </c>
      <c r="N335" s="40" t="s">
        <v>122</v>
      </c>
      <c r="O335" s="42">
        <f t="shared" si="13"/>
        <v>42401</v>
      </c>
      <c r="P335" s="40">
        <v>26</v>
      </c>
      <c r="Q335" s="207">
        <f>'[3]Potomac Edison LP_GSCM_MMS'!G16</f>
        <v>29.332994330501144</v>
      </c>
      <c r="R335" s="207">
        <f>'[3]Potomac Edison LP_GSCM_MMS'!H16</f>
        <v>28.225230128017287</v>
      </c>
      <c r="S335" s="207">
        <f>'[3]Potomac Edison LP_GSCM_MMS'!I16</f>
        <v>27.864351239797948</v>
      </c>
      <c r="T335" s="207">
        <f>'[3]Potomac Edison LP_GSCM_MMS'!J16</f>
        <v>29.480477827818827</v>
      </c>
      <c r="U335" s="207">
        <f>'[3]Potomac Edison LP_GSCM_MMS'!K16</f>
        <v>31.461843544543417</v>
      </c>
      <c r="V335" s="145"/>
    </row>
    <row r="336" spans="1:22" x14ac:dyDescent="0.2">
      <c r="A336" s="89">
        <f t="shared" si="14"/>
        <v>328</v>
      </c>
      <c r="B336" s="43">
        <v>9</v>
      </c>
      <c r="C336" s="43">
        <v>32</v>
      </c>
      <c r="D336" s="38" t="s">
        <v>499</v>
      </c>
      <c r="E336" s="44" t="s">
        <v>204</v>
      </c>
      <c r="F336" s="44" t="s">
        <v>6</v>
      </c>
      <c r="G336" s="44" t="s">
        <v>120</v>
      </c>
      <c r="H336" s="44" t="s">
        <v>14</v>
      </c>
      <c r="I336" s="44" t="s">
        <v>14</v>
      </c>
      <c r="J336" s="44" t="s">
        <v>15</v>
      </c>
      <c r="K336" s="44" t="s">
        <v>129</v>
      </c>
      <c r="L336" s="40">
        <v>1148</v>
      </c>
      <c r="M336" s="41">
        <v>41339</v>
      </c>
      <c r="N336" s="40" t="s">
        <v>122</v>
      </c>
      <c r="O336" s="42">
        <f t="shared" si="13"/>
        <v>42401</v>
      </c>
      <c r="P336" s="40">
        <v>26</v>
      </c>
      <c r="Q336" s="207">
        <f>[3]PPL_RCGS1MS!G16</f>
        <v>37.978200075607958</v>
      </c>
      <c r="R336" s="207">
        <f>[3]PPL_RCGS1MS!H16</f>
        <v>35.97766746796286</v>
      </c>
      <c r="S336" s="207">
        <f>[3]PPL_RCGS1MS!I16</f>
        <v>35.735685175977814</v>
      </c>
      <c r="T336" s="207">
        <f>[3]PPL_RCGS1MS!J16</f>
        <v>35.362420397924893</v>
      </c>
      <c r="U336" s="207">
        <f>[3]PPL_RCGS1MS!K16</f>
        <v>38.053190340874153</v>
      </c>
      <c r="V336" s="145"/>
    </row>
    <row r="337" spans="1:22" x14ac:dyDescent="0.2">
      <c r="A337" s="89">
        <f t="shared" si="14"/>
        <v>329</v>
      </c>
      <c r="B337" s="43">
        <v>9</v>
      </c>
      <c r="C337" s="43">
        <v>33</v>
      </c>
      <c r="D337" s="38" t="s">
        <v>500</v>
      </c>
      <c r="E337" s="44" t="s">
        <v>206</v>
      </c>
      <c r="F337" s="44" t="s">
        <v>6</v>
      </c>
      <c r="G337" s="44" t="s">
        <v>120</v>
      </c>
      <c r="H337" s="44" t="s">
        <v>14</v>
      </c>
      <c r="I337" s="44" t="s">
        <v>14</v>
      </c>
      <c r="J337" s="44" t="s">
        <v>16</v>
      </c>
      <c r="K337" s="44" t="s">
        <v>135</v>
      </c>
      <c r="L337" s="40">
        <v>1149</v>
      </c>
      <c r="M337" s="41">
        <v>41339</v>
      </c>
      <c r="N337" s="40" t="s">
        <v>122</v>
      </c>
      <c r="O337" s="42">
        <f t="shared" si="13"/>
        <v>42401</v>
      </c>
      <c r="P337" s="40">
        <v>26</v>
      </c>
      <c r="Q337" s="207">
        <f>[3]PPL_RCGS3MS!G16</f>
        <v>37.586752076059355</v>
      </c>
      <c r="R337" s="207">
        <f>[3]PPL_RCGS3MS!H16</f>
        <v>36.034013330868007</v>
      </c>
      <c r="S337" s="207">
        <f>[3]PPL_RCGS3MS!I16</f>
        <v>35.65468792425645</v>
      </c>
      <c r="T337" s="207">
        <f>[3]PPL_RCGS3MS!J16</f>
        <v>35.434194422434508</v>
      </c>
      <c r="U337" s="207">
        <f>[3]PPL_RCGS3MS!K16</f>
        <v>38.127447861982333</v>
      </c>
      <c r="V337" s="145"/>
    </row>
    <row r="338" spans="1:22" x14ac:dyDescent="0.2">
      <c r="A338" s="89">
        <f t="shared" si="14"/>
        <v>330</v>
      </c>
      <c r="B338" s="43">
        <v>9</v>
      </c>
      <c r="C338" s="43">
        <v>34</v>
      </c>
      <c r="D338" s="38" t="s">
        <v>501</v>
      </c>
      <c r="E338" s="44" t="s">
        <v>208</v>
      </c>
      <c r="F338" s="44" t="s">
        <v>31</v>
      </c>
      <c r="G338" s="44" t="s">
        <v>120</v>
      </c>
      <c r="H338" s="44" t="s">
        <v>36</v>
      </c>
      <c r="I338" s="44" t="s">
        <v>36</v>
      </c>
      <c r="J338" s="44" t="s">
        <v>37</v>
      </c>
      <c r="K338" s="44" t="s">
        <v>209</v>
      </c>
      <c r="L338" s="40">
        <v>1150</v>
      </c>
      <c r="M338" s="41">
        <v>41339</v>
      </c>
      <c r="N338" s="40" t="s">
        <v>122</v>
      </c>
      <c r="O338" s="42">
        <f t="shared" si="13"/>
        <v>42401</v>
      </c>
      <c r="P338" s="40">
        <v>26</v>
      </c>
      <c r="Q338" s="207">
        <f>'[3]PSEG LP_GLP_MMS'!G16</f>
        <v>61.658137195127644</v>
      </c>
      <c r="R338" s="207">
        <f>'[3]PSEG LP_GLP_MMS'!H16</f>
        <v>63.025827805492689</v>
      </c>
      <c r="S338" s="207">
        <f>'[3]PSEG LP_GLP_MMS'!I16</f>
        <v>63.351637721888132</v>
      </c>
      <c r="T338" s="207">
        <f>'[3]PSEG LP_GLP_MMS'!J16</f>
        <v>63.872754659353632</v>
      </c>
      <c r="U338" s="207">
        <f>'[3]PSEG LP_GLP_MMS'!K16</f>
        <v>66.120451300389234</v>
      </c>
      <c r="V338" s="145"/>
    </row>
    <row r="339" spans="1:22" x14ac:dyDescent="0.2">
      <c r="A339" s="89">
        <f t="shared" si="14"/>
        <v>331</v>
      </c>
      <c r="B339" s="43">
        <v>9</v>
      </c>
      <c r="C339" s="43">
        <v>35</v>
      </c>
      <c r="D339" s="38" t="s">
        <v>502</v>
      </c>
      <c r="E339" s="44" t="s">
        <v>211</v>
      </c>
      <c r="F339" s="44" t="s">
        <v>31</v>
      </c>
      <c r="G339" s="44" t="s">
        <v>120</v>
      </c>
      <c r="H339" s="44" t="s">
        <v>36</v>
      </c>
      <c r="I339" s="44" t="s">
        <v>36</v>
      </c>
      <c r="J339" s="44" t="s">
        <v>38</v>
      </c>
      <c r="K339" s="44" t="s">
        <v>212</v>
      </c>
      <c r="L339" s="40">
        <v>1151</v>
      </c>
      <c r="M339" s="41">
        <v>41339</v>
      </c>
      <c r="N339" s="40" t="s">
        <v>122</v>
      </c>
      <c r="O339" s="42">
        <f t="shared" si="13"/>
        <v>42401</v>
      </c>
      <c r="P339" s="40">
        <v>26</v>
      </c>
      <c r="Q339" s="207">
        <f>'[3]PSEG LP_LPLMS'!G16</f>
        <v>60.487765907488601</v>
      </c>
      <c r="R339" s="207">
        <f>'[3]PSEG LP_LPLMS'!H16</f>
        <v>62.241018089979534</v>
      </c>
      <c r="S339" s="207">
        <f>'[3]PSEG LP_LPLMS'!I16</f>
        <v>62.454570573301787</v>
      </c>
      <c r="T339" s="207">
        <f>'[3]PSEG LP_LPLMS'!J16</f>
        <v>63.025345645820963</v>
      </c>
      <c r="U339" s="207">
        <f>'[3]PSEG LP_LPLMS'!K16</f>
        <v>65.266508120797937</v>
      </c>
      <c r="V339" s="145"/>
    </row>
    <row r="340" spans="1:22" x14ac:dyDescent="0.2">
      <c r="A340" s="89">
        <f t="shared" si="14"/>
        <v>332</v>
      </c>
      <c r="B340" s="43">
        <v>9</v>
      </c>
      <c r="C340" s="43">
        <v>36</v>
      </c>
      <c r="D340" s="38" t="s">
        <v>503</v>
      </c>
      <c r="E340" s="44" t="s">
        <v>214</v>
      </c>
      <c r="F340" s="44" t="s">
        <v>6</v>
      </c>
      <c r="G340" s="44" t="s">
        <v>120</v>
      </c>
      <c r="H340" s="44" t="s">
        <v>17</v>
      </c>
      <c r="I340" s="44" t="s">
        <v>215</v>
      </c>
      <c r="J340" s="44" t="s">
        <v>18</v>
      </c>
      <c r="K340" s="44" t="s">
        <v>140</v>
      </c>
      <c r="L340" s="40">
        <v>1152</v>
      </c>
      <c r="M340" s="41">
        <v>41339</v>
      </c>
      <c r="N340" s="40" t="s">
        <v>122</v>
      </c>
      <c r="O340" s="42">
        <f t="shared" si="13"/>
        <v>42401</v>
      </c>
      <c r="P340" s="40">
        <v>26</v>
      </c>
      <c r="Q340" s="207">
        <f>'[3]West Penn Power LP_GSCMMS'!G16</f>
        <v>30.272221980197294</v>
      </c>
      <c r="R340" s="207">
        <f>'[3]West Penn Power LP_GSCMMS'!H16</f>
        <v>27.93484310936493</v>
      </c>
      <c r="S340" s="207">
        <f>'[3]West Penn Power LP_GSCMMS'!I16</f>
        <v>27.905114598929316</v>
      </c>
      <c r="T340" s="207">
        <f>'[3]West Penn Power LP_GSCMMS'!J16</f>
        <v>29.121020369196383</v>
      </c>
      <c r="U340" s="207">
        <f>'[3]West Penn Power LP_GSCMMS'!K16</f>
        <v>30.819515247134994</v>
      </c>
      <c r="V340" s="145"/>
    </row>
    <row r="341" spans="1:22" x14ac:dyDescent="0.2">
      <c r="A341" s="89">
        <f t="shared" si="14"/>
        <v>333</v>
      </c>
      <c r="B341" s="20"/>
      <c r="C341" s="20"/>
      <c r="D341" s="20"/>
      <c r="Q341" s="208"/>
      <c r="R341" s="208"/>
      <c r="S341" s="208"/>
      <c r="T341" s="208"/>
      <c r="U341" s="208"/>
    </row>
    <row r="342" spans="1:22" x14ac:dyDescent="0.2">
      <c r="A342" s="89">
        <f t="shared" si="14"/>
        <v>334</v>
      </c>
      <c r="B342" s="43">
        <v>10</v>
      </c>
      <c r="C342" s="43">
        <v>1</v>
      </c>
      <c r="D342" s="38" t="s">
        <v>504</v>
      </c>
      <c r="E342" s="44" t="s">
        <v>119</v>
      </c>
      <c r="F342" s="44" t="s">
        <v>31</v>
      </c>
      <c r="G342" s="44" t="s">
        <v>120</v>
      </c>
      <c r="H342" s="44" t="s">
        <v>32</v>
      </c>
      <c r="I342" s="44" t="s">
        <v>32</v>
      </c>
      <c r="J342" s="44" t="s">
        <v>33</v>
      </c>
      <c r="K342" s="44" t="s">
        <v>121</v>
      </c>
      <c r="L342" s="40">
        <v>1117</v>
      </c>
      <c r="M342" s="41">
        <v>41339</v>
      </c>
      <c r="N342" s="40" t="s">
        <v>122</v>
      </c>
      <c r="O342" s="42">
        <f>EDATE(O305,1)</f>
        <v>42430</v>
      </c>
      <c r="P342" s="40">
        <v>27</v>
      </c>
      <c r="Q342" s="207">
        <f>'[3]AECO LP_10V1_SMS'!G17</f>
        <v>46.840500799664248</v>
      </c>
      <c r="R342" s="207">
        <f>'[3]AECO LP_10V1_SMS'!H17</f>
        <v>48.188915634989883</v>
      </c>
      <c r="S342" s="207">
        <f>'[3]AECO LP_10V1_SMS'!I17</f>
        <v>47.250844078792632</v>
      </c>
      <c r="T342" s="207">
        <f>'[3]AECO LP_10V1_SMS'!J17</f>
        <v>47.893630426653978</v>
      </c>
      <c r="U342" s="207">
        <f>'[3]AECO LP_10V1_SMS'!K17</f>
        <v>51.294942003471711</v>
      </c>
      <c r="V342" s="145"/>
    </row>
    <row r="343" spans="1:22" x14ac:dyDescent="0.2">
      <c r="A343" s="89">
        <f t="shared" si="14"/>
        <v>335</v>
      </c>
      <c r="B343" s="43">
        <v>10</v>
      </c>
      <c r="C343" s="43">
        <v>2</v>
      </c>
      <c r="D343" s="38" t="s">
        <v>505</v>
      </c>
      <c r="E343" s="44" t="s">
        <v>124</v>
      </c>
      <c r="F343" s="44" t="s">
        <v>31</v>
      </c>
      <c r="G343" s="44" t="s">
        <v>120</v>
      </c>
      <c r="H343" s="44" t="s">
        <v>32</v>
      </c>
      <c r="I343" s="44" t="s">
        <v>32</v>
      </c>
      <c r="J343" s="44" t="s">
        <v>34</v>
      </c>
      <c r="K343" s="44" t="s">
        <v>125</v>
      </c>
      <c r="L343" s="40">
        <v>1118</v>
      </c>
      <c r="M343" s="41">
        <v>41339</v>
      </c>
      <c r="N343" s="40" t="s">
        <v>122</v>
      </c>
      <c r="O343" s="42">
        <f>O342</f>
        <v>42430</v>
      </c>
      <c r="P343" s="40">
        <v>27</v>
      </c>
      <c r="Q343" s="207">
        <f>'[3]AECO LP_14V1_MMS'!G17</f>
        <v>47.63557847538565</v>
      </c>
      <c r="R343" s="207">
        <f>'[3]AECO LP_14V1_MMS'!H17</f>
        <v>48.080482791940028</v>
      </c>
      <c r="S343" s="207">
        <f>'[3]AECO LP_14V1_MMS'!I17</f>
        <v>47.469367996866943</v>
      </c>
      <c r="T343" s="207">
        <f>'[3]AECO LP_14V1_MMS'!J17</f>
        <v>47.509812131642704</v>
      </c>
      <c r="U343" s="207">
        <f>'[3]AECO LP_14V1_MMS'!K17</f>
        <v>49.653713056288638</v>
      </c>
      <c r="V343" s="145"/>
    </row>
    <row r="344" spans="1:22" x14ac:dyDescent="0.2">
      <c r="A344" s="89">
        <f t="shared" si="14"/>
        <v>336</v>
      </c>
      <c r="B344" s="43">
        <v>10</v>
      </c>
      <c r="C344" s="43">
        <v>3</v>
      </c>
      <c r="D344" s="38" t="s">
        <v>506</v>
      </c>
      <c r="E344" s="44" t="s">
        <v>127</v>
      </c>
      <c r="F344" s="44" t="s">
        <v>20</v>
      </c>
      <c r="G344" s="44" t="s">
        <v>120</v>
      </c>
      <c r="H344" s="44" t="s">
        <v>63</v>
      </c>
      <c r="I344" s="44" t="s">
        <v>128</v>
      </c>
      <c r="J344" s="44" t="s">
        <v>15</v>
      </c>
      <c r="K344" s="44" t="s">
        <v>129</v>
      </c>
      <c r="L344" s="40">
        <v>1119</v>
      </c>
      <c r="M344" s="41">
        <v>41339</v>
      </c>
      <c r="N344" s="40" t="s">
        <v>122</v>
      </c>
      <c r="O344" s="42">
        <f t="shared" ref="O344:O377" si="15">O343</f>
        <v>42430</v>
      </c>
      <c r="P344" s="40">
        <v>27</v>
      </c>
      <c r="Q344" s="207">
        <f>'[3]AEP_OH_CS - test CSGS1MS'!G17</f>
        <v>19.390081379112953</v>
      </c>
      <c r="R344" s="207">
        <f>'[3]AEP_OH_CS - test CSGS1MS'!H17</f>
        <v>17.450921029331962</v>
      </c>
      <c r="S344" s="207">
        <f>'[3]AEP_OH_CS - test CSGS1MS'!I17</f>
        <v>17.892190778864212</v>
      </c>
      <c r="T344" s="207">
        <f>'[3]AEP_OH_CS - test CSGS1MS'!J17</f>
        <v>18.949660636349698</v>
      </c>
      <c r="U344" s="207">
        <f>'[3]AEP_OH_CS - test CSGS1MS'!K17</f>
        <v>20.772536657329148</v>
      </c>
      <c r="V344" s="145"/>
    </row>
    <row r="345" spans="1:22" x14ac:dyDescent="0.2">
      <c r="A345" s="89">
        <f t="shared" si="14"/>
        <v>337</v>
      </c>
      <c r="B345" s="43">
        <v>10</v>
      </c>
      <c r="C345" s="43">
        <v>4</v>
      </c>
      <c r="D345" s="38" t="s">
        <v>507</v>
      </c>
      <c r="E345" s="44" t="s">
        <v>131</v>
      </c>
      <c r="F345" s="44" t="s">
        <v>20</v>
      </c>
      <c r="G345" s="44" t="s">
        <v>120</v>
      </c>
      <c r="H345" s="44" t="s">
        <v>63</v>
      </c>
      <c r="I345" s="44" t="s">
        <v>128</v>
      </c>
      <c r="J345" s="44" t="s">
        <v>21</v>
      </c>
      <c r="K345" s="44" t="s">
        <v>132</v>
      </c>
      <c r="L345" s="40">
        <v>1120</v>
      </c>
      <c r="M345" s="41">
        <v>41339</v>
      </c>
      <c r="N345" s="40" t="s">
        <v>122</v>
      </c>
      <c r="O345" s="42">
        <f t="shared" si="15"/>
        <v>42430</v>
      </c>
      <c r="P345" s="40">
        <v>27</v>
      </c>
      <c r="Q345" s="207">
        <f>'[3]AEP_OH_CS - test CSGS2UMS'!G17</f>
        <v>18.873233850928887</v>
      </c>
      <c r="R345" s="207">
        <f>'[3]AEP_OH_CS - test CSGS2UMS'!H17</f>
        <v>17.528583968425618</v>
      </c>
      <c r="S345" s="207">
        <f>'[3]AEP_OH_CS - test CSGS2UMS'!I17</f>
        <v>17.806043012212648</v>
      </c>
      <c r="T345" s="207">
        <f>'[3]AEP_OH_CS - test CSGS2UMS'!J17</f>
        <v>19.024360512169775</v>
      </c>
      <c r="U345" s="207">
        <f>'[3]AEP_OH_CS - test CSGS2UMS'!K17</f>
        <v>20.849637718177625</v>
      </c>
      <c r="V345" s="145"/>
    </row>
    <row r="346" spans="1:22" x14ac:dyDescent="0.2">
      <c r="A346" s="89">
        <f t="shared" si="14"/>
        <v>338</v>
      </c>
      <c r="B346" s="43">
        <v>10</v>
      </c>
      <c r="C346" s="43">
        <v>5</v>
      </c>
      <c r="D346" s="38" t="s">
        <v>508</v>
      </c>
      <c r="E346" s="44" t="s">
        <v>134</v>
      </c>
      <c r="F346" s="44" t="s">
        <v>20</v>
      </c>
      <c r="G346" s="44" t="s">
        <v>120</v>
      </c>
      <c r="H346" s="44" t="s">
        <v>63</v>
      </c>
      <c r="I346" s="44" t="s">
        <v>128</v>
      </c>
      <c r="J346" s="44" t="s">
        <v>16</v>
      </c>
      <c r="K346" s="44" t="s">
        <v>135</v>
      </c>
      <c r="L346" s="40">
        <v>1121</v>
      </c>
      <c r="M346" s="41">
        <v>41339</v>
      </c>
      <c r="N346" s="40" t="s">
        <v>122</v>
      </c>
      <c r="O346" s="42">
        <f t="shared" si="15"/>
        <v>42430</v>
      </c>
      <c r="P346" s="40">
        <v>27</v>
      </c>
      <c r="Q346" s="207">
        <f>'[3]AEP_OH_CS - test CSGS3UMS'!G17</f>
        <v>18.712643530435084</v>
      </c>
      <c r="R346" s="207">
        <f>'[3]AEP_OH_CS - test CSGS3UMS'!H17</f>
        <v>17.463830178498508</v>
      </c>
      <c r="S346" s="207">
        <f>'[3]AEP_OH_CS - test CSGS3UMS'!I17</f>
        <v>17.707011596444044</v>
      </c>
      <c r="T346" s="207">
        <f>'[3]AEP_OH_CS - test CSGS3UMS'!J17</f>
        <v>18.954414731413763</v>
      </c>
      <c r="U346" s="207">
        <f>'[3]AEP_OH_CS - test CSGS3UMS'!K17</f>
        <v>20.776020861271139</v>
      </c>
      <c r="V346" s="145"/>
    </row>
    <row r="347" spans="1:22" x14ac:dyDescent="0.2">
      <c r="A347" s="89">
        <f t="shared" si="14"/>
        <v>339</v>
      </c>
      <c r="B347" s="43">
        <v>10</v>
      </c>
      <c r="C347" s="43">
        <v>6</v>
      </c>
      <c r="D347" s="38" t="s">
        <v>509</v>
      </c>
      <c r="E347" s="44" t="s">
        <v>137</v>
      </c>
      <c r="F347" s="44" t="s">
        <v>25</v>
      </c>
      <c r="G347" s="44" t="s">
        <v>138</v>
      </c>
      <c r="H347" s="44" t="s">
        <v>139</v>
      </c>
      <c r="I347" s="44" t="s">
        <v>29</v>
      </c>
      <c r="J347" s="44" t="s">
        <v>30</v>
      </c>
      <c r="K347" s="44" t="s">
        <v>140</v>
      </c>
      <c r="L347" s="40">
        <v>1122</v>
      </c>
      <c r="M347" s="41">
        <v>41339</v>
      </c>
      <c r="N347" s="40" t="s">
        <v>122</v>
      </c>
      <c r="O347" s="42">
        <f t="shared" si="15"/>
        <v>42430</v>
      </c>
      <c r="P347" s="40">
        <v>27</v>
      </c>
      <c r="Q347" s="207">
        <f>'[3]Ameren RateZnIII LP DS2HHMS'!G17</f>
        <v>32.373907044014011</v>
      </c>
      <c r="R347" s="207">
        <f>'[3]Ameren RateZnIII LP DS2HHMS'!H17</f>
        <v>34.416104820856134</v>
      </c>
      <c r="S347" s="207">
        <f>'[3]Ameren RateZnIII LP DS2HHMS'!I17</f>
        <v>34.525655329437164</v>
      </c>
      <c r="T347" s="207">
        <f>'[3]Ameren RateZnIII LP DS2HHMS'!J17</f>
        <v>35.363226597565756</v>
      </c>
      <c r="U347" s="207">
        <f>'[3]Ameren RateZnIII LP DS2HHMS'!K17</f>
        <v>36.402308867883001</v>
      </c>
      <c r="V347" s="145"/>
    </row>
    <row r="348" spans="1:22" x14ac:dyDescent="0.2">
      <c r="A348" s="89">
        <f t="shared" si="14"/>
        <v>340</v>
      </c>
      <c r="B348" s="43">
        <v>10</v>
      </c>
      <c r="C348" s="43">
        <v>7</v>
      </c>
      <c r="D348" s="38" t="s">
        <v>510</v>
      </c>
      <c r="E348" s="44" t="s">
        <v>142</v>
      </c>
      <c r="F348" s="44" t="s">
        <v>39</v>
      </c>
      <c r="G348" s="44" t="s">
        <v>120</v>
      </c>
      <c r="H348" s="44" t="s">
        <v>40</v>
      </c>
      <c r="I348" s="44" t="s">
        <v>40</v>
      </c>
      <c r="J348" s="44" t="s">
        <v>42</v>
      </c>
      <c r="K348" s="44" t="s">
        <v>135</v>
      </c>
      <c r="L348" s="40">
        <v>1124</v>
      </c>
      <c r="M348" s="41">
        <v>41339</v>
      </c>
      <c r="N348" s="40" t="s">
        <v>122</v>
      </c>
      <c r="O348" s="42">
        <f t="shared" si="15"/>
        <v>42430</v>
      </c>
      <c r="P348" s="40">
        <v>27</v>
      </c>
      <c r="Q348" s="207">
        <f>'[3]BGE LP_GLMS'!G17</f>
        <v>33.467606417383934</v>
      </c>
      <c r="R348" s="207">
        <f>'[3]BGE LP_GLMS'!H17</f>
        <v>32.924960921880725</v>
      </c>
      <c r="S348" s="207">
        <f>'[3]BGE LP_GLMS'!I17</f>
        <v>32.496684266723484</v>
      </c>
      <c r="T348" s="207">
        <f>'[3]BGE LP_GLMS'!J17</f>
        <v>32.645516478623357</v>
      </c>
      <c r="U348" s="207">
        <f>'[3]BGE LP_GLMS'!K17</f>
        <v>35.94110641712156</v>
      </c>
      <c r="V348" s="145"/>
    </row>
    <row r="349" spans="1:22" x14ac:dyDescent="0.2">
      <c r="A349" s="89">
        <f t="shared" si="14"/>
        <v>341</v>
      </c>
      <c r="B349" s="43">
        <v>10</v>
      </c>
      <c r="C349" s="43">
        <v>8</v>
      </c>
      <c r="D349" s="38" t="s">
        <v>511</v>
      </c>
      <c r="E349" s="44" t="s">
        <v>144</v>
      </c>
      <c r="F349" s="44" t="s">
        <v>39</v>
      </c>
      <c r="G349" s="44" t="s">
        <v>120</v>
      </c>
      <c r="H349" s="44" t="s">
        <v>40</v>
      </c>
      <c r="I349" s="44" t="s">
        <v>40</v>
      </c>
      <c r="J349" s="44" t="s">
        <v>41</v>
      </c>
      <c r="K349" s="44" t="s">
        <v>132</v>
      </c>
      <c r="L349" s="40">
        <v>1123</v>
      </c>
      <c r="M349" s="41">
        <v>41339</v>
      </c>
      <c r="N349" s="40" t="s">
        <v>122</v>
      </c>
      <c r="O349" s="42">
        <f t="shared" si="15"/>
        <v>42430</v>
      </c>
      <c r="P349" s="40">
        <v>27</v>
      </c>
      <c r="Q349" s="207">
        <f>'[3]BGE LP_GMS'!G17</f>
        <v>33.809501756088387</v>
      </c>
      <c r="R349" s="207">
        <f>'[3]BGE LP_GMS'!H17</f>
        <v>32.988621961113424</v>
      </c>
      <c r="S349" s="207">
        <f>'[3]BGE LP_GMS'!I17</f>
        <v>32.651037864692739</v>
      </c>
      <c r="T349" s="207">
        <f>'[3]BGE LP_GMS'!J17</f>
        <v>32.773981454887029</v>
      </c>
      <c r="U349" s="207">
        <f>'[3]BGE LP_GMS'!K17</f>
        <v>36.101364605017714</v>
      </c>
      <c r="V349" s="145"/>
    </row>
    <row r="350" spans="1:22" x14ac:dyDescent="0.2">
      <c r="A350" s="89">
        <f t="shared" si="14"/>
        <v>342</v>
      </c>
      <c r="B350" s="43">
        <v>10</v>
      </c>
      <c r="C350" s="43">
        <v>9</v>
      </c>
      <c r="D350" s="38" t="s">
        <v>512</v>
      </c>
      <c r="E350" s="44" t="s">
        <v>146</v>
      </c>
      <c r="F350" s="44" t="s">
        <v>39</v>
      </c>
      <c r="G350" s="44" t="s">
        <v>120</v>
      </c>
      <c r="H350" s="44" t="s">
        <v>40</v>
      </c>
      <c r="I350" s="44" t="s">
        <v>40</v>
      </c>
      <c r="J350" s="44" t="s">
        <v>7</v>
      </c>
      <c r="K350" s="44" t="s">
        <v>129</v>
      </c>
      <c r="L350" s="40">
        <v>1125</v>
      </c>
      <c r="M350" s="41">
        <v>41339</v>
      </c>
      <c r="N350" s="40" t="s">
        <v>122</v>
      </c>
      <c r="O350" s="42">
        <f t="shared" si="15"/>
        <v>42430</v>
      </c>
      <c r="P350" s="40">
        <v>27</v>
      </c>
      <c r="Q350" s="207">
        <f>'[3]BGE LP_GSMS'!G17</f>
        <v>34.840831154271193</v>
      </c>
      <c r="R350" s="207">
        <f>'[3]BGE LP_GSMS'!H17</f>
        <v>33.927430111121929</v>
      </c>
      <c r="S350" s="207">
        <f>'[3]BGE LP_GSMS'!I17</f>
        <v>33.621423535652625</v>
      </c>
      <c r="T350" s="207">
        <f>'[3]BGE LP_GSMS'!J17</f>
        <v>33.600897250188382</v>
      </c>
      <c r="U350" s="207">
        <f>'[3]BGE LP_GSMS'!K17</f>
        <v>36.879216041788347</v>
      </c>
      <c r="V350" s="145"/>
    </row>
    <row r="351" spans="1:22" x14ac:dyDescent="0.2">
      <c r="A351" s="89">
        <f t="shared" si="14"/>
        <v>343</v>
      </c>
      <c r="B351" s="43">
        <v>10</v>
      </c>
      <c r="C351" s="43">
        <v>10</v>
      </c>
      <c r="D351" s="38" t="s">
        <v>513</v>
      </c>
      <c r="E351" s="44" t="s">
        <v>148</v>
      </c>
      <c r="F351" s="44" t="s">
        <v>25</v>
      </c>
      <c r="G351" s="44" t="s">
        <v>120</v>
      </c>
      <c r="H351" s="44" t="s">
        <v>149</v>
      </c>
      <c r="I351" s="44" t="s">
        <v>26</v>
      </c>
      <c r="J351" s="44" t="s">
        <v>27</v>
      </c>
      <c r="K351" s="44" t="s">
        <v>150</v>
      </c>
      <c r="L351" s="40">
        <v>1126</v>
      </c>
      <c r="M351" s="41">
        <v>41339</v>
      </c>
      <c r="N351" s="40" t="s">
        <v>122</v>
      </c>
      <c r="O351" s="42">
        <f t="shared" si="15"/>
        <v>42430</v>
      </c>
      <c r="P351" s="40">
        <v>27</v>
      </c>
      <c r="Q351" s="207">
        <f>'[3]ComEd - test LP_28MS'!G17</f>
        <v>27.105416877338321</v>
      </c>
      <c r="R351" s="207">
        <f>'[3]ComEd - test LP_28MS'!H17</f>
        <v>25.447932815944391</v>
      </c>
      <c r="S351" s="207">
        <f>'[3]ComEd - test LP_28MS'!I17</f>
        <v>25.915127816870051</v>
      </c>
      <c r="T351" s="207">
        <f>'[3]ComEd - test LP_28MS'!J17</f>
        <v>27.131161807304498</v>
      </c>
      <c r="U351" s="207">
        <f>'[3]ComEd - test LP_28MS'!K17</f>
        <v>28.812571460496891</v>
      </c>
      <c r="V351" s="145"/>
    </row>
    <row r="352" spans="1:22" x14ac:dyDescent="0.2">
      <c r="A352" s="89">
        <f t="shared" si="14"/>
        <v>344</v>
      </c>
      <c r="B352" s="43">
        <v>10</v>
      </c>
      <c r="C352" s="43">
        <v>11</v>
      </c>
      <c r="D352" s="38" t="s">
        <v>514</v>
      </c>
      <c r="E352" s="44" t="s">
        <v>152</v>
      </c>
      <c r="F352" s="44" t="s">
        <v>25</v>
      </c>
      <c r="G352" s="44" t="s">
        <v>120</v>
      </c>
      <c r="H352" s="44" t="s">
        <v>149</v>
      </c>
      <c r="I352" s="44" t="s">
        <v>26</v>
      </c>
      <c r="J352" s="44" t="s">
        <v>28</v>
      </c>
      <c r="K352" s="44" t="s">
        <v>153</v>
      </c>
      <c r="L352" s="40">
        <v>1127</v>
      </c>
      <c r="M352" s="41">
        <v>41339</v>
      </c>
      <c r="N352" s="40" t="s">
        <v>122</v>
      </c>
      <c r="O352" s="42">
        <f t="shared" si="15"/>
        <v>42430</v>
      </c>
      <c r="P352" s="40">
        <v>27</v>
      </c>
      <c r="Q352" s="207">
        <f>'[3]ComEd - test LP_29MS'!G17</f>
        <v>26.240912667271274</v>
      </c>
      <c r="R352" s="207">
        <f>'[3]ComEd - test LP_29MS'!H17</f>
        <v>24.540963070796113</v>
      </c>
      <c r="S352" s="207">
        <f>'[3]ComEd - test LP_29MS'!I17</f>
        <v>25.020698046465551</v>
      </c>
      <c r="T352" s="207">
        <f>'[3]ComEd - test LP_29MS'!J17</f>
        <v>26.226058978577804</v>
      </c>
      <c r="U352" s="207">
        <f>'[3]ComEd - test LP_29MS'!K17</f>
        <v>27.910227071971505</v>
      </c>
      <c r="V352" s="145"/>
    </row>
    <row r="353" spans="1:22" x14ac:dyDescent="0.2">
      <c r="A353" s="89">
        <f t="shared" si="14"/>
        <v>345</v>
      </c>
      <c r="B353" s="43">
        <v>10</v>
      </c>
      <c r="C353" s="43">
        <v>12</v>
      </c>
      <c r="D353" s="38" t="s">
        <v>515</v>
      </c>
      <c r="E353" s="44" t="s">
        <v>155</v>
      </c>
      <c r="F353" s="44" t="s">
        <v>20</v>
      </c>
      <c r="G353" s="44" t="s">
        <v>120</v>
      </c>
      <c r="H353" s="44" t="s">
        <v>105</v>
      </c>
      <c r="I353" s="44" t="s">
        <v>156</v>
      </c>
      <c r="J353" s="44" t="s">
        <v>22</v>
      </c>
      <c r="K353" s="44" t="s">
        <v>157</v>
      </c>
      <c r="L353" s="40">
        <v>1128</v>
      </c>
      <c r="M353" s="41">
        <v>41339</v>
      </c>
      <c r="N353" s="40" t="s">
        <v>122</v>
      </c>
      <c r="O353" s="42">
        <f t="shared" si="15"/>
        <v>42430</v>
      </c>
      <c r="P353" s="40">
        <v>27</v>
      </c>
      <c r="Q353" s="207">
        <f>[3]DAY_RC_843MS!G17</f>
        <v>18.956832121426995</v>
      </c>
      <c r="R353" s="207">
        <f>[3]DAY_RC_843MS!H17</f>
        <v>16.393517438617831</v>
      </c>
      <c r="S353" s="207">
        <f>[3]DAY_RC_843MS!I17</f>
        <v>17.01618417378219</v>
      </c>
      <c r="T353" s="207">
        <f>[3]DAY_RC_843MS!J17</f>
        <v>17.942838077434935</v>
      </c>
      <c r="U353" s="207">
        <f>[3]DAY_RC_843MS!K17</f>
        <v>19.540366322982564</v>
      </c>
      <c r="V353" s="145"/>
    </row>
    <row r="354" spans="1:22" x14ac:dyDescent="0.2">
      <c r="A354" s="89">
        <f t="shared" si="14"/>
        <v>346</v>
      </c>
      <c r="B354" s="43">
        <v>10</v>
      </c>
      <c r="C354" s="43">
        <v>13</v>
      </c>
      <c r="D354" s="38" t="s">
        <v>516</v>
      </c>
      <c r="E354" s="44" t="s">
        <v>159</v>
      </c>
      <c r="F354" s="44" t="s">
        <v>39</v>
      </c>
      <c r="G354" s="44" t="s">
        <v>120</v>
      </c>
      <c r="H354" s="44" t="s">
        <v>43</v>
      </c>
      <c r="I354" s="44" t="s">
        <v>43</v>
      </c>
      <c r="J354" s="44" t="s">
        <v>7</v>
      </c>
      <c r="K354" s="44" t="s">
        <v>140</v>
      </c>
      <c r="L354" s="40">
        <v>1129</v>
      </c>
      <c r="M354" s="41">
        <v>41339</v>
      </c>
      <c r="N354" s="40" t="s">
        <v>122</v>
      </c>
      <c r="O354" s="42">
        <f t="shared" si="15"/>
        <v>42430</v>
      </c>
      <c r="P354" s="40">
        <v>27</v>
      </c>
      <c r="Q354" s="207">
        <f>'[3]Delmarva MD LP_MDGS_MMS'!G17</f>
        <v>36.649277619236244</v>
      </c>
      <c r="R354" s="207">
        <f>'[3]Delmarva MD LP_MDGS_MMS'!H17</f>
        <v>36.707865326813163</v>
      </c>
      <c r="S354" s="207">
        <f>'[3]Delmarva MD LP_MDGS_MMS'!I17</f>
        <v>36.208360183332445</v>
      </c>
      <c r="T354" s="207">
        <f>'[3]Delmarva MD LP_MDGS_MMS'!J17</f>
        <v>36.614122584852502</v>
      </c>
      <c r="U354" s="207">
        <f>'[3]Delmarva MD LP_MDGS_MMS'!K17</f>
        <v>40.562790821007518</v>
      </c>
      <c r="V354" s="145"/>
    </row>
    <row r="355" spans="1:22" x14ac:dyDescent="0.2">
      <c r="A355" s="89">
        <f t="shared" si="14"/>
        <v>347</v>
      </c>
      <c r="B355" s="43">
        <v>10</v>
      </c>
      <c r="C355" s="43">
        <v>14</v>
      </c>
      <c r="D355" s="38" t="s">
        <v>517</v>
      </c>
      <c r="E355" s="44" t="s">
        <v>161</v>
      </c>
      <c r="F355" s="44" t="s">
        <v>6</v>
      </c>
      <c r="G355" s="44" t="s">
        <v>120</v>
      </c>
      <c r="H355" s="44" t="s">
        <v>48</v>
      </c>
      <c r="I355" s="44" t="s">
        <v>48</v>
      </c>
      <c r="J355" s="44" t="s">
        <v>7</v>
      </c>
      <c r="K355" s="44" t="s">
        <v>140</v>
      </c>
      <c r="L355" s="40">
        <v>1130</v>
      </c>
      <c r="M355" s="41">
        <v>41339</v>
      </c>
      <c r="N355" s="40" t="s">
        <v>122</v>
      </c>
      <c r="O355" s="42">
        <f t="shared" si="15"/>
        <v>42430</v>
      </c>
      <c r="P355" s="40">
        <v>27</v>
      </c>
      <c r="Q355" s="207">
        <f>'[3]DQE LP_GSGM_MMS'!G17</f>
        <v>30.78436680376295</v>
      </c>
      <c r="R355" s="207">
        <f>'[3]DQE LP_GSGM_MMS'!H17</f>
        <v>29.125397284679973</v>
      </c>
      <c r="S355" s="207">
        <f>'[3]DQE LP_GSGM_MMS'!I17</f>
        <v>29.58640310263506</v>
      </c>
      <c r="T355" s="207">
        <f>'[3]DQE LP_GSGM_MMS'!J17</f>
        <v>30.796336502815929</v>
      </c>
      <c r="U355" s="207">
        <f>'[3]DQE LP_GSGM_MMS'!K17</f>
        <v>32.484968937631365</v>
      </c>
      <c r="V355" s="145"/>
    </row>
    <row r="356" spans="1:22" x14ac:dyDescent="0.2">
      <c r="A356" s="89">
        <f t="shared" si="14"/>
        <v>348</v>
      </c>
      <c r="B356" s="43">
        <v>10</v>
      </c>
      <c r="C356" s="43">
        <v>15</v>
      </c>
      <c r="D356" s="38" t="s">
        <v>518</v>
      </c>
      <c r="E356" s="44" t="s">
        <v>163</v>
      </c>
      <c r="F356" s="44" t="s">
        <v>20</v>
      </c>
      <c r="G356" s="44" t="s">
        <v>120</v>
      </c>
      <c r="H356" s="44" t="s">
        <v>23</v>
      </c>
      <c r="I356" s="44" t="s">
        <v>164</v>
      </c>
      <c r="J356" s="44" t="s">
        <v>24</v>
      </c>
      <c r="K356" s="44" t="s">
        <v>140</v>
      </c>
      <c r="L356" s="40">
        <v>1131</v>
      </c>
      <c r="M356" s="41">
        <v>41339</v>
      </c>
      <c r="N356" s="40" t="s">
        <v>122</v>
      </c>
      <c r="O356" s="42">
        <f t="shared" si="15"/>
        <v>42430</v>
      </c>
      <c r="P356" s="40">
        <v>27</v>
      </c>
      <c r="Q356" s="207">
        <f>[3]Duke_OH_RC_DS01MS!G17</f>
        <v>17.712299349001498</v>
      </c>
      <c r="R356" s="207">
        <f>[3]Duke_OH_RC_DS01MS!H17</f>
        <v>16.280335792579002</v>
      </c>
      <c r="S356" s="207">
        <f>[3]Duke_OH_RC_DS01MS!I17</f>
        <v>16.557406055510569</v>
      </c>
      <c r="T356" s="207">
        <f>[3]Duke_OH_RC_DS01MS!J17</f>
        <v>17.740906768190872</v>
      </c>
      <c r="U356" s="207">
        <f>[3]Duke_OH_RC_DS01MS!K17</f>
        <v>19.231093439702487</v>
      </c>
      <c r="V356" s="145"/>
    </row>
    <row r="357" spans="1:22" x14ac:dyDescent="0.2">
      <c r="A357" s="89">
        <f t="shared" si="14"/>
        <v>349</v>
      </c>
      <c r="B357" s="43">
        <v>10</v>
      </c>
      <c r="C357" s="43">
        <v>16</v>
      </c>
      <c r="D357" s="38" t="s">
        <v>519</v>
      </c>
      <c r="E357" s="44" t="s">
        <v>166</v>
      </c>
      <c r="F357" s="44" t="s">
        <v>20</v>
      </c>
      <c r="G357" s="44" t="s">
        <v>120</v>
      </c>
      <c r="H357" s="44" t="s">
        <v>64</v>
      </c>
      <c r="I357" s="44" t="s">
        <v>167</v>
      </c>
      <c r="J357" s="44" t="s">
        <v>7</v>
      </c>
      <c r="K357" s="44" t="s">
        <v>140</v>
      </c>
      <c r="L357" s="40">
        <v>1132</v>
      </c>
      <c r="M357" s="41">
        <v>41339</v>
      </c>
      <c r="N357" s="40" t="s">
        <v>122</v>
      </c>
      <c r="O357" s="42">
        <f t="shared" si="15"/>
        <v>42430</v>
      </c>
      <c r="P357" s="40">
        <v>27</v>
      </c>
      <c r="Q357" s="207">
        <f>'[3]FE_OE - test RC_GSFMS'!G17</f>
        <v>31.221677099156437</v>
      </c>
      <c r="R357" s="207">
        <f>'[3]FE_OE - test RC_GSFMS'!H17</f>
        <v>25.406759986215377</v>
      </c>
      <c r="S357" s="207">
        <f>'[3]FE_OE - test RC_GSFMS'!I17</f>
        <v>24.286226713112573</v>
      </c>
      <c r="T357" s="207">
        <f>'[3]FE_OE - test RC_GSFMS'!J17</f>
        <v>24.029119677436665</v>
      </c>
      <c r="U357" s="207">
        <f>'[3]FE_OE - test RC_GSFMS'!K17</f>
        <v>28.523029025355264</v>
      </c>
      <c r="V357" s="145"/>
    </row>
    <row r="358" spans="1:22" x14ac:dyDescent="0.2">
      <c r="A358" s="89">
        <f t="shared" si="14"/>
        <v>350</v>
      </c>
      <c r="B358" s="43">
        <v>10</v>
      </c>
      <c r="C358" s="43">
        <v>17</v>
      </c>
      <c r="D358" s="38" t="s">
        <v>520</v>
      </c>
      <c r="E358" s="44" t="s">
        <v>169</v>
      </c>
      <c r="F358" s="44" t="s">
        <v>31</v>
      </c>
      <c r="G358" s="44" t="s">
        <v>120</v>
      </c>
      <c r="H358" s="44" t="s">
        <v>35</v>
      </c>
      <c r="I358" s="44" t="s">
        <v>35</v>
      </c>
      <c r="J358" s="44" t="s">
        <v>9</v>
      </c>
      <c r="K358" s="44" t="s">
        <v>135</v>
      </c>
      <c r="L358" s="40">
        <v>1133</v>
      </c>
      <c r="M358" s="41">
        <v>41339</v>
      </c>
      <c r="N358" s="40" t="s">
        <v>122</v>
      </c>
      <c r="O358" s="42">
        <f t="shared" si="15"/>
        <v>42430</v>
      </c>
      <c r="P358" s="40">
        <v>27</v>
      </c>
      <c r="Q358" s="207">
        <f>'[3]JCPL LP_GSCLMS'!G17</f>
        <v>45.292692268123986</v>
      </c>
      <c r="R358" s="207">
        <f>'[3]JCPL LP_GSCLMS'!H17</f>
        <v>45.351401541097943</v>
      </c>
      <c r="S358" s="207">
        <f>'[3]JCPL LP_GSCLMS'!I17</f>
        <v>45.004569083168889</v>
      </c>
      <c r="T358" s="207">
        <f>'[3]JCPL LP_GSCLMS'!J17</f>
        <v>45.611291549376347</v>
      </c>
      <c r="U358" s="207">
        <f>'[3]JCPL LP_GSCLMS'!K17</f>
        <v>49.677249351855899</v>
      </c>
      <c r="V358" s="145"/>
    </row>
    <row r="359" spans="1:22" x14ac:dyDescent="0.2">
      <c r="A359" s="89">
        <f t="shared" si="14"/>
        <v>351</v>
      </c>
      <c r="B359" s="43">
        <v>10</v>
      </c>
      <c r="C359" s="43">
        <v>18</v>
      </c>
      <c r="D359" s="38" t="s">
        <v>521</v>
      </c>
      <c r="E359" s="44" t="s">
        <v>171</v>
      </c>
      <c r="F359" s="44" t="s">
        <v>31</v>
      </c>
      <c r="G359" s="44" t="s">
        <v>120</v>
      </c>
      <c r="H359" s="44" t="s">
        <v>35</v>
      </c>
      <c r="I359" s="44" t="s">
        <v>35</v>
      </c>
      <c r="J359" s="44" t="s">
        <v>10</v>
      </c>
      <c r="K359" s="44" t="s">
        <v>132</v>
      </c>
      <c r="L359" s="40">
        <v>1134</v>
      </c>
      <c r="M359" s="41">
        <v>41339</v>
      </c>
      <c r="N359" s="40" t="s">
        <v>122</v>
      </c>
      <c r="O359" s="42">
        <f t="shared" si="15"/>
        <v>42430</v>
      </c>
      <c r="P359" s="40">
        <v>27</v>
      </c>
      <c r="Q359" s="207">
        <f>'[3]JCPL LP_GSCMMS'!G17</f>
        <v>45.203985315621381</v>
      </c>
      <c r="R359" s="207">
        <f>'[3]JCPL LP_GSCMMS'!H17</f>
        <v>46.273873755706603</v>
      </c>
      <c r="S359" s="207">
        <f>'[3]JCPL LP_GSCMMS'!I17</f>
        <v>45.612382829359156</v>
      </c>
      <c r="T359" s="207">
        <f>'[3]JCPL LP_GSCMMS'!J17</f>
        <v>46.543294935888156</v>
      </c>
      <c r="U359" s="207">
        <f>'[3]JCPL LP_GSCMMS'!K17</f>
        <v>50.618099018778679</v>
      </c>
      <c r="V359" s="145"/>
    </row>
    <row r="360" spans="1:22" x14ac:dyDescent="0.2">
      <c r="A360" s="89">
        <f t="shared" si="14"/>
        <v>352</v>
      </c>
      <c r="B360" s="43">
        <v>10</v>
      </c>
      <c r="C360" s="43">
        <v>19</v>
      </c>
      <c r="D360" s="38" t="s">
        <v>522</v>
      </c>
      <c r="E360" s="44" t="s">
        <v>173</v>
      </c>
      <c r="F360" s="44" t="s">
        <v>31</v>
      </c>
      <c r="G360" s="44" t="s">
        <v>120</v>
      </c>
      <c r="H360" s="44" t="s">
        <v>35</v>
      </c>
      <c r="I360" s="44" t="s">
        <v>35</v>
      </c>
      <c r="J360" s="44" t="s">
        <v>11</v>
      </c>
      <c r="K360" s="44" t="s">
        <v>129</v>
      </c>
      <c r="L360" s="40">
        <v>1135</v>
      </c>
      <c r="M360" s="41">
        <v>41339</v>
      </c>
      <c r="N360" s="40" t="s">
        <v>122</v>
      </c>
      <c r="O360" s="42">
        <f t="shared" si="15"/>
        <v>42430</v>
      </c>
      <c r="P360" s="40">
        <v>27</v>
      </c>
      <c r="Q360" s="207">
        <f>'[3]JCPL LP_GSCSMS'!G17</f>
        <v>47.427423694694347</v>
      </c>
      <c r="R360" s="207">
        <f>'[3]JCPL LP_GSCSMS'!H17</f>
        <v>46.513675216403868</v>
      </c>
      <c r="S360" s="207">
        <f>'[3]JCPL LP_GSCSMS'!I17</f>
        <v>46.480635766641583</v>
      </c>
      <c r="T360" s="207">
        <f>'[3]JCPL LP_GSCSMS'!J17</f>
        <v>46.753032799327691</v>
      </c>
      <c r="U360" s="207">
        <f>'[3]JCPL LP_GSCSMS'!K17</f>
        <v>50.810955489403234</v>
      </c>
      <c r="V360" s="145"/>
    </row>
    <row r="361" spans="1:22" x14ac:dyDescent="0.2">
      <c r="A361" s="89">
        <f t="shared" si="14"/>
        <v>353</v>
      </c>
      <c r="B361" s="43">
        <v>10</v>
      </c>
      <c r="C361" s="43">
        <v>20</v>
      </c>
      <c r="D361" s="38" t="s">
        <v>523</v>
      </c>
      <c r="E361" s="44" t="s">
        <v>175</v>
      </c>
      <c r="F361" s="44" t="s">
        <v>6</v>
      </c>
      <c r="G361" s="44" t="s">
        <v>120</v>
      </c>
      <c r="H361" s="44" t="s">
        <v>176</v>
      </c>
      <c r="I361" s="44" t="s">
        <v>177</v>
      </c>
      <c r="J361" s="44" t="s">
        <v>9</v>
      </c>
      <c r="K361" s="44" t="s">
        <v>135</v>
      </c>
      <c r="L361" s="40">
        <v>1137</v>
      </c>
      <c r="M361" s="41">
        <v>41339</v>
      </c>
      <c r="N361" s="40" t="s">
        <v>122</v>
      </c>
      <c r="O361" s="42">
        <f t="shared" si="15"/>
        <v>42430</v>
      </c>
      <c r="P361" s="40">
        <v>27</v>
      </c>
      <c r="Q361" s="207">
        <f>'[3]MetEd RC_GSLFMS'!G17</f>
        <v>26.980051747814166</v>
      </c>
      <c r="R361" s="207">
        <f>'[3]MetEd RC_GSLFMS'!H17</f>
        <v>26.462457888595889</v>
      </c>
      <c r="S361" s="207">
        <f>'[3]MetEd RC_GSLFMS'!I17</f>
        <v>26.03628035879715</v>
      </c>
      <c r="T361" s="207">
        <f>'[3]MetEd RC_GSLFMS'!J17</f>
        <v>26.127787381145438</v>
      </c>
      <c r="U361" s="207">
        <f>'[3]MetEd RC_GSLFMS'!K17</f>
        <v>29.227962456757584</v>
      </c>
      <c r="V361" s="145"/>
    </row>
    <row r="362" spans="1:22" x14ac:dyDescent="0.2">
      <c r="A362" s="89">
        <f t="shared" si="14"/>
        <v>354</v>
      </c>
      <c r="B362" s="43">
        <v>10</v>
      </c>
      <c r="C362" s="43">
        <v>21</v>
      </c>
      <c r="D362" s="38" t="s">
        <v>524</v>
      </c>
      <c r="E362" s="44" t="s">
        <v>179</v>
      </c>
      <c r="F362" s="44" t="s">
        <v>6</v>
      </c>
      <c r="G362" s="44" t="s">
        <v>120</v>
      </c>
      <c r="H362" s="44" t="s">
        <v>176</v>
      </c>
      <c r="I362" s="44" t="s">
        <v>177</v>
      </c>
      <c r="J362" s="44" t="s">
        <v>10</v>
      </c>
      <c r="K362" s="44" t="s">
        <v>132</v>
      </c>
      <c r="L362" s="40">
        <v>1136</v>
      </c>
      <c r="M362" s="41">
        <v>41339</v>
      </c>
      <c r="N362" s="40" t="s">
        <v>122</v>
      </c>
      <c r="O362" s="42">
        <f t="shared" si="15"/>
        <v>42430</v>
      </c>
      <c r="P362" s="40">
        <v>27</v>
      </c>
      <c r="Q362" s="207">
        <f>'[3]MetEd RC_GSDFMS'!G17</f>
        <v>28.07708520486667</v>
      </c>
      <c r="R362" s="207">
        <f>'[3]MetEd RC_GSDFMS'!H17</f>
        <v>27.554465633789572</v>
      </c>
      <c r="S362" s="207">
        <f>'[3]MetEd RC_GSDFMS'!I17</f>
        <v>27.133828840018442</v>
      </c>
      <c r="T362" s="207">
        <f>'[3]MetEd RC_GSDFMS'!J17</f>
        <v>27.216170646794946</v>
      </c>
      <c r="U362" s="207">
        <f>'[3]MetEd RC_GSDFMS'!K17</f>
        <v>30.315114145821319</v>
      </c>
      <c r="V362" s="145"/>
    </row>
    <row r="363" spans="1:22" x14ac:dyDescent="0.2">
      <c r="A363" s="89">
        <f t="shared" si="14"/>
        <v>355</v>
      </c>
      <c r="B363" s="43">
        <v>10</v>
      </c>
      <c r="C363" s="43">
        <v>22</v>
      </c>
      <c r="D363" s="38" t="s">
        <v>525</v>
      </c>
      <c r="E363" s="44" t="s">
        <v>181</v>
      </c>
      <c r="F363" s="44" t="s">
        <v>6</v>
      </c>
      <c r="G363" s="44" t="s">
        <v>120</v>
      </c>
      <c r="H363" s="44" t="s">
        <v>176</v>
      </c>
      <c r="I363" s="44" t="s">
        <v>177</v>
      </c>
      <c r="J363" s="44" t="s">
        <v>11</v>
      </c>
      <c r="K363" s="44" t="s">
        <v>129</v>
      </c>
      <c r="L363" s="40">
        <v>1138</v>
      </c>
      <c r="M363" s="41">
        <v>41339</v>
      </c>
      <c r="N363" s="40" t="s">
        <v>122</v>
      </c>
      <c r="O363" s="42">
        <f t="shared" si="15"/>
        <v>42430</v>
      </c>
      <c r="P363" s="40">
        <v>27</v>
      </c>
      <c r="Q363" s="207">
        <f>'[3]MetEd RC_GSSFMS'!G17</f>
        <v>29.605294388486868</v>
      </c>
      <c r="R363" s="207">
        <f>'[3]MetEd RC_GSSFMS'!H17</f>
        <v>27.47506192425497</v>
      </c>
      <c r="S363" s="207">
        <f>'[3]MetEd RC_GSSFMS'!I17</f>
        <v>27.534543324484076</v>
      </c>
      <c r="T363" s="207">
        <f>'[3]MetEd RC_GSSFMS'!J17</f>
        <v>27.140824261410355</v>
      </c>
      <c r="U363" s="207">
        <f>'[3]MetEd RC_GSSFMS'!K17</f>
        <v>30.242051846179582</v>
      </c>
      <c r="V363" s="145"/>
    </row>
    <row r="364" spans="1:22" x14ac:dyDescent="0.2">
      <c r="A364" s="89">
        <f t="shared" si="14"/>
        <v>356</v>
      </c>
      <c r="B364" s="43">
        <v>10</v>
      </c>
      <c r="C364" s="43">
        <v>23</v>
      </c>
      <c r="D364" s="38" t="s">
        <v>526</v>
      </c>
      <c r="E364" s="44" t="s">
        <v>183</v>
      </c>
      <c r="F364" s="44" t="s">
        <v>6</v>
      </c>
      <c r="G364" s="44" t="s">
        <v>120</v>
      </c>
      <c r="H364" s="44" t="s">
        <v>13</v>
      </c>
      <c r="I364" s="44" t="s">
        <v>13</v>
      </c>
      <c r="J364" s="44" t="s">
        <v>7</v>
      </c>
      <c r="K364" s="44" t="s">
        <v>140</v>
      </c>
      <c r="L364" s="40">
        <v>1139</v>
      </c>
      <c r="M364" s="41">
        <v>41339</v>
      </c>
      <c r="N364" s="40" t="s">
        <v>122</v>
      </c>
      <c r="O364" s="42">
        <f t="shared" si="15"/>
        <v>42430</v>
      </c>
      <c r="P364" s="40">
        <v>27</v>
      </c>
      <c r="Q364" s="207">
        <f>'[3]PECO LP_GSMS'!G17</f>
        <v>30.097696291722137</v>
      </c>
      <c r="R364" s="207">
        <f>'[3]PECO LP_GSMS'!H17</f>
        <v>30.144966815898652</v>
      </c>
      <c r="S364" s="207">
        <f>'[3]PECO LP_GSMS'!I17</f>
        <v>29.498968325870916</v>
      </c>
      <c r="T364" s="207">
        <f>'[3]PECO LP_GSMS'!J17</f>
        <v>29.76837325788998</v>
      </c>
      <c r="U364" s="207">
        <f>'[3]PECO LP_GSMS'!K17</f>
        <v>33.243940762384533</v>
      </c>
      <c r="V364" s="145"/>
    </row>
    <row r="365" spans="1:22" x14ac:dyDescent="0.2">
      <c r="A365" s="89">
        <f t="shared" si="14"/>
        <v>357</v>
      </c>
      <c r="B365" s="43">
        <v>10</v>
      </c>
      <c r="C365" s="43">
        <v>24</v>
      </c>
      <c r="D365" s="38" t="s">
        <v>527</v>
      </c>
      <c r="E365" s="44" t="s">
        <v>185</v>
      </c>
      <c r="F365" s="44" t="s">
        <v>6</v>
      </c>
      <c r="G365" s="44" t="s">
        <v>120</v>
      </c>
      <c r="H365" s="44" t="s">
        <v>12</v>
      </c>
      <c r="I365" s="44" t="s">
        <v>186</v>
      </c>
      <c r="J365" s="44" t="s">
        <v>9</v>
      </c>
      <c r="K365" s="44" t="s">
        <v>135</v>
      </c>
      <c r="L365" s="40">
        <v>1140</v>
      </c>
      <c r="M365" s="41">
        <v>41339</v>
      </c>
      <c r="N365" s="40" t="s">
        <v>122</v>
      </c>
      <c r="O365" s="42">
        <f t="shared" si="15"/>
        <v>42430</v>
      </c>
      <c r="P365" s="40">
        <v>27</v>
      </c>
      <c r="Q365" s="207">
        <f>'[3]Penelec RC_GSLFMS'!G17</f>
        <v>29.644194840263545</v>
      </c>
      <c r="R365" s="207">
        <f>'[3]Penelec RC_GSLFMS'!H17</f>
        <v>28.801896692220968</v>
      </c>
      <c r="S365" s="207">
        <f>'[3]Penelec RC_GSLFMS'!I17</f>
        <v>28.581340641466262</v>
      </c>
      <c r="T365" s="207">
        <f>'[3]Penelec RC_GSLFMS'!J17</f>
        <v>28.612731093134165</v>
      </c>
      <c r="U365" s="207">
        <f>'[3]Penelec RC_GSLFMS'!K17</f>
        <v>31.906984935172538</v>
      </c>
      <c r="V365" s="145"/>
    </row>
    <row r="366" spans="1:22" x14ac:dyDescent="0.2">
      <c r="A366" s="89">
        <f t="shared" si="14"/>
        <v>358</v>
      </c>
      <c r="B366" s="43">
        <v>10</v>
      </c>
      <c r="C366" s="43">
        <v>25</v>
      </c>
      <c r="D366" s="38" t="s">
        <v>528</v>
      </c>
      <c r="E366" s="44" t="s">
        <v>188</v>
      </c>
      <c r="F366" s="44" t="s">
        <v>6</v>
      </c>
      <c r="G366" s="44" t="s">
        <v>120</v>
      </c>
      <c r="H366" s="44" t="s">
        <v>12</v>
      </c>
      <c r="I366" s="44" t="s">
        <v>186</v>
      </c>
      <c r="J366" s="44" t="s">
        <v>10</v>
      </c>
      <c r="K366" s="44" t="s">
        <v>132</v>
      </c>
      <c r="L366" s="40">
        <v>1141</v>
      </c>
      <c r="M366" s="41">
        <v>41339</v>
      </c>
      <c r="N366" s="40" t="s">
        <v>122</v>
      </c>
      <c r="O366" s="42">
        <f t="shared" si="15"/>
        <v>42430</v>
      </c>
      <c r="P366" s="40">
        <v>27</v>
      </c>
      <c r="Q366" s="207">
        <f>'[3]Penelec RC_GSMFMS'!G17</f>
        <v>30.907067681596633</v>
      </c>
      <c r="R366" s="207">
        <f>'[3]Penelec RC_GSMFMS'!H17</f>
        <v>29.920626117676459</v>
      </c>
      <c r="S366" s="207">
        <f>'[3]Penelec RC_GSMFMS'!I17</f>
        <v>29.747553630266061</v>
      </c>
      <c r="T366" s="207">
        <f>'[3]Penelec RC_GSMFMS'!J17</f>
        <v>29.725752892479697</v>
      </c>
      <c r="U366" s="207">
        <f>'[3]Penelec RC_GSMFMS'!K17</f>
        <v>33.020370841149187</v>
      </c>
      <c r="V366" s="145"/>
    </row>
    <row r="367" spans="1:22" x14ac:dyDescent="0.2">
      <c r="A367" s="89">
        <f t="shared" si="14"/>
        <v>359</v>
      </c>
      <c r="B367" s="43">
        <v>10</v>
      </c>
      <c r="C367" s="43">
        <v>26</v>
      </c>
      <c r="D367" s="38" t="s">
        <v>529</v>
      </c>
      <c r="E367" s="44" t="s">
        <v>190</v>
      </c>
      <c r="F367" s="44" t="s">
        <v>6</v>
      </c>
      <c r="G367" s="44" t="s">
        <v>120</v>
      </c>
      <c r="H367" s="44" t="s">
        <v>12</v>
      </c>
      <c r="I367" s="44" t="s">
        <v>186</v>
      </c>
      <c r="J367" s="44" t="s">
        <v>11</v>
      </c>
      <c r="K367" s="44" t="s">
        <v>129</v>
      </c>
      <c r="L367" s="40">
        <v>1142</v>
      </c>
      <c r="M367" s="41">
        <v>41339</v>
      </c>
      <c r="N367" s="40" t="s">
        <v>122</v>
      </c>
      <c r="O367" s="42">
        <f t="shared" si="15"/>
        <v>42430</v>
      </c>
      <c r="P367" s="40">
        <v>27</v>
      </c>
      <c r="Q367" s="207">
        <f>'[3]Penelec RC_GSSFMS'!G17</f>
        <v>34.594076992452649</v>
      </c>
      <c r="R367" s="207">
        <f>'[3]Penelec RC_GSSFMS'!H17</f>
        <v>29.947446840065322</v>
      </c>
      <c r="S367" s="207">
        <f>'[3]Penelec RC_GSSFMS'!I17</f>
        <v>30.766962113197145</v>
      </c>
      <c r="T367" s="207">
        <f>'[3]Penelec RC_GSSFMS'!J17</f>
        <v>29.741724757660524</v>
      </c>
      <c r="U367" s="207">
        <f>'[3]Penelec RC_GSSFMS'!K17</f>
        <v>33.047191282723972</v>
      </c>
      <c r="V367" s="145"/>
    </row>
    <row r="368" spans="1:22" x14ac:dyDescent="0.2">
      <c r="A368" s="89">
        <f t="shared" si="14"/>
        <v>360</v>
      </c>
      <c r="B368" s="43">
        <v>10</v>
      </c>
      <c r="C368" s="43">
        <v>27</v>
      </c>
      <c r="D368" s="38" t="s">
        <v>530</v>
      </c>
      <c r="E368" s="44" t="s">
        <v>192</v>
      </c>
      <c r="F368" s="44" t="s">
        <v>6</v>
      </c>
      <c r="G368" s="44" t="s">
        <v>120</v>
      </c>
      <c r="H368" s="44" t="s">
        <v>100</v>
      </c>
      <c r="I368" s="44" t="s">
        <v>193</v>
      </c>
      <c r="J368" s="44" t="s">
        <v>7</v>
      </c>
      <c r="K368" s="44" t="s">
        <v>140</v>
      </c>
      <c r="L368" s="40">
        <v>1143</v>
      </c>
      <c r="M368" s="41">
        <v>41339</v>
      </c>
      <c r="N368" s="40" t="s">
        <v>122</v>
      </c>
      <c r="O368" s="42">
        <f t="shared" si="15"/>
        <v>42430</v>
      </c>
      <c r="P368" s="40">
        <v>27</v>
      </c>
      <c r="Q368" s="207">
        <f>'[3]Penn Power RC_GMDMS'!G17</f>
        <v>42.577149284268174</v>
      </c>
      <c r="R368" s="207">
        <f>'[3]Penn Power RC_GMDMS'!H17</f>
        <v>36.564277661494359</v>
      </c>
      <c r="S368" s="207">
        <f>'[3]Penn Power RC_GMDMS'!I17</f>
        <v>35.570628722591465</v>
      </c>
      <c r="T368" s="207">
        <f>'[3]Penn Power RC_GMDMS'!J17</f>
        <v>35.232011421777443</v>
      </c>
      <c r="U368" s="207">
        <f>'[3]Penn Power RC_GMDMS'!K17</f>
        <v>39.762989193578754</v>
      </c>
      <c r="V368" s="145"/>
    </row>
    <row r="369" spans="1:22" x14ac:dyDescent="0.2">
      <c r="A369" s="89">
        <f t="shared" si="14"/>
        <v>361</v>
      </c>
      <c r="B369" s="43">
        <v>10</v>
      </c>
      <c r="C369" s="43">
        <v>28</v>
      </c>
      <c r="D369" s="38" t="s">
        <v>531</v>
      </c>
      <c r="E369" s="44" t="s">
        <v>195</v>
      </c>
      <c r="F369" s="44" t="s">
        <v>39</v>
      </c>
      <c r="G369" s="44" t="s">
        <v>120</v>
      </c>
      <c r="H369" s="44" t="s">
        <v>44</v>
      </c>
      <c r="I369" s="44" t="s">
        <v>44</v>
      </c>
      <c r="J369" s="44" t="s">
        <v>7</v>
      </c>
      <c r="K369" s="44" t="s">
        <v>140</v>
      </c>
      <c r="L369" s="40">
        <v>1144</v>
      </c>
      <c r="M369" s="41">
        <v>41339</v>
      </c>
      <c r="N369" s="40" t="s">
        <v>122</v>
      </c>
      <c r="O369" s="42">
        <f t="shared" si="15"/>
        <v>42430</v>
      </c>
      <c r="P369" s="40">
        <v>27</v>
      </c>
      <c r="Q369" s="207">
        <f>'[3]PEPCO MD LP_MDNDMS'!G17</f>
        <v>34.053544599477576</v>
      </c>
      <c r="R369" s="207">
        <f>'[3]PEPCO MD LP_MDNDMS'!H17</f>
        <v>32.883408930469834</v>
      </c>
      <c r="S369" s="207">
        <f>'[3]PEPCO MD LP_MDNDMS'!I17</f>
        <v>32.731059956480628</v>
      </c>
      <c r="T369" s="207">
        <f>'[3]PEPCO MD LP_MDNDMS'!J17</f>
        <v>32.736554914008927</v>
      </c>
      <c r="U369" s="207">
        <f>'[3]PEPCO MD LP_MDNDMS'!K17</f>
        <v>36.477663598547998</v>
      </c>
      <c r="V369" s="145"/>
    </row>
    <row r="370" spans="1:22" x14ac:dyDescent="0.2">
      <c r="A370" s="89">
        <f t="shared" si="14"/>
        <v>362</v>
      </c>
      <c r="B370" s="43">
        <v>10</v>
      </c>
      <c r="C370" s="43">
        <v>29</v>
      </c>
      <c r="D370" s="38" t="s">
        <v>532</v>
      </c>
      <c r="E370" s="44" t="s">
        <v>197</v>
      </c>
      <c r="F370" s="44" t="s">
        <v>39</v>
      </c>
      <c r="G370" s="44" t="s">
        <v>120</v>
      </c>
      <c r="H370" s="44" t="s">
        <v>44</v>
      </c>
      <c r="I370" s="44" t="s">
        <v>44</v>
      </c>
      <c r="J370" s="44" t="s">
        <v>45</v>
      </c>
      <c r="K370" s="44" t="s">
        <v>198</v>
      </c>
      <c r="L370" s="40">
        <v>1145</v>
      </c>
      <c r="M370" s="41">
        <v>41339</v>
      </c>
      <c r="N370" s="40" t="s">
        <v>122</v>
      </c>
      <c r="O370" s="42">
        <f t="shared" si="15"/>
        <v>42430</v>
      </c>
      <c r="P370" s="40">
        <v>27</v>
      </c>
      <c r="Q370" s="207">
        <f>'[3]PEPCO MD LP_MMGTL2AMS'!G17</f>
        <v>32.010279858700201</v>
      </c>
      <c r="R370" s="207">
        <f>'[3]PEPCO MD LP_MMGTL2AMS'!H17</f>
        <v>31.784980236738505</v>
      </c>
      <c r="S370" s="207">
        <f>'[3]PEPCO MD LP_MMGTL2AMS'!I17</f>
        <v>31.339084625815477</v>
      </c>
      <c r="T370" s="207">
        <f>'[3]PEPCO MD LP_MMGTL2AMS'!J17</f>
        <v>31.625536857944347</v>
      </c>
      <c r="U370" s="207">
        <f>'[3]PEPCO MD LP_MMGTL2AMS'!K17</f>
        <v>35.339592809794866</v>
      </c>
      <c r="V370" s="145"/>
    </row>
    <row r="371" spans="1:22" x14ac:dyDescent="0.2">
      <c r="A371" s="89">
        <f t="shared" si="14"/>
        <v>363</v>
      </c>
      <c r="B371" s="43">
        <v>10</v>
      </c>
      <c r="C371" s="43">
        <v>30</v>
      </c>
      <c r="D371" s="38" t="s">
        <v>533</v>
      </c>
      <c r="E371" s="44" t="s">
        <v>200</v>
      </c>
      <c r="F371" s="44" t="s">
        <v>39</v>
      </c>
      <c r="G371" s="44" t="s">
        <v>120</v>
      </c>
      <c r="H371" s="44" t="s">
        <v>44</v>
      </c>
      <c r="I371" s="44" t="s">
        <v>44</v>
      </c>
      <c r="J371" s="44" t="s">
        <v>46</v>
      </c>
      <c r="K371" s="44" t="s">
        <v>46</v>
      </c>
      <c r="L371" s="40">
        <v>1146</v>
      </c>
      <c r="M371" s="41">
        <v>41339</v>
      </c>
      <c r="N371" s="40" t="s">
        <v>122</v>
      </c>
      <c r="O371" s="42">
        <f t="shared" si="15"/>
        <v>42430</v>
      </c>
      <c r="P371" s="40">
        <v>27</v>
      </c>
      <c r="Q371" s="207">
        <f>'[3]PEPCO MD RC_3T7MS'!G17</f>
        <v>34.603208389013666</v>
      </c>
      <c r="R371" s="207">
        <f>'[3]PEPCO MD RC_3T7MS'!H17</f>
        <v>32.607363968322446</v>
      </c>
      <c r="S371" s="207">
        <f>'[3]PEPCO MD RC_3T7MS'!I17</f>
        <v>32.721149611119117</v>
      </c>
      <c r="T371" s="207">
        <f>'[3]PEPCO MD RC_3T7MS'!J17</f>
        <v>32.563991600614692</v>
      </c>
      <c r="U371" s="207">
        <f>'[3]PEPCO MD RC_3T7MS'!K17</f>
        <v>36.326495892608705</v>
      </c>
      <c r="V371" s="145"/>
    </row>
    <row r="372" spans="1:22" x14ac:dyDescent="0.2">
      <c r="A372" s="89">
        <f t="shared" si="14"/>
        <v>364</v>
      </c>
      <c r="B372" s="43">
        <v>10</v>
      </c>
      <c r="C372" s="43">
        <v>31</v>
      </c>
      <c r="D372" s="38" t="s">
        <v>534</v>
      </c>
      <c r="E372" s="44" t="s">
        <v>202</v>
      </c>
      <c r="F372" s="44" t="s">
        <v>39</v>
      </c>
      <c r="G372" s="44" t="s">
        <v>120</v>
      </c>
      <c r="H372" s="44" t="s">
        <v>47</v>
      </c>
      <c r="I372" s="44" t="s">
        <v>47</v>
      </c>
      <c r="J372" s="44" t="s">
        <v>7</v>
      </c>
      <c r="K372" s="44" t="s">
        <v>140</v>
      </c>
      <c r="L372" s="40">
        <v>1147</v>
      </c>
      <c r="M372" s="41">
        <v>41339</v>
      </c>
      <c r="N372" s="40" t="s">
        <v>122</v>
      </c>
      <c r="O372" s="42">
        <f t="shared" si="15"/>
        <v>42430</v>
      </c>
      <c r="P372" s="40">
        <v>27</v>
      </c>
      <c r="Q372" s="207">
        <f>'[3]Potomac Edison LP_GSCM_MMS'!G17</f>
        <v>28.368354165088125</v>
      </c>
      <c r="R372" s="207">
        <f>'[3]Potomac Edison LP_GSCM_MMS'!H17</f>
        <v>27.64177197804436</v>
      </c>
      <c r="S372" s="207">
        <f>'[3]Potomac Edison LP_GSCM_MMS'!I17</f>
        <v>27.908776416617446</v>
      </c>
      <c r="T372" s="207">
        <f>'[3]Potomac Edison LP_GSCM_MMS'!J17</f>
        <v>29.501800605005009</v>
      </c>
      <c r="U372" s="207">
        <f>'[3]Potomac Edison LP_GSCM_MMS'!K17</f>
        <v>31.539495487703093</v>
      </c>
      <c r="V372" s="145"/>
    </row>
    <row r="373" spans="1:22" x14ac:dyDescent="0.2">
      <c r="A373" s="89">
        <f t="shared" si="14"/>
        <v>365</v>
      </c>
      <c r="B373" s="43">
        <v>10</v>
      </c>
      <c r="C373" s="43">
        <v>32</v>
      </c>
      <c r="D373" s="38" t="s">
        <v>535</v>
      </c>
      <c r="E373" s="44" t="s">
        <v>204</v>
      </c>
      <c r="F373" s="44" t="s">
        <v>6</v>
      </c>
      <c r="G373" s="44" t="s">
        <v>120</v>
      </c>
      <c r="H373" s="44" t="s">
        <v>14</v>
      </c>
      <c r="I373" s="44" t="s">
        <v>14</v>
      </c>
      <c r="J373" s="44" t="s">
        <v>15</v>
      </c>
      <c r="K373" s="44" t="s">
        <v>129</v>
      </c>
      <c r="L373" s="40">
        <v>1148</v>
      </c>
      <c r="M373" s="41">
        <v>41339</v>
      </c>
      <c r="N373" s="40" t="s">
        <v>122</v>
      </c>
      <c r="O373" s="42">
        <f t="shared" si="15"/>
        <v>42430</v>
      </c>
      <c r="P373" s="40">
        <v>27</v>
      </c>
      <c r="Q373" s="207">
        <f>[3]PPL_RCGS1MS!G17</f>
        <v>37.381722997117606</v>
      </c>
      <c r="R373" s="207">
        <f>[3]PPL_RCGS1MS!H17</f>
        <v>35.636132739224649</v>
      </c>
      <c r="S373" s="207">
        <f>[3]PPL_RCGS1MS!I17</f>
        <v>35.559928071488308</v>
      </c>
      <c r="T373" s="207">
        <f>[3]PPL_RCGS1MS!J17</f>
        <v>35.209828686925604</v>
      </c>
      <c r="U373" s="207">
        <f>[3]PPL_RCGS1MS!K17</f>
        <v>38.280025498589644</v>
      </c>
      <c r="V373" s="145"/>
    </row>
    <row r="374" spans="1:22" x14ac:dyDescent="0.2">
      <c r="A374" s="89">
        <f t="shared" si="14"/>
        <v>366</v>
      </c>
      <c r="B374" s="43">
        <v>10</v>
      </c>
      <c r="C374" s="43">
        <v>33</v>
      </c>
      <c r="D374" s="38" t="s">
        <v>536</v>
      </c>
      <c r="E374" s="44" t="s">
        <v>206</v>
      </c>
      <c r="F374" s="44" t="s">
        <v>6</v>
      </c>
      <c r="G374" s="44" t="s">
        <v>120</v>
      </c>
      <c r="H374" s="44" t="s">
        <v>14</v>
      </c>
      <c r="I374" s="44" t="s">
        <v>14</v>
      </c>
      <c r="J374" s="44" t="s">
        <v>16</v>
      </c>
      <c r="K374" s="44" t="s">
        <v>135</v>
      </c>
      <c r="L374" s="40">
        <v>1149</v>
      </c>
      <c r="M374" s="41">
        <v>41339</v>
      </c>
      <c r="N374" s="40" t="s">
        <v>122</v>
      </c>
      <c r="O374" s="42">
        <f t="shared" si="15"/>
        <v>42430</v>
      </c>
      <c r="P374" s="40">
        <v>27</v>
      </c>
      <c r="Q374" s="207">
        <f>[3]PPL_RCGS3MS!G17</f>
        <v>36.415985239368318</v>
      </c>
      <c r="R374" s="207">
        <f>[3]PPL_RCGS3MS!H17</f>
        <v>35.689534347263383</v>
      </c>
      <c r="S374" s="207">
        <f>[3]PPL_RCGS3MS!I17</f>
        <v>35.298659258641749</v>
      </c>
      <c r="T374" s="207">
        <f>[3]PPL_RCGS3MS!J17</f>
        <v>35.27876508688734</v>
      </c>
      <c r="U374" s="207">
        <f>[3]PPL_RCGS3MS!K17</f>
        <v>38.351891547939772</v>
      </c>
      <c r="V374" s="145"/>
    </row>
    <row r="375" spans="1:22" x14ac:dyDescent="0.2">
      <c r="A375" s="89">
        <f t="shared" si="14"/>
        <v>367</v>
      </c>
      <c r="B375" s="43">
        <v>10</v>
      </c>
      <c r="C375" s="43">
        <v>34</v>
      </c>
      <c r="D375" s="38" t="s">
        <v>537</v>
      </c>
      <c r="E375" s="44" t="s">
        <v>208</v>
      </c>
      <c r="F375" s="44" t="s">
        <v>31</v>
      </c>
      <c r="G375" s="44" t="s">
        <v>120</v>
      </c>
      <c r="H375" s="44" t="s">
        <v>36</v>
      </c>
      <c r="I375" s="44" t="s">
        <v>36</v>
      </c>
      <c r="J375" s="44" t="s">
        <v>37</v>
      </c>
      <c r="K375" s="44" t="s">
        <v>209</v>
      </c>
      <c r="L375" s="40">
        <v>1150</v>
      </c>
      <c r="M375" s="41">
        <v>41339</v>
      </c>
      <c r="N375" s="40" t="s">
        <v>122</v>
      </c>
      <c r="O375" s="42">
        <f t="shared" si="15"/>
        <v>42430</v>
      </c>
      <c r="P375" s="40">
        <v>27</v>
      </c>
      <c r="Q375" s="207">
        <f>'[3]PSEG LP_GLP_MMS'!G17</f>
        <v>60.742915122103099</v>
      </c>
      <c r="R375" s="207">
        <f>'[3]PSEG LP_GLP_MMS'!H17</f>
        <v>63.21399178006439</v>
      </c>
      <c r="S375" s="207">
        <f>'[3]PSEG LP_GLP_MMS'!I17</f>
        <v>63.03877675533878</v>
      </c>
      <c r="T375" s="207">
        <f>'[3]PSEG LP_GLP_MMS'!J17</f>
        <v>64.025826419690759</v>
      </c>
      <c r="U375" s="207">
        <f>'[3]PSEG LP_GLP_MMS'!K17</f>
        <v>66.430787919792934</v>
      </c>
      <c r="V375" s="145"/>
    </row>
    <row r="376" spans="1:22" x14ac:dyDescent="0.2">
      <c r="A376" s="89">
        <f t="shared" si="14"/>
        <v>368</v>
      </c>
      <c r="B376" s="43">
        <v>10</v>
      </c>
      <c r="C376" s="43">
        <v>35</v>
      </c>
      <c r="D376" s="38" t="s">
        <v>538</v>
      </c>
      <c r="E376" s="44" t="s">
        <v>211</v>
      </c>
      <c r="F376" s="44" t="s">
        <v>31</v>
      </c>
      <c r="G376" s="44" t="s">
        <v>120</v>
      </c>
      <c r="H376" s="44" t="s">
        <v>36</v>
      </c>
      <c r="I376" s="44" t="s">
        <v>36</v>
      </c>
      <c r="J376" s="44" t="s">
        <v>38</v>
      </c>
      <c r="K376" s="44" t="s">
        <v>212</v>
      </c>
      <c r="L376" s="40">
        <v>1151</v>
      </c>
      <c r="M376" s="41">
        <v>41339</v>
      </c>
      <c r="N376" s="40" t="s">
        <v>122</v>
      </c>
      <c r="O376" s="42">
        <f t="shared" si="15"/>
        <v>42430</v>
      </c>
      <c r="P376" s="40">
        <v>27</v>
      </c>
      <c r="Q376" s="207">
        <f>'[3]PSEG LP_LPLMS'!G17</f>
        <v>59.802204054533703</v>
      </c>
      <c r="R376" s="207">
        <f>'[3]PSEG LP_LPLMS'!H17</f>
        <v>62.444513165270848</v>
      </c>
      <c r="S376" s="207">
        <f>'[3]PSEG LP_LPLMS'!I17</f>
        <v>62.116478373246927</v>
      </c>
      <c r="T376" s="207">
        <f>'[3]PSEG LP_LPLMS'!J17</f>
        <v>63.187042221846134</v>
      </c>
      <c r="U376" s="207">
        <f>'[3]PSEG LP_LPLMS'!K17</f>
        <v>65.585017667714354</v>
      </c>
      <c r="V376" s="145"/>
    </row>
    <row r="377" spans="1:22" x14ac:dyDescent="0.2">
      <c r="A377" s="89">
        <f t="shared" si="14"/>
        <v>369</v>
      </c>
      <c r="B377" s="43">
        <v>10</v>
      </c>
      <c r="C377" s="43">
        <v>36</v>
      </c>
      <c r="D377" s="38" t="s">
        <v>539</v>
      </c>
      <c r="E377" s="44" t="s">
        <v>214</v>
      </c>
      <c r="F377" s="44" t="s">
        <v>6</v>
      </c>
      <c r="G377" s="44" t="s">
        <v>120</v>
      </c>
      <c r="H377" s="44" t="s">
        <v>17</v>
      </c>
      <c r="I377" s="44" t="s">
        <v>215</v>
      </c>
      <c r="J377" s="44" t="s">
        <v>18</v>
      </c>
      <c r="K377" s="44" t="s">
        <v>140</v>
      </c>
      <c r="L377" s="40">
        <v>1152</v>
      </c>
      <c r="M377" s="41">
        <v>41339</v>
      </c>
      <c r="N377" s="40" t="s">
        <v>122</v>
      </c>
      <c r="O377" s="42">
        <f t="shared" si="15"/>
        <v>42430</v>
      </c>
      <c r="P377" s="40">
        <v>27</v>
      </c>
      <c r="Q377" s="207">
        <f>'[3]West Penn Power LP_GSCMMS'!G17</f>
        <v>28.840205661834002</v>
      </c>
      <c r="R377" s="207">
        <f>'[3]West Penn Power LP_GSCMMS'!H17</f>
        <v>27.341491271710922</v>
      </c>
      <c r="S377" s="207">
        <f>'[3]West Penn Power LP_GSCMMS'!I17</f>
        <v>27.836275443394815</v>
      </c>
      <c r="T377" s="207">
        <f>'[3]West Penn Power LP_GSCMMS'!J17</f>
        <v>29.104586642685575</v>
      </c>
      <c r="U377" s="207">
        <f>'[3]West Penn Power LP_GSCMMS'!K17</f>
        <v>30.867786085120997</v>
      </c>
      <c r="V377" s="145"/>
    </row>
    <row r="378" spans="1:22" x14ac:dyDescent="0.2">
      <c r="A378" s="89">
        <f t="shared" si="14"/>
        <v>370</v>
      </c>
      <c r="B378" s="20"/>
      <c r="C378" s="20"/>
      <c r="D378" s="20"/>
      <c r="Q378" s="208"/>
      <c r="R378" s="208"/>
      <c r="S378" s="208"/>
      <c r="T378" s="208"/>
      <c r="U378" s="208"/>
    </row>
    <row r="379" spans="1:22" x14ac:dyDescent="0.2">
      <c r="A379" s="89">
        <f t="shared" si="14"/>
        <v>371</v>
      </c>
      <c r="B379" s="43">
        <v>11</v>
      </c>
      <c r="C379" s="43">
        <v>1</v>
      </c>
      <c r="D379" s="38" t="s">
        <v>540</v>
      </c>
      <c r="E379" s="44" t="s">
        <v>119</v>
      </c>
      <c r="F379" s="44" t="s">
        <v>31</v>
      </c>
      <c r="G379" s="44" t="s">
        <v>120</v>
      </c>
      <c r="H379" s="44" t="s">
        <v>32</v>
      </c>
      <c r="I379" s="44" t="s">
        <v>32</v>
      </c>
      <c r="J379" s="44" t="s">
        <v>33</v>
      </c>
      <c r="K379" s="44" t="s">
        <v>121</v>
      </c>
      <c r="L379" s="40">
        <v>1117</v>
      </c>
      <c r="M379" s="41">
        <v>41339</v>
      </c>
      <c r="N379" s="40" t="s">
        <v>122</v>
      </c>
      <c r="O379" s="42">
        <f>EDATE(O342,1)</f>
        <v>42461</v>
      </c>
      <c r="P379" s="40">
        <v>28</v>
      </c>
      <c r="Q379" s="207">
        <f>'[3]AECO LP_10V1_SMS'!G18</f>
        <v>45.182602808194446</v>
      </c>
      <c r="R379" s="207">
        <f>'[3]AECO LP_10V1_SMS'!H18</f>
        <v>47.881035034524977</v>
      </c>
      <c r="S379" s="207">
        <f>'[3]AECO LP_10V1_SMS'!I18</f>
        <v>46.702950994905997</v>
      </c>
      <c r="T379" s="207">
        <f>'[3]AECO LP_10V1_SMS'!J18</f>
        <v>47.718676411621701</v>
      </c>
      <c r="U379" s="207">
        <f>'[3]AECO LP_10V1_SMS'!K18</f>
        <v>51.59892038499801</v>
      </c>
      <c r="V379" s="145"/>
    </row>
    <row r="380" spans="1:22" x14ac:dyDescent="0.2">
      <c r="A380" s="89">
        <f t="shared" si="14"/>
        <v>372</v>
      </c>
      <c r="B380" s="43">
        <v>11</v>
      </c>
      <c r="C380" s="43">
        <v>2</v>
      </c>
      <c r="D380" s="38" t="s">
        <v>541</v>
      </c>
      <c r="E380" s="44" t="s">
        <v>124</v>
      </c>
      <c r="F380" s="44" t="s">
        <v>31</v>
      </c>
      <c r="G380" s="44" t="s">
        <v>120</v>
      </c>
      <c r="H380" s="44" t="s">
        <v>32</v>
      </c>
      <c r="I380" s="44" t="s">
        <v>32</v>
      </c>
      <c r="J380" s="44" t="s">
        <v>34</v>
      </c>
      <c r="K380" s="44" t="s">
        <v>125</v>
      </c>
      <c r="L380" s="40">
        <v>1118</v>
      </c>
      <c r="M380" s="41">
        <v>41339</v>
      </c>
      <c r="N380" s="40" t="s">
        <v>122</v>
      </c>
      <c r="O380" s="42">
        <f>O379</f>
        <v>42461</v>
      </c>
      <c r="P380" s="40">
        <v>28</v>
      </c>
      <c r="Q380" s="207">
        <f>'[3]AECO LP_14V1_MMS'!G18</f>
        <v>46.25602043691319</v>
      </c>
      <c r="R380" s="207">
        <f>'[3]AECO LP_14V1_MMS'!H18</f>
        <v>47.782896477187705</v>
      </c>
      <c r="S380" s="207">
        <f>'[3]AECO LP_14V1_MMS'!I18</f>
        <v>47.036342414191317</v>
      </c>
      <c r="T380" s="207">
        <f>'[3]AECO LP_14V1_MMS'!J18</f>
        <v>47.245297544958831</v>
      </c>
      <c r="U380" s="207">
        <f>'[3]AECO LP_14V1_MMS'!K18</f>
        <v>49.876911775373379</v>
      </c>
      <c r="V380" s="145"/>
    </row>
    <row r="381" spans="1:22" x14ac:dyDescent="0.2">
      <c r="A381" s="89">
        <f t="shared" si="14"/>
        <v>373</v>
      </c>
      <c r="B381" s="43">
        <v>11</v>
      </c>
      <c r="C381" s="43">
        <v>3</v>
      </c>
      <c r="D381" s="38" t="s">
        <v>542</v>
      </c>
      <c r="E381" s="44" t="s">
        <v>127</v>
      </c>
      <c r="F381" s="44" t="s">
        <v>20</v>
      </c>
      <c r="G381" s="44" t="s">
        <v>120</v>
      </c>
      <c r="H381" s="44" t="s">
        <v>63</v>
      </c>
      <c r="I381" s="44" t="s">
        <v>128</v>
      </c>
      <c r="J381" s="44" t="s">
        <v>15</v>
      </c>
      <c r="K381" s="44" t="s">
        <v>129</v>
      </c>
      <c r="L381" s="40">
        <v>1119</v>
      </c>
      <c r="M381" s="41">
        <v>41339</v>
      </c>
      <c r="N381" s="40" t="s">
        <v>122</v>
      </c>
      <c r="O381" s="42">
        <f t="shared" ref="O381:O414" si="16">O380</f>
        <v>42461</v>
      </c>
      <c r="P381" s="40">
        <v>28</v>
      </c>
      <c r="Q381" s="207">
        <f>'[3]AEP_OH_CS - test CSGS1MS'!G18</f>
        <v>17.6791474639559</v>
      </c>
      <c r="R381" s="207">
        <f>'[3]AEP_OH_CS - test CSGS1MS'!H18</f>
        <v>16.809612668077108</v>
      </c>
      <c r="S381" s="207">
        <f>'[3]AEP_OH_CS - test CSGS1MS'!I18</f>
        <v>17.684026285680979</v>
      </c>
      <c r="T381" s="207">
        <f>'[3]AEP_OH_CS - test CSGS1MS'!J18</f>
        <v>18.904244883886165</v>
      </c>
      <c r="U381" s="207">
        <f>'[3]AEP_OH_CS - test CSGS1MS'!K18</f>
        <v>20.826252926195394</v>
      </c>
      <c r="V381" s="145"/>
    </row>
    <row r="382" spans="1:22" x14ac:dyDescent="0.2">
      <c r="A382" s="89">
        <f t="shared" si="14"/>
        <v>374</v>
      </c>
      <c r="B382" s="43">
        <v>11</v>
      </c>
      <c r="C382" s="43">
        <v>4</v>
      </c>
      <c r="D382" s="38" t="s">
        <v>543</v>
      </c>
      <c r="E382" s="44" t="s">
        <v>131</v>
      </c>
      <c r="F382" s="44" t="s">
        <v>20</v>
      </c>
      <c r="G382" s="44" t="s">
        <v>120</v>
      </c>
      <c r="H382" s="44" t="s">
        <v>63</v>
      </c>
      <c r="I382" s="44" t="s">
        <v>128</v>
      </c>
      <c r="J382" s="44" t="s">
        <v>21</v>
      </c>
      <c r="K382" s="44" t="s">
        <v>132</v>
      </c>
      <c r="L382" s="40">
        <v>1120</v>
      </c>
      <c r="M382" s="41">
        <v>41339</v>
      </c>
      <c r="N382" s="40" t="s">
        <v>122</v>
      </c>
      <c r="O382" s="42">
        <f t="shared" si="16"/>
        <v>42461</v>
      </c>
      <c r="P382" s="40">
        <v>28</v>
      </c>
      <c r="Q382" s="207">
        <f>'[3]AEP_OH_CS - test CSGS2UMS'!G18</f>
        <v>17.420262230767786</v>
      </c>
      <c r="R382" s="207">
        <f>'[3]AEP_OH_CS - test CSGS2UMS'!H18</f>
        <v>16.887191657144243</v>
      </c>
      <c r="S382" s="207">
        <f>'[3]AEP_OH_CS - test CSGS2UMS'!I18</f>
        <v>17.65006842463896</v>
      </c>
      <c r="T382" s="207">
        <f>'[3]AEP_OH_CS - test CSGS2UMS'!J18</f>
        <v>18.978978121844669</v>
      </c>
      <c r="U382" s="207">
        <f>'[3]AEP_OH_CS - test CSGS2UMS'!K18</f>
        <v>20.905065670208277</v>
      </c>
      <c r="V382" s="145"/>
    </row>
    <row r="383" spans="1:22" x14ac:dyDescent="0.2">
      <c r="A383" s="89">
        <f t="shared" si="14"/>
        <v>375</v>
      </c>
      <c r="B383" s="43">
        <v>11</v>
      </c>
      <c r="C383" s="43">
        <v>5</v>
      </c>
      <c r="D383" s="38" t="s">
        <v>544</v>
      </c>
      <c r="E383" s="44" t="s">
        <v>134</v>
      </c>
      <c r="F383" s="44" t="s">
        <v>20</v>
      </c>
      <c r="G383" s="44" t="s">
        <v>120</v>
      </c>
      <c r="H383" s="44" t="s">
        <v>63</v>
      </c>
      <c r="I383" s="44" t="s">
        <v>128</v>
      </c>
      <c r="J383" s="44" t="s">
        <v>16</v>
      </c>
      <c r="K383" s="44" t="s">
        <v>135</v>
      </c>
      <c r="L383" s="40">
        <v>1121</v>
      </c>
      <c r="M383" s="41">
        <v>41339</v>
      </c>
      <c r="N383" s="40" t="s">
        <v>122</v>
      </c>
      <c r="O383" s="42">
        <f t="shared" si="16"/>
        <v>42461</v>
      </c>
      <c r="P383" s="40">
        <v>28</v>
      </c>
      <c r="Q383" s="207">
        <f>'[3]AEP_OH_CS - test CSGS3UMS'!G18</f>
        <v>17.118028070083749</v>
      </c>
      <c r="R383" s="207">
        <f>'[3]AEP_OH_CS - test CSGS3UMS'!H18</f>
        <v>16.819616385963975</v>
      </c>
      <c r="S383" s="207">
        <f>'[3]AEP_OH_CS - test CSGS3UMS'!I18</f>
        <v>17.494629461827124</v>
      </c>
      <c r="T383" s="207">
        <f>'[3]AEP_OH_CS - test CSGS3UMS'!J18</f>
        <v>18.907341469483459</v>
      </c>
      <c r="U383" s="207">
        <f>'[3]AEP_OH_CS - test CSGS3UMS'!K18</f>
        <v>20.827281583968016</v>
      </c>
      <c r="V383" s="145"/>
    </row>
    <row r="384" spans="1:22" x14ac:dyDescent="0.2">
      <c r="A384" s="89">
        <f t="shared" si="14"/>
        <v>376</v>
      </c>
      <c r="B384" s="43">
        <v>11</v>
      </c>
      <c r="C384" s="43">
        <v>6</v>
      </c>
      <c r="D384" s="38" t="s">
        <v>545</v>
      </c>
      <c r="E384" s="44" t="s">
        <v>137</v>
      </c>
      <c r="F384" s="44" t="s">
        <v>25</v>
      </c>
      <c r="G384" s="44" t="s">
        <v>138</v>
      </c>
      <c r="H384" s="44" t="s">
        <v>139</v>
      </c>
      <c r="I384" s="44" t="s">
        <v>29</v>
      </c>
      <c r="J384" s="44" t="s">
        <v>30</v>
      </c>
      <c r="K384" s="44" t="s">
        <v>140</v>
      </c>
      <c r="L384" s="40">
        <v>1122</v>
      </c>
      <c r="M384" s="41">
        <v>41339</v>
      </c>
      <c r="N384" s="40" t="s">
        <v>122</v>
      </c>
      <c r="O384" s="42">
        <f t="shared" si="16"/>
        <v>42461</v>
      </c>
      <c r="P384" s="40">
        <v>28</v>
      </c>
      <c r="Q384" s="207">
        <f>'[3]Ameren RateZnIII LP DS2HHMS'!G18</f>
        <v>32.41079016897784</v>
      </c>
      <c r="R384" s="207">
        <f>'[3]Ameren RateZnIII LP DS2HHMS'!H18</f>
        <v>34.726618689101812</v>
      </c>
      <c r="S384" s="207">
        <f>'[3]Ameren RateZnIII LP DS2HHMS'!I18</f>
        <v>34.611130522904723</v>
      </c>
      <c r="T384" s="207">
        <f>'[3]Ameren RateZnIII LP DS2HHMS'!J18</f>
        <v>35.563536947723769</v>
      </c>
      <c r="U384" s="207">
        <f>'[3]Ameren RateZnIII LP DS2HHMS'!K18</f>
        <v>36.581393855654611</v>
      </c>
      <c r="V384" s="145"/>
    </row>
    <row r="385" spans="1:22" x14ac:dyDescent="0.2">
      <c r="A385" s="89">
        <f t="shared" si="14"/>
        <v>377</v>
      </c>
      <c r="B385" s="43">
        <v>11</v>
      </c>
      <c r="C385" s="43">
        <v>7</v>
      </c>
      <c r="D385" s="38" t="s">
        <v>546</v>
      </c>
      <c r="E385" s="44" t="s">
        <v>142</v>
      </c>
      <c r="F385" s="44" t="s">
        <v>39</v>
      </c>
      <c r="G385" s="44" t="s">
        <v>120</v>
      </c>
      <c r="H385" s="44" t="s">
        <v>40</v>
      </c>
      <c r="I385" s="44" t="s">
        <v>40</v>
      </c>
      <c r="J385" s="44" t="s">
        <v>42</v>
      </c>
      <c r="K385" s="44" t="s">
        <v>135</v>
      </c>
      <c r="L385" s="40">
        <v>1124</v>
      </c>
      <c r="M385" s="41">
        <v>41339</v>
      </c>
      <c r="N385" s="40" t="s">
        <v>122</v>
      </c>
      <c r="O385" s="42">
        <f t="shared" si="16"/>
        <v>42461</v>
      </c>
      <c r="P385" s="40">
        <v>28</v>
      </c>
      <c r="Q385" s="207">
        <f>'[3]BGE LP_GLMS'!G18</f>
        <v>31.971334711314071</v>
      </c>
      <c r="R385" s="207">
        <f>'[3]BGE LP_GLMS'!H18</f>
        <v>32.565239328306269</v>
      </c>
      <c r="S385" s="207">
        <f>'[3]BGE LP_GLMS'!I18</f>
        <v>32.025484512388857</v>
      </c>
      <c r="T385" s="207">
        <f>'[3]BGE LP_GLMS'!J18</f>
        <v>32.519153788292193</v>
      </c>
      <c r="U385" s="207">
        <f>'[3]BGE LP_GLMS'!K18</f>
        <v>36.215801957168672</v>
      </c>
      <c r="V385" s="145"/>
    </row>
    <row r="386" spans="1:22" x14ac:dyDescent="0.2">
      <c r="A386" s="89">
        <f t="shared" si="14"/>
        <v>378</v>
      </c>
      <c r="B386" s="43">
        <v>11</v>
      </c>
      <c r="C386" s="43">
        <v>8</v>
      </c>
      <c r="D386" s="38" t="s">
        <v>547</v>
      </c>
      <c r="E386" s="44" t="s">
        <v>144</v>
      </c>
      <c r="F386" s="44" t="s">
        <v>39</v>
      </c>
      <c r="G386" s="44" t="s">
        <v>120</v>
      </c>
      <c r="H386" s="44" t="s">
        <v>40</v>
      </c>
      <c r="I386" s="44" t="s">
        <v>40</v>
      </c>
      <c r="J386" s="44" t="s">
        <v>41</v>
      </c>
      <c r="K386" s="44" t="s">
        <v>132</v>
      </c>
      <c r="L386" s="40">
        <v>1123</v>
      </c>
      <c r="M386" s="41">
        <v>41339</v>
      </c>
      <c r="N386" s="40" t="s">
        <v>122</v>
      </c>
      <c r="O386" s="42">
        <f t="shared" si="16"/>
        <v>42461</v>
      </c>
      <c r="P386" s="40">
        <v>28</v>
      </c>
      <c r="Q386" s="207">
        <f>'[3]BGE LP_GMS'!G18</f>
        <v>32.615266960265579</v>
      </c>
      <c r="R386" s="207">
        <f>'[3]BGE LP_GMS'!H18</f>
        <v>32.631962667934928</v>
      </c>
      <c r="S386" s="207">
        <f>'[3]BGE LP_GMS'!I18</f>
        <v>32.288997514305663</v>
      </c>
      <c r="T386" s="207">
        <f>'[3]BGE LP_GMS'!J18</f>
        <v>32.652307762549007</v>
      </c>
      <c r="U386" s="207">
        <f>'[3]BGE LP_GMS'!K18</f>
        <v>36.380972511250519</v>
      </c>
      <c r="V386" s="145"/>
    </row>
    <row r="387" spans="1:22" x14ac:dyDescent="0.2">
      <c r="A387" s="89">
        <f t="shared" si="14"/>
        <v>379</v>
      </c>
      <c r="B387" s="43">
        <v>11</v>
      </c>
      <c r="C387" s="43">
        <v>9</v>
      </c>
      <c r="D387" s="38" t="s">
        <v>548</v>
      </c>
      <c r="E387" s="44" t="s">
        <v>146</v>
      </c>
      <c r="F387" s="44" t="s">
        <v>39</v>
      </c>
      <c r="G387" s="44" t="s">
        <v>120</v>
      </c>
      <c r="H387" s="44" t="s">
        <v>40</v>
      </c>
      <c r="I387" s="44" t="s">
        <v>40</v>
      </c>
      <c r="J387" s="44" t="s">
        <v>7</v>
      </c>
      <c r="K387" s="44" t="s">
        <v>129</v>
      </c>
      <c r="L387" s="40">
        <v>1125</v>
      </c>
      <c r="M387" s="41">
        <v>41339</v>
      </c>
      <c r="N387" s="40" t="s">
        <v>122</v>
      </c>
      <c r="O387" s="42">
        <f t="shared" si="16"/>
        <v>42461</v>
      </c>
      <c r="P387" s="40">
        <v>28</v>
      </c>
      <c r="Q387" s="207">
        <f>'[3]BGE LP_GSMS'!G18</f>
        <v>33.499490109985956</v>
      </c>
      <c r="R387" s="207">
        <f>'[3]BGE LP_GSMS'!H18</f>
        <v>33.568547993583344</v>
      </c>
      <c r="S387" s="207">
        <f>'[3]BGE LP_GSMS'!I18</f>
        <v>33.206578259820155</v>
      </c>
      <c r="T387" s="207">
        <f>'[3]BGE LP_GSMS'!J18</f>
        <v>33.474406372384067</v>
      </c>
      <c r="U387" s="207">
        <f>'[3]BGE LP_GSMS'!K18</f>
        <v>37.150063480276614</v>
      </c>
      <c r="V387" s="145"/>
    </row>
    <row r="388" spans="1:22" x14ac:dyDescent="0.2">
      <c r="A388" s="89">
        <f t="shared" si="14"/>
        <v>380</v>
      </c>
      <c r="B388" s="43">
        <v>11</v>
      </c>
      <c r="C388" s="43">
        <v>10</v>
      </c>
      <c r="D388" s="38" t="s">
        <v>549</v>
      </c>
      <c r="E388" s="44" t="s">
        <v>148</v>
      </c>
      <c r="F388" s="44" t="s">
        <v>25</v>
      </c>
      <c r="G388" s="44" t="s">
        <v>120</v>
      </c>
      <c r="H388" s="44" t="s">
        <v>149</v>
      </c>
      <c r="I388" s="44" t="s">
        <v>26</v>
      </c>
      <c r="J388" s="44" t="s">
        <v>27</v>
      </c>
      <c r="K388" s="44" t="s">
        <v>150</v>
      </c>
      <c r="L388" s="40">
        <v>1126</v>
      </c>
      <c r="M388" s="41">
        <v>41339</v>
      </c>
      <c r="N388" s="40" t="s">
        <v>122</v>
      </c>
      <c r="O388" s="42">
        <f t="shared" si="16"/>
        <v>42461</v>
      </c>
      <c r="P388" s="40">
        <v>28</v>
      </c>
      <c r="Q388" s="207">
        <f>'[3]ComEd - test LP_28MS'!G18</f>
        <v>25.610800040377164</v>
      </c>
      <c r="R388" s="207">
        <f>'[3]ComEd - test LP_28MS'!H18</f>
        <v>24.819889122711125</v>
      </c>
      <c r="S388" s="207">
        <f>'[3]ComEd - test LP_28MS'!I18</f>
        <v>25.794489268545576</v>
      </c>
      <c r="T388" s="207">
        <f>'[3]ComEd - test LP_28MS'!J18</f>
        <v>27.109367916042689</v>
      </c>
      <c r="U388" s="207">
        <f>'[3]ComEd - test LP_28MS'!K18</f>
        <v>28.860196342923025</v>
      </c>
      <c r="V388" s="145"/>
    </row>
    <row r="389" spans="1:22" x14ac:dyDescent="0.2">
      <c r="A389" s="89">
        <f t="shared" si="14"/>
        <v>381</v>
      </c>
      <c r="B389" s="43">
        <v>11</v>
      </c>
      <c r="C389" s="43">
        <v>11</v>
      </c>
      <c r="D389" s="38" t="s">
        <v>550</v>
      </c>
      <c r="E389" s="44" t="s">
        <v>152</v>
      </c>
      <c r="F389" s="44" t="s">
        <v>25</v>
      </c>
      <c r="G389" s="44" t="s">
        <v>120</v>
      </c>
      <c r="H389" s="44" t="s">
        <v>149</v>
      </c>
      <c r="I389" s="44" t="s">
        <v>26</v>
      </c>
      <c r="J389" s="44" t="s">
        <v>28</v>
      </c>
      <c r="K389" s="44" t="s">
        <v>153</v>
      </c>
      <c r="L389" s="40">
        <v>1127</v>
      </c>
      <c r="M389" s="41">
        <v>41339</v>
      </c>
      <c r="N389" s="40" t="s">
        <v>122</v>
      </c>
      <c r="O389" s="42">
        <f t="shared" si="16"/>
        <v>42461</v>
      </c>
      <c r="P389" s="40">
        <v>28</v>
      </c>
      <c r="Q389" s="207">
        <f>'[3]ComEd - test LP_29MS'!G18</f>
        <v>24.73018389351925</v>
      </c>
      <c r="R389" s="207">
        <f>'[3]ComEd - test LP_29MS'!H18</f>
        <v>23.913858900242246</v>
      </c>
      <c r="S389" s="207">
        <f>'[3]ComEd - test LP_29MS'!I18</f>
        <v>24.89814349112255</v>
      </c>
      <c r="T389" s="207">
        <f>'[3]ComEd - test LP_29MS'!J18</f>
        <v>26.206690732023667</v>
      </c>
      <c r="U389" s="207">
        <f>'[3]ComEd - test LP_29MS'!K18</f>
        <v>27.961731435368172</v>
      </c>
      <c r="V389" s="145"/>
    </row>
    <row r="390" spans="1:22" x14ac:dyDescent="0.2">
      <c r="A390" s="89">
        <f t="shared" si="14"/>
        <v>382</v>
      </c>
      <c r="B390" s="43">
        <v>11</v>
      </c>
      <c r="C390" s="43">
        <v>12</v>
      </c>
      <c r="D390" s="38" t="s">
        <v>551</v>
      </c>
      <c r="E390" s="44" t="s">
        <v>155</v>
      </c>
      <c r="F390" s="44" t="s">
        <v>20</v>
      </c>
      <c r="G390" s="44" t="s">
        <v>120</v>
      </c>
      <c r="H390" s="44" t="s">
        <v>105</v>
      </c>
      <c r="I390" s="44" t="s">
        <v>156</v>
      </c>
      <c r="J390" s="44" t="s">
        <v>22</v>
      </c>
      <c r="K390" s="44" t="s">
        <v>157</v>
      </c>
      <c r="L390" s="40">
        <v>1128</v>
      </c>
      <c r="M390" s="41">
        <v>41339</v>
      </c>
      <c r="N390" s="40" t="s">
        <v>122</v>
      </c>
      <c r="O390" s="42">
        <f t="shared" si="16"/>
        <v>42461</v>
      </c>
      <c r="P390" s="40">
        <v>28</v>
      </c>
      <c r="Q390" s="207">
        <f>[3]DAY_RC_843MS!G18</f>
        <v>18.605183903782901</v>
      </c>
      <c r="R390" s="207">
        <f>[3]DAY_RC_843MS!H18</f>
        <v>15.718291639758318</v>
      </c>
      <c r="S390" s="207">
        <f>[3]DAY_RC_843MS!I18</f>
        <v>17.25037701338929</v>
      </c>
      <c r="T390" s="207">
        <f>[3]DAY_RC_843MS!J18</f>
        <v>17.892759322867878</v>
      </c>
      <c r="U390" s="207">
        <f>[3]DAY_RC_843MS!K18</f>
        <v>19.574092295125812</v>
      </c>
      <c r="V390" s="145"/>
    </row>
    <row r="391" spans="1:22" x14ac:dyDescent="0.2">
      <c r="A391" s="89">
        <f t="shared" si="14"/>
        <v>383</v>
      </c>
      <c r="B391" s="43">
        <v>11</v>
      </c>
      <c r="C391" s="43">
        <v>13</v>
      </c>
      <c r="D391" s="38" t="s">
        <v>552</v>
      </c>
      <c r="E391" s="44" t="s">
        <v>159</v>
      </c>
      <c r="F391" s="44" t="s">
        <v>39</v>
      </c>
      <c r="G391" s="44" t="s">
        <v>120</v>
      </c>
      <c r="H391" s="44" t="s">
        <v>43</v>
      </c>
      <c r="I391" s="44" t="s">
        <v>43</v>
      </c>
      <c r="J391" s="44" t="s">
        <v>7</v>
      </c>
      <c r="K391" s="44" t="s">
        <v>140</v>
      </c>
      <c r="L391" s="40">
        <v>1129</v>
      </c>
      <c r="M391" s="41">
        <v>41339</v>
      </c>
      <c r="N391" s="40" t="s">
        <v>122</v>
      </c>
      <c r="O391" s="42">
        <f t="shared" si="16"/>
        <v>42461</v>
      </c>
      <c r="P391" s="40">
        <v>28</v>
      </c>
      <c r="Q391" s="207">
        <f>'[3]Delmarva MD LP_MDGS_MMS'!G18</f>
        <v>35.416966424579073</v>
      </c>
      <c r="R391" s="207">
        <f>'[3]Delmarva MD LP_MDGS_MMS'!H18</f>
        <v>36.367036404916625</v>
      </c>
      <c r="S391" s="207">
        <f>'[3]Delmarva MD LP_MDGS_MMS'!I18</f>
        <v>35.842246757675589</v>
      </c>
      <c r="T391" s="207">
        <f>'[3]Delmarva MD LP_MDGS_MMS'!J18</f>
        <v>36.507681369962036</v>
      </c>
      <c r="U391" s="207">
        <f>'[3]Delmarva MD LP_MDGS_MMS'!K18</f>
        <v>40.911464808046809</v>
      </c>
      <c r="V391" s="145"/>
    </row>
    <row r="392" spans="1:22" x14ac:dyDescent="0.2">
      <c r="A392" s="89">
        <f t="shared" si="14"/>
        <v>384</v>
      </c>
      <c r="B392" s="43">
        <v>11</v>
      </c>
      <c r="C392" s="43">
        <v>14</v>
      </c>
      <c r="D392" s="38" t="s">
        <v>553</v>
      </c>
      <c r="E392" s="44" t="s">
        <v>161</v>
      </c>
      <c r="F392" s="44" t="s">
        <v>6</v>
      </c>
      <c r="G392" s="44" t="s">
        <v>120</v>
      </c>
      <c r="H392" s="44" t="s">
        <v>48</v>
      </c>
      <c r="I392" s="44" t="s">
        <v>48</v>
      </c>
      <c r="J392" s="44" t="s">
        <v>7</v>
      </c>
      <c r="K392" s="44" t="s">
        <v>140</v>
      </c>
      <c r="L392" s="40">
        <v>1130</v>
      </c>
      <c r="M392" s="41">
        <v>41339</v>
      </c>
      <c r="N392" s="40" t="s">
        <v>122</v>
      </c>
      <c r="O392" s="42">
        <f t="shared" si="16"/>
        <v>42461</v>
      </c>
      <c r="P392" s="40">
        <v>28</v>
      </c>
      <c r="Q392" s="207">
        <f>'[3]DQE LP_GSGM_MMS'!G18</f>
        <v>29.376083910269941</v>
      </c>
      <c r="R392" s="207">
        <f>'[3]DQE LP_GSGM_MMS'!H18</f>
        <v>28.482711784948059</v>
      </c>
      <c r="S392" s="207">
        <f>'[3]DQE LP_GSGM_MMS'!I18</f>
        <v>29.503132670626769</v>
      </c>
      <c r="T392" s="207">
        <f>'[3]DQE LP_GSGM_MMS'!J18</f>
        <v>30.775216338040575</v>
      </c>
      <c r="U392" s="207">
        <f>'[3]DQE LP_GSGM_MMS'!K18</f>
        <v>32.539069553631776</v>
      </c>
      <c r="V392" s="145"/>
    </row>
    <row r="393" spans="1:22" x14ac:dyDescent="0.2">
      <c r="A393" s="89">
        <f t="shared" si="14"/>
        <v>385</v>
      </c>
      <c r="B393" s="43">
        <v>11</v>
      </c>
      <c r="C393" s="43">
        <v>15</v>
      </c>
      <c r="D393" s="38" t="s">
        <v>554</v>
      </c>
      <c r="E393" s="44" t="s">
        <v>163</v>
      </c>
      <c r="F393" s="44" t="s">
        <v>20</v>
      </c>
      <c r="G393" s="44" t="s">
        <v>120</v>
      </c>
      <c r="H393" s="44" t="s">
        <v>23</v>
      </c>
      <c r="I393" s="44" t="s">
        <v>164</v>
      </c>
      <c r="J393" s="44" t="s">
        <v>24</v>
      </c>
      <c r="K393" s="44" t="s">
        <v>140</v>
      </c>
      <c r="L393" s="40">
        <v>1131</v>
      </c>
      <c r="M393" s="41">
        <v>41339</v>
      </c>
      <c r="N393" s="40" t="s">
        <v>122</v>
      </c>
      <c r="O393" s="42">
        <f t="shared" si="16"/>
        <v>42461</v>
      </c>
      <c r="P393" s="40">
        <v>28</v>
      </c>
      <c r="Q393" s="207">
        <f>[3]Duke_OH_RC_DS01MS!G18</f>
        <v>16.291739201996069</v>
      </c>
      <c r="R393" s="207">
        <f>[3]Duke_OH_RC_DS01MS!H18</f>
        <v>15.61695423390063</v>
      </c>
      <c r="S393" s="207">
        <f>[3]Duke_OH_RC_DS01MS!I18</f>
        <v>16.411981775327867</v>
      </c>
      <c r="T393" s="207">
        <f>[3]Duke_OH_RC_DS01MS!J18</f>
        <v>17.684699424576554</v>
      </c>
      <c r="U393" s="207">
        <f>[3]Duke_OH_RC_DS01MS!K18</f>
        <v>19.245498164775487</v>
      </c>
      <c r="V393" s="145"/>
    </row>
    <row r="394" spans="1:22" x14ac:dyDescent="0.2">
      <c r="A394" s="89">
        <f t="shared" si="14"/>
        <v>386</v>
      </c>
      <c r="B394" s="43">
        <v>11</v>
      </c>
      <c r="C394" s="43">
        <v>16</v>
      </c>
      <c r="D394" s="38" t="s">
        <v>555</v>
      </c>
      <c r="E394" s="44" t="s">
        <v>166</v>
      </c>
      <c r="F394" s="44" t="s">
        <v>20</v>
      </c>
      <c r="G394" s="44" t="s">
        <v>120</v>
      </c>
      <c r="H394" s="44" t="s">
        <v>64</v>
      </c>
      <c r="I394" s="44" t="s">
        <v>167</v>
      </c>
      <c r="J394" s="44" t="s">
        <v>7</v>
      </c>
      <c r="K394" s="44" t="s">
        <v>140</v>
      </c>
      <c r="L394" s="40">
        <v>1132</v>
      </c>
      <c r="M394" s="41">
        <v>41339</v>
      </c>
      <c r="N394" s="40" t="s">
        <v>122</v>
      </c>
      <c r="O394" s="42">
        <f t="shared" si="16"/>
        <v>42461</v>
      </c>
      <c r="P394" s="40">
        <v>28</v>
      </c>
      <c r="Q394" s="207">
        <f>'[3]FE_OE - test RC_GSFMS'!G18</f>
        <v>27.826614177060055</v>
      </c>
      <c r="R394" s="207">
        <f>'[3]FE_OE - test RC_GSFMS'!H18</f>
        <v>23.611274965874298</v>
      </c>
      <c r="S394" s="207">
        <f>'[3]FE_OE - test RC_GSFMS'!I18</f>
        <v>23.331430883931588</v>
      </c>
      <c r="T394" s="207">
        <f>'[3]FE_OE - test RC_GSFMS'!J18</f>
        <v>23.271129276398206</v>
      </c>
      <c r="U394" s="207">
        <f>'[3]FE_OE - test RC_GSFMS'!K18</f>
        <v>28.548991451782548</v>
      </c>
      <c r="V394" s="145"/>
    </row>
    <row r="395" spans="1:22" x14ac:dyDescent="0.2">
      <c r="A395" s="89">
        <f t="shared" ref="A395:A458" si="17">A394+1</f>
        <v>387</v>
      </c>
      <c r="B395" s="43">
        <v>11</v>
      </c>
      <c r="C395" s="43">
        <v>17</v>
      </c>
      <c r="D395" s="38" t="s">
        <v>556</v>
      </c>
      <c r="E395" s="44" t="s">
        <v>169</v>
      </c>
      <c r="F395" s="44" t="s">
        <v>31</v>
      </c>
      <c r="G395" s="44" t="s">
        <v>120</v>
      </c>
      <c r="H395" s="44" t="s">
        <v>35</v>
      </c>
      <c r="I395" s="44" t="s">
        <v>35</v>
      </c>
      <c r="J395" s="44" t="s">
        <v>9</v>
      </c>
      <c r="K395" s="44" t="s">
        <v>135</v>
      </c>
      <c r="L395" s="40">
        <v>1133</v>
      </c>
      <c r="M395" s="41">
        <v>41339</v>
      </c>
      <c r="N395" s="40" t="s">
        <v>122</v>
      </c>
      <c r="O395" s="42">
        <f t="shared" si="16"/>
        <v>42461</v>
      </c>
      <c r="P395" s="40">
        <v>28</v>
      </c>
      <c r="Q395" s="207">
        <f>'[3]JCPL LP_GSCLMS'!G18</f>
        <v>44.084050427976088</v>
      </c>
      <c r="R395" s="207">
        <f>'[3]JCPL LP_GSCLMS'!H18</f>
        <v>45.06179795252568</v>
      </c>
      <c r="S395" s="207">
        <f>'[3]JCPL LP_GSCLMS'!I18</f>
        <v>44.703896437741335</v>
      </c>
      <c r="T395" s="207">
        <f>'[3]JCPL LP_GSCLMS'!J18</f>
        <v>45.517488707912577</v>
      </c>
      <c r="U395" s="207">
        <f>'[3]JCPL LP_GSCLMS'!K18</f>
        <v>50.053542321343734</v>
      </c>
      <c r="V395" s="145"/>
    </row>
    <row r="396" spans="1:22" x14ac:dyDescent="0.2">
      <c r="A396" s="89">
        <f t="shared" si="17"/>
        <v>388</v>
      </c>
      <c r="B396" s="43">
        <v>11</v>
      </c>
      <c r="C396" s="43">
        <v>18</v>
      </c>
      <c r="D396" s="38" t="s">
        <v>557</v>
      </c>
      <c r="E396" s="44" t="s">
        <v>171</v>
      </c>
      <c r="F396" s="44" t="s">
        <v>31</v>
      </c>
      <c r="G396" s="44" t="s">
        <v>120</v>
      </c>
      <c r="H396" s="44" t="s">
        <v>35</v>
      </c>
      <c r="I396" s="44" t="s">
        <v>35</v>
      </c>
      <c r="J396" s="44" t="s">
        <v>10</v>
      </c>
      <c r="K396" s="44" t="s">
        <v>132</v>
      </c>
      <c r="L396" s="40">
        <v>1134</v>
      </c>
      <c r="M396" s="41">
        <v>41339</v>
      </c>
      <c r="N396" s="40" t="s">
        <v>122</v>
      </c>
      <c r="O396" s="42">
        <f t="shared" si="16"/>
        <v>42461</v>
      </c>
      <c r="P396" s="40">
        <v>28</v>
      </c>
      <c r="Q396" s="207">
        <f>'[3]JCPL LP_GSCMMS'!G18</f>
        <v>45.794539227493694</v>
      </c>
      <c r="R396" s="207">
        <f>'[3]JCPL LP_GSCMMS'!H18</f>
        <v>46.012716162072032</v>
      </c>
      <c r="S396" s="207">
        <f>'[3]JCPL LP_GSCMMS'!I18</f>
        <v>45.923193481482464</v>
      </c>
      <c r="T396" s="207">
        <f>'[3]JCPL LP_GSCMMS'!J18</f>
        <v>46.475409700374627</v>
      </c>
      <c r="U396" s="207">
        <f>'[3]JCPL LP_GSCMMS'!K18</f>
        <v>51.022258077158121</v>
      </c>
      <c r="V396" s="145"/>
    </row>
    <row r="397" spans="1:22" x14ac:dyDescent="0.2">
      <c r="A397" s="89">
        <f t="shared" si="17"/>
        <v>389</v>
      </c>
      <c r="B397" s="43">
        <v>11</v>
      </c>
      <c r="C397" s="43">
        <v>19</v>
      </c>
      <c r="D397" s="38" t="s">
        <v>558</v>
      </c>
      <c r="E397" s="44" t="s">
        <v>173</v>
      </c>
      <c r="F397" s="44" t="s">
        <v>31</v>
      </c>
      <c r="G397" s="44" t="s">
        <v>120</v>
      </c>
      <c r="H397" s="44" t="s">
        <v>35</v>
      </c>
      <c r="I397" s="44" t="s">
        <v>35</v>
      </c>
      <c r="J397" s="44" t="s">
        <v>11</v>
      </c>
      <c r="K397" s="44" t="s">
        <v>129</v>
      </c>
      <c r="L397" s="40">
        <v>1135</v>
      </c>
      <c r="M397" s="41">
        <v>41339</v>
      </c>
      <c r="N397" s="40" t="s">
        <v>122</v>
      </c>
      <c r="O397" s="42">
        <f t="shared" si="16"/>
        <v>42461</v>
      </c>
      <c r="P397" s="40">
        <v>28</v>
      </c>
      <c r="Q397" s="207">
        <f>'[3]JCPL LP_GSCSMS'!G18</f>
        <v>46.91532344160985</v>
      </c>
      <c r="R397" s="207">
        <f>'[3]JCPL LP_GSCSMS'!H18</f>
        <v>46.241098783973634</v>
      </c>
      <c r="S397" s="207">
        <f>'[3]JCPL LP_GSCSMS'!I18</f>
        <v>46.413204274474538</v>
      </c>
      <c r="T397" s="207">
        <f>'[3]JCPL LP_GSCSMS'!J18</f>
        <v>46.672118502371568</v>
      </c>
      <c r="U397" s="207">
        <f>'[3]JCPL LP_GSCSMS'!K18</f>
        <v>51.195987404588266</v>
      </c>
      <c r="V397" s="145"/>
    </row>
    <row r="398" spans="1:22" x14ac:dyDescent="0.2">
      <c r="A398" s="89">
        <f t="shared" si="17"/>
        <v>390</v>
      </c>
      <c r="B398" s="43">
        <v>11</v>
      </c>
      <c r="C398" s="43">
        <v>20</v>
      </c>
      <c r="D398" s="38" t="s">
        <v>559</v>
      </c>
      <c r="E398" s="44" t="s">
        <v>175</v>
      </c>
      <c r="F398" s="44" t="s">
        <v>6</v>
      </c>
      <c r="G398" s="44" t="s">
        <v>120</v>
      </c>
      <c r="H398" s="44" t="s">
        <v>176</v>
      </c>
      <c r="I398" s="44" t="s">
        <v>177</v>
      </c>
      <c r="J398" s="44" t="s">
        <v>9</v>
      </c>
      <c r="K398" s="44" t="s">
        <v>135</v>
      </c>
      <c r="L398" s="40">
        <v>1137</v>
      </c>
      <c r="M398" s="41">
        <v>41339</v>
      </c>
      <c r="N398" s="40" t="s">
        <v>122</v>
      </c>
      <c r="O398" s="42">
        <f t="shared" si="16"/>
        <v>42461</v>
      </c>
      <c r="P398" s="40">
        <v>28</v>
      </c>
      <c r="Q398" s="207">
        <f>'[3]MetEd RC_GSLFMS'!G18</f>
        <v>25.950532819925325</v>
      </c>
      <c r="R398" s="207">
        <f>'[3]MetEd RC_GSLFMS'!H18</f>
        <v>26.107513016637242</v>
      </c>
      <c r="S398" s="207">
        <f>'[3]MetEd RC_GSLFMS'!I18</f>
        <v>25.717663834667217</v>
      </c>
      <c r="T398" s="207">
        <f>'[3]MetEd RC_GSLFMS'!J18</f>
        <v>25.968347298634281</v>
      </c>
      <c r="U398" s="207">
        <f>'[3]MetEd RC_GSLFMS'!K18</f>
        <v>29.485328633986139</v>
      </c>
      <c r="V398" s="145"/>
    </row>
    <row r="399" spans="1:22" x14ac:dyDescent="0.2">
      <c r="A399" s="89">
        <f t="shared" si="17"/>
        <v>391</v>
      </c>
      <c r="B399" s="43">
        <v>11</v>
      </c>
      <c r="C399" s="43">
        <v>21</v>
      </c>
      <c r="D399" s="38" t="s">
        <v>560</v>
      </c>
      <c r="E399" s="44" t="s">
        <v>179</v>
      </c>
      <c r="F399" s="44" t="s">
        <v>6</v>
      </c>
      <c r="G399" s="44" t="s">
        <v>120</v>
      </c>
      <c r="H399" s="44" t="s">
        <v>176</v>
      </c>
      <c r="I399" s="44" t="s">
        <v>177</v>
      </c>
      <c r="J399" s="44" t="s">
        <v>10</v>
      </c>
      <c r="K399" s="44" t="s">
        <v>132</v>
      </c>
      <c r="L399" s="40">
        <v>1136</v>
      </c>
      <c r="M399" s="41">
        <v>41339</v>
      </c>
      <c r="N399" s="40" t="s">
        <v>122</v>
      </c>
      <c r="O399" s="42">
        <f t="shared" si="16"/>
        <v>42461</v>
      </c>
      <c r="P399" s="40">
        <v>28</v>
      </c>
      <c r="Q399" s="207">
        <f>'[3]MetEd RC_GSDFMS'!G18</f>
        <v>27.116961055596022</v>
      </c>
      <c r="R399" s="207">
        <f>'[3]MetEd RC_GSDFMS'!H18</f>
        <v>27.19921747065511</v>
      </c>
      <c r="S399" s="207">
        <f>'[3]MetEd RC_GSDFMS'!I18</f>
        <v>26.837469727848838</v>
      </c>
      <c r="T399" s="207">
        <f>'[3]MetEd RC_GSDFMS'!J18</f>
        <v>27.05690783336383</v>
      </c>
      <c r="U399" s="207">
        <f>'[3]MetEd RC_GSDFMS'!K18</f>
        <v>30.57208174965081</v>
      </c>
      <c r="V399" s="145"/>
    </row>
    <row r="400" spans="1:22" x14ac:dyDescent="0.2">
      <c r="A400" s="89">
        <f t="shared" si="17"/>
        <v>392</v>
      </c>
      <c r="B400" s="43">
        <v>11</v>
      </c>
      <c r="C400" s="43">
        <v>22</v>
      </c>
      <c r="D400" s="38" t="s">
        <v>561</v>
      </c>
      <c r="E400" s="44" t="s">
        <v>181</v>
      </c>
      <c r="F400" s="44" t="s">
        <v>6</v>
      </c>
      <c r="G400" s="44" t="s">
        <v>120</v>
      </c>
      <c r="H400" s="44" t="s">
        <v>176</v>
      </c>
      <c r="I400" s="44" t="s">
        <v>177</v>
      </c>
      <c r="J400" s="44" t="s">
        <v>11</v>
      </c>
      <c r="K400" s="44" t="s">
        <v>129</v>
      </c>
      <c r="L400" s="40">
        <v>1138</v>
      </c>
      <c r="M400" s="41">
        <v>41339</v>
      </c>
      <c r="N400" s="40" t="s">
        <v>122</v>
      </c>
      <c r="O400" s="42">
        <f t="shared" si="16"/>
        <v>42461</v>
      </c>
      <c r="P400" s="40">
        <v>28</v>
      </c>
      <c r="Q400" s="207">
        <f>'[3]MetEd RC_GSSFMS'!G18</f>
        <v>28.013162303459119</v>
      </c>
      <c r="R400" s="207">
        <f>'[3]MetEd RC_GSSFMS'!H18</f>
        <v>27.121213070128867</v>
      </c>
      <c r="S400" s="207">
        <f>'[3]MetEd RC_GSSFMS'!I18</f>
        <v>27.060755243868019</v>
      </c>
      <c r="T400" s="207">
        <f>'[3]MetEd RC_GSSFMS'!J18</f>
        <v>26.983277876851268</v>
      </c>
      <c r="U400" s="207">
        <f>'[3]MetEd RC_GSSFMS'!K18</f>
        <v>30.499593188366134</v>
      </c>
      <c r="V400" s="145"/>
    </row>
    <row r="401" spans="1:22" x14ac:dyDescent="0.2">
      <c r="A401" s="89">
        <f t="shared" si="17"/>
        <v>393</v>
      </c>
      <c r="B401" s="43">
        <v>11</v>
      </c>
      <c r="C401" s="43">
        <v>23</v>
      </c>
      <c r="D401" s="38" t="s">
        <v>562</v>
      </c>
      <c r="E401" s="44" t="s">
        <v>183</v>
      </c>
      <c r="F401" s="44" t="s">
        <v>6</v>
      </c>
      <c r="G401" s="44" t="s">
        <v>120</v>
      </c>
      <c r="H401" s="44" t="s">
        <v>13</v>
      </c>
      <c r="I401" s="44" t="s">
        <v>13</v>
      </c>
      <c r="J401" s="44" t="s">
        <v>7</v>
      </c>
      <c r="K401" s="44" t="s">
        <v>140</v>
      </c>
      <c r="L401" s="40">
        <v>1139</v>
      </c>
      <c r="M401" s="41">
        <v>41339</v>
      </c>
      <c r="N401" s="40" t="s">
        <v>122</v>
      </c>
      <c r="O401" s="42">
        <f t="shared" si="16"/>
        <v>42461</v>
      </c>
      <c r="P401" s="40">
        <v>28</v>
      </c>
      <c r="Q401" s="207">
        <f>'[3]PECO LP_GSMS'!G18</f>
        <v>28.96021985735031</v>
      </c>
      <c r="R401" s="207">
        <f>'[3]PECO LP_GSMS'!H18</f>
        <v>29.79413418463902</v>
      </c>
      <c r="S401" s="207">
        <f>'[3]PECO LP_GSMS'!I18</f>
        <v>29.151362925993716</v>
      </c>
      <c r="T401" s="207">
        <f>'[3]PECO LP_GSMS'!J18</f>
        <v>29.608929293897035</v>
      </c>
      <c r="U401" s="207">
        <f>'[3]PECO LP_GSMS'!K18</f>
        <v>33.54675786509214</v>
      </c>
      <c r="V401" s="145"/>
    </row>
    <row r="402" spans="1:22" x14ac:dyDescent="0.2">
      <c r="A402" s="89">
        <f t="shared" si="17"/>
        <v>394</v>
      </c>
      <c r="B402" s="43">
        <v>11</v>
      </c>
      <c r="C402" s="43">
        <v>24</v>
      </c>
      <c r="D402" s="38" t="s">
        <v>563</v>
      </c>
      <c r="E402" s="44" t="s">
        <v>185</v>
      </c>
      <c r="F402" s="44" t="s">
        <v>6</v>
      </c>
      <c r="G402" s="44" t="s">
        <v>120</v>
      </c>
      <c r="H402" s="44" t="s">
        <v>12</v>
      </c>
      <c r="I402" s="44" t="s">
        <v>186</v>
      </c>
      <c r="J402" s="44" t="s">
        <v>9</v>
      </c>
      <c r="K402" s="44" t="s">
        <v>135</v>
      </c>
      <c r="L402" s="40">
        <v>1140</v>
      </c>
      <c r="M402" s="41">
        <v>41339</v>
      </c>
      <c r="N402" s="40" t="s">
        <v>122</v>
      </c>
      <c r="O402" s="42">
        <f t="shared" si="16"/>
        <v>42461</v>
      </c>
      <c r="P402" s="40">
        <v>28</v>
      </c>
      <c r="Q402" s="207">
        <f>'[3]Penelec RC_GSLFMS'!G18</f>
        <v>28.814548818438084</v>
      </c>
      <c r="R402" s="207">
        <f>'[3]Penelec RC_GSLFMS'!H18</f>
        <v>28.472785290369142</v>
      </c>
      <c r="S402" s="207">
        <f>'[3]Penelec RC_GSLFMS'!I18</f>
        <v>28.348126771349282</v>
      </c>
      <c r="T402" s="207">
        <f>'[3]Penelec RC_GSLFMS'!J18</f>
        <v>28.480441084089119</v>
      </c>
      <c r="U402" s="207">
        <f>'[3]Penelec RC_GSLFMS'!K18</f>
        <v>32.197369451405038</v>
      </c>
      <c r="V402" s="145"/>
    </row>
    <row r="403" spans="1:22" x14ac:dyDescent="0.2">
      <c r="A403" s="89">
        <f t="shared" si="17"/>
        <v>395</v>
      </c>
      <c r="B403" s="43">
        <v>11</v>
      </c>
      <c r="C403" s="43">
        <v>25</v>
      </c>
      <c r="D403" s="38" t="s">
        <v>564</v>
      </c>
      <c r="E403" s="44" t="s">
        <v>188</v>
      </c>
      <c r="F403" s="44" t="s">
        <v>6</v>
      </c>
      <c r="G403" s="44" t="s">
        <v>120</v>
      </c>
      <c r="H403" s="44" t="s">
        <v>12</v>
      </c>
      <c r="I403" s="44" t="s">
        <v>186</v>
      </c>
      <c r="J403" s="44" t="s">
        <v>10</v>
      </c>
      <c r="K403" s="44" t="s">
        <v>132</v>
      </c>
      <c r="L403" s="40">
        <v>1141</v>
      </c>
      <c r="M403" s="41">
        <v>41339</v>
      </c>
      <c r="N403" s="40" t="s">
        <v>122</v>
      </c>
      <c r="O403" s="42">
        <f t="shared" si="16"/>
        <v>42461</v>
      </c>
      <c r="P403" s="40">
        <v>28</v>
      </c>
      <c r="Q403" s="207">
        <f>'[3]Penelec RC_GSMFMS'!G18</f>
        <v>30.152317615011505</v>
      </c>
      <c r="R403" s="207">
        <f>'[3]Penelec RC_GSMFMS'!H18</f>
        <v>29.591547708279144</v>
      </c>
      <c r="S403" s="207">
        <f>'[3]Penelec RC_GSMFMS'!I18</f>
        <v>29.537567825913321</v>
      </c>
      <c r="T403" s="207">
        <f>'[3]Penelec RC_GSMFMS'!J18</f>
        <v>29.59345092578975</v>
      </c>
      <c r="U403" s="207">
        <f>'[3]Penelec RC_GSMFMS'!K18</f>
        <v>33.310856142158698</v>
      </c>
      <c r="V403" s="145"/>
    </row>
    <row r="404" spans="1:22" x14ac:dyDescent="0.2">
      <c r="A404" s="89">
        <f t="shared" si="17"/>
        <v>396</v>
      </c>
      <c r="B404" s="43">
        <v>11</v>
      </c>
      <c r="C404" s="43">
        <v>26</v>
      </c>
      <c r="D404" s="38" t="s">
        <v>565</v>
      </c>
      <c r="E404" s="44" t="s">
        <v>190</v>
      </c>
      <c r="F404" s="44" t="s">
        <v>6</v>
      </c>
      <c r="G404" s="44" t="s">
        <v>120</v>
      </c>
      <c r="H404" s="44" t="s">
        <v>12</v>
      </c>
      <c r="I404" s="44" t="s">
        <v>186</v>
      </c>
      <c r="J404" s="44" t="s">
        <v>11</v>
      </c>
      <c r="K404" s="44" t="s">
        <v>129</v>
      </c>
      <c r="L404" s="40">
        <v>1142</v>
      </c>
      <c r="M404" s="41">
        <v>41339</v>
      </c>
      <c r="N404" s="40" t="s">
        <v>122</v>
      </c>
      <c r="O404" s="42">
        <f t="shared" si="16"/>
        <v>42461</v>
      </c>
      <c r="P404" s="40">
        <v>28</v>
      </c>
      <c r="Q404" s="207">
        <f>'[3]Penelec RC_GSSFMS'!G18</f>
        <v>34.513206128234287</v>
      </c>
      <c r="R404" s="207">
        <f>'[3]Penelec RC_GSSFMS'!H18</f>
        <v>29.630090178982005</v>
      </c>
      <c r="S404" s="207">
        <f>'[3]Penelec RC_GSSFMS'!I18</f>
        <v>30.728738748058667</v>
      </c>
      <c r="T404" s="207">
        <f>'[3]Penelec RC_GSSFMS'!J18</f>
        <v>29.619993857893913</v>
      </c>
      <c r="U404" s="207">
        <f>'[3]Penelec RC_GSSFMS'!K18</f>
        <v>33.345153260564061</v>
      </c>
      <c r="V404" s="145"/>
    </row>
    <row r="405" spans="1:22" x14ac:dyDescent="0.2">
      <c r="A405" s="89">
        <f t="shared" si="17"/>
        <v>397</v>
      </c>
      <c r="B405" s="43">
        <v>11</v>
      </c>
      <c r="C405" s="43">
        <v>27</v>
      </c>
      <c r="D405" s="38" t="s">
        <v>566</v>
      </c>
      <c r="E405" s="44" t="s">
        <v>192</v>
      </c>
      <c r="F405" s="44" t="s">
        <v>6</v>
      </c>
      <c r="G405" s="44" t="s">
        <v>120</v>
      </c>
      <c r="H405" s="44" t="s">
        <v>100</v>
      </c>
      <c r="I405" s="44" t="s">
        <v>193</v>
      </c>
      <c r="J405" s="44" t="s">
        <v>7</v>
      </c>
      <c r="K405" s="44" t="s">
        <v>140</v>
      </c>
      <c r="L405" s="40">
        <v>1143</v>
      </c>
      <c r="M405" s="41">
        <v>41339</v>
      </c>
      <c r="N405" s="40" t="s">
        <v>122</v>
      </c>
      <c r="O405" s="42">
        <f t="shared" si="16"/>
        <v>42461</v>
      </c>
      <c r="P405" s="40">
        <v>28</v>
      </c>
      <c r="Q405" s="207">
        <f>'[3]Penn Power RC_GMDMS'!G18</f>
        <v>39.095520860225925</v>
      </c>
      <c r="R405" s="207">
        <f>'[3]Penn Power RC_GMDMS'!H18</f>
        <v>34.796515976513454</v>
      </c>
      <c r="S405" s="207">
        <f>'[3]Penn Power RC_GMDMS'!I18</f>
        <v>34.603800264088086</v>
      </c>
      <c r="T405" s="207">
        <f>'[3]Penn Power RC_GMDMS'!J18</f>
        <v>34.495673999851299</v>
      </c>
      <c r="U405" s="207">
        <f>'[3]Penn Power RC_GMDMS'!K18</f>
        <v>39.808316899775569</v>
      </c>
      <c r="V405" s="145"/>
    </row>
    <row r="406" spans="1:22" x14ac:dyDescent="0.2">
      <c r="A406" s="89">
        <f t="shared" si="17"/>
        <v>398</v>
      </c>
      <c r="B406" s="43">
        <v>11</v>
      </c>
      <c r="C406" s="43">
        <v>28</v>
      </c>
      <c r="D406" s="38" t="s">
        <v>567</v>
      </c>
      <c r="E406" s="44" t="s">
        <v>195</v>
      </c>
      <c r="F406" s="44" t="s">
        <v>39</v>
      </c>
      <c r="G406" s="44" t="s">
        <v>120</v>
      </c>
      <c r="H406" s="44" t="s">
        <v>44</v>
      </c>
      <c r="I406" s="44" t="s">
        <v>44</v>
      </c>
      <c r="J406" s="44" t="s">
        <v>7</v>
      </c>
      <c r="K406" s="44" t="s">
        <v>140</v>
      </c>
      <c r="L406" s="40">
        <v>1144</v>
      </c>
      <c r="M406" s="41">
        <v>41339</v>
      </c>
      <c r="N406" s="40" t="s">
        <v>122</v>
      </c>
      <c r="O406" s="42">
        <f t="shared" si="16"/>
        <v>42461</v>
      </c>
      <c r="P406" s="40">
        <v>28</v>
      </c>
      <c r="Q406" s="207">
        <f>'[3]PEPCO MD LP_MDNDMS'!G18</f>
        <v>33.382411710583753</v>
      </c>
      <c r="R406" s="207">
        <f>'[3]PEPCO MD LP_MDNDMS'!H18</f>
        <v>32.563737903789495</v>
      </c>
      <c r="S406" s="207">
        <f>'[3]PEPCO MD LP_MDNDMS'!I18</f>
        <v>32.563412222332857</v>
      </c>
      <c r="T406" s="207">
        <f>'[3]PEPCO MD LP_MDNDMS'!J18</f>
        <v>32.643146286917329</v>
      </c>
      <c r="U406" s="207">
        <f>'[3]PEPCO MD LP_MDNDMS'!K18</f>
        <v>36.822333674818651</v>
      </c>
      <c r="V406" s="145"/>
    </row>
    <row r="407" spans="1:22" x14ac:dyDescent="0.2">
      <c r="A407" s="89">
        <f t="shared" si="17"/>
        <v>399</v>
      </c>
      <c r="B407" s="43">
        <v>11</v>
      </c>
      <c r="C407" s="43">
        <v>29</v>
      </c>
      <c r="D407" s="38" t="s">
        <v>568</v>
      </c>
      <c r="E407" s="44" t="s">
        <v>197</v>
      </c>
      <c r="F407" s="44" t="s">
        <v>39</v>
      </c>
      <c r="G407" s="44" t="s">
        <v>120</v>
      </c>
      <c r="H407" s="44" t="s">
        <v>44</v>
      </c>
      <c r="I407" s="44" t="s">
        <v>44</v>
      </c>
      <c r="J407" s="44" t="s">
        <v>45</v>
      </c>
      <c r="K407" s="44" t="s">
        <v>198</v>
      </c>
      <c r="L407" s="40">
        <v>1145</v>
      </c>
      <c r="M407" s="41">
        <v>41339</v>
      </c>
      <c r="N407" s="40" t="s">
        <v>122</v>
      </c>
      <c r="O407" s="42">
        <f t="shared" si="16"/>
        <v>42461</v>
      </c>
      <c r="P407" s="40">
        <v>28</v>
      </c>
      <c r="Q407" s="207">
        <f>'[3]PEPCO MD LP_MMGTL2AMS'!G18</f>
        <v>30.88822144338052</v>
      </c>
      <c r="R407" s="207">
        <f>'[3]PEPCO MD LP_MMGTL2AMS'!H18</f>
        <v>31.45783761263397</v>
      </c>
      <c r="S407" s="207">
        <f>'[3]PEPCO MD LP_MMGTL2AMS'!I18</f>
        <v>31.006378007605196</v>
      </c>
      <c r="T407" s="207">
        <f>'[3]PEPCO MD LP_MMGTL2AMS'!J18</f>
        <v>31.521977423431146</v>
      </c>
      <c r="U407" s="207">
        <f>'[3]PEPCO MD LP_MMGTL2AMS'!K18</f>
        <v>35.673545613237231</v>
      </c>
      <c r="V407" s="145"/>
    </row>
    <row r="408" spans="1:22" x14ac:dyDescent="0.2">
      <c r="A408" s="89">
        <f t="shared" si="17"/>
        <v>400</v>
      </c>
      <c r="B408" s="43">
        <v>11</v>
      </c>
      <c r="C408" s="43">
        <v>30</v>
      </c>
      <c r="D408" s="38" t="s">
        <v>569</v>
      </c>
      <c r="E408" s="44" t="s">
        <v>200</v>
      </c>
      <c r="F408" s="44" t="s">
        <v>39</v>
      </c>
      <c r="G408" s="44" t="s">
        <v>120</v>
      </c>
      <c r="H408" s="44" t="s">
        <v>44</v>
      </c>
      <c r="I408" s="44" t="s">
        <v>44</v>
      </c>
      <c r="J408" s="44" t="s">
        <v>46</v>
      </c>
      <c r="K408" s="44" t="s">
        <v>46</v>
      </c>
      <c r="L408" s="40">
        <v>1146</v>
      </c>
      <c r="M408" s="41">
        <v>41339</v>
      </c>
      <c r="N408" s="40" t="s">
        <v>122</v>
      </c>
      <c r="O408" s="42">
        <f t="shared" si="16"/>
        <v>42461</v>
      </c>
      <c r="P408" s="40">
        <v>28</v>
      </c>
      <c r="Q408" s="207">
        <f>'[3]PEPCO MD RC_3T7MS'!G18</f>
        <v>33.732877240839407</v>
      </c>
      <c r="R408" s="207">
        <f>'[3]PEPCO MD RC_3T7MS'!H18</f>
        <v>32.290107755820955</v>
      </c>
      <c r="S408" s="207">
        <f>'[3]PEPCO MD RC_3T7MS'!I18</f>
        <v>32.474165835939189</v>
      </c>
      <c r="T408" s="207">
        <f>'[3]PEPCO MD RC_3T7MS'!J18</f>
        <v>32.465728649289666</v>
      </c>
      <c r="U408" s="207">
        <f>'[3]PEPCO MD RC_3T7MS'!K18</f>
        <v>36.657966646269578</v>
      </c>
      <c r="V408" s="145"/>
    </row>
    <row r="409" spans="1:22" x14ac:dyDescent="0.2">
      <c r="A409" s="89">
        <f t="shared" si="17"/>
        <v>401</v>
      </c>
      <c r="B409" s="43">
        <v>11</v>
      </c>
      <c r="C409" s="43">
        <v>31</v>
      </c>
      <c r="D409" s="38" t="s">
        <v>570</v>
      </c>
      <c r="E409" s="44" t="s">
        <v>202</v>
      </c>
      <c r="F409" s="44" t="s">
        <v>39</v>
      </c>
      <c r="G409" s="44" t="s">
        <v>120</v>
      </c>
      <c r="H409" s="44" t="s">
        <v>47</v>
      </c>
      <c r="I409" s="44" t="s">
        <v>47</v>
      </c>
      <c r="J409" s="44" t="s">
        <v>7</v>
      </c>
      <c r="K409" s="44" t="s">
        <v>140</v>
      </c>
      <c r="L409" s="40">
        <v>1147</v>
      </c>
      <c r="M409" s="41">
        <v>41339</v>
      </c>
      <c r="N409" s="40" t="s">
        <v>122</v>
      </c>
      <c r="O409" s="42">
        <f t="shared" si="16"/>
        <v>42461</v>
      </c>
      <c r="P409" s="40">
        <v>28</v>
      </c>
      <c r="Q409" s="207">
        <f>'[3]Potomac Edison LP_GSCM_MMS'!G18</f>
        <v>27.848490167448897</v>
      </c>
      <c r="R409" s="207">
        <f>'[3]Potomac Edison LP_GSCM_MMS'!H18</f>
        <v>27.031596678942453</v>
      </c>
      <c r="S409" s="207">
        <f>'[3]Potomac Edison LP_GSCM_MMS'!I18</f>
        <v>28.110337517787102</v>
      </c>
      <c r="T409" s="207">
        <f>'[3]Potomac Edison LP_GSCM_MMS'!J18</f>
        <v>29.539498523470954</v>
      </c>
      <c r="U409" s="207">
        <f>'[3]Potomac Edison LP_GSCM_MMS'!K18</f>
        <v>31.648441926652488</v>
      </c>
      <c r="V409" s="145"/>
    </row>
    <row r="410" spans="1:22" x14ac:dyDescent="0.2">
      <c r="A410" s="89">
        <f t="shared" si="17"/>
        <v>402</v>
      </c>
      <c r="B410" s="43">
        <v>11</v>
      </c>
      <c r="C410" s="43">
        <v>32</v>
      </c>
      <c r="D410" s="38" t="s">
        <v>571</v>
      </c>
      <c r="E410" s="44" t="s">
        <v>204</v>
      </c>
      <c r="F410" s="44" t="s">
        <v>6</v>
      </c>
      <c r="G410" s="44" t="s">
        <v>120</v>
      </c>
      <c r="H410" s="44" t="s">
        <v>14</v>
      </c>
      <c r="I410" s="44" t="s">
        <v>14</v>
      </c>
      <c r="J410" s="44" t="s">
        <v>15</v>
      </c>
      <c r="K410" s="44" t="s">
        <v>129</v>
      </c>
      <c r="L410" s="40">
        <v>1148</v>
      </c>
      <c r="M410" s="41">
        <v>41339</v>
      </c>
      <c r="N410" s="40" t="s">
        <v>122</v>
      </c>
      <c r="O410" s="42">
        <f t="shared" si="16"/>
        <v>42461</v>
      </c>
      <c r="P410" s="40">
        <v>28</v>
      </c>
      <c r="Q410" s="207">
        <f>[3]PPL_RCGS1MS!G18</f>
        <v>36.593468092353433</v>
      </c>
      <c r="R410" s="207">
        <f>[3]PPL_RCGS1MS!H18</f>
        <v>35.277795961922962</v>
      </c>
      <c r="S410" s="207">
        <f>[3]PPL_RCGS1MS!I18</f>
        <v>35.318110928817532</v>
      </c>
      <c r="T410" s="207">
        <f>[3]PPL_RCGS1MS!J18</f>
        <v>35.04555364143674</v>
      </c>
      <c r="U410" s="207">
        <f>[3]PPL_RCGS1MS!K18</f>
        <v>38.534121905102069</v>
      </c>
      <c r="V410" s="145"/>
    </row>
    <row r="411" spans="1:22" x14ac:dyDescent="0.2">
      <c r="A411" s="89">
        <f t="shared" si="17"/>
        <v>403</v>
      </c>
      <c r="B411" s="43">
        <v>11</v>
      </c>
      <c r="C411" s="43">
        <v>33</v>
      </c>
      <c r="D411" s="38" t="s">
        <v>572</v>
      </c>
      <c r="E411" s="44" t="s">
        <v>206</v>
      </c>
      <c r="F411" s="44" t="s">
        <v>6</v>
      </c>
      <c r="G411" s="44" t="s">
        <v>120</v>
      </c>
      <c r="H411" s="44" t="s">
        <v>14</v>
      </c>
      <c r="I411" s="44" t="s">
        <v>14</v>
      </c>
      <c r="J411" s="44" t="s">
        <v>16</v>
      </c>
      <c r="K411" s="44" t="s">
        <v>135</v>
      </c>
      <c r="L411" s="40">
        <v>1149</v>
      </c>
      <c r="M411" s="41">
        <v>41339</v>
      </c>
      <c r="N411" s="40" t="s">
        <v>122</v>
      </c>
      <c r="O411" s="42">
        <f t="shared" si="16"/>
        <v>42461</v>
      </c>
      <c r="P411" s="40">
        <v>28</v>
      </c>
      <c r="Q411" s="207">
        <f>[3]PPL_RCGS3MS!G18</f>
        <v>35.397389843488298</v>
      </c>
      <c r="R411" s="207">
        <f>[3]PPL_RCGS3MS!H18</f>
        <v>35.32945481094734</v>
      </c>
      <c r="S411" s="207">
        <f>[3]PPL_RCGS3MS!I18</f>
        <v>34.985058839327017</v>
      </c>
      <c r="T411" s="207">
        <f>[3]PPL_RCGS3MS!J18</f>
        <v>35.11567918696359</v>
      </c>
      <c r="U411" s="207">
        <f>[3]PPL_RCGS3MS!K18</f>
        <v>38.609021713638185</v>
      </c>
      <c r="V411" s="145"/>
    </row>
    <row r="412" spans="1:22" x14ac:dyDescent="0.2">
      <c r="A412" s="89">
        <f t="shared" si="17"/>
        <v>404</v>
      </c>
      <c r="B412" s="43">
        <v>11</v>
      </c>
      <c r="C412" s="43">
        <v>34</v>
      </c>
      <c r="D412" s="38" t="s">
        <v>573</v>
      </c>
      <c r="E412" s="44" t="s">
        <v>208</v>
      </c>
      <c r="F412" s="44" t="s">
        <v>31</v>
      </c>
      <c r="G412" s="44" t="s">
        <v>120</v>
      </c>
      <c r="H412" s="44" t="s">
        <v>36</v>
      </c>
      <c r="I412" s="44" t="s">
        <v>36</v>
      </c>
      <c r="J412" s="44" t="s">
        <v>37</v>
      </c>
      <c r="K412" s="44" t="s">
        <v>209</v>
      </c>
      <c r="L412" s="40">
        <v>1150</v>
      </c>
      <c r="M412" s="41">
        <v>41339</v>
      </c>
      <c r="N412" s="40" t="s">
        <v>122</v>
      </c>
      <c r="O412" s="42">
        <f t="shared" si="16"/>
        <v>42461</v>
      </c>
      <c r="P412" s="40">
        <v>28</v>
      </c>
      <c r="Q412" s="207">
        <f>'[3]PSEG LP_GLP_MMS'!G18</f>
        <v>60.336023821507652</v>
      </c>
      <c r="R412" s="207">
        <f>'[3]PSEG LP_GLP_MMS'!H18</f>
        <v>63.474168841253352</v>
      </c>
      <c r="S412" s="207">
        <f>'[3]PSEG LP_GLP_MMS'!I18</f>
        <v>62.941354426605578</v>
      </c>
      <c r="T412" s="207">
        <f>'[3]PSEG LP_GLP_MMS'!J18</f>
        <v>64.209649991888796</v>
      </c>
      <c r="U412" s="207">
        <f>'[3]PSEG LP_GLP_MMS'!K18</f>
        <v>66.790970657606948</v>
      </c>
      <c r="V412" s="145"/>
    </row>
    <row r="413" spans="1:22" x14ac:dyDescent="0.2">
      <c r="A413" s="89">
        <f t="shared" si="17"/>
        <v>405</v>
      </c>
      <c r="B413" s="43">
        <v>11</v>
      </c>
      <c r="C413" s="43">
        <v>35</v>
      </c>
      <c r="D413" s="38" t="s">
        <v>574</v>
      </c>
      <c r="E413" s="44" t="s">
        <v>211</v>
      </c>
      <c r="F413" s="44" t="s">
        <v>31</v>
      </c>
      <c r="G413" s="44" t="s">
        <v>120</v>
      </c>
      <c r="H413" s="44" t="s">
        <v>36</v>
      </c>
      <c r="I413" s="44" t="s">
        <v>36</v>
      </c>
      <c r="J413" s="44" t="s">
        <v>38</v>
      </c>
      <c r="K413" s="44" t="s">
        <v>212</v>
      </c>
      <c r="L413" s="40">
        <v>1151</v>
      </c>
      <c r="M413" s="41">
        <v>41339</v>
      </c>
      <c r="N413" s="40" t="s">
        <v>122</v>
      </c>
      <c r="O413" s="42">
        <f t="shared" si="16"/>
        <v>42461</v>
      </c>
      <c r="P413" s="40">
        <v>28</v>
      </c>
      <c r="Q413" s="207">
        <f>'[3]PSEG LP_LPLMS'!G18</f>
        <v>59.526950424549412</v>
      </c>
      <c r="R413" s="207">
        <f>'[3]PSEG LP_LPLMS'!H18</f>
        <v>62.710391842564782</v>
      </c>
      <c r="S413" s="207">
        <f>'[3]PSEG LP_LPLMS'!I18</f>
        <v>62.077171469754447</v>
      </c>
      <c r="T413" s="207">
        <f>'[3]PSEG LP_LPLMS'!J18</f>
        <v>63.378393636527704</v>
      </c>
      <c r="U413" s="207">
        <f>'[3]PSEG LP_LPLMS'!K18</f>
        <v>65.955066050114269</v>
      </c>
      <c r="V413" s="145"/>
    </row>
    <row r="414" spans="1:22" x14ac:dyDescent="0.2">
      <c r="A414" s="89">
        <f t="shared" si="17"/>
        <v>406</v>
      </c>
      <c r="B414" s="43">
        <v>11</v>
      </c>
      <c r="C414" s="43">
        <v>36</v>
      </c>
      <c r="D414" s="38" t="s">
        <v>575</v>
      </c>
      <c r="E414" s="44" t="s">
        <v>214</v>
      </c>
      <c r="F414" s="44" t="s">
        <v>6</v>
      </c>
      <c r="G414" s="44" t="s">
        <v>120</v>
      </c>
      <c r="H414" s="44" t="s">
        <v>17</v>
      </c>
      <c r="I414" s="44" t="s">
        <v>215</v>
      </c>
      <c r="J414" s="44" t="s">
        <v>18</v>
      </c>
      <c r="K414" s="44" t="s">
        <v>140</v>
      </c>
      <c r="L414" s="40">
        <v>1152</v>
      </c>
      <c r="M414" s="41">
        <v>41339</v>
      </c>
      <c r="N414" s="40" t="s">
        <v>122</v>
      </c>
      <c r="O414" s="42">
        <f t="shared" si="16"/>
        <v>42461</v>
      </c>
      <c r="P414" s="40">
        <v>28</v>
      </c>
      <c r="Q414" s="207">
        <f>'[3]West Penn Power LP_GSCMMS'!G18</f>
        <v>27.550117047536428</v>
      </c>
      <c r="R414" s="207">
        <f>'[3]West Penn Power LP_GSCMMS'!H18</f>
        <v>26.724076282477512</v>
      </c>
      <c r="S414" s="207">
        <f>'[3]West Penn Power LP_GSCMMS'!I18</f>
        <v>27.793874339449221</v>
      </c>
      <c r="T414" s="207">
        <f>'[3]West Penn Power LP_GSCMMS'!J18</f>
        <v>29.098450185337438</v>
      </c>
      <c r="U414" s="207">
        <f>'[3]West Penn Power LP_GSCMMS'!K18</f>
        <v>30.932998401486888</v>
      </c>
      <c r="V414" s="145"/>
    </row>
    <row r="415" spans="1:22" x14ac:dyDescent="0.2">
      <c r="A415" s="89">
        <f t="shared" si="17"/>
        <v>407</v>
      </c>
      <c r="B415" s="20"/>
      <c r="C415" s="20"/>
      <c r="D415" s="20"/>
      <c r="Q415" s="208"/>
      <c r="R415" s="208"/>
      <c r="S415" s="208"/>
      <c r="T415" s="208"/>
      <c r="U415" s="208"/>
    </row>
    <row r="416" spans="1:22" x14ac:dyDescent="0.2">
      <c r="A416" s="89">
        <f t="shared" si="17"/>
        <v>408</v>
      </c>
      <c r="B416" s="43">
        <v>12</v>
      </c>
      <c r="C416" s="43">
        <v>1</v>
      </c>
      <c r="D416" s="38" t="s">
        <v>576</v>
      </c>
      <c r="E416" s="44" t="s">
        <v>119</v>
      </c>
      <c r="F416" s="44" t="s">
        <v>31</v>
      </c>
      <c r="G416" s="44" t="s">
        <v>120</v>
      </c>
      <c r="H416" s="44" t="s">
        <v>32</v>
      </c>
      <c r="I416" s="44" t="s">
        <v>32</v>
      </c>
      <c r="J416" s="44" t="s">
        <v>33</v>
      </c>
      <c r="K416" s="44" t="s">
        <v>121</v>
      </c>
      <c r="L416" s="40">
        <v>1117</v>
      </c>
      <c r="M416" s="41">
        <v>41339</v>
      </c>
      <c r="N416" s="40" t="s">
        <v>122</v>
      </c>
      <c r="O416" s="42">
        <f>EDATE(O379,1)</f>
        <v>42491</v>
      </c>
      <c r="P416" s="40">
        <v>29</v>
      </c>
      <c r="Q416" s="207">
        <f>'[3]AECO LP_10V1_SMS'!G19</f>
        <v>44.396642737754256</v>
      </c>
      <c r="R416" s="207">
        <f>'[3]AECO LP_10V1_SMS'!H19</f>
        <v>47.579709871571986</v>
      </c>
      <c r="S416" s="207">
        <f>'[3]AECO LP_10V1_SMS'!I19</f>
        <v>46.444661013398751</v>
      </c>
      <c r="T416" s="207">
        <f>'[3]AECO LP_10V1_SMS'!J19</f>
        <v>47.552090171963428</v>
      </c>
      <c r="U416" s="207">
        <f>'[3]AECO LP_10V1_SMS'!K19</f>
        <v>51.884023102337387</v>
      </c>
      <c r="V416" s="145"/>
    </row>
    <row r="417" spans="1:22" x14ac:dyDescent="0.2">
      <c r="A417" s="89">
        <f t="shared" si="17"/>
        <v>409</v>
      </c>
      <c r="B417" s="43">
        <v>12</v>
      </c>
      <c r="C417" s="43">
        <v>2</v>
      </c>
      <c r="D417" s="38" t="s">
        <v>577</v>
      </c>
      <c r="E417" s="44" t="s">
        <v>124</v>
      </c>
      <c r="F417" s="44" t="s">
        <v>31</v>
      </c>
      <c r="G417" s="44" t="s">
        <v>120</v>
      </c>
      <c r="H417" s="44" t="s">
        <v>32</v>
      </c>
      <c r="I417" s="44" t="s">
        <v>32</v>
      </c>
      <c r="J417" s="44" t="s">
        <v>34</v>
      </c>
      <c r="K417" s="44" t="s">
        <v>125</v>
      </c>
      <c r="L417" s="40">
        <v>1118</v>
      </c>
      <c r="M417" s="41">
        <v>41339</v>
      </c>
      <c r="N417" s="40" t="s">
        <v>122</v>
      </c>
      <c r="O417" s="42">
        <f>O416</f>
        <v>42491</v>
      </c>
      <c r="P417" s="40">
        <v>29</v>
      </c>
      <c r="Q417" s="207">
        <f>'[3]AECO LP_14V1_MMS'!G19</f>
        <v>45.522829386752683</v>
      </c>
      <c r="R417" s="207">
        <f>'[3]AECO LP_14V1_MMS'!H19</f>
        <v>47.493183811179684</v>
      </c>
      <c r="S417" s="207">
        <f>'[3]AECO LP_14V1_MMS'!I19</f>
        <v>46.81456616360817</v>
      </c>
      <c r="T417" s="207">
        <f>'[3]AECO LP_14V1_MMS'!J19</f>
        <v>46.966853137389741</v>
      </c>
      <c r="U417" s="207">
        <f>'[3]AECO LP_14V1_MMS'!K19</f>
        <v>50.059225671056922</v>
      </c>
      <c r="V417" s="145"/>
    </row>
    <row r="418" spans="1:22" x14ac:dyDescent="0.2">
      <c r="A418" s="89">
        <f t="shared" si="17"/>
        <v>410</v>
      </c>
      <c r="B418" s="43">
        <v>12</v>
      </c>
      <c r="C418" s="43">
        <v>3</v>
      </c>
      <c r="D418" s="38" t="s">
        <v>578</v>
      </c>
      <c r="E418" s="44" t="s">
        <v>127</v>
      </c>
      <c r="F418" s="44" t="s">
        <v>20</v>
      </c>
      <c r="G418" s="44" t="s">
        <v>120</v>
      </c>
      <c r="H418" s="44" t="s">
        <v>63</v>
      </c>
      <c r="I418" s="44" t="s">
        <v>128</v>
      </c>
      <c r="J418" s="44" t="s">
        <v>15</v>
      </c>
      <c r="K418" s="44" t="s">
        <v>129</v>
      </c>
      <c r="L418" s="40">
        <v>1119</v>
      </c>
      <c r="M418" s="41">
        <v>41339</v>
      </c>
      <c r="N418" s="40" t="s">
        <v>122</v>
      </c>
      <c r="O418" s="42">
        <f t="shared" ref="O418:O451" si="18">O417</f>
        <v>42491</v>
      </c>
      <c r="P418" s="40">
        <v>29</v>
      </c>
      <c r="Q418" s="207">
        <f>'[3]AEP_OH_CS - test CSGS1MS'!G19</f>
        <v>16.226113496785775</v>
      </c>
      <c r="R418" s="207">
        <f>'[3]AEP_OH_CS - test CSGS1MS'!H19</f>
        <v>16.161507352661051</v>
      </c>
      <c r="S418" s="207">
        <f>'[3]AEP_OH_CS - test CSGS1MS'!I19</f>
        <v>17.554966792538039</v>
      </c>
      <c r="T418" s="207">
        <f>'[3]AEP_OH_CS - test CSGS1MS'!J19</f>
        <v>18.850846357899741</v>
      </c>
      <c r="U418" s="207">
        <f>'[3]AEP_OH_CS - test CSGS1MS'!K19</f>
        <v>20.871968913727301</v>
      </c>
      <c r="V418" s="145"/>
    </row>
    <row r="419" spans="1:22" x14ac:dyDescent="0.2">
      <c r="A419" s="89">
        <f t="shared" si="17"/>
        <v>411</v>
      </c>
      <c r="B419" s="43">
        <v>12</v>
      </c>
      <c r="C419" s="43">
        <v>4</v>
      </c>
      <c r="D419" s="38" t="s">
        <v>579</v>
      </c>
      <c r="E419" s="44" t="s">
        <v>131</v>
      </c>
      <c r="F419" s="44" t="s">
        <v>20</v>
      </c>
      <c r="G419" s="44" t="s">
        <v>120</v>
      </c>
      <c r="H419" s="44" t="s">
        <v>63</v>
      </c>
      <c r="I419" s="44" t="s">
        <v>128</v>
      </c>
      <c r="J419" s="44" t="s">
        <v>21</v>
      </c>
      <c r="K419" s="44" t="s">
        <v>132</v>
      </c>
      <c r="L419" s="40">
        <v>1120</v>
      </c>
      <c r="M419" s="41">
        <v>41339</v>
      </c>
      <c r="N419" s="40" t="s">
        <v>122</v>
      </c>
      <c r="O419" s="42">
        <f t="shared" si="18"/>
        <v>42491</v>
      </c>
      <c r="P419" s="40">
        <v>29</v>
      </c>
      <c r="Q419" s="207">
        <f>'[3]AEP_OH_CS - test CSGS2UMS'!G19</f>
        <v>16.216375942703589</v>
      </c>
      <c r="R419" s="207">
        <f>'[3]AEP_OH_CS - test CSGS2UMS'!H19</f>
        <v>16.242035363442341</v>
      </c>
      <c r="S419" s="207">
        <f>'[3]AEP_OH_CS - test CSGS2UMS'!I19</f>
        <v>17.592648108434492</v>
      </c>
      <c r="T419" s="207">
        <f>'[3]AEP_OH_CS - test CSGS2UMS'!J19</f>
        <v>18.926712631731306</v>
      </c>
      <c r="U419" s="207">
        <f>'[3]AEP_OH_CS - test CSGS2UMS'!K19</f>
        <v>20.949634521423004</v>
      </c>
      <c r="V419" s="145"/>
    </row>
    <row r="420" spans="1:22" x14ac:dyDescent="0.2">
      <c r="A420" s="89">
        <f t="shared" si="17"/>
        <v>412</v>
      </c>
      <c r="B420" s="43">
        <v>12</v>
      </c>
      <c r="C420" s="43">
        <v>5</v>
      </c>
      <c r="D420" s="38" t="s">
        <v>580</v>
      </c>
      <c r="E420" s="44" t="s">
        <v>134</v>
      </c>
      <c r="F420" s="44" t="s">
        <v>20</v>
      </c>
      <c r="G420" s="44" t="s">
        <v>120</v>
      </c>
      <c r="H420" s="44" t="s">
        <v>63</v>
      </c>
      <c r="I420" s="44" t="s">
        <v>128</v>
      </c>
      <c r="J420" s="44" t="s">
        <v>16</v>
      </c>
      <c r="K420" s="44" t="s">
        <v>135</v>
      </c>
      <c r="L420" s="40">
        <v>1121</v>
      </c>
      <c r="M420" s="41">
        <v>41339</v>
      </c>
      <c r="N420" s="40" t="s">
        <v>122</v>
      </c>
      <c r="O420" s="42">
        <f t="shared" si="18"/>
        <v>42491</v>
      </c>
      <c r="P420" s="40">
        <v>29</v>
      </c>
      <c r="Q420" s="207">
        <f>'[3]AEP_OH_CS - test CSGS3UMS'!G19</f>
        <v>15.853101325530179</v>
      </c>
      <c r="R420" s="207">
        <f>'[3]AEP_OH_CS - test CSGS3UMS'!H19</f>
        <v>16.171234821795313</v>
      </c>
      <c r="S420" s="207">
        <f>'[3]AEP_OH_CS - test CSGS3UMS'!I19</f>
        <v>17.39689982462329</v>
      </c>
      <c r="T420" s="207">
        <f>'[3]AEP_OH_CS - test CSGS3UMS'!J19</f>
        <v>18.851997893222642</v>
      </c>
      <c r="U420" s="207">
        <f>'[3]AEP_OH_CS - test CSGS3UMS'!K19</f>
        <v>20.869008034971277</v>
      </c>
      <c r="V420" s="145"/>
    </row>
    <row r="421" spans="1:22" x14ac:dyDescent="0.2">
      <c r="A421" s="89">
        <f t="shared" si="17"/>
        <v>413</v>
      </c>
      <c r="B421" s="43">
        <v>12</v>
      </c>
      <c r="C421" s="43">
        <v>6</v>
      </c>
      <c r="D421" s="38" t="s">
        <v>581</v>
      </c>
      <c r="E421" s="44" t="s">
        <v>137</v>
      </c>
      <c r="F421" s="44" t="s">
        <v>25</v>
      </c>
      <c r="G421" s="44" t="s">
        <v>138</v>
      </c>
      <c r="H421" s="44" t="s">
        <v>139</v>
      </c>
      <c r="I421" s="44" t="s">
        <v>29</v>
      </c>
      <c r="J421" s="44" t="s">
        <v>30</v>
      </c>
      <c r="K421" s="44" t="s">
        <v>140</v>
      </c>
      <c r="L421" s="40">
        <v>1122</v>
      </c>
      <c r="M421" s="41">
        <v>41339</v>
      </c>
      <c r="N421" s="40" t="s">
        <v>122</v>
      </c>
      <c r="O421" s="42">
        <f t="shared" si="18"/>
        <v>42491</v>
      </c>
      <c r="P421" s="40">
        <v>29</v>
      </c>
      <c r="Q421" s="207">
        <f>'[3]Ameren RateZnIII LP DS2HHMS'!G19</f>
        <v>32.798520257566231</v>
      </c>
      <c r="R421" s="207">
        <f>'[3]Ameren RateZnIII LP DS2HHMS'!H19</f>
        <v>35.030335838947586</v>
      </c>
      <c r="S421" s="207">
        <f>'[3]Ameren RateZnIII LP DS2HHMS'!I19</f>
        <v>34.817976174316705</v>
      </c>
      <c r="T421" s="207">
        <f>'[3]Ameren RateZnIII LP DS2HHMS'!J19</f>
        <v>35.786005008968885</v>
      </c>
      <c r="U421" s="207">
        <f>'[3]Ameren RateZnIII LP DS2HHMS'!K19</f>
        <v>36.768519204797563</v>
      </c>
      <c r="V421" s="145"/>
    </row>
    <row r="422" spans="1:22" x14ac:dyDescent="0.2">
      <c r="A422" s="89">
        <f t="shared" si="17"/>
        <v>414</v>
      </c>
      <c r="B422" s="43">
        <v>12</v>
      </c>
      <c r="C422" s="43">
        <v>7</v>
      </c>
      <c r="D422" s="38" t="s">
        <v>582</v>
      </c>
      <c r="E422" s="44" t="s">
        <v>142</v>
      </c>
      <c r="F422" s="44" t="s">
        <v>39</v>
      </c>
      <c r="G422" s="44" t="s">
        <v>120</v>
      </c>
      <c r="H422" s="44" t="s">
        <v>40</v>
      </c>
      <c r="I422" s="44" t="s">
        <v>40</v>
      </c>
      <c r="J422" s="44" t="s">
        <v>42</v>
      </c>
      <c r="K422" s="44" t="s">
        <v>135</v>
      </c>
      <c r="L422" s="40">
        <v>1124</v>
      </c>
      <c r="M422" s="41">
        <v>41339</v>
      </c>
      <c r="N422" s="40" t="s">
        <v>122</v>
      </c>
      <c r="O422" s="42">
        <f t="shared" si="18"/>
        <v>42491</v>
      </c>
      <c r="P422" s="40">
        <v>29</v>
      </c>
      <c r="Q422" s="207">
        <f>'[3]BGE LP_GLMS'!G19</f>
        <v>30.899619865899556</v>
      </c>
      <c r="R422" s="207">
        <f>'[3]BGE LP_GLMS'!H19</f>
        <v>32.218224745519365</v>
      </c>
      <c r="S422" s="207">
        <f>'[3]BGE LP_GLMS'!I19</f>
        <v>31.677451381894496</v>
      </c>
      <c r="T422" s="207">
        <f>'[3]BGE LP_GLMS'!J19</f>
        <v>32.393094396536043</v>
      </c>
      <c r="U422" s="207">
        <f>'[3]BGE LP_GLMS'!K19</f>
        <v>36.46997155527977</v>
      </c>
      <c r="V422" s="145"/>
    </row>
    <row r="423" spans="1:22" x14ac:dyDescent="0.2">
      <c r="A423" s="89">
        <f t="shared" si="17"/>
        <v>415</v>
      </c>
      <c r="B423" s="43">
        <v>12</v>
      </c>
      <c r="C423" s="43">
        <v>8</v>
      </c>
      <c r="D423" s="38" t="s">
        <v>583</v>
      </c>
      <c r="E423" s="44" t="s">
        <v>144</v>
      </c>
      <c r="F423" s="44" t="s">
        <v>39</v>
      </c>
      <c r="G423" s="44" t="s">
        <v>120</v>
      </c>
      <c r="H423" s="44" t="s">
        <v>40</v>
      </c>
      <c r="I423" s="44" t="s">
        <v>40</v>
      </c>
      <c r="J423" s="44" t="s">
        <v>41</v>
      </c>
      <c r="K423" s="44" t="s">
        <v>132</v>
      </c>
      <c r="L423" s="40">
        <v>1123</v>
      </c>
      <c r="M423" s="41">
        <v>41339</v>
      </c>
      <c r="N423" s="40" t="s">
        <v>122</v>
      </c>
      <c r="O423" s="42">
        <f t="shared" si="18"/>
        <v>42491</v>
      </c>
      <c r="P423" s="40">
        <v>29</v>
      </c>
      <c r="Q423" s="207">
        <f>'[3]BGE LP_GMS'!G19</f>
        <v>31.91004140950572</v>
      </c>
      <c r="R423" s="207">
        <f>'[3]BGE LP_GMS'!H19</f>
        <v>32.2878173571128</v>
      </c>
      <c r="S423" s="207">
        <f>'[3]BGE LP_GMS'!I19</f>
        <v>32.076870889719693</v>
      </c>
      <c r="T423" s="207">
        <f>'[3]BGE LP_GMS'!J19</f>
        <v>32.530362597960689</v>
      </c>
      <c r="U423" s="207">
        <f>'[3]BGE LP_GMS'!K19</f>
        <v>36.641937662227939</v>
      </c>
      <c r="V423" s="145"/>
    </row>
    <row r="424" spans="1:22" x14ac:dyDescent="0.2">
      <c r="A424" s="89">
        <f t="shared" si="17"/>
        <v>416</v>
      </c>
      <c r="B424" s="43">
        <v>12</v>
      </c>
      <c r="C424" s="43">
        <v>9</v>
      </c>
      <c r="D424" s="38" t="s">
        <v>584</v>
      </c>
      <c r="E424" s="44" t="s">
        <v>146</v>
      </c>
      <c r="F424" s="44" t="s">
        <v>39</v>
      </c>
      <c r="G424" s="44" t="s">
        <v>120</v>
      </c>
      <c r="H424" s="44" t="s">
        <v>40</v>
      </c>
      <c r="I424" s="44" t="s">
        <v>40</v>
      </c>
      <c r="J424" s="44" t="s">
        <v>7</v>
      </c>
      <c r="K424" s="44" t="s">
        <v>129</v>
      </c>
      <c r="L424" s="40">
        <v>1125</v>
      </c>
      <c r="M424" s="41">
        <v>41339</v>
      </c>
      <c r="N424" s="40" t="s">
        <v>122</v>
      </c>
      <c r="O424" s="42">
        <f t="shared" si="18"/>
        <v>42491</v>
      </c>
      <c r="P424" s="40">
        <v>29</v>
      </c>
      <c r="Q424" s="207">
        <f>'[3]BGE LP_GSMS'!G19</f>
        <v>32.427172717967615</v>
      </c>
      <c r="R424" s="207">
        <f>'[3]BGE LP_GSMS'!H19</f>
        <v>33.215492130635411</v>
      </c>
      <c r="S424" s="207">
        <f>'[3]BGE LP_GSMS'!I19</f>
        <v>32.87033441909368</v>
      </c>
      <c r="T424" s="207">
        <f>'[3]BGE LP_GSMS'!J19</f>
        <v>33.349892176480246</v>
      </c>
      <c r="U424" s="207">
        <f>'[3]BGE LP_GSMS'!K19</f>
        <v>37.410222746088209</v>
      </c>
      <c r="V424" s="145"/>
    </row>
    <row r="425" spans="1:22" x14ac:dyDescent="0.2">
      <c r="A425" s="89">
        <f t="shared" si="17"/>
        <v>417</v>
      </c>
      <c r="B425" s="43">
        <v>12</v>
      </c>
      <c r="C425" s="43">
        <v>10</v>
      </c>
      <c r="D425" s="38" t="s">
        <v>585</v>
      </c>
      <c r="E425" s="44" t="s">
        <v>148</v>
      </c>
      <c r="F425" s="44" t="s">
        <v>25</v>
      </c>
      <c r="G425" s="44" t="s">
        <v>120</v>
      </c>
      <c r="H425" s="44" t="s">
        <v>149</v>
      </c>
      <c r="I425" s="44" t="s">
        <v>26</v>
      </c>
      <c r="J425" s="44" t="s">
        <v>27</v>
      </c>
      <c r="K425" s="44" t="s">
        <v>150</v>
      </c>
      <c r="L425" s="40">
        <v>1126</v>
      </c>
      <c r="M425" s="41">
        <v>41339</v>
      </c>
      <c r="N425" s="40" t="s">
        <v>122</v>
      </c>
      <c r="O425" s="42">
        <f t="shared" si="18"/>
        <v>42491</v>
      </c>
      <c r="P425" s="40">
        <v>29</v>
      </c>
      <c r="Q425" s="207">
        <f>'[3]ComEd - test LP_28MS'!G19</f>
        <v>24.190440606563012</v>
      </c>
      <c r="R425" s="207">
        <f>'[3]ComEd - test LP_28MS'!H19</f>
        <v>24.206244312057667</v>
      </c>
      <c r="S425" s="207">
        <f>'[3]ComEd - test LP_28MS'!I19</f>
        <v>25.713477639329575</v>
      </c>
      <c r="T425" s="207">
        <f>'[3]ComEd - test LP_28MS'!J19</f>
        <v>27.085209720127949</v>
      </c>
      <c r="U425" s="207">
        <f>'[3]ComEd - test LP_28MS'!K19</f>
        <v>28.897804727300819</v>
      </c>
      <c r="V425" s="145"/>
    </row>
    <row r="426" spans="1:22" x14ac:dyDescent="0.2">
      <c r="A426" s="89">
        <f t="shared" si="17"/>
        <v>418</v>
      </c>
      <c r="B426" s="43">
        <v>12</v>
      </c>
      <c r="C426" s="43">
        <v>11</v>
      </c>
      <c r="D426" s="38" t="s">
        <v>586</v>
      </c>
      <c r="E426" s="44" t="s">
        <v>152</v>
      </c>
      <c r="F426" s="44" t="s">
        <v>25</v>
      </c>
      <c r="G426" s="44" t="s">
        <v>120</v>
      </c>
      <c r="H426" s="44" t="s">
        <v>149</v>
      </c>
      <c r="I426" s="44" t="s">
        <v>26</v>
      </c>
      <c r="J426" s="44" t="s">
        <v>28</v>
      </c>
      <c r="K426" s="44" t="s">
        <v>153</v>
      </c>
      <c r="L426" s="40">
        <v>1127</v>
      </c>
      <c r="M426" s="41">
        <v>41339</v>
      </c>
      <c r="N426" s="40" t="s">
        <v>122</v>
      </c>
      <c r="O426" s="42">
        <f t="shared" si="18"/>
        <v>42491</v>
      </c>
      <c r="P426" s="40">
        <v>29</v>
      </c>
      <c r="Q426" s="207">
        <f>'[3]ComEd - test LP_29MS'!G19</f>
        <v>23.279036817832292</v>
      </c>
      <c r="R426" s="207">
        <f>'[3]ComEd - test LP_29MS'!H19</f>
        <v>23.306459677760078</v>
      </c>
      <c r="S426" s="207">
        <f>'[3]ComEd - test LP_29MS'!I19</f>
        <v>24.803453621145024</v>
      </c>
      <c r="T426" s="207">
        <f>'[3]ComEd - test LP_29MS'!J19</f>
        <v>26.182002674932907</v>
      </c>
      <c r="U426" s="207">
        <f>'[3]ComEd - test LP_29MS'!K19</f>
        <v>27.997358988630207</v>
      </c>
      <c r="V426" s="145"/>
    </row>
    <row r="427" spans="1:22" x14ac:dyDescent="0.2">
      <c r="A427" s="89">
        <f t="shared" si="17"/>
        <v>419</v>
      </c>
      <c r="B427" s="43">
        <v>12</v>
      </c>
      <c r="C427" s="43">
        <v>12</v>
      </c>
      <c r="D427" s="38" t="s">
        <v>587</v>
      </c>
      <c r="E427" s="44" t="s">
        <v>155</v>
      </c>
      <c r="F427" s="44" t="s">
        <v>20</v>
      </c>
      <c r="G427" s="44" t="s">
        <v>120</v>
      </c>
      <c r="H427" s="44" t="s">
        <v>105</v>
      </c>
      <c r="I427" s="44" t="s">
        <v>156</v>
      </c>
      <c r="J427" s="44" t="s">
        <v>22</v>
      </c>
      <c r="K427" s="44" t="s">
        <v>157</v>
      </c>
      <c r="L427" s="40">
        <v>1128</v>
      </c>
      <c r="M427" s="41">
        <v>41339</v>
      </c>
      <c r="N427" s="40" t="s">
        <v>122</v>
      </c>
      <c r="O427" s="42">
        <f t="shared" si="18"/>
        <v>42491</v>
      </c>
      <c r="P427" s="40">
        <v>29</v>
      </c>
      <c r="Q427" s="207">
        <f>[3]DAY_RC_843MS!G19</f>
        <v>16.555625439199769</v>
      </c>
      <c r="R427" s="207">
        <f>[3]DAY_RC_843MS!H19</f>
        <v>15.096133595579067</v>
      </c>
      <c r="S427" s="207">
        <f>[3]DAY_RC_843MS!I19</f>
        <v>17.022022548566369</v>
      </c>
      <c r="T427" s="207">
        <f>[3]DAY_RC_843MS!J19</f>
        <v>17.87443659220812</v>
      </c>
      <c r="U427" s="207">
        <f>[3]DAY_RC_843MS!K19</f>
        <v>19.60904302240699</v>
      </c>
      <c r="V427" s="145"/>
    </row>
    <row r="428" spans="1:22" x14ac:dyDescent="0.2">
      <c r="A428" s="89">
        <f t="shared" si="17"/>
        <v>420</v>
      </c>
      <c r="B428" s="43">
        <v>12</v>
      </c>
      <c r="C428" s="43">
        <v>13</v>
      </c>
      <c r="D428" s="38" t="s">
        <v>588</v>
      </c>
      <c r="E428" s="44" t="s">
        <v>159</v>
      </c>
      <c r="F428" s="44" t="s">
        <v>39</v>
      </c>
      <c r="G428" s="44" t="s">
        <v>120</v>
      </c>
      <c r="H428" s="44" t="s">
        <v>43</v>
      </c>
      <c r="I428" s="44" t="s">
        <v>43</v>
      </c>
      <c r="J428" s="44" t="s">
        <v>7</v>
      </c>
      <c r="K428" s="44" t="s">
        <v>140</v>
      </c>
      <c r="L428" s="40">
        <v>1129</v>
      </c>
      <c r="M428" s="41">
        <v>41339</v>
      </c>
      <c r="N428" s="40" t="s">
        <v>122</v>
      </c>
      <c r="O428" s="42">
        <f t="shared" si="18"/>
        <v>42491</v>
      </c>
      <c r="P428" s="40">
        <v>29</v>
      </c>
      <c r="Q428" s="207">
        <f>'[3]Delmarva MD LP_MDGS_MMS'!G19</f>
        <v>34.667853694773555</v>
      </c>
      <c r="R428" s="207">
        <f>'[3]Delmarva MD LP_MDGS_MMS'!H19</f>
        <v>36.046425706476207</v>
      </c>
      <c r="S428" s="207">
        <f>'[3]Delmarva MD LP_MDGS_MMS'!I19</f>
        <v>35.620701967092664</v>
      </c>
      <c r="T428" s="207">
        <f>'[3]Delmarva MD LP_MDGS_MMS'!J19</f>
        <v>36.410666728436247</v>
      </c>
      <c r="U428" s="207">
        <f>'[3]Delmarva MD LP_MDGS_MMS'!K19</f>
        <v>41.247190605516941</v>
      </c>
      <c r="V428" s="145"/>
    </row>
    <row r="429" spans="1:22" x14ac:dyDescent="0.2">
      <c r="A429" s="89">
        <f t="shared" si="17"/>
        <v>421</v>
      </c>
      <c r="B429" s="43">
        <v>12</v>
      </c>
      <c r="C429" s="43">
        <v>14</v>
      </c>
      <c r="D429" s="38" t="s">
        <v>589</v>
      </c>
      <c r="E429" s="44" t="s">
        <v>161</v>
      </c>
      <c r="F429" s="44" t="s">
        <v>6</v>
      </c>
      <c r="G429" s="44" t="s">
        <v>120</v>
      </c>
      <c r="H429" s="44" t="s">
        <v>48</v>
      </c>
      <c r="I429" s="44" t="s">
        <v>48</v>
      </c>
      <c r="J429" s="44" t="s">
        <v>7</v>
      </c>
      <c r="K429" s="44" t="s">
        <v>140</v>
      </c>
      <c r="L429" s="40">
        <v>1130</v>
      </c>
      <c r="M429" s="41">
        <v>41339</v>
      </c>
      <c r="N429" s="40" t="s">
        <v>122</v>
      </c>
      <c r="O429" s="42">
        <f t="shared" si="18"/>
        <v>42491</v>
      </c>
      <c r="P429" s="40">
        <v>29</v>
      </c>
      <c r="Q429" s="207">
        <f>'[3]DQE LP_GSGM_MMS'!G19</f>
        <v>28.097178725895535</v>
      </c>
      <c r="R429" s="207">
        <f>'[3]DQE LP_GSGM_MMS'!H19</f>
        <v>27.869251031214702</v>
      </c>
      <c r="S429" s="207">
        <f>'[3]DQE LP_GSGM_MMS'!I19</f>
        <v>29.452935064643597</v>
      </c>
      <c r="T429" s="207">
        <f>'[3]DQE LP_GSGM_MMS'!J19</f>
        <v>30.746746653723598</v>
      </c>
      <c r="U429" s="207">
        <f>'[3]DQE LP_GSGM_MMS'!K19</f>
        <v>32.575675009844808</v>
      </c>
      <c r="V429" s="145"/>
    </row>
    <row r="430" spans="1:22" x14ac:dyDescent="0.2">
      <c r="A430" s="89">
        <f t="shared" si="17"/>
        <v>422</v>
      </c>
      <c r="B430" s="43">
        <v>12</v>
      </c>
      <c r="C430" s="43">
        <v>15</v>
      </c>
      <c r="D430" s="38" t="s">
        <v>590</v>
      </c>
      <c r="E430" s="44" t="s">
        <v>163</v>
      </c>
      <c r="F430" s="44" t="s">
        <v>20</v>
      </c>
      <c r="G430" s="44" t="s">
        <v>120</v>
      </c>
      <c r="H430" s="44" t="s">
        <v>23</v>
      </c>
      <c r="I430" s="44" t="s">
        <v>164</v>
      </c>
      <c r="J430" s="44" t="s">
        <v>24</v>
      </c>
      <c r="K430" s="44" t="s">
        <v>140</v>
      </c>
      <c r="L430" s="40">
        <v>1131</v>
      </c>
      <c r="M430" s="41">
        <v>41339</v>
      </c>
      <c r="N430" s="40" t="s">
        <v>122</v>
      </c>
      <c r="O430" s="42">
        <f t="shared" si="18"/>
        <v>42491</v>
      </c>
      <c r="P430" s="40">
        <v>29</v>
      </c>
      <c r="Q430" s="207">
        <f>[3]Duke_OH_RC_DS01MS!G19</f>
        <v>15.035894290970651</v>
      </c>
      <c r="R430" s="207">
        <f>[3]Duke_OH_RC_DS01MS!H19</f>
        <v>14.969833104752057</v>
      </c>
      <c r="S430" s="207">
        <f>[3]Duke_OH_RC_DS01MS!I19</f>
        <v>16.329515986377089</v>
      </c>
      <c r="T430" s="207">
        <f>[3]Duke_OH_RC_DS01MS!J19</f>
        <v>17.626702985060561</v>
      </c>
      <c r="U430" s="207">
        <f>[3]Duke_OH_RC_DS01MS!K19</f>
        <v>19.252180304757253</v>
      </c>
      <c r="V430" s="145"/>
    </row>
    <row r="431" spans="1:22" x14ac:dyDescent="0.2">
      <c r="A431" s="89">
        <f t="shared" si="17"/>
        <v>423</v>
      </c>
      <c r="B431" s="43">
        <v>12</v>
      </c>
      <c r="C431" s="43">
        <v>16</v>
      </c>
      <c r="D431" s="38" t="s">
        <v>591</v>
      </c>
      <c r="E431" s="44" t="s">
        <v>166</v>
      </c>
      <c r="F431" s="44" t="s">
        <v>20</v>
      </c>
      <c r="G431" s="44" t="s">
        <v>120</v>
      </c>
      <c r="H431" s="44" t="s">
        <v>64</v>
      </c>
      <c r="I431" s="44" t="s">
        <v>167</v>
      </c>
      <c r="J431" s="44" t="s">
        <v>7</v>
      </c>
      <c r="K431" s="44" t="s">
        <v>140</v>
      </c>
      <c r="L431" s="40">
        <v>1132</v>
      </c>
      <c r="M431" s="41">
        <v>41339</v>
      </c>
      <c r="N431" s="40" t="s">
        <v>122</v>
      </c>
      <c r="O431" s="42">
        <f t="shared" si="18"/>
        <v>42491</v>
      </c>
      <c r="P431" s="40">
        <v>29</v>
      </c>
      <c r="Q431" s="207">
        <f>'[3]FE_OE - test RC_GSFMS'!G19</f>
        <v>23.910950904857369</v>
      </c>
      <c r="R431" s="207">
        <f>'[3]FE_OE - test RC_GSFMS'!H19</f>
        <v>21.88528903172843</v>
      </c>
      <c r="S431" s="207">
        <f>'[3]FE_OE - test RC_GSFMS'!I19</f>
        <v>22.237356254303855</v>
      </c>
      <c r="T431" s="207">
        <f>'[3]FE_OE - test RC_GSFMS'!J19</f>
        <v>22.538642369738429</v>
      </c>
      <c r="U431" s="207">
        <f>'[3]FE_OE - test RC_GSFMS'!K19</f>
        <v>28.565003729194423</v>
      </c>
      <c r="V431" s="145"/>
    </row>
    <row r="432" spans="1:22" x14ac:dyDescent="0.2">
      <c r="A432" s="89">
        <f t="shared" si="17"/>
        <v>424</v>
      </c>
      <c r="B432" s="43">
        <v>12</v>
      </c>
      <c r="C432" s="43">
        <v>17</v>
      </c>
      <c r="D432" s="38" t="s">
        <v>592</v>
      </c>
      <c r="E432" s="44" t="s">
        <v>169</v>
      </c>
      <c r="F432" s="44" t="s">
        <v>31</v>
      </c>
      <c r="G432" s="44" t="s">
        <v>120</v>
      </c>
      <c r="H432" s="44" t="s">
        <v>35</v>
      </c>
      <c r="I432" s="44" t="s">
        <v>35</v>
      </c>
      <c r="J432" s="44" t="s">
        <v>9</v>
      </c>
      <c r="K432" s="44" t="s">
        <v>135</v>
      </c>
      <c r="L432" s="40">
        <v>1133</v>
      </c>
      <c r="M432" s="41">
        <v>41339</v>
      </c>
      <c r="N432" s="40" t="s">
        <v>122</v>
      </c>
      <c r="O432" s="42">
        <f t="shared" si="18"/>
        <v>42491</v>
      </c>
      <c r="P432" s="40">
        <v>29</v>
      </c>
      <c r="Q432" s="207">
        <f>'[3]JCPL LP_GSCLMS'!G19</f>
        <v>42.924377534713798</v>
      </c>
      <c r="R432" s="207">
        <f>'[3]JCPL LP_GSCLMS'!H19</f>
        <v>44.78767450495981</v>
      </c>
      <c r="S432" s="207">
        <f>'[3]JCPL LP_GSCLMS'!I19</f>
        <v>44.544356954623936</v>
      </c>
      <c r="T432" s="207">
        <f>'[3]JCPL LP_GSCLMS'!J19</f>
        <v>45.42162413516057</v>
      </c>
      <c r="U432" s="207">
        <f>'[3]JCPL LP_GSCLMS'!K19</f>
        <v>50.400957329896556</v>
      </c>
      <c r="V432" s="145"/>
    </row>
    <row r="433" spans="1:22" x14ac:dyDescent="0.2">
      <c r="A433" s="89">
        <f t="shared" si="17"/>
        <v>425</v>
      </c>
      <c r="B433" s="43">
        <v>12</v>
      </c>
      <c r="C433" s="43">
        <v>18</v>
      </c>
      <c r="D433" s="38" t="s">
        <v>593</v>
      </c>
      <c r="E433" s="44" t="s">
        <v>171</v>
      </c>
      <c r="F433" s="44" t="s">
        <v>31</v>
      </c>
      <c r="G433" s="44" t="s">
        <v>120</v>
      </c>
      <c r="H433" s="44" t="s">
        <v>35</v>
      </c>
      <c r="I433" s="44" t="s">
        <v>35</v>
      </c>
      <c r="J433" s="44" t="s">
        <v>10</v>
      </c>
      <c r="K433" s="44" t="s">
        <v>132</v>
      </c>
      <c r="L433" s="40">
        <v>1134</v>
      </c>
      <c r="M433" s="41">
        <v>41339</v>
      </c>
      <c r="N433" s="40" t="s">
        <v>122</v>
      </c>
      <c r="O433" s="42">
        <f t="shared" si="18"/>
        <v>42491</v>
      </c>
      <c r="P433" s="40">
        <v>29</v>
      </c>
      <c r="Q433" s="207">
        <f>'[3]JCPL LP_GSCMMS'!G19</f>
        <v>46.660205671878956</v>
      </c>
      <c r="R433" s="207">
        <f>'[3]JCPL LP_GSCMMS'!H19</f>
        <v>45.793572944652198</v>
      </c>
      <c r="S433" s="207">
        <f>'[3]JCPL LP_GSCMMS'!I19</f>
        <v>46.410441389086266</v>
      </c>
      <c r="T433" s="207">
        <f>'[3]JCPL LP_GSCMMS'!J19</f>
        <v>46.410119566718869</v>
      </c>
      <c r="U433" s="207">
        <f>'[3]JCPL LP_GSCMMS'!K19</f>
        <v>51.385260023151019</v>
      </c>
      <c r="V433" s="145"/>
    </row>
    <row r="434" spans="1:22" x14ac:dyDescent="0.2">
      <c r="A434" s="89">
        <f t="shared" si="17"/>
        <v>426</v>
      </c>
      <c r="B434" s="43">
        <v>12</v>
      </c>
      <c r="C434" s="43">
        <v>19</v>
      </c>
      <c r="D434" s="38" t="s">
        <v>594</v>
      </c>
      <c r="E434" s="44" t="s">
        <v>173</v>
      </c>
      <c r="F434" s="44" t="s">
        <v>31</v>
      </c>
      <c r="G434" s="44" t="s">
        <v>120</v>
      </c>
      <c r="H434" s="44" t="s">
        <v>35</v>
      </c>
      <c r="I434" s="44" t="s">
        <v>35</v>
      </c>
      <c r="J434" s="44" t="s">
        <v>11</v>
      </c>
      <c r="K434" s="44" t="s">
        <v>129</v>
      </c>
      <c r="L434" s="40">
        <v>1135</v>
      </c>
      <c r="M434" s="41">
        <v>41339</v>
      </c>
      <c r="N434" s="40" t="s">
        <v>122</v>
      </c>
      <c r="O434" s="42">
        <f t="shared" si="18"/>
        <v>42491</v>
      </c>
      <c r="P434" s="40">
        <v>29</v>
      </c>
      <c r="Q434" s="207">
        <f>'[3]JCPL LP_GSCSMS'!G19</f>
        <v>46.059169385857146</v>
      </c>
      <c r="R434" s="207">
        <f>'[3]JCPL LP_GSCSMS'!H19</f>
        <v>45.977200456983702</v>
      </c>
      <c r="S434" s="207">
        <f>'[3]JCPL LP_GSCSMS'!I19</f>
        <v>46.374831245882476</v>
      </c>
      <c r="T434" s="207">
        <f>'[3]JCPL LP_GSCSMS'!J19</f>
        <v>46.586296269188949</v>
      </c>
      <c r="U434" s="207">
        <f>'[3]JCPL LP_GSCSMS'!K19</f>
        <v>51.555023879980673</v>
      </c>
      <c r="V434" s="145"/>
    </row>
    <row r="435" spans="1:22" x14ac:dyDescent="0.2">
      <c r="A435" s="89">
        <f t="shared" si="17"/>
        <v>427</v>
      </c>
      <c r="B435" s="43">
        <v>12</v>
      </c>
      <c r="C435" s="43">
        <v>20</v>
      </c>
      <c r="D435" s="38" t="s">
        <v>595</v>
      </c>
      <c r="E435" s="44" t="s">
        <v>175</v>
      </c>
      <c r="F435" s="44" t="s">
        <v>6</v>
      </c>
      <c r="G435" s="44" t="s">
        <v>120</v>
      </c>
      <c r="H435" s="44" t="s">
        <v>176</v>
      </c>
      <c r="I435" s="44" t="s">
        <v>177</v>
      </c>
      <c r="J435" s="44" t="s">
        <v>9</v>
      </c>
      <c r="K435" s="44" t="s">
        <v>135</v>
      </c>
      <c r="L435" s="40">
        <v>1137</v>
      </c>
      <c r="M435" s="41">
        <v>41339</v>
      </c>
      <c r="N435" s="40" t="s">
        <v>122</v>
      </c>
      <c r="O435" s="42">
        <f t="shared" si="18"/>
        <v>42491</v>
      </c>
      <c r="P435" s="40">
        <v>29</v>
      </c>
      <c r="Q435" s="207">
        <f>'[3]MetEd RC_GSLFMS'!G19</f>
        <v>25.117742151039277</v>
      </c>
      <c r="R435" s="207">
        <f>'[3]MetEd RC_GSLFMS'!H19</f>
        <v>25.772234492446376</v>
      </c>
      <c r="S435" s="207">
        <f>'[3]MetEd RC_GSLFMS'!I19</f>
        <v>25.452942398416347</v>
      </c>
      <c r="T435" s="207">
        <f>'[3]MetEd RC_GSLFMS'!J19</f>
        <v>25.81409904292407</v>
      </c>
      <c r="U435" s="207">
        <f>'[3]MetEd RC_GSLFMS'!K19</f>
        <v>29.725217671514105</v>
      </c>
      <c r="V435" s="145"/>
    </row>
    <row r="436" spans="1:22" x14ac:dyDescent="0.2">
      <c r="A436" s="89">
        <f t="shared" si="17"/>
        <v>428</v>
      </c>
      <c r="B436" s="43">
        <v>12</v>
      </c>
      <c r="C436" s="43">
        <v>21</v>
      </c>
      <c r="D436" s="38" t="s">
        <v>596</v>
      </c>
      <c r="E436" s="44" t="s">
        <v>179</v>
      </c>
      <c r="F436" s="44" t="s">
        <v>6</v>
      </c>
      <c r="G436" s="44" t="s">
        <v>120</v>
      </c>
      <c r="H436" s="44" t="s">
        <v>176</v>
      </c>
      <c r="I436" s="44" t="s">
        <v>177</v>
      </c>
      <c r="J436" s="44" t="s">
        <v>10</v>
      </c>
      <c r="K436" s="44" t="s">
        <v>132</v>
      </c>
      <c r="L436" s="40">
        <v>1136</v>
      </c>
      <c r="M436" s="41">
        <v>41339</v>
      </c>
      <c r="N436" s="40" t="s">
        <v>122</v>
      </c>
      <c r="O436" s="42">
        <f t="shared" si="18"/>
        <v>42491</v>
      </c>
      <c r="P436" s="40">
        <v>29</v>
      </c>
      <c r="Q436" s="207">
        <f>'[3]MetEd RC_GSDFMS'!G19</f>
        <v>26.339986362380369</v>
      </c>
      <c r="R436" s="207">
        <f>'[3]MetEd RC_GSDFMS'!H19</f>
        <v>26.861461521470627</v>
      </c>
      <c r="S436" s="207">
        <f>'[3]MetEd RC_GSDFMS'!I19</f>
        <v>26.594270607660185</v>
      </c>
      <c r="T436" s="207">
        <f>'[3]MetEd RC_GSDFMS'!J19</f>
        <v>26.902994694327994</v>
      </c>
      <c r="U436" s="207">
        <f>'[3]MetEd RC_GSDFMS'!K19</f>
        <v>30.81311932966295</v>
      </c>
      <c r="V436" s="145"/>
    </row>
    <row r="437" spans="1:22" x14ac:dyDescent="0.2">
      <c r="A437" s="89">
        <f t="shared" si="17"/>
        <v>429</v>
      </c>
      <c r="B437" s="43">
        <v>12</v>
      </c>
      <c r="C437" s="43">
        <v>22</v>
      </c>
      <c r="D437" s="38" t="s">
        <v>597</v>
      </c>
      <c r="E437" s="44" t="s">
        <v>181</v>
      </c>
      <c r="F437" s="44" t="s">
        <v>6</v>
      </c>
      <c r="G437" s="44" t="s">
        <v>120</v>
      </c>
      <c r="H437" s="44" t="s">
        <v>176</v>
      </c>
      <c r="I437" s="44" t="s">
        <v>177</v>
      </c>
      <c r="J437" s="44" t="s">
        <v>11</v>
      </c>
      <c r="K437" s="44" t="s">
        <v>129</v>
      </c>
      <c r="L437" s="40">
        <v>1138</v>
      </c>
      <c r="M437" s="41">
        <v>41339</v>
      </c>
      <c r="N437" s="40" t="s">
        <v>122</v>
      </c>
      <c r="O437" s="42">
        <f t="shared" si="18"/>
        <v>42491</v>
      </c>
      <c r="P437" s="40">
        <v>29</v>
      </c>
      <c r="Q437" s="207">
        <f>'[3]MetEd RC_GSSFMS'!G19</f>
        <v>26.676229187701125</v>
      </c>
      <c r="R437" s="207">
        <f>'[3]MetEd RC_GSSFMS'!H19</f>
        <v>26.783716423359778</v>
      </c>
      <c r="S437" s="207">
        <f>'[3]MetEd RC_GSSFMS'!I19</f>
        <v>26.648578836596812</v>
      </c>
      <c r="T437" s="207">
        <f>'[3]MetEd RC_GSSFMS'!J19</f>
        <v>26.831863047805399</v>
      </c>
      <c r="U437" s="207">
        <f>'[3]MetEd RC_GSSFMS'!K19</f>
        <v>30.74433340566268</v>
      </c>
      <c r="V437" s="145"/>
    </row>
    <row r="438" spans="1:22" x14ac:dyDescent="0.2">
      <c r="A438" s="89">
        <f t="shared" si="17"/>
        <v>430</v>
      </c>
      <c r="B438" s="43">
        <v>12</v>
      </c>
      <c r="C438" s="43">
        <v>23</v>
      </c>
      <c r="D438" s="38" t="s">
        <v>598</v>
      </c>
      <c r="E438" s="44" t="s">
        <v>183</v>
      </c>
      <c r="F438" s="44" t="s">
        <v>6</v>
      </c>
      <c r="G438" s="44" t="s">
        <v>120</v>
      </c>
      <c r="H438" s="44" t="s">
        <v>13</v>
      </c>
      <c r="I438" s="44" t="s">
        <v>13</v>
      </c>
      <c r="J438" s="44" t="s">
        <v>7</v>
      </c>
      <c r="K438" s="44" t="s">
        <v>140</v>
      </c>
      <c r="L438" s="40">
        <v>1139</v>
      </c>
      <c r="M438" s="41">
        <v>41339</v>
      </c>
      <c r="N438" s="40" t="s">
        <v>122</v>
      </c>
      <c r="O438" s="42">
        <f t="shared" si="18"/>
        <v>42491</v>
      </c>
      <c r="P438" s="40">
        <v>29</v>
      </c>
      <c r="Q438" s="207">
        <f>'[3]PECO LP_GSMS'!G19</f>
        <v>28.274203639616957</v>
      </c>
      <c r="R438" s="207">
        <f>'[3]PECO LP_GSMS'!H19</f>
        <v>29.435093518127424</v>
      </c>
      <c r="S438" s="207">
        <f>'[3]PECO LP_GSMS'!I19</f>
        <v>28.923820985591007</v>
      </c>
      <c r="T438" s="207">
        <f>'[3]PECO LP_GSMS'!J19</f>
        <v>29.441853139422175</v>
      </c>
      <c r="U438" s="207">
        <f>'[3]PECO LP_GSMS'!K19</f>
        <v>33.820374098675003</v>
      </c>
      <c r="V438" s="145"/>
    </row>
    <row r="439" spans="1:22" x14ac:dyDescent="0.2">
      <c r="A439" s="89">
        <f t="shared" si="17"/>
        <v>431</v>
      </c>
      <c r="B439" s="43">
        <v>12</v>
      </c>
      <c r="C439" s="43">
        <v>24</v>
      </c>
      <c r="D439" s="38" t="s">
        <v>599</v>
      </c>
      <c r="E439" s="44" t="s">
        <v>185</v>
      </c>
      <c r="F439" s="44" t="s">
        <v>6</v>
      </c>
      <c r="G439" s="44" t="s">
        <v>120</v>
      </c>
      <c r="H439" s="44" t="s">
        <v>12</v>
      </c>
      <c r="I439" s="44" t="s">
        <v>186</v>
      </c>
      <c r="J439" s="44" t="s">
        <v>9</v>
      </c>
      <c r="K439" s="44" t="s">
        <v>135</v>
      </c>
      <c r="L439" s="40">
        <v>1140</v>
      </c>
      <c r="M439" s="41">
        <v>41339</v>
      </c>
      <c r="N439" s="40" t="s">
        <v>122</v>
      </c>
      <c r="O439" s="42">
        <f t="shared" si="18"/>
        <v>42491</v>
      </c>
      <c r="P439" s="40">
        <v>29</v>
      </c>
      <c r="Q439" s="207">
        <f>'[3]Penelec RC_GSLFMS'!G19</f>
        <v>28.020504292314182</v>
      </c>
      <c r="R439" s="207">
        <f>'[3]Penelec RC_GSLFMS'!H19</f>
        <v>28.159438749155946</v>
      </c>
      <c r="S439" s="207">
        <f>'[3]Penelec RC_GSLFMS'!I19</f>
        <v>28.11416235330276</v>
      </c>
      <c r="T439" s="207">
        <f>'[3]Penelec RC_GSLFMS'!J19</f>
        <v>28.350164204689861</v>
      </c>
      <c r="U439" s="207">
        <f>'[3]Penelec RC_GSLFMS'!K19</f>
        <v>32.465717651096746</v>
      </c>
      <c r="V439" s="145"/>
    </row>
    <row r="440" spans="1:22" x14ac:dyDescent="0.2">
      <c r="A440" s="89">
        <f t="shared" si="17"/>
        <v>432</v>
      </c>
      <c r="B440" s="43">
        <v>12</v>
      </c>
      <c r="C440" s="43">
        <v>25</v>
      </c>
      <c r="D440" s="38" t="s">
        <v>600</v>
      </c>
      <c r="E440" s="44" t="s">
        <v>188</v>
      </c>
      <c r="F440" s="44" t="s">
        <v>6</v>
      </c>
      <c r="G440" s="44" t="s">
        <v>120</v>
      </c>
      <c r="H440" s="44" t="s">
        <v>12</v>
      </c>
      <c r="I440" s="44" t="s">
        <v>186</v>
      </c>
      <c r="J440" s="44" t="s">
        <v>10</v>
      </c>
      <c r="K440" s="44" t="s">
        <v>132</v>
      </c>
      <c r="L440" s="40">
        <v>1141</v>
      </c>
      <c r="M440" s="41">
        <v>41339</v>
      </c>
      <c r="N440" s="40" t="s">
        <v>122</v>
      </c>
      <c r="O440" s="42">
        <f t="shared" si="18"/>
        <v>42491</v>
      </c>
      <c r="P440" s="40">
        <v>29</v>
      </c>
      <c r="Q440" s="207">
        <f>'[3]Penelec RC_GSMFMS'!G19</f>
        <v>29.441714033622198</v>
      </c>
      <c r="R440" s="207">
        <f>'[3]Penelec RC_GSMFMS'!H19</f>
        <v>29.27906018715673</v>
      </c>
      <c r="S440" s="207">
        <f>'[3]Penelec RC_GSMFMS'!I19</f>
        <v>29.335712421940656</v>
      </c>
      <c r="T440" s="207">
        <f>'[3]Penelec RC_GSMFMS'!J19</f>
        <v>29.465025217164197</v>
      </c>
      <c r="U440" s="207">
        <f>'[3]Penelec RC_GSMFMS'!K19</f>
        <v>33.582509514767658</v>
      </c>
      <c r="V440" s="145"/>
    </row>
    <row r="441" spans="1:22" x14ac:dyDescent="0.2">
      <c r="A441" s="89">
        <f t="shared" si="17"/>
        <v>433</v>
      </c>
      <c r="B441" s="43">
        <v>12</v>
      </c>
      <c r="C441" s="43">
        <v>26</v>
      </c>
      <c r="D441" s="38" t="s">
        <v>601</v>
      </c>
      <c r="E441" s="44" t="s">
        <v>190</v>
      </c>
      <c r="F441" s="44" t="s">
        <v>6</v>
      </c>
      <c r="G441" s="44" t="s">
        <v>120</v>
      </c>
      <c r="H441" s="44" t="s">
        <v>12</v>
      </c>
      <c r="I441" s="44" t="s">
        <v>186</v>
      </c>
      <c r="J441" s="44" t="s">
        <v>11</v>
      </c>
      <c r="K441" s="44" t="s">
        <v>129</v>
      </c>
      <c r="L441" s="40">
        <v>1142</v>
      </c>
      <c r="M441" s="41">
        <v>41339</v>
      </c>
      <c r="N441" s="40" t="s">
        <v>122</v>
      </c>
      <c r="O441" s="42">
        <f t="shared" si="18"/>
        <v>42491</v>
      </c>
      <c r="P441" s="40">
        <v>29</v>
      </c>
      <c r="Q441" s="207">
        <f>'[3]Penelec RC_GSSFMS'!G19</f>
        <v>33.831602307548707</v>
      </c>
      <c r="R441" s="207">
        <f>'[3]Penelec RC_GSSFMS'!H19</f>
        <v>29.311651684945453</v>
      </c>
      <c r="S441" s="207">
        <f>'[3]Penelec RC_GSSFMS'!I19</f>
        <v>30.559957283228904</v>
      </c>
      <c r="T441" s="207">
        <f>'[3]Penelec RC_GSSFMS'!J19</f>
        <v>29.495251046877105</v>
      </c>
      <c r="U441" s="207">
        <f>'[3]Penelec RC_GSSFMS'!K19</f>
        <v>33.628554246602285</v>
      </c>
      <c r="V441" s="145"/>
    </row>
    <row r="442" spans="1:22" x14ac:dyDescent="0.2">
      <c r="A442" s="89">
        <f t="shared" si="17"/>
        <v>434</v>
      </c>
      <c r="B442" s="43">
        <v>12</v>
      </c>
      <c r="C442" s="43">
        <v>27</v>
      </c>
      <c r="D442" s="38" t="s">
        <v>602</v>
      </c>
      <c r="E442" s="44" t="s">
        <v>192</v>
      </c>
      <c r="F442" s="44" t="s">
        <v>6</v>
      </c>
      <c r="G442" s="44" t="s">
        <v>120</v>
      </c>
      <c r="H442" s="44" t="s">
        <v>100</v>
      </c>
      <c r="I442" s="44" t="s">
        <v>193</v>
      </c>
      <c r="J442" s="44" t="s">
        <v>7</v>
      </c>
      <c r="K442" s="44" t="s">
        <v>140</v>
      </c>
      <c r="L442" s="40">
        <v>1143</v>
      </c>
      <c r="M442" s="41">
        <v>41339</v>
      </c>
      <c r="N442" s="40" t="s">
        <v>122</v>
      </c>
      <c r="O442" s="42">
        <f t="shared" si="18"/>
        <v>42491</v>
      </c>
      <c r="P442" s="40">
        <v>29</v>
      </c>
      <c r="Q442" s="207">
        <f>'[3]Penn Power RC_GMDMS'!G19</f>
        <v>35.488511030040371</v>
      </c>
      <c r="R442" s="207">
        <f>'[3]Penn Power RC_GMDMS'!H19</f>
        <v>33.084933523237787</v>
      </c>
      <c r="S442" s="207">
        <f>'[3]Penn Power RC_GMDMS'!I19</f>
        <v>33.619028605893007</v>
      </c>
      <c r="T442" s="207">
        <f>'[3]Penn Power RC_GMDMS'!J19</f>
        <v>33.776475090489576</v>
      </c>
      <c r="U442" s="207">
        <f>'[3]Penn Power RC_GMDMS'!K19</f>
        <v>39.836299572716378</v>
      </c>
      <c r="V442" s="145"/>
    </row>
    <row r="443" spans="1:22" x14ac:dyDescent="0.2">
      <c r="A443" s="89">
        <f t="shared" si="17"/>
        <v>435</v>
      </c>
      <c r="B443" s="43">
        <v>12</v>
      </c>
      <c r="C443" s="43">
        <v>28</v>
      </c>
      <c r="D443" s="38" t="s">
        <v>603</v>
      </c>
      <c r="E443" s="44" t="s">
        <v>195</v>
      </c>
      <c r="F443" s="44" t="s">
        <v>39</v>
      </c>
      <c r="G443" s="44" t="s">
        <v>120</v>
      </c>
      <c r="H443" s="44" t="s">
        <v>44</v>
      </c>
      <c r="I443" s="44" t="s">
        <v>44</v>
      </c>
      <c r="J443" s="44" t="s">
        <v>7</v>
      </c>
      <c r="K443" s="44" t="s">
        <v>140</v>
      </c>
      <c r="L443" s="40">
        <v>1144</v>
      </c>
      <c r="M443" s="41">
        <v>41339</v>
      </c>
      <c r="N443" s="40" t="s">
        <v>122</v>
      </c>
      <c r="O443" s="42">
        <f t="shared" si="18"/>
        <v>42491</v>
      </c>
      <c r="P443" s="40">
        <v>29</v>
      </c>
      <c r="Q443" s="207">
        <f>'[3]PEPCO MD LP_MDNDMS'!G19</f>
        <v>32.914404045585165</v>
      </c>
      <c r="R443" s="207">
        <f>'[3]PEPCO MD LP_MDNDMS'!H19</f>
        <v>32.258967041852721</v>
      </c>
      <c r="S443" s="207">
        <f>'[3]PEPCO MD LP_MDNDMS'!I19</f>
        <v>32.426503499140168</v>
      </c>
      <c r="T443" s="207">
        <f>'[3]PEPCO MD LP_MDNDMS'!J19</f>
        <v>32.543004259605148</v>
      </c>
      <c r="U443" s="207">
        <f>'[3]PEPCO MD LP_MDNDMS'!K19</f>
        <v>37.136852708297546</v>
      </c>
      <c r="V443" s="145"/>
    </row>
    <row r="444" spans="1:22" x14ac:dyDescent="0.2">
      <c r="A444" s="89">
        <f t="shared" si="17"/>
        <v>436</v>
      </c>
      <c r="B444" s="43">
        <v>12</v>
      </c>
      <c r="C444" s="43">
        <v>29</v>
      </c>
      <c r="D444" s="38" t="s">
        <v>604</v>
      </c>
      <c r="E444" s="44" t="s">
        <v>197</v>
      </c>
      <c r="F444" s="44" t="s">
        <v>39</v>
      </c>
      <c r="G444" s="44" t="s">
        <v>120</v>
      </c>
      <c r="H444" s="44" t="s">
        <v>44</v>
      </c>
      <c r="I444" s="44" t="s">
        <v>44</v>
      </c>
      <c r="J444" s="44" t="s">
        <v>45</v>
      </c>
      <c r="K444" s="44" t="s">
        <v>198</v>
      </c>
      <c r="L444" s="40">
        <v>1145</v>
      </c>
      <c r="M444" s="41">
        <v>41339</v>
      </c>
      <c r="N444" s="40" t="s">
        <v>122</v>
      </c>
      <c r="O444" s="42">
        <f t="shared" si="18"/>
        <v>42491</v>
      </c>
      <c r="P444" s="40">
        <v>29</v>
      </c>
      <c r="Q444" s="207">
        <f>'[3]PEPCO MD LP_MMGTL2AMS'!G19</f>
        <v>30.32504701425966</v>
      </c>
      <c r="R444" s="207">
        <f>'[3]PEPCO MD LP_MMGTL2AMS'!H19</f>
        <v>31.141918827307482</v>
      </c>
      <c r="S444" s="207">
        <f>'[3]PEPCO MD LP_MMGTL2AMS'!I19</f>
        <v>30.843417964544432</v>
      </c>
      <c r="T444" s="207">
        <f>'[3]PEPCO MD LP_MMGTL2AMS'!J19</f>
        <v>31.417114540555293</v>
      </c>
      <c r="U444" s="207">
        <f>'[3]PEPCO MD LP_MMGTL2AMS'!K19</f>
        <v>35.983370281601317</v>
      </c>
      <c r="V444" s="145"/>
    </row>
    <row r="445" spans="1:22" x14ac:dyDescent="0.2">
      <c r="A445" s="89">
        <f t="shared" si="17"/>
        <v>437</v>
      </c>
      <c r="B445" s="43">
        <v>12</v>
      </c>
      <c r="C445" s="43">
        <v>30</v>
      </c>
      <c r="D445" s="38" t="s">
        <v>605</v>
      </c>
      <c r="E445" s="44" t="s">
        <v>200</v>
      </c>
      <c r="F445" s="44" t="s">
        <v>39</v>
      </c>
      <c r="G445" s="44" t="s">
        <v>120</v>
      </c>
      <c r="H445" s="44" t="s">
        <v>44</v>
      </c>
      <c r="I445" s="44" t="s">
        <v>44</v>
      </c>
      <c r="J445" s="44" t="s">
        <v>46</v>
      </c>
      <c r="K445" s="44" t="s">
        <v>46</v>
      </c>
      <c r="L445" s="40">
        <v>1146</v>
      </c>
      <c r="M445" s="41">
        <v>41339</v>
      </c>
      <c r="N445" s="40" t="s">
        <v>122</v>
      </c>
      <c r="O445" s="42">
        <f t="shared" si="18"/>
        <v>42491</v>
      </c>
      <c r="P445" s="40">
        <v>29</v>
      </c>
      <c r="Q445" s="207">
        <f>'[3]PEPCO MD RC_3T7MS'!G19</f>
        <v>32.560301446586848</v>
      </c>
      <c r="R445" s="207">
        <f>'[3]PEPCO MD RC_3T7MS'!H19</f>
        <v>31.96641985837508</v>
      </c>
      <c r="S445" s="207">
        <f>'[3]PEPCO MD RC_3T7MS'!I19</f>
        <v>32.136706259811646</v>
      </c>
      <c r="T445" s="207">
        <f>'[3]PEPCO MD RC_3T7MS'!J19</f>
        <v>32.361929948788138</v>
      </c>
      <c r="U445" s="207">
        <f>'[3]PEPCO MD RC_3T7MS'!K19</f>
        <v>36.976238636433912</v>
      </c>
      <c r="V445" s="145"/>
    </row>
    <row r="446" spans="1:22" x14ac:dyDescent="0.2">
      <c r="A446" s="89">
        <f t="shared" si="17"/>
        <v>438</v>
      </c>
      <c r="B446" s="43">
        <v>12</v>
      </c>
      <c r="C446" s="43">
        <v>31</v>
      </c>
      <c r="D446" s="38" t="s">
        <v>606</v>
      </c>
      <c r="E446" s="44" t="s">
        <v>202</v>
      </c>
      <c r="F446" s="44" t="s">
        <v>39</v>
      </c>
      <c r="G446" s="44" t="s">
        <v>120</v>
      </c>
      <c r="H446" s="44" t="s">
        <v>47</v>
      </c>
      <c r="I446" s="44" t="s">
        <v>47</v>
      </c>
      <c r="J446" s="44" t="s">
        <v>7</v>
      </c>
      <c r="K446" s="44" t="s">
        <v>140</v>
      </c>
      <c r="L446" s="40">
        <v>1147</v>
      </c>
      <c r="M446" s="41">
        <v>41339</v>
      </c>
      <c r="N446" s="40" t="s">
        <v>122</v>
      </c>
      <c r="O446" s="42">
        <f t="shared" si="18"/>
        <v>42491</v>
      </c>
      <c r="P446" s="40">
        <v>29</v>
      </c>
      <c r="Q446" s="207">
        <f>'[3]Potomac Edison LP_GSCM_MMS'!G19</f>
        <v>27.556763833094863</v>
      </c>
      <c r="R446" s="207">
        <f>'[3]Potomac Edison LP_GSCM_MMS'!H19</f>
        <v>26.456814004637636</v>
      </c>
      <c r="S446" s="207">
        <f>'[3]Potomac Edison LP_GSCM_MMS'!I19</f>
        <v>28.426199729897679</v>
      </c>
      <c r="T446" s="207">
        <f>'[3]Potomac Edison LP_GSCM_MMS'!J19</f>
        <v>29.583208250976806</v>
      </c>
      <c r="U446" s="207">
        <f>'[3]Potomac Edison LP_GSCM_MMS'!K19</f>
        <v>31.743019483990896</v>
      </c>
      <c r="V446" s="145"/>
    </row>
    <row r="447" spans="1:22" x14ac:dyDescent="0.2">
      <c r="A447" s="89">
        <f t="shared" si="17"/>
        <v>439</v>
      </c>
      <c r="B447" s="43">
        <v>12</v>
      </c>
      <c r="C447" s="43">
        <v>32</v>
      </c>
      <c r="D447" s="38" t="s">
        <v>607</v>
      </c>
      <c r="E447" s="44" t="s">
        <v>204</v>
      </c>
      <c r="F447" s="44" t="s">
        <v>6</v>
      </c>
      <c r="G447" s="44" t="s">
        <v>120</v>
      </c>
      <c r="H447" s="44" t="s">
        <v>14</v>
      </c>
      <c r="I447" s="44" t="s">
        <v>14</v>
      </c>
      <c r="J447" s="44" t="s">
        <v>15</v>
      </c>
      <c r="K447" s="44" t="s">
        <v>129</v>
      </c>
      <c r="L447" s="40">
        <v>1148</v>
      </c>
      <c r="M447" s="41">
        <v>41339</v>
      </c>
      <c r="N447" s="40" t="s">
        <v>122</v>
      </c>
      <c r="O447" s="42">
        <f t="shared" si="18"/>
        <v>42491</v>
      </c>
      <c r="P447" s="40">
        <v>29</v>
      </c>
      <c r="Q447" s="207">
        <f>[3]PPL_RCGS1MS!G19</f>
        <v>35.788119152643034</v>
      </c>
      <c r="R447" s="207">
        <f>[3]PPL_RCGS1MS!H19</f>
        <v>34.931764822859463</v>
      </c>
      <c r="S447" s="207">
        <f>[3]PPL_RCGS1MS!I19</f>
        <v>35.066248629808115</v>
      </c>
      <c r="T447" s="207">
        <f>[3]PPL_RCGS1MS!J19</f>
        <v>34.883410883573767</v>
      </c>
      <c r="U447" s="207">
        <f>[3]PPL_RCGS1MS!K19</f>
        <v>38.774004850756619</v>
      </c>
      <c r="V447" s="145"/>
    </row>
    <row r="448" spans="1:22" x14ac:dyDescent="0.2">
      <c r="A448" s="89">
        <f t="shared" si="17"/>
        <v>440</v>
      </c>
      <c r="B448" s="43">
        <v>12</v>
      </c>
      <c r="C448" s="43">
        <v>33</v>
      </c>
      <c r="D448" s="38" t="s">
        <v>608</v>
      </c>
      <c r="E448" s="44" t="s">
        <v>206</v>
      </c>
      <c r="F448" s="44" t="s">
        <v>6</v>
      </c>
      <c r="G448" s="44" t="s">
        <v>120</v>
      </c>
      <c r="H448" s="44" t="s">
        <v>14</v>
      </c>
      <c r="I448" s="44" t="s">
        <v>14</v>
      </c>
      <c r="J448" s="44" t="s">
        <v>16</v>
      </c>
      <c r="K448" s="44" t="s">
        <v>135</v>
      </c>
      <c r="L448" s="40">
        <v>1149</v>
      </c>
      <c r="M448" s="41">
        <v>41339</v>
      </c>
      <c r="N448" s="40" t="s">
        <v>122</v>
      </c>
      <c r="O448" s="42">
        <f t="shared" si="18"/>
        <v>42491</v>
      </c>
      <c r="P448" s="40">
        <v>29</v>
      </c>
      <c r="Q448" s="207">
        <f>[3]PPL_RCGS3MS!G19</f>
        <v>34.718521489974464</v>
      </c>
      <c r="R448" s="207">
        <f>[3]PPL_RCGS3MS!H19</f>
        <v>34.986882723303502</v>
      </c>
      <c r="S448" s="207">
        <f>[3]PPL_RCGS3MS!I19</f>
        <v>34.763673135880722</v>
      </c>
      <c r="T448" s="207">
        <f>[3]PPL_RCGS3MS!J19</f>
        <v>34.950136139923835</v>
      </c>
      <c r="U448" s="207">
        <f>[3]PPL_RCGS3MS!K19</f>
        <v>38.843137172972824</v>
      </c>
      <c r="V448" s="145"/>
    </row>
    <row r="449" spans="1:22" x14ac:dyDescent="0.2">
      <c r="A449" s="89">
        <f t="shared" si="17"/>
        <v>441</v>
      </c>
      <c r="B449" s="43">
        <v>12</v>
      </c>
      <c r="C449" s="43">
        <v>34</v>
      </c>
      <c r="D449" s="38" t="s">
        <v>609</v>
      </c>
      <c r="E449" s="44" t="s">
        <v>208</v>
      </c>
      <c r="F449" s="44" t="s">
        <v>31</v>
      </c>
      <c r="G449" s="44" t="s">
        <v>120</v>
      </c>
      <c r="H449" s="44" t="s">
        <v>36</v>
      </c>
      <c r="I449" s="44" t="s">
        <v>36</v>
      </c>
      <c r="J449" s="44" t="s">
        <v>37</v>
      </c>
      <c r="K449" s="44" t="s">
        <v>209</v>
      </c>
      <c r="L449" s="40">
        <v>1150</v>
      </c>
      <c r="M449" s="41">
        <v>41339</v>
      </c>
      <c r="N449" s="40" t="s">
        <v>122</v>
      </c>
      <c r="O449" s="42">
        <f t="shared" si="18"/>
        <v>42491</v>
      </c>
      <c r="P449" s="40">
        <v>29</v>
      </c>
      <c r="Q449" s="207">
        <f>'[3]PSEG LP_GLP_MMS'!G19</f>
        <v>60.851432316992323</v>
      </c>
      <c r="R449" s="207">
        <f>'[3]PSEG LP_GLP_MMS'!H19</f>
        <v>63.747460295718071</v>
      </c>
      <c r="S449" s="207">
        <f>'[3]PSEG LP_GLP_MMS'!I19</f>
        <v>63.17469404216105</v>
      </c>
      <c r="T449" s="207">
        <f>'[3]PSEG LP_GLP_MMS'!J19</f>
        <v>64.394445701329218</v>
      </c>
      <c r="U449" s="207">
        <f>'[3]PSEG LP_GLP_MMS'!K19</f>
        <v>67.127552127912097</v>
      </c>
      <c r="V449" s="145"/>
    </row>
    <row r="450" spans="1:22" x14ac:dyDescent="0.2">
      <c r="A450" s="89">
        <f t="shared" si="17"/>
        <v>442</v>
      </c>
      <c r="B450" s="43">
        <v>12</v>
      </c>
      <c r="C450" s="43">
        <v>35</v>
      </c>
      <c r="D450" s="38" t="s">
        <v>610</v>
      </c>
      <c r="E450" s="44" t="s">
        <v>211</v>
      </c>
      <c r="F450" s="44" t="s">
        <v>31</v>
      </c>
      <c r="G450" s="44" t="s">
        <v>120</v>
      </c>
      <c r="H450" s="44" t="s">
        <v>36</v>
      </c>
      <c r="I450" s="44" t="s">
        <v>36</v>
      </c>
      <c r="J450" s="44" t="s">
        <v>38</v>
      </c>
      <c r="K450" s="44" t="s">
        <v>212</v>
      </c>
      <c r="L450" s="40">
        <v>1151</v>
      </c>
      <c r="M450" s="41">
        <v>41339</v>
      </c>
      <c r="N450" s="40" t="s">
        <v>122</v>
      </c>
      <c r="O450" s="42">
        <f t="shared" si="18"/>
        <v>42491</v>
      </c>
      <c r="P450" s="40">
        <v>29</v>
      </c>
      <c r="Q450" s="207">
        <f>'[3]PSEG LP_LPLMS'!G19</f>
        <v>60.193991374660207</v>
      </c>
      <c r="R450" s="207">
        <f>'[3]PSEG LP_LPLMS'!H19</f>
        <v>62.990665278527757</v>
      </c>
      <c r="S450" s="207">
        <f>'[3]PSEG LP_LPLMS'!I19</f>
        <v>62.358999875869621</v>
      </c>
      <c r="T450" s="207">
        <f>'[3]PSEG LP_LPLMS'!J19</f>
        <v>63.558884625736475</v>
      </c>
      <c r="U450" s="207">
        <f>'[3]PSEG LP_LPLMS'!K19</f>
        <v>66.287731709946954</v>
      </c>
      <c r="V450" s="145"/>
    </row>
    <row r="451" spans="1:22" x14ac:dyDescent="0.2">
      <c r="A451" s="89">
        <f t="shared" si="17"/>
        <v>443</v>
      </c>
      <c r="B451" s="43">
        <v>12</v>
      </c>
      <c r="C451" s="43">
        <v>36</v>
      </c>
      <c r="D451" s="38" t="s">
        <v>611</v>
      </c>
      <c r="E451" s="44" t="s">
        <v>214</v>
      </c>
      <c r="F451" s="44" t="s">
        <v>6</v>
      </c>
      <c r="G451" s="44" t="s">
        <v>120</v>
      </c>
      <c r="H451" s="44" t="s">
        <v>17</v>
      </c>
      <c r="I451" s="44" t="s">
        <v>215</v>
      </c>
      <c r="J451" s="44" t="s">
        <v>18</v>
      </c>
      <c r="K451" s="44" t="s">
        <v>140</v>
      </c>
      <c r="L451" s="40">
        <v>1152</v>
      </c>
      <c r="M451" s="41">
        <v>41339</v>
      </c>
      <c r="N451" s="40" t="s">
        <v>122</v>
      </c>
      <c r="O451" s="42">
        <f t="shared" si="18"/>
        <v>42491</v>
      </c>
      <c r="P451" s="40">
        <v>29</v>
      </c>
      <c r="Q451" s="207">
        <f>'[3]West Penn Power LP_GSCMMS'!G19</f>
        <v>26.331692576984256</v>
      </c>
      <c r="R451" s="207">
        <f>'[3]West Penn Power LP_GSCMMS'!H19</f>
        <v>26.12631635451492</v>
      </c>
      <c r="S451" s="207">
        <f>'[3]West Penn Power LP_GSCMMS'!I19</f>
        <v>27.778161488620125</v>
      </c>
      <c r="T451" s="207">
        <f>'[3]West Penn Power LP_GSCMMS'!J19</f>
        <v>29.088605518653722</v>
      </c>
      <c r="U451" s="207">
        <f>'[3]West Penn Power LP_GSCMMS'!K19</f>
        <v>30.982743534265591</v>
      </c>
      <c r="V451" s="145"/>
    </row>
    <row r="452" spans="1:22" x14ac:dyDescent="0.2">
      <c r="A452" s="89">
        <f t="shared" si="17"/>
        <v>444</v>
      </c>
      <c r="B452" s="20"/>
      <c r="C452" s="20"/>
      <c r="D452" s="20"/>
      <c r="Q452" s="208"/>
      <c r="R452" s="208"/>
      <c r="S452" s="208"/>
      <c r="T452" s="208"/>
      <c r="U452" s="208"/>
    </row>
    <row r="453" spans="1:22" x14ac:dyDescent="0.2">
      <c r="A453" s="89">
        <f t="shared" si="17"/>
        <v>445</v>
      </c>
      <c r="B453" s="43">
        <v>13</v>
      </c>
      <c r="C453" s="43">
        <v>1</v>
      </c>
      <c r="D453" s="38" t="s">
        <v>612</v>
      </c>
      <c r="E453" s="44" t="s">
        <v>119</v>
      </c>
      <c r="F453" s="44" t="s">
        <v>31</v>
      </c>
      <c r="G453" s="44" t="s">
        <v>120</v>
      </c>
      <c r="H453" s="44" t="s">
        <v>32</v>
      </c>
      <c r="I453" s="44" t="s">
        <v>32</v>
      </c>
      <c r="J453" s="44" t="s">
        <v>33</v>
      </c>
      <c r="K453" s="44" t="s">
        <v>121</v>
      </c>
      <c r="L453" s="40">
        <v>1117</v>
      </c>
      <c r="M453" s="41">
        <v>41339</v>
      </c>
      <c r="N453" s="40" t="s">
        <v>122</v>
      </c>
      <c r="O453" s="42"/>
      <c r="P453" s="40"/>
      <c r="Q453" s="207">
        <f>'[3]AECO LP_10V1_SMS'!G20</f>
        <v>44.140088417466217</v>
      </c>
      <c r="R453" s="207">
        <f>'[3]AECO LP_10V1_SMS'!H20</f>
        <v>47.233449654479628</v>
      </c>
      <c r="S453" s="207">
        <f>'[3]AECO LP_10V1_SMS'!I20</f>
        <v>46.362721984283446</v>
      </c>
      <c r="T453" s="207">
        <f>'[3]AECO LP_10V1_SMS'!J20</f>
        <v>47.544361805199671</v>
      </c>
      <c r="U453" s="207">
        <f>'[3]AECO LP_10V1_SMS'!K20</f>
        <v>52.306239744162134</v>
      </c>
      <c r="V453" s="145"/>
    </row>
    <row r="454" spans="1:22" x14ac:dyDescent="0.2">
      <c r="A454" s="89">
        <f t="shared" si="17"/>
        <v>446</v>
      </c>
      <c r="B454" s="43">
        <v>13</v>
      </c>
      <c r="C454" s="43">
        <v>2</v>
      </c>
      <c r="D454" s="38" t="s">
        <v>613</v>
      </c>
      <c r="E454" s="44" t="s">
        <v>124</v>
      </c>
      <c r="F454" s="44" t="s">
        <v>31</v>
      </c>
      <c r="G454" s="44" t="s">
        <v>120</v>
      </c>
      <c r="H454" s="44" t="s">
        <v>32</v>
      </c>
      <c r="I454" s="44" t="s">
        <v>32</v>
      </c>
      <c r="J454" s="44" t="s">
        <v>34</v>
      </c>
      <c r="K454" s="44" t="s">
        <v>125</v>
      </c>
      <c r="L454" s="40">
        <v>1118</v>
      </c>
      <c r="M454" s="41">
        <v>41339</v>
      </c>
      <c r="N454" s="40" t="s">
        <v>122</v>
      </c>
      <c r="O454" s="42"/>
      <c r="P454" s="40"/>
      <c r="Q454" s="207">
        <f>'[3]AECO LP_14V1_MMS'!G20</f>
        <v>45.189115865546206</v>
      </c>
      <c r="R454" s="207">
        <f>'[3]AECO LP_14V1_MMS'!H20</f>
        <v>47.149989589377149</v>
      </c>
      <c r="S454" s="207">
        <f>'[3]AECO LP_14V1_MMS'!I20</f>
        <v>46.71751549997439</v>
      </c>
      <c r="T454" s="207">
        <f>'[3]AECO LP_14V1_MMS'!J20</f>
        <v>46.742964455578836</v>
      </c>
      <c r="U454" s="207">
        <f>'[3]AECO LP_14V1_MMS'!K20</f>
        <v>50.292139029993635</v>
      </c>
      <c r="V454" s="145"/>
    </row>
    <row r="455" spans="1:22" x14ac:dyDescent="0.2">
      <c r="A455" s="89">
        <f t="shared" si="17"/>
        <v>447</v>
      </c>
      <c r="B455" s="43">
        <v>13</v>
      </c>
      <c r="C455" s="43">
        <v>3</v>
      </c>
      <c r="D455" s="38" t="s">
        <v>614</v>
      </c>
      <c r="E455" s="44" t="s">
        <v>127</v>
      </c>
      <c r="F455" s="44" t="s">
        <v>20</v>
      </c>
      <c r="G455" s="44" t="s">
        <v>120</v>
      </c>
      <c r="H455" s="44" t="s">
        <v>63</v>
      </c>
      <c r="I455" s="44" t="s">
        <v>128</v>
      </c>
      <c r="J455" s="44" t="s">
        <v>15</v>
      </c>
      <c r="K455" s="44" t="s">
        <v>129</v>
      </c>
      <c r="L455" s="40">
        <v>1119</v>
      </c>
      <c r="M455" s="41">
        <v>41339</v>
      </c>
      <c r="N455" s="40" t="s">
        <v>122</v>
      </c>
      <c r="O455" s="42"/>
      <c r="P455" s="40"/>
      <c r="Q455" s="207">
        <f>'[3]AEP_OH_CS - test CSGS1MS'!G20</f>
        <v>14.772270755796271</v>
      </c>
      <c r="R455" s="207">
        <f>'[3]AEP_OH_CS - test CSGS1MS'!H20</f>
        <v>15.455830634582469</v>
      </c>
      <c r="S455" s="207">
        <f>'[3]AEP_OH_CS - test CSGS1MS'!I20</f>
        <v>17.398048868069676</v>
      </c>
      <c r="T455" s="207">
        <f>'[3]AEP_OH_CS - test CSGS1MS'!J20</f>
        <v>18.778286792158184</v>
      </c>
      <c r="U455" s="207">
        <f>'[3]AEP_OH_CS - test CSGS1MS'!K20</f>
        <v>20.906077293575358</v>
      </c>
      <c r="V455" s="145"/>
    </row>
    <row r="456" spans="1:22" x14ac:dyDescent="0.2">
      <c r="A456" s="89">
        <f t="shared" si="17"/>
        <v>448</v>
      </c>
      <c r="B456" s="43">
        <v>13</v>
      </c>
      <c r="C456" s="43">
        <v>4</v>
      </c>
      <c r="D456" s="38" t="s">
        <v>615</v>
      </c>
      <c r="E456" s="44" t="s">
        <v>131</v>
      </c>
      <c r="F456" s="44" t="s">
        <v>20</v>
      </c>
      <c r="G456" s="44" t="s">
        <v>120</v>
      </c>
      <c r="H456" s="44" t="s">
        <v>63</v>
      </c>
      <c r="I456" s="44" t="s">
        <v>128</v>
      </c>
      <c r="J456" s="44" t="s">
        <v>21</v>
      </c>
      <c r="K456" s="44" t="s">
        <v>132</v>
      </c>
      <c r="L456" s="40">
        <v>1120</v>
      </c>
      <c r="M456" s="41">
        <v>41339</v>
      </c>
      <c r="N456" s="40" t="s">
        <v>122</v>
      </c>
      <c r="O456" s="42"/>
      <c r="P456" s="40"/>
      <c r="Q456" s="207">
        <f>'[3]AEP_OH_CS - test CSGS2UMS'!G20</f>
        <v>14.984751481783288</v>
      </c>
      <c r="R456" s="207">
        <f>'[3]AEP_OH_CS - test CSGS2UMS'!H20</f>
        <v>15.531157614570452</v>
      </c>
      <c r="S456" s="207">
        <f>'[3]AEP_OH_CS - test CSGS2UMS'!I20</f>
        <v>17.534376697965239</v>
      </c>
      <c r="T456" s="207">
        <f>'[3]AEP_OH_CS - test CSGS2UMS'!J20</f>
        <v>18.852396707819207</v>
      </c>
      <c r="U456" s="207">
        <f>'[3]AEP_OH_CS - test CSGS2UMS'!K20</f>
        <v>20.984459263468068</v>
      </c>
      <c r="V456" s="145"/>
    </row>
    <row r="457" spans="1:22" x14ac:dyDescent="0.2">
      <c r="A457" s="89">
        <f t="shared" si="17"/>
        <v>449</v>
      </c>
      <c r="B457" s="43">
        <v>13</v>
      </c>
      <c r="C457" s="43">
        <v>5</v>
      </c>
      <c r="D457" s="38" t="s">
        <v>616</v>
      </c>
      <c r="E457" s="44" t="s">
        <v>134</v>
      </c>
      <c r="F457" s="44" t="s">
        <v>20</v>
      </c>
      <c r="G457" s="44" t="s">
        <v>120</v>
      </c>
      <c r="H457" s="44" t="s">
        <v>63</v>
      </c>
      <c r="I457" s="44" t="s">
        <v>128</v>
      </c>
      <c r="J457" s="44" t="s">
        <v>16</v>
      </c>
      <c r="K457" s="44" t="s">
        <v>135</v>
      </c>
      <c r="L457" s="40">
        <v>1121</v>
      </c>
      <c r="M457" s="41">
        <v>41339</v>
      </c>
      <c r="N457" s="40" t="s">
        <v>122</v>
      </c>
      <c r="O457" s="42"/>
      <c r="P457" s="40"/>
      <c r="Q457" s="207">
        <f>'[3]AEP_OH_CS - test CSGS3UMS'!G20</f>
        <v>14.678877086310552</v>
      </c>
      <c r="R457" s="207">
        <f>'[3]AEP_OH_CS - test CSGS3UMS'!H20</f>
        <v>15.459121611580976</v>
      </c>
      <c r="S457" s="207">
        <f>'[3]AEP_OH_CS - test CSGS3UMS'!I20</f>
        <v>17.342614748730885</v>
      </c>
      <c r="T457" s="207">
        <f>'[3]AEP_OH_CS - test CSGS3UMS'!J20</f>
        <v>18.777015521902342</v>
      </c>
      <c r="U457" s="207">
        <f>'[3]AEP_OH_CS - test CSGS3UMS'!K20</f>
        <v>20.902562550792098</v>
      </c>
      <c r="V457" s="145"/>
    </row>
    <row r="458" spans="1:22" x14ac:dyDescent="0.2">
      <c r="A458" s="89">
        <f t="shared" si="17"/>
        <v>450</v>
      </c>
      <c r="B458" s="43">
        <v>13</v>
      </c>
      <c r="C458" s="43">
        <v>6</v>
      </c>
      <c r="D458" s="38" t="s">
        <v>617</v>
      </c>
      <c r="E458" s="44" t="s">
        <v>137</v>
      </c>
      <c r="F458" s="44" t="s">
        <v>25</v>
      </c>
      <c r="G458" s="44" t="s">
        <v>138</v>
      </c>
      <c r="H458" s="44" t="s">
        <v>139</v>
      </c>
      <c r="I458" s="44" t="s">
        <v>29</v>
      </c>
      <c r="J458" s="44" t="s">
        <v>30</v>
      </c>
      <c r="K458" s="44" t="s">
        <v>140</v>
      </c>
      <c r="L458" s="40">
        <v>1122</v>
      </c>
      <c r="M458" s="41">
        <v>41339</v>
      </c>
      <c r="N458" s="40" t="s">
        <v>122</v>
      </c>
      <c r="O458" s="42"/>
      <c r="P458" s="40"/>
      <c r="Q458" s="207">
        <f>'[3]Ameren RateZnIII LP DS2HHMS'!G20</f>
        <v>33.681244789922445</v>
      </c>
      <c r="R458" s="207">
        <f>'[3]Ameren RateZnIII LP DS2HHMS'!H20</f>
        <v>35.294834101949313</v>
      </c>
      <c r="S458" s="207">
        <f>'[3]Ameren RateZnIII LP DS2HHMS'!I20</f>
        <v>35.210369450968344</v>
      </c>
      <c r="T458" s="207">
        <f>'[3]Ameren RateZnIII LP DS2HHMS'!J20</f>
        <v>36.087653150061549</v>
      </c>
      <c r="U458" s="207">
        <f>'[3]Ameren RateZnIII LP DS2HHMS'!K20</f>
        <v>37.013175452209857</v>
      </c>
      <c r="V458" s="145"/>
    </row>
    <row r="459" spans="1:22" x14ac:dyDescent="0.2">
      <c r="A459" s="89">
        <f t="shared" ref="A459:A522" si="19">A458+1</f>
        <v>451</v>
      </c>
      <c r="B459" s="43">
        <v>13</v>
      </c>
      <c r="C459" s="43">
        <v>7</v>
      </c>
      <c r="D459" s="38" t="s">
        <v>618</v>
      </c>
      <c r="E459" s="44" t="s">
        <v>142</v>
      </c>
      <c r="F459" s="44" t="s">
        <v>39</v>
      </c>
      <c r="G459" s="44" t="s">
        <v>120</v>
      </c>
      <c r="H459" s="44" t="s">
        <v>40</v>
      </c>
      <c r="I459" s="44" t="s">
        <v>40</v>
      </c>
      <c r="J459" s="44" t="s">
        <v>42</v>
      </c>
      <c r="K459" s="44" t="s">
        <v>135</v>
      </c>
      <c r="L459" s="40">
        <v>1124</v>
      </c>
      <c r="M459" s="41">
        <v>41339</v>
      </c>
      <c r="N459" s="40" t="s">
        <v>122</v>
      </c>
      <c r="O459" s="42"/>
      <c r="P459" s="40"/>
      <c r="Q459" s="207">
        <f>'[3]BGE LP_GLMS'!G20</f>
        <v>30.188736943067941</v>
      </c>
      <c r="R459" s="207">
        <f>'[3]BGE LP_GLMS'!H20</f>
        <v>31.821519447385281</v>
      </c>
      <c r="S459" s="207">
        <f>'[3]BGE LP_GLMS'!I20</f>
        <v>31.43751739111028</v>
      </c>
      <c r="T459" s="207">
        <f>'[3]BGE LP_GLMS'!J20</f>
        <v>32.249566117032288</v>
      </c>
      <c r="U459" s="207">
        <f>'[3]BGE LP_GLMS'!K20</f>
        <v>36.724221614112736</v>
      </c>
      <c r="V459" s="145"/>
    </row>
    <row r="460" spans="1:22" x14ac:dyDescent="0.2">
      <c r="A460" s="89">
        <f t="shared" si="19"/>
        <v>452</v>
      </c>
      <c r="B460" s="43">
        <v>13</v>
      </c>
      <c r="C460" s="43">
        <v>8</v>
      </c>
      <c r="D460" s="38" t="s">
        <v>619</v>
      </c>
      <c r="E460" s="44" t="s">
        <v>144</v>
      </c>
      <c r="F460" s="44" t="s">
        <v>39</v>
      </c>
      <c r="G460" s="44" t="s">
        <v>120</v>
      </c>
      <c r="H460" s="44" t="s">
        <v>40</v>
      </c>
      <c r="I460" s="44" t="s">
        <v>40</v>
      </c>
      <c r="J460" s="44" t="s">
        <v>41</v>
      </c>
      <c r="K460" s="44" t="s">
        <v>132</v>
      </c>
      <c r="L460" s="40">
        <v>1123</v>
      </c>
      <c r="M460" s="41">
        <v>41339</v>
      </c>
      <c r="N460" s="40" t="s">
        <v>122</v>
      </c>
      <c r="O460" s="42"/>
      <c r="P460" s="40"/>
      <c r="Q460" s="207">
        <f>'[3]BGE LP_GMS'!G20</f>
        <v>31.097283599656222</v>
      </c>
      <c r="R460" s="207">
        <f>'[3]BGE LP_GMS'!H20</f>
        <v>31.893144826598192</v>
      </c>
      <c r="S460" s="207">
        <f>'[3]BGE LP_GMS'!I20</f>
        <v>31.795511516693271</v>
      </c>
      <c r="T460" s="207">
        <f>'[3]BGE LP_GMS'!J20</f>
        <v>32.384394448299894</v>
      </c>
      <c r="U460" s="207">
        <f>'[3]BGE LP_GMS'!K20</f>
        <v>36.895124301993576</v>
      </c>
      <c r="V460" s="145"/>
    </row>
    <row r="461" spans="1:22" x14ac:dyDescent="0.2">
      <c r="A461" s="89">
        <f t="shared" si="19"/>
        <v>453</v>
      </c>
      <c r="B461" s="43">
        <v>13</v>
      </c>
      <c r="C461" s="43">
        <v>9</v>
      </c>
      <c r="D461" s="38" t="s">
        <v>620</v>
      </c>
      <c r="E461" s="44" t="s">
        <v>146</v>
      </c>
      <c r="F461" s="44" t="s">
        <v>39</v>
      </c>
      <c r="G461" s="44" t="s">
        <v>120</v>
      </c>
      <c r="H461" s="44" t="s">
        <v>40</v>
      </c>
      <c r="I461" s="44" t="s">
        <v>40</v>
      </c>
      <c r="J461" s="44" t="s">
        <v>7</v>
      </c>
      <c r="K461" s="44" t="s">
        <v>129</v>
      </c>
      <c r="L461" s="40">
        <v>1125</v>
      </c>
      <c r="M461" s="41">
        <v>41339</v>
      </c>
      <c r="N461" s="40" t="s">
        <v>122</v>
      </c>
      <c r="O461" s="42"/>
      <c r="P461" s="40"/>
      <c r="Q461" s="207">
        <f>'[3]BGE LP_GSMS'!G20</f>
        <v>31.429115710065371</v>
      </c>
      <c r="R461" s="207">
        <f>'[3]BGE LP_GSMS'!H20</f>
        <v>32.833285573519873</v>
      </c>
      <c r="S461" s="207">
        <f>'[3]BGE LP_GSMS'!I20</f>
        <v>32.496408725113398</v>
      </c>
      <c r="T461" s="207">
        <f>'[3]BGE LP_GSMS'!J20</f>
        <v>33.212339038294246</v>
      </c>
      <c r="U461" s="207">
        <f>'[3]BGE LP_GSMS'!K20</f>
        <v>37.671100568406622</v>
      </c>
      <c r="V461" s="145"/>
    </row>
    <row r="462" spans="1:22" x14ac:dyDescent="0.2">
      <c r="A462" s="89">
        <f t="shared" si="19"/>
        <v>454</v>
      </c>
      <c r="B462" s="43">
        <v>13</v>
      </c>
      <c r="C462" s="43">
        <v>10</v>
      </c>
      <c r="D462" s="38" t="s">
        <v>621</v>
      </c>
      <c r="E462" s="44" t="s">
        <v>148</v>
      </c>
      <c r="F462" s="44" t="s">
        <v>25</v>
      </c>
      <c r="G462" s="44" t="s">
        <v>120</v>
      </c>
      <c r="H462" s="44" t="s">
        <v>149</v>
      </c>
      <c r="I462" s="44" t="s">
        <v>26</v>
      </c>
      <c r="J462" s="44" t="s">
        <v>27</v>
      </c>
      <c r="K462" s="44" t="s">
        <v>150</v>
      </c>
      <c r="L462" s="40">
        <v>1126</v>
      </c>
      <c r="M462" s="41">
        <v>41339</v>
      </c>
      <c r="N462" s="40" t="s">
        <v>122</v>
      </c>
      <c r="O462" s="42"/>
      <c r="P462" s="40"/>
      <c r="Q462" s="207">
        <f>'[3]ComEd - test LP_28MS'!G20</f>
        <v>22.873571872705782</v>
      </c>
      <c r="R462" s="207">
        <f>'[3]ComEd - test LP_28MS'!H20</f>
        <v>23.553775219328386</v>
      </c>
      <c r="S462" s="207">
        <f>'[3]ComEd - test LP_28MS'!I20</f>
        <v>25.626862762206514</v>
      </c>
      <c r="T462" s="207">
        <f>'[3]ComEd - test LP_28MS'!J20</f>
        <v>27.054984847741096</v>
      </c>
      <c r="U462" s="207">
        <f>'[3]ComEd - test LP_28MS'!K20</f>
        <v>28.936440964432954</v>
      </c>
      <c r="V462" s="145"/>
    </row>
    <row r="463" spans="1:22" x14ac:dyDescent="0.2">
      <c r="A463" s="89">
        <f t="shared" si="19"/>
        <v>455</v>
      </c>
      <c r="B463" s="43">
        <v>13</v>
      </c>
      <c r="C463" s="43">
        <v>11</v>
      </c>
      <c r="D463" s="38" t="s">
        <v>622</v>
      </c>
      <c r="E463" s="44" t="s">
        <v>152</v>
      </c>
      <c r="F463" s="44" t="s">
        <v>25</v>
      </c>
      <c r="G463" s="44" t="s">
        <v>120</v>
      </c>
      <c r="H463" s="44" t="s">
        <v>149</v>
      </c>
      <c r="I463" s="44" t="s">
        <v>26</v>
      </c>
      <c r="J463" s="44" t="s">
        <v>28</v>
      </c>
      <c r="K463" s="44" t="s">
        <v>153</v>
      </c>
      <c r="L463" s="40">
        <v>1127</v>
      </c>
      <c r="M463" s="41">
        <v>41339</v>
      </c>
      <c r="N463" s="40" t="s">
        <v>122</v>
      </c>
      <c r="O463" s="42"/>
      <c r="P463" s="40"/>
      <c r="Q463" s="207">
        <f>'[3]ComEd - test LP_29MS'!G20</f>
        <v>21.918628333570002</v>
      </c>
      <c r="R463" s="207">
        <f>'[3]ComEd - test LP_29MS'!H20</f>
        <v>22.648377608223587</v>
      </c>
      <c r="S463" s="207">
        <f>'[3]ComEd - test LP_29MS'!I20</f>
        <v>24.7015160764375</v>
      </c>
      <c r="T463" s="207">
        <f>'[3]ComEd - test LP_29MS'!J20</f>
        <v>26.14835693880563</v>
      </c>
      <c r="U463" s="207">
        <f>'[3]ComEd - test LP_29MS'!K20</f>
        <v>28.033929392070437</v>
      </c>
      <c r="V463" s="145"/>
    </row>
    <row r="464" spans="1:22" x14ac:dyDescent="0.2">
      <c r="A464" s="89">
        <f t="shared" si="19"/>
        <v>456</v>
      </c>
      <c r="B464" s="43">
        <v>13</v>
      </c>
      <c r="C464" s="43">
        <v>12</v>
      </c>
      <c r="D464" s="38" t="s">
        <v>623</v>
      </c>
      <c r="E464" s="44" t="s">
        <v>155</v>
      </c>
      <c r="F464" s="44" t="s">
        <v>20</v>
      </c>
      <c r="G464" s="44" t="s">
        <v>120</v>
      </c>
      <c r="H464" s="44" t="s">
        <v>105</v>
      </c>
      <c r="I464" s="44" t="s">
        <v>156</v>
      </c>
      <c r="J464" s="44" t="s">
        <v>22</v>
      </c>
      <c r="K464" s="44" t="s">
        <v>157</v>
      </c>
      <c r="L464" s="40">
        <v>1128</v>
      </c>
      <c r="M464" s="41">
        <v>41339</v>
      </c>
      <c r="N464" s="40" t="s">
        <v>122</v>
      </c>
      <c r="O464" s="42"/>
      <c r="P464" s="40"/>
      <c r="Q464" s="207">
        <f>[3]DAY_RC_843MS!G20</f>
        <v>14.66810261835872</v>
      </c>
      <c r="R464" s="207">
        <f>[3]DAY_RC_843MS!H20</f>
        <v>14.418619492984202</v>
      </c>
      <c r="S464" s="207">
        <f>[3]DAY_RC_843MS!I20</f>
        <v>16.783777863255263</v>
      </c>
      <c r="T464" s="207">
        <f>[3]DAY_RC_843MS!J20</f>
        <v>17.826495988240694</v>
      </c>
      <c r="U464" s="207">
        <f>[3]DAY_RC_843MS!K20</f>
        <v>19.622231754971693</v>
      </c>
      <c r="V464" s="145"/>
    </row>
    <row r="465" spans="1:22" x14ac:dyDescent="0.2">
      <c r="A465" s="89">
        <f t="shared" si="19"/>
        <v>457</v>
      </c>
      <c r="B465" s="43">
        <v>13</v>
      </c>
      <c r="C465" s="43">
        <v>13</v>
      </c>
      <c r="D465" s="38" t="s">
        <v>624</v>
      </c>
      <c r="E465" s="44" t="s">
        <v>159</v>
      </c>
      <c r="F465" s="44" t="s">
        <v>39</v>
      </c>
      <c r="G465" s="44" t="s">
        <v>120</v>
      </c>
      <c r="H465" s="44" t="s">
        <v>43</v>
      </c>
      <c r="I465" s="44" t="s">
        <v>43</v>
      </c>
      <c r="J465" s="44" t="s">
        <v>7</v>
      </c>
      <c r="K465" s="44" t="s">
        <v>140</v>
      </c>
      <c r="L465" s="40">
        <v>1129</v>
      </c>
      <c r="M465" s="41">
        <v>41339</v>
      </c>
      <c r="N465" s="40" t="s">
        <v>122</v>
      </c>
      <c r="O465" s="42"/>
      <c r="P465" s="40"/>
      <c r="Q465" s="207">
        <f>'[3]Delmarva MD LP_MDGS_MMS'!G20</f>
        <v>34.312748169541329</v>
      </c>
      <c r="R465" s="207">
        <f>'[3]Delmarva MD LP_MDGS_MMS'!H20</f>
        <v>35.681115333633755</v>
      </c>
      <c r="S465" s="207">
        <f>'[3]Delmarva MD LP_MDGS_MMS'!I20</f>
        <v>35.513425825232019</v>
      </c>
      <c r="T465" s="207">
        <f>'[3]Delmarva MD LP_MDGS_MMS'!J20</f>
        <v>36.293559424626388</v>
      </c>
      <c r="U465" s="207">
        <f>'[3]Delmarva MD LP_MDGS_MMS'!K20</f>
        <v>41.587727670075303</v>
      </c>
      <c r="V465" s="145"/>
    </row>
    <row r="466" spans="1:22" x14ac:dyDescent="0.2">
      <c r="A466" s="89">
        <f t="shared" si="19"/>
        <v>458</v>
      </c>
      <c r="B466" s="43">
        <v>13</v>
      </c>
      <c r="C466" s="43">
        <v>14</v>
      </c>
      <c r="D466" s="38" t="s">
        <v>625</v>
      </c>
      <c r="E466" s="44" t="s">
        <v>161</v>
      </c>
      <c r="F466" s="44" t="s">
        <v>6</v>
      </c>
      <c r="G466" s="44" t="s">
        <v>120</v>
      </c>
      <c r="H466" s="44" t="s">
        <v>48</v>
      </c>
      <c r="I466" s="44" t="s">
        <v>48</v>
      </c>
      <c r="J466" s="44" t="s">
        <v>7</v>
      </c>
      <c r="K466" s="44" t="s">
        <v>140</v>
      </c>
      <c r="L466" s="40">
        <v>1130</v>
      </c>
      <c r="M466" s="41">
        <v>41339</v>
      </c>
      <c r="N466" s="40" t="s">
        <v>122</v>
      </c>
      <c r="O466" s="42"/>
      <c r="P466" s="40"/>
      <c r="Q466" s="207">
        <f>'[3]DQE LP_GSGM_MMS'!G20</f>
        <v>26.785964359697697</v>
      </c>
      <c r="R466" s="207">
        <f>'[3]DQE LP_GSGM_MMS'!H20</f>
        <v>27.198210199813765</v>
      </c>
      <c r="S466" s="207">
        <f>'[3]DQE LP_GSGM_MMS'!I20</f>
        <v>29.385435979050001</v>
      </c>
      <c r="T466" s="207">
        <f>'[3]DQE LP_GSGM_MMS'!J20</f>
        <v>30.706434260989539</v>
      </c>
      <c r="U466" s="207">
        <f>'[3]DQE LP_GSGM_MMS'!K20</f>
        <v>32.605784397478146</v>
      </c>
      <c r="V466" s="145"/>
    </row>
    <row r="467" spans="1:22" x14ac:dyDescent="0.2">
      <c r="A467" s="89">
        <f t="shared" si="19"/>
        <v>459</v>
      </c>
      <c r="B467" s="43">
        <v>13</v>
      </c>
      <c r="C467" s="43">
        <v>15</v>
      </c>
      <c r="D467" s="38" t="s">
        <v>626</v>
      </c>
      <c r="E467" s="44" t="s">
        <v>163</v>
      </c>
      <c r="F467" s="44" t="s">
        <v>20</v>
      </c>
      <c r="G467" s="44" t="s">
        <v>120</v>
      </c>
      <c r="H467" s="44" t="s">
        <v>23</v>
      </c>
      <c r="I467" s="44" t="s">
        <v>164</v>
      </c>
      <c r="J467" s="44" t="s">
        <v>24</v>
      </c>
      <c r="K467" s="44" t="s">
        <v>140</v>
      </c>
      <c r="L467" s="40">
        <v>1131</v>
      </c>
      <c r="M467" s="41">
        <v>41339</v>
      </c>
      <c r="N467" s="40" t="s">
        <v>122</v>
      </c>
      <c r="O467" s="42"/>
      <c r="P467" s="40"/>
      <c r="Q467" s="207">
        <f>[3]Duke_OH_RC_DS01MS!G20</f>
        <v>13.866987536514339</v>
      </c>
      <c r="R467" s="207">
        <f>[3]Duke_OH_RC_DS01MS!H20</f>
        <v>14.290076430877411</v>
      </c>
      <c r="S467" s="207">
        <f>[3]Duke_OH_RC_DS01MS!I20</f>
        <v>16.286282837507891</v>
      </c>
      <c r="T467" s="207">
        <f>[3]Duke_OH_RC_DS01MS!J20</f>
        <v>17.564127960685585</v>
      </c>
      <c r="U467" s="207">
        <f>[3]Duke_OH_RC_DS01MS!K20</f>
        <v>19.260180341721629</v>
      </c>
      <c r="V467" s="145"/>
    </row>
    <row r="468" spans="1:22" x14ac:dyDescent="0.2">
      <c r="A468" s="89">
        <f t="shared" si="19"/>
        <v>460</v>
      </c>
      <c r="B468" s="43">
        <v>13</v>
      </c>
      <c r="C468" s="43">
        <v>16</v>
      </c>
      <c r="D468" s="38" t="s">
        <v>627</v>
      </c>
      <c r="E468" s="44" t="s">
        <v>166</v>
      </c>
      <c r="F468" s="44" t="s">
        <v>20</v>
      </c>
      <c r="G468" s="44" t="s">
        <v>120</v>
      </c>
      <c r="H468" s="44" t="s">
        <v>64</v>
      </c>
      <c r="I468" s="44" t="s">
        <v>167</v>
      </c>
      <c r="J468" s="44" t="s">
        <v>7</v>
      </c>
      <c r="K468" s="44" t="s">
        <v>140</v>
      </c>
      <c r="L468" s="40">
        <v>1132</v>
      </c>
      <c r="M468" s="41">
        <v>41339</v>
      </c>
      <c r="N468" s="40" t="s">
        <v>122</v>
      </c>
      <c r="O468" s="42"/>
      <c r="P468" s="40"/>
      <c r="Q468" s="207">
        <f>'[3]FE_OE - test RC_GSFMS'!G20</f>
        <v>19.994056004940237</v>
      </c>
      <c r="R468" s="207">
        <f>'[3]FE_OE - test RC_GSFMS'!H20</f>
        <v>20.069233372989512</v>
      </c>
      <c r="S468" s="207">
        <f>'[3]FE_OE - test RC_GSFMS'!I20</f>
        <v>21.195255181111598</v>
      </c>
      <c r="T468" s="207">
        <f>'[3]FE_OE - test RC_GSFMS'!J20</f>
        <v>21.773366588579901</v>
      </c>
      <c r="U468" s="207">
        <f>'[3]FE_OE - test RC_GSFMS'!K20</f>
        <v>28.579040612458716</v>
      </c>
      <c r="V468" s="145"/>
    </row>
    <row r="469" spans="1:22" x14ac:dyDescent="0.2">
      <c r="A469" s="89">
        <f t="shared" si="19"/>
        <v>461</v>
      </c>
      <c r="B469" s="43">
        <v>13</v>
      </c>
      <c r="C469" s="43">
        <v>17</v>
      </c>
      <c r="D469" s="38" t="s">
        <v>628</v>
      </c>
      <c r="E469" s="44" t="s">
        <v>169</v>
      </c>
      <c r="F469" s="44" t="s">
        <v>31</v>
      </c>
      <c r="G469" s="44" t="s">
        <v>120</v>
      </c>
      <c r="H469" s="44" t="s">
        <v>35</v>
      </c>
      <c r="I469" s="44" t="s">
        <v>35</v>
      </c>
      <c r="J469" s="44" t="s">
        <v>9</v>
      </c>
      <c r="K469" s="44" t="s">
        <v>135</v>
      </c>
      <c r="L469" s="40">
        <v>1133</v>
      </c>
      <c r="M469" s="41">
        <v>41339</v>
      </c>
      <c r="N469" s="40" t="s">
        <v>122</v>
      </c>
      <c r="O469" s="42"/>
      <c r="P469" s="40"/>
      <c r="Q469" s="207">
        <f>'[3]JCPL LP_GSCLMS'!G20</f>
        <v>42.645881428895017</v>
      </c>
      <c r="R469" s="207">
        <f>'[3]JCPL LP_GSCLMS'!H20</f>
        <v>44.468994543215103</v>
      </c>
      <c r="S469" s="207">
        <f>'[3]JCPL LP_GSCLMS'!I20</f>
        <v>44.521944641270565</v>
      </c>
      <c r="T469" s="207">
        <f>'[3]JCPL LP_GSCLMS'!J20</f>
        <v>45.316964485431583</v>
      </c>
      <c r="U469" s="207">
        <f>'[3]JCPL LP_GSCLMS'!K20</f>
        <v>50.755379812872619</v>
      </c>
      <c r="V469" s="145"/>
    </row>
    <row r="470" spans="1:22" x14ac:dyDescent="0.2">
      <c r="A470" s="89">
        <f t="shared" si="19"/>
        <v>462</v>
      </c>
      <c r="B470" s="43">
        <v>13</v>
      </c>
      <c r="C470" s="43">
        <v>18</v>
      </c>
      <c r="D470" s="38" t="s">
        <v>629</v>
      </c>
      <c r="E470" s="44" t="s">
        <v>171</v>
      </c>
      <c r="F470" s="44" t="s">
        <v>31</v>
      </c>
      <c r="G470" s="44" t="s">
        <v>120</v>
      </c>
      <c r="H470" s="44" t="s">
        <v>35</v>
      </c>
      <c r="I470" s="44" t="s">
        <v>35</v>
      </c>
      <c r="J470" s="44" t="s">
        <v>10</v>
      </c>
      <c r="K470" s="44" t="s">
        <v>132</v>
      </c>
      <c r="L470" s="40">
        <v>1134</v>
      </c>
      <c r="M470" s="41">
        <v>41339</v>
      </c>
      <c r="N470" s="40" t="s">
        <v>122</v>
      </c>
      <c r="O470" s="42"/>
      <c r="P470" s="40"/>
      <c r="Q470" s="207">
        <f>'[3]JCPL LP_GSCMMS'!G20</f>
        <v>48.550287780843135</v>
      </c>
      <c r="R470" s="207">
        <f>'[3]JCPL LP_GSCMMS'!H20</f>
        <v>45.493380847587702</v>
      </c>
      <c r="S470" s="207">
        <f>'[3]JCPL LP_GSCMMS'!I20</f>
        <v>47.022425787119936</v>
      </c>
      <c r="T470" s="207">
        <f>'[3]JCPL LP_GSCMMS'!J20</f>
        <v>46.330703338678518</v>
      </c>
      <c r="U470" s="207">
        <f>'[3]JCPL LP_GSCMMS'!K20</f>
        <v>51.77290911027788</v>
      </c>
      <c r="V470" s="145"/>
    </row>
    <row r="471" spans="1:22" x14ac:dyDescent="0.2">
      <c r="A471" s="89">
        <f t="shared" si="19"/>
        <v>463</v>
      </c>
      <c r="B471" s="43">
        <v>13</v>
      </c>
      <c r="C471" s="43">
        <v>19</v>
      </c>
      <c r="D471" s="38" t="s">
        <v>630</v>
      </c>
      <c r="E471" s="44" t="s">
        <v>173</v>
      </c>
      <c r="F471" s="44" t="s">
        <v>31</v>
      </c>
      <c r="G471" s="44" t="s">
        <v>120</v>
      </c>
      <c r="H471" s="44" t="s">
        <v>35</v>
      </c>
      <c r="I471" s="44" t="s">
        <v>35</v>
      </c>
      <c r="J471" s="44" t="s">
        <v>11</v>
      </c>
      <c r="K471" s="44" t="s">
        <v>129</v>
      </c>
      <c r="L471" s="40">
        <v>1135</v>
      </c>
      <c r="M471" s="41">
        <v>41339</v>
      </c>
      <c r="N471" s="40" t="s">
        <v>122</v>
      </c>
      <c r="O471" s="42"/>
      <c r="P471" s="40"/>
      <c r="Q471" s="207">
        <f>'[3]JCPL LP_GSCSMS'!G20</f>
        <v>45.663217581992775</v>
      </c>
      <c r="R471" s="207">
        <f>'[3]JCPL LP_GSCSMS'!H20</f>
        <v>45.674959658015375</v>
      </c>
      <c r="S471" s="207">
        <f>'[3]JCPL LP_GSCSMS'!I20</f>
        <v>46.290794350925331</v>
      </c>
      <c r="T471" s="207">
        <f>'[3]JCPL LP_GSCSMS'!J20</f>
        <v>46.492671255335139</v>
      </c>
      <c r="U471" s="207">
        <f>'[3]JCPL LP_GSCSMS'!K20</f>
        <v>51.922764794683438</v>
      </c>
      <c r="V471" s="145"/>
    </row>
    <row r="472" spans="1:22" x14ac:dyDescent="0.2">
      <c r="A472" s="89">
        <f t="shared" si="19"/>
        <v>464</v>
      </c>
      <c r="B472" s="43">
        <v>13</v>
      </c>
      <c r="C472" s="43">
        <v>20</v>
      </c>
      <c r="D472" s="38" t="s">
        <v>631</v>
      </c>
      <c r="E472" s="44" t="s">
        <v>175</v>
      </c>
      <c r="F472" s="44" t="s">
        <v>6</v>
      </c>
      <c r="G472" s="44" t="s">
        <v>120</v>
      </c>
      <c r="H472" s="44" t="s">
        <v>176</v>
      </c>
      <c r="I472" s="44" t="s">
        <v>177</v>
      </c>
      <c r="J472" s="44" t="s">
        <v>9</v>
      </c>
      <c r="K472" s="44" t="s">
        <v>135</v>
      </c>
      <c r="L472" s="40">
        <v>1137</v>
      </c>
      <c r="M472" s="41">
        <v>41339</v>
      </c>
      <c r="N472" s="40" t="s">
        <v>122</v>
      </c>
      <c r="O472" s="42"/>
      <c r="P472" s="40"/>
      <c r="Q472" s="207">
        <f>'[3]MetEd RC_GSLFMS'!G20</f>
        <v>24.432303323764067</v>
      </c>
      <c r="R472" s="207">
        <f>'[3]MetEd RC_GSLFMS'!H20</f>
        <v>25.391323481041955</v>
      </c>
      <c r="S472" s="207">
        <f>'[3]MetEd RC_GSLFMS'!I20</f>
        <v>25.23889379588973</v>
      </c>
      <c r="T472" s="207">
        <f>'[3]MetEd RC_GSLFMS'!J20</f>
        <v>25.642292916292455</v>
      </c>
      <c r="U472" s="207">
        <f>'[3]MetEd RC_GSLFMS'!K20</f>
        <v>29.966260222082109</v>
      </c>
      <c r="V472" s="145"/>
    </row>
    <row r="473" spans="1:22" x14ac:dyDescent="0.2">
      <c r="A473" s="89">
        <f t="shared" si="19"/>
        <v>465</v>
      </c>
      <c r="B473" s="43">
        <v>13</v>
      </c>
      <c r="C473" s="43">
        <v>21</v>
      </c>
      <c r="D473" s="38" t="s">
        <v>632</v>
      </c>
      <c r="E473" s="44" t="s">
        <v>179</v>
      </c>
      <c r="F473" s="44" t="s">
        <v>6</v>
      </c>
      <c r="G473" s="44" t="s">
        <v>120</v>
      </c>
      <c r="H473" s="44" t="s">
        <v>176</v>
      </c>
      <c r="I473" s="44" t="s">
        <v>177</v>
      </c>
      <c r="J473" s="44" t="s">
        <v>10</v>
      </c>
      <c r="K473" s="44" t="s">
        <v>132</v>
      </c>
      <c r="L473" s="40">
        <v>1136</v>
      </c>
      <c r="M473" s="41">
        <v>41339</v>
      </c>
      <c r="N473" s="40" t="s">
        <v>122</v>
      </c>
      <c r="O473" s="42"/>
      <c r="P473" s="40"/>
      <c r="Q473" s="207">
        <f>'[3]MetEd RC_GSDFMS'!G20</f>
        <v>25.638287299606862</v>
      </c>
      <c r="R473" s="207">
        <f>'[3]MetEd RC_GSDFMS'!H20</f>
        <v>26.481880581067383</v>
      </c>
      <c r="S473" s="207">
        <f>'[3]MetEd RC_GSDFMS'!I20</f>
        <v>26.368099847411987</v>
      </c>
      <c r="T473" s="207">
        <f>'[3]MetEd RC_GSDFMS'!J20</f>
        <v>26.731547163230005</v>
      </c>
      <c r="U473" s="207">
        <f>'[3]MetEd RC_GSDFMS'!K20</f>
        <v>31.05416853571656</v>
      </c>
      <c r="V473" s="145"/>
    </row>
    <row r="474" spans="1:22" x14ac:dyDescent="0.2">
      <c r="A474" s="89">
        <f t="shared" si="19"/>
        <v>466</v>
      </c>
      <c r="B474" s="43">
        <v>13</v>
      </c>
      <c r="C474" s="43">
        <v>22</v>
      </c>
      <c r="D474" s="38" t="s">
        <v>633</v>
      </c>
      <c r="E474" s="44" t="s">
        <v>181</v>
      </c>
      <c r="F474" s="44" t="s">
        <v>6</v>
      </c>
      <c r="G474" s="44" t="s">
        <v>120</v>
      </c>
      <c r="H474" s="44" t="s">
        <v>176</v>
      </c>
      <c r="I474" s="44" t="s">
        <v>177</v>
      </c>
      <c r="J474" s="44" t="s">
        <v>11</v>
      </c>
      <c r="K474" s="44" t="s">
        <v>129</v>
      </c>
      <c r="L474" s="40">
        <v>1138</v>
      </c>
      <c r="M474" s="41">
        <v>41339</v>
      </c>
      <c r="N474" s="40" t="s">
        <v>122</v>
      </c>
      <c r="O474" s="42"/>
      <c r="P474" s="40"/>
      <c r="Q474" s="207">
        <f>'[3]MetEd RC_GSSFMS'!G20</f>
        <v>25.411045327245166</v>
      </c>
      <c r="R474" s="207">
        <f>'[3]MetEd RC_GSSFMS'!H20</f>
        <v>26.413021002083404</v>
      </c>
      <c r="S474" s="207">
        <f>'[3]MetEd RC_GSSFMS'!I20</f>
        <v>26.242161767236141</v>
      </c>
      <c r="T474" s="207">
        <f>'[3]MetEd RC_GSSFMS'!J20</f>
        <v>26.665637516173259</v>
      </c>
      <c r="U474" s="207">
        <f>'[3]MetEd RC_GSSFMS'!K20</f>
        <v>30.987360533516302</v>
      </c>
      <c r="V474" s="145"/>
    </row>
    <row r="475" spans="1:22" x14ac:dyDescent="0.2">
      <c r="A475" s="89">
        <f t="shared" si="19"/>
        <v>467</v>
      </c>
      <c r="B475" s="43">
        <v>13</v>
      </c>
      <c r="C475" s="43">
        <v>23</v>
      </c>
      <c r="D475" s="38" t="s">
        <v>634</v>
      </c>
      <c r="E475" s="44" t="s">
        <v>183</v>
      </c>
      <c r="F475" s="44" t="s">
        <v>6</v>
      </c>
      <c r="G475" s="44" t="s">
        <v>120</v>
      </c>
      <c r="H475" s="44" t="s">
        <v>13</v>
      </c>
      <c r="I475" s="44" t="s">
        <v>13</v>
      </c>
      <c r="J475" s="44" t="s">
        <v>7</v>
      </c>
      <c r="K475" s="44" t="s">
        <v>140</v>
      </c>
      <c r="L475" s="40">
        <v>1139</v>
      </c>
      <c r="M475" s="41">
        <v>41339</v>
      </c>
      <c r="N475" s="40" t="s">
        <v>122</v>
      </c>
      <c r="O475" s="42"/>
      <c r="P475" s="40"/>
      <c r="Q475" s="207">
        <f>'[3]PECO LP_GSMS'!G20</f>
        <v>27.713140293229301</v>
      </c>
      <c r="R475" s="207">
        <f>'[3]PECO LP_GSMS'!H20</f>
        <v>29.034540166838667</v>
      </c>
      <c r="S475" s="207">
        <f>'[3]PECO LP_GSMS'!I20</f>
        <v>28.738880563397508</v>
      </c>
      <c r="T475" s="207">
        <f>'[3]PECO LP_GSMS'!J20</f>
        <v>29.263157469015887</v>
      </c>
      <c r="U475" s="207">
        <f>'[3]PECO LP_GSMS'!K20</f>
        <v>34.102031156924738</v>
      </c>
      <c r="V475" s="145"/>
    </row>
    <row r="476" spans="1:22" x14ac:dyDescent="0.2">
      <c r="A476" s="89">
        <f t="shared" si="19"/>
        <v>468</v>
      </c>
      <c r="B476" s="43">
        <v>13</v>
      </c>
      <c r="C476" s="43">
        <v>24</v>
      </c>
      <c r="D476" s="38" t="s">
        <v>635</v>
      </c>
      <c r="E476" s="44" t="s">
        <v>185</v>
      </c>
      <c r="F476" s="44" t="s">
        <v>6</v>
      </c>
      <c r="G476" s="44" t="s">
        <v>120</v>
      </c>
      <c r="H476" s="44" t="s">
        <v>12</v>
      </c>
      <c r="I476" s="44" t="s">
        <v>186</v>
      </c>
      <c r="J476" s="44" t="s">
        <v>9</v>
      </c>
      <c r="K476" s="44" t="s">
        <v>135</v>
      </c>
      <c r="L476" s="40">
        <v>1140</v>
      </c>
      <c r="M476" s="41">
        <v>41339</v>
      </c>
      <c r="N476" s="40" t="s">
        <v>122</v>
      </c>
      <c r="O476" s="42"/>
      <c r="P476" s="40"/>
      <c r="Q476" s="207">
        <f>'[3]Penelec RC_GSLFMS'!G20</f>
        <v>27.240519235427698</v>
      </c>
      <c r="R476" s="207">
        <f>'[3]Penelec RC_GSLFMS'!H20</f>
        <v>27.800097129703687</v>
      </c>
      <c r="S476" s="207">
        <f>'[3]Penelec RC_GSLFMS'!I20</f>
        <v>27.888629506209231</v>
      </c>
      <c r="T476" s="207">
        <f>'[3]Penelec RC_GSLFMS'!J20</f>
        <v>28.206832341854067</v>
      </c>
      <c r="U476" s="207">
        <f>'[3]Penelec RC_GSLFMS'!K20</f>
        <v>32.741108009881536</v>
      </c>
      <c r="V476" s="145"/>
    </row>
    <row r="477" spans="1:22" x14ac:dyDescent="0.2">
      <c r="A477" s="89">
        <f t="shared" si="19"/>
        <v>469</v>
      </c>
      <c r="B477" s="43">
        <v>13</v>
      </c>
      <c r="C477" s="43">
        <v>25</v>
      </c>
      <c r="D477" s="38" t="s">
        <v>636</v>
      </c>
      <c r="E477" s="44" t="s">
        <v>188</v>
      </c>
      <c r="F477" s="44" t="s">
        <v>6</v>
      </c>
      <c r="G477" s="44" t="s">
        <v>120</v>
      </c>
      <c r="H477" s="44" t="s">
        <v>12</v>
      </c>
      <c r="I477" s="44" t="s">
        <v>186</v>
      </c>
      <c r="J477" s="44" t="s">
        <v>10</v>
      </c>
      <c r="K477" s="44" t="s">
        <v>132</v>
      </c>
      <c r="L477" s="40">
        <v>1141</v>
      </c>
      <c r="M477" s="41">
        <v>41339</v>
      </c>
      <c r="N477" s="40" t="s">
        <v>122</v>
      </c>
      <c r="O477" s="42"/>
      <c r="P477" s="40"/>
      <c r="Q477" s="207">
        <f>'[3]Penelec RC_GSMFMS'!G20</f>
        <v>28.472759214366622</v>
      </c>
      <c r="R477" s="207">
        <f>'[3]Penelec RC_GSMFMS'!H20</f>
        <v>28.920586613317457</v>
      </c>
      <c r="S477" s="207">
        <f>'[3]Penelec RC_GSMFMS'!I20</f>
        <v>29.03482998793444</v>
      </c>
      <c r="T477" s="207">
        <f>'[3]Penelec RC_GSMFMS'!J20</f>
        <v>29.322458494932132</v>
      </c>
      <c r="U477" s="207">
        <f>'[3]Penelec RC_GSMFMS'!K20</f>
        <v>33.856897710706122</v>
      </c>
      <c r="V477" s="145"/>
    </row>
    <row r="478" spans="1:22" x14ac:dyDescent="0.2">
      <c r="A478" s="89">
        <f t="shared" si="19"/>
        <v>470</v>
      </c>
      <c r="B478" s="43">
        <v>13</v>
      </c>
      <c r="C478" s="43">
        <v>26</v>
      </c>
      <c r="D478" s="38" t="s">
        <v>637</v>
      </c>
      <c r="E478" s="44" t="s">
        <v>190</v>
      </c>
      <c r="F478" s="44" t="s">
        <v>6</v>
      </c>
      <c r="G478" s="44" t="s">
        <v>120</v>
      </c>
      <c r="H478" s="44" t="s">
        <v>12</v>
      </c>
      <c r="I478" s="44" t="s">
        <v>186</v>
      </c>
      <c r="J478" s="44" t="s">
        <v>11</v>
      </c>
      <c r="K478" s="44" t="s">
        <v>129</v>
      </c>
      <c r="L478" s="40">
        <v>1142</v>
      </c>
      <c r="M478" s="41">
        <v>41339</v>
      </c>
      <c r="N478" s="40" t="s">
        <v>122</v>
      </c>
      <c r="O478" s="42"/>
      <c r="P478" s="40"/>
      <c r="Q478" s="207">
        <f>'[3]Penelec RC_GSSFMS'!G20</f>
        <v>31.313381647034785</v>
      </c>
      <c r="R478" s="207">
        <f>'[3]Penelec RC_GSSFMS'!H20</f>
        <v>28.965589477308971</v>
      </c>
      <c r="S478" s="207">
        <f>'[3]Penelec RC_GSSFMS'!I20</f>
        <v>29.84940257373875</v>
      </c>
      <c r="T478" s="207">
        <f>'[3]Penelec RC_GSSFMS'!J20</f>
        <v>29.355480829735164</v>
      </c>
      <c r="U478" s="207">
        <f>'[3]Penelec RC_GSSFMS'!K20</f>
        <v>33.906462882385988</v>
      </c>
      <c r="V478" s="145"/>
    </row>
    <row r="479" spans="1:22" x14ac:dyDescent="0.2">
      <c r="A479" s="89">
        <f t="shared" si="19"/>
        <v>471</v>
      </c>
      <c r="B479" s="43">
        <v>13</v>
      </c>
      <c r="C479" s="43">
        <v>27</v>
      </c>
      <c r="D479" s="38" t="s">
        <v>638</v>
      </c>
      <c r="E479" s="44" t="s">
        <v>192</v>
      </c>
      <c r="F479" s="44" t="s">
        <v>6</v>
      </c>
      <c r="G479" s="44" t="s">
        <v>120</v>
      </c>
      <c r="H479" s="44" t="s">
        <v>100</v>
      </c>
      <c r="I479" s="44" t="s">
        <v>193</v>
      </c>
      <c r="J479" s="44" t="s">
        <v>7</v>
      </c>
      <c r="K479" s="44" t="s">
        <v>140</v>
      </c>
      <c r="L479" s="40">
        <v>1143</v>
      </c>
      <c r="M479" s="41">
        <v>41339</v>
      </c>
      <c r="N479" s="40" t="s">
        <v>122</v>
      </c>
      <c r="O479" s="42"/>
      <c r="P479" s="40"/>
      <c r="Q479" s="207">
        <f>'[3]Penn Power RC_GMDMS'!G20</f>
        <v>31.64920551851959</v>
      </c>
      <c r="R479" s="207">
        <f>'[3]Penn Power RC_GMDMS'!H20</f>
        <v>31.281087754823695</v>
      </c>
      <c r="S479" s="207">
        <f>'[3]Penn Power RC_GMDMS'!I20</f>
        <v>32.539330588699819</v>
      </c>
      <c r="T479" s="207">
        <f>'[3]Penn Power RC_GMDMS'!J20</f>
        <v>33.023828447939984</v>
      </c>
      <c r="U479" s="207">
        <f>'[3]Penn Power RC_GMDMS'!K20</f>
        <v>39.863108132852439</v>
      </c>
      <c r="V479" s="145"/>
    </row>
    <row r="480" spans="1:22" x14ac:dyDescent="0.2">
      <c r="A480" s="89">
        <f t="shared" si="19"/>
        <v>472</v>
      </c>
      <c r="B480" s="43">
        <v>13</v>
      </c>
      <c r="C480" s="43">
        <v>28</v>
      </c>
      <c r="D480" s="38" t="s">
        <v>639</v>
      </c>
      <c r="E480" s="44" t="s">
        <v>195</v>
      </c>
      <c r="F480" s="44" t="s">
        <v>39</v>
      </c>
      <c r="G480" s="44" t="s">
        <v>120</v>
      </c>
      <c r="H480" s="44" t="s">
        <v>44</v>
      </c>
      <c r="I480" s="44" t="s">
        <v>44</v>
      </c>
      <c r="J480" s="44" t="s">
        <v>7</v>
      </c>
      <c r="K480" s="44" t="s">
        <v>140</v>
      </c>
      <c r="L480" s="40">
        <v>1144</v>
      </c>
      <c r="M480" s="41">
        <v>41339</v>
      </c>
      <c r="N480" s="40" t="s">
        <v>122</v>
      </c>
      <c r="O480" s="42"/>
      <c r="P480" s="40"/>
      <c r="Q480" s="207">
        <f>'[3]PEPCO MD LP_MDNDMS'!G20</f>
        <v>31.775523698638672</v>
      </c>
      <c r="R480" s="207">
        <f>'[3]PEPCO MD LP_MDNDMS'!H20</f>
        <v>31.90363609822348</v>
      </c>
      <c r="S480" s="207">
        <f>'[3]PEPCO MD LP_MDNDMS'!I20</f>
        <v>32.092279964528679</v>
      </c>
      <c r="T480" s="207">
        <f>'[3]PEPCO MD LP_MDNDMS'!J20</f>
        <v>32.429511224178462</v>
      </c>
      <c r="U480" s="207">
        <f>'[3]PEPCO MD LP_MDNDMS'!K20</f>
        <v>37.459633348570385</v>
      </c>
      <c r="V480" s="145"/>
    </row>
    <row r="481" spans="1:22" x14ac:dyDescent="0.2">
      <c r="A481" s="89">
        <f t="shared" si="19"/>
        <v>473</v>
      </c>
      <c r="B481" s="43">
        <v>13</v>
      </c>
      <c r="C481" s="43">
        <v>29</v>
      </c>
      <c r="D481" s="38" t="s">
        <v>640</v>
      </c>
      <c r="E481" s="44" t="s">
        <v>197</v>
      </c>
      <c r="F481" s="44" t="s">
        <v>39</v>
      </c>
      <c r="G481" s="44" t="s">
        <v>120</v>
      </c>
      <c r="H481" s="44" t="s">
        <v>44</v>
      </c>
      <c r="I481" s="44" t="s">
        <v>44</v>
      </c>
      <c r="J481" s="44" t="s">
        <v>45</v>
      </c>
      <c r="K481" s="44" t="s">
        <v>198</v>
      </c>
      <c r="L481" s="40">
        <v>1145</v>
      </c>
      <c r="M481" s="41">
        <v>41339</v>
      </c>
      <c r="N481" s="40" t="s">
        <v>122</v>
      </c>
      <c r="O481" s="42"/>
      <c r="P481" s="40"/>
      <c r="Q481" s="207">
        <f>'[3]PEPCO MD LP_MMGTL2AMS'!G20</f>
        <v>29.872728444649677</v>
      </c>
      <c r="R481" s="207">
        <f>'[3]PEPCO MD LP_MMGTL2AMS'!H20</f>
        <v>30.79164067320885</v>
      </c>
      <c r="S481" s="207">
        <f>'[3]PEPCO MD LP_MMGTL2AMS'!I20</f>
        <v>30.723026496785817</v>
      </c>
      <c r="T481" s="207">
        <f>'[3]PEPCO MD LP_MMGTL2AMS'!J20</f>
        <v>31.30342701670364</v>
      </c>
      <c r="U481" s="207">
        <f>'[3]PEPCO MD LP_MMGTL2AMS'!K20</f>
        <v>36.304530651971326</v>
      </c>
      <c r="V481" s="145"/>
    </row>
    <row r="482" spans="1:22" x14ac:dyDescent="0.2">
      <c r="A482" s="89">
        <f t="shared" si="19"/>
        <v>474</v>
      </c>
      <c r="B482" s="43">
        <v>13</v>
      </c>
      <c r="C482" s="43">
        <v>30</v>
      </c>
      <c r="D482" s="38" t="s">
        <v>641</v>
      </c>
      <c r="E482" s="44" t="s">
        <v>200</v>
      </c>
      <c r="F482" s="44" t="s">
        <v>39</v>
      </c>
      <c r="G482" s="44" t="s">
        <v>120</v>
      </c>
      <c r="H482" s="44" t="s">
        <v>44</v>
      </c>
      <c r="I482" s="44" t="s">
        <v>44</v>
      </c>
      <c r="J482" s="44" t="s">
        <v>46</v>
      </c>
      <c r="K482" s="44" t="s">
        <v>46</v>
      </c>
      <c r="L482" s="40">
        <v>1146</v>
      </c>
      <c r="M482" s="41">
        <v>41339</v>
      </c>
      <c r="N482" s="40" t="s">
        <v>122</v>
      </c>
      <c r="O482" s="42"/>
      <c r="P482" s="40"/>
      <c r="Q482" s="207">
        <f>'[3]PEPCO MD RC_3T7MS'!G20</f>
        <v>31.650408467988139</v>
      </c>
      <c r="R482" s="207">
        <f>'[3]PEPCO MD RC_3T7MS'!H20</f>
        <v>31.630876384700905</v>
      </c>
      <c r="S482" s="207">
        <f>'[3]PEPCO MD RC_3T7MS'!I20</f>
        <v>31.989388259407626</v>
      </c>
      <c r="T482" s="207">
        <f>'[3]PEPCO MD RC_3T7MS'!J20</f>
        <v>32.254775999244728</v>
      </c>
      <c r="U482" s="207">
        <f>'[3]PEPCO MD RC_3T7MS'!K20</f>
        <v>37.302662272164341</v>
      </c>
      <c r="V482" s="145"/>
    </row>
    <row r="483" spans="1:22" x14ac:dyDescent="0.2">
      <c r="A483" s="89">
        <f t="shared" si="19"/>
        <v>475</v>
      </c>
      <c r="B483" s="43">
        <v>13</v>
      </c>
      <c r="C483" s="43">
        <v>31</v>
      </c>
      <c r="D483" s="38" t="s">
        <v>642</v>
      </c>
      <c r="E483" s="44" t="s">
        <v>202</v>
      </c>
      <c r="F483" s="44" t="s">
        <v>39</v>
      </c>
      <c r="G483" s="44" t="s">
        <v>120</v>
      </c>
      <c r="H483" s="44" t="s">
        <v>47</v>
      </c>
      <c r="I483" s="44" t="s">
        <v>47</v>
      </c>
      <c r="J483" s="44" t="s">
        <v>7</v>
      </c>
      <c r="K483" s="44" t="s">
        <v>140</v>
      </c>
      <c r="L483" s="40">
        <v>1147</v>
      </c>
      <c r="M483" s="41">
        <v>41339</v>
      </c>
      <c r="N483" s="40" t="s">
        <v>122</v>
      </c>
      <c r="O483" s="42"/>
      <c r="P483" s="40"/>
      <c r="Q483" s="207">
        <f>'[3]Potomac Edison LP_GSCM_MMS'!G20</f>
        <v>27.304025021343008</v>
      </c>
      <c r="R483" s="207">
        <f>'[3]Potomac Edison LP_GSCM_MMS'!H20</f>
        <v>25.813910195300085</v>
      </c>
      <c r="S483" s="207">
        <f>'[3]Potomac Edison LP_GSCM_MMS'!I20</f>
        <v>28.781048911335699</v>
      </c>
      <c r="T483" s="207">
        <f>'[3]Potomac Edison LP_GSCM_MMS'!J20</f>
        <v>29.612609555462843</v>
      </c>
      <c r="U483" s="207">
        <f>'[3]Potomac Edison LP_GSCM_MMS'!K20</f>
        <v>31.844703574641407</v>
      </c>
      <c r="V483" s="145"/>
    </row>
    <row r="484" spans="1:22" x14ac:dyDescent="0.2">
      <c r="A484" s="89">
        <f t="shared" si="19"/>
        <v>476</v>
      </c>
      <c r="B484" s="43">
        <v>13</v>
      </c>
      <c r="C484" s="43">
        <v>32</v>
      </c>
      <c r="D484" s="38" t="s">
        <v>643</v>
      </c>
      <c r="E484" s="44" t="s">
        <v>204</v>
      </c>
      <c r="F484" s="44" t="s">
        <v>6</v>
      </c>
      <c r="G484" s="44" t="s">
        <v>120</v>
      </c>
      <c r="H484" s="44" t="s">
        <v>14</v>
      </c>
      <c r="I484" s="44" t="s">
        <v>14</v>
      </c>
      <c r="J484" s="44" t="s">
        <v>15</v>
      </c>
      <c r="K484" s="44" t="s">
        <v>129</v>
      </c>
      <c r="L484" s="40">
        <v>1148</v>
      </c>
      <c r="M484" s="41">
        <v>41339</v>
      </c>
      <c r="N484" s="40" t="s">
        <v>122</v>
      </c>
      <c r="O484" s="42"/>
      <c r="P484" s="40"/>
      <c r="Q484" s="207">
        <f>[3]PPL_RCGS1MS!G20</f>
        <v>34.652111275258605</v>
      </c>
      <c r="R484" s="207">
        <f>[3]PPL_RCGS1MS!H20</f>
        <v>34.543548774277738</v>
      </c>
      <c r="S484" s="207">
        <f>[3]PPL_RCGS1MS!I20</f>
        <v>34.668105343063935</v>
      </c>
      <c r="T484" s="207">
        <f>[3]PPL_RCGS1MS!J20</f>
        <v>34.703384603067867</v>
      </c>
      <c r="U484" s="207">
        <f>[3]PPL_RCGS1MS!K20</f>
        <v>39.01216857517263</v>
      </c>
      <c r="V484" s="145"/>
    </row>
    <row r="485" spans="1:22" x14ac:dyDescent="0.2">
      <c r="A485" s="89">
        <f t="shared" si="19"/>
        <v>477</v>
      </c>
      <c r="B485" s="43">
        <v>13</v>
      </c>
      <c r="C485" s="43">
        <v>33</v>
      </c>
      <c r="D485" s="38" t="s">
        <v>644</v>
      </c>
      <c r="E485" s="44" t="s">
        <v>206</v>
      </c>
      <c r="F485" s="44" t="s">
        <v>6</v>
      </c>
      <c r="G485" s="44" t="s">
        <v>120</v>
      </c>
      <c r="H485" s="44" t="s">
        <v>14</v>
      </c>
      <c r="I485" s="44" t="s">
        <v>14</v>
      </c>
      <c r="J485" s="44" t="s">
        <v>16</v>
      </c>
      <c r="K485" s="44" t="s">
        <v>135</v>
      </c>
      <c r="L485" s="40">
        <v>1149</v>
      </c>
      <c r="M485" s="41">
        <v>41339</v>
      </c>
      <c r="N485" s="40" t="s">
        <v>122</v>
      </c>
      <c r="O485" s="42"/>
      <c r="P485" s="40"/>
      <c r="Q485" s="207">
        <f>[3]PPL_RCGS3MS!G20</f>
        <v>34.051501334836978</v>
      </c>
      <c r="R485" s="207">
        <f>[3]PPL_RCGS3MS!H20</f>
        <v>34.587765223275568</v>
      </c>
      <c r="S485" s="207">
        <f>[3]PPL_RCGS3MS!I20</f>
        <v>34.520644250298439</v>
      </c>
      <c r="T485" s="207">
        <f>[3]PPL_RCGS3MS!J20</f>
        <v>34.761970095400343</v>
      </c>
      <c r="U485" s="207">
        <f>[3]PPL_RCGS3MS!K20</f>
        <v>39.07431805421708</v>
      </c>
      <c r="V485" s="145"/>
    </row>
    <row r="486" spans="1:22" x14ac:dyDescent="0.2">
      <c r="A486" s="89">
        <f t="shared" si="19"/>
        <v>478</v>
      </c>
      <c r="B486" s="43">
        <v>13</v>
      </c>
      <c r="C486" s="43">
        <v>34</v>
      </c>
      <c r="D486" s="38" t="s">
        <v>645</v>
      </c>
      <c r="E486" s="44" t="s">
        <v>208</v>
      </c>
      <c r="F486" s="44" t="s">
        <v>31</v>
      </c>
      <c r="G486" s="44" t="s">
        <v>120</v>
      </c>
      <c r="H486" s="44" t="s">
        <v>36</v>
      </c>
      <c r="I486" s="44" t="s">
        <v>36</v>
      </c>
      <c r="J486" s="44" t="s">
        <v>37</v>
      </c>
      <c r="K486" s="44" t="s">
        <v>209</v>
      </c>
      <c r="L486" s="40">
        <v>1150</v>
      </c>
      <c r="M486" s="41">
        <v>41339</v>
      </c>
      <c r="N486" s="40" t="s">
        <v>122</v>
      </c>
      <c r="O486" s="42"/>
      <c r="P486" s="40"/>
      <c r="Q486" s="207">
        <f>'[3]PSEG LP_GLP_MMS'!G20</f>
        <v>61.49040894229983</v>
      </c>
      <c r="R486" s="207">
        <f>'[3]PSEG LP_GLP_MMS'!H20</f>
        <v>63.925692667402735</v>
      </c>
      <c r="S486" s="207">
        <f>'[3]PSEG LP_GLP_MMS'!I20</f>
        <v>63.471790782606597</v>
      </c>
      <c r="T486" s="207">
        <f>'[3]PSEG LP_GLP_MMS'!J20</f>
        <v>64.531476779295076</v>
      </c>
      <c r="U486" s="207">
        <f>'[3]PSEG LP_GLP_MMS'!K20</f>
        <v>67.439845476607815</v>
      </c>
      <c r="V486" s="145"/>
    </row>
    <row r="487" spans="1:22" x14ac:dyDescent="0.2">
      <c r="A487" s="89">
        <f t="shared" si="19"/>
        <v>479</v>
      </c>
      <c r="B487" s="43">
        <v>13</v>
      </c>
      <c r="C487" s="43">
        <v>35</v>
      </c>
      <c r="D487" s="38" t="s">
        <v>646</v>
      </c>
      <c r="E487" s="44" t="s">
        <v>211</v>
      </c>
      <c r="F487" s="44" t="s">
        <v>31</v>
      </c>
      <c r="G487" s="44" t="s">
        <v>120</v>
      </c>
      <c r="H487" s="44" t="s">
        <v>36</v>
      </c>
      <c r="I487" s="44" t="s">
        <v>36</v>
      </c>
      <c r="J487" s="44" t="s">
        <v>38</v>
      </c>
      <c r="K487" s="44" t="s">
        <v>212</v>
      </c>
      <c r="L487" s="40">
        <v>1151</v>
      </c>
      <c r="M487" s="41">
        <v>41339</v>
      </c>
      <c r="N487" s="40" t="s">
        <v>122</v>
      </c>
      <c r="O487" s="42"/>
      <c r="P487" s="40"/>
      <c r="Q487" s="207">
        <f>'[3]PSEG LP_LPLMS'!G20</f>
        <v>60.939968462766927</v>
      </c>
      <c r="R487" s="207">
        <f>'[3]PSEG LP_LPLMS'!H20</f>
        <v>63.16981469377501</v>
      </c>
      <c r="S487" s="207">
        <f>'[3]PSEG LP_LPLMS'!I20</f>
        <v>62.691649991473504</v>
      </c>
      <c r="T487" s="207">
        <f>'[3]PSEG LP_LPLMS'!J20</f>
        <v>63.698927276602866</v>
      </c>
      <c r="U487" s="207">
        <f>'[3]PSEG LP_LPLMS'!K20</f>
        <v>66.605644958047321</v>
      </c>
      <c r="V487" s="145"/>
    </row>
    <row r="488" spans="1:22" x14ac:dyDescent="0.2">
      <c r="A488" s="89">
        <f t="shared" si="19"/>
        <v>480</v>
      </c>
      <c r="B488" s="43">
        <v>13</v>
      </c>
      <c r="C488" s="43">
        <v>36</v>
      </c>
      <c r="D488" s="38" t="s">
        <v>647</v>
      </c>
      <c r="E488" s="44" t="s">
        <v>214</v>
      </c>
      <c r="F488" s="44" t="s">
        <v>6</v>
      </c>
      <c r="G488" s="44" t="s">
        <v>120</v>
      </c>
      <c r="H488" s="44" t="s">
        <v>17</v>
      </c>
      <c r="I488" s="44" t="s">
        <v>215</v>
      </c>
      <c r="J488" s="44" t="s">
        <v>18</v>
      </c>
      <c r="K488" s="44" t="s">
        <v>140</v>
      </c>
      <c r="L488" s="40">
        <v>1152</v>
      </c>
      <c r="M488" s="41">
        <v>41339</v>
      </c>
      <c r="N488" s="40" t="s">
        <v>122</v>
      </c>
      <c r="O488" s="42"/>
      <c r="P488" s="40"/>
      <c r="Q488" s="207">
        <f>'[3]West Penn Power LP_GSCMMS'!G20</f>
        <v>25.08903237836639</v>
      </c>
      <c r="R488" s="207">
        <f>'[3]West Penn Power LP_GSCMMS'!H20</f>
        <v>25.473333963514381</v>
      </c>
      <c r="S488" s="207">
        <f>'[3]West Penn Power LP_GSCMMS'!I20</f>
        <v>27.739512039047103</v>
      </c>
      <c r="T488" s="207">
        <f>'[3]West Penn Power LP_GSCMMS'!J20</f>
        <v>29.067909238998411</v>
      </c>
      <c r="U488" s="207">
        <f>'[3]West Penn Power LP_GSCMMS'!K20</f>
        <v>31.031633459023855</v>
      </c>
      <c r="V488" s="145"/>
    </row>
    <row r="489" spans="1:22" x14ac:dyDescent="0.2">
      <c r="A489" s="89">
        <f t="shared" si="19"/>
        <v>481</v>
      </c>
      <c r="B489" s="20"/>
      <c r="C489" s="20"/>
      <c r="D489" s="20"/>
      <c r="Q489" s="208"/>
      <c r="R489" s="208"/>
      <c r="S489" s="208"/>
      <c r="T489" s="208"/>
      <c r="U489" s="208"/>
    </row>
    <row r="490" spans="1:22" x14ac:dyDescent="0.2">
      <c r="A490" s="89">
        <f t="shared" si="19"/>
        <v>482</v>
      </c>
      <c r="B490" s="43">
        <v>14</v>
      </c>
      <c r="C490" s="43">
        <v>1</v>
      </c>
      <c r="D490" s="38" t="s">
        <v>612</v>
      </c>
      <c r="E490" s="44" t="s">
        <v>119</v>
      </c>
      <c r="F490" s="44" t="s">
        <v>31</v>
      </c>
      <c r="G490" s="44" t="s">
        <v>120</v>
      </c>
      <c r="H490" s="44" t="s">
        <v>32</v>
      </c>
      <c r="I490" s="44" t="s">
        <v>32</v>
      </c>
      <c r="J490" s="44" t="s">
        <v>33</v>
      </c>
      <c r="K490" s="44" t="s">
        <v>121</v>
      </c>
      <c r="L490" s="40">
        <v>1117</v>
      </c>
      <c r="M490" s="41">
        <v>41339</v>
      </c>
      <c r="N490" s="40" t="s">
        <v>122</v>
      </c>
      <c r="O490" s="42"/>
      <c r="P490" s="40"/>
      <c r="Q490" s="207">
        <f>'[3]AECO LP_10V1_SMS'!G21</f>
        <v>42309</v>
      </c>
      <c r="R490" s="207">
        <f>'[3]AECO LP_10V1_SMS'!H21</f>
        <v>42339</v>
      </c>
      <c r="S490" s="207">
        <f>'[3]AECO LP_10V1_SMS'!I21</f>
        <v>42370</v>
      </c>
      <c r="T490" s="207">
        <f>'[3]AECO LP_10V1_SMS'!J21</f>
        <v>42401</v>
      </c>
      <c r="U490" s="207">
        <f>'[3]AECO LP_10V1_SMS'!K21</f>
        <v>42430</v>
      </c>
      <c r="V490" s="145"/>
    </row>
    <row r="491" spans="1:22" x14ac:dyDescent="0.2">
      <c r="A491" s="89">
        <f t="shared" si="19"/>
        <v>483</v>
      </c>
      <c r="B491" s="43">
        <v>14</v>
      </c>
      <c r="C491" s="43">
        <v>2</v>
      </c>
      <c r="D491" s="38" t="s">
        <v>613</v>
      </c>
      <c r="E491" s="44" t="s">
        <v>124</v>
      </c>
      <c r="F491" s="44" t="s">
        <v>31</v>
      </c>
      <c r="G491" s="44" t="s">
        <v>120</v>
      </c>
      <c r="H491" s="44" t="s">
        <v>32</v>
      </c>
      <c r="I491" s="44" t="s">
        <v>32</v>
      </c>
      <c r="J491" s="44" t="s">
        <v>34</v>
      </c>
      <c r="K491" s="44" t="s">
        <v>125</v>
      </c>
      <c r="L491" s="40">
        <v>1118</v>
      </c>
      <c r="M491" s="41">
        <v>41339</v>
      </c>
      <c r="N491" s="40" t="s">
        <v>122</v>
      </c>
      <c r="O491" s="42"/>
      <c r="P491" s="40"/>
      <c r="Q491" s="207">
        <f>'[3]AECO LP_14V1_MMS'!G21</f>
        <v>42309</v>
      </c>
      <c r="R491" s="207">
        <f>'[3]AECO LP_14V1_MMS'!H21</f>
        <v>42339</v>
      </c>
      <c r="S491" s="207">
        <f>'[3]AECO LP_14V1_MMS'!I21</f>
        <v>42370</v>
      </c>
      <c r="T491" s="207">
        <f>'[3]AECO LP_14V1_MMS'!J21</f>
        <v>42401</v>
      </c>
      <c r="U491" s="207">
        <f>'[3]AECO LP_14V1_MMS'!K21</f>
        <v>42430</v>
      </c>
      <c r="V491" s="145"/>
    </row>
    <row r="492" spans="1:22" x14ac:dyDescent="0.2">
      <c r="A492" s="89">
        <f t="shared" si="19"/>
        <v>484</v>
      </c>
      <c r="B492" s="43">
        <v>14</v>
      </c>
      <c r="C492" s="43">
        <v>3</v>
      </c>
      <c r="D492" s="38" t="s">
        <v>614</v>
      </c>
      <c r="E492" s="44" t="s">
        <v>127</v>
      </c>
      <c r="F492" s="44" t="s">
        <v>20</v>
      </c>
      <c r="G492" s="44" t="s">
        <v>120</v>
      </c>
      <c r="H492" s="44" t="s">
        <v>63</v>
      </c>
      <c r="I492" s="44" t="s">
        <v>128</v>
      </c>
      <c r="J492" s="44" t="s">
        <v>15</v>
      </c>
      <c r="K492" s="44" t="s">
        <v>129</v>
      </c>
      <c r="L492" s="40">
        <v>1119</v>
      </c>
      <c r="M492" s="41">
        <v>41339</v>
      </c>
      <c r="N492" s="40" t="s">
        <v>122</v>
      </c>
      <c r="O492" s="42"/>
      <c r="P492" s="40"/>
      <c r="Q492" s="207">
        <f>'[3]AEP_OH_CS - test CSGS1MS'!G21</f>
        <v>42309</v>
      </c>
      <c r="R492" s="207">
        <f>'[3]AEP_OH_CS - test CSGS1MS'!H21</f>
        <v>42339</v>
      </c>
      <c r="S492" s="207">
        <f>'[3]AEP_OH_CS - test CSGS1MS'!I21</f>
        <v>42370</v>
      </c>
      <c r="T492" s="207">
        <f>'[3]AEP_OH_CS - test CSGS1MS'!J21</f>
        <v>42401</v>
      </c>
      <c r="U492" s="207">
        <f>'[3]AEP_OH_CS - test CSGS1MS'!K21</f>
        <v>42430</v>
      </c>
      <c r="V492" s="145"/>
    </row>
    <row r="493" spans="1:22" x14ac:dyDescent="0.2">
      <c r="A493" s="89">
        <f t="shared" si="19"/>
        <v>485</v>
      </c>
      <c r="B493" s="43">
        <v>14</v>
      </c>
      <c r="C493" s="43">
        <v>4</v>
      </c>
      <c r="D493" s="38" t="s">
        <v>615</v>
      </c>
      <c r="E493" s="44" t="s">
        <v>131</v>
      </c>
      <c r="F493" s="44" t="s">
        <v>20</v>
      </c>
      <c r="G493" s="44" t="s">
        <v>120</v>
      </c>
      <c r="H493" s="44" t="s">
        <v>63</v>
      </c>
      <c r="I493" s="44" t="s">
        <v>128</v>
      </c>
      <c r="J493" s="44" t="s">
        <v>21</v>
      </c>
      <c r="K493" s="44" t="s">
        <v>132</v>
      </c>
      <c r="L493" s="40">
        <v>1120</v>
      </c>
      <c r="M493" s="41">
        <v>41339</v>
      </c>
      <c r="N493" s="40" t="s">
        <v>122</v>
      </c>
      <c r="O493" s="42"/>
      <c r="P493" s="40"/>
      <c r="Q493" s="207">
        <f>'[3]AEP_OH_CS - test CSGS2UMS'!G21</f>
        <v>42309</v>
      </c>
      <c r="R493" s="207">
        <f>'[3]AEP_OH_CS - test CSGS2UMS'!H21</f>
        <v>42339</v>
      </c>
      <c r="S493" s="207">
        <f>'[3]AEP_OH_CS - test CSGS2UMS'!I21</f>
        <v>42370</v>
      </c>
      <c r="T493" s="207">
        <f>'[3]AEP_OH_CS - test CSGS2UMS'!J21</f>
        <v>42401</v>
      </c>
      <c r="U493" s="207">
        <f>'[3]AEP_OH_CS - test CSGS2UMS'!K21</f>
        <v>42430</v>
      </c>
      <c r="V493" s="145"/>
    </row>
    <row r="494" spans="1:22" x14ac:dyDescent="0.2">
      <c r="A494" s="89">
        <f t="shared" si="19"/>
        <v>486</v>
      </c>
      <c r="B494" s="43">
        <v>14</v>
      </c>
      <c r="C494" s="43">
        <v>5</v>
      </c>
      <c r="D494" s="38" t="s">
        <v>616</v>
      </c>
      <c r="E494" s="44" t="s">
        <v>134</v>
      </c>
      <c r="F494" s="44" t="s">
        <v>20</v>
      </c>
      <c r="G494" s="44" t="s">
        <v>120</v>
      </c>
      <c r="H494" s="44" t="s">
        <v>63</v>
      </c>
      <c r="I494" s="44" t="s">
        <v>128</v>
      </c>
      <c r="J494" s="44" t="s">
        <v>16</v>
      </c>
      <c r="K494" s="44" t="s">
        <v>135</v>
      </c>
      <c r="L494" s="40">
        <v>1121</v>
      </c>
      <c r="M494" s="41">
        <v>41339</v>
      </c>
      <c r="N494" s="40" t="s">
        <v>122</v>
      </c>
      <c r="O494" s="42"/>
      <c r="P494" s="40"/>
      <c r="Q494" s="207">
        <f>'[3]AEP_OH_CS - test CSGS3UMS'!G21</f>
        <v>42309</v>
      </c>
      <c r="R494" s="207">
        <f>'[3]AEP_OH_CS - test CSGS3UMS'!H21</f>
        <v>42339</v>
      </c>
      <c r="S494" s="207">
        <f>'[3]AEP_OH_CS - test CSGS3UMS'!I21</f>
        <v>42370</v>
      </c>
      <c r="T494" s="207">
        <f>'[3]AEP_OH_CS - test CSGS3UMS'!J21</f>
        <v>42401</v>
      </c>
      <c r="U494" s="207">
        <f>'[3]AEP_OH_CS - test CSGS3UMS'!K21</f>
        <v>42430</v>
      </c>
      <c r="V494" s="145"/>
    </row>
    <row r="495" spans="1:22" x14ac:dyDescent="0.2">
      <c r="A495" s="89">
        <f t="shared" si="19"/>
        <v>487</v>
      </c>
      <c r="B495" s="43">
        <v>14</v>
      </c>
      <c r="C495" s="43">
        <v>6</v>
      </c>
      <c r="D495" s="38" t="s">
        <v>617</v>
      </c>
      <c r="E495" s="44" t="s">
        <v>137</v>
      </c>
      <c r="F495" s="44" t="s">
        <v>25</v>
      </c>
      <c r="G495" s="44" t="s">
        <v>138</v>
      </c>
      <c r="H495" s="44" t="s">
        <v>139</v>
      </c>
      <c r="I495" s="44" t="s">
        <v>29</v>
      </c>
      <c r="J495" s="44" t="s">
        <v>30</v>
      </c>
      <c r="K495" s="44" t="s">
        <v>140</v>
      </c>
      <c r="L495" s="40">
        <v>1122</v>
      </c>
      <c r="M495" s="41">
        <v>41339</v>
      </c>
      <c r="N495" s="40" t="s">
        <v>122</v>
      </c>
      <c r="O495" s="42"/>
      <c r="P495" s="40"/>
      <c r="Q495" s="207">
        <f>'[3]Ameren RateZnIII LP DS2HHMS'!G21</f>
        <v>42309</v>
      </c>
      <c r="R495" s="207">
        <f>'[3]Ameren RateZnIII LP DS2HHMS'!H21</f>
        <v>42339</v>
      </c>
      <c r="S495" s="207">
        <f>'[3]Ameren RateZnIII LP DS2HHMS'!I21</f>
        <v>42370</v>
      </c>
      <c r="T495" s="207">
        <f>'[3]Ameren RateZnIII LP DS2HHMS'!J21</f>
        <v>42401</v>
      </c>
      <c r="U495" s="207">
        <f>'[3]Ameren RateZnIII LP DS2HHMS'!K21</f>
        <v>42430</v>
      </c>
      <c r="V495" s="145"/>
    </row>
    <row r="496" spans="1:22" x14ac:dyDescent="0.2">
      <c r="A496" s="89">
        <f t="shared" si="19"/>
        <v>488</v>
      </c>
      <c r="B496" s="43">
        <v>14</v>
      </c>
      <c r="C496" s="43">
        <v>7</v>
      </c>
      <c r="D496" s="38" t="s">
        <v>618</v>
      </c>
      <c r="E496" s="44" t="s">
        <v>142</v>
      </c>
      <c r="F496" s="44" t="s">
        <v>39</v>
      </c>
      <c r="G496" s="44" t="s">
        <v>120</v>
      </c>
      <c r="H496" s="44" t="s">
        <v>40</v>
      </c>
      <c r="I496" s="44" t="s">
        <v>40</v>
      </c>
      <c r="J496" s="44" t="s">
        <v>42</v>
      </c>
      <c r="K496" s="44" t="s">
        <v>135</v>
      </c>
      <c r="L496" s="40">
        <v>1124</v>
      </c>
      <c r="M496" s="41">
        <v>41339</v>
      </c>
      <c r="N496" s="40" t="s">
        <v>122</v>
      </c>
      <c r="O496" s="42"/>
      <c r="P496" s="40"/>
      <c r="Q496" s="207">
        <f>'[3]BGE LP_GLMS'!G21</f>
        <v>42309</v>
      </c>
      <c r="R496" s="207">
        <f>'[3]BGE LP_GLMS'!H21</f>
        <v>42339</v>
      </c>
      <c r="S496" s="207">
        <f>'[3]BGE LP_GLMS'!I21</f>
        <v>42370</v>
      </c>
      <c r="T496" s="207">
        <f>'[3]BGE LP_GLMS'!J21</f>
        <v>42401</v>
      </c>
      <c r="U496" s="207">
        <f>'[3]BGE LP_GLMS'!K21</f>
        <v>42430</v>
      </c>
      <c r="V496" s="145"/>
    </row>
    <row r="497" spans="1:22" x14ac:dyDescent="0.2">
      <c r="A497" s="89">
        <f t="shared" si="19"/>
        <v>489</v>
      </c>
      <c r="B497" s="43">
        <v>14</v>
      </c>
      <c r="C497" s="43">
        <v>8</v>
      </c>
      <c r="D497" s="38" t="s">
        <v>619</v>
      </c>
      <c r="E497" s="44" t="s">
        <v>144</v>
      </c>
      <c r="F497" s="44" t="s">
        <v>39</v>
      </c>
      <c r="G497" s="44" t="s">
        <v>120</v>
      </c>
      <c r="H497" s="44" t="s">
        <v>40</v>
      </c>
      <c r="I497" s="44" t="s">
        <v>40</v>
      </c>
      <c r="J497" s="44" t="s">
        <v>41</v>
      </c>
      <c r="K497" s="44" t="s">
        <v>132</v>
      </c>
      <c r="L497" s="40">
        <v>1123</v>
      </c>
      <c r="M497" s="41">
        <v>41339</v>
      </c>
      <c r="N497" s="40" t="s">
        <v>122</v>
      </c>
      <c r="O497" s="42"/>
      <c r="P497" s="40"/>
      <c r="Q497" s="207">
        <f>'[3]BGE LP_GMS'!G21</f>
        <v>42309</v>
      </c>
      <c r="R497" s="207">
        <f>'[3]BGE LP_GMS'!H21</f>
        <v>42339</v>
      </c>
      <c r="S497" s="207">
        <f>'[3]BGE LP_GMS'!I21</f>
        <v>42370</v>
      </c>
      <c r="T497" s="207">
        <f>'[3]BGE LP_GMS'!J21</f>
        <v>42401</v>
      </c>
      <c r="U497" s="207">
        <f>'[3]BGE LP_GMS'!K21</f>
        <v>42430</v>
      </c>
      <c r="V497" s="145"/>
    </row>
    <row r="498" spans="1:22" x14ac:dyDescent="0.2">
      <c r="A498" s="89">
        <f t="shared" si="19"/>
        <v>490</v>
      </c>
      <c r="B498" s="43">
        <v>14</v>
      </c>
      <c r="C498" s="43">
        <v>9</v>
      </c>
      <c r="D498" s="38" t="s">
        <v>620</v>
      </c>
      <c r="E498" s="44" t="s">
        <v>146</v>
      </c>
      <c r="F498" s="44" t="s">
        <v>39</v>
      </c>
      <c r="G498" s="44" t="s">
        <v>120</v>
      </c>
      <c r="H498" s="44" t="s">
        <v>40</v>
      </c>
      <c r="I498" s="44" t="s">
        <v>40</v>
      </c>
      <c r="J498" s="44" t="s">
        <v>7</v>
      </c>
      <c r="K498" s="44" t="s">
        <v>129</v>
      </c>
      <c r="L498" s="40">
        <v>1125</v>
      </c>
      <c r="M498" s="41">
        <v>41339</v>
      </c>
      <c r="N498" s="40" t="s">
        <v>122</v>
      </c>
      <c r="O498" s="42"/>
      <c r="P498" s="40"/>
      <c r="Q498" s="207">
        <f>'[3]BGE LP_GSMS'!G21</f>
        <v>42309</v>
      </c>
      <c r="R498" s="207">
        <f>'[3]BGE LP_GSMS'!H21</f>
        <v>42339</v>
      </c>
      <c r="S498" s="207">
        <f>'[3]BGE LP_GSMS'!I21</f>
        <v>42370</v>
      </c>
      <c r="T498" s="207">
        <f>'[3]BGE LP_GSMS'!J21</f>
        <v>42401</v>
      </c>
      <c r="U498" s="207">
        <f>'[3]BGE LP_GSMS'!K21</f>
        <v>42430</v>
      </c>
      <c r="V498" s="145"/>
    </row>
    <row r="499" spans="1:22" x14ac:dyDescent="0.2">
      <c r="A499" s="89">
        <f t="shared" si="19"/>
        <v>491</v>
      </c>
      <c r="B499" s="43">
        <v>14</v>
      </c>
      <c r="C499" s="43">
        <v>10</v>
      </c>
      <c r="D499" s="38" t="s">
        <v>621</v>
      </c>
      <c r="E499" s="44" t="s">
        <v>148</v>
      </c>
      <c r="F499" s="44" t="s">
        <v>25</v>
      </c>
      <c r="G499" s="44" t="s">
        <v>120</v>
      </c>
      <c r="H499" s="44" t="s">
        <v>149</v>
      </c>
      <c r="I499" s="44" t="s">
        <v>26</v>
      </c>
      <c r="J499" s="44" t="s">
        <v>27</v>
      </c>
      <c r="K499" s="44" t="s">
        <v>150</v>
      </c>
      <c r="L499" s="40">
        <v>1126</v>
      </c>
      <c r="M499" s="41">
        <v>41339</v>
      </c>
      <c r="N499" s="40" t="s">
        <v>122</v>
      </c>
      <c r="O499" s="42"/>
      <c r="P499" s="40"/>
      <c r="Q499" s="207">
        <f>'[3]ComEd - test LP_28MS'!G21</f>
        <v>42309</v>
      </c>
      <c r="R499" s="207">
        <f>'[3]ComEd - test LP_28MS'!H21</f>
        <v>42339</v>
      </c>
      <c r="S499" s="207">
        <f>'[3]ComEd - test LP_28MS'!I21</f>
        <v>42370</v>
      </c>
      <c r="T499" s="207">
        <f>'[3]ComEd - test LP_28MS'!J21</f>
        <v>42401</v>
      </c>
      <c r="U499" s="207">
        <f>'[3]ComEd - test LP_28MS'!K21</f>
        <v>42430</v>
      </c>
      <c r="V499" s="145"/>
    </row>
    <row r="500" spans="1:22" x14ac:dyDescent="0.2">
      <c r="A500" s="89">
        <f t="shared" si="19"/>
        <v>492</v>
      </c>
      <c r="B500" s="43">
        <v>14</v>
      </c>
      <c r="C500" s="43">
        <v>11</v>
      </c>
      <c r="D500" s="38" t="s">
        <v>622</v>
      </c>
      <c r="E500" s="44" t="s">
        <v>152</v>
      </c>
      <c r="F500" s="44" t="s">
        <v>25</v>
      </c>
      <c r="G500" s="44" t="s">
        <v>120</v>
      </c>
      <c r="H500" s="44" t="s">
        <v>149</v>
      </c>
      <c r="I500" s="44" t="s">
        <v>26</v>
      </c>
      <c r="J500" s="44" t="s">
        <v>28</v>
      </c>
      <c r="K500" s="44" t="s">
        <v>153</v>
      </c>
      <c r="L500" s="40">
        <v>1127</v>
      </c>
      <c r="M500" s="41">
        <v>41339</v>
      </c>
      <c r="N500" s="40" t="s">
        <v>122</v>
      </c>
      <c r="O500" s="42"/>
      <c r="P500" s="40"/>
      <c r="Q500" s="207">
        <f>'[3]ComEd - test LP_29MS'!G21</f>
        <v>42309</v>
      </c>
      <c r="R500" s="207">
        <f>'[3]ComEd - test LP_29MS'!H21</f>
        <v>42339</v>
      </c>
      <c r="S500" s="207">
        <f>'[3]ComEd - test LP_29MS'!I21</f>
        <v>42370</v>
      </c>
      <c r="T500" s="207">
        <f>'[3]ComEd - test LP_29MS'!J21</f>
        <v>42401</v>
      </c>
      <c r="U500" s="207">
        <f>'[3]ComEd - test LP_29MS'!K21</f>
        <v>42430</v>
      </c>
      <c r="V500" s="145"/>
    </row>
    <row r="501" spans="1:22" x14ac:dyDescent="0.2">
      <c r="A501" s="89">
        <f t="shared" si="19"/>
        <v>493</v>
      </c>
      <c r="B501" s="43">
        <v>14</v>
      </c>
      <c r="C501" s="43">
        <v>12</v>
      </c>
      <c r="D501" s="38" t="s">
        <v>623</v>
      </c>
      <c r="E501" s="44" t="s">
        <v>155</v>
      </c>
      <c r="F501" s="44" t="s">
        <v>20</v>
      </c>
      <c r="G501" s="44" t="s">
        <v>120</v>
      </c>
      <c r="H501" s="44" t="s">
        <v>105</v>
      </c>
      <c r="I501" s="44" t="s">
        <v>156</v>
      </c>
      <c r="J501" s="44" t="s">
        <v>22</v>
      </c>
      <c r="K501" s="44" t="s">
        <v>157</v>
      </c>
      <c r="L501" s="40">
        <v>1128</v>
      </c>
      <c r="M501" s="41">
        <v>41339</v>
      </c>
      <c r="N501" s="40" t="s">
        <v>122</v>
      </c>
      <c r="O501" s="42"/>
      <c r="P501" s="40"/>
      <c r="Q501" s="207">
        <f>[3]DAY_RC_843MS!G21</f>
        <v>42309</v>
      </c>
      <c r="R501" s="207">
        <f>[3]DAY_RC_843MS!H21</f>
        <v>42339</v>
      </c>
      <c r="S501" s="207">
        <f>[3]DAY_RC_843MS!I21</f>
        <v>42370</v>
      </c>
      <c r="T501" s="207">
        <f>[3]DAY_RC_843MS!J21</f>
        <v>42401</v>
      </c>
      <c r="U501" s="207">
        <f>[3]DAY_RC_843MS!K21</f>
        <v>42430</v>
      </c>
      <c r="V501" s="145"/>
    </row>
    <row r="502" spans="1:22" x14ac:dyDescent="0.2">
      <c r="A502" s="89">
        <f t="shared" si="19"/>
        <v>494</v>
      </c>
      <c r="B502" s="43">
        <v>14</v>
      </c>
      <c r="C502" s="43">
        <v>13</v>
      </c>
      <c r="D502" s="38" t="s">
        <v>624</v>
      </c>
      <c r="E502" s="44" t="s">
        <v>159</v>
      </c>
      <c r="F502" s="44" t="s">
        <v>39</v>
      </c>
      <c r="G502" s="44" t="s">
        <v>120</v>
      </c>
      <c r="H502" s="44" t="s">
        <v>43</v>
      </c>
      <c r="I502" s="44" t="s">
        <v>43</v>
      </c>
      <c r="J502" s="44" t="s">
        <v>7</v>
      </c>
      <c r="K502" s="44" t="s">
        <v>140</v>
      </c>
      <c r="L502" s="40">
        <v>1129</v>
      </c>
      <c r="M502" s="41">
        <v>41339</v>
      </c>
      <c r="N502" s="40" t="s">
        <v>122</v>
      </c>
      <c r="O502" s="42"/>
      <c r="P502" s="40"/>
      <c r="Q502" s="207">
        <f>'[3]Delmarva MD LP_MDGS_MMS'!G21</f>
        <v>42309</v>
      </c>
      <c r="R502" s="207">
        <f>'[3]Delmarva MD LP_MDGS_MMS'!H21</f>
        <v>42339</v>
      </c>
      <c r="S502" s="207">
        <f>'[3]Delmarva MD LP_MDGS_MMS'!I21</f>
        <v>42370</v>
      </c>
      <c r="T502" s="207">
        <f>'[3]Delmarva MD LP_MDGS_MMS'!J21</f>
        <v>42401</v>
      </c>
      <c r="U502" s="207">
        <f>'[3]Delmarva MD LP_MDGS_MMS'!K21</f>
        <v>42430</v>
      </c>
      <c r="V502" s="145"/>
    </row>
    <row r="503" spans="1:22" x14ac:dyDescent="0.2">
      <c r="A503" s="89">
        <f t="shared" si="19"/>
        <v>495</v>
      </c>
      <c r="B503" s="43">
        <v>14</v>
      </c>
      <c r="C503" s="43">
        <v>14</v>
      </c>
      <c r="D503" s="38" t="s">
        <v>625</v>
      </c>
      <c r="E503" s="44" t="s">
        <v>161</v>
      </c>
      <c r="F503" s="44" t="s">
        <v>6</v>
      </c>
      <c r="G503" s="44" t="s">
        <v>120</v>
      </c>
      <c r="H503" s="44" t="s">
        <v>48</v>
      </c>
      <c r="I503" s="44" t="s">
        <v>48</v>
      </c>
      <c r="J503" s="44" t="s">
        <v>7</v>
      </c>
      <c r="K503" s="44" t="s">
        <v>140</v>
      </c>
      <c r="L503" s="40">
        <v>1130</v>
      </c>
      <c r="M503" s="41">
        <v>41339</v>
      </c>
      <c r="N503" s="40" t="s">
        <v>122</v>
      </c>
      <c r="O503" s="42"/>
      <c r="P503" s="40"/>
      <c r="Q503" s="207">
        <f>'[3]DQE LP_GSGM_MMS'!G21</f>
        <v>42309</v>
      </c>
      <c r="R503" s="207">
        <f>'[3]DQE LP_GSGM_MMS'!H21</f>
        <v>42339</v>
      </c>
      <c r="S503" s="207">
        <f>'[3]DQE LP_GSGM_MMS'!I21</f>
        <v>42370</v>
      </c>
      <c r="T503" s="207">
        <f>'[3]DQE LP_GSGM_MMS'!J21</f>
        <v>42401</v>
      </c>
      <c r="U503" s="207">
        <f>'[3]DQE LP_GSGM_MMS'!K21</f>
        <v>42430</v>
      </c>
      <c r="V503" s="145"/>
    </row>
    <row r="504" spans="1:22" x14ac:dyDescent="0.2">
      <c r="A504" s="89">
        <f t="shared" si="19"/>
        <v>496</v>
      </c>
      <c r="B504" s="43">
        <v>14</v>
      </c>
      <c r="C504" s="43">
        <v>15</v>
      </c>
      <c r="D504" s="38" t="s">
        <v>626</v>
      </c>
      <c r="E504" s="44" t="s">
        <v>163</v>
      </c>
      <c r="F504" s="44" t="s">
        <v>20</v>
      </c>
      <c r="G504" s="44" t="s">
        <v>120</v>
      </c>
      <c r="H504" s="44" t="s">
        <v>23</v>
      </c>
      <c r="I504" s="44" t="s">
        <v>164</v>
      </c>
      <c r="J504" s="44" t="s">
        <v>24</v>
      </c>
      <c r="K504" s="44" t="s">
        <v>140</v>
      </c>
      <c r="L504" s="40">
        <v>1131</v>
      </c>
      <c r="M504" s="41">
        <v>41339</v>
      </c>
      <c r="N504" s="40" t="s">
        <v>122</v>
      </c>
      <c r="O504" s="42"/>
      <c r="P504" s="40"/>
      <c r="Q504" s="207">
        <f>[3]Duke_OH_RC_DS01MS!G21</f>
        <v>42309</v>
      </c>
      <c r="R504" s="207">
        <f>[3]Duke_OH_RC_DS01MS!H21</f>
        <v>42339</v>
      </c>
      <c r="S504" s="207">
        <f>[3]Duke_OH_RC_DS01MS!I21</f>
        <v>42370</v>
      </c>
      <c r="T504" s="207">
        <f>[3]Duke_OH_RC_DS01MS!J21</f>
        <v>42401</v>
      </c>
      <c r="U504" s="207">
        <f>[3]Duke_OH_RC_DS01MS!K21</f>
        <v>42430</v>
      </c>
      <c r="V504" s="145"/>
    </row>
    <row r="505" spans="1:22" x14ac:dyDescent="0.2">
      <c r="A505" s="89">
        <f t="shared" si="19"/>
        <v>497</v>
      </c>
      <c r="B505" s="43">
        <v>14</v>
      </c>
      <c r="C505" s="43">
        <v>16</v>
      </c>
      <c r="D505" s="38" t="s">
        <v>627</v>
      </c>
      <c r="E505" s="44" t="s">
        <v>166</v>
      </c>
      <c r="F505" s="44" t="s">
        <v>20</v>
      </c>
      <c r="G505" s="44" t="s">
        <v>120</v>
      </c>
      <c r="H505" s="44" t="s">
        <v>64</v>
      </c>
      <c r="I505" s="44" t="s">
        <v>167</v>
      </c>
      <c r="J505" s="44" t="s">
        <v>7</v>
      </c>
      <c r="K505" s="44" t="s">
        <v>140</v>
      </c>
      <c r="L505" s="40">
        <v>1132</v>
      </c>
      <c r="M505" s="41">
        <v>41339</v>
      </c>
      <c r="N505" s="40" t="s">
        <v>122</v>
      </c>
      <c r="O505" s="42"/>
      <c r="P505" s="40"/>
      <c r="Q505" s="207">
        <f>'[3]FE_OE - test RC_GSFMS'!G21</f>
        <v>42309</v>
      </c>
      <c r="R505" s="207">
        <f>'[3]FE_OE - test RC_GSFMS'!H21</f>
        <v>42339</v>
      </c>
      <c r="S505" s="207">
        <f>'[3]FE_OE - test RC_GSFMS'!I21</f>
        <v>42370</v>
      </c>
      <c r="T505" s="207">
        <f>'[3]FE_OE - test RC_GSFMS'!J21</f>
        <v>42401</v>
      </c>
      <c r="U505" s="207">
        <f>'[3]FE_OE - test RC_GSFMS'!K21</f>
        <v>42430</v>
      </c>
      <c r="V505" s="145"/>
    </row>
    <row r="506" spans="1:22" x14ac:dyDescent="0.2">
      <c r="A506" s="89">
        <f t="shared" si="19"/>
        <v>498</v>
      </c>
      <c r="B506" s="43">
        <v>14</v>
      </c>
      <c r="C506" s="43">
        <v>17</v>
      </c>
      <c r="D506" s="38" t="s">
        <v>628</v>
      </c>
      <c r="E506" s="44" t="s">
        <v>169</v>
      </c>
      <c r="F506" s="44" t="s">
        <v>31</v>
      </c>
      <c r="G506" s="44" t="s">
        <v>120</v>
      </c>
      <c r="H506" s="44" t="s">
        <v>35</v>
      </c>
      <c r="I506" s="44" t="s">
        <v>35</v>
      </c>
      <c r="J506" s="44" t="s">
        <v>9</v>
      </c>
      <c r="K506" s="44" t="s">
        <v>135</v>
      </c>
      <c r="L506" s="40">
        <v>1133</v>
      </c>
      <c r="M506" s="41">
        <v>41339</v>
      </c>
      <c r="N506" s="40" t="s">
        <v>122</v>
      </c>
      <c r="O506" s="42"/>
      <c r="P506" s="40"/>
      <c r="Q506" s="207">
        <f>'[3]JCPL LP_GSCLMS'!G21</f>
        <v>42309</v>
      </c>
      <c r="R506" s="207">
        <f>'[3]JCPL LP_GSCLMS'!H21</f>
        <v>42339</v>
      </c>
      <c r="S506" s="207">
        <f>'[3]JCPL LP_GSCLMS'!I21</f>
        <v>42370</v>
      </c>
      <c r="T506" s="207">
        <f>'[3]JCPL LP_GSCLMS'!J21</f>
        <v>42401</v>
      </c>
      <c r="U506" s="207">
        <f>'[3]JCPL LP_GSCLMS'!K21</f>
        <v>42430</v>
      </c>
      <c r="V506" s="145"/>
    </row>
    <row r="507" spans="1:22" x14ac:dyDescent="0.2">
      <c r="A507" s="89">
        <f t="shared" si="19"/>
        <v>499</v>
      </c>
      <c r="B507" s="43">
        <v>14</v>
      </c>
      <c r="C507" s="43">
        <v>18</v>
      </c>
      <c r="D507" s="38" t="s">
        <v>629</v>
      </c>
      <c r="E507" s="44" t="s">
        <v>171</v>
      </c>
      <c r="F507" s="44" t="s">
        <v>31</v>
      </c>
      <c r="G507" s="44" t="s">
        <v>120</v>
      </c>
      <c r="H507" s="44" t="s">
        <v>35</v>
      </c>
      <c r="I507" s="44" t="s">
        <v>35</v>
      </c>
      <c r="J507" s="44" t="s">
        <v>10</v>
      </c>
      <c r="K507" s="44" t="s">
        <v>132</v>
      </c>
      <c r="L507" s="40">
        <v>1134</v>
      </c>
      <c r="M507" s="41">
        <v>41339</v>
      </c>
      <c r="N507" s="40" t="s">
        <v>122</v>
      </c>
      <c r="O507" s="42"/>
      <c r="P507" s="40"/>
      <c r="Q507" s="207">
        <f>'[3]JCPL LP_GSCMMS'!G21</f>
        <v>42309</v>
      </c>
      <c r="R507" s="207">
        <f>'[3]JCPL LP_GSCMMS'!H21</f>
        <v>42339</v>
      </c>
      <c r="S507" s="207">
        <f>'[3]JCPL LP_GSCMMS'!I21</f>
        <v>42370</v>
      </c>
      <c r="T507" s="207">
        <f>'[3]JCPL LP_GSCMMS'!J21</f>
        <v>42401</v>
      </c>
      <c r="U507" s="207">
        <f>'[3]JCPL LP_GSCMMS'!K21</f>
        <v>42430</v>
      </c>
      <c r="V507" s="145"/>
    </row>
    <row r="508" spans="1:22" x14ac:dyDescent="0.2">
      <c r="A508" s="89">
        <f t="shared" si="19"/>
        <v>500</v>
      </c>
      <c r="B508" s="43">
        <v>14</v>
      </c>
      <c r="C508" s="43">
        <v>19</v>
      </c>
      <c r="D508" s="38" t="s">
        <v>630</v>
      </c>
      <c r="E508" s="44" t="s">
        <v>173</v>
      </c>
      <c r="F508" s="44" t="s">
        <v>31</v>
      </c>
      <c r="G508" s="44" t="s">
        <v>120</v>
      </c>
      <c r="H508" s="44" t="s">
        <v>35</v>
      </c>
      <c r="I508" s="44" t="s">
        <v>35</v>
      </c>
      <c r="J508" s="44" t="s">
        <v>11</v>
      </c>
      <c r="K508" s="44" t="s">
        <v>129</v>
      </c>
      <c r="L508" s="40">
        <v>1135</v>
      </c>
      <c r="M508" s="41">
        <v>41339</v>
      </c>
      <c r="N508" s="40" t="s">
        <v>122</v>
      </c>
      <c r="O508" s="42"/>
      <c r="P508" s="40"/>
      <c r="Q508" s="207">
        <f>'[3]JCPL LP_GSCSMS'!G21</f>
        <v>42309</v>
      </c>
      <c r="R508" s="207">
        <f>'[3]JCPL LP_GSCSMS'!H21</f>
        <v>42339</v>
      </c>
      <c r="S508" s="207">
        <f>'[3]JCPL LP_GSCSMS'!I21</f>
        <v>42370</v>
      </c>
      <c r="T508" s="207">
        <f>'[3]JCPL LP_GSCSMS'!J21</f>
        <v>42401</v>
      </c>
      <c r="U508" s="207">
        <f>'[3]JCPL LP_GSCSMS'!K21</f>
        <v>42430</v>
      </c>
      <c r="V508" s="145"/>
    </row>
    <row r="509" spans="1:22" x14ac:dyDescent="0.2">
      <c r="A509" s="89">
        <f t="shared" si="19"/>
        <v>501</v>
      </c>
      <c r="B509" s="43">
        <v>14</v>
      </c>
      <c r="C509" s="43">
        <v>20</v>
      </c>
      <c r="D509" s="38" t="s">
        <v>631</v>
      </c>
      <c r="E509" s="44" t="s">
        <v>175</v>
      </c>
      <c r="F509" s="44" t="s">
        <v>6</v>
      </c>
      <c r="G509" s="44" t="s">
        <v>120</v>
      </c>
      <c r="H509" s="44" t="s">
        <v>176</v>
      </c>
      <c r="I509" s="44" t="s">
        <v>177</v>
      </c>
      <c r="J509" s="44" t="s">
        <v>9</v>
      </c>
      <c r="K509" s="44" t="s">
        <v>135</v>
      </c>
      <c r="L509" s="40">
        <v>1137</v>
      </c>
      <c r="M509" s="41">
        <v>41339</v>
      </c>
      <c r="N509" s="40" t="s">
        <v>122</v>
      </c>
      <c r="O509" s="42"/>
      <c r="P509" s="40"/>
      <c r="Q509" s="207">
        <f>'[3]MetEd RC_GSLFMS'!G21</f>
        <v>42309</v>
      </c>
      <c r="R509" s="207">
        <f>'[3]MetEd RC_GSLFMS'!H21</f>
        <v>42339</v>
      </c>
      <c r="S509" s="207">
        <f>'[3]MetEd RC_GSLFMS'!I21</f>
        <v>42370</v>
      </c>
      <c r="T509" s="207">
        <f>'[3]MetEd RC_GSLFMS'!J21</f>
        <v>42401</v>
      </c>
      <c r="U509" s="207">
        <f>'[3]MetEd RC_GSLFMS'!K21</f>
        <v>42430</v>
      </c>
      <c r="V509" s="145"/>
    </row>
    <row r="510" spans="1:22" x14ac:dyDescent="0.2">
      <c r="A510" s="89">
        <f t="shared" si="19"/>
        <v>502</v>
      </c>
      <c r="B510" s="43">
        <v>14</v>
      </c>
      <c r="C510" s="43">
        <v>21</v>
      </c>
      <c r="D510" s="38" t="s">
        <v>632</v>
      </c>
      <c r="E510" s="44" t="s">
        <v>179</v>
      </c>
      <c r="F510" s="44" t="s">
        <v>6</v>
      </c>
      <c r="G510" s="44" t="s">
        <v>120</v>
      </c>
      <c r="H510" s="44" t="s">
        <v>176</v>
      </c>
      <c r="I510" s="44" t="s">
        <v>177</v>
      </c>
      <c r="J510" s="44" t="s">
        <v>10</v>
      </c>
      <c r="K510" s="44" t="s">
        <v>132</v>
      </c>
      <c r="L510" s="40">
        <v>1136</v>
      </c>
      <c r="M510" s="41">
        <v>41339</v>
      </c>
      <c r="N510" s="40" t="s">
        <v>122</v>
      </c>
      <c r="O510" s="42"/>
      <c r="P510" s="40"/>
      <c r="Q510" s="207">
        <f>'[3]MetEd RC_GSDFMS'!G21</f>
        <v>42309</v>
      </c>
      <c r="R510" s="207">
        <f>'[3]MetEd RC_GSDFMS'!H21</f>
        <v>42339</v>
      </c>
      <c r="S510" s="207">
        <f>'[3]MetEd RC_GSDFMS'!I21</f>
        <v>42370</v>
      </c>
      <c r="T510" s="207">
        <f>'[3]MetEd RC_GSDFMS'!J21</f>
        <v>42401</v>
      </c>
      <c r="U510" s="207">
        <f>'[3]MetEd RC_GSDFMS'!K21</f>
        <v>42430</v>
      </c>
      <c r="V510" s="145"/>
    </row>
    <row r="511" spans="1:22" x14ac:dyDescent="0.2">
      <c r="A511" s="89">
        <f t="shared" si="19"/>
        <v>503</v>
      </c>
      <c r="B511" s="43">
        <v>14</v>
      </c>
      <c r="C511" s="43">
        <v>22</v>
      </c>
      <c r="D511" s="38" t="s">
        <v>633</v>
      </c>
      <c r="E511" s="44" t="s">
        <v>181</v>
      </c>
      <c r="F511" s="44" t="s">
        <v>6</v>
      </c>
      <c r="G511" s="44" t="s">
        <v>120</v>
      </c>
      <c r="H511" s="44" t="s">
        <v>176</v>
      </c>
      <c r="I511" s="44" t="s">
        <v>177</v>
      </c>
      <c r="J511" s="44" t="s">
        <v>11</v>
      </c>
      <c r="K511" s="44" t="s">
        <v>129</v>
      </c>
      <c r="L511" s="40">
        <v>1138</v>
      </c>
      <c r="M511" s="41">
        <v>41339</v>
      </c>
      <c r="N511" s="40" t="s">
        <v>122</v>
      </c>
      <c r="O511" s="42"/>
      <c r="P511" s="40"/>
      <c r="Q511" s="207">
        <f>'[3]MetEd RC_GSSFMS'!G21</f>
        <v>42309</v>
      </c>
      <c r="R511" s="207">
        <f>'[3]MetEd RC_GSSFMS'!H21</f>
        <v>42339</v>
      </c>
      <c r="S511" s="207">
        <f>'[3]MetEd RC_GSSFMS'!I21</f>
        <v>42370</v>
      </c>
      <c r="T511" s="207">
        <f>'[3]MetEd RC_GSSFMS'!J21</f>
        <v>42401</v>
      </c>
      <c r="U511" s="207">
        <f>'[3]MetEd RC_GSSFMS'!K21</f>
        <v>42430</v>
      </c>
      <c r="V511" s="145"/>
    </row>
    <row r="512" spans="1:22" x14ac:dyDescent="0.2">
      <c r="A512" s="89">
        <f t="shared" si="19"/>
        <v>504</v>
      </c>
      <c r="B512" s="43">
        <v>14</v>
      </c>
      <c r="C512" s="43">
        <v>23</v>
      </c>
      <c r="D512" s="38" t="s">
        <v>634</v>
      </c>
      <c r="E512" s="44" t="s">
        <v>183</v>
      </c>
      <c r="F512" s="44" t="s">
        <v>6</v>
      </c>
      <c r="G512" s="44" t="s">
        <v>120</v>
      </c>
      <c r="H512" s="44" t="s">
        <v>13</v>
      </c>
      <c r="I512" s="44" t="s">
        <v>13</v>
      </c>
      <c r="J512" s="44" t="s">
        <v>7</v>
      </c>
      <c r="K512" s="44" t="s">
        <v>140</v>
      </c>
      <c r="L512" s="40">
        <v>1139</v>
      </c>
      <c r="M512" s="41">
        <v>41339</v>
      </c>
      <c r="N512" s="40" t="s">
        <v>122</v>
      </c>
      <c r="O512" s="42"/>
      <c r="P512" s="40"/>
      <c r="Q512" s="207">
        <f>'[3]PECO LP_GSMS'!G21</f>
        <v>42309</v>
      </c>
      <c r="R512" s="207">
        <f>'[3]PECO LP_GSMS'!H21</f>
        <v>42339</v>
      </c>
      <c r="S512" s="207">
        <f>'[3]PECO LP_GSMS'!I21</f>
        <v>42370</v>
      </c>
      <c r="T512" s="207">
        <f>'[3]PECO LP_GSMS'!J21</f>
        <v>42401</v>
      </c>
      <c r="U512" s="207">
        <f>'[3]PECO LP_GSMS'!K21</f>
        <v>42430</v>
      </c>
      <c r="V512" s="145"/>
    </row>
    <row r="513" spans="1:22" x14ac:dyDescent="0.2">
      <c r="A513" s="89">
        <f t="shared" si="19"/>
        <v>505</v>
      </c>
      <c r="B513" s="43">
        <v>14</v>
      </c>
      <c r="C513" s="43">
        <v>24</v>
      </c>
      <c r="D513" s="38" t="s">
        <v>635</v>
      </c>
      <c r="E513" s="44" t="s">
        <v>185</v>
      </c>
      <c r="F513" s="44" t="s">
        <v>6</v>
      </c>
      <c r="G513" s="44" t="s">
        <v>120</v>
      </c>
      <c r="H513" s="44" t="s">
        <v>12</v>
      </c>
      <c r="I513" s="44" t="s">
        <v>186</v>
      </c>
      <c r="J513" s="44" t="s">
        <v>9</v>
      </c>
      <c r="K513" s="44" t="s">
        <v>135</v>
      </c>
      <c r="L513" s="40">
        <v>1140</v>
      </c>
      <c r="M513" s="41">
        <v>41339</v>
      </c>
      <c r="N513" s="40" t="s">
        <v>122</v>
      </c>
      <c r="O513" s="42"/>
      <c r="P513" s="40"/>
      <c r="Q513" s="207">
        <f>'[3]Penelec RC_GSLFMS'!G21</f>
        <v>42309</v>
      </c>
      <c r="R513" s="207">
        <f>'[3]Penelec RC_GSLFMS'!H21</f>
        <v>42339</v>
      </c>
      <c r="S513" s="207">
        <f>'[3]Penelec RC_GSLFMS'!I21</f>
        <v>42370</v>
      </c>
      <c r="T513" s="207">
        <f>'[3]Penelec RC_GSLFMS'!J21</f>
        <v>42401</v>
      </c>
      <c r="U513" s="207">
        <f>'[3]Penelec RC_GSLFMS'!K21</f>
        <v>42430</v>
      </c>
      <c r="V513" s="145"/>
    </row>
    <row r="514" spans="1:22" x14ac:dyDescent="0.2">
      <c r="A514" s="89">
        <f t="shared" si="19"/>
        <v>506</v>
      </c>
      <c r="B514" s="43">
        <v>14</v>
      </c>
      <c r="C514" s="43">
        <v>25</v>
      </c>
      <c r="D514" s="38" t="s">
        <v>636</v>
      </c>
      <c r="E514" s="44" t="s">
        <v>188</v>
      </c>
      <c r="F514" s="44" t="s">
        <v>6</v>
      </c>
      <c r="G514" s="44" t="s">
        <v>120</v>
      </c>
      <c r="H514" s="44" t="s">
        <v>12</v>
      </c>
      <c r="I514" s="44" t="s">
        <v>186</v>
      </c>
      <c r="J514" s="44" t="s">
        <v>10</v>
      </c>
      <c r="K514" s="44" t="s">
        <v>132</v>
      </c>
      <c r="L514" s="40">
        <v>1141</v>
      </c>
      <c r="M514" s="41">
        <v>41339</v>
      </c>
      <c r="N514" s="40" t="s">
        <v>122</v>
      </c>
      <c r="O514" s="42"/>
      <c r="P514" s="40"/>
      <c r="Q514" s="207">
        <f>'[3]Penelec RC_GSMFMS'!G21</f>
        <v>42309</v>
      </c>
      <c r="R514" s="207">
        <f>'[3]Penelec RC_GSMFMS'!H21</f>
        <v>42339</v>
      </c>
      <c r="S514" s="207">
        <f>'[3]Penelec RC_GSMFMS'!I21</f>
        <v>42370</v>
      </c>
      <c r="T514" s="207">
        <f>'[3]Penelec RC_GSMFMS'!J21</f>
        <v>42401</v>
      </c>
      <c r="U514" s="207">
        <f>'[3]Penelec RC_GSMFMS'!K21</f>
        <v>42430</v>
      </c>
      <c r="V514" s="145"/>
    </row>
    <row r="515" spans="1:22" x14ac:dyDescent="0.2">
      <c r="A515" s="89">
        <f t="shared" si="19"/>
        <v>507</v>
      </c>
      <c r="B515" s="43">
        <v>14</v>
      </c>
      <c r="C515" s="43">
        <v>26</v>
      </c>
      <c r="D515" s="38" t="s">
        <v>637</v>
      </c>
      <c r="E515" s="44" t="s">
        <v>190</v>
      </c>
      <c r="F515" s="44" t="s">
        <v>6</v>
      </c>
      <c r="G515" s="44" t="s">
        <v>120</v>
      </c>
      <c r="H515" s="44" t="s">
        <v>12</v>
      </c>
      <c r="I515" s="44" t="s">
        <v>186</v>
      </c>
      <c r="J515" s="44" t="s">
        <v>11</v>
      </c>
      <c r="K515" s="44" t="s">
        <v>129</v>
      </c>
      <c r="L515" s="40">
        <v>1142</v>
      </c>
      <c r="M515" s="41">
        <v>41339</v>
      </c>
      <c r="N515" s="40" t="s">
        <v>122</v>
      </c>
      <c r="O515" s="42"/>
      <c r="P515" s="40"/>
      <c r="Q515" s="207">
        <f>'[3]Penelec RC_GSSFMS'!G21</f>
        <v>42309</v>
      </c>
      <c r="R515" s="207">
        <f>'[3]Penelec RC_GSSFMS'!H21</f>
        <v>42339</v>
      </c>
      <c r="S515" s="207">
        <f>'[3]Penelec RC_GSSFMS'!I21</f>
        <v>42370</v>
      </c>
      <c r="T515" s="207">
        <f>'[3]Penelec RC_GSSFMS'!J21</f>
        <v>42401</v>
      </c>
      <c r="U515" s="207">
        <f>'[3]Penelec RC_GSSFMS'!K21</f>
        <v>42430</v>
      </c>
      <c r="V515" s="145"/>
    </row>
    <row r="516" spans="1:22" x14ac:dyDescent="0.2">
      <c r="A516" s="89">
        <f t="shared" si="19"/>
        <v>508</v>
      </c>
      <c r="B516" s="43">
        <v>14</v>
      </c>
      <c r="C516" s="43">
        <v>27</v>
      </c>
      <c r="D516" s="38" t="s">
        <v>638</v>
      </c>
      <c r="E516" s="44" t="s">
        <v>192</v>
      </c>
      <c r="F516" s="44" t="s">
        <v>6</v>
      </c>
      <c r="G516" s="44" t="s">
        <v>120</v>
      </c>
      <c r="H516" s="44" t="s">
        <v>100</v>
      </c>
      <c r="I516" s="44" t="s">
        <v>193</v>
      </c>
      <c r="J516" s="44" t="s">
        <v>7</v>
      </c>
      <c r="K516" s="44" t="s">
        <v>140</v>
      </c>
      <c r="L516" s="40">
        <v>1143</v>
      </c>
      <c r="M516" s="41">
        <v>41339</v>
      </c>
      <c r="N516" s="40" t="s">
        <v>122</v>
      </c>
      <c r="O516" s="42"/>
      <c r="P516" s="40"/>
      <c r="Q516" s="207">
        <f>'[3]Penn Power RC_GMDMS'!G21</f>
        <v>42309</v>
      </c>
      <c r="R516" s="207">
        <f>'[3]Penn Power RC_GMDMS'!H21</f>
        <v>42339</v>
      </c>
      <c r="S516" s="207">
        <f>'[3]Penn Power RC_GMDMS'!I21</f>
        <v>42370</v>
      </c>
      <c r="T516" s="207">
        <f>'[3]Penn Power RC_GMDMS'!J21</f>
        <v>42401</v>
      </c>
      <c r="U516" s="207">
        <f>'[3]Penn Power RC_GMDMS'!K21</f>
        <v>42430</v>
      </c>
      <c r="V516" s="145"/>
    </row>
    <row r="517" spans="1:22" x14ac:dyDescent="0.2">
      <c r="A517" s="89">
        <f t="shared" si="19"/>
        <v>509</v>
      </c>
      <c r="B517" s="43">
        <v>14</v>
      </c>
      <c r="C517" s="43">
        <v>28</v>
      </c>
      <c r="D517" s="38" t="s">
        <v>639</v>
      </c>
      <c r="E517" s="44" t="s">
        <v>195</v>
      </c>
      <c r="F517" s="44" t="s">
        <v>39</v>
      </c>
      <c r="G517" s="44" t="s">
        <v>120</v>
      </c>
      <c r="H517" s="44" t="s">
        <v>44</v>
      </c>
      <c r="I517" s="44" t="s">
        <v>44</v>
      </c>
      <c r="J517" s="44" t="s">
        <v>7</v>
      </c>
      <c r="K517" s="44" t="s">
        <v>140</v>
      </c>
      <c r="L517" s="40">
        <v>1144</v>
      </c>
      <c r="M517" s="41">
        <v>41339</v>
      </c>
      <c r="N517" s="40" t="s">
        <v>122</v>
      </c>
      <c r="O517" s="42"/>
      <c r="P517" s="40"/>
      <c r="Q517" s="207">
        <f>'[3]PEPCO MD LP_MDNDMS'!G21</f>
        <v>42309</v>
      </c>
      <c r="R517" s="207">
        <f>'[3]PEPCO MD LP_MDNDMS'!H21</f>
        <v>42339</v>
      </c>
      <c r="S517" s="207">
        <f>'[3]PEPCO MD LP_MDNDMS'!I21</f>
        <v>42370</v>
      </c>
      <c r="T517" s="207">
        <f>'[3]PEPCO MD LP_MDNDMS'!J21</f>
        <v>42401</v>
      </c>
      <c r="U517" s="207">
        <f>'[3]PEPCO MD LP_MDNDMS'!K21</f>
        <v>42430</v>
      </c>
      <c r="V517" s="145"/>
    </row>
    <row r="518" spans="1:22" x14ac:dyDescent="0.2">
      <c r="A518" s="89">
        <f t="shared" si="19"/>
        <v>510</v>
      </c>
      <c r="B518" s="43">
        <v>14</v>
      </c>
      <c r="C518" s="43">
        <v>29</v>
      </c>
      <c r="D518" s="38" t="s">
        <v>640</v>
      </c>
      <c r="E518" s="44" t="s">
        <v>197</v>
      </c>
      <c r="F518" s="44" t="s">
        <v>39</v>
      </c>
      <c r="G518" s="44" t="s">
        <v>120</v>
      </c>
      <c r="H518" s="44" t="s">
        <v>44</v>
      </c>
      <c r="I518" s="44" t="s">
        <v>44</v>
      </c>
      <c r="J518" s="44" t="s">
        <v>45</v>
      </c>
      <c r="K518" s="44" t="s">
        <v>198</v>
      </c>
      <c r="L518" s="40">
        <v>1145</v>
      </c>
      <c r="M518" s="41">
        <v>41339</v>
      </c>
      <c r="N518" s="40" t="s">
        <v>122</v>
      </c>
      <c r="O518" s="42"/>
      <c r="P518" s="40"/>
      <c r="Q518" s="207">
        <f>'[3]PEPCO MD LP_MMGTL2AMS'!G21</f>
        <v>42309</v>
      </c>
      <c r="R518" s="207">
        <f>'[3]PEPCO MD LP_MMGTL2AMS'!H21</f>
        <v>42339</v>
      </c>
      <c r="S518" s="207">
        <f>'[3]PEPCO MD LP_MMGTL2AMS'!I21</f>
        <v>42370</v>
      </c>
      <c r="T518" s="207">
        <f>'[3]PEPCO MD LP_MMGTL2AMS'!J21</f>
        <v>42401</v>
      </c>
      <c r="U518" s="207">
        <f>'[3]PEPCO MD LP_MMGTL2AMS'!K21</f>
        <v>42430</v>
      </c>
      <c r="V518" s="145"/>
    </row>
    <row r="519" spans="1:22" x14ac:dyDescent="0.2">
      <c r="A519" s="89">
        <f t="shared" si="19"/>
        <v>511</v>
      </c>
      <c r="B519" s="43">
        <v>14</v>
      </c>
      <c r="C519" s="43">
        <v>30</v>
      </c>
      <c r="D519" s="38" t="s">
        <v>641</v>
      </c>
      <c r="E519" s="44" t="s">
        <v>200</v>
      </c>
      <c r="F519" s="44" t="s">
        <v>39</v>
      </c>
      <c r="G519" s="44" t="s">
        <v>120</v>
      </c>
      <c r="H519" s="44" t="s">
        <v>44</v>
      </c>
      <c r="I519" s="44" t="s">
        <v>44</v>
      </c>
      <c r="J519" s="44" t="s">
        <v>46</v>
      </c>
      <c r="K519" s="44" t="s">
        <v>46</v>
      </c>
      <c r="L519" s="40">
        <v>1146</v>
      </c>
      <c r="M519" s="41">
        <v>41339</v>
      </c>
      <c r="N519" s="40" t="s">
        <v>122</v>
      </c>
      <c r="O519" s="42"/>
      <c r="P519" s="40"/>
      <c r="Q519" s="207">
        <f>'[3]PEPCO MD RC_3T7MS'!G21</f>
        <v>42309</v>
      </c>
      <c r="R519" s="207">
        <f>'[3]PEPCO MD RC_3T7MS'!H21</f>
        <v>42339</v>
      </c>
      <c r="S519" s="207">
        <f>'[3]PEPCO MD RC_3T7MS'!I21</f>
        <v>42370</v>
      </c>
      <c r="T519" s="207">
        <f>'[3]PEPCO MD RC_3T7MS'!J21</f>
        <v>42401</v>
      </c>
      <c r="U519" s="207">
        <f>'[3]PEPCO MD RC_3T7MS'!K21</f>
        <v>42430</v>
      </c>
      <c r="V519" s="145"/>
    </row>
    <row r="520" spans="1:22" x14ac:dyDescent="0.2">
      <c r="A520" s="89">
        <f t="shared" si="19"/>
        <v>512</v>
      </c>
      <c r="B520" s="43">
        <v>14</v>
      </c>
      <c r="C520" s="43">
        <v>31</v>
      </c>
      <c r="D520" s="38" t="s">
        <v>642</v>
      </c>
      <c r="E520" s="44" t="s">
        <v>202</v>
      </c>
      <c r="F520" s="44" t="s">
        <v>39</v>
      </c>
      <c r="G520" s="44" t="s">
        <v>120</v>
      </c>
      <c r="H520" s="44" t="s">
        <v>47</v>
      </c>
      <c r="I520" s="44" t="s">
        <v>47</v>
      </c>
      <c r="J520" s="44" t="s">
        <v>7</v>
      </c>
      <c r="K520" s="44" t="s">
        <v>140</v>
      </c>
      <c r="L520" s="40">
        <v>1147</v>
      </c>
      <c r="M520" s="41">
        <v>41339</v>
      </c>
      <c r="N520" s="40" t="s">
        <v>122</v>
      </c>
      <c r="O520" s="42"/>
      <c r="P520" s="40"/>
      <c r="Q520" s="207">
        <f>'[3]Potomac Edison LP_GSCM_MMS'!G21</f>
        <v>42309</v>
      </c>
      <c r="R520" s="207">
        <f>'[3]Potomac Edison LP_GSCM_MMS'!H21</f>
        <v>42339</v>
      </c>
      <c r="S520" s="207">
        <f>'[3]Potomac Edison LP_GSCM_MMS'!I21</f>
        <v>42370</v>
      </c>
      <c r="T520" s="207">
        <f>'[3]Potomac Edison LP_GSCM_MMS'!J21</f>
        <v>42401</v>
      </c>
      <c r="U520" s="207">
        <f>'[3]Potomac Edison LP_GSCM_MMS'!K21</f>
        <v>42430</v>
      </c>
      <c r="V520" s="145"/>
    </row>
    <row r="521" spans="1:22" x14ac:dyDescent="0.2">
      <c r="A521" s="89">
        <f t="shared" si="19"/>
        <v>513</v>
      </c>
      <c r="B521" s="43">
        <v>14</v>
      </c>
      <c r="C521" s="43">
        <v>32</v>
      </c>
      <c r="D521" s="38" t="s">
        <v>643</v>
      </c>
      <c r="E521" s="44" t="s">
        <v>204</v>
      </c>
      <c r="F521" s="44" t="s">
        <v>6</v>
      </c>
      <c r="G521" s="44" t="s">
        <v>120</v>
      </c>
      <c r="H521" s="44" t="s">
        <v>14</v>
      </c>
      <c r="I521" s="44" t="s">
        <v>14</v>
      </c>
      <c r="J521" s="44" t="s">
        <v>15</v>
      </c>
      <c r="K521" s="44" t="s">
        <v>129</v>
      </c>
      <c r="L521" s="40">
        <v>1148</v>
      </c>
      <c r="M521" s="41">
        <v>41339</v>
      </c>
      <c r="N521" s="40" t="s">
        <v>122</v>
      </c>
      <c r="O521" s="42"/>
      <c r="P521" s="40"/>
      <c r="Q521" s="207">
        <f>[3]PPL_RCGS1MS!G21</f>
        <v>42309</v>
      </c>
      <c r="R521" s="207">
        <f>[3]PPL_RCGS1MS!H21</f>
        <v>42339</v>
      </c>
      <c r="S521" s="207">
        <f>[3]PPL_RCGS1MS!I21</f>
        <v>42370</v>
      </c>
      <c r="T521" s="207">
        <f>[3]PPL_RCGS1MS!J21</f>
        <v>42401</v>
      </c>
      <c r="U521" s="207">
        <f>[3]PPL_RCGS1MS!K21</f>
        <v>42430</v>
      </c>
      <c r="V521" s="145"/>
    </row>
    <row r="522" spans="1:22" x14ac:dyDescent="0.2">
      <c r="A522" s="89">
        <f t="shared" si="19"/>
        <v>514</v>
      </c>
      <c r="B522" s="43">
        <v>14</v>
      </c>
      <c r="C522" s="43">
        <v>33</v>
      </c>
      <c r="D522" s="38" t="s">
        <v>644</v>
      </c>
      <c r="E522" s="44" t="s">
        <v>206</v>
      </c>
      <c r="F522" s="44" t="s">
        <v>6</v>
      </c>
      <c r="G522" s="44" t="s">
        <v>120</v>
      </c>
      <c r="H522" s="44" t="s">
        <v>14</v>
      </c>
      <c r="I522" s="44" t="s">
        <v>14</v>
      </c>
      <c r="J522" s="44" t="s">
        <v>16</v>
      </c>
      <c r="K522" s="44" t="s">
        <v>135</v>
      </c>
      <c r="L522" s="40">
        <v>1149</v>
      </c>
      <c r="M522" s="41">
        <v>41339</v>
      </c>
      <c r="N522" s="40" t="s">
        <v>122</v>
      </c>
      <c r="O522" s="42"/>
      <c r="P522" s="40"/>
      <c r="Q522" s="207">
        <f>[3]PPL_RCGS3MS!G21</f>
        <v>42309</v>
      </c>
      <c r="R522" s="207">
        <f>[3]PPL_RCGS3MS!H21</f>
        <v>42339</v>
      </c>
      <c r="S522" s="207">
        <f>[3]PPL_RCGS3MS!I21</f>
        <v>42370</v>
      </c>
      <c r="T522" s="207">
        <f>[3]PPL_RCGS3MS!J21</f>
        <v>42401</v>
      </c>
      <c r="U522" s="207">
        <f>[3]PPL_RCGS3MS!K21</f>
        <v>42430</v>
      </c>
      <c r="V522" s="145"/>
    </row>
    <row r="523" spans="1:22" x14ac:dyDescent="0.2">
      <c r="A523" s="89">
        <f t="shared" ref="A523:A586" si="20">A522+1</f>
        <v>515</v>
      </c>
      <c r="B523" s="43">
        <v>14</v>
      </c>
      <c r="C523" s="43">
        <v>34</v>
      </c>
      <c r="D523" s="38" t="s">
        <v>645</v>
      </c>
      <c r="E523" s="44" t="s">
        <v>208</v>
      </c>
      <c r="F523" s="44" t="s">
        <v>31</v>
      </c>
      <c r="G523" s="44" t="s">
        <v>120</v>
      </c>
      <c r="H523" s="44" t="s">
        <v>36</v>
      </c>
      <c r="I523" s="44" t="s">
        <v>36</v>
      </c>
      <c r="J523" s="44" t="s">
        <v>37</v>
      </c>
      <c r="K523" s="44" t="s">
        <v>209</v>
      </c>
      <c r="L523" s="40">
        <v>1150</v>
      </c>
      <c r="M523" s="41">
        <v>41339</v>
      </c>
      <c r="N523" s="40" t="s">
        <v>122</v>
      </c>
      <c r="O523" s="42"/>
      <c r="P523" s="40"/>
      <c r="Q523" s="207">
        <f>'[3]PSEG LP_GLP_MMS'!G21</f>
        <v>42309</v>
      </c>
      <c r="R523" s="207">
        <f>'[3]PSEG LP_GLP_MMS'!H21</f>
        <v>42339</v>
      </c>
      <c r="S523" s="207">
        <f>'[3]PSEG LP_GLP_MMS'!I21</f>
        <v>42370</v>
      </c>
      <c r="T523" s="207">
        <f>'[3]PSEG LP_GLP_MMS'!J21</f>
        <v>42401</v>
      </c>
      <c r="U523" s="207">
        <f>'[3]PSEG LP_GLP_MMS'!K21</f>
        <v>42430</v>
      </c>
      <c r="V523" s="145"/>
    </row>
    <row r="524" spans="1:22" x14ac:dyDescent="0.2">
      <c r="A524" s="89">
        <f t="shared" si="20"/>
        <v>516</v>
      </c>
      <c r="B524" s="43">
        <v>14</v>
      </c>
      <c r="C524" s="43">
        <v>35</v>
      </c>
      <c r="D524" s="38" t="s">
        <v>646</v>
      </c>
      <c r="E524" s="44" t="s">
        <v>211</v>
      </c>
      <c r="F524" s="44" t="s">
        <v>31</v>
      </c>
      <c r="G524" s="44" t="s">
        <v>120</v>
      </c>
      <c r="H524" s="44" t="s">
        <v>36</v>
      </c>
      <c r="I524" s="44" t="s">
        <v>36</v>
      </c>
      <c r="J524" s="44" t="s">
        <v>38</v>
      </c>
      <c r="K524" s="44" t="s">
        <v>212</v>
      </c>
      <c r="L524" s="40">
        <v>1151</v>
      </c>
      <c r="M524" s="41">
        <v>41339</v>
      </c>
      <c r="N524" s="40" t="s">
        <v>122</v>
      </c>
      <c r="O524" s="42"/>
      <c r="P524" s="40"/>
      <c r="Q524" s="207">
        <f>'[3]PSEG LP_LPLMS'!G21</f>
        <v>42309</v>
      </c>
      <c r="R524" s="207">
        <f>'[3]PSEG LP_LPLMS'!H21</f>
        <v>42339</v>
      </c>
      <c r="S524" s="207">
        <f>'[3]PSEG LP_LPLMS'!I21</f>
        <v>42370</v>
      </c>
      <c r="T524" s="207">
        <f>'[3]PSEG LP_LPLMS'!J21</f>
        <v>42401</v>
      </c>
      <c r="U524" s="207">
        <f>'[3]PSEG LP_LPLMS'!K21</f>
        <v>42430</v>
      </c>
      <c r="V524" s="145"/>
    </row>
    <row r="525" spans="1:22" x14ac:dyDescent="0.2">
      <c r="A525" s="89">
        <f t="shared" si="20"/>
        <v>517</v>
      </c>
      <c r="B525" s="43">
        <v>14</v>
      </c>
      <c r="C525" s="43">
        <v>36</v>
      </c>
      <c r="D525" s="38" t="s">
        <v>647</v>
      </c>
      <c r="E525" s="44" t="s">
        <v>214</v>
      </c>
      <c r="F525" s="44" t="s">
        <v>6</v>
      </c>
      <c r="G525" s="44" t="s">
        <v>120</v>
      </c>
      <c r="H525" s="44" t="s">
        <v>17</v>
      </c>
      <c r="I525" s="44" t="s">
        <v>215</v>
      </c>
      <c r="J525" s="44" t="s">
        <v>18</v>
      </c>
      <c r="K525" s="44" t="s">
        <v>140</v>
      </c>
      <c r="L525" s="40">
        <v>1152</v>
      </c>
      <c r="M525" s="41">
        <v>41339</v>
      </c>
      <c r="N525" s="40" t="s">
        <v>122</v>
      </c>
      <c r="O525" s="42"/>
      <c r="P525" s="40"/>
      <c r="Q525" s="207">
        <f>'[3]West Penn Power LP_GSCMMS'!G21</f>
        <v>42309</v>
      </c>
      <c r="R525" s="207">
        <f>'[3]West Penn Power LP_GSCMMS'!H21</f>
        <v>42339</v>
      </c>
      <c r="S525" s="207">
        <f>'[3]West Penn Power LP_GSCMMS'!I21</f>
        <v>42370</v>
      </c>
      <c r="T525" s="207">
        <f>'[3]West Penn Power LP_GSCMMS'!J21</f>
        <v>42401</v>
      </c>
      <c r="U525" s="207">
        <f>'[3]West Penn Power LP_GSCMMS'!K21</f>
        <v>42430</v>
      </c>
      <c r="V525" s="145"/>
    </row>
    <row r="526" spans="1:22" x14ac:dyDescent="0.2">
      <c r="A526" s="89">
        <f t="shared" si="20"/>
        <v>518</v>
      </c>
      <c r="B526" s="20"/>
      <c r="C526" s="20"/>
      <c r="D526" s="20"/>
      <c r="Q526" s="208"/>
      <c r="R526" s="208"/>
      <c r="S526" s="208"/>
      <c r="T526" s="208"/>
      <c r="U526" s="208"/>
    </row>
    <row r="527" spans="1:22" x14ac:dyDescent="0.2">
      <c r="A527" s="89">
        <f t="shared" si="20"/>
        <v>519</v>
      </c>
      <c r="B527" s="43">
        <v>15</v>
      </c>
      <c r="C527" s="43">
        <v>1</v>
      </c>
      <c r="D527" s="38" t="s">
        <v>612</v>
      </c>
      <c r="E527" s="44" t="s">
        <v>119</v>
      </c>
      <c r="F527" s="44" t="s">
        <v>31</v>
      </c>
      <c r="G527" s="44" t="s">
        <v>120</v>
      </c>
      <c r="H527" s="44" t="s">
        <v>32</v>
      </c>
      <c r="I527" s="44" t="s">
        <v>32</v>
      </c>
      <c r="J527" s="44" t="s">
        <v>33</v>
      </c>
      <c r="K527" s="44" t="s">
        <v>121</v>
      </c>
      <c r="L527" s="40">
        <v>1117</v>
      </c>
      <c r="M527" s="41">
        <v>41339</v>
      </c>
      <c r="N527" s="40" t="s">
        <v>122</v>
      </c>
      <c r="O527" s="42"/>
      <c r="P527" s="40"/>
      <c r="Q527" s="207">
        <f>'[3]AECO LP_10V1_SMS'!G526</f>
        <v>0</v>
      </c>
      <c r="R527" s="207">
        <f>'[3]AECO LP_10V1_SMS'!H526</f>
        <v>0</v>
      </c>
      <c r="S527" s="207">
        <f>'[3]AECO LP_10V1_SMS'!I526</f>
        <v>0</v>
      </c>
      <c r="T527" s="207">
        <f>'[3]AECO LP_10V1_SMS'!J526</f>
        <v>0</v>
      </c>
      <c r="U527" s="207">
        <f>'[3]AECO LP_10V1_SMS'!K526</f>
        <v>0</v>
      </c>
      <c r="V527" s="145"/>
    </row>
    <row r="528" spans="1:22" x14ac:dyDescent="0.2">
      <c r="A528" s="89">
        <f t="shared" si="20"/>
        <v>520</v>
      </c>
      <c r="B528" s="43">
        <v>15</v>
      </c>
      <c r="C528" s="43">
        <v>2</v>
      </c>
      <c r="D528" s="38" t="s">
        <v>613</v>
      </c>
      <c r="E528" s="44" t="s">
        <v>124</v>
      </c>
      <c r="F528" s="44" t="s">
        <v>31</v>
      </c>
      <c r="G528" s="44" t="s">
        <v>120</v>
      </c>
      <c r="H528" s="44" t="s">
        <v>32</v>
      </c>
      <c r="I528" s="44" t="s">
        <v>32</v>
      </c>
      <c r="J528" s="44" t="s">
        <v>34</v>
      </c>
      <c r="K528" s="44" t="s">
        <v>125</v>
      </c>
      <c r="L528" s="40">
        <v>1118</v>
      </c>
      <c r="M528" s="41">
        <v>41339</v>
      </c>
      <c r="N528" s="40" t="s">
        <v>122</v>
      </c>
      <c r="O528" s="42"/>
      <c r="P528" s="40"/>
      <c r="Q528" s="207">
        <f>'[3]AECO LP_14V1_MMS'!G526</f>
        <v>0</v>
      </c>
      <c r="R528" s="207">
        <f>'[3]AECO LP_14V1_MMS'!H526</f>
        <v>0</v>
      </c>
      <c r="S528" s="207">
        <f>'[3]AECO LP_14V1_MMS'!I526</f>
        <v>0</v>
      </c>
      <c r="T528" s="207">
        <f>'[3]AECO LP_14V1_MMS'!J526</f>
        <v>0</v>
      </c>
      <c r="U528" s="207">
        <f>'[3]AECO LP_14V1_MMS'!K526</f>
        <v>0</v>
      </c>
      <c r="V528" s="145"/>
    </row>
    <row r="529" spans="1:22" x14ac:dyDescent="0.2">
      <c r="A529" s="89">
        <f t="shared" si="20"/>
        <v>521</v>
      </c>
      <c r="B529" s="43">
        <v>15</v>
      </c>
      <c r="C529" s="43">
        <v>3</v>
      </c>
      <c r="D529" s="38" t="s">
        <v>614</v>
      </c>
      <c r="E529" s="44" t="s">
        <v>127</v>
      </c>
      <c r="F529" s="44" t="s">
        <v>20</v>
      </c>
      <c r="G529" s="44" t="s">
        <v>120</v>
      </c>
      <c r="H529" s="44" t="s">
        <v>63</v>
      </c>
      <c r="I529" s="44" t="s">
        <v>128</v>
      </c>
      <c r="J529" s="44" t="s">
        <v>15</v>
      </c>
      <c r="K529" s="44" t="s">
        <v>129</v>
      </c>
      <c r="L529" s="40">
        <v>1119</v>
      </c>
      <c r="M529" s="41">
        <v>41339</v>
      </c>
      <c r="N529" s="40" t="s">
        <v>122</v>
      </c>
      <c r="O529" s="42"/>
      <c r="P529" s="40"/>
      <c r="Q529" s="207">
        <f>'[3]AEP_OH_CS - test CSGS1MS'!G526</f>
        <v>0</v>
      </c>
      <c r="R529" s="207">
        <f>'[3]AEP_OH_CS - test CSGS1MS'!H526</f>
        <v>0</v>
      </c>
      <c r="S529" s="207">
        <f>'[3]AEP_OH_CS - test CSGS1MS'!I526</f>
        <v>0</v>
      </c>
      <c r="T529" s="207">
        <f>'[3]AEP_OH_CS - test CSGS1MS'!J526</f>
        <v>0</v>
      </c>
      <c r="U529" s="207">
        <f>'[3]AEP_OH_CS - test CSGS1MS'!K526</f>
        <v>0</v>
      </c>
      <c r="V529" s="145"/>
    </row>
    <row r="530" spans="1:22" x14ac:dyDescent="0.2">
      <c r="A530" s="89">
        <f t="shared" si="20"/>
        <v>522</v>
      </c>
      <c r="B530" s="43">
        <v>15</v>
      </c>
      <c r="C530" s="43">
        <v>4</v>
      </c>
      <c r="D530" s="38" t="s">
        <v>615</v>
      </c>
      <c r="E530" s="44" t="s">
        <v>131</v>
      </c>
      <c r="F530" s="44" t="s">
        <v>20</v>
      </c>
      <c r="G530" s="44" t="s">
        <v>120</v>
      </c>
      <c r="H530" s="44" t="s">
        <v>63</v>
      </c>
      <c r="I530" s="44" t="s">
        <v>128</v>
      </c>
      <c r="J530" s="44" t="s">
        <v>21</v>
      </c>
      <c r="K530" s="44" t="s">
        <v>132</v>
      </c>
      <c r="L530" s="40">
        <v>1120</v>
      </c>
      <c r="M530" s="41">
        <v>41339</v>
      </c>
      <c r="N530" s="40" t="s">
        <v>122</v>
      </c>
      <c r="O530" s="42"/>
      <c r="P530" s="40"/>
      <c r="Q530" s="207">
        <f>'[3]AEP_OH_CS - test CSGS2UMS'!G526</f>
        <v>0</v>
      </c>
      <c r="R530" s="207">
        <f>'[3]AEP_OH_CS - test CSGS2UMS'!H526</f>
        <v>0</v>
      </c>
      <c r="S530" s="207">
        <f>'[3]AEP_OH_CS - test CSGS2UMS'!I526</f>
        <v>0</v>
      </c>
      <c r="T530" s="207">
        <f>'[3]AEP_OH_CS - test CSGS2UMS'!J526</f>
        <v>0</v>
      </c>
      <c r="U530" s="207">
        <f>'[3]AEP_OH_CS - test CSGS2UMS'!K526</f>
        <v>0</v>
      </c>
      <c r="V530" s="145"/>
    </row>
    <row r="531" spans="1:22" x14ac:dyDescent="0.2">
      <c r="A531" s="89">
        <f t="shared" si="20"/>
        <v>523</v>
      </c>
      <c r="B531" s="43">
        <v>15</v>
      </c>
      <c r="C531" s="43">
        <v>5</v>
      </c>
      <c r="D531" s="38" t="s">
        <v>616</v>
      </c>
      <c r="E531" s="44" t="s">
        <v>134</v>
      </c>
      <c r="F531" s="44" t="s">
        <v>20</v>
      </c>
      <c r="G531" s="44" t="s">
        <v>120</v>
      </c>
      <c r="H531" s="44" t="s">
        <v>63</v>
      </c>
      <c r="I531" s="44" t="s">
        <v>128</v>
      </c>
      <c r="J531" s="44" t="s">
        <v>16</v>
      </c>
      <c r="K531" s="44" t="s">
        <v>135</v>
      </c>
      <c r="L531" s="40">
        <v>1121</v>
      </c>
      <c r="M531" s="41">
        <v>41339</v>
      </c>
      <c r="N531" s="40" t="s">
        <v>122</v>
      </c>
      <c r="O531" s="42"/>
      <c r="P531" s="40"/>
      <c r="Q531" s="207">
        <f>'[3]AEP_OH_CS - test CSGS3UMS'!G526</f>
        <v>0</v>
      </c>
      <c r="R531" s="207">
        <f>'[3]AEP_OH_CS - test CSGS3UMS'!H526</f>
        <v>0</v>
      </c>
      <c r="S531" s="207">
        <f>'[3]AEP_OH_CS - test CSGS3UMS'!I526</f>
        <v>0</v>
      </c>
      <c r="T531" s="207">
        <f>'[3]AEP_OH_CS - test CSGS3UMS'!J526</f>
        <v>0</v>
      </c>
      <c r="U531" s="207">
        <f>'[3]AEP_OH_CS - test CSGS3UMS'!K526</f>
        <v>0</v>
      </c>
      <c r="V531" s="145"/>
    </row>
    <row r="532" spans="1:22" x14ac:dyDescent="0.2">
      <c r="A532" s="89">
        <f t="shared" si="20"/>
        <v>524</v>
      </c>
      <c r="B532" s="43">
        <v>15</v>
      </c>
      <c r="C532" s="43">
        <v>6</v>
      </c>
      <c r="D532" s="38" t="s">
        <v>617</v>
      </c>
      <c r="E532" s="44" t="s">
        <v>137</v>
      </c>
      <c r="F532" s="44" t="s">
        <v>25</v>
      </c>
      <c r="G532" s="44" t="s">
        <v>138</v>
      </c>
      <c r="H532" s="44" t="s">
        <v>139</v>
      </c>
      <c r="I532" s="44" t="s">
        <v>29</v>
      </c>
      <c r="J532" s="44" t="s">
        <v>30</v>
      </c>
      <c r="K532" s="44" t="s">
        <v>140</v>
      </c>
      <c r="L532" s="40">
        <v>1122</v>
      </c>
      <c r="M532" s="41">
        <v>41339</v>
      </c>
      <c r="N532" s="40" t="s">
        <v>122</v>
      </c>
      <c r="O532" s="42"/>
      <c r="P532" s="40"/>
      <c r="Q532" s="207">
        <f>'[3]Ameren RateZnIII LP DS2HHMS'!G526</f>
        <v>0</v>
      </c>
      <c r="R532" s="207">
        <f>'[3]Ameren RateZnIII LP DS2HHMS'!H526</f>
        <v>0</v>
      </c>
      <c r="S532" s="207">
        <f>'[3]Ameren RateZnIII LP DS2HHMS'!I526</f>
        <v>0</v>
      </c>
      <c r="T532" s="207">
        <f>'[3]Ameren RateZnIII LP DS2HHMS'!J526</f>
        <v>0</v>
      </c>
      <c r="U532" s="207">
        <f>'[3]Ameren RateZnIII LP DS2HHMS'!K526</f>
        <v>0</v>
      </c>
      <c r="V532" s="145"/>
    </row>
    <row r="533" spans="1:22" x14ac:dyDescent="0.2">
      <c r="A533" s="89">
        <f t="shared" si="20"/>
        <v>525</v>
      </c>
      <c r="B533" s="43">
        <v>15</v>
      </c>
      <c r="C533" s="43">
        <v>7</v>
      </c>
      <c r="D533" s="38" t="s">
        <v>618</v>
      </c>
      <c r="E533" s="44" t="s">
        <v>142</v>
      </c>
      <c r="F533" s="44" t="s">
        <v>39</v>
      </c>
      <c r="G533" s="44" t="s">
        <v>120</v>
      </c>
      <c r="H533" s="44" t="s">
        <v>40</v>
      </c>
      <c r="I533" s="44" t="s">
        <v>40</v>
      </c>
      <c r="J533" s="44" t="s">
        <v>42</v>
      </c>
      <c r="K533" s="44" t="s">
        <v>135</v>
      </c>
      <c r="L533" s="40">
        <v>1124</v>
      </c>
      <c r="M533" s="41">
        <v>41339</v>
      </c>
      <c r="N533" s="40" t="s">
        <v>122</v>
      </c>
      <c r="O533" s="42"/>
      <c r="P533" s="40"/>
      <c r="Q533" s="207">
        <f>'[3]BGE LP_GLMS'!G526</f>
        <v>0</v>
      </c>
      <c r="R533" s="207">
        <f>'[3]BGE LP_GLMS'!H526</f>
        <v>0</v>
      </c>
      <c r="S533" s="207">
        <f>'[3]BGE LP_GLMS'!I526</f>
        <v>0</v>
      </c>
      <c r="T533" s="207">
        <f>'[3]BGE LP_GLMS'!J526</f>
        <v>0</v>
      </c>
      <c r="U533" s="207">
        <f>'[3]BGE LP_GLMS'!K526</f>
        <v>0</v>
      </c>
      <c r="V533" s="145"/>
    </row>
    <row r="534" spans="1:22" x14ac:dyDescent="0.2">
      <c r="A534" s="89">
        <f t="shared" si="20"/>
        <v>526</v>
      </c>
      <c r="B534" s="43">
        <v>15</v>
      </c>
      <c r="C534" s="43">
        <v>8</v>
      </c>
      <c r="D534" s="38" t="s">
        <v>619</v>
      </c>
      <c r="E534" s="44" t="s">
        <v>144</v>
      </c>
      <c r="F534" s="44" t="s">
        <v>39</v>
      </c>
      <c r="G534" s="44" t="s">
        <v>120</v>
      </c>
      <c r="H534" s="44" t="s">
        <v>40</v>
      </c>
      <c r="I534" s="44" t="s">
        <v>40</v>
      </c>
      <c r="J534" s="44" t="s">
        <v>41</v>
      </c>
      <c r="K534" s="44" t="s">
        <v>132</v>
      </c>
      <c r="L534" s="40">
        <v>1123</v>
      </c>
      <c r="M534" s="41">
        <v>41339</v>
      </c>
      <c r="N534" s="40" t="s">
        <v>122</v>
      </c>
      <c r="O534" s="42"/>
      <c r="P534" s="40"/>
      <c r="Q534" s="207">
        <f>'[3]BGE LP_GMS'!G526</f>
        <v>0</v>
      </c>
      <c r="R534" s="207">
        <f>'[3]BGE LP_GMS'!H526</f>
        <v>0</v>
      </c>
      <c r="S534" s="207">
        <f>'[3]BGE LP_GMS'!I526</f>
        <v>0</v>
      </c>
      <c r="T534" s="207">
        <f>'[3]BGE LP_GMS'!J526</f>
        <v>0</v>
      </c>
      <c r="U534" s="207">
        <f>'[3]BGE LP_GMS'!K526</f>
        <v>0</v>
      </c>
      <c r="V534" s="145"/>
    </row>
    <row r="535" spans="1:22" x14ac:dyDescent="0.2">
      <c r="A535" s="89">
        <f t="shared" si="20"/>
        <v>527</v>
      </c>
      <c r="B535" s="43">
        <v>15</v>
      </c>
      <c r="C535" s="43">
        <v>9</v>
      </c>
      <c r="D535" s="38" t="s">
        <v>620</v>
      </c>
      <c r="E535" s="44" t="s">
        <v>146</v>
      </c>
      <c r="F535" s="44" t="s">
        <v>39</v>
      </c>
      <c r="G535" s="44" t="s">
        <v>120</v>
      </c>
      <c r="H535" s="44" t="s">
        <v>40</v>
      </c>
      <c r="I535" s="44" t="s">
        <v>40</v>
      </c>
      <c r="J535" s="44" t="s">
        <v>7</v>
      </c>
      <c r="K535" s="44" t="s">
        <v>129</v>
      </c>
      <c r="L535" s="40">
        <v>1125</v>
      </c>
      <c r="M535" s="41">
        <v>41339</v>
      </c>
      <c r="N535" s="40" t="s">
        <v>122</v>
      </c>
      <c r="O535" s="42"/>
      <c r="P535" s="40"/>
      <c r="Q535" s="207">
        <f>'[3]BGE LP_GSMS'!G526</f>
        <v>0</v>
      </c>
      <c r="R535" s="207">
        <f>'[3]BGE LP_GSMS'!H526</f>
        <v>0</v>
      </c>
      <c r="S535" s="207">
        <f>'[3]BGE LP_GSMS'!I526</f>
        <v>0</v>
      </c>
      <c r="T535" s="207">
        <f>'[3]BGE LP_GSMS'!J526</f>
        <v>0</v>
      </c>
      <c r="U535" s="207">
        <f>'[3]BGE LP_GSMS'!K526</f>
        <v>0</v>
      </c>
      <c r="V535" s="145"/>
    </row>
    <row r="536" spans="1:22" x14ac:dyDescent="0.2">
      <c r="A536" s="89">
        <f t="shared" si="20"/>
        <v>528</v>
      </c>
      <c r="B536" s="43">
        <v>15</v>
      </c>
      <c r="C536" s="43">
        <v>10</v>
      </c>
      <c r="D536" s="38" t="s">
        <v>621</v>
      </c>
      <c r="E536" s="44" t="s">
        <v>148</v>
      </c>
      <c r="F536" s="44" t="s">
        <v>25</v>
      </c>
      <c r="G536" s="44" t="s">
        <v>120</v>
      </c>
      <c r="H536" s="44" t="s">
        <v>149</v>
      </c>
      <c r="I536" s="44" t="s">
        <v>26</v>
      </c>
      <c r="J536" s="44" t="s">
        <v>27</v>
      </c>
      <c r="K536" s="44" t="s">
        <v>150</v>
      </c>
      <c r="L536" s="40">
        <v>1126</v>
      </c>
      <c r="M536" s="41">
        <v>41339</v>
      </c>
      <c r="N536" s="40" t="s">
        <v>122</v>
      </c>
      <c r="O536" s="42"/>
      <c r="P536" s="40"/>
      <c r="Q536" s="207">
        <f>'[3]ComEd - test LP_28MS'!G526</f>
        <v>0</v>
      </c>
      <c r="R536" s="207">
        <f>'[3]ComEd - test LP_28MS'!H526</f>
        <v>0</v>
      </c>
      <c r="S536" s="207">
        <f>'[3]ComEd - test LP_28MS'!I526</f>
        <v>0</v>
      </c>
      <c r="T536" s="207">
        <f>'[3]ComEd - test LP_28MS'!J526</f>
        <v>0</v>
      </c>
      <c r="U536" s="207">
        <f>'[3]ComEd - test LP_28MS'!K526</f>
        <v>0</v>
      </c>
      <c r="V536" s="145"/>
    </row>
    <row r="537" spans="1:22" x14ac:dyDescent="0.2">
      <c r="A537" s="89">
        <f t="shared" si="20"/>
        <v>529</v>
      </c>
      <c r="B537" s="43">
        <v>15</v>
      </c>
      <c r="C537" s="43">
        <v>11</v>
      </c>
      <c r="D537" s="38" t="s">
        <v>622</v>
      </c>
      <c r="E537" s="44" t="s">
        <v>152</v>
      </c>
      <c r="F537" s="44" t="s">
        <v>25</v>
      </c>
      <c r="G537" s="44" t="s">
        <v>120</v>
      </c>
      <c r="H537" s="44" t="s">
        <v>149</v>
      </c>
      <c r="I537" s="44" t="s">
        <v>26</v>
      </c>
      <c r="J537" s="44" t="s">
        <v>28</v>
      </c>
      <c r="K537" s="44" t="s">
        <v>153</v>
      </c>
      <c r="L537" s="40">
        <v>1127</v>
      </c>
      <c r="M537" s="41">
        <v>41339</v>
      </c>
      <c r="N537" s="40" t="s">
        <v>122</v>
      </c>
      <c r="O537" s="42"/>
      <c r="P537" s="40"/>
      <c r="Q537" s="207">
        <f>'[3]ComEd - test LP_29MS'!G526</f>
        <v>0</v>
      </c>
      <c r="R537" s="207">
        <f>'[3]ComEd - test LP_29MS'!H526</f>
        <v>0</v>
      </c>
      <c r="S537" s="207">
        <f>'[3]ComEd - test LP_29MS'!I526</f>
        <v>0</v>
      </c>
      <c r="T537" s="207">
        <f>'[3]ComEd - test LP_29MS'!J526</f>
        <v>0</v>
      </c>
      <c r="U537" s="207">
        <f>'[3]ComEd - test LP_29MS'!K526</f>
        <v>0</v>
      </c>
      <c r="V537" s="145"/>
    </row>
    <row r="538" spans="1:22" x14ac:dyDescent="0.2">
      <c r="A538" s="89">
        <f t="shared" si="20"/>
        <v>530</v>
      </c>
      <c r="B538" s="43">
        <v>15</v>
      </c>
      <c r="C538" s="43">
        <v>12</v>
      </c>
      <c r="D538" s="38" t="s">
        <v>623</v>
      </c>
      <c r="E538" s="44" t="s">
        <v>155</v>
      </c>
      <c r="F538" s="44" t="s">
        <v>20</v>
      </c>
      <c r="G538" s="44" t="s">
        <v>120</v>
      </c>
      <c r="H538" s="44" t="s">
        <v>105</v>
      </c>
      <c r="I538" s="44" t="s">
        <v>156</v>
      </c>
      <c r="J538" s="44" t="s">
        <v>22</v>
      </c>
      <c r="K538" s="44" t="s">
        <v>157</v>
      </c>
      <c r="L538" s="40">
        <v>1128</v>
      </c>
      <c r="M538" s="41">
        <v>41339</v>
      </c>
      <c r="N538" s="40" t="s">
        <v>122</v>
      </c>
      <c r="O538" s="42"/>
      <c r="P538" s="40"/>
      <c r="Q538" s="207">
        <f>[3]DAY_RC_843MS!G526</f>
        <v>0</v>
      </c>
      <c r="R538" s="207">
        <f>[3]DAY_RC_843MS!H526</f>
        <v>0</v>
      </c>
      <c r="S538" s="207">
        <f>[3]DAY_RC_843MS!I526</f>
        <v>0</v>
      </c>
      <c r="T538" s="207">
        <f>[3]DAY_RC_843MS!J526</f>
        <v>0</v>
      </c>
      <c r="U538" s="207">
        <f>[3]DAY_RC_843MS!K526</f>
        <v>0</v>
      </c>
      <c r="V538" s="145"/>
    </row>
    <row r="539" spans="1:22" x14ac:dyDescent="0.2">
      <c r="A539" s="89">
        <f t="shared" si="20"/>
        <v>531</v>
      </c>
      <c r="B539" s="43">
        <v>15</v>
      </c>
      <c r="C539" s="43">
        <v>13</v>
      </c>
      <c r="D539" s="38" t="s">
        <v>624</v>
      </c>
      <c r="E539" s="44" t="s">
        <v>159</v>
      </c>
      <c r="F539" s="44" t="s">
        <v>39</v>
      </c>
      <c r="G539" s="44" t="s">
        <v>120</v>
      </c>
      <c r="H539" s="44" t="s">
        <v>43</v>
      </c>
      <c r="I539" s="44" t="s">
        <v>43</v>
      </c>
      <c r="J539" s="44" t="s">
        <v>7</v>
      </c>
      <c r="K539" s="44" t="s">
        <v>140</v>
      </c>
      <c r="L539" s="40">
        <v>1129</v>
      </c>
      <c r="M539" s="41">
        <v>41339</v>
      </c>
      <c r="N539" s="40" t="s">
        <v>122</v>
      </c>
      <c r="O539" s="42"/>
      <c r="P539" s="40"/>
      <c r="Q539" s="207">
        <f>'[3]Delmarva MD LP_MDGS_MMS'!G526</f>
        <v>0</v>
      </c>
      <c r="R539" s="207">
        <f>'[3]Delmarva MD LP_MDGS_MMS'!H526</f>
        <v>0</v>
      </c>
      <c r="S539" s="207">
        <f>'[3]Delmarva MD LP_MDGS_MMS'!I526</f>
        <v>0</v>
      </c>
      <c r="T539" s="207">
        <f>'[3]Delmarva MD LP_MDGS_MMS'!J526</f>
        <v>0</v>
      </c>
      <c r="U539" s="207">
        <f>'[3]Delmarva MD LP_MDGS_MMS'!K526</f>
        <v>0</v>
      </c>
      <c r="V539" s="145"/>
    </row>
    <row r="540" spans="1:22" x14ac:dyDescent="0.2">
      <c r="A540" s="89">
        <f t="shared" si="20"/>
        <v>532</v>
      </c>
      <c r="B540" s="43">
        <v>15</v>
      </c>
      <c r="C540" s="43">
        <v>14</v>
      </c>
      <c r="D540" s="38" t="s">
        <v>625</v>
      </c>
      <c r="E540" s="44" t="s">
        <v>161</v>
      </c>
      <c r="F540" s="44" t="s">
        <v>6</v>
      </c>
      <c r="G540" s="44" t="s">
        <v>120</v>
      </c>
      <c r="H540" s="44" t="s">
        <v>48</v>
      </c>
      <c r="I540" s="44" t="s">
        <v>48</v>
      </c>
      <c r="J540" s="44" t="s">
        <v>7</v>
      </c>
      <c r="K540" s="44" t="s">
        <v>140</v>
      </c>
      <c r="L540" s="40">
        <v>1130</v>
      </c>
      <c r="M540" s="41">
        <v>41339</v>
      </c>
      <c r="N540" s="40" t="s">
        <v>122</v>
      </c>
      <c r="O540" s="42"/>
      <c r="P540" s="40"/>
      <c r="Q540" s="207">
        <f>'[3]DQE LP_GSGM_MMS'!G526</f>
        <v>0</v>
      </c>
      <c r="R540" s="207">
        <f>'[3]DQE LP_GSGM_MMS'!H526</f>
        <v>0</v>
      </c>
      <c r="S540" s="207">
        <f>'[3]DQE LP_GSGM_MMS'!I526</f>
        <v>0</v>
      </c>
      <c r="T540" s="207">
        <f>'[3]DQE LP_GSGM_MMS'!J526</f>
        <v>0</v>
      </c>
      <c r="U540" s="207">
        <f>'[3]DQE LP_GSGM_MMS'!K526</f>
        <v>0</v>
      </c>
      <c r="V540" s="145"/>
    </row>
    <row r="541" spans="1:22" x14ac:dyDescent="0.2">
      <c r="A541" s="89">
        <f t="shared" si="20"/>
        <v>533</v>
      </c>
      <c r="B541" s="43">
        <v>15</v>
      </c>
      <c r="C541" s="43">
        <v>15</v>
      </c>
      <c r="D541" s="38" t="s">
        <v>626</v>
      </c>
      <c r="E541" s="44" t="s">
        <v>163</v>
      </c>
      <c r="F541" s="44" t="s">
        <v>20</v>
      </c>
      <c r="G541" s="44" t="s">
        <v>120</v>
      </c>
      <c r="H541" s="44" t="s">
        <v>23</v>
      </c>
      <c r="I541" s="44" t="s">
        <v>164</v>
      </c>
      <c r="J541" s="44" t="s">
        <v>24</v>
      </c>
      <c r="K541" s="44" t="s">
        <v>140</v>
      </c>
      <c r="L541" s="40">
        <v>1131</v>
      </c>
      <c r="M541" s="41">
        <v>41339</v>
      </c>
      <c r="N541" s="40" t="s">
        <v>122</v>
      </c>
      <c r="O541" s="42"/>
      <c r="P541" s="40"/>
      <c r="Q541" s="207">
        <f>[3]Duke_OH_RC_DS01MS!G526</f>
        <v>0</v>
      </c>
      <c r="R541" s="207">
        <f>[3]Duke_OH_RC_DS01MS!H526</f>
        <v>0</v>
      </c>
      <c r="S541" s="207">
        <f>[3]Duke_OH_RC_DS01MS!I526</f>
        <v>0</v>
      </c>
      <c r="T541" s="207">
        <f>[3]Duke_OH_RC_DS01MS!J526</f>
        <v>0</v>
      </c>
      <c r="U541" s="207">
        <f>[3]Duke_OH_RC_DS01MS!K526</f>
        <v>0</v>
      </c>
      <c r="V541" s="145"/>
    </row>
    <row r="542" spans="1:22" x14ac:dyDescent="0.2">
      <c r="A542" s="89">
        <f t="shared" si="20"/>
        <v>534</v>
      </c>
      <c r="B542" s="43">
        <v>15</v>
      </c>
      <c r="C542" s="43">
        <v>16</v>
      </c>
      <c r="D542" s="38" t="s">
        <v>627</v>
      </c>
      <c r="E542" s="44" t="s">
        <v>166</v>
      </c>
      <c r="F542" s="44" t="s">
        <v>20</v>
      </c>
      <c r="G542" s="44" t="s">
        <v>120</v>
      </c>
      <c r="H542" s="44" t="s">
        <v>64</v>
      </c>
      <c r="I542" s="44" t="s">
        <v>167</v>
      </c>
      <c r="J542" s="44" t="s">
        <v>7</v>
      </c>
      <c r="K542" s="44" t="s">
        <v>140</v>
      </c>
      <c r="L542" s="40">
        <v>1132</v>
      </c>
      <c r="M542" s="41">
        <v>41339</v>
      </c>
      <c r="N542" s="40" t="s">
        <v>122</v>
      </c>
      <c r="O542" s="42"/>
      <c r="P542" s="40"/>
      <c r="Q542" s="207">
        <f>'[3]FE_OE - test RC_GSFMS'!G526</f>
        <v>0</v>
      </c>
      <c r="R542" s="207">
        <f>'[3]FE_OE - test RC_GSFMS'!H526</f>
        <v>0</v>
      </c>
      <c r="S542" s="207">
        <f>'[3]FE_OE - test RC_GSFMS'!I526</f>
        <v>0</v>
      </c>
      <c r="T542" s="207">
        <f>'[3]FE_OE - test RC_GSFMS'!J526</f>
        <v>0</v>
      </c>
      <c r="U542" s="207">
        <f>'[3]FE_OE - test RC_GSFMS'!K526</f>
        <v>0</v>
      </c>
      <c r="V542" s="145"/>
    </row>
    <row r="543" spans="1:22" x14ac:dyDescent="0.2">
      <c r="A543" s="89">
        <f t="shared" si="20"/>
        <v>535</v>
      </c>
      <c r="B543" s="43">
        <v>15</v>
      </c>
      <c r="C543" s="43">
        <v>17</v>
      </c>
      <c r="D543" s="38" t="s">
        <v>628</v>
      </c>
      <c r="E543" s="44" t="s">
        <v>169</v>
      </c>
      <c r="F543" s="44" t="s">
        <v>31</v>
      </c>
      <c r="G543" s="44" t="s">
        <v>120</v>
      </c>
      <c r="H543" s="44" t="s">
        <v>35</v>
      </c>
      <c r="I543" s="44" t="s">
        <v>35</v>
      </c>
      <c r="J543" s="44" t="s">
        <v>9</v>
      </c>
      <c r="K543" s="44" t="s">
        <v>135</v>
      </c>
      <c r="L543" s="40">
        <v>1133</v>
      </c>
      <c r="M543" s="41">
        <v>41339</v>
      </c>
      <c r="N543" s="40" t="s">
        <v>122</v>
      </c>
      <c r="O543" s="42"/>
      <c r="P543" s="40"/>
      <c r="Q543" s="207">
        <f>'[3]JCPL LP_GSCLMS'!G526</f>
        <v>0</v>
      </c>
      <c r="R543" s="207">
        <f>'[3]JCPL LP_GSCLMS'!H526</f>
        <v>0</v>
      </c>
      <c r="S543" s="207">
        <f>'[3]JCPL LP_GSCLMS'!I526</f>
        <v>0</v>
      </c>
      <c r="T543" s="207">
        <f>'[3]JCPL LP_GSCLMS'!J526</f>
        <v>0</v>
      </c>
      <c r="U543" s="207">
        <f>'[3]JCPL LP_GSCLMS'!K526</f>
        <v>0</v>
      </c>
      <c r="V543" s="145"/>
    </row>
    <row r="544" spans="1:22" x14ac:dyDescent="0.2">
      <c r="A544" s="89">
        <f t="shared" si="20"/>
        <v>536</v>
      </c>
      <c r="B544" s="43">
        <v>15</v>
      </c>
      <c r="C544" s="43">
        <v>18</v>
      </c>
      <c r="D544" s="38" t="s">
        <v>629</v>
      </c>
      <c r="E544" s="44" t="s">
        <v>171</v>
      </c>
      <c r="F544" s="44" t="s">
        <v>31</v>
      </c>
      <c r="G544" s="44" t="s">
        <v>120</v>
      </c>
      <c r="H544" s="44" t="s">
        <v>35</v>
      </c>
      <c r="I544" s="44" t="s">
        <v>35</v>
      </c>
      <c r="J544" s="44" t="s">
        <v>10</v>
      </c>
      <c r="K544" s="44" t="s">
        <v>132</v>
      </c>
      <c r="L544" s="40">
        <v>1134</v>
      </c>
      <c r="M544" s="41">
        <v>41339</v>
      </c>
      <c r="N544" s="40" t="s">
        <v>122</v>
      </c>
      <c r="O544" s="42"/>
      <c r="P544" s="40"/>
      <c r="Q544" s="207">
        <f>'[3]JCPL LP_GSCMMS'!G526</f>
        <v>0</v>
      </c>
      <c r="R544" s="207">
        <f>'[3]JCPL LP_GSCMMS'!H526</f>
        <v>0</v>
      </c>
      <c r="S544" s="207">
        <f>'[3]JCPL LP_GSCMMS'!I526</f>
        <v>0</v>
      </c>
      <c r="T544" s="207">
        <f>'[3]JCPL LP_GSCMMS'!J526</f>
        <v>0</v>
      </c>
      <c r="U544" s="207">
        <f>'[3]JCPL LP_GSCMMS'!K526</f>
        <v>0</v>
      </c>
      <c r="V544" s="145"/>
    </row>
    <row r="545" spans="1:22" x14ac:dyDescent="0.2">
      <c r="A545" s="89">
        <f t="shared" si="20"/>
        <v>537</v>
      </c>
      <c r="B545" s="43">
        <v>15</v>
      </c>
      <c r="C545" s="43">
        <v>19</v>
      </c>
      <c r="D545" s="38" t="s">
        <v>630</v>
      </c>
      <c r="E545" s="44" t="s">
        <v>173</v>
      </c>
      <c r="F545" s="44" t="s">
        <v>31</v>
      </c>
      <c r="G545" s="44" t="s">
        <v>120</v>
      </c>
      <c r="H545" s="44" t="s">
        <v>35</v>
      </c>
      <c r="I545" s="44" t="s">
        <v>35</v>
      </c>
      <c r="J545" s="44" t="s">
        <v>11</v>
      </c>
      <c r="K545" s="44" t="s">
        <v>129</v>
      </c>
      <c r="L545" s="40">
        <v>1135</v>
      </c>
      <c r="M545" s="41">
        <v>41339</v>
      </c>
      <c r="N545" s="40" t="s">
        <v>122</v>
      </c>
      <c r="O545" s="42"/>
      <c r="P545" s="40"/>
      <c r="Q545" s="207">
        <f>'[3]JCPL LP_GSCSMS'!G526</f>
        <v>0</v>
      </c>
      <c r="R545" s="207">
        <f>'[3]JCPL LP_GSCSMS'!H526</f>
        <v>0</v>
      </c>
      <c r="S545" s="207">
        <f>'[3]JCPL LP_GSCSMS'!I526</f>
        <v>0</v>
      </c>
      <c r="T545" s="207">
        <f>'[3]JCPL LP_GSCSMS'!J526</f>
        <v>0</v>
      </c>
      <c r="U545" s="207">
        <f>'[3]JCPL LP_GSCSMS'!K526</f>
        <v>0</v>
      </c>
      <c r="V545" s="145"/>
    </row>
    <row r="546" spans="1:22" x14ac:dyDescent="0.2">
      <c r="A546" s="89">
        <f t="shared" si="20"/>
        <v>538</v>
      </c>
      <c r="B546" s="43">
        <v>15</v>
      </c>
      <c r="C546" s="43">
        <v>20</v>
      </c>
      <c r="D546" s="38" t="s">
        <v>631</v>
      </c>
      <c r="E546" s="44" t="s">
        <v>175</v>
      </c>
      <c r="F546" s="44" t="s">
        <v>6</v>
      </c>
      <c r="G546" s="44" t="s">
        <v>120</v>
      </c>
      <c r="H546" s="44" t="s">
        <v>176</v>
      </c>
      <c r="I546" s="44" t="s">
        <v>177</v>
      </c>
      <c r="J546" s="44" t="s">
        <v>9</v>
      </c>
      <c r="K546" s="44" t="s">
        <v>135</v>
      </c>
      <c r="L546" s="40">
        <v>1137</v>
      </c>
      <c r="M546" s="41">
        <v>41339</v>
      </c>
      <c r="N546" s="40" t="s">
        <v>122</v>
      </c>
      <c r="O546" s="42"/>
      <c r="P546" s="40"/>
      <c r="Q546" s="207">
        <f>'[3]MetEd RC_GSLFMS'!G526</f>
        <v>0</v>
      </c>
      <c r="R546" s="207">
        <f>'[3]MetEd RC_GSLFMS'!H526</f>
        <v>0</v>
      </c>
      <c r="S546" s="207">
        <f>'[3]MetEd RC_GSLFMS'!I526</f>
        <v>0</v>
      </c>
      <c r="T546" s="207">
        <f>'[3]MetEd RC_GSLFMS'!J526</f>
        <v>0</v>
      </c>
      <c r="U546" s="207">
        <f>'[3]MetEd RC_GSLFMS'!K526</f>
        <v>0</v>
      </c>
      <c r="V546" s="145"/>
    </row>
    <row r="547" spans="1:22" x14ac:dyDescent="0.2">
      <c r="A547" s="89">
        <f t="shared" si="20"/>
        <v>539</v>
      </c>
      <c r="B547" s="43">
        <v>15</v>
      </c>
      <c r="C547" s="43">
        <v>21</v>
      </c>
      <c r="D547" s="38" t="s">
        <v>632</v>
      </c>
      <c r="E547" s="44" t="s">
        <v>179</v>
      </c>
      <c r="F547" s="44" t="s">
        <v>6</v>
      </c>
      <c r="G547" s="44" t="s">
        <v>120</v>
      </c>
      <c r="H547" s="44" t="s">
        <v>176</v>
      </c>
      <c r="I547" s="44" t="s">
        <v>177</v>
      </c>
      <c r="J547" s="44" t="s">
        <v>10</v>
      </c>
      <c r="K547" s="44" t="s">
        <v>132</v>
      </c>
      <c r="L547" s="40">
        <v>1136</v>
      </c>
      <c r="M547" s="41">
        <v>41339</v>
      </c>
      <c r="N547" s="40" t="s">
        <v>122</v>
      </c>
      <c r="O547" s="42"/>
      <c r="P547" s="40"/>
      <c r="Q547" s="207">
        <f>'[3]MetEd RC_GSDFMS'!G526</f>
        <v>0</v>
      </c>
      <c r="R547" s="207">
        <f>'[3]MetEd RC_GSDFMS'!H526</f>
        <v>0</v>
      </c>
      <c r="S547" s="207">
        <f>'[3]MetEd RC_GSDFMS'!I526</f>
        <v>0</v>
      </c>
      <c r="T547" s="207">
        <f>'[3]MetEd RC_GSDFMS'!J526</f>
        <v>0</v>
      </c>
      <c r="U547" s="207">
        <f>'[3]MetEd RC_GSDFMS'!K526</f>
        <v>0</v>
      </c>
      <c r="V547" s="145"/>
    </row>
    <row r="548" spans="1:22" x14ac:dyDescent="0.2">
      <c r="A548" s="89">
        <f t="shared" si="20"/>
        <v>540</v>
      </c>
      <c r="B548" s="43">
        <v>15</v>
      </c>
      <c r="C548" s="43">
        <v>22</v>
      </c>
      <c r="D548" s="38" t="s">
        <v>633</v>
      </c>
      <c r="E548" s="44" t="s">
        <v>181</v>
      </c>
      <c r="F548" s="44" t="s">
        <v>6</v>
      </c>
      <c r="G548" s="44" t="s">
        <v>120</v>
      </c>
      <c r="H548" s="44" t="s">
        <v>176</v>
      </c>
      <c r="I548" s="44" t="s">
        <v>177</v>
      </c>
      <c r="J548" s="44" t="s">
        <v>11</v>
      </c>
      <c r="K548" s="44" t="s">
        <v>129</v>
      </c>
      <c r="L548" s="40">
        <v>1138</v>
      </c>
      <c r="M548" s="41">
        <v>41339</v>
      </c>
      <c r="N548" s="40" t="s">
        <v>122</v>
      </c>
      <c r="O548" s="42"/>
      <c r="P548" s="40"/>
      <c r="Q548" s="207">
        <f>'[3]MetEd RC_GSSFMS'!G526</f>
        <v>0</v>
      </c>
      <c r="R548" s="207">
        <f>'[3]MetEd RC_GSSFMS'!H526</f>
        <v>0</v>
      </c>
      <c r="S548" s="207">
        <f>'[3]MetEd RC_GSSFMS'!I526</f>
        <v>0</v>
      </c>
      <c r="T548" s="207">
        <f>'[3]MetEd RC_GSSFMS'!J526</f>
        <v>0</v>
      </c>
      <c r="U548" s="207">
        <f>'[3]MetEd RC_GSSFMS'!K526</f>
        <v>0</v>
      </c>
      <c r="V548" s="145"/>
    </row>
    <row r="549" spans="1:22" x14ac:dyDescent="0.2">
      <c r="A549" s="89">
        <f t="shared" si="20"/>
        <v>541</v>
      </c>
      <c r="B549" s="43">
        <v>15</v>
      </c>
      <c r="C549" s="43">
        <v>23</v>
      </c>
      <c r="D549" s="38" t="s">
        <v>634</v>
      </c>
      <c r="E549" s="44" t="s">
        <v>183</v>
      </c>
      <c r="F549" s="44" t="s">
        <v>6</v>
      </c>
      <c r="G549" s="44" t="s">
        <v>120</v>
      </c>
      <c r="H549" s="44" t="s">
        <v>13</v>
      </c>
      <c r="I549" s="44" t="s">
        <v>13</v>
      </c>
      <c r="J549" s="44" t="s">
        <v>7</v>
      </c>
      <c r="K549" s="44" t="s">
        <v>140</v>
      </c>
      <c r="L549" s="40">
        <v>1139</v>
      </c>
      <c r="M549" s="41">
        <v>41339</v>
      </c>
      <c r="N549" s="40" t="s">
        <v>122</v>
      </c>
      <c r="O549" s="42"/>
      <c r="P549" s="40"/>
      <c r="Q549" s="207">
        <f>'[3]PECO LP_GSMS'!G526</f>
        <v>0</v>
      </c>
      <c r="R549" s="207">
        <f>'[3]PECO LP_GSMS'!H526</f>
        <v>0</v>
      </c>
      <c r="S549" s="207">
        <f>'[3]PECO LP_GSMS'!I526</f>
        <v>0</v>
      </c>
      <c r="T549" s="207">
        <f>'[3]PECO LP_GSMS'!J526</f>
        <v>0</v>
      </c>
      <c r="U549" s="207">
        <f>'[3]PECO LP_GSMS'!K526</f>
        <v>0</v>
      </c>
      <c r="V549" s="145"/>
    </row>
    <row r="550" spans="1:22" x14ac:dyDescent="0.2">
      <c r="A550" s="89">
        <f t="shared" si="20"/>
        <v>542</v>
      </c>
      <c r="B550" s="43">
        <v>15</v>
      </c>
      <c r="C550" s="43">
        <v>24</v>
      </c>
      <c r="D550" s="38" t="s">
        <v>635</v>
      </c>
      <c r="E550" s="44" t="s">
        <v>185</v>
      </c>
      <c r="F550" s="44" t="s">
        <v>6</v>
      </c>
      <c r="G550" s="44" t="s">
        <v>120</v>
      </c>
      <c r="H550" s="44" t="s">
        <v>12</v>
      </c>
      <c r="I550" s="44" t="s">
        <v>186</v>
      </c>
      <c r="J550" s="44" t="s">
        <v>9</v>
      </c>
      <c r="K550" s="44" t="s">
        <v>135</v>
      </c>
      <c r="L550" s="40">
        <v>1140</v>
      </c>
      <c r="M550" s="41">
        <v>41339</v>
      </c>
      <c r="N550" s="40" t="s">
        <v>122</v>
      </c>
      <c r="O550" s="42"/>
      <c r="P550" s="40"/>
      <c r="Q550" s="207">
        <f>'[3]Penelec RC_GSLFMS'!G526</f>
        <v>0</v>
      </c>
      <c r="R550" s="207">
        <f>'[3]Penelec RC_GSLFMS'!H526</f>
        <v>0</v>
      </c>
      <c r="S550" s="207">
        <f>'[3]Penelec RC_GSLFMS'!I526</f>
        <v>0</v>
      </c>
      <c r="T550" s="207">
        <f>'[3]Penelec RC_GSLFMS'!J526</f>
        <v>0</v>
      </c>
      <c r="U550" s="207">
        <f>'[3]Penelec RC_GSLFMS'!K526</f>
        <v>0</v>
      </c>
      <c r="V550" s="145"/>
    </row>
    <row r="551" spans="1:22" x14ac:dyDescent="0.2">
      <c r="A551" s="89">
        <f t="shared" si="20"/>
        <v>543</v>
      </c>
      <c r="B551" s="43">
        <v>15</v>
      </c>
      <c r="C551" s="43">
        <v>25</v>
      </c>
      <c r="D551" s="38" t="s">
        <v>636</v>
      </c>
      <c r="E551" s="44" t="s">
        <v>188</v>
      </c>
      <c r="F551" s="44" t="s">
        <v>6</v>
      </c>
      <c r="G551" s="44" t="s">
        <v>120</v>
      </c>
      <c r="H551" s="44" t="s">
        <v>12</v>
      </c>
      <c r="I551" s="44" t="s">
        <v>186</v>
      </c>
      <c r="J551" s="44" t="s">
        <v>10</v>
      </c>
      <c r="K551" s="44" t="s">
        <v>132</v>
      </c>
      <c r="L551" s="40">
        <v>1141</v>
      </c>
      <c r="M551" s="41">
        <v>41339</v>
      </c>
      <c r="N551" s="40" t="s">
        <v>122</v>
      </c>
      <c r="O551" s="42"/>
      <c r="P551" s="40"/>
      <c r="Q551" s="207">
        <f>'[3]Penelec RC_GSMFMS'!G526</f>
        <v>0</v>
      </c>
      <c r="R551" s="207">
        <f>'[3]Penelec RC_GSMFMS'!H526</f>
        <v>0</v>
      </c>
      <c r="S551" s="207">
        <f>'[3]Penelec RC_GSMFMS'!I526</f>
        <v>0</v>
      </c>
      <c r="T551" s="207">
        <f>'[3]Penelec RC_GSMFMS'!J526</f>
        <v>0</v>
      </c>
      <c r="U551" s="207">
        <f>'[3]Penelec RC_GSMFMS'!K526</f>
        <v>0</v>
      </c>
      <c r="V551" s="145"/>
    </row>
    <row r="552" spans="1:22" x14ac:dyDescent="0.2">
      <c r="A552" s="89">
        <f t="shared" si="20"/>
        <v>544</v>
      </c>
      <c r="B552" s="43">
        <v>15</v>
      </c>
      <c r="C552" s="43">
        <v>26</v>
      </c>
      <c r="D552" s="38" t="s">
        <v>637</v>
      </c>
      <c r="E552" s="44" t="s">
        <v>190</v>
      </c>
      <c r="F552" s="44" t="s">
        <v>6</v>
      </c>
      <c r="G552" s="44" t="s">
        <v>120</v>
      </c>
      <c r="H552" s="44" t="s">
        <v>12</v>
      </c>
      <c r="I552" s="44" t="s">
        <v>186</v>
      </c>
      <c r="J552" s="44" t="s">
        <v>11</v>
      </c>
      <c r="K552" s="44" t="s">
        <v>129</v>
      </c>
      <c r="L552" s="40">
        <v>1142</v>
      </c>
      <c r="M552" s="41">
        <v>41339</v>
      </c>
      <c r="N552" s="40" t="s">
        <v>122</v>
      </c>
      <c r="O552" s="42"/>
      <c r="P552" s="40"/>
      <c r="Q552" s="207">
        <f>'[3]Penelec RC_GSSFMS'!G526</f>
        <v>0</v>
      </c>
      <c r="R552" s="207">
        <f>'[3]Penelec RC_GSSFMS'!H526</f>
        <v>0</v>
      </c>
      <c r="S552" s="207">
        <f>'[3]Penelec RC_GSSFMS'!I526</f>
        <v>0</v>
      </c>
      <c r="T552" s="207">
        <f>'[3]Penelec RC_GSSFMS'!J526</f>
        <v>0</v>
      </c>
      <c r="U552" s="207">
        <f>'[3]Penelec RC_GSSFMS'!K526</f>
        <v>0</v>
      </c>
      <c r="V552" s="145"/>
    </row>
    <row r="553" spans="1:22" x14ac:dyDescent="0.2">
      <c r="A553" s="89">
        <f t="shared" si="20"/>
        <v>545</v>
      </c>
      <c r="B553" s="43">
        <v>15</v>
      </c>
      <c r="C553" s="43">
        <v>27</v>
      </c>
      <c r="D553" s="38" t="s">
        <v>638</v>
      </c>
      <c r="E553" s="44" t="s">
        <v>192</v>
      </c>
      <c r="F553" s="44" t="s">
        <v>6</v>
      </c>
      <c r="G553" s="44" t="s">
        <v>120</v>
      </c>
      <c r="H553" s="44" t="s">
        <v>100</v>
      </c>
      <c r="I553" s="44" t="s">
        <v>193</v>
      </c>
      <c r="J553" s="44" t="s">
        <v>7</v>
      </c>
      <c r="K553" s="44" t="s">
        <v>140</v>
      </c>
      <c r="L553" s="40">
        <v>1143</v>
      </c>
      <c r="M553" s="41">
        <v>41339</v>
      </c>
      <c r="N553" s="40" t="s">
        <v>122</v>
      </c>
      <c r="O553" s="42"/>
      <c r="P553" s="40"/>
      <c r="Q553" s="207">
        <f>'[3]Penn Power RC_GMDMS'!G526</f>
        <v>0</v>
      </c>
      <c r="R553" s="207">
        <f>'[3]Penn Power RC_GMDMS'!H526</f>
        <v>0</v>
      </c>
      <c r="S553" s="207">
        <f>'[3]Penn Power RC_GMDMS'!I526</f>
        <v>0</v>
      </c>
      <c r="T553" s="207">
        <f>'[3]Penn Power RC_GMDMS'!J526</f>
        <v>0</v>
      </c>
      <c r="U553" s="207">
        <f>'[3]Penn Power RC_GMDMS'!K526</f>
        <v>0</v>
      </c>
      <c r="V553" s="145"/>
    </row>
    <row r="554" spans="1:22" x14ac:dyDescent="0.2">
      <c r="A554" s="89">
        <f t="shared" si="20"/>
        <v>546</v>
      </c>
      <c r="B554" s="43">
        <v>15</v>
      </c>
      <c r="C554" s="43">
        <v>28</v>
      </c>
      <c r="D554" s="38" t="s">
        <v>639</v>
      </c>
      <c r="E554" s="44" t="s">
        <v>195</v>
      </c>
      <c r="F554" s="44" t="s">
        <v>39</v>
      </c>
      <c r="G554" s="44" t="s">
        <v>120</v>
      </c>
      <c r="H554" s="44" t="s">
        <v>44</v>
      </c>
      <c r="I554" s="44" t="s">
        <v>44</v>
      </c>
      <c r="J554" s="44" t="s">
        <v>7</v>
      </c>
      <c r="K554" s="44" t="s">
        <v>140</v>
      </c>
      <c r="L554" s="40">
        <v>1144</v>
      </c>
      <c r="M554" s="41">
        <v>41339</v>
      </c>
      <c r="N554" s="40" t="s">
        <v>122</v>
      </c>
      <c r="O554" s="42"/>
      <c r="P554" s="40"/>
      <c r="Q554" s="207">
        <f>'[3]PEPCO MD LP_MDNDMS'!G526</f>
        <v>0</v>
      </c>
      <c r="R554" s="207">
        <f>'[3]PEPCO MD LP_MDNDMS'!H526</f>
        <v>0</v>
      </c>
      <c r="S554" s="207">
        <f>'[3]PEPCO MD LP_MDNDMS'!I526</f>
        <v>0</v>
      </c>
      <c r="T554" s="207">
        <f>'[3]PEPCO MD LP_MDNDMS'!J526</f>
        <v>0</v>
      </c>
      <c r="U554" s="207">
        <f>'[3]PEPCO MD LP_MDNDMS'!K526</f>
        <v>0</v>
      </c>
      <c r="V554" s="145"/>
    </row>
    <row r="555" spans="1:22" x14ac:dyDescent="0.2">
      <c r="A555" s="89">
        <f t="shared" si="20"/>
        <v>547</v>
      </c>
      <c r="B555" s="43">
        <v>15</v>
      </c>
      <c r="C555" s="43">
        <v>29</v>
      </c>
      <c r="D555" s="38" t="s">
        <v>640</v>
      </c>
      <c r="E555" s="44" t="s">
        <v>197</v>
      </c>
      <c r="F555" s="44" t="s">
        <v>39</v>
      </c>
      <c r="G555" s="44" t="s">
        <v>120</v>
      </c>
      <c r="H555" s="44" t="s">
        <v>44</v>
      </c>
      <c r="I555" s="44" t="s">
        <v>44</v>
      </c>
      <c r="J555" s="44" t="s">
        <v>45</v>
      </c>
      <c r="K555" s="44" t="s">
        <v>198</v>
      </c>
      <c r="L555" s="40">
        <v>1145</v>
      </c>
      <c r="M555" s="41">
        <v>41339</v>
      </c>
      <c r="N555" s="40" t="s">
        <v>122</v>
      </c>
      <c r="O555" s="42"/>
      <c r="P555" s="40"/>
      <c r="Q555" s="207">
        <f>'[3]PEPCO MD LP_MMGTL2AMS'!G526</f>
        <v>0</v>
      </c>
      <c r="R555" s="207">
        <f>'[3]PEPCO MD LP_MMGTL2AMS'!H526</f>
        <v>0</v>
      </c>
      <c r="S555" s="207">
        <f>'[3]PEPCO MD LP_MMGTL2AMS'!I526</f>
        <v>0</v>
      </c>
      <c r="T555" s="207">
        <f>'[3]PEPCO MD LP_MMGTL2AMS'!J526</f>
        <v>0</v>
      </c>
      <c r="U555" s="207">
        <f>'[3]PEPCO MD LP_MMGTL2AMS'!K526</f>
        <v>0</v>
      </c>
      <c r="V555" s="145"/>
    </row>
    <row r="556" spans="1:22" x14ac:dyDescent="0.2">
      <c r="A556" s="89">
        <f t="shared" si="20"/>
        <v>548</v>
      </c>
      <c r="B556" s="43">
        <v>15</v>
      </c>
      <c r="C556" s="43">
        <v>30</v>
      </c>
      <c r="D556" s="38" t="s">
        <v>641</v>
      </c>
      <c r="E556" s="44" t="s">
        <v>200</v>
      </c>
      <c r="F556" s="44" t="s">
        <v>39</v>
      </c>
      <c r="G556" s="44" t="s">
        <v>120</v>
      </c>
      <c r="H556" s="44" t="s">
        <v>44</v>
      </c>
      <c r="I556" s="44" t="s">
        <v>44</v>
      </c>
      <c r="J556" s="44" t="s">
        <v>46</v>
      </c>
      <c r="K556" s="44" t="s">
        <v>46</v>
      </c>
      <c r="L556" s="40">
        <v>1146</v>
      </c>
      <c r="M556" s="41">
        <v>41339</v>
      </c>
      <c r="N556" s="40" t="s">
        <v>122</v>
      </c>
      <c r="O556" s="42"/>
      <c r="P556" s="40"/>
      <c r="Q556" s="207">
        <f>'[3]PEPCO MD RC_3T7MS'!G526</f>
        <v>0</v>
      </c>
      <c r="R556" s="207">
        <f>'[3]PEPCO MD RC_3T7MS'!H526</f>
        <v>0</v>
      </c>
      <c r="S556" s="207">
        <f>'[3]PEPCO MD RC_3T7MS'!I526</f>
        <v>0</v>
      </c>
      <c r="T556" s="207">
        <f>'[3]PEPCO MD RC_3T7MS'!J526</f>
        <v>0</v>
      </c>
      <c r="U556" s="207">
        <f>'[3]PEPCO MD RC_3T7MS'!K526</f>
        <v>0</v>
      </c>
      <c r="V556" s="145"/>
    </row>
    <row r="557" spans="1:22" x14ac:dyDescent="0.2">
      <c r="A557" s="89">
        <f t="shared" si="20"/>
        <v>549</v>
      </c>
      <c r="B557" s="43">
        <v>15</v>
      </c>
      <c r="C557" s="43">
        <v>31</v>
      </c>
      <c r="D557" s="38" t="s">
        <v>642</v>
      </c>
      <c r="E557" s="44" t="s">
        <v>202</v>
      </c>
      <c r="F557" s="44" t="s">
        <v>39</v>
      </c>
      <c r="G557" s="44" t="s">
        <v>120</v>
      </c>
      <c r="H557" s="44" t="s">
        <v>47</v>
      </c>
      <c r="I557" s="44" t="s">
        <v>47</v>
      </c>
      <c r="J557" s="44" t="s">
        <v>7</v>
      </c>
      <c r="K557" s="44" t="s">
        <v>140</v>
      </c>
      <c r="L557" s="40">
        <v>1147</v>
      </c>
      <c r="M557" s="41">
        <v>41339</v>
      </c>
      <c r="N557" s="40" t="s">
        <v>122</v>
      </c>
      <c r="O557" s="42"/>
      <c r="P557" s="40"/>
      <c r="Q557" s="207">
        <f>'[3]Potomac Edison LP_GSCM_MMS'!G526</f>
        <v>0</v>
      </c>
      <c r="R557" s="207">
        <f>'[3]Potomac Edison LP_GSCM_MMS'!H526</f>
        <v>0</v>
      </c>
      <c r="S557" s="207">
        <f>'[3]Potomac Edison LP_GSCM_MMS'!I526</f>
        <v>0</v>
      </c>
      <c r="T557" s="207">
        <f>'[3]Potomac Edison LP_GSCM_MMS'!J526</f>
        <v>0</v>
      </c>
      <c r="U557" s="207">
        <f>'[3]Potomac Edison LP_GSCM_MMS'!K526</f>
        <v>0</v>
      </c>
      <c r="V557" s="145"/>
    </row>
    <row r="558" spans="1:22" x14ac:dyDescent="0.2">
      <c r="A558" s="89">
        <f t="shared" si="20"/>
        <v>550</v>
      </c>
      <c r="B558" s="43">
        <v>15</v>
      </c>
      <c r="C558" s="43">
        <v>32</v>
      </c>
      <c r="D558" s="38" t="s">
        <v>643</v>
      </c>
      <c r="E558" s="44" t="s">
        <v>204</v>
      </c>
      <c r="F558" s="44" t="s">
        <v>6</v>
      </c>
      <c r="G558" s="44" t="s">
        <v>120</v>
      </c>
      <c r="H558" s="44" t="s">
        <v>14</v>
      </c>
      <c r="I558" s="44" t="s">
        <v>14</v>
      </c>
      <c r="J558" s="44" t="s">
        <v>15</v>
      </c>
      <c r="K558" s="44" t="s">
        <v>129</v>
      </c>
      <c r="L558" s="40">
        <v>1148</v>
      </c>
      <c r="M558" s="41">
        <v>41339</v>
      </c>
      <c r="N558" s="40" t="s">
        <v>122</v>
      </c>
      <c r="O558" s="42"/>
      <c r="P558" s="40"/>
      <c r="Q558" s="207">
        <f>[3]PPL_RCGS1MS!G526</f>
        <v>0</v>
      </c>
      <c r="R558" s="207">
        <f>[3]PPL_RCGS1MS!H526</f>
        <v>0</v>
      </c>
      <c r="S558" s="207">
        <f>[3]PPL_RCGS1MS!I526</f>
        <v>0</v>
      </c>
      <c r="T558" s="207">
        <f>[3]PPL_RCGS1MS!J526</f>
        <v>0</v>
      </c>
      <c r="U558" s="207">
        <f>[3]PPL_RCGS1MS!K526</f>
        <v>0</v>
      </c>
      <c r="V558" s="145"/>
    </row>
    <row r="559" spans="1:22" x14ac:dyDescent="0.2">
      <c r="A559" s="89">
        <f t="shared" si="20"/>
        <v>551</v>
      </c>
      <c r="B559" s="43">
        <v>15</v>
      </c>
      <c r="C559" s="43">
        <v>33</v>
      </c>
      <c r="D559" s="38" t="s">
        <v>644</v>
      </c>
      <c r="E559" s="44" t="s">
        <v>206</v>
      </c>
      <c r="F559" s="44" t="s">
        <v>6</v>
      </c>
      <c r="G559" s="44" t="s">
        <v>120</v>
      </c>
      <c r="H559" s="44" t="s">
        <v>14</v>
      </c>
      <c r="I559" s="44" t="s">
        <v>14</v>
      </c>
      <c r="J559" s="44" t="s">
        <v>16</v>
      </c>
      <c r="K559" s="44" t="s">
        <v>135</v>
      </c>
      <c r="L559" s="40">
        <v>1149</v>
      </c>
      <c r="M559" s="41">
        <v>41339</v>
      </c>
      <c r="N559" s="40" t="s">
        <v>122</v>
      </c>
      <c r="O559" s="42"/>
      <c r="P559" s="40"/>
      <c r="Q559" s="207">
        <f>[3]PPL_RCGS3MS!G526</f>
        <v>0</v>
      </c>
      <c r="R559" s="207">
        <f>[3]PPL_RCGS3MS!H526</f>
        <v>0</v>
      </c>
      <c r="S559" s="207">
        <f>[3]PPL_RCGS3MS!I526</f>
        <v>0</v>
      </c>
      <c r="T559" s="207">
        <f>[3]PPL_RCGS3MS!J526</f>
        <v>0</v>
      </c>
      <c r="U559" s="207">
        <f>[3]PPL_RCGS3MS!K526</f>
        <v>0</v>
      </c>
      <c r="V559" s="145"/>
    </row>
    <row r="560" spans="1:22" x14ac:dyDescent="0.2">
      <c r="A560" s="89">
        <f t="shared" si="20"/>
        <v>552</v>
      </c>
      <c r="B560" s="43">
        <v>15</v>
      </c>
      <c r="C560" s="43">
        <v>34</v>
      </c>
      <c r="D560" s="38" t="s">
        <v>645</v>
      </c>
      <c r="E560" s="44" t="s">
        <v>208</v>
      </c>
      <c r="F560" s="44" t="s">
        <v>31</v>
      </c>
      <c r="G560" s="44" t="s">
        <v>120</v>
      </c>
      <c r="H560" s="44" t="s">
        <v>36</v>
      </c>
      <c r="I560" s="44" t="s">
        <v>36</v>
      </c>
      <c r="J560" s="44" t="s">
        <v>37</v>
      </c>
      <c r="K560" s="44" t="s">
        <v>209</v>
      </c>
      <c r="L560" s="40">
        <v>1150</v>
      </c>
      <c r="M560" s="41">
        <v>41339</v>
      </c>
      <c r="N560" s="40" t="s">
        <v>122</v>
      </c>
      <c r="O560" s="42"/>
      <c r="P560" s="40"/>
      <c r="Q560" s="207">
        <f>'[3]PSEG LP_GLP_MMS'!G526</f>
        <v>0</v>
      </c>
      <c r="R560" s="207">
        <f>'[3]PSEG LP_GLP_MMS'!H526</f>
        <v>0</v>
      </c>
      <c r="S560" s="207">
        <f>'[3]PSEG LP_GLP_MMS'!I526</f>
        <v>0</v>
      </c>
      <c r="T560" s="207">
        <f>'[3]PSEG LP_GLP_MMS'!J526</f>
        <v>0</v>
      </c>
      <c r="U560" s="207">
        <f>'[3]PSEG LP_GLP_MMS'!K526</f>
        <v>0</v>
      </c>
      <c r="V560" s="145"/>
    </row>
    <row r="561" spans="1:22" x14ac:dyDescent="0.2">
      <c r="A561" s="89">
        <f t="shared" si="20"/>
        <v>553</v>
      </c>
      <c r="B561" s="43">
        <v>15</v>
      </c>
      <c r="C561" s="43">
        <v>35</v>
      </c>
      <c r="D561" s="38" t="s">
        <v>646</v>
      </c>
      <c r="E561" s="44" t="s">
        <v>211</v>
      </c>
      <c r="F561" s="44" t="s">
        <v>31</v>
      </c>
      <c r="G561" s="44" t="s">
        <v>120</v>
      </c>
      <c r="H561" s="44" t="s">
        <v>36</v>
      </c>
      <c r="I561" s="44" t="s">
        <v>36</v>
      </c>
      <c r="J561" s="44" t="s">
        <v>38</v>
      </c>
      <c r="K561" s="44" t="s">
        <v>212</v>
      </c>
      <c r="L561" s="40">
        <v>1151</v>
      </c>
      <c r="M561" s="41">
        <v>41339</v>
      </c>
      <c r="N561" s="40" t="s">
        <v>122</v>
      </c>
      <c r="O561" s="42"/>
      <c r="P561" s="40"/>
      <c r="Q561" s="207">
        <f>'[3]PSEG LP_LPLMS'!G526</f>
        <v>0</v>
      </c>
      <c r="R561" s="207">
        <f>'[3]PSEG LP_LPLMS'!H526</f>
        <v>0</v>
      </c>
      <c r="S561" s="207">
        <f>'[3]PSEG LP_LPLMS'!I526</f>
        <v>0</v>
      </c>
      <c r="T561" s="207">
        <f>'[3]PSEG LP_LPLMS'!J526</f>
        <v>0</v>
      </c>
      <c r="U561" s="207">
        <f>'[3]PSEG LP_LPLMS'!K526</f>
        <v>0</v>
      </c>
      <c r="V561" s="145"/>
    </row>
    <row r="562" spans="1:22" x14ac:dyDescent="0.2">
      <c r="A562" s="89">
        <f t="shared" si="20"/>
        <v>554</v>
      </c>
      <c r="B562" s="43">
        <v>15</v>
      </c>
      <c r="C562" s="43">
        <v>36</v>
      </c>
      <c r="D562" s="38" t="s">
        <v>647</v>
      </c>
      <c r="E562" s="44" t="s">
        <v>214</v>
      </c>
      <c r="F562" s="44" t="s">
        <v>6</v>
      </c>
      <c r="G562" s="44" t="s">
        <v>120</v>
      </c>
      <c r="H562" s="44" t="s">
        <v>17</v>
      </c>
      <c r="I562" s="44" t="s">
        <v>215</v>
      </c>
      <c r="J562" s="44" t="s">
        <v>18</v>
      </c>
      <c r="K562" s="44" t="s">
        <v>140</v>
      </c>
      <c r="L562" s="40">
        <v>1152</v>
      </c>
      <c r="M562" s="41">
        <v>41339</v>
      </c>
      <c r="N562" s="40" t="s">
        <v>122</v>
      </c>
      <c r="O562" s="42"/>
      <c r="P562" s="40"/>
      <c r="Q562" s="207">
        <f>'[3]West Penn Power LP_GSCMMS'!G526</f>
        <v>0</v>
      </c>
      <c r="R562" s="207">
        <f>'[3]West Penn Power LP_GSCMMS'!H526</f>
        <v>0</v>
      </c>
      <c r="S562" s="207">
        <f>'[3]West Penn Power LP_GSCMMS'!I526</f>
        <v>0</v>
      </c>
      <c r="T562" s="207">
        <f>'[3]West Penn Power LP_GSCMMS'!J526</f>
        <v>0</v>
      </c>
      <c r="U562" s="207">
        <f>'[3]West Penn Power LP_GSCMMS'!K526</f>
        <v>0</v>
      </c>
      <c r="V562" s="145"/>
    </row>
    <row r="563" spans="1:22" x14ac:dyDescent="0.2">
      <c r="A563" s="89">
        <f t="shared" si="20"/>
        <v>555</v>
      </c>
      <c r="B563" s="20"/>
      <c r="C563" s="20"/>
      <c r="D563" s="20"/>
      <c r="Q563" s="208"/>
      <c r="R563" s="208"/>
      <c r="S563" s="208"/>
      <c r="T563" s="208"/>
      <c r="U563" s="208"/>
    </row>
    <row r="564" spans="1:22" x14ac:dyDescent="0.2">
      <c r="A564" s="89">
        <f t="shared" si="20"/>
        <v>556</v>
      </c>
      <c r="B564" s="43">
        <v>16</v>
      </c>
      <c r="C564" s="43">
        <v>1</v>
      </c>
      <c r="D564" s="38" t="s">
        <v>612</v>
      </c>
      <c r="E564" s="44" t="s">
        <v>119</v>
      </c>
      <c r="F564" s="44" t="s">
        <v>31</v>
      </c>
      <c r="G564" s="44" t="s">
        <v>120</v>
      </c>
      <c r="H564" s="44" t="s">
        <v>32</v>
      </c>
      <c r="I564" s="44" t="s">
        <v>32</v>
      </c>
      <c r="J564" s="44" t="s">
        <v>33</v>
      </c>
      <c r="K564" s="44" t="s">
        <v>121</v>
      </c>
      <c r="L564" s="40">
        <v>1117</v>
      </c>
      <c r="M564" s="41">
        <v>41339</v>
      </c>
      <c r="N564" s="40" t="s">
        <v>122</v>
      </c>
      <c r="O564" s="42"/>
      <c r="P564" s="40"/>
      <c r="Q564" s="207">
        <f>'[3]AECO LP_10V1_SMS'!G563</f>
        <v>0</v>
      </c>
      <c r="R564" s="207">
        <f>'[3]AECO LP_10V1_SMS'!H563</f>
        <v>0</v>
      </c>
      <c r="S564" s="207">
        <f>'[3]AECO LP_10V1_SMS'!I563</f>
        <v>0</v>
      </c>
      <c r="T564" s="207">
        <f>'[3]AECO LP_10V1_SMS'!J563</f>
        <v>0</v>
      </c>
      <c r="U564" s="207">
        <f>'[3]AECO LP_10V1_SMS'!K563</f>
        <v>0</v>
      </c>
      <c r="V564" s="145"/>
    </row>
    <row r="565" spans="1:22" x14ac:dyDescent="0.2">
      <c r="A565" s="89">
        <f t="shared" si="20"/>
        <v>557</v>
      </c>
      <c r="B565" s="43">
        <v>16</v>
      </c>
      <c r="C565" s="43">
        <v>2</v>
      </c>
      <c r="D565" s="38" t="s">
        <v>613</v>
      </c>
      <c r="E565" s="44" t="s">
        <v>124</v>
      </c>
      <c r="F565" s="44" t="s">
        <v>31</v>
      </c>
      <c r="G565" s="44" t="s">
        <v>120</v>
      </c>
      <c r="H565" s="44" t="s">
        <v>32</v>
      </c>
      <c r="I565" s="44" t="s">
        <v>32</v>
      </c>
      <c r="J565" s="44" t="s">
        <v>34</v>
      </c>
      <c r="K565" s="44" t="s">
        <v>125</v>
      </c>
      <c r="L565" s="40">
        <v>1118</v>
      </c>
      <c r="M565" s="41">
        <v>41339</v>
      </c>
      <c r="N565" s="40" t="s">
        <v>122</v>
      </c>
      <c r="O565" s="42"/>
      <c r="P565" s="40"/>
      <c r="Q565" s="207">
        <f>'[3]AECO LP_14V1_MMS'!G563</f>
        <v>0</v>
      </c>
      <c r="R565" s="207">
        <f>'[3]AECO LP_14V1_MMS'!H563</f>
        <v>0</v>
      </c>
      <c r="S565" s="207">
        <f>'[3]AECO LP_14V1_MMS'!I563</f>
        <v>0</v>
      </c>
      <c r="T565" s="207">
        <f>'[3]AECO LP_14V1_MMS'!J563</f>
        <v>0</v>
      </c>
      <c r="U565" s="207">
        <f>'[3]AECO LP_14V1_MMS'!K563</f>
        <v>0</v>
      </c>
      <c r="V565" s="145"/>
    </row>
    <row r="566" spans="1:22" x14ac:dyDescent="0.2">
      <c r="A566" s="89">
        <f t="shared" si="20"/>
        <v>558</v>
      </c>
      <c r="B566" s="43">
        <v>16</v>
      </c>
      <c r="C566" s="43">
        <v>3</v>
      </c>
      <c r="D566" s="38" t="s">
        <v>614</v>
      </c>
      <c r="E566" s="44" t="s">
        <v>127</v>
      </c>
      <c r="F566" s="44" t="s">
        <v>20</v>
      </c>
      <c r="G566" s="44" t="s">
        <v>120</v>
      </c>
      <c r="H566" s="44" t="s">
        <v>63</v>
      </c>
      <c r="I566" s="44" t="s">
        <v>128</v>
      </c>
      <c r="J566" s="44" t="s">
        <v>15</v>
      </c>
      <c r="K566" s="44" t="s">
        <v>129</v>
      </c>
      <c r="L566" s="40">
        <v>1119</v>
      </c>
      <c r="M566" s="41">
        <v>41339</v>
      </c>
      <c r="N566" s="40" t="s">
        <v>122</v>
      </c>
      <c r="O566" s="42"/>
      <c r="P566" s="40"/>
      <c r="Q566" s="207">
        <f>'[3]AEP_OH_CS - test CSGS1MS'!G563</f>
        <v>0</v>
      </c>
      <c r="R566" s="207">
        <f>'[3]AEP_OH_CS - test CSGS1MS'!H563</f>
        <v>0</v>
      </c>
      <c r="S566" s="207">
        <f>'[3]AEP_OH_CS - test CSGS1MS'!I563</f>
        <v>0</v>
      </c>
      <c r="T566" s="207">
        <f>'[3]AEP_OH_CS - test CSGS1MS'!J563</f>
        <v>0</v>
      </c>
      <c r="U566" s="207">
        <f>'[3]AEP_OH_CS - test CSGS1MS'!K563</f>
        <v>0</v>
      </c>
      <c r="V566" s="145"/>
    </row>
    <row r="567" spans="1:22" x14ac:dyDescent="0.2">
      <c r="A567" s="89">
        <f t="shared" si="20"/>
        <v>559</v>
      </c>
      <c r="B567" s="43">
        <v>16</v>
      </c>
      <c r="C567" s="43">
        <v>4</v>
      </c>
      <c r="D567" s="38" t="s">
        <v>615</v>
      </c>
      <c r="E567" s="44" t="s">
        <v>131</v>
      </c>
      <c r="F567" s="44" t="s">
        <v>20</v>
      </c>
      <c r="G567" s="44" t="s">
        <v>120</v>
      </c>
      <c r="H567" s="44" t="s">
        <v>63</v>
      </c>
      <c r="I567" s="44" t="s">
        <v>128</v>
      </c>
      <c r="J567" s="44" t="s">
        <v>21</v>
      </c>
      <c r="K567" s="44" t="s">
        <v>132</v>
      </c>
      <c r="L567" s="40">
        <v>1120</v>
      </c>
      <c r="M567" s="41">
        <v>41339</v>
      </c>
      <c r="N567" s="40" t="s">
        <v>122</v>
      </c>
      <c r="O567" s="42"/>
      <c r="P567" s="40"/>
      <c r="Q567" s="207">
        <f>'[3]AEP_OH_CS - test CSGS2UMS'!G563</f>
        <v>0</v>
      </c>
      <c r="R567" s="207">
        <f>'[3]AEP_OH_CS - test CSGS2UMS'!H563</f>
        <v>0</v>
      </c>
      <c r="S567" s="207">
        <f>'[3]AEP_OH_CS - test CSGS2UMS'!I563</f>
        <v>0</v>
      </c>
      <c r="T567" s="207">
        <f>'[3]AEP_OH_CS - test CSGS2UMS'!J563</f>
        <v>0</v>
      </c>
      <c r="U567" s="207">
        <f>'[3]AEP_OH_CS - test CSGS2UMS'!K563</f>
        <v>0</v>
      </c>
      <c r="V567" s="145"/>
    </row>
    <row r="568" spans="1:22" x14ac:dyDescent="0.2">
      <c r="A568" s="89">
        <f t="shared" si="20"/>
        <v>560</v>
      </c>
      <c r="B568" s="43">
        <v>16</v>
      </c>
      <c r="C568" s="43">
        <v>5</v>
      </c>
      <c r="D568" s="38" t="s">
        <v>616</v>
      </c>
      <c r="E568" s="44" t="s">
        <v>134</v>
      </c>
      <c r="F568" s="44" t="s">
        <v>20</v>
      </c>
      <c r="G568" s="44" t="s">
        <v>120</v>
      </c>
      <c r="H568" s="44" t="s">
        <v>63</v>
      </c>
      <c r="I568" s="44" t="s">
        <v>128</v>
      </c>
      <c r="J568" s="44" t="s">
        <v>16</v>
      </c>
      <c r="K568" s="44" t="s">
        <v>135</v>
      </c>
      <c r="L568" s="40">
        <v>1121</v>
      </c>
      <c r="M568" s="41">
        <v>41339</v>
      </c>
      <c r="N568" s="40" t="s">
        <v>122</v>
      </c>
      <c r="O568" s="42"/>
      <c r="P568" s="40"/>
      <c r="Q568" s="207">
        <f>'[3]AEP_OH_CS - test CSGS3UMS'!G563</f>
        <v>0</v>
      </c>
      <c r="R568" s="207">
        <f>'[3]AEP_OH_CS - test CSGS3UMS'!H563</f>
        <v>0</v>
      </c>
      <c r="S568" s="207">
        <f>'[3]AEP_OH_CS - test CSGS3UMS'!I563</f>
        <v>0</v>
      </c>
      <c r="T568" s="207">
        <f>'[3]AEP_OH_CS - test CSGS3UMS'!J563</f>
        <v>0</v>
      </c>
      <c r="U568" s="207">
        <f>'[3]AEP_OH_CS - test CSGS3UMS'!K563</f>
        <v>0</v>
      </c>
      <c r="V568" s="145"/>
    </row>
    <row r="569" spans="1:22" x14ac:dyDescent="0.2">
      <c r="A569" s="89">
        <f t="shared" si="20"/>
        <v>561</v>
      </c>
      <c r="B569" s="43">
        <v>16</v>
      </c>
      <c r="C569" s="43">
        <v>6</v>
      </c>
      <c r="D569" s="38" t="s">
        <v>617</v>
      </c>
      <c r="E569" s="44" t="s">
        <v>137</v>
      </c>
      <c r="F569" s="44" t="s">
        <v>25</v>
      </c>
      <c r="G569" s="44" t="s">
        <v>138</v>
      </c>
      <c r="H569" s="44" t="s">
        <v>139</v>
      </c>
      <c r="I569" s="44" t="s">
        <v>29</v>
      </c>
      <c r="J569" s="44" t="s">
        <v>30</v>
      </c>
      <c r="K569" s="44" t="s">
        <v>140</v>
      </c>
      <c r="L569" s="40">
        <v>1122</v>
      </c>
      <c r="M569" s="41">
        <v>41339</v>
      </c>
      <c r="N569" s="40" t="s">
        <v>122</v>
      </c>
      <c r="O569" s="42"/>
      <c r="P569" s="40"/>
      <c r="Q569" s="207">
        <f>'[3]Ameren RateZnIII LP DS2HHMS'!G563</f>
        <v>0</v>
      </c>
      <c r="R569" s="207">
        <f>'[3]Ameren RateZnIII LP DS2HHMS'!H563</f>
        <v>0</v>
      </c>
      <c r="S569" s="207">
        <f>'[3]Ameren RateZnIII LP DS2HHMS'!I563</f>
        <v>0</v>
      </c>
      <c r="T569" s="207">
        <f>'[3]Ameren RateZnIII LP DS2HHMS'!J563</f>
        <v>0</v>
      </c>
      <c r="U569" s="207">
        <f>'[3]Ameren RateZnIII LP DS2HHMS'!K563</f>
        <v>0</v>
      </c>
      <c r="V569" s="145"/>
    </row>
    <row r="570" spans="1:22" x14ac:dyDescent="0.2">
      <c r="A570" s="89">
        <f t="shared" si="20"/>
        <v>562</v>
      </c>
      <c r="B570" s="43">
        <v>16</v>
      </c>
      <c r="C570" s="43">
        <v>7</v>
      </c>
      <c r="D570" s="38" t="s">
        <v>618</v>
      </c>
      <c r="E570" s="44" t="s">
        <v>142</v>
      </c>
      <c r="F570" s="44" t="s">
        <v>39</v>
      </c>
      <c r="G570" s="44" t="s">
        <v>120</v>
      </c>
      <c r="H570" s="44" t="s">
        <v>40</v>
      </c>
      <c r="I570" s="44" t="s">
        <v>40</v>
      </c>
      <c r="J570" s="44" t="s">
        <v>42</v>
      </c>
      <c r="K570" s="44" t="s">
        <v>135</v>
      </c>
      <c r="L570" s="40">
        <v>1124</v>
      </c>
      <c r="M570" s="41">
        <v>41339</v>
      </c>
      <c r="N570" s="40" t="s">
        <v>122</v>
      </c>
      <c r="O570" s="42"/>
      <c r="P570" s="40"/>
      <c r="Q570" s="207">
        <f>'[3]BGE LP_GLMS'!G563</f>
        <v>0</v>
      </c>
      <c r="R570" s="207">
        <f>'[3]BGE LP_GLMS'!H563</f>
        <v>0</v>
      </c>
      <c r="S570" s="207">
        <f>'[3]BGE LP_GLMS'!I563</f>
        <v>0</v>
      </c>
      <c r="T570" s="207">
        <f>'[3]BGE LP_GLMS'!J563</f>
        <v>0</v>
      </c>
      <c r="U570" s="207">
        <f>'[3]BGE LP_GLMS'!K563</f>
        <v>0</v>
      </c>
      <c r="V570" s="145"/>
    </row>
    <row r="571" spans="1:22" x14ac:dyDescent="0.2">
      <c r="A571" s="89">
        <f t="shared" si="20"/>
        <v>563</v>
      </c>
      <c r="B571" s="43">
        <v>16</v>
      </c>
      <c r="C571" s="43">
        <v>8</v>
      </c>
      <c r="D571" s="38" t="s">
        <v>619</v>
      </c>
      <c r="E571" s="44" t="s">
        <v>144</v>
      </c>
      <c r="F571" s="44" t="s">
        <v>39</v>
      </c>
      <c r="G571" s="44" t="s">
        <v>120</v>
      </c>
      <c r="H571" s="44" t="s">
        <v>40</v>
      </c>
      <c r="I571" s="44" t="s">
        <v>40</v>
      </c>
      <c r="J571" s="44" t="s">
        <v>41</v>
      </c>
      <c r="K571" s="44" t="s">
        <v>132</v>
      </c>
      <c r="L571" s="40">
        <v>1123</v>
      </c>
      <c r="M571" s="41">
        <v>41339</v>
      </c>
      <c r="N571" s="40" t="s">
        <v>122</v>
      </c>
      <c r="O571" s="42"/>
      <c r="P571" s="40"/>
      <c r="Q571" s="207">
        <f>'[3]BGE LP_GMS'!G563</f>
        <v>0</v>
      </c>
      <c r="R571" s="207">
        <f>'[3]BGE LP_GMS'!H563</f>
        <v>0</v>
      </c>
      <c r="S571" s="207">
        <f>'[3]BGE LP_GMS'!I563</f>
        <v>0</v>
      </c>
      <c r="T571" s="207">
        <f>'[3]BGE LP_GMS'!J563</f>
        <v>0</v>
      </c>
      <c r="U571" s="207">
        <f>'[3]BGE LP_GMS'!K563</f>
        <v>0</v>
      </c>
      <c r="V571" s="145"/>
    </row>
    <row r="572" spans="1:22" x14ac:dyDescent="0.2">
      <c r="A572" s="89">
        <f t="shared" si="20"/>
        <v>564</v>
      </c>
      <c r="B572" s="43">
        <v>16</v>
      </c>
      <c r="C572" s="43">
        <v>9</v>
      </c>
      <c r="D572" s="38" t="s">
        <v>620</v>
      </c>
      <c r="E572" s="44" t="s">
        <v>146</v>
      </c>
      <c r="F572" s="44" t="s">
        <v>39</v>
      </c>
      <c r="G572" s="44" t="s">
        <v>120</v>
      </c>
      <c r="H572" s="44" t="s">
        <v>40</v>
      </c>
      <c r="I572" s="44" t="s">
        <v>40</v>
      </c>
      <c r="J572" s="44" t="s">
        <v>7</v>
      </c>
      <c r="K572" s="44" t="s">
        <v>129</v>
      </c>
      <c r="L572" s="40">
        <v>1125</v>
      </c>
      <c r="M572" s="41">
        <v>41339</v>
      </c>
      <c r="N572" s="40" t="s">
        <v>122</v>
      </c>
      <c r="O572" s="42"/>
      <c r="P572" s="40"/>
      <c r="Q572" s="207">
        <f>'[3]BGE LP_GSMS'!G563</f>
        <v>0</v>
      </c>
      <c r="R572" s="207">
        <f>'[3]BGE LP_GSMS'!H563</f>
        <v>0</v>
      </c>
      <c r="S572" s="207">
        <f>'[3]BGE LP_GSMS'!I563</f>
        <v>0</v>
      </c>
      <c r="T572" s="207">
        <f>'[3]BGE LP_GSMS'!J563</f>
        <v>0</v>
      </c>
      <c r="U572" s="207">
        <f>'[3]BGE LP_GSMS'!K563</f>
        <v>0</v>
      </c>
      <c r="V572" s="145"/>
    </row>
    <row r="573" spans="1:22" x14ac:dyDescent="0.2">
      <c r="A573" s="89">
        <f t="shared" si="20"/>
        <v>565</v>
      </c>
      <c r="B573" s="43">
        <v>16</v>
      </c>
      <c r="C573" s="43">
        <v>10</v>
      </c>
      <c r="D573" s="38" t="s">
        <v>621</v>
      </c>
      <c r="E573" s="44" t="s">
        <v>148</v>
      </c>
      <c r="F573" s="44" t="s">
        <v>25</v>
      </c>
      <c r="G573" s="44" t="s">
        <v>120</v>
      </c>
      <c r="H573" s="44" t="s">
        <v>149</v>
      </c>
      <c r="I573" s="44" t="s">
        <v>26</v>
      </c>
      <c r="J573" s="44" t="s">
        <v>27</v>
      </c>
      <c r="K573" s="44" t="s">
        <v>150</v>
      </c>
      <c r="L573" s="40">
        <v>1126</v>
      </c>
      <c r="M573" s="41">
        <v>41339</v>
      </c>
      <c r="N573" s="40" t="s">
        <v>122</v>
      </c>
      <c r="O573" s="42"/>
      <c r="P573" s="40"/>
      <c r="Q573" s="207">
        <f>'[3]ComEd - test LP_28MS'!G563</f>
        <v>0</v>
      </c>
      <c r="R573" s="207">
        <f>'[3]ComEd - test LP_28MS'!H563</f>
        <v>0</v>
      </c>
      <c r="S573" s="207">
        <f>'[3]ComEd - test LP_28MS'!I563</f>
        <v>0</v>
      </c>
      <c r="T573" s="207">
        <f>'[3]ComEd - test LP_28MS'!J563</f>
        <v>0</v>
      </c>
      <c r="U573" s="207">
        <f>'[3]ComEd - test LP_28MS'!K563</f>
        <v>0</v>
      </c>
      <c r="V573" s="145"/>
    </row>
    <row r="574" spans="1:22" x14ac:dyDescent="0.2">
      <c r="A574" s="89">
        <f t="shared" si="20"/>
        <v>566</v>
      </c>
      <c r="B574" s="43">
        <v>16</v>
      </c>
      <c r="C574" s="43">
        <v>11</v>
      </c>
      <c r="D574" s="38" t="s">
        <v>622</v>
      </c>
      <c r="E574" s="44" t="s">
        <v>152</v>
      </c>
      <c r="F574" s="44" t="s">
        <v>25</v>
      </c>
      <c r="G574" s="44" t="s">
        <v>120</v>
      </c>
      <c r="H574" s="44" t="s">
        <v>149</v>
      </c>
      <c r="I574" s="44" t="s">
        <v>26</v>
      </c>
      <c r="J574" s="44" t="s">
        <v>28</v>
      </c>
      <c r="K574" s="44" t="s">
        <v>153</v>
      </c>
      <c r="L574" s="40">
        <v>1127</v>
      </c>
      <c r="M574" s="41">
        <v>41339</v>
      </c>
      <c r="N574" s="40" t="s">
        <v>122</v>
      </c>
      <c r="O574" s="42"/>
      <c r="P574" s="40"/>
      <c r="Q574" s="207">
        <f>'[3]ComEd - test LP_29MS'!G563</f>
        <v>0</v>
      </c>
      <c r="R574" s="207">
        <f>'[3]ComEd - test LP_29MS'!H563</f>
        <v>0</v>
      </c>
      <c r="S574" s="207">
        <f>'[3]ComEd - test LP_29MS'!I563</f>
        <v>0</v>
      </c>
      <c r="T574" s="207">
        <f>'[3]ComEd - test LP_29MS'!J563</f>
        <v>0</v>
      </c>
      <c r="U574" s="207">
        <f>'[3]ComEd - test LP_29MS'!K563</f>
        <v>0</v>
      </c>
      <c r="V574" s="145"/>
    </row>
    <row r="575" spans="1:22" x14ac:dyDescent="0.2">
      <c r="A575" s="89">
        <f t="shared" si="20"/>
        <v>567</v>
      </c>
      <c r="B575" s="43">
        <v>16</v>
      </c>
      <c r="C575" s="43">
        <v>12</v>
      </c>
      <c r="D575" s="38" t="s">
        <v>623</v>
      </c>
      <c r="E575" s="44" t="s">
        <v>155</v>
      </c>
      <c r="F575" s="44" t="s">
        <v>20</v>
      </c>
      <c r="G575" s="44" t="s">
        <v>120</v>
      </c>
      <c r="H575" s="44" t="s">
        <v>105</v>
      </c>
      <c r="I575" s="44" t="s">
        <v>156</v>
      </c>
      <c r="J575" s="44" t="s">
        <v>22</v>
      </c>
      <c r="K575" s="44" t="s">
        <v>157</v>
      </c>
      <c r="L575" s="40">
        <v>1128</v>
      </c>
      <c r="M575" s="41">
        <v>41339</v>
      </c>
      <c r="N575" s="40" t="s">
        <v>122</v>
      </c>
      <c r="O575" s="42"/>
      <c r="P575" s="40"/>
      <c r="Q575" s="207">
        <f>[3]DAY_RC_843MS!G563</f>
        <v>0</v>
      </c>
      <c r="R575" s="207">
        <f>[3]DAY_RC_843MS!H563</f>
        <v>0</v>
      </c>
      <c r="S575" s="207">
        <f>[3]DAY_RC_843MS!I563</f>
        <v>0</v>
      </c>
      <c r="T575" s="207">
        <f>[3]DAY_RC_843MS!J563</f>
        <v>0</v>
      </c>
      <c r="U575" s="207">
        <f>[3]DAY_RC_843MS!K563</f>
        <v>0</v>
      </c>
      <c r="V575" s="145"/>
    </row>
    <row r="576" spans="1:22" x14ac:dyDescent="0.2">
      <c r="A576" s="89">
        <f t="shared" si="20"/>
        <v>568</v>
      </c>
      <c r="B576" s="43">
        <v>16</v>
      </c>
      <c r="C576" s="43">
        <v>13</v>
      </c>
      <c r="D576" s="38" t="s">
        <v>624</v>
      </c>
      <c r="E576" s="44" t="s">
        <v>159</v>
      </c>
      <c r="F576" s="44" t="s">
        <v>39</v>
      </c>
      <c r="G576" s="44" t="s">
        <v>120</v>
      </c>
      <c r="H576" s="44" t="s">
        <v>43</v>
      </c>
      <c r="I576" s="44" t="s">
        <v>43</v>
      </c>
      <c r="J576" s="44" t="s">
        <v>7</v>
      </c>
      <c r="K576" s="44" t="s">
        <v>140</v>
      </c>
      <c r="L576" s="40">
        <v>1129</v>
      </c>
      <c r="M576" s="41">
        <v>41339</v>
      </c>
      <c r="N576" s="40" t="s">
        <v>122</v>
      </c>
      <c r="O576" s="42"/>
      <c r="P576" s="40"/>
      <c r="Q576" s="207">
        <f>'[3]Delmarva MD LP_MDGS_MMS'!G563</f>
        <v>0</v>
      </c>
      <c r="R576" s="207">
        <f>'[3]Delmarva MD LP_MDGS_MMS'!H563</f>
        <v>0</v>
      </c>
      <c r="S576" s="207">
        <f>'[3]Delmarva MD LP_MDGS_MMS'!I563</f>
        <v>0</v>
      </c>
      <c r="T576" s="207">
        <f>'[3]Delmarva MD LP_MDGS_MMS'!J563</f>
        <v>0</v>
      </c>
      <c r="U576" s="207">
        <f>'[3]Delmarva MD LP_MDGS_MMS'!K563</f>
        <v>0</v>
      </c>
      <c r="V576" s="145"/>
    </row>
    <row r="577" spans="1:22" x14ac:dyDescent="0.2">
      <c r="A577" s="89">
        <f t="shared" si="20"/>
        <v>569</v>
      </c>
      <c r="B577" s="43">
        <v>16</v>
      </c>
      <c r="C577" s="43">
        <v>14</v>
      </c>
      <c r="D577" s="38" t="s">
        <v>625</v>
      </c>
      <c r="E577" s="44" t="s">
        <v>161</v>
      </c>
      <c r="F577" s="44" t="s">
        <v>6</v>
      </c>
      <c r="G577" s="44" t="s">
        <v>120</v>
      </c>
      <c r="H577" s="44" t="s">
        <v>48</v>
      </c>
      <c r="I577" s="44" t="s">
        <v>48</v>
      </c>
      <c r="J577" s="44" t="s">
        <v>7</v>
      </c>
      <c r="K577" s="44" t="s">
        <v>140</v>
      </c>
      <c r="L577" s="40">
        <v>1130</v>
      </c>
      <c r="M577" s="41">
        <v>41339</v>
      </c>
      <c r="N577" s="40" t="s">
        <v>122</v>
      </c>
      <c r="O577" s="42"/>
      <c r="P577" s="40"/>
      <c r="Q577" s="207">
        <f>'[3]DQE LP_GSGM_MMS'!G563</f>
        <v>0</v>
      </c>
      <c r="R577" s="207">
        <f>'[3]DQE LP_GSGM_MMS'!H563</f>
        <v>0</v>
      </c>
      <c r="S577" s="207">
        <f>'[3]DQE LP_GSGM_MMS'!I563</f>
        <v>0</v>
      </c>
      <c r="T577" s="207">
        <f>'[3]DQE LP_GSGM_MMS'!J563</f>
        <v>0</v>
      </c>
      <c r="U577" s="207">
        <f>'[3]DQE LP_GSGM_MMS'!K563</f>
        <v>0</v>
      </c>
      <c r="V577" s="145"/>
    </row>
    <row r="578" spans="1:22" x14ac:dyDescent="0.2">
      <c r="A578" s="89">
        <f t="shared" si="20"/>
        <v>570</v>
      </c>
      <c r="B578" s="43">
        <v>16</v>
      </c>
      <c r="C578" s="43">
        <v>15</v>
      </c>
      <c r="D578" s="38" t="s">
        <v>626</v>
      </c>
      <c r="E578" s="44" t="s">
        <v>163</v>
      </c>
      <c r="F578" s="44" t="s">
        <v>20</v>
      </c>
      <c r="G578" s="44" t="s">
        <v>120</v>
      </c>
      <c r="H578" s="44" t="s">
        <v>23</v>
      </c>
      <c r="I578" s="44" t="s">
        <v>164</v>
      </c>
      <c r="J578" s="44" t="s">
        <v>24</v>
      </c>
      <c r="K578" s="44" t="s">
        <v>140</v>
      </c>
      <c r="L578" s="40">
        <v>1131</v>
      </c>
      <c r="M578" s="41">
        <v>41339</v>
      </c>
      <c r="N578" s="40" t="s">
        <v>122</v>
      </c>
      <c r="O578" s="42"/>
      <c r="P578" s="40"/>
      <c r="Q578" s="207">
        <f>[3]Duke_OH_RC_DS01MS!G563</f>
        <v>0</v>
      </c>
      <c r="R578" s="207">
        <f>[3]Duke_OH_RC_DS01MS!H563</f>
        <v>0</v>
      </c>
      <c r="S578" s="207">
        <f>[3]Duke_OH_RC_DS01MS!I563</f>
        <v>0</v>
      </c>
      <c r="T578" s="207">
        <f>[3]Duke_OH_RC_DS01MS!J563</f>
        <v>0</v>
      </c>
      <c r="U578" s="207">
        <f>[3]Duke_OH_RC_DS01MS!K563</f>
        <v>0</v>
      </c>
      <c r="V578" s="145"/>
    </row>
    <row r="579" spans="1:22" x14ac:dyDescent="0.2">
      <c r="A579" s="89">
        <f t="shared" si="20"/>
        <v>571</v>
      </c>
      <c r="B579" s="43">
        <v>16</v>
      </c>
      <c r="C579" s="43">
        <v>16</v>
      </c>
      <c r="D579" s="38" t="s">
        <v>627</v>
      </c>
      <c r="E579" s="44" t="s">
        <v>166</v>
      </c>
      <c r="F579" s="44" t="s">
        <v>20</v>
      </c>
      <c r="G579" s="44" t="s">
        <v>120</v>
      </c>
      <c r="H579" s="44" t="s">
        <v>64</v>
      </c>
      <c r="I579" s="44" t="s">
        <v>167</v>
      </c>
      <c r="J579" s="44" t="s">
        <v>7</v>
      </c>
      <c r="K579" s="44" t="s">
        <v>140</v>
      </c>
      <c r="L579" s="40">
        <v>1132</v>
      </c>
      <c r="M579" s="41">
        <v>41339</v>
      </c>
      <c r="N579" s="40" t="s">
        <v>122</v>
      </c>
      <c r="O579" s="42"/>
      <c r="P579" s="40"/>
      <c r="Q579" s="207">
        <f>'[3]FE_OE - test RC_GSFMS'!G563</f>
        <v>0</v>
      </c>
      <c r="R579" s="207">
        <f>'[3]FE_OE - test RC_GSFMS'!H563</f>
        <v>0</v>
      </c>
      <c r="S579" s="207">
        <f>'[3]FE_OE - test RC_GSFMS'!I563</f>
        <v>0</v>
      </c>
      <c r="T579" s="207">
        <f>'[3]FE_OE - test RC_GSFMS'!J563</f>
        <v>0</v>
      </c>
      <c r="U579" s="207">
        <f>'[3]FE_OE - test RC_GSFMS'!K563</f>
        <v>0</v>
      </c>
      <c r="V579" s="145"/>
    </row>
    <row r="580" spans="1:22" x14ac:dyDescent="0.2">
      <c r="A580" s="89">
        <f t="shared" si="20"/>
        <v>572</v>
      </c>
      <c r="B580" s="43">
        <v>16</v>
      </c>
      <c r="C580" s="43">
        <v>17</v>
      </c>
      <c r="D580" s="38" t="s">
        <v>628</v>
      </c>
      <c r="E580" s="44" t="s">
        <v>169</v>
      </c>
      <c r="F580" s="44" t="s">
        <v>31</v>
      </c>
      <c r="G580" s="44" t="s">
        <v>120</v>
      </c>
      <c r="H580" s="44" t="s">
        <v>35</v>
      </c>
      <c r="I580" s="44" t="s">
        <v>35</v>
      </c>
      <c r="J580" s="44" t="s">
        <v>9</v>
      </c>
      <c r="K580" s="44" t="s">
        <v>135</v>
      </c>
      <c r="L580" s="40">
        <v>1133</v>
      </c>
      <c r="M580" s="41">
        <v>41339</v>
      </c>
      <c r="N580" s="40" t="s">
        <v>122</v>
      </c>
      <c r="O580" s="42"/>
      <c r="P580" s="40"/>
      <c r="Q580" s="207">
        <f>'[3]JCPL LP_GSCLMS'!G563</f>
        <v>0</v>
      </c>
      <c r="R580" s="207">
        <f>'[3]JCPL LP_GSCLMS'!H563</f>
        <v>0</v>
      </c>
      <c r="S580" s="207">
        <f>'[3]JCPL LP_GSCLMS'!I563</f>
        <v>0</v>
      </c>
      <c r="T580" s="207">
        <f>'[3]JCPL LP_GSCLMS'!J563</f>
        <v>0</v>
      </c>
      <c r="U580" s="207">
        <f>'[3]JCPL LP_GSCLMS'!K563</f>
        <v>0</v>
      </c>
      <c r="V580" s="145"/>
    </row>
    <row r="581" spans="1:22" x14ac:dyDescent="0.2">
      <c r="A581" s="89">
        <f t="shared" si="20"/>
        <v>573</v>
      </c>
      <c r="B581" s="43">
        <v>16</v>
      </c>
      <c r="C581" s="43">
        <v>18</v>
      </c>
      <c r="D581" s="38" t="s">
        <v>629</v>
      </c>
      <c r="E581" s="44" t="s">
        <v>171</v>
      </c>
      <c r="F581" s="44" t="s">
        <v>31</v>
      </c>
      <c r="G581" s="44" t="s">
        <v>120</v>
      </c>
      <c r="H581" s="44" t="s">
        <v>35</v>
      </c>
      <c r="I581" s="44" t="s">
        <v>35</v>
      </c>
      <c r="J581" s="44" t="s">
        <v>10</v>
      </c>
      <c r="K581" s="44" t="s">
        <v>132</v>
      </c>
      <c r="L581" s="40">
        <v>1134</v>
      </c>
      <c r="M581" s="41">
        <v>41339</v>
      </c>
      <c r="N581" s="40" t="s">
        <v>122</v>
      </c>
      <c r="O581" s="42"/>
      <c r="P581" s="40"/>
      <c r="Q581" s="207">
        <f>'[3]JCPL LP_GSCMMS'!G563</f>
        <v>0</v>
      </c>
      <c r="R581" s="207">
        <f>'[3]JCPL LP_GSCMMS'!H563</f>
        <v>0</v>
      </c>
      <c r="S581" s="207">
        <f>'[3]JCPL LP_GSCMMS'!I563</f>
        <v>0</v>
      </c>
      <c r="T581" s="207">
        <f>'[3]JCPL LP_GSCMMS'!J563</f>
        <v>0</v>
      </c>
      <c r="U581" s="207">
        <f>'[3]JCPL LP_GSCMMS'!K563</f>
        <v>0</v>
      </c>
      <c r="V581" s="145"/>
    </row>
    <row r="582" spans="1:22" x14ac:dyDescent="0.2">
      <c r="A582" s="89">
        <f t="shared" si="20"/>
        <v>574</v>
      </c>
      <c r="B582" s="43">
        <v>16</v>
      </c>
      <c r="C582" s="43">
        <v>19</v>
      </c>
      <c r="D582" s="38" t="s">
        <v>630</v>
      </c>
      <c r="E582" s="44" t="s">
        <v>173</v>
      </c>
      <c r="F582" s="44" t="s">
        <v>31</v>
      </c>
      <c r="G582" s="44" t="s">
        <v>120</v>
      </c>
      <c r="H582" s="44" t="s">
        <v>35</v>
      </c>
      <c r="I582" s="44" t="s">
        <v>35</v>
      </c>
      <c r="J582" s="44" t="s">
        <v>11</v>
      </c>
      <c r="K582" s="44" t="s">
        <v>129</v>
      </c>
      <c r="L582" s="40">
        <v>1135</v>
      </c>
      <c r="M582" s="41">
        <v>41339</v>
      </c>
      <c r="N582" s="40" t="s">
        <v>122</v>
      </c>
      <c r="O582" s="42"/>
      <c r="P582" s="40"/>
      <c r="Q582" s="207">
        <f>'[3]JCPL LP_GSCSMS'!G563</f>
        <v>0</v>
      </c>
      <c r="R582" s="207">
        <f>'[3]JCPL LP_GSCSMS'!H563</f>
        <v>0</v>
      </c>
      <c r="S582" s="207">
        <f>'[3]JCPL LP_GSCSMS'!I563</f>
        <v>0</v>
      </c>
      <c r="T582" s="207">
        <f>'[3]JCPL LP_GSCSMS'!J563</f>
        <v>0</v>
      </c>
      <c r="U582" s="207">
        <f>'[3]JCPL LP_GSCSMS'!K563</f>
        <v>0</v>
      </c>
      <c r="V582" s="145"/>
    </row>
    <row r="583" spans="1:22" x14ac:dyDescent="0.2">
      <c r="A583" s="89">
        <f t="shared" si="20"/>
        <v>575</v>
      </c>
      <c r="B583" s="43">
        <v>16</v>
      </c>
      <c r="C583" s="43">
        <v>20</v>
      </c>
      <c r="D583" s="38" t="s">
        <v>631</v>
      </c>
      <c r="E583" s="44" t="s">
        <v>175</v>
      </c>
      <c r="F583" s="44" t="s">
        <v>6</v>
      </c>
      <c r="G583" s="44" t="s">
        <v>120</v>
      </c>
      <c r="H583" s="44" t="s">
        <v>176</v>
      </c>
      <c r="I583" s="44" t="s">
        <v>177</v>
      </c>
      <c r="J583" s="44" t="s">
        <v>9</v>
      </c>
      <c r="K583" s="44" t="s">
        <v>135</v>
      </c>
      <c r="L583" s="40">
        <v>1137</v>
      </c>
      <c r="M583" s="41">
        <v>41339</v>
      </c>
      <c r="N583" s="40" t="s">
        <v>122</v>
      </c>
      <c r="O583" s="42"/>
      <c r="P583" s="40"/>
      <c r="Q583" s="207">
        <f>'[3]MetEd RC_GSLFMS'!G563</f>
        <v>0</v>
      </c>
      <c r="R583" s="207">
        <f>'[3]MetEd RC_GSLFMS'!H563</f>
        <v>0</v>
      </c>
      <c r="S583" s="207">
        <f>'[3]MetEd RC_GSLFMS'!I563</f>
        <v>0</v>
      </c>
      <c r="T583" s="207">
        <f>'[3]MetEd RC_GSLFMS'!J563</f>
        <v>0</v>
      </c>
      <c r="U583" s="207">
        <f>'[3]MetEd RC_GSLFMS'!K563</f>
        <v>0</v>
      </c>
      <c r="V583" s="145"/>
    </row>
    <row r="584" spans="1:22" x14ac:dyDescent="0.2">
      <c r="A584" s="89">
        <f t="shared" si="20"/>
        <v>576</v>
      </c>
      <c r="B584" s="43">
        <v>16</v>
      </c>
      <c r="C584" s="43">
        <v>21</v>
      </c>
      <c r="D584" s="38" t="s">
        <v>632</v>
      </c>
      <c r="E584" s="44" t="s">
        <v>179</v>
      </c>
      <c r="F584" s="44" t="s">
        <v>6</v>
      </c>
      <c r="G584" s="44" t="s">
        <v>120</v>
      </c>
      <c r="H584" s="44" t="s">
        <v>176</v>
      </c>
      <c r="I584" s="44" t="s">
        <v>177</v>
      </c>
      <c r="J584" s="44" t="s">
        <v>10</v>
      </c>
      <c r="K584" s="44" t="s">
        <v>132</v>
      </c>
      <c r="L584" s="40">
        <v>1136</v>
      </c>
      <c r="M584" s="41">
        <v>41339</v>
      </c>
      <c r="N584" s="40" t="s">
        <v>122</v>
      </c>
      <c r="O584" s="42"/>
      <c r="P584" s="40"/>
      <c r="Q584" s="207">
        <f>'[3]MetEd RC_GSDFMS'!G563</f>
        <v>0</v>
      </c>
      <c r="R584" s="207">
        <f>'[3]MetEd RC_GSDFMS'!H563</f>
        <v>0</v>
      </c>
      <c r="S584" s="207">
        <f>'[3]MetEd RC_GSDFMS'!I563</f>
        <v>0</v>
      </c>
      <c r="T584" s="207">
        <f>'[3]MetEd RC_GSDFMS'!J563</f>
        <v>0</v>
      </c>
      <c r="U584" s="207">
        <f>'[3]MetEd RC_GSDFMS'!K563</f>
        <v>0</v>
      </c>
      <c r="V584" s="145"/>
    </row>
    <row r="585" spans="1:22" x14ac:dyDescent="0.2">
      <c r="A585" s="89">
        <f t="shared" si="20"/>
        <v>577</v>
      </c>
      <c r="B585" s="43">
        <v>16</v>
      </c>
      <c r="C585" s="43">
        <v>22</v>
      </c>
      <c r="D585" s="38" t="s">
        <v>633</v>
      </c>
      <c r="E585" s="44" t="s">
        <v>181</v>
      </c>
      <c r="F585" s="44" t="s">
        <v>6</v>
      </c>
      <c r="G585" s="44" t="s">
        <v>120</v>
      </c>
      <c r="H585" s="44" t="s">
        <v>176</v>
      </c>
      <c r="I585" s="44" t="s">
        <v>177</v>
      </c>
      <c r="J585" s="44" t="s">
        <v>11</v>
      </c>
      <c r="K585" s="44" t="s">
        <v>129</v>
      </c>
      <c r="L585" s="40">
        <v>1138</v>
      </c>
      <c r="M585" s="41">
        <v>41339</v>
      </c>
      <c r="N585" s="40" t="s">
        <v>122</v>
      </c>
      <c r="O585" s="42"/>
      <c r="P585" s="40"/>
      <c r="Q585" s="207">
        <f>'[3]MetEd RC_GSSFMS'!G563</f>
        <v>0</v>
      </c>
      <c r="R585" s="207">
        <f>'[3]MetEd RC_GSSFMS'!H563</f>
        <v>0</v>
      </c>
      <c r="S585" s="207">
        <f>'[3]MetEd RC_GSSFMS'!I563</f>
        <v>0</v>
      </c>
      <c r="T585" s="207">
        <f>'[3]MetEd RC_GSSFMS'!J563</f>
        <v>0</v>
      </c>
      <c r="U585" s="207">
        <f>'[3]MetEd RC_GSSFMS'!K563</f>
        <v>0</v>
      </c>
      <c r="V585" s="145"/>
    </row>
    <row r="586" spans="1:22" x14ac:dyDescent="0.2">
      <c r="A586" s="89">
        <f t="shared" si="20"/>
        <v>578</v>
      </c>
      <c r="B586" s="43">
        <v>16</v>
      </c>
      <c r="C586" s="43">
        <v>23</v>
      </c>
      <c r="D586" s="38" t="s">
        <v>634</v>
      </c>
      <c r="E586" s="44" t="s">
        <v>183</v>
      </c>
      <c r="F586" s="44" t="s">
        <v>6</v>
      </c>
      <c r="G586" s="44" t="s">
        <v>120</v>
      </c>
      <c r="H586" s="44" t="s">
        <v>13</v>
      </c>
      <c r="I586" s="44" t="s">
        <v>13</v>
      </c>
      <c r="J586" s="44" t="s">
        <v>7</v>
      </c>
      <c r="K586" s="44" t="s">
        <v>140</v>
      </c>
      <c r="L586" s="40">
        <v>1139</v>
      </c>
      <c r="M586" s="41">
        <v>41339</v>
      </c>
      <c r="N586" s="40" t="s">
        <v>122</v>
      </c>
      <c r="O586" s="42"/>
      <c r="P586" s="40"/>
      <c r="Q586" s="207">
        <f>'[3]PECO LP_GSMS'!G563</f>
        <v>0</v>
      </c>
      <c r="R586" s="207">
        <f>'[3]PECO LP_GSMS'!H563</f>
        <v>0</v>
      </c>
      <c r="S586" s="207">
        <f>'[3]PECO LP_GSMS'!I563</f>
        <v>0</v>
      </c>
      <c r="T586" s="207">
        <f>'[3]PECO LP_GSMS'!J563</f>
        <v>0</v>
      </c>
      <c r="U586" s="207">
        <f>'[3]PECO LP_GSMS'!K563</f>
        <v>0</v>
      </c>
      <c r="V586" s="145"/>
    </row>
    <row r="587" spans="1:22" x14ac:dyDescent="0.2">
      <c r="A587" s="89">
        <f t="shared" ref="A587:A650" si="21">A586+1</f>
        <v>579</v>
      </c>
      <c r="B587" s="43">
        <v>16</v>
      </c>
      <c r="C587" s="43">
        <v>24</v>
      </c>
      <c r="D587" s="38" t="s">
        <v>635</v>
      </c>
      <c r="E587" s="44" t="s">
        <v>185</v>
      </c>
      <c r="F587" s="44" t="s">
        <v>6</v>
      </c>
      <c r="G587" s="44" t="s">
        <v>120</v>
      </c>
      <c r="H587" s="44" t="s">
        <v>12</v>
      </c>
      <c r="I587" s="44" t="s">
        <v>186</v>
      </c>
      <c r="J587" s="44" t="s">
        <v>9</v>
      </c>
      <c r="K587" s="44" t="s">
        <v>135</v>
      </c>
      <c r="L587" s="40">
        <v>1140</v>
      </c>
      <c r="M587" s="41">
        <v>41339</v>
      </c>
      <c r="N587" s="40" t="s">
        <v>122</v>
      </c>
      <c r="O587" s="42"/>
      <c r="P587" s="40"/>
      <c r="Q587" s="207">
        <f>'[3]Penelec RC_GSLFMS'!G563</f>
        <v>0</v>
      </c>
      <c r="R587" s="207">
        <f>'[3]Penelec RC_GSLFMS'!H563</f>
        <v>0</v>
      </c>
      <c r="S587" s="207">
        <f>'[3]Penelec RC_GSLFMS'!I563</f>
        <v>0</v>
      </c>
      <c r="T587" s="207">
        <f>'[3]Penelec RC_GSLFMS'!J563</f>
        <v>0</v>
      </c>
      <c r="U587" s="207">
        <f>'[3]Penelec RC_GSLFMS'!K563</f>
        <v>0</v>
      </c>
      <c r="V587" s="145"/>
    </row>
    <row r="588" spans="1:22" x14ac:dyDescent="0.2">
      <c r="A588" s="89">
        <f t="shared" si="21"/>
        <v>580</v>
      </c>
      <c r="B588" s="43">
        <v>16</v>
      </c>
      <c r="C588" s="43">
        <v>25</v>
      </c>
      <c r="D588" s="38" t="s">
        <v>636</v>
      </c>
      <c r="E588" s="44" t="s">
        <v>188</v>
      </c>
      <c r="F588" s="44" t="s">
        <v>6</v>
      </c>
      <c r="G588" s="44" t="s">
        <v>120</v>
      </c>
      <c r="H588" s="44" t="s">
        <v>12</v>
      </c>
      <c r="I588" s="44" t="s">
        <v>186</v>
      </c>
      <c r="J588" s="44" t="s">
        <v>10</v>
      </c>
      <c r="K588" s="44" t="s">
        <v>132</v>
      </c>
      <c r="L588" s="40">
        <v>1141</v>
      </c>
      <c r="M588" s="41">
        <v>41339</v>
      </c>
      <c r="N588" s="40" t="s">
        <v>122</v>
      </c>
      <c r="O588" s="42"/>
      <c r="P588" s="40"/>
      <c r="Q588" s="207">
        <f>'[3]Penelec RC_GSMFMS'!G563</f>
        <v>0</v>
      </c>
      <c r="R588" s="207">
        <f>'[3]Penelec RC_GSMFMS'!H563</f>
        <v>0</v>
      </c>
      <c r="S588" s="207">
        <f>'[3]Penelec RC_GSMFMS'!I563</f>
        <v>0</v>
      </c>
      <c r="T588" s="207">
        <f>'[3]Penelec RC_GSMFMS'!J563</f>
        <v>0</v>
      </c>
      <c r="U588" s="207">
        <f>'[3]Penelec RC_GSMFMS'!K563</f>
        <v>0</v>
      </c>
      <c r="V588" s="145"/>
    </row>
    <row r="589" spans="1:22" x14ac:dyDescent="0.2">
      <c r="A589" s="89">
        <f t="shared" si="21"/>
        <v>581</v>
      </c>
      <c r="B589" s="43">
        <v>16</v>
      </c>
      <c r="C589" s="43">
        <v>26</v>
      </c>
      <c r="D589" s="38" t="s">
        <v>637</v>
      </c>
      <c r="E589" s="44" t="s">
        <v>190</v>
      </c>
      <c r="F589" s="44" t="s">
        <v>6</v>
      </c>
      <c r="G589" s="44" t="s">
        <v>120</v>
      </c>
      <c r="H589" s="44" t="s">
        <v>12</v>
      </c>
      <c r="I589" s="44" t="s">
        <v>186</v>
      </c>
      <c r="J589" s="44" t="s">
        <v>11</v>
      </c>
      <c r="K589" s="44" t="s">
        <v>129</v>
      </c>
      <c r="L589" s="40">
        <v>1142</v>
      </c>
      <c r="M589" s="41">
        <v>41339</v>
      </c>
      <c r="N589" s="40" t="s">
        <v>122</v>
      </c>
      <c r="O589" s="42"/>
      <c r="P589" s="40"/>
      <c r="Q589" s="207">
        <f>'[3]Penelec RC_GSSFMS'!G563</f>
        <v>0</v>
      </c>
      <c r="R589" s="207">
        <f>'[3]Penelec RC_GSSFMS'!H563</f>
        <v>0</v>
      </c>
      <c r="S589" s="207">
        <f>'[3]Penelec RC_GSSFMS'!I563</f>
        <v>0</v>
      </c>
      <c r="T589" s="207">
        <f>'[3]Penelec RC_GSSFMS'!J563</f>
        <v>0</v>
      </c>
      <c r="U589" s="207">
        <f>'[3]Penelec RC_GSSFMS'!K563</f>
        <v>0</v>
      </c>
      <c r="V589" s="145"/>
    </row>
    <row r="590" spans="1:22" x14ac:dyDescent="0.2">
      <c r="A590" s="89">
        <f t="shared" si="21"/>
        <v>582</v>
      </c>
      <c r="B590" s="43">
        <v>16</v>
      </c>
      <c r="C590" s="43">
        <v>27</v>
      </c>
      <c r="D590" s="38" t="s">
        <v>638</v>
      </c>
      <c r="E590" s="44" t="s">
        <v>192</v>
      </c>
      <c r="F590" s="44" t="s">
        <v>6</v>
      </c>
      <c r="G590" s="44" t="s">
        <v>120</v>
      </c>
      <c r="H590" s="44" t="s">
        <v>100</v>
      </c>
      <c r="I590" s="44" t="s">
        <v>193</v>
      </c>
      <c r="J590" s="44" t="s">
        <v>7</v>
      </c>
      <c r="K590" s="44" t="s">
        <v>140</v>
      </c>
      <c r="L590" s="40">
        <v>1143</v>
      </c>
      <c r="M590" s="41">
        <v>41339</v>
      </c>
      <c r="N590" s="40" t="s">
        <v>122</v>
      </c>
      <c r="O590" s="42"/>
      <c r="P590" s="40"/>
      <c r="Q590" s="207">
        <f>'[3]Penn Power RC_GMDMS'!G563</f>
        <v>0</v>
      </c>
      <c r="R590" s="207">
        <f>'[3]Penn Power RC_GMDMS'!H563</f>
        <v>0</v>
      </c>
      <c r="S590" s="207">
        <f>'[3]Penn Power RC_GMDMS'!I563</f>
        <v>0</v>
      </c>
      <c r="T590" s="207">
        <f>'[3]Penn Power RC_GMDMS'!J563</f>
        <v>0</v>
      </c>
      <c r="U590" s="207">
        <f>'[3]Penn Power RC_GMDMS'!K563</f>
        <v>0</v>
      </c>
      <c r="V590" s="145"/>
    </row>
    <row r="591" spans="1:22" x14ac:dyDescent="0.2">
      <c r="A591" s="89">
        <f t="shared" si="21"/>
        <v>583</v>
      </c>
      <c r="B591" s="43">
        <v>16</v>
      </c>
      <c r="C591" s="43">
        <v>28</v>
      </c>
      <c r="D591" s="38" t="s">
        <v>639</v>
      </c>
      <c r="E591" s="44" t="s">
        <v>195</v>
      </c>
      <c r="F591" s="44" t="s">
        <v>39</v>
      </c>
      <c r="G591" s="44" t="s">
        <v>120</v>
      </c>
      <c r="H591" s="44" t="s">
        <v>44</v>
      </c>
      <c r="I591" s="44" t="s">
        <v>44</v>
      </c>
      <c r="J591" s="44" t="s">
        <v>7</v>
      </c>
      <c r="K591" s="44" t="s">
        <v>140</v>
      </c>
      <c r="L591" s="40">
        <v>1144</v>
      </c>
      <c r="M591" s="41">
        <v>41339</v>
      </c>
      <c r="N591" s="40" t="s">
        <v>122</v>
      </c>
      <c r="O591" s="42"/>
      <c r="P591" s="40"/>
      <c r="Q591" s="207">
        <f>'[3]PEPCO MD LP_MDNDMS'!G563</f>
        <v>0</v>
      </c>
      <c r="R591" s="207">
        <f>'[3]PEPCO MD LP_MDNDMS'!H563</f>
        <v>0</v>
      </c>
      <c r="S591" s="207">
        <f>'[3]PEPCO MD LP_MDNDMS'!I563</f>
        <v>0</v>
      </c>
      <c r="T591" s="207">
        <f>'[3]PEPCO MD LP_MDNDMS'!J563</f>
        <v>0</v>
      </c>
      <c r="U591" s="207">
        <f>'[3]PEPCO MD LP_MDNDMS'!K563</f>
        <v>0</v>
      </c>
      <c r="V591" s="145"/>
    </row>
    <row r="592" spans="1:22" x14ac:dyDescent="0.2">
      <c r="A592" s="89">
        <f t="shared" si="21"/>
        <v>584</v>
      </c>
      <c r="B592" s="43">
        <v>16</v>
      </c>
      <c r="C592" s="43">
        <v>29</v>
      </c>
      <c r="D592" s="38" t="s">
        <v>640</v>
      </c>
      <c r="E592" s="44" t="s">
        <v>197</v>
      </c>
      <c r="F592" s="44" t="s">
        <v>39</v>
      </c>
      <c r="G592" s="44" t="s">
        <v>120</v>
      </c>
      <c r="H592" s="44" t="s">
        <v>44</v>
      </c>
      <c r="I592" s="44" t="s">
        <v>44</v>
      </c>
      <c r="J592" s="44" t="s">
        <v>45</v>
      </c>
      <c r="K592" s="44" t="s">
        <v>198</v>
      </c>
      <c r="L592" s="40">
        <v>1145</v>
      </c>
      <c r="M592" s="41">
        <v>41339</v>
      </c>
      <c r="N592" s="40" t="s">
        <v>122</v>
      </c>
      <c r="O592" s="42"/>
      <c r="P592" s="40"/>
      <c r="Q592" s="207">
        <f>'[3]PEPCO MD LP_MMGTL2AMS'!G563</f>
        <v>0</v>
      </c>
      <c r="R592" s="207">
        <f>'[3]PEPCO MD LP_MMGTL2AMS'!H563</f>
        <v>0</v>
      </c>
      <c r="S592" s="207">
        <f>'[3]PEPCO MD LP_MMGTL2AMS'!I563</f>
        <v>0</v>
      </c>
      <c r="T592" s="207">
        <f>'[3]PEPCO MD LP_MMGTL2AMS'!J563</f>
        <v>0</v>
      </c>
      <c r="U592" s="207">
        <f>'[3]PEPCO MD LP_MMGTL2AMS'!K563</f>
        <v>0</v>
      </c>
      <c r="V592" s="145"/>
    </row>
    <row r="593" spans="1:22" x14ac:dyDescent="0.2">
      <c r="A593" s="89">
        <f t="shared" si="21"/>
        <v>585</v>
      </c>
      <c r="B593" s="43">
        <v>16</v>
      </c>
      <c r="C593" s="43">
        <v>30</v>
      </c>
      <c r="D593" s="38" t="s">
        <v>641</v>
      </c>
      <c r="E593" s="44" t="s">
        <v>200</v>
      </c>
      <c r="F593" s="44" t="s">
        <v>39</v>
      </c>
      <c r="G593" s="44" t="s">
        <v>120</v>
      </c>
      <c r="H593" s="44" t="s">
        <v>44</v>
      </c>
      <c r="I593" s="44" t="s">
        <v>44</v>
      </c>
      <c r="J593" s="44" t="s">
        <v>46</v>
      </c>
      <c r="K593" s="44" t="s">
        <v>46</v>
      </c>
      <c r="L593" s="40">
        <v>1146</v>
      </c>
      <c r="M593" s="41">
        <v>41339</v>
      </c>
      <c r="N593" s="40" t="s">
        <v>122</v>
      </c>
      <c r="O593" s="42"/>
      <c r="P593" s="40"/>
      <c r="Q593" s="207">
        <f>'[3]PEPCO MD RC_3T7MS'!G563</f>
        <v>0</v>
      </c>
      <c r="R593" s="207">
        <f>'[3]PEPCO MD RC_3T7MS'!H563</f>
        <v>0</v>
      </c>
      <c r="S593" s="207">
        <f>'[3]PEPCO MD RC_3T7MS'!I563</f>
        <v>0</v>
      </c>
      <c r="T593" s="207">
        <f>'[3]PEPCO MD RC_3T7MS'!J563</f>
        <v>0</v>
      </c>
      <c r="U593" s="207">
        <f>'[3]PEPCO MD RC_3T7MS'!K563</f>
        <v>0</v>
      </c>
      <c r="V593" s="145"/>
    </row>
    <row r="594" spans="1:22" x14ac:dyDescent="0.2">
      <c r="A594" s="89">
        <f t="shared" si="21"/>
        <v>586</v>
      </c>
      <c r="B594" s="43">
        <v>16</v>
      </c>
      <c r="C594" s="43">
        <v>31</v>
      </c>
      <c r="D594" s="38" t="s">
        <v>642</v>
      </c>
      <c r="E594" s="44" t="s">
        <v>202</v>
      </c>
      <c r="F594" s="44" t="s">
        <v>39</v>
      </c>
      <c r="G594" s="44" t="s">
        <v>120</v>
      </c>
      <c r="H594" s="44" t="s">
        <v>47</v>
      </c>
      <c r="I594" s="44" t="s">
        <v>47</v>
      </c>
      <c r="J594" s="44" t="s">
        <v>7</v>
      </c>
      <c r="K594" s="44" t="s">
        <v>140</v>
      </c>
      <c r="L594" s="40">
        <v>1147</v>
      </c>
      <c r="M594" s="41">
        <v>41339</v>
      </c>
      <c r="N594" s="40" t="s">
        <v>122</v>
      </c>
      <c r="O594" s="42"/>
      <c r="P594" s="40"/>
      <c r="Q594" s="207">
        <f>'[3]Potomac Edison LP_GSCM_MMS'!G563</f>
        <v>0</v>
      </c>
      <c r="R594" s="207">
        <f>'[3]Potomac Edison LP_GSCM_MMS'!H563</f>
        <v>0</v>
      </c>
      <c r="S594" s="207">
        <f>'[3]Potomac Edison LP_GSCM_MMS'!I563</f>
        <v>0</v>
      </c>
      <c r="T594" s="207">
        <f>'[3]Potomac Edison LP_GSCM_MMS'!J563</f>
        <v>0</v>
      </c>
      <c r="U594" s="207">
        <f>'[3]Potomac Edison LP_GSCM_MMS'!K563</f>
        <v>0</v>
      </c>
      <c r="V594" s="145"/>
    </row>
    <row r="595" spans="1:22" x14ac:dyDescent="0.2">
      <c r="A595" s="89">
        <f t="shared" si="21"/>
        <v>587</v>
      </c>
      <c r="B595" s="43">
        <v>16</v>
      </c>
      <c r="C595" s="43">
        <v>32</v>
      </c>
      <c r="D595" s="38" t="s">
        <v>643</v>
      </c>
      <c r="E595" s="44" t="s">
        <v>204</v>
      </c>
      <c r="F595" s="44" t="s">
        <v>6</v>
      </c>
      <c r="G595" s="44" t="s">
        <v>120</v>
      </c>
      <c r="H595" s="44" t="s">
        <v>14</v>
      </c>
      <c r="I595" s="44" t="s">
        <v>14</v>
      </c>
      <c r="J595" s="44" t="s">
        <v>15</v>
      </c>
      <c r="K595" s="44" t="s">
        <v>129</v>
      </c>
      <c r="L595" s="40">
        <v>1148</v>
      </c>
      <c r="M595" s="41">
        <v>41339</v>
      </c>
      <c r="N595" s="40" t="s">
        <v>122</v>
      </c>
      <c r="O595" s="42"/>
      <c r="P595" s="40"/>
      <c r="Q595" s="207">
        <f>[3]PPL_RCGS1MS!G563</f>
        <v>0</v>
      </c>
      <c r="R595" s="207">
        <f>[3]PPL_RCGS1MS!H563</f>
        <v>0</v>
      </c>
      <c r="S595" s="207">
        <f>[3]PPL_RCGS1MS!I563</f>
        <v>0</v>
      </c>
      <c r="T595" s="207">
        <f>[3]PPL_RCGS1MS!J563</f>
        <v>0</v>
      </c>
      <c r="U595" s="207">
        <f>[3]PPL_RCGS1MS!K563</f>
        <v>0</v>
      </c>
      <c r="V595" s="145"/>
    </row>
    <row r="596" spans="1:22" x14ac:dyDescent="0.2">
      <c r="A596" s="89">
        <f t="shared" si="21"/>
        <v>588</v>
      </c>
      <c r="B596" s="43">
        <v>16</v>
      </c>
      <c r="C596" s="43">
        <v>33</v>
      </c>
      <c r="D596" s="38" t="s">
        <v>644</v>
      </c>
      <c r="E596" s="44" t="s">
        <v>206</v>
      </c>
      <c r="F596" s="44" t="s">
        <v>6</v>
      </c>
      <c r="G596" s="44" t="s">
        <v>120</v>
      </c>
      <c r="H596" s="44" t="s">
        <v>14</v>
      </c>
      <c r="I596" s="44" t="s">
        <v>14</v>
      </c>
      <c r="J596" s="44" t="s">
        <v>16</v>
      </c>
      <c r="K596" s="44" t="s">
        <v>135</v>
      </c>
      <c r="L596" s="40">
        <v>1149</v>
      </c>
      <c r="M596" s="41">
        <v>41339</v>
      </c>
      <c r="N596" s="40" t="s">
        <v>122</v>
      </c>
      <c r="O596" s="42"/>
      <c r="P596" s="40"/>
      <c r="Q596" s="207">
        <f>[3]PPL_RCGS3MS!G563</f>
        <v>0</v>
      </c>
      <c r="R596" s="207">
        <f>[3]PPL_RCGS3MS!H563</f>
        <v>0</v>
      </c>
      <c r="S596" s="207">
        <f>[3]PPL_RCGS3MS!I563</f>
        <v>0</v>
      </c>
      <c r="T596" s="207">
        <f>[3]PPL_RCGS3MS!J563</f>
        <v>0</v>
      </c>
      <c r="U596" s="207">
        <f>[3]PPL_RCGS3MS!K563</f>
        <v>0</v>
      </c>
      <c r="V596" s="145"/>
    </row>
    <row r="597" spans="1:22" x14ac:dyDescent="0.2">
      <c r="A597" s="89">
        <f t="shared" si="21"/>
        <v>589</v>
      </c>
      <c r="B597" s="43">
        <v>16</v>
      </c>
      <c r="C597" s="43">
        <v>34</v>
      </c>
      <c r="D597" s="38" t="s">
        <v>645</v>
      </c>
      <c r="E597" s="44" t="s">
        <v>208</v>
      </c>
      <c r="F597" s="44" t="s">
        <v>31</v>
      </c>
      <c r="G597" s="44" t="s">
        <v>120</v>
      </c>
      <c r="H597" s="44" t="s">
        <v>36</v>
      </c>
      <c r="I597" s="44" t="s">
        <v>36</v>
      </c>
      <c r="J597" s="44" t="s">
        <v>37</v>
      </c>
      <c r="K597" s="44" t="s">
        <v>209</v>
      </c>
      <c r="L597" s="40">
        <v>1150</v>
      </c>
      <c r="M597" s="41">
        <v>41339</v>
      </c>
      <c r="N597" s="40" t="s">
        <v>122</v>
      </c>
      <c r="O597" s="42"/>
      <c r="P597" s="40"/>
      <c r="Q597" s="207">
        <f>'[3]PSEG LP_GLP_MMS'!G563</f>
        <v>0</v>
      </c>
      <c r="R597" s="207">
        <f>'[3]PSEG LP_GLP_MMS'!H563</f>
        <v>0</v>
      </c>
      <c r="S597" s="207">
        <f>'[3]PSEG LP_GLP_MMS'!I563</f>
        <v>0</v>
      </c>
      <c r="T597" s="207">
        <f>'[3]PSEG LP_GLP_MMS'!J563</f>
        <v>0</v>
      </c>
      <c r="U597" s="207">
        <f>'[3]PSEG LP_GLP_MMS'!K563</f>
        <v>0</v>
      </c>
      <c r="V597" s="145"/>
    </row>
    <row r="598" spans="1:22" x14ac:dyDescent="0.2">
      <c r="A598" s="89">
        <f t="shared" si="21"/>
        <v>590</v>
      </c>
      <c r="B598" s="43">
        <v>16</v>
      </c>
      <c r="C598" s="43">
        <v>35</v>
      </c>
      <c r="D598" s="38" t="s">
        <v>646</v>
      </c>
      <c r="E598" s="44" t="s">
        <v>211</v>
      </c>
      <c r="F598" s="44" t="s">
        <v>31</v>
      </c>
      <c r="G598" s="44" t="s">
        <v>120</v>
      </c>
      <c r="H598" s="44" t="s">
        <v>36</v>
      </c>
      <c r="I598" s="44" t="s">
        <v>36</v>
      </c>
      <c r="J598" s="44" t="s">
        <v>38</v>
      </c>
      <c r="K598" s="44" t="s">
        <v>212</v>
      </c>
      <c r="L598" s="40">
        <v>1151</v>
      </c>
      <c r="M598" s="41">
        <v>41339</v>
      </c>
      <c r="N598" s="40" t="s">
        <v>122</v>
      </c>
      <c r="O598" s="42"/>
      <c r="P598" s="40"/>
      <c r="Q598" s="207">
        <f>'[3]PSEG LP_LPLMS'!G563</f>
        <v>0</v>
      </c>
      <c r="R598" s="207">
        <f>'[3]PSEG LP_LPLMS'!H563</f>
        <v>0</v>
      </c>
      <c r="S598" s="207">
        <f>'[3]PSEG LP_LPLMS'!I563</f>
        <v>0</v>
      </c>
      <c r="T598" s="207">
        <f>'[3]PSEG LP_LPLMS'!J563</f>
        <v>0</v>
      </c>
      <c r="U598" s="207">
        <f>'[3]PSEG LP_LPLMS'!K563</f>
        <v>0</v>
      </c>
      <c r="V598" s="145"/>
    </row>
    <row r="599" spans="1:22" x14ac:dyDescent="0.2">
      <c r="A599" s="89">
        <f t="shared" si="21"/>
        <v>591</v>
      </c>
      <c r="B599" s="43">
        <v>16</v>
      </c>
      <c r="C599" s="43">
        <v>36</v>
      </c>
      <c r="D599" s="38" t="s">
        <v>647</v>
      </c>
      <c r="E599" s="44" t="s">
        <v>214</v>
      </c>
      <c r="F599" s="44" t="s">
        <v>6</v>
      </c>
      <c r="G599" s="44" t="s">
        <v>120</v>
      </c>
      <c r="H599" s="44" t="s">
        <v>17</v>
      </c>
      <c r="I599" s="44" t="s">
        <v>215</v>
      </c>
      <c r="J599" s="44" t="s">
        <v>18</v>
      </c>
      <c r="K599" s="44" t="s">
        <v>140</v>
      </c>
      <c r="L599" s="40">
        <v>1152</v>
      </c>
      <c r="M599" s="41">
        <v>41339</v>
      </c>
      <c r="N599" s="40" t="s">
        <v>122</v>
      </c>
      <c r="O599" s="42"/>
      <c r="P599" s="40"/>
      <c r="Q599" s="207">
        <f>'[3]West Penn Power LP_GSCMMS'!G563</f>
        <v>0</v>
      </c>
      <c r="R599" s="207">
        <f>'[3]West Penn Power LP_GSCMMS'!H563</f>
        <v>0</v>
      </c>
      <c r="S599" s="207">
        <f>'[3]West Penn Power LP_GSCMMS'!I563</f>
        <v>0</v>
      </c>
      <c r="T599" s="207">
        <f>'[3]West Penn Power LP_GSCMMS'!J563</f>
        <v>0</v>
      </c>
      <c r="U599" s="207">
        <f>'[3]West Penn Power LP_GSCMMS'!K563</f>
        <v>0</v>
      </c>
      <c r="V599" s="145"/>
    </row>
    <row r="600" spans="1:22" x14ac:dyDescent="0.2">
      <c r="A600" s="89">
        <f t="shared" si="21"/>
        <v>592</v>
      </c>
      <c r="B600" s="20"/>
      <c r="C600" s="20"/>
      <c r="D600" s="20"/>
      <c r="Q600" s="208"/>
      <c r="R600" s="208"/>
      <c r="S600" s="208"/>
      <c r="T600" s="208"/>
      <c r="U600" s="208"/>
    </row>
    <row r="601" spans="1:22" x14ac:dyDescent="0.2">
      <c r="A601" s="89">
        <f t="shared" si="21"/>
        <v>593</v>
      </c>
      <c r="B601" s="43">
        <v>17</v>
      </c>
      <c r="C601" s="43">
        <v>1</v>
      </c>
      <c r="D601" s="38" t="s">
        <v>612</v>
      </c>
      <c r="E601" s="44" t="s">
        <v>119</v>
      </c>
      <c r="F601" s="44" t="s">
        <v>31</v>
      </c>
      <c r="G601" s="44" t="s">
        <v>120</v>
      </c>
      <c r="H601" s="44" t="s">
        <v>32</v>
      </c>
      <c r="I601" s="44" t="s">
        <v>32</v>
      </c>
      <c r="J601" s="44" t="s">
        <v>33</v>
      </c>
      <c r="K601" s="44" t="s">
        <v>121</v>
      </c>
      <c r="L601" s="40">
        <v>1117</v>
      </c>
      <c r="M601" s="41">
        <v>41339</v>
      </c>
      <c r="N601" s="40" t="s">
        <v>122</v>
      </c>
      <c r="O601" s="42"/>
      <c r="P601" s="40"/>
      <c r="Q601" s="207">
        <f>'[3]AECO LP_10V1_SMS'!G600</f>
        <v>0</v>
      </c>
      <c r="R601" s="207">
        <f>'[3]AECO LP_10V1_SMS'!H600</f>
        <v>0</v>
      </c>
      <c r="S601" s="207">
        <f>'[3]AECO LP_10V1_SMS'!I600</f>
        <v>0</v>
      </c>
      <c r="T601" s="207">
        <f>'[3]AECO LP_10V1_SMS'!J600</f>
        <v>0</v>
      </c>
      <c r="U601" s="207">
        <f>'[3]AECO LP_10V1_SMS'!K600</f>
        <v>0</v>
      </c>
      <c r="V601" s="145"/>
    </row>
    <row r="602" spans="1:22" x14ac:dyDescent="0.2">
      <c r="A602" s="89">
        <f t="shared" si="21"/>
        <v>594</v>
      </c>
      <c r="B602" s="43">
        <v>17</v>
      </c>
      <c r="C602" s="43">
        <v>2</v>
      </c>
      <c r="D602" s="38" t="s">
        <v>613</v>
      </c>
      <c r="E602" s="44" t="s">
        <v>124</v>
      </c>
      <c r="F602" s="44" t="s">
        <v>31</v>
      </c>
      <c r="G602" s="44" t="s">
        <v>120</v>
      </c>
      <c r="H602" s="44" t="s">
        <v>32</v>
      </c>
      <c r="I602" s="44" t="s">
        <v>32</v>
      </c>
      <c r="J602" s="44" t="s">
        <v>34</v>
      </c>
      <c r="K602" s="44" t="s">
        <v>125</v>
      </c>
      <c r="L602" s="40">
        <v>1118</v>
      </c>
      <c r="M602" s="41">
        <v>41339</v>
      </c>
      <c r="N602" s="40" t="s">
        <v>122</v>
      </c>
      <c r="O602" s="42"/>
      <c r="P602" s="40"/>
      <c r="Q602" s="207">
        <f>'[3]AECO LP_14V1_MMS'!G600</f>
        <v>0</v>
      </c>
      <c r="R602" s="207">
        <f>'[3]AECO LP_14V1_MMS'!H600</f>
        <v>0</v>
      </c>
      <c r="S602" s="207">
        <f>'[3]AECO LP_14V1_MMS'!I600</f>
        <v>0</v>
      </c>
      <c r="T602" s="207">
        <f>'[3]AECO LP_14V1_MMS'!J600</f>
        <v>0</v>
      </c>
      <c r="U602" s="207">
        <f>'[3]AECO LP_14V1_MMS'!K600</f>
        <v>0</v>
      </c>
      <c r="V602" s="145"/>
    </row>
    <row r="603" spans="1:22" x14ac:dyDescent="0.2">
      <c r="A603" s="89">
        <f t="shared" si="21"/>
        <v>595</v>
      </c>
      <c r="B603" s="43">
        <v>17</v>
      </c>
      <c r="C603" s="43">
        <v>3</v>
      </c>
      <c r="D603" s="38" t="s">
        <v>614</v>
      </c>
      <c r="E603" s="44" t="s">
        <v>127</v>
      </c>
      <c r="F603" s="44" t="s">
        <v>20</v>
      </c>
      <c r="G603" s="44" t="s">
        <v>120</v>
      </c>
      <c r="H603" s="44" t="s">
        <v>63</v>
      </c>
      <c r="I603" s="44" t="s">
        <v>128</v>
      </c>
      <c r="J603" s="44" t="s">
        <v>15</v>
      </c>
      <c r="K603" s="44" t="s">
        <v>129</v>
      </c>
      <c r="L603" s="40">
        <v>1119</v>
      </c>
      <c r="M603" s="41">
        <v>41339</v>
      </c>
      <c r="N603" s="40" t="s">
        <v>122</v>
      </c>
      <c r="O603" s="42"/>
      <c r="P603" s="40"/>
      <c r="Q603" s="207">
        <f>'[3]AEP_OH_CS - test CSGS1MS'!G600</f>
        <v>0</v>
      </c>
      <c r="R603" s="207">
        <f>'[3]AEP_OH_CS - test CSGS1MS'!H600</f>
        <v>0</v>
      </c>
      <c r="S603" s="207">
        <f>'[3]AEP_OH_CS - test CSGS1MS'!I600</f>
        <v>0</v>
      </c>
      <c r="T603" s="207">
        <f>'[3]AEP_OH_CS - test CSGS1MS'!J600</f>
        <v>0</v>
      </c>
      <c r="U603" s="207">
        <f>'[3]AEP_OH_CS - test CSGS1MS'!K600</f>
        <v>0</v>
      </c>
      <c r="V603" s="145"/>
    </row>
    <row r="604" spans="1:22" x14ac:dyDescent="0.2">
      <c r="A604" s="89">
        <f t="shared" si="21"/>
        <v>596</v>
      </c>
      <c r="B604" s="43">
        <v>17</v>
      </c>
      <c r="C604" s="43">
        <v>4</v>
      </c>
      <c r="D604" s="38" t="s">
        <v>615</v>
      </c>
      <c r="E604" s="44" t="s">
        <v>131</v>
      </c>
      <c r="F604" s="44" t="s">
        <v>20</v>
      </c>
      <c r="G604" s="44" t="s">
        <v>120</v>
      </c>
      <c r="H604" s="44" t="s">
        <v>63</v>
      </c>
      <c r="I604" s="44" t="s">
        <v>128</v>
      </c>
      <c r="J604" s="44" t="s">
        <v>21</v>
      </c>
      <c r="K604" s="44" t="s">
        <v>132</v>
      </c>
      <c r="L604" s="40">
        <v>1120</v>
      </c>
      <c r="M604" s="41">
        <v>41339</v>
      </c>
      <c r="N604" s="40" t="s">
        <v>122</v>
      </c>
      <c r="O604" s="42"/>
      <c r="P604" s="40"/>
      <c r="Q604" s="207">
        <f>'[3]AEP_OH_CS - test CSGS2UMS'!G600</f>
        <v>0</v>
      </c>
      <c r="R604" s="207">
        <f>'[3]AEP_OH_CS - test CSGS2UMS'!H600</f>
        <v>0</v>
      </c>
      <c r="S604" s="207">
        <f>'[3]AEP_OH_CS - test CSGS2UMS'!I600</f>
        <v>0</v>
      </c>
      <c r="T604" s="207">
        <f>'[3]AEP_OH_CS - test CSGS2UMS'!J600</f>
        <v>0</v>
      </c>
      <c r="U604" s="207">
        <f>'[3]AEP_OH_CS - test CSGS2UMS'!K600</f>
        <v>0</v>
      </c>
      <c r="V604" s="145"/>
    </row>
    <row r="605" spans="1:22" x14ac:dyDescent="0.2">
      <c r="A605" s="89">
        <f t="shared" si="21"/>
        <v>597</v>
      </c>
      <c r="B605" s="43">
        <v>17</v>
      </c>
      <c r="C605" s="43">
        <v>5</v>
      </c>
      <c r="D605" s="38" t="s">
        <v>616</v>
      </c>
      <c r="E605" s="44" t="s">
        <v>134</v>
      </c>
      <c r="F605" s="44" t="s">
        <v>20</v>
      </c>
      <c r="G605" s="44" t="s">
        <v>120</v>
      </c>
      <c r="H605" s="44" t="s">
        <v>63</v>
      </c>
      <c r="I605" s="44" t="s">
        <v>128</v>
      </c>
      <c r="J605" s="44" t="s">
        <v>16</v>
      </c>
      <c r="K605" s="44" t="s">
        <v>135</v>
      </c>
      <c r="L605" s="40">
        <v>1121</v>
      </c>
      <c r="M605" s="41">
        <v>41339</v>
      </c>
      <c r="N605" s="40" t="s">
        <v>122</v>
      </c>
      <c r="O605" s="42"/>
      <c r="P605" s="40"/>
      <c r="Q605" s="207">
        <f>'[3]AEP_OH_CS - test CSGS3UMS'!G600</f>
        <v>0</v>
      </c>
      <c r="R605" s="207">
        <f>'[3]AEP_OH_CS - test CSGS3UMS'!H600</f>
        <v>0</v>
      </c>
      <c r="S605" s="207">
        <f>'[3]AEP_OH_CS - test CSGS3UMS'!I600</f>
        <v>0</v>
      </c>
      <c r="T605" s="207">
        <f>'[3]AEP_OH_CS - test CSGS3UMS'!J600</f>
        <v>0</v>
      </c>
      <c r="U605" s="207">
        <f>'[3]AEP_OH_CS - test CSGS3UMS'!K600</f>
        <v>0</v>
      </c>
      <c r="V605" s="145"/>
    </row>
    <row r="606" spans="1:22" x14ac:dyDescent="0.2">
      <c r="A606" s="89">
        <f t="shared" si="21"/>
        <v>598</v>
      </c>
      <c r="B606" s="43">
        <v>17</v>
      </c>
      <c r="C606" s="43">
        <v>6</v>
      </c>
      <c r="D606" s="38" t="s">
        <v>617</v>
      </c>
      <c r="E606" s="44" t="s">
        <v>137</v>
      </c>
      <c r="F606" s="44" t="s">
        <v>25</v>
      </c>
      <c r="G606" s="44" t="s">
        <v>138</v>
      </c>
      <c r="H606" s="44" t="s">
        <v>139</v>
      </c>
      <c r="I606" s="44" t="s">
        <v>29</v>
      </c>
      <c r="J606" s="44" t="s">
        <v>30</v>
      </c>
      <c r="K606" s="44" t="s">
        <v>140</v>
      </c>
      <c r="L606" s="40">
        <v>1122</v>
      </c>
      <c r="M606" s="41">
        <v>41339</v>
      </c>
      <c r="N606" s="40" t="s">
        <v>122</v>
      </c>
      <c r="O606" s="42"/>
      <c r="P606" s="40"/>
      <c r="Q606" s="207">
        <f>'[3]Ameren RateZnIII LP DS2HHMS'!G600</f>
        <v>0</v>
      </c>
      <c r="R606" s="207">
        <f>'[3]Ameren RateZnIII LP DS2HHMS'!H600</f>
        <v>0</v>
      </c>
      <c r="S606" s="207">
        <f>'[3]Ameren RateZnIII LP DS2HHMS'!I600</f>
        <v>0</v>
      </c>
      <c r="T606" s="207">
        <f>'[3]Ameren RateZnIII LP DS2HHMS'!J600</f>
        <v>0</v>
      </c>
      <c r="U606" s="207">
        <f>'[3]Ameren RateZnIII LP DS2HHMS'!K600</f>
        <v>0</v>
      </c>
      <c r="V606" s="145"/>
    </row>
    <row r="607" spans="1:22" x14ac:dyDescent="0.2">
      <c r="A607" s="89">
        <f t="shared" si="21"/>
        <v>599</v>
      </c>
      <c r="B607" s="43">
        <v>17</v>
      </c>
      <c r="C607" s="43">
        <v>7</v>
      </c>
      <c r="D607" s="38" t="s">
        <v>618</v>
      </c>
      <c r="E607" s="44" t="s">
        <v>142</v>
      </c>
      <c r="F607" s="44" t="s">
        <v>39</v>
      </c>
      <c r="G607" s="44" t="s">
        <v>120</v>
      </c>
      <c r="H607" s="44" t="s">
        <v>40</v>
      </c>
      <c r="I607" s="44" t="s">
        <v>40</v>
      </c>
      <c r="J607" s="44" t="s">
        <v>42</v>
      </c>
      <c r="K607" s="44" t="s">
        <v>135</v>
      </c>
      <c r="L607" s="40">
        <v>1124</v>
      </c>
      <c r="M607" s="41">
        <v>41339</v>
      </c>
      <c r="N607" s="40" t="s">
        <v>122</v>
      </c>
      <c r="O607" s="42"/>
      <c r="P607" s="40"/>
      <c r="Q607" s="207">
        <f>'[3]BGE LP_GLMS'!G600</f>
        <v>0</v>
      </c>
      <c r="R607" s="207">
        <f>'[3]BGE LP_GLMS'!H600</f>
        <v>0</v>
      </c>
      <c r="S607" s="207">
        <f>'[3]BGE LP_GLMS'!I600</f>
        <v>0</v>
      </c>
      <c r="T607" s="207">
        <f>'[3]BGE LP_GLMS'!J600</f>
        <v>0</v>
      </c>
      <c r="U607" s="207">
        <f>'[3]BGE LP_GLMS'!K600</f>
        <v>0</v>
      </c>
      <c r="V607" s="145"/>
    </row>
    <row r="608" spans="1:22" x14ac:dyDescent="0.2">
      <c r="A608" s="89">
        <f t="shared" si="21"/>
        <v>600</v>
      </c>
      <c r="B608" s="43">
        <v>17</v>
      </c>
      <c r="C608" s="43">
        <v>8</v>
      </c>
      <c r="D608" s="38" t="s">
        <v>619</v>
      </c>
      <c r="E608" s="44" t="s">
        <v>144</v>
      </c>
      <c r="F608" s="44" t="s">
        <v>39</v>
      </c>
      <c r="G608" s="44" t="s">
        <v>120</v>
      </c>
      <c r="H608" s="44" t="s">
        <v>40</v>
      </c>
      <c r="I608" s="44" t="s">
        <v>40</v>
      </c>
      <c r="J608" s="44" t="s">
        <v>41</v>
      </c>
      <c r="K608" s="44" t="s">
        <v>132</v>
      </c>
      <c r="L608" s="40">
        <v>1123</v>
      </c>
      <c r="M608" s="41">
        <v>41339</v>
      </c>
      <c r="N608" s="40" t="s">
        <v>122</v>
      </c>
      <c r="O608" s="42"/>
      <c r="P608" s="40"/>
      <c r="Q608" s="207">
        <f>'[3]BGE LP_GMS'!G600</f>
        <v>0</v>
      </c>
      <c r="R608" s="207">
        <f>'[3]BGE LP_GMS'!H600</f>
        <v>0</v>
      </c>
      <c r="S608" s="207">
        <f>'[3]BGE LP_GMS'!I600</f>
        <v>0</v>
      </c>
      <c r="T608" s="207">
        <f>'[3]BGE LP_GMS'!J600</f>
        <v>0</v>
      </c>
      <c r="U608" s="207">
        <f>'[3]BGE LP_GMS'!K600</f>
        <v>0</v>
      </c>
      <c r="V608" s="145"/>
    </row>
    <row r="609" spans="1:22" x14ac:dyDescent="0.2">
      <c r="A609" s="89">
        <f t="shared" si="21"/>
        <v>601</v>
      </c>
      <c r="B609" s="43">
        <v>17</v>
      </c>
      <c r="C609" s="43">
        <v>9</v>
      </c>
      <c r="D609" s="38" t="s">
        <v>620</v>
      </c>
      <c r="E609" s="44" t="s">
        <v>146</v>
      </c>
      <c r="F609" s="44" t="s">
        <v>39</v>
      </c>
      <c r="G609" s="44" t="s">
        <v>120</v>
      </c>
      <c r="H609" s="44" t="s">
        <v>40</v>
      </c>
      <c r="I609" s="44" t="s">
        <v>40</v>
      </c>
      <c r="J609" s="44" t="s">
        <v>7</v>
      </c>
      <c r="K609" s="44" t="s">
        <v>129</v>
      </c>
      <c r="L609" s="40">
        <v>1125</v>
      </c>
      <c r="M609" s="41">
        <v>41339</v>
      </c>
      <c r="N609" s="40" t="s">
        <v>122</v>
      </c>
      <c r="O609" s="42"/>
      <c r="P609" s="40"/>
      <c r="Q609" s="207">
        <f>'[3]BGE LP_GSMS'!G600</f>
        <v>0</v>
      </c>
      <c r="R609" s="207">
        <f>'[3]BGE LP_GSMS'!H600</f>
        <v>0</v>
      </c>
      <c r="S609" s="207">
        <f>'[3]BGE LP_GSMS'!I600</f>
        <v>0</v>
      </c>
      <c r="T609" s="207">
        <f>'[3]BGE LP_GSMS'!J600</f>
        <v>0</v>
      </c>
      <c r="U609" s="207">
        <f>'[3]BGE LP_GSMS'!K600</f>
        <v>0</v>
      </c>
      <c r="V609" s="145"/>
    </row>
    <row r="610" spans="1:22" x14ac:dyDescent="0.2">
      <c r="A610" s="89">
        <f t="shared" si="21"/>
        <v>602</v>
      </c>
      <c r="B610" s="43">
        <v>17</v>
      </c>
      <c r="C610" s="43">
        <v>10</v>
      </c>
      <c r="D610" s="38" t="s">
        <v>621</v>
      </c>
      <c r="E610" s="44" t="s">
        <v>148</v>
      </c>
      <c r="F610" s="44" t="s">
        <v>25</v>
      </c>
      <c r="G610" s="44" t="s">
        <v>120</v>
      </c>
      <c r="H610" s="44" t="s">
        <v>149</v>
      </c>
      <c r="I610" s="44" t="s">
        <v>26</v>
      </c>
      <c r="J610" s="44" t="s">
        <v>27</v>
      </c>
      <c r="K610" s="44" t="s">
        <v>150</v>
      </c>
      <c r="L610" s="40">
        <v>1126</v>
      </c>
      <c r="M610" s="41">
        <v>41339</v>
      </c>
      <c r="N610" s="40" t="s">
        <v>122</v>
      </c>
      <c r="O610" s="42"/>
      <c r="P610" s="40"/>
      <c r="Q610" s="207">
        <f>'[3]ComEd - test LP_28MS'!G600</f>
        <v>0</v>
      </c>
      <c r="R610" s="207">
        <f>'[3]ComEd - test LP_28MS'!H600</f>
        <v>0</v>
      </c>
      <c r="S610" s="207">
        <f>'[3]ComEd - test LP_28MS'!I600</f>
        <v>0</v>
      </c>
      <c r="T610" s="207">
        <f>'[3]ComEd - test LP_28MS'!J600</f>
        <v>0</v>
      </c>
      <c r="U610" s="207">
        <f>'[3]ComEd - test LP_28MS'!K600</f>
        <v>0</v>
      </c>
      <c r="V610" s="145"/>
    </row>
    <row r="611" spans="1:22" x14ac:dyDescent="0.2">
      <c r="A611" s="89">
        <f t="shared" si="21"/>
        <v>603</v>
      </c>
      <c r="B611" s="43">
        <v>17</v>
      </c>
      <c r="C611" s="43">
        <v>11</v>
      </c>
      <c r="D611" s="38" t="s">
        <v>622</v>
      </c>
      <c r="E611" s="44" t="s">
        <v>152</v>
      </c>
      <c r="F611" s="44" t="s">
        <v>25</v>
      </c>
      <c r="G611" s="44" t="s">
        <v>120</v>
      </c>
      <c r="H611" s="44" t="s">
        <v>149</v>
      </c>
      <c r="I611" s="44" t="s">
        <v>26</v>
      </c>
      <c r="J611" s="44" t="s">
        <v>28</v>
      </c>
      <c r="K611" s="44" t="s">
        <v>153</v>
      </c>
      <c r="L611" s="40">
        <v>1127</v>
      </c>
      <c r="M611" s="41">
        <v>41339</v>
      </c>
      <c r="N611" s="40" t="s">
        <v>122</v>
      </c>
      <c r="O611" s="42"/>
      <c r="P611" s="40"/>
      <c r="Q611" s="207">
        <f>'[3]ComEd - test LP_29MS'!G600</f>
        <v>0</v>
      </c>
      <c r="R611" s="207">
        <f>'[3]ComEd - test LP_29MS'!H600</f>
        <v>0</v>
      </c>
      <c r="S611" s="207">
        <f>'[3]ComEd - test LP_29MS'!I600</f>
        <v>0</v>
      </c>
      <c r="T611" s="207">
        <f>'[3]ComEd - test LP_29MS'!J600</f>
        <v>0</v>
      </c>
      <c r="U611" s="207">
        <f>'[3]ComEd - test LP_29MS'!K600</f>
        <v>0</v>
      </c>
      <c r="V611" s="145"/>
    </row>
    <row r="612" spans="1:22" x14ac:dyDescent="0.2">
      <c r="A612" s="89">
        <f t="shared" si="21"/>
        <v>604</v>
      </c>
      <c r="B612" s="43">
        <v>17</v>
      </c>
      <c r="C612" s="43">
        <v>12</v>
      </c>
      <c r="D612" s="38" t="s">
        <v>623</v>
      </c>
      <c r="E612" s="44" t="s">
        <v>155</v>
      </c>
      <c r="F612" s="44" t="s">
        <v>20</v>
      </c>
      <c r="G612" s="44" t="s">
        <v>120</v>
      </c>
      <c r="H612" s="44" t="s">
        <v>105</v>
      </c>
      <c r="I612" s="44" t="s">
        <v>156</v>
      </c>
      <c r="J612" s="44" t="s">
        <v>22</v>
      </c>
      <c r="K612" s="44" t="s">
        <v>157</v>
      </c>
      <c r="L612" s="40">
        <v>1128</v>
      </c>
      <c r="M612" s="41">
        <v>41339</v>
      </c>
      <c r="N612" s="40" t="s">
        <v>122</v>
      </c>
      <c r="O612" s="42"/>
      <c r="P612" s="40"/>
      <c r="Q612" s="207">
        <f>[3]DAY_RC_843MS!G600</f>
        <v>0</v>
      </c>
      <c r="R612" s="207">
        <f>[3]DAY_RC_843MS!H600</f>
        <v>0</v>
      </c>
      <c r="S612" s="207">
        <f>[3]DAY_RC_843MS!I600</f>
        <v>0</v>
      </c>
      <c r="T612" s="207">
        <f>[3]DAY_RC_843MS!J600</f>
        <v>0</v>
      </c>
      <c r="U612" s="207">
        <f>[3]DAY_RC_843MS!K600</f>
        <v>0</v>
      </c>
      <c r="V612" s="145"/>
    </row>
    <row r="613" spans="1:22" x14ac:dyDescent="0.2">
      <c r="A613" s="89">
        <f t="shared" si="21"/>
        <v>605</v>
      </c>
      <c r="B613" s="43">
        <v>17</v>
      </c>
      <c r="C613" s="43">
        <v>13</v>
      </c>
      <c r="D613" s="38" t="s">
        <v>624</v>
      </c>
      <c r="E613" s="44" t="s">
        <v>159</v>
      </c>
      <c r="F613" s="44" t="s">
        <v>39</v>
      </c>
      <c r="G613" s="44" t="s">
        <v>120</v>
      </c>
      <c r="H613" s="44" t="s">
        <v>43</v>
      </c>
      <c r="I613" s="44" t="s">
        <v>43</v>
      </c>
      <c r="J613" s="44" t="s">
        <v>7</v>
      </c>
      <c r="K613" s="44" t="s">
        <v>140</v>
      </c>
      <c r="L613" s="40">
        <v>1129</v>
      </c>
      <c r="M613" s="41">
        <v>41339</v>
      </c>
      <c r="N613" s="40" t="s">
        <v>122</v>
      </c>
      <c r="O613" s="42"/>
      <c r="P613" s="40"/>
      <c r="Q613" s="207">
        <f>'[3]Delmarva MD LP_MDGS_MMS'!G600</f>
        <v>0</v>
      </c>
      <c r="R613" s="207">
        <f>'[3]Delmarva MD LP_MDGS_MMS'!H600</f>
        <v>0</v>
      </c>
      <c r="S613" s="207">
        <f>'[3]Delmarva MD LP_MDGS_MMS'!I600</f>
        <v>0</v>
      </c>
      <c r="T613" s="207">
        <f>'[3]Delmarva MD LP_MDGS_MMS'!J600</f>
        <v>0</v>
      </c>
      <c r="U613" s="207">
        <f>'[3]Delmarva MD LP_MDGS_MMS'!K600</f>
        <v>0</v>
      </c>
      <c r="V613" s="145"/>
    </row>
    <row r="614" spans="1:22" x14ac:dyDescent="0.2">
      <c r="A614" s="89">
        <f t="shared" si="21"/>
        <v>606</v>
      </c>
      <c r="B614" s="43">
        <v>17</v>
      </c>
      <c r="C614" s="43">
        <v>14</v>
      </c>
      <c r="D614" s="38" t="s">
        <v>625</v>
      </c>
      <c r="E614" s="44" t="s">
        <v>161</v>
      </c>
      <c r="F614" s="44" t="s">
        <v>6</v>
      </c>
      <c r="G614" s="44" t="s">
        <v>120</v>
      </c>
      <c r="H614" s="44" t="s">
        <v>48</v>
      </c>
      <c r="I614" s="44" t="s">
        <v>48</v>
      </c>
      <c r="J614" s="44" t="s">
        <v>7</v>
      </c>
      <c r="K614" s="44" t="s">
        <v>140</v>
      </c>
      <c r="L614" s="40">
        <v>1130</v>
      </c>
      <c r="M614" s="41">
        <v>41339</v>
      </c>
      <c r="N614" s="40" t="s">
        <v>122</v>
      </c>
      <c r="O614" s="42"/>
      <c r="P614" s="40"/>
      <c r="Q614" s="207">
        <f>'[3]DQE LP_GSGM_MMS'!G600</f>
        <v>0</v>
      </c>
      <c r="R614" s="207">
        <f>'[3]DQE LP_GSGM_MMS'!H600</f>
        <v>0</v>
      </c>
      <c r="S614" s="207">
        <f>'[3]DQE LP_GSGM_MMS'!I600</f>
        <v>0</v>
      </c>
      <c r="T614" s="207">
        <f>'[3]DQE LP_GSGM_MMS'!J600</f>
        <v>0</v>
      </c>
      <c r="U614" s="207">
        <f>'[3]DQE LP_GSGM_MMS'!K600</f>
        <v>0</v>
      </c>
      <c r="V614" s="145"/>
    </row>
    <row r="615" spans="1:22" x14ac:dyDescent="0.2">
      <c r="A615" s="89">
        <f t="shared" si="21"/>
        <v>607</v>
      </c>
      <c r="B615" s="43">
        <v>17</v>
      </c>
      <c r="C615" s="43">
        <v>15</v>
      </c>
      <c r="D615" s="38" t="s">
        <v>626</v>
      </c>
      <c r="E615" s="44" t="s">
        <v>163</v>
      </c>
      <c r="F615" s="44" t="s">
        <v>20</v>
      </c>
      <c r="G615" s="44" t="s">
        <v>120</v>
      </c>
      <c r="H615" s="44" t="s">
        <v>23</v>
      </c>
      <c r="I615" s="44" t="s">
        <v>164</v>
      </c>
      <c r="J615" s="44" t="s">
        <v>24</v>
      </c>
      <c r="K615" s="44" t="s">
        <v>140</v>
      </c>
      <c r="L615" s="40">
        <v>1131</v>
      </c>
      <c r="M615" s="41">
        <v>41339</v>
      </c>
      <c r="N615" s="40" t="s">
        <v>122</v>
      </c>
      <c r="O615" s="42"/>
      <c r="P615" s="40"/>
      <c r="Q615" s="207">
        <f>[3]Duke_OH_RC_DS01MS!G600</f>
        <v>0</v>
      </c>
      <c r="R615" s="207">
        <f>[3]Duke_OH_RC_DS01MS!H600</f>
        <v>0</v>
      </c>
      <c r="S615" s="207">
        <f>[3]Duke_OH_RC_DS01MS!I600</f>
        <v>0</v>
      </c>
      <c r="T615" s="207">
        <f>[3]Duke_OH_RC_DS01MS!J600</f>
        <v>0</v>
      </c>
      <c r="U615" s="207">
        <f>[3]Duke_OH_RC_DS01MS!K600</f>
        <v>0</v>
      </c>
      <c r="V615" s="145"/>
    </row>
    <row r="616" spans="1:22" x14ac:dyDescent="0.2">
      <c r="A616" s="89">
        <f t="shared" si="21"/>
        <v>608</v>
      </c>
      <c r="B616" s="43">
        <v>17</v>
      </c>
      <c r="C616" s="43">
        <v>16</v>
      </c>
      <c r="D616" s="38" t="s">
        <v>627</v>
      </c>
      <c r="E616" s="44" t="s">
        <v>166</v>
      </c>
      <c r="F616" s="44" t="s">
        <v>20</v>
      </c>
      <c r="G616" s="44" t="s">
        <v>120</v>
      </c>
      <c r="H616" s="44" t="s">
        <v>64</v>
      </c>
      <c r="I616" s="44" t="s">
        <v>167</v>
      </c>
      <c r="J616" s="44" t="s">
        <v>7</v>
      </c>
      <c r="K616" s="44" t="s">
        <v>140</v>
      </c>
      <c r="L616" s="40">
        <v>1132</v>
      </c>
      <c r="M616" s="41">
        <v>41339</v>
      </c>
      <c r="N616" s="40" t="s">
        <v>122</v>
      </c>
      <c r="O616" s="42"/>
      <c r="P616" s="40"/>
      <c r="Q616" s="207">
        <f>'[3]FE_OE - test RC_GSFMS'!G600</f>
        <v>0</v>
      </c>
      <c r="R616" s="207">
        <f>'[3]FE_OE - test RC_GSFMS'!H600</f>
        <v>0</v>
      </c>
      <c r="S616" s="207">
        <f>'[3]FE_OE - test RC_GSFMS'!I600</f>
        <v>0</v>
      </c>
      <c r="T616" s="207">
        <f>'[3]FE_OE - test RC_GSFMS'!J600</f>
        <v>0</v>
      </c>
      <c r="U616" s="207">
        <f>'[3]FE_OE - test RC_GSFMS'!K600</f>
        <v>0</v>
      </c>
      <c r="V616" s="145"/>
    </row>
    <row r="617" spans="1:22" x14ac:dyDescent="0.2">
      <c r="A617" s="89">
        <f t="shared" si="21"/>
        <v>609</v>
      </c>
      <c r="B617" s="43">
        <v>17</v>
      </c>
      <c r="C617" s="43">
        <v>17</v>
      </c>
      <c r="D617" s="38" t="s">
        <v>628</v>
      </c>
      <c r="E617" s="44" t="s">
        <v>169</v>
      </c>
      <c r="F617" s="44" t="s">
        <v>31</v>
      </c>
      <c r="G617" s="44" t="s">
        <v>120</v>
      </c>
      <c r="H617" s="44" t="s">
        <v>35</v>
      </c>
      <c r="I617" s="44" t="s">
        <v>35</v>
      </c>
      <c r="J617" s="44" t="s">
        <v>9</v>
      </c>
      <c r="K617" s="44" t="s">
        <v>135</v>
      </c>
      <c r="L617" s="40">
        <v>1133</v>
      </c>
      <c r="M617" s="41">
        <v>41339</v>
      </c>
      <c r="N617" s="40" t="s">
        <v>122</v>
      </c>
      <c r="O617" s="42"/>
      <c r="P617" s="40"/>
      <c r="Q617" s="207">
        <f>'[3]JCPL LP_GSCLMS'!G600</f>
        <v>0</v>
      </c>
      <c r="R617" s="207">
        <f>'[3]JCPL LP_GSCLMS'!H600</f>
        <v>0</v>
      </c>
      <c r="S617" s="207">
        <f>'[3]JCPL LP_GSCLMS'!I600</f>
        <v>0</v>
      </c>
      <c r="T617" s="207">
        <f>'[3]JCPL LP_GSCLMS'!J600</f>
        <v>0</v>
      </c>
      <c r="U617" s="207">
        <f>'[3]JCPL LP_GSCLMS'!K600</f>
        <v>0</v>
      </c>
      <c r="V617" s="145"/>
    </row>
    <row r="618" spans="1:22" x14ac:dyDescent="0.2">
      <c r="A618" s="89">
        <f t="shared" si="21"/>
        <v>610</v>
      </c>
      <c r="B618" s="43">
        <v>17</v>
      </c>
      <c r="C618" s="43">
        <v>18</v>
      </c>
      <c r="D618" s="38" t="s">
        <v>629</v>
      </c>
      <c r="E618" s="44" t="s">
        <v>171</v>
      </c>
      <c r="F618" s="44" t="s">
        <v>31</v>
      </c>
      <c r="G618" s="44" t="s">
        <v>120</v>
      </c>
      <c r="H618" s="44" t="s">
        <v>35</v>
      </c>
      <c r="I618" s="44" t="s">
        <v>35</v>
      </c>
      <c r="J618" s="44" t="s">
        <v>10</v>
      </c>
      <c r="K618" s="44" t="s">
        <v>132</v>
      </c>
      <c r="L618" s="40">
        <v>1134</v>
      </c>
      <c r="M618" s="41">
        <v>41339</v>
      </c>
      <c r="N618" s="40" t="s">
        <v>122</v>
      </c>
      <c r="O618" s="42"/>
      <c r="P618" s="40"/>
      <c r="Q618" s="207">
        <f>'[3]JCPL LP_GSCMMS'!G600</f>
        <v>0</v>
      </c>
      <c r="R618" s="207">
        <f>'[3]JCPL LP_GSCMMS'!H600</f>
        <v>0</v>
      </c>
      <c r="S618" s="207">
        <f>'[3]JCPL LP_GSCMMS'!I600</f>
        <v>0</v>
      </c>
      <c r="T618" s="207">
        <f>'[3]JCPL LP_GSCMMS'!J600</f>
        <v>0</v>
      </c>
      <c r="U618" s="207">
        <f>'[3]JCPL LP_GSCMMS'!K600</f>
        <v>0</v>
      </c>
      <c r="V618" s="145"/>
    </row>
    <row r="619" spans="1:22" x14ac:dyDescent="0.2">
      <c r="A619" s="89">
        <f t="shared" si="21"/>
        <v>611</v>
      </c>
      <c r="B619" s="43">
        <v>17</v>
      </c>
      <c r="C619" s="43">
        <v>19</v>
      </c>
      <c r="D619" s="38" t="s">
        <v>630</v>
      </c>
      <c r="E619" s="44" t="s">
        <v>173</v>
      </c>
      <c r="F619" s="44" t="s">
        <v>31</v>
      </c>
      <c r="G619" s="44" t="s">
        <v>120</v>
      </c>
      <c r="H619" s="44" t="s">
        <v>35</v>
      </c>
      <c r="I619" s="44" t="s">
        <v>35</v>
      </c>
      <c r="J619" s="44" t="s">
        <v>11</v>
      </c>
      <c r="K619" s="44" t="s">
        <v>129</v>
      </c>
      <c r="L619" s="40">
        <v>1135</v>
      </c>
      <c r="M619" s="41">
        <v>41339</v>
      </c>
      <c r="N619" s="40" t="s">
        <v>122</v>
      </c>
      <c r="O619" s="42"/>
      <c r="P619" s="40"/>
      <c r="Q619" s="207">
        <f>'[3]JCPL LP_GSCSMS'!G600</f>
        <v>0</v>
      </c>
      <c r="R619" s="207">
        <f>'[3]JCPL LP_GSCSMS'!H600</f>
        <v>0</v>
      </c>
      <c r="S619" s="207">
        <f>'[3]JCPL LP_GSCSMS'!I600</f>
        <v>0</v>
      </c>
      <c r="T619" s="207">
        <f>'[3]JCPL LP_GSCSMS'!J600</f>
        <v>0</v>
      </c>
      <c r="U619" s="207">
        <f>'[3]JCPL LP_GSCSMS'!K600</f>
        <v>0</v>
      </c>
      <c r="V619" s="145"/>
    </row>
    <row r="620" spans="1:22" x14ac:dyDescent="0.2">
      <c r="A620" s="89">
        <f t="shared" si="21"/>
        <v>612</v>
      </c>
      <c r="B620" s="43">
        <v>17</v>
      </c>
      <c r="C620" s="43">
        <v>20</v>
      </c>
      <c r="D620" s="38" t="s">
        <v>631</v>
      </c>
      <c r="E620" s="44" t="s">
        <v>175</v>
      </c>
      <c r="F620" s="44" t="s">
        <v>6</v>
      </c>
      <c r="G620" s="44" t="s">
        <v>120</v>
      </c>
      <c r="H620" s="44" t="s">
        <v>176</v>
      </c>
      <c r="I620" s="44" t="s">
        <v>177</v>
      </c>
      <c r="J620" s="44" t="s">
        <v>9</v>
      </c>
      <c r="K620" s="44" t="s">
        <v>135</v>
      </c>
      <c r="L620" s="40">
        <v>1137</v>
      </c>
      <c r="M620" s="41">
        <v>41339</v>
      </c>
      <c r="N620" s="40" t="s">
        <v>122</v>
      </c>
      <c r="O620" s="42"/>
      <c r="P620" s="40"/>
      <c r="Q620" s="207">
        <f>'[3]MetEd RC_GSLFMS'!G600</f>
        <v>0</v>
      </c>
      <c r="R620" s="207">
        <f>'[3]MetEd RC_GSLFMS'!H600</f>
        <v>0</v>
      </c>
      <c r="S620" s="207">
        <f>'[3]MetEd RC_GSLFMS'!I600</f>
        <v>0</v>
      </c>
      <c r="T620" s="207">
        <f>'[3]MetEd RC_GSLFMS'!J600</f>
        <v>0</v>
      </c>
      <c r="U620" s="207">
        <f>'[3]MetEd RC_GSLFMS'!K600</f>
        <v>0</v>
      </c>
      <c r="V620" s="145"/>
    </row>
    <row r="621" spans="1:22" x14ac:dyDescent="0.2">
      <c r="A621" s="89">
        <f t="shared" si="21"/>
        <v>613</v>
      </c>
      <c r="B621" s="43">
        <v>17</v>
      </c>
      <c r="C621" s="43">
        <v>21</v>
      </c>
      <c r="D621" s="38" t="s">
        <v>632</v>
      </c>
      <c r="E621" s="44" t="s">
        <v>179</v>
      </c>
      <c r="F621" s="44" t="s">
        <v>6</v>
      </c>
      <c r="G621" s="44" t="s">
        <v>120</v>
      </c>
      <c r="H621" s="44" t="s">
        <v>176</v>
      </c>
      <c r="I621" s="44" t="s">
        <v>177</v>
      </c>
      <c r="J621" s="44" t="s">
        <v>10</v>
      </c>
      <c r="K621" s="44" t="s">
        <v>132</v>
      </c>
      <c r="L621" s="40">
        <v>1136</v>
      </c>
      <c r="M621" s="41">
        <v>41339</v>
      </c>
      <c r="N621" s="40" t="s">
        <v>122</v>
      </c>
      <c r="O621" s="42"/>
      <c r="P621" s="40"/>
      <c r="Q621" s="207">
        <f>'[3]MetEd RC_GSDFMS'!G600</f>
        <v>0</v>
      </c>
      <c r="R621" s="207">
        <f>'[3]MetEd RC_GSDFMS'!H600</f>
        <v>0</v>
      </c>
      <c r="S621" s="207">
        <f>'[3]MetEd RC_GSDFMS'!I600</f>
        <v>0</v>
      </c>
      <c r="T621" s="207">
        <f>'[3]MetEd RC_GSDFMS'!J600</f>
        <v>0</v>
      </c>
      <c r="U621" s="207">
        <f>'[3]MetEd RC_GSDFMS'!K600</f>
        <v>0</v>
      </c>
      <c r="V621" s="145"/>
    </row>
    <row r="622" spans="1:22" x14ac:dyDescent="0.2">
      <c r="A622" s="89">
        <f t="shared" si="21"/>
        <v>614</v>
      </c>
      <c r="B622" s="43">
        <v>17</v>
      </c>
      <c r="C622" s="43">
        <v>22</v>
      </c>
      <c r="D622" s="38" t="s">
        <v>633</v>
      </c>
      <c r="E622" s="44" t="s">
        <v>181</v>
      </c>
      <c r="F622" s="44" t="s">
        <v>6</v>
      </c>
      <c r="G622" s="44" t="s">
        <v>120</v>
      </c>
      <c r="H622" s="44" t="s">
        <v>176</v>
      </c>
      <c r="I622" s="44" t="s">
        <v>177</v>
      </c>
      <c r="J622" s="44" t="s">
        <v>11</v>
      </c>
      <c r="K622" s="44" t="s">
        <v>129</v>
      </c>
      <c r="L622" s="40">
        <v>1138</v>
      </c>
      <c r="M622" s="41">
        <v>41339</v>
      </c>
      <c r="N622" s="40" t="s">
        <v>122</v>
      </c>
      <c r="O622" s="42"/>
      <c r="P622" s="40"/>
      <c r="Q622" s="207">
        <f>'[3]MetEd RC_GSSFMS'!G600</f>
        <v>0</v>
      </c>
      <c r="R622" s="207">
        <f>'[3]MetEd RC_GSSFMS'!H600</f>
        <v>0</v>
      </c>
      <c r="S622" s="207">
        <f>'[3]MetEd RC_GSSFMS'!I600</f>
        <v>0</v>
      </c>
      <c r="T622" s="207">
        <f>'[3]MetEd RC_GSSFMS'!J600</f>
        <v>0</v>
      </c>
      <c r="U622" s="207">
        <f>'[3]MetEd RC_GSSFMS'!K600</f>
        <v>0</v>
      </c>
      <c r="V622" s="145"/>
    </row>
    <row r="623" spans="1:22" x14ac:dyDescent="0.2">
      <c r="A623" s="89">
        <f t="shared" si="21"/>
        <v>615</v>
      </c>
      <c r="B623" s="43">
        <v>17</v>
      </c>
      <c r="C623" s="43">
        <v>23</v>
      </c>
      <c r="D623" s="38" t="s">
        <v>634</v>
      </c>
      <c r="E623" s="44" t="s">
        <v>183</v>
      </c>
      <c r="F623" s="44" t="s">
        <v>6</v>
      </c>
      <c r="G623" s="44" t="s">
        <v>120</v>
      </c>
      <c r="H623" s="44" t="s">
        <v>13</v>
      </c>
      <c r="I623" s="44" t="s">
        <v>13</v>
      </c>
      <c r="J623" s="44" t="s">
        <v>7</v>
      </c>
      <c r="K623" s="44" t="s">
        <v>140</v>
      </c>
      <c r="L623" s="40">
        <v>1139</v>
      </c>
      <c r="M623" s="41">
        <v>41339</v>
      </c>
      <c r="N623" s="40" t="s">
        <v>122</v>
      </c>
      <c r="O623" s="42"/>
      <c r="P623" s="40"/>
      <c r="Q623" s="207">
        <f>'[3]PECO LP_GSMS'!G600</f>
        <v>0</v>
      </c>
      <c r="R623" s="207">
        <f>'[3]PECO LP_GSMS'!H600</f>
        <v>0</v>
      </c>
      <c r="S623" s="207">
        <f>'[3]PECO LP_GSMS'!I600</f>
        <v>0</v>
      </c>
      <c r="T623" s="207">
        <f>'[3]PECO LP_GSMS'!J600</f>
        <v>0</v>
      </c>
      <c r="U623" s="207">
        <f>'[3]PECO LP_GSMS'!K600</f>
        <v>0</v>
      </c>
      <c r="V623" s="145"/>
    </row>
    <row r="624" spans="1:22" x14ac:dyDescent="0.2">
      <c r="A624" s="89">
        <f t="shared" si="21"/>
        <v>616</v>
      </c>
      <c r="B624" s="43">
        <v>17</v>
      </c>
      <c r="C624" s="43">
        <v>24</v>
      </c>
      <c r="D624" s="38" t="s">
        <v>635</v>
      </c>
      <c r="E624" s="44" t="s">
        <v>185</v>
      </c>
      <c r="F624" s="44" t="s">
        <v>6</v>
      </c>
      <c r="G624" s="44" t="s">
        <v>120</v>
      </c>
      <c r="H624" s="44" t="s">
        <v>12</v>
      </c>
      <c r="I624" s="44" t="s">
        <v>186</v>
      </c>
      <c r="J624" s="44" t="s">
        <v>9</v>
      </c>
      <c r="K624" s="44" t="s">
        <v>135</v>
      </c>
      <c r="L624" s="40">
        <v>1140</v>
      </c>
      <c r="M624" s="41">
        <v>41339</v>
      </c>
      <c r="N624" s="40" t="s">
        <v>122</v>
      </c>
      <c r="O624" s="42"/>
      <c r="P624" s="40"/>
      <c r="Q624" s="207">
        <f>'[3]Penelec RC_GSLFMS'!G600</f>
        <v>0</v>
      </c>
      <c r="R624" s="207">
        <f>'[3]Penelec RC_GSLFMS'!H600</f>
        <v>0</v>
      </c>
      <c r="S624" s="207">
        <f>'[3]Penelec RC_GSLFMS'!I600</f>
        <v>0</v>
      </c>
      <c r="T624" s="207">
        <f>'[3]Penelec RC_GSLFMS'!J600</f>
        <v>0</v>
      </c>
      <c r="U624" s="207">
        <f>'[3]Penelec RC_GSLFMS'!K600</f>
        <v>0</v>
      </c>
      <c r="V624" s="145"/>
    </row>
    <row r="625" spans="1:22" x14ac:dyDescent="0.2">
      <c r="A625" s="89">
        <f t="shared" si="21"/>
        <v>617</v>
      </c>
      <c r="B625" s="43">
        <v>17</v>
      </c>
      <c r="C625" s="43">
        <v>25</v>
      </c>
      <c r="D625" s="38" t="s">
        <v>636</v>
      </c>
      <c r="E625" s="44" t="s">
        <v>188</v>
      </c>
      <c r="F625" s="44" t="s">
        <v>6</v>
      </c>
      <c r="G625" s="44" t="s">
        <v>120</v>
      </c>
      <c r="H625" s="44" t="s">
        <v>12</v>
      </c>
      <c r="I625" s="44" t="s">
        <v>186</v>
      </c>
      <c r="J625" s="44" t="s">
        <v>10</v>
      </c>
      <c r="K625" s="44" t="s">
        <v>132</v>
      </c>
      <c r="L625" s="40">
        <v>1141</v>
      </c>
      <c r="M625" s="41">
        <v>41339</v>
      </c>
      <c r="N625" s="40" t="s">
        <v>122</v>
      </c>
      <c r="O625" s="42"/>
      <c r="P625" s="40"/>
      <c r="Q625" s="207">
        <f>'[3]Penelec RC_GSMFMS'!G600</f>
        <v>0</v>
      </c>
      <c r="R625" s="207">
        <f>'[3]Penelec RC_GSMFMS'!H600</f>
        <v>0</v>
      </c>
      <c r="S625" s="207">
        <f>'[3]Penelec RC_GSMFMS'!I600</f>
        <v>0</v>
      </c>
      <c r="T625" s="207">
        <f>'[3]Penelec RC_GSMFMS'!J600</f>
        <v>0</v>
      </c>
      <c r="U625" s="207">
        <f>'[3]Penelec RC_GSMFMS'!K600</f>
        <v>0</v>
      </c>
      <c r="V625" s="145"/>
    </row>
    <row r="626" spans="1:22" x14ac:dyDescent="0.2">
      <c r="A626" s="89">
        <f t="shared" si="21"/>
        <v>618</v>
      </c>
      <c r="B626" s="43">
        <v>17</v>
      </c>
      <c r="C626" s="43">
        <v>26</v>
      </c>
      <c r="D626" s="38" t="s">
        <v>637</v>
      </c>
      <c r="E626" s="44" t="s">
        <v>190</v>
      </c>
      <c r="F626" s="44" t="s">
        <v>6</v>
      </c>
      <c r="G626" s="44" t="s">
        <v>120</v>
      </c>
      <c r="H626" s="44" t="s">
        <v>12</v>
      </c>
      <c r="I626" s="44" t="s">
        <v>186</v>
      </c>
      <c r="J626" s="44" t="s">
        <v>11</v>
      </c>
      <c r="K626" s="44" t="s">
        <v>129</v>
      </c>
      <c r="L626" s="40">
        <v>1142</v>
      </c>
      <c r="M626" s="41">
        <v>41339</v>
      </c>
      <c r="N626" s="40" t="s">
        <v>122</v>
      </c>
      <c r="O626" s="42"/>
      <c r="P626" s="40"/>
      <c r="Q626" s="207">
        <f>'[3]Penelec RC_GSSFMS'!G600</f>
        <v>0</v>
      </c>
      <c r="R626" s="207">
        <f>'[3]Penelec RC_GSSFMS'!H600</f>
        <v>0</v>
      </c>
      <c r="S626" s="207">
        <f>'[3]Penelec RC_GSSFMS'!I600</f>
        <v>0</v>
      </c>
      <c r="T626" s="207">
        <f>'[3]Penelec RC_GSSFMS'!J600</f>
        <v>0</v>
      </c>
      <c r="U626" s="207">
        <f>'[3]Penelec RC_GSSFMS'!K600</f>
        <v>0</v>
      </c>
      <c r="V626" s="145"/>
    </row>
    <row r="627" spans="1:22" x14ac:dyDescent="0.2">
      <c r="A627" s="89">
        <f t="shared" si="21"/>
        <v>619</v>
      </c>
      <c r="B627" s="43">
        <v>17</v>
      </c>
      <c r="C627" s="43">
        <v>27</v>
      </c>
      <c r="D627" s="38" t="s">
        <v>638</v>
      </c>
      <c r="E627" s="44" t="s">
        <v>192</v>
      </c>
      <c r="F627" s="44" t="s">
        <v>6</v>
      </c>
      <c r="G627" s="44" t="s">
        <v>120</v>
      </c>
      <c r="H627" s="44" t="s">
        <v>100</v>
      </c>
      <c r="I627" s="44" t="s">
        <v>193</v>
      </c>
      <c r="J627" s="44" t="s">
        <v>7</v>
      </c>
      <c r="K627" s="44" t="s">
        <v>140</v>
      </c>
      <c r="L627" s="40">
        <v>1143</v>
      </c>
      <c r="M627" s="41">
        <v>41339</v>
      </c>
      <c r="N627" s="40" t="s">
        <v>122</v>
      </c>
      <c r="O627" s="42"/>
      <c r="P627" s="40"/>
      <c r="Q627" s="207">
        <f>'[3]Penn Power RC_GMDMS'!G600</f>
        <v>0</v>
      </c>
      <c r="R627" s="207">
        <f>'[3]Penn Power RC_GMDMS'!H600</f>
        <v>0</v>
      </c>
      <c r="S627" s="207">
        <f>'[3]Penn Power RC_GMDMS'!I600</f>
        <v>0</v>
      </c>
      <c r="T627" s="207">
        <f>'[3]Penn Power RC_GMDMS'!J600</f>
        <v>0</v>
      </c>
      <c r="U627" s="207">
        <f>'[3]Penn Power RC_GMDMS'!K600</f>
        <v>0</v>
      </c>
      <c r="V627" s="145"/>
    </row>
    <row r="628" spans="1:22" x14ac:dyDescent="0.2">
      <c r="A628" s="89">
        <f t="shared" si="21"/>
        <v>620</v>
      </c>
      <c r="B628" s="43">
        <v>17</v>
      </c>
      <c r="C628" s="43">
        <v>28</v>
      </c>
      <c r="D628" s="38" t="s">
        <v>639</v>
      </c>
      <c r="E628" s="44" t="s">
        <v>195</v>
      </c>
      <c r="F628" s="44" t="s">
        <v>39</v>
      </c>
      <c r="G628" s="44" t="s">
        <v>120</v>
      </c>
      <c r="H628" s="44" t="s">
        <v>44</v>
      </c>
      <c r="I628" s="44" t="s">
        <v>44</v>
      </c>
      <c r="J628" s="44" t="s">
        <v>7</v>
      </c>
      <c r="K628" s="44" t="s">
        <v>140</v>
      </c>
      <c r="L628" s="40">
        <v>1144</v>
      </c>
      <c r="M628" s="41">
        <v>41339</v>
      </c>
      <c r="N628" s="40" t="s">
        <v>122</v>
      </c>
      <c r="O628" s="42"/>
      <c r="P628" s="40"/>
      <c r="Q628" s="207">
        <f>'[3]PEPCO MD LP_MDNDMS'!G600</f>
        <v>0</v>
      </c>
      <c r="R628" s="207">
        <f>'[3]PEPCO MD LP_MDNDMS'!H600</f>
        <v>0</v>
      </c>
      <c r="S628" s="207">
        <f>'[3]PEPCO MD LP_MDNDMS'!I600</f>
        <v>0</v>
      </c>
      <c r="T628" s="207">
        <f>'[3]PEPCO MD LP_MDNDMS'!J600</f>
        <v>0</v>
      </c>
      <c r="U628" s="207">
        <f>'[3]PEPCO MD LP_MDNDMS'!K600</f>
        <v>0</v>
      </c>
      <c r="V628" s="145"/>
    </row>
    <row r="629" spans="1:22" x14ac:dyDescent="0.2">
      <c r="A629" s="89">
        <f t="shared" si="21"/>
        <v>621</v>
      </c>
      <c r="B629" s="43">
        <v>17</v>
      </c>
      <c r="C629" s="43">
        <v>29</v>
      </c>
      <c r="D629" s="38" t="s">
        <v>640</v>
      </c>
      <c r="E629" s="44" t="s">
        <v>197</v>
      </c>
      <c r="F629" s="44" t="s">
        <v>39</v>
      </c>
      <c r="G629" s="44" t="s">
        <v>120</v>
      </c>
      <c r="H629" s="44" t="s">
        <v>44</v>
      </c>
      <c r="I629" s="44" t="s">
        <v>44</v>
      </c>
      <c r="J629" s="44" t="s">
        <v>45</v>
      </c>
      <c r="K629" s="44" t="s">
        <v>198</v>
      </c>
      <c r="L629" s="40">
        <v>1145</v>
      </c>
      <c r="M629" s="41">
        <v>41339</v>
      </c>
      <c r="N629" s="40" t="s">
        <v>122</v>
      </c>
      <c r="O629" s="42"/>
      <c r="P629" s="40"/>
      <c r="Q629" s="207">
        <f>'[3]PEPCO MD LP_MMGTL2AMS'!G600</f>
        <v>0</v>
      </c>
      <c r="R629" s="207">
        <f>'[3]PEPCO MD LP_MMGTL2AMS'!H600</f>
        <v>0</v>
      </c>
      <c r="S629" s="207">
        <f>'[3]PEPCO MD LP_MMGTL2AMS'!I600</f>
        <v>0</v>
      </c>
      <c r="T629" s="207">
        <f>'[3]PEPCO MD LP_MMGTL2AMS'!J600</f>
        <v>0</v>
      </c>
      <c r="U629" s="207">
        <f>'[3]PEPCO MD LP_MMGTL2AMS'!K600</f>
        <v>0</v>
      </c>
      <c r="V629" s="145"/>
    </row>
    <row r="630" spans="1:22" x14ac:dyDescent="0.2">
      <c r="A630" s="89">
        <f t="shared" si="21"/>
        <v>622</v>
      </c>
      <c r="B630" s="43">
        <v>17</v>
      </c>
      <c r="C630" s="43">
        <v>30</v>
      </c>
      <c r="D630" s="38" t="s">
        <v>641</v>
      </c>
      <c r="E630" s="44" t="s">
        <v>200</v>
      </c>
      <c r="F630" s="44" t="s">
        <v>39</v>
      </c>
      <c r="G630" s="44" t="s">
        <v>120</v>
      </c>
      <c r="H630" s="44" t="s">
        <v>44</v>
      </c>
      <c r="I630" s="44" t="s">
        <v>44</v>
      </c>
      <c r="J630" s="44" t="s">
        <v>46</v>
      </c>
      <c r="K630" s="44" t="s">
        <v>46</v>
      </c>
      <c r="L630" s="40">
        <v>1146</v>
      </c>
      <c r="M630" s="41">
        <v>41339</v>
      </c>
      <c r="N630" s="40" t="s">
        <v>122</v>
      </c>
      <c r="O630" s="42"/>
      <c r="P630" s="40"/>
      <c r="Q630" s="207">
        <f>'[3]PEPCO MD RC_3T7MS'!G600</f>
        <v>0</v>
      </c>
      <c r="R630" s="207">
        <f>'[3]PEPCO MD RC_3T7MS'!H600</f>
        <v>0</v>
      </c>
      <c r="S630" s="207">
        <f>'[3]PEPCO MD RC_3T7MS'!I600</f>
        <v>0</v>
      </c>
      <c r="T630" s="207">
        <f>'[3]PEPCO MD RC_3T7MS'!J600</f>
        <v>0</v>
      </c>
      <c r="U630" s="207">
        <f>'[3]PEPCO MD RC_3T7MS'!K600</f>
        <v>0</v>
      </c>
      <c r="V630" s="145"/>
    </row>
    <row r="631" spans="1:22" x14ac:dyDescent="0.2">
      <c r="A631" s="89">
        <f t="shared" si="21"/>
        <v>623</v>
      </c>
      <c r="B631" s="43">
        <v>17</v>
      </c>
      <c r="C631" s="43">
        <v>31</v>
      </c>
      <c r="D631" s="38" t="s">
        <v>642</v>
      </c>
      <c r="E631" s="44" t="s">
        <v>202</v>
      </c>
      <c r="F631" s="44" t="s">
        <v>39</v>
      </c>
      <c r="G631" s="44" t="s">
        <v>120</v>
      </c>
      <c r="H631" s="44" t="s">
        <v>47</v>
      </c>
      <c r="I631" s="44" t="s">
        <v>47</v>
      </c>
      <c r="J631" s="44" t="s">
        <v>7</v>
      </c>
      <c r="K631" s="44" t="s">
        <v>140</v>
      </c>
      <c r="L631" s="40">
        <v>1147</v>
      </c>
      <c r="M631" s="41">
        <v>41339</v>
      </c>
      <c r="N631" s="40" t="s">
        <v>122</v>
      </c>
      <c r="O631" s="42"/>
      <c r="P631" s="40"/>
      <c r="Q631" s="207">
        <f>'[3]Potomac Edison LP_GSCM_MMS'!G600</f>
        <v>0</v>
      </c>
      <c r="R631" s="207">
        <f>'[3]Potomac Edison LP_GSCM_MMS'!H600</f>
        <v>0</v>
      </c>
      <c r="S631" s="207">
        <f>'[3]Potomac Edison LP_GSCM_MMS'!I600</f>
        <v>0</v>
      </c>
      <c r="T631" s="207">
        <f>'[3]Potomac Edison LP_GSCM_MMS'!J600</f>
        <v>0</v>
      </c>
      <c r="U631" s="207">
        <f>'[3]Potomac Edison LP_GSCM_MMS'!K600</f>
        <v>0</v>
      </c>
      <c r="V631" s="145"/>
    </row>
    <row r="632" spans="1:22" x14ac:dyDescent="0.2">
      <c r="A632" s="89">
        <f t="shared" si="21"/>
        <v>624</v>
      </c>
      <c r="B632" s="43">
        <v>17</v>
      </c>
      <c r="C632" s="43">
        <v>32</v>
      </c>
      <c r="D632" s="38" t="s">
        <v>643</v>
      </c>
      <c r="E632" s="44" t="s">
        <v>204</v>
      </c>
      <c r="F632" s="44" t="s">
        <v>6</v>
      </c>
      <c r="G632" s="44" t="s">
        <v>120</v>
      </c>
      <c r="H632" s="44" t="s">
        <v>14</v>
      </c>
      <c r="I632" s="44" t="s">
        <v>14</v>
      </c>
      <c r="J632" s="44" t="s">
        <v>15</v>
      </c>
      <c r="K632" s="44" t="s">
        <v>129</v>
      </c>
      <c r="L632" s="40">
        <v>1148</v>
      </c>
      <c r="M632" s="41">
        <v>41339</v>
      </c>
      <c r="N632" s="40" t="s">
        <v>122</v>
      </c>
      <c r="O632" s="42"/>
      <c r="P632" s="40"/>
      <c r="Q632" s="207">
        <f>[3]PPL_RCGS1MS!G600</f>
        <v>0</v>
      </c>
      <c r="R632" s="207">
        <f>[3]PPL_RCGS1MS!H600</f>
        <v>0</v>
      </c>
      <c r="S632" s="207">
        <f>[3]PPL_RCGS1MS!I600</f>
        <v>0</v>
      </c>
      <c r="T632" s="207">
        <f>[3]PPL_RCGS1MS!J600</f>
        <v>0</v>
      </c>
      <c r="U632" s="207">
        <f>[3]PPL_RCGS1MS!K600</f>
        <v>0</v>
      </c>
      <c r="V632" s="145"/>
    </row>
    <row r="633" spans="1:22" x14ac:dyDescent="0.2">
      <c r="A633" s="89">
        <f t="shared" si="21"/>
        <v>625</v>
      </c>
      <c r="B633" s="43">
        <v>17</v>
      </c>
      <c r="C633" s="43">
        <v>33</v>
      </c>
      <c r="D633" s="38" t="s">
        <v>644</v>
      </c>
      <c r="E633" s="44" t="s">
        <v>206</v>
      </c>
      <c r="F633" s="44" t="s">
        <v>6</v>
      </c>
      <c r="G633" s="44" t="s">
        <v>120</v>
      </c>
      <c r="H633" s="44" t="s">
        <v>14</v>
      </c>
      <c r="I633" s="44" t="s">
        <v>14</v>
      </c>
      <c r="J633" s="44" t="s">
        <v>16</v>
      </c>
      <c r="K633" s="44" t="s">
        <v>135</v>
      </c>
      <c r="L633" s="40">
        <v>1149</v>
      </c>
      <c r="M633" s="41">
        <v>41339</v>
      </c>
      <c r="N633" s="40" t="s">
        <v>122</v>
      </c>
      <c r="O633" s="42"/>
      <c r="P633" s="40"/>
      <c r="Q633" s="207">
        <f>[3]PPL_RCGS3MS!G600</f>
        <v>0</v>
      </c>
      <c r="R633" s="207">
        <f>[3]PPL_RCGS3MS!H600</f>
        <v>0</v>
      </c>
      <c r="S633" s="207">
        <f>[3]PPL_RCGS3MS!I600</f>
        <v>0</v>
      </c>
      <c r="T633" s="207">
        <f>[3]PPL_RCGS3MS!J600</f>
        <v>0</v>
      </c>
      <c r="U633" s="207">
        <f>[3]PPL_RCGS3MS!K600</f>
        <v>0</v>
      </c>
      <c r="V633" s="145"/>
    </row>
    <row r="634" spans="1:22" x14ac:dyDescent="0.2">
      <c r="A634" s="89">
        <f t="shared" si="21"/>
        <v>626</v>
      </c>
      <c r="B634" s="43">
        <v>17</v>
      </c>
      <c r="C634" s="43">
        <v>34</v>
      </c>
      <c r="D634" s="38" t="s">
        <v>645</v>
      </c>
      <c r="E634" s="44" t="s">
        <v>208</v>
      </c>
      <c r="F634" s="44" t="s">
        <v>31</v>
      </c>
      <c r="G634" s="44" t="s">
        <v>120</v>
      </c>
      <c r="H634" s="44" t="s">
        <v>36</v>
      </c>
      <c r="I634" s="44" t="s">
        <v>36</v>
      </c>
      <c r="J634" s="44" t="s">
        <v>37</v>
      </c>
      <c r="K634" s="44" t="s">
        <v>209</v>
      </c>
      <c r="L634" s="40">
        <v>1150</v>
      </c>
      <c r="M634" s="41">
        <v>41339</v>
      </c>
      <c r="N634" s="40" t="s">
        <v>122</v>
      </c>
      <c r="O634" s="42"/>
      <c r="P634" s="40"/>
      <c r="Q634" s="207">
        <f>'[3]PSEG LP_GLP_MMS'!G600</f>
        <v>0</v>
      </c>
      <c r="R634" s="207">
        <f>'[3]PSEG LP_GLP_MMS'!H600</f>
        <v>0</v>
      </c>
      <c r="S634" s="207">
        <f>'[3]PSEG LP_GLP_MMS'!I600</f>
        <v>0</v>
      </c>
      <c r="T634" s="207">
        <f>'[3]PSEG LP_GLP_MMS'!J600</f>
        <v>0</v>
      </c>
      <c r="U634" s="207">
        <f>'[3]PSEG LP_GLP_MMS'!K600</f>
        <v>0</v>
      </c>
      <c r="V634" s="145"/>
    </row>
    <row r="635" spans="1:22" x14ac:dyDescent="0.2">
      <c r="A635" s="89">
        <f t="shared" si="21"/>
        <v>627</v>
      </c>
      <c r="B635" s="43">
        <v>17</v>
      </c>
      <c r="C635" s="43">
        <v>35</v>
      </c>
      <c r="D635" s="38" t="s">
        <v>646</v>
      </c>
      <c r="E635" s="44" t="s">
        <v>211</v>
      </c>
      <c r="F635" s="44" t="s">
        <v>31</v>
      </c>
      <c r="G635" s="44" t="s">
        <v>120</v>
      </c>
      <c r="H635" s="44" t="s">
        <v>36</v>
      </c>
      <c r="I635" s="44" t="s">
        <v>36</v>
      </c>
      <c r="J635" s="44" t="s">
        <v>38</v>
      </c>
      <c r="K635" s="44" t="s">
        <v>212</v>
      </c>
      <c r="L635" s="40">
        <v>1151</v>
      </c>
      <c r="M635" s="41">
        <v>41339</v>
      </c>
      <c r="N635" s="40" t="s">
        <v>122</v>
      </c>
      <c r="O635" s="42"/>
      <c r="P635" s="40"/>
      <c r="Q635" s="207">
        <f>'[3]PSEG LP_LPLMS'!G600</f>
        <v>0</v>
      </c>
      <c r="R635" s="207">
        <f>'[3]PSEG LP_LPLMS'!H600</f>
        <v>0</v>
      </c>
      <c r="S635" s="207">
        <f>'[3]PSEG LP_LPLMS'!I600</f>
        <v>0</v>
      </c>
      <c r="T635" s="207">
        <f>'[3]PSEG LP_LPLMS'!J600</f>
        <v>0</v>
      </c>
      <c r="U635" s="207">
        <f>'[3]PSEG LP_LPLMS'!K600</f>
        <v>0</v>
      </c>
      <c r="V635" s="145"/>
    </row>
    <row r="636" spans="1:22" x14ac:dyDescent="0.2">
      <c r="A636" s="89">
        <f t="shared" si="21"/>
        <v>628</v>
      </c>
      <c r="B636" s="43">
        <v>17</v>
      </c>
      <c r="C636" s="43">
        <v>36</v>
      </c>
      <c r="D636" s="38" t="s">
        <v>647</v>
      </c>
      <c r="E636" s="44" t="s">
        <v>214</v>
      </c>
      <c r="F636" s="44" t="s">
        <v>6</v>
      </c>
      <c r="G636" s="44" t="s">
        <v>120</v>
      </c>
      <c r="H636" s="44" t="s">
        <v>17</v>
      </c>
      <c r="I636" s="44" t="s">
        <v>215</v>
      </c>
      <c r="J636" s="44" t="s">
        <v>18</v>
      </c>
      <c r="K636" s="44" t="s">
        <v>140</v>
      </c>
      <c r="L636" s="40">
        <v>1152</v>
      </c>
      <c r="M636" s="41">
        <v>41339</v>
      </c>
      <c r="N636" s="40" t="s">
        <v>122</v>
      </c>
      <c r="O636" s="42"/>
      <c r="P636" s="40"/>
      <c r="Q636" s="207">
        <f>'[3]West Penn Power LP_GSCMMS'!G600</f>
        <v>0</v>
      </c>
      <c r="R636" s="207">
        <f>'[3]West Penn Power LP_GSCMMS'!H600</f>
        <v>0</v>
      </c>
      <c r="S636" s="207">
        <f>'[3]West Penn Power LP_GSCMMS'!I600</f>
        <v>0</v>
      </c>
      <c r="T636" s="207">
        <f>'[3]West Penn Power LP_GSCMMS'!J600</f>
        <v>0</v>
      </c>
      <c r="U636" s="207">
        <f>'[3]West Penn Power LP_GSCMMS'!K600</f>
        <v>0</v>
      </c>
      <c r="V636" s="145"/>
    </row>
    <row r="637" spans="1:22" x14ac:dyDescent="0.2">
      <c r="A637" s="89">
        <f t="shared" si="21"/>
        <v>629</v>
      </c>
      <c r="B637" s="20"/>
      <c r="C637" s="20"/>
      <c r="D637" s="20"/>
      <c r="Q637" s="208"/>
      <c r="R637" s="208"/>
      <c r="S637" s="208"/>
      <c r="T637" s="208"/>
      <c r="U637" s="208"/>
    </row>
    <row r="638" spans="1:22" x14ac:dyDescent="0.2">
      <c r="A638" s="89">
        <f t="shared" si="21"/>
        <v>630</v>
      </c>
      <c r="B638" s="43">
        <v>18</v>
      </c>
      <c r="C638" s="43">
        <v>1</v>
      </c>
      <c r="D638" s="38" t="s">
        <v>612</v>
      </c>
      <c r="E638" s="44" t="s">
        <v>119</v>
      </c>
      <c r="F638" s="44" t="s">
        <v>31</v>
      </c>
      <c r="G638" s="44" t="s">
        <v>120</v>
      </c>
      <c r="H638" s="44" t="s">
        <v>32</v>
      </c>
      <c r="I638" s="44" t="s">
        <v>32</v>
      </c>
      <c r="J638" s="44" t="s">
        <v>33</v>
      </c>
      <c r="K638" s="44" t="s">
        <v>121</v>
      </c>
      <c r="L638" s="40">
        <v>1117</v>
      </c>
      <c r="M638" s="41">
        <v>41339</v>
      </c>
      <c r="N638" s="40" t="s">
        <v>122</v>
      </c>
      <c r="O638" s="42"/>
      <c r="P638" s="40"/>
      <c r="Q638" s="207">
        <f>'[3]AECO LP_10V1_SMS'!G637</f>
        <v>0</v>
      </c>
      <c r="R638" s="207">
        <f>'[3]AECO LP_10V1_SMS'!H637</f>
        <v>0</v>
      </c>
      <c r="S638" s="207">
        <f>'[3]AECO LP_10V1_SMS'!I637</f>
        <v>0</v>
      </c>
      <c r="T638" s="207">
        <f>'[3]AECO LP_10V1_SMS'!J637</f>
        <v>0</v>
      </c>
      <c r="U638" s="207">
        <f>'[3]AECO LP_10V1_SMS'!K637</f>
        <v>0</v>
      </c>
      <c r="V638" s="145"/>
    </row>
    <row r="639" spans="1:22" x14ac:dyDescent="0.2">
      <c r="A639" s="89">
        <f t="shared" si="21"/>
        <v>631</v>
      </c>
      <c r="B639" s="43">
        <v>18</v>
      </c>
      <c r="C639" s="43">
        <v>2</v>
      </c>
      <c r="D639" s="38" t="s">
        <v>613</v>
      </c>
      <c r="E639" s="44" t="s">
        <v>124</v>
      </c>
      <c r="F639" s="44" t="s">
        <v>31</v>
      </c>
      <c r="G639" s="44" t="s">
        <v>120</v>
      </c>
      <c r="H639" s="44" t="s">
        <v>32</v>
      </c>
      <c r="I639" s="44" t="s">
        <v>32</v>
      </c>
      <c r="J639" s="44" t="s">
        <v>34</v>
      </c>
      <c r="K639" s="44" t="s">
        <v>125</v>
      </c>
      <c r="L639" s="40">
        <v>1118</v>
      </c>
      <c r="M639" s="41">
        <v>41339</v>
      </c>
      <c r="N639" s="40" t="s">
        <v>122</v>
      </c>
      <c r="O639" s="42"/>
      <c r="P639" s="40"/>
      <c r="Q639" s="207">
        <f>'[3]AECO LP_14V1_MMS'!G637</f>
        <v>0</v>
      </c>
      <c r="R639" s="207">
        <f>'[3]AECO LP_14V1_MMS'!H637</f>
        <v>0</v>
      </c>
      <c r="S639" s="207">
        <f>'[3]AECO LP_14V1_MMS'!I637</f>
        <v>0</v>
      </c>
      <c r="T639" s="207">
        <f>'[3]AECO LP_14V1_MMS'!J637</f>
        <v>0</v>
      </c>
      <c r="U639" s="207">
        <f>'[3]AECO LP_14V1_MMS'!K637</f>
        <v>0</v>
      </c>
      <c r="V639" s="145"/>
    </row>
    <row r="640" spans="1:22" x14ac:dyDescent="0.2">
      <c r="A640" s="89">
        <f t="shared" si="21"/>
        <v>632</v>
      </c>
      <c r="B640" s="43">
        <v>18</v>
      </c>
      <c r="C640" s="43">
        <v>3</v>
      </c>
      <c r="D640" s="38" t="s">
        <v>614</v>
      </c>
      <c r="E640" s="44" t="s">
        <v>127</v>
      </c>
      <c r="F640" s="44" t="s">
        <v>20</v>
      </c>
      <c r="G640" s="44" t="s">
        <v>120</v>
      </c>
      <c r="H640" s="44" t="s">
        <v>63</v>
      </c>
      <c r="I640" s="44" t="s">
        <v>128</v>
      </c>
      <c r="J640" s="44" t="s">
        <v>15</v>
      </c>
      <c r="K640" s="44" t="s">
        <v>129</v>
      </c>
      <c r="L640" s="40">
        <v>1119</v>
      </c>
      <c r="M640" s="41">
        <v>41339</v>
      </c>
      <c r="N640" s="40" t="s">
        <v>122</v>
      </c>
      <c r="O640" s="42"/>
      <c r="P640" s="40"/>
      <c r="Q640" s="207">
        <f>'[3]AEP_OH_CS - test CSGS1MS'!G637</f>
        <v>0</v>
      </c>
      <c r="R640" s="207">
        <f>'[3]AEP_OH_CS - test CSGS1MS'!H637</f>
        <v>0</v>
      </c>
      <c r="S640" s="207">
        <f>'[3]AEP_OH_CS - test CSGS1MS'!I637</f>
        <v>0</v>
      </c>
      <c r="T640" s="207">
        <f>'[3]AEP_OH_CS - test CSGS1MS'!J637</f>
        <v>0</v>
      </c>
      <c r="U640" s="207">
        <f>'[3]AEP_OH_CS - test CSGS1MS'!K637</f>
        <v>0</v>
      </c>
      <c r="V640" s="145"/>
    </row>
    <row r="641" spans="1:22" x14ac:dyDescent="0.2">
      <c r="A641" s="89">
        <f t="shared" si="21"/>
        <v>633</v>
      </c>
      <c r="B641" s="43">
        <v>18</v>
      </c>
      <c r="C641" s="43">
        <v>4</v>
      </c>
      <c r="D641" s="38" t="s">
        <v>615</v>
      </c>
      <c r="E641" s="44" t="s">
        <v>131</v>
      </c>
      <c r="F641" s="44" t="s">
        <v>20</v>
      </c>
      <c r="G641" s="44" t="s">
        <v>120</v>
      </c>
      <c r="H641" s="44" t="s">
        <v>63</v>
      </c>
      <c r="I641" s="44" t="s">
        <v>128</v>
      </c>
      <c r="J641" s="44" t="s">
        <v>21</v>
      </c>
      <c r="K641" s="44" t="s">
        <v>132</v>
      </c>
      <c r="L641" s="40">
        <v>1120</v>
      </c>
      <c r="M641" s="41">
        <v>41339</v>
      </c>
      <c r="N641" s="40" t="s">
        <v>122</v>
      </c>
      <c r="O641" s="42"/>
      <c r="P641" s="40"/>
      <c r="Q641" s="207">
        <f>'[3]AEP_OH_CS - test CSGS2UMS'!G637</f>
        <v>0</v>
      </c>
      <c r="R641" s="207">
        <f>'[3]AEP_OH_CS - test CSGS2UMS'!H637</f>
        <v>0</v>
      </c>
      <c r="S641" s="207">
        <f>'[3]AEP_OH_CS - test CSGS2UMS'!I637</f>
        <v>0</v>
      </c>
      <c r="T641" s="207">
        <f>'[3]AEP_OH_CS - test CSGS2UMS'!J637</f>
        <v>0</v>
      </c>
      <c r="U641" s="207">
        <f>'[3]AEP_OH_CS - test CSGS2UMS'!K637</f>
        <v>0</v>
      </c>
      <c r="V641" s="145"/>
    </row>
    <row r="642" spans="1:22" x14ac:dyDescent="0.2">
      <c r="A642" s="89">
        <f t="shared" si="21"/>
        <v>634</v>
      </c>
      <c r="B642" s="43">
        <v>18</v>
      </c>
      <c r="C642" s="43">
        <v>5</v>
      </c>
      <c r="D642" s="38" t="s">
        <v>616</v>
      </c>
      <c r="E642" s="44" t="s">
        <v>134</v>
      </c>
      <c r="F642" s="44" t="s">
        <v>20</v>
      </c>
      <c r="G642" s="44" t="s">
        <v>120</v>
      </c>
      <c r="H642" s="44" t="s">
        <v>63</v>
      </c>
      <c r="I642" s="44" t="s">
        <v>128</v>
      </c>
      <c r="J642" s="44" t="s">
        <v>16</v>
      </c>
      <c r="K642" s="44" t="s">
        <v>135</v>
      </c>
      <c r="L642" s="40">
        <v>1121</v>
      </c>
      <c r="M642" s="41">
        <v>41339</v>
      </c>
      <c r="N642" s="40" t="s">
        <v>122</v>
      </c>
      <c r="O642" s="42"/>
      <c r="P642" s="40"/>
      <c r="Q642" s="207">
        <f>'[3]AEP_OH_CS - test CSGS3UMS'!G637</f>
        <v>0</v>
      </c>
      <c r="R642" s="207">
        <f>'[3]AEP_OH_CS - test CSGS3UMS'!H637</f>
        <v>0</v>
      </c>
      <c r="S642" s="207">
        <f>'[3]AEP_OH_CS - test CSGS3UMS'!I637</f>
        <v>0</v>
      </c>
      <c r="T642" s="207">
        <f>'[3]AEP_OH_CS - test CSGS3UMS'!J637</f>
        <v>0</v>
      </c>
      <c r="U642" s="207">
        <f>'[3]AEP_OH_CS - test CSGS3UMS'!K637</f>
        <v>0</v>
      </c>
      <c r="V642" s="145"/>
    </row>
    <row r="643" spans="1:22" x14ac:dyDescent="0.2">
      <c r="A643" s="89">
        <f t="shared" si="21"/>
        <v>635</v>
      </c>
      <c r="B643" s="43">
        <v>18</v>
      </c>
      <c r="C643" s="43">
        <v>6</v>
      </c>
      <c r="D643" s="38" t="s">
        <v>617</v>
      </c>
      <c r="E643" s="44" t="s">
        <v>137</v>
      </c>
      <c r="F643" s="44" t="s">
        <v>25</v>
      </c>
      <c r="G643" s="44" t="s">
        <v>138</v>
      </c>
      <c r="H643" s="44" t="s">
        <v>139</v>
      </c>
      <c r="I643" s="44" t="s">
        <v>29</v>
      </c>
      <c r="J643" s="44" t="s">
        <v>30</v>
      </c>
      <c r="K643" s="44" t="s">
        <v>140</v>
      </c>
      <c r="L643" s="40">
        <v>1122</v>
      </c>
      <c r="M643" s="41">
        <v>41339</v>
      </c>
      <c r="N643" s="40" t="s">
        <v>122</v>
      </c>
      <c r="O643" s="42"/>
      <c r="P643" s="40"/>
      <c r="Q643" s="207">
        <f>'[3]Ameren RateZnIII LP DS2HHMS'!G637</f>
        <v>0</v>
      </c>
      <c r="R643" s="207">
        <f>'[3]Ameren RateZnIII LP DS2HHMS'!H637</f>
        <v>0</v>
      </c>
      <c r="S643" s="207">
        <f>'[3]Ameren RateZnIII LP DS2HHMS'!I637</f>
        <v>0</v>
      </c>
      <c r="T643" s="207">
        <f>'[3]Ameren RateZnIII LP DS2HHMS'!J637</f>
        <v>0</v>
      </c>
      <c r="U643" s="207">
        <f>'[3]Ameren RateZnIII LP DS2HHMS'!K637</f>
        <v>0</v>
      </c>
      <c r="V643" s="145"/>
    </row>
    <row r="644" spans="1:22" x14ac:dyDescent="0.2">
      <c r="A644" s="89">
        <f t="shared" si="21"/>
        <v>636</v>
      </c>
      <c r="B644" s="43">
        <v>18</v>
      </c>
      <c r="C644" s="43">
        <v>7</v>
      </c>
      <c r="D644" s="38" t="s">
        <v>618</v>
      </c>
      <c r="E644" s="44" t="s">
        <v>142</v>
      </c>
      <c r="F644" s="44" t="s">
        <v>39</v>
      </c>
      <c r="G644" s="44" t="s">
        <v>120</v>
      </c>
      <c r="H644" s="44" t="s">
        <v>40</v>
      </c>
      <c r="I644" s="44" t="s">
        <v>40</v>
      </c>
      <c r="J644" s="44" t="s">
        <v>42</v>
      </c>
      <c r="K644" s="44" t="s">
        <v>135</v>
      </c>
      <c r="L644" s="40">
        <v>1124</v>
      </c>
      <c r="M644" s="41">
        <v>41339</v>
      </c>
      <c r="N644" s="40" t="s">
        <v>122</v>
      </c>
      <c r="O644" s="42"/>
      <c r="P644" s="40"/>
      <c r="Q644" s="207">
        <f>'[3]BGE LP_GLMS'!G637</f>
        <v>0</v>
      </c>
      <c r="R644" s="207">
        <f>'[3]BGE LP_GLMS'!H637</f>
        <v>0</v>
      </c>
      <c r="S644" s="207">
        <f>'[3]BGE LP_GLMS'!I637</f>
        <v>0</v>
      </c>
      <c r="T644" s="207">
        <f>'[3]BGE LP_GLMS'!J637</f>
        <v>0</v>
      </c>
      <c r="U644" s="207">
        <f>'[3]BGE LP_GLMS'!K637</f>
        <v>0</v>
      </c>
      <c r="V644" s="145"/>
    </row>
    <row r="645" spans="1:22" x14ac:dyDescent="0.2">
      <c r="A645" s="89">
        <f t="shared" si="21"/>
        <v>637</v>
      </c>
      <c r="B645" s="43">
        <v>18</v>
      </c>
      <c r="C645" s="43">
        <v>8</v>
      </c>
      <c r="D645" s="38" t="s">
        <v>619</v>
      </c>
      <c r="E645" s="44" t="s">
        <v>144</v>
      </c>
      <c r="F645" s="44" t="s">
        <v>39</v>
      </c>
      <c r="G645" s="44" t="s">
        <v>120</v>
      </c>
      <c r="H645" s="44" t="s">
        <v>40</v>
      </c>
      <c r="I645" s="44" t="s">
        <v>40</v>
      </c>
      <c r="J645" s="44" t="s">
        <v>41</v>
      </c>
      <c r="K645" s="44" t="s">
        <v>132</v>
      </c>
      <c r="L645" s="40">
        <v>1123</v>
      </c>
      <c r="M645" s="41">
        <v>41339</v>
      </c>
      <c r="N645" s="40" t="s">
        <v>122</v>
      </c>
      <c r="O645" s="42"/>
      <c r="P645" s="40"/>
      <c r="Q645" s="207">
        <f>'[3]BGE LP_GMS'!G637</f>
        <v>0</v>
      </c>
      <c r="R645" s="207">
        <f>'[3]BGE LP_GMS'!H637</f>
        <v>0</v>
      </c>
      <c r="S645" s="207">
        <f>'[3]BGE LP_GMS'!I637</f>
        <v>0</v>
      </c>
      <c r="T645" s="207">
        <f>'[3]BGE LP_GMS'!J637</f>
        <v>0</v>
      </c>
      <c r="U645" s="207">
        <f>'[3]BGE LP_GMS'!K637</f>
        <v>0</v>
      </c>
      <c r="V645" s="145"/>
    </row>
    <row r="646" spans="1:22" x14ac:dyDescent="0.2">
      <c r="A646" s="89">
        <f t="shared" si="21"/>
        <v>638</v>
      </c>
      <c r="B646" s="43">
        <v>18</v>
      </c>
      <c r="C646" s="43">
        <v>9</v>
      </c>
      <c r="D646" s="38" t="s">
        <v>620</v>
      </c>
      <c r="E646" s="44" t="s">
        <v>146</v>
      </c>
      <c r="F646" s="44" t="s">
        <v>39</v>
      </c>
      <c r="G646" s="44" t="s">
        <v>120</v>
      </c>
      <c r="H646" s="44" t="s">
        <v>40</v>
      </c>
      <c r="I646" s="44" t="s">
        <v>40</v>
      </c>
      <c r="J646" s="44" t="s">
        <v>7</v>
      </c>
      <c r="K646" s="44" t="s">
        <v>129</v>
      </c>
      <c r="L646" s="40">
        <v>1125</v>
      </c>
      <c r="M646" s="41">
        <v>41339</v>
      </c>
      <c r="N646" s="40" t="s">
        <v>122</v>
      </c>
      <c r="O646" s="42"/>
      <c r="P646" s="40"/>
      <c r="Q646" s="207">
        <f>'[3]BGE LP_GSMS'!G637</f>
        <v>0</v>
      </c>
      <c r="R646" s="207">
        <f>'[3]BGE LP_GSMS'!H637</f>
        <v>0</v>
      </c>
      <c r="S646" s="207">
        <f>'[3]BGE LP_GSMS'!I637</f>
        <v>0</v>
      </c>
      <c r="T646" s="207">
        <f>'[3]BGE LP_GSMS'!J637</f>
        <v>0</v>
      </c>
      <c r="U646" s="207">
        <f>'[3]BGE LP_GSMS'!K637</f>
        <v>0</v>
      </c>
      <c r="V646" s="145"/>
    </row>
    <row r="647" spans="1:22" x14ac:dyDescent="0.2">
      <c r="A647" s="89">
        <f t="shared" si="21"/>
        <v>639</v>
      </c>
      <c r="B647" s="43">
        <v>18</v>
      </c>
      <c r="C647" s="43">
        <v>10</v>
      </c>
      <c r="D647" s="38" t="s">
        <v>621</v>
      </c>
      <c r="E647" s="44" t="s">
        <v>148</v>
      </c>
      <c r="F647" s="44" t="s">
        <v>25</v>
      </c>
      <c r="G647" s="44" t="s">
        <v>120</v>
      </c>
      <c r="H647" s="44" t="s">
        <v>149</v>
      </c>
      <c r="I647" s="44" t="s">
        <v>26</v>
      </c>
      <c r="J647" s="44" t="s">
        <v>27</v>
      </c>
      <c r="K647" s="44" t="s">
        <v>150</v>
      </c>
      <c r="L647" s="40">
        <v>1126</v>
      </c>
      <c r="M647" s="41">
        <v>41339</v>
      </c>
      <c r="N647" s="40" t="s">
        <v>122</v>
      </c>
      <c r="O647" s="42"/>
      <c r="P647" s="40"/>
      <c r="Q647" s="207">
        <f>'[3]ComEd - test LP_28MS'!G637</f>
        <v>0</v>
      </c>
      <c r="R647" s="207">
        <f>'[3]ComEd - test LP_28MS'!H637</f>
        <v>0</v>
      </c>
      <c r="S647" s="207">
        <f>'[3]ComEd - test LP_28MS'!I637</f>
        <v>0</v>
      </c>
      <c r="T647" s="207">
        <f>'[3]ComEd - test LP_28MS'!J637</f>
        <v>0</v>
      </c>
      <c r="U647" s="207">
        <f>'[3]ComEd - test LP_28MS'!K637</f>
        <v>0</v>
      </c>
      <c r="V647" s="145"/>
    </row>
    <row r="648" spans="1:22" x14ac:dyDescent="0.2">
      <c r="A648" s="89">
        <f t="shared" si="21"/>
        <v>640</v>
      </c>
      <c r="B648" s="43">
        <v>18</v>
      </c>
      <c r="C648" s="43">
        <v>11</v>
      </c>
      <c r="D648" s="38" t="s">
        <v>622</v>
      </c>
      <c r="E648" s="44" t="s">
        <v>152</v>
      </c>
      <c r="F648" s="44" t="s">
        <v>25</v>
      </c>
      <c r="G648" s="44" t="s">
        <v>120</v>
      </c>
      <c r="H648" s="44" t="s">
        <v>149</v>
      </c>
      <c r="I648" s="44" t="s">
        <v>26</v>
      </c>
      <c r="J648" s="44" t="s">
        <v>28</v>
      </c>
      <c r="K648" s="44" t="s">
        <v>153</v>
      </c>
      <c r="L648" s="40">
        <v>1127</v>
      </c>
      <c r="M648" s="41">
        <v>41339</v>
      </c>
      <c r="N648" s="40" t="s">
        <v>122</v>
      </c>
      <c r="O648" s="42"/>
      <c r="P648" s="40"/>
      <c r="Q648" s="207">
        <f>'[3]ComEd - test LP_29MS'!G637</f>
        <v>0</v>
      </c>
      <c r="R648" s="207">
        <f>'[3]ComEd - test LP_29MS'!H637</f>
        <v>0</v>
      </c>
      <c r="S648" s="207">
        <f>'[3]ComEd - test LP_29MS'!I637</f>
        <v>0</v>
      </c>
      <c r="T648" s="207">
        <f>'[3]ComEd - test LP_29MS'!J637</f>
        <v>0</v>
      </c>
      <c r="U648" s="207">
        <f>'[3]ComEd - test LP_29MS'!K637</f>
        <v>0</v>
      </c>
      <c r="V648" s="145"/>
    </row>
    <row r="649" spans="1:22" x14ac:dyDescent="0.2">
      <c r="A649" s="89">
        <f t="shared" si="21"/>
        <v>641</v>
      </c>
      <c r="B649" s="43">
        <v>18</v>
      </c>
      <c r="C649" s="43">
        <v>12</v>
      </c>
      <c r="D649" s="38" t="s">
        <v>623</v>
      </c>
      <c r="E649" s="44" t="s">
        <v>155</v>
      </c>
      <c r="F649" s="44" t="s">
        <v>20</v>
      </c>
      <c r="G649" s="44" t="s">
        <v>120</v>
      </c>
      <c r="H649" s="44" t="s">
        <v>105</v>
      </c>
      <c r="I649" s="44" t="s">
        <v>156</v>
      </c>
      <c r="J649" s="44" t="s">
        <v>22</v>
      </c>
      <c r="K649" s="44" t="s">
        <v>157</v>
      </c>
      <c r="L649" s="40">
        <v>1128</v>
      </c>
      <c r="M649" s="41">
        <v>41339</v>
      </c>
      <c r="N649" s="40" t="s">
        <v>122</v>
      </c>
      <c r="O649" s="42"/>
      <c r="P649" s="40"/>
      <c r="Q649" s="207">
        <f>[3]DAY_RC_843MS!G637</f>
        <v>0</v>
      </c>
      <c r="R649" s="207">
        <f>[3]DAY_RC_843MS!H637</f>
        <v>0</v>
      </c>
      <c r="S649" s="207">
        <f>[3]DAY_RC_843MS!I637</f>
        <v>0</v>
      </c>
      <c r="T649" s="207">
        <f>[3]DAY_RC_843MS!J637</f>
        <v>0</v>
      </c>
      <c r="U649" s="207">
        <f>[3]DAY_RC_843MS!K637</f>
        <v>0</v>
      </c>
      <c r="V649" s="145"/>
    </row>
    <row r="650" spans="1:22" x14ac:dyDescent="0.2">
      <c r="A650" s="89">
        <f t="shared" si="21"/>
        <v>642</v>
      </c>
      <c r="B650" s="43">
        <v>18</v>
      </c>
      <c r="C650" s="43">
        <v>13</v>
      </c>
      <c r="D650" s="38" t="s">
        <v>624</v>
      </c>
      <c r="E650" s="44" t="s">
        <v>159</v>
      </c>
      <c r="F650" s="44" t="s">
        <v>39</v>
      </c>
      <c r="G650" s="44" t="s">
        <v>120</v>
      </c>
      <c r="H650" s="44" t="s">
        <v>43</v>
      </c>
      <c r="I650" s="44" t="s">
        <v>43</v>
      </c>
      <c r="J650" s="44" t="s">
        <v>7</v>
      </c>
      <c r="K650" s="44" t="s">
        <v>140</v>
      </c>
      <c r="L650" s="40">
        <v>1129</v>
      </c>
      <c r="M650" s="41">
        <v>41339</v>
      </c>
      <c r="N650" s="40" t="s">
        <v>122</v>
      </c>
      <c r="O650" s="42"/>
      <c r="P650" s="40"/>
      <c r="Q650" s="207">
        <f>'[3]Delmarva MD LP_MDGS_MMS'!G637</f>
        <v>0</v>
      </c>
      <c r="R650" s="207">
        <f>'[3]Delmarva MD LP_MDGS_MMS'!H637</f>
        <v>0</v>
      </c>
      <c r="S650" s="207">
        <f>'[3]Delmarva MD LP_MDGS_MMS'!I637</f>
        <v>0</v>
      </c>
      <c r="T650" s="207">
        <f>'[3]Delmarva MD LP_MDGS_MMS'!J637</f>
        <v>0</v>
      </c>
      <c r="U650" s="207">
        <f>'[3]Delmarva MD LP_MDGS_MMS'!K637</f>
        <v>0</v>
      </c>
      <c r="V650" s="145"/>
    </row>
    <row r="651" spans="1:22" x14ac:dyDescent="0.2">
      <c r="A651" s="89">
        <f t="shared" ref="A651:A714" si="22">A650+1</f>
        <v>643</v>
      </c>
      <c r="B651" s="43">
        <v>18</v>
      </c>
      <c r="C651" s="43">
        <v>14</v>
      </c>
      <c r="D651" s="38" t="s">
        <v>625</v>
      </c>
      <c r="E651" s="44" t="s">
        <v>161</v>
      </c>
      <c r="F651" s="44" t="s">
        <v>6</v>
      </c>
      <c r="G651" s="44" t="s">
        <v>120</v>
      </c>
      <c r="H651" s="44" t="s">
        <v>48</v>
      </c>
      <c r="I651" s="44" t="s">
        <v>48</v>
      </c>
      <c r="J651" s="44" t="s">
        <v>7</v>
      </c>
      <c r="K651" s="44" t="s">
        <v>140</v>
      </c>
      <c r="L651" s="40">
        <v>1130</v>
      </c>
      <c r="M651" s="41">
        <v>41339</v>
      </c>
      <c r="N651" s="40" t="s">
        <v>122</v>
      </c>
      <c r="O651" s="42"/>
      <c r="P651" s="40"/>
      <c r="Q651" s="207">
        <f>'[3]DQE LP_GSGM_MMS'!G637</f>
        <v>0</v>
      </c>
      <c r="R651" s="207">
        <f>'[3]DQE LP_GSGM_MMS'!H637</f>
        <v>0</v>
      </c>
      <c r="S651" s="207">
        <f>'[3]DQE LP_GSGM_MMS'!I637</f>
        <v>0</v>
      </c>
      <c r="T651" s="207">
        <f>'[3]DQE LP_GSGM_MMS'!J637</f>
        <v>0</v>
      </c>
      <c r="U651" s="207">
        <f>'[3]DQE LP_GSGM_MMS'!K637</f>
        <v>0</v>
      </c>
      <c r="V651" s="145"/>
    </row>
    <row r="652" spans="1:22" x14ac:dyDescent="0.2">
      <c r="A652" s="89">
        <f t="shared" si="22"/>
        <v>644</v>
      </c>
      <c r="B652" s="43">
        <v>18</v>
      </c>
      <c r="C652" s="43">
        <v>15</v>
      </c>
      <c r="D652" s="38" t="s">
        <v>626</v>
      </c>
      <c r="E652" s="44" t="s">
        <v>163</v>
      </c>
      <c r="F652" s="44" t="s">
        <v>20</v>
      </c>
      <c r="G652" s="44" t="s">
        <v>120</v>
      </c>
      <c r="H652" s="44" t="s">
        <v>23</v>
      </c>
      <c r="I652" s="44" t="s">
        <v>164</v>
      </c>
      <c r="J652" s="44" t="s">
        <v>24</v>
      </c>
      <c r="K652" s="44" t="s">
        <v>140</v>
      </c>
      <c r="L652" s="40">
        <v>1131</v>
      </c>
      <c r="M652" s="41">
        <v>41339</v>
      </c>
      <c r="N652" s="40" t="s">
        <v>122</v>
      </c>
      <c r="O652" s="42"/>
      <c r="P652" s="40"/>
      <c r="Q652" s="207">
        <f>[3]Duke_OH_RC_DS01MS!G637</f>
        <v>0</v>
      </c>
      <c r="R652" s="207">
        <f>[3]Duke_OH_RC_DS01MS!H637</f>
        <v>0</v>
      </c>
      <c r="S652" s="207">
        <f>[3]Duke_OH_RC_DS01MS!I637</f>
        <v>0</v>
      </c>
      <c r="T652" s="207">
        <f>[3]Duke_OH_RC_DS01MS!J637</f>
        <v>0</v>
      </c>
      <c r="U652" s="207">
        <f>[3]Duke_OH_RC_DS01MS!K637</f>
        <v>0</v>
      </c>
      <c r="V652" s="145"/>
    </row>
    <row r="653" spans="1:22" x14ac:dyDescent="0.2">
      <c r="A653" s="89">
        <f t="shared" si="22"/>
        <v>645</v>
      </c>
      <c r="B653" s="43">
        <v>18</v>
      </c>
      <c r="C653" s="43">
        <v>16</v>
      </c>
      <c r="D653" s="38" t="s">
        <v>627</v>
      </c>
      <c r="E653" s="44" t="s">
        <v>166</v>
      </c>
      <c r="F653" s="44" t="s">
        <v>20</v>
      </c>
      <c r="G653" s="44" t="s">
        <v>120</v>
      </c>
      <c r="H653" s="44" t="s">
        <v>64</v>
      </c>
      <c r="I653" s="44" t="s">
        <v>167</v>
      </c>
      <c r="J653" s="44" t="s">
        <v>7</v>
      </c>
      <c r="K653" s="44" t="s">
        <v>140</v>
      </c>
      <c r="L653" s="40">
        <v>1132</v>
      </c>
      <c r="M653" s="41">
        <v>41339</v>
      </c>
      <c r="N653" s="40" t="s">
        <v>122</v>
      </c>
      <c r="O653" s="42"/>
      <c r="P653" s="40"/>
      <c r="Q653" s="207">
        <f>'[3]FE_OE - test RC_GSFMS'!G637</f>
        <v>0</v>
      </c>
      <c r="R653" s="207">
        <f>'[3]FE_OE - test RC_GSFMS'!H637</f>
        <v>0</v>
      </c>
      <c r="S653" s="207">
        <f>'[3]FE_OE - test RC_GSFMS'!I637</f>
        <v>0</v>
      </c>
      <c r="T653" s="207">
        <f>'[3]FE_OE - test RC_GSFMS'!J637</f>
        <v>0</v>
      </c>
      <c r="U653" s="207">
        <f>'[3]FE_OE - test RC_GSFMS'!K637</f>
        <v>0</v>
      </c>
      <c r="V653" s="145"/>
    </row>
    <row r="654" spans="1:22" x14ac:dyDescent="0.2">
      <c r="A654" s="89">
        <f t="shared" si="22"/>
        <v>646</v>
      </c>
      <c r="B654" s="43">
        <v>18</v>
      </c>
      <c r="C654" s="43">
        <v>17</v>
      </c>
      <c r="D654" s="38" t="s">
        <v>628</v>
      </c>
      <c r="E654" s="44" t="s">
        <v>169</v>
      </c>
      <c r="F654" s="44" t="s">
        <v>31</v>
      </c>
      <c r="G654" s="44" t="s">
        <v>120</v>
      </c>
      <c r="H654" s="44" t="s">
        <v>35</v>
      </c>
      <c r="I654" s="44" t="s">
        <v>35</v>
      </c>
      <c r="J654" s="44" t="s">
        <v>9</v>
      </c>
      <c r="K654" s="44" t="s">
        <v>135</v>
      </c>
      <c r="L654" s="40">
        <v>1133</v>
      </c>
      <c r="M654" s="41">
        <v>41339</v>
      </c>
      <c r="N654" s="40" t="s">
        <v>122</v>
      </c>
      <c r="O654" s="42"/>
      <c r="P654" s="40"/>
      <c r="Q654" s="207">
        <f>'[3]JCPL LP_GSCLMS'!G637</f>
        <v>0</v>
      </c>
      <c r="R654" s="207">
        <f>'[3]JCPL LP_GSCLMS'!H637</f>
        <v>0</v>
      </c>
      <c r="S654" s="207">
        <f>'[3]JCPL LP_GSCLMS'!I637</f>
        <v>0</v>
      </c>
      <c r="T654" s="207">
        <f>'[3]JCPL LP_GSCLMS'!J637</f>
        <v>0</v>
      </c>
      <c r="U654" s="207">
        <f>'[3]JCPL LP_GSCLMS'!K637</f>
        <v>0</v>
      </c>
      <c r="V654" s="145"/>
    </row>
    <row r="655" spans="1:22" x14ac:dyDescent="0.2">
      <c r="A655" s="89">
        <f t="shared" si="22"/>
        <v>647</v>
      </c>
      <c r="B655" s="43">
        <v>18</v>
      </c>
      <c r="C655" s="43">
        <v>18</v>
      </c>
      <c r="D655" s="38" t="s">
        <v>629</v>
      </c>
      <c r="E655" s="44" t="s">
        <v>171</v>
      </c>
      <c r="F655" s="44" t="s">
        <v>31</v>
      </c>
      <c r="G655" s="44" t="s">
        <v>120</v>
      </c>
      <c r="H655" s="44" t="s">
        <v>35</v>
      </c>
      <c r="I655" s="44" t="s">
        <v>35</v>
      </c>
      <c r="J655" s="44" t="s">
        <v>10</v>
      </c>
      <c r="K655" s="44" t="s">
        <v>132</v>
      </c>
      <c r="L655" s="40">
        <v>1134</v>
      </c>
      <c r="M655" s="41">
        <v>41339</v>
      </c>
      <c r="N655" s="40" t="s">
        <v>122</v>
      </c>
      <c r="O655" s="42"/>
      <c r="P655" s="40"/>
      <c r="Q655" s="207">
        <f>'[3]JCPL LP_GSCMMS'!G637</f>
        <v>0</v>
      </c>
      <c r="R655" s="207">
        <f>'[3]JCPL LP_GSCMMS'!H637</f>
        <v>0</v>
      </c>
      <c r="S655" s="207">
        <f>'[3]JCPL LP_GSCMMS'!I637</f>
        <v>0</v>
      </c>
      <c r="T655" s="207">
        <f>'[3]JCPL LP_GSCMMS'!J637</f>
        <v>0</v>
      </c>
      <c r="U655" s="207">
        <f>'[3]JCPL LP_GSCMMS'!K637</f>
        <v>0</v>
      </c>
      <c r="V655" s="145"/>
    </row>
    <row r="656" spans="1:22" x14ac:dyDescent="0.2">
      <c r="A656" s="89">
        <f t="shared" si="22"/>
        <v>648</v>
      </c>
      <c r="B656" s="43">
        <v>18</v>
      </c>
      <c r="C656" s="43">
        <v>19</v>
      </c>
      <c r="D656" s="38" t="s">
        <v>630</v>
      </c>
      <c r="E656" s="44" t="s">
        <v>173</v>
      </c>
      <c r="F656" s="44" t="s">
        <v>31</v>
      </c>
      <c r="G656" s="44" t="s">
        <v>120</v>
      </c>
      <c r="H656" s="44" t="s">
        <v>35</v>
      </c>
      <c r="I656" s="44" t="s">
        <v>35</v>
      </c>
      <c r="J656" s="44" t="s">
        <v>11</v>
      </c>
      <c r="K656" s="44" t="s">
        <v>129</v>
      </c>
      <c r="L656" s="40">
        <v>1135</v>
      </c>
      <c r="M656" s="41">
        <v>41339</v>
      </c>
      <c r="N656" s="40" t="s">
        <v>122</v>
      </c>
      <c r="O656" s="42"/>
      <c r="P656" s="40"/>
      <c r="Q656" s="207">
        <f>'[3]JCPL LP_GSCSMS'!G637</f>
        <v>0</v>
      </c>
      <c r="R656" s="207">
        <f>'[3]JCPL LP_GSCSMS'!H637</f>
        <v>0</v>
      </c>
      <c r="S656" s="207">
        <f>'[3]JCPL LP_GSCSMS'!I637</f>
        <v>0</v>
      </c>
      <c r="T656" s="207">
        <f>'[3]JCPL LP_GSCSMS'!J637</f>
        <v>0</v>
      </c>
      <c r="U656" s="207">
        <f>'[3]JCPL LP_GSCSMS'!K637</f>
        <v>0</v>
      </c>
      <c r="V656" s="145"/>
    </row>
    <row r="657" spans="1:22" x14ac:dyDescent="0.2">
      <c r="A657" s="89">
        <f t="shared" si="22"/>
        <v>649</v>
      </c>
      <c r="B657" s="43">
        <v>18</v>
      </c>
      <c r="C657" s="43">
        <v>20</v>
      </c>
      <c r="D657" s="38" t="s">
        <v>631</v>
      </c>
      <c r="E657" s="44" t="s">
        <v>175</v>
      </c>
      <c r="F657" s="44" t="s">
        <v>6</v>
      </c>
      <c r="G657" s="44" t="s">
        <v>120</v>
      </c>
      <c r="H657" s="44" t="s">
        <v>176</v>
      </c>
      <c r="I657" s="44" t="s">
        <v>177</v>
      </c>
      <c r="J657" s="44" t="s">
        <v>9</v>
      </c>
      <c r="K657" s="44" t="s">
        <v>135</v>
      </c>
      <c r="L657" s="40">
        <v>1137</v>
      </c>
      <c r="M657" s="41">
        <v>41339</v>
      </c>
      <c r="N657" s="40" t="s">
        <v>122</v>
      </c>
      <c r="O657" s="42"/>
      <c r="P657" s="40"/>
      <c r="Q657" s="207">
        <f>'[3]MetEd RC_GSLFMS'!G637</f>
        <v>0</v>
      </c>
      <c r="R657" s="207">
        <f>'[3]MetEd RC_GSLFMS'!H637</f>
        <v>0</v>
      </c>
      <c r="S657" s="207">
        <f>'[3]MetEd RC_GSLFMS'!I637</f>
        <v>0</v>
      </c>
      <c r="T657" s="207">
        <f>'[3]MetEd RC_GSLFMS'!J637</f>
        <v>0</v>
      </c>
      <c r="U657" s="207">
        <f>'[3]MetEd RC_GSLFMS'!K637</f>
        <v>0</v>
      </c>
      <c r="V657" s="145"/>
    </row>
    <row r="658" spans="1:22" x14ac:dyDescent="0.2">
      <c r="A658" s="89">
        <f t="shared" si="22"/>
        <v>650</v>
      </c>
      <c r="B658" s="43">
        <v>18</v>
      </c>
      <c r="C658" s="43">
        <v>21</v>
      </c>
      <c r="D658" s="38" t="s">
        <v>632</v>
      </c>
      <c r="E658" s="44" t="s">
        <v>179</v>
      </c>
      <c r="F658" s="44" t="s">
        <v>6</v>
      </c>
      <c r="G658" s="44" t="s">
        <v>120</v>
      </c>
      <c r="H658" s="44" t="s">
        <v>176</v>
      </c>
      <c r="I658" s="44" t="s">
        <v>177</v>
      </c>
      <c r="J658" s="44" t="s">
        <v>10</v>
      </c>
      <c r="K658" s="44" t="s">
        <v>132</v>
      </c>
      <c r="L658" s="40">
        <v>1136</v>
      </c>
      <c r="M658" s="41">
        <v>41339</v>
      </c>
      <c r="N658" s="40" t="s">
        <v>122</v>
      </c>
      <c r="O658" s="42"/>
      <c r="P658" s="40"/>
      <c r="Q658" s="207">
        <f>'[3]MetEd RC_GSDFMS'!G637</f>
        <v>0</v>
      </c>
      <c r="R658" s="207">
        <f>'[3]MetEd RC_GSDFMS'!H637</f>
        <v>0</v>
      </c>
      <c r="S658" s="207">
        <f>'[3]MetEd RC_GSDFMS'!I637</f>
        <v>0</v>
      </c>
      <c r="T658" s="207">
        <f>'[3]MetEd RC_GSDFMS'!J637</f>
        <v>0</v>
      </c>
      <c r="U658" s="207">
        <f>'[3]MetEd RC_GSDFMS'!K637</f>
        <v>0</v>
      </c>
      <c r="V658" s="145"/>
    </row>
    <row r="659" spans="1:22" x14ac:dyDescent="0.2">
      <c r="A659" s="89">
        <f t="shared" si="22"/>
        <v>651</v>
      </c>
      <c r="B659" s="43">
        <v>18</v>
      </c>
      <c r="C659" s="43">
        <v>22</v>
      </c>
      <c r="D659" s="38" t="s">
        <v>633</v>
      </c>
      <c r="E659" s="44" t="s">
        <v>181</v>
      </c>
      <c r="F659" s="44" t="s">
        <v>6</v>
      </c>
      <c r="G659" s="44" t="s">
        <v>120</v>
      </c>
      <c r="H659" s="44" t="s">
        <v>176</v>
      </c>
      <c r="I659" s="44" t="s">
        <v>177</v>
      </c>
      <c r="J659" s="44" t="s">
        <v>11</v>
      </c>
      <c r="K659" s="44" t="s">
        <v>129</v>
      </c>
      <c r="L659" s="40">
        <v>1138</v>
      </c>
      <c r="M659" s="41">
        <v>41339</v>
      </c>
      <c r="N659" s="40" t="s">
        <v>122</v>
      </c>
      <c r="O659" s="42"/>
      <c r="P659" s="40"/>
      <c r="Q659" s="207">
        <f>'[3]MetEd RC_GSSFMS'!G637</f>
        <v>0</v>
      </c>
      <c r="R659" s="207">
        <f>'[3]MetEd RC_GSSFMS'!H637</f>
        <v>0</v>
      </c>
      <c r="S659" s="207">
        <f>'[3]MetEd RC_GSSFMS'!I637</f>
        <v>0</v>
      </c>
      <c r="T659" s="207">
        <f>'[3]MetEd RC_GSSFMS'!J637</f>
        <v>0</v>
      </c>
      <c r="U659" s="207">
        <f>'[3]MetEd RC_GSSFMS'!K637</f>
        <v>0</v>
      </c>
      <c r="V659" s="145"/>
    </row>
    <row r="660" spans="1:22" x14ac:dyDescent="0.2">
      <c r="A660" s="89">
        <f t="shared" si="22"/>
        <v>652</v>
      </c>
      <c r="B660" s="43">
        <v>18</v>
      </c>
      <c r="C660" s="43">
        <v>23</v>
      </c>
      <c r="D660" s="38" t="s">
        <v>634</v>
      </c>
      <c r="E660" s="44" t="s">
        <v>183</v>
      </c>
      <c r="F660" s="44" t="s">
        <v>6</v>
      </c>
      <c r="G660" s="44" t="s">
        <v>120</v>
      </c>
      <c r="H660" s="44" t="s">
        <v>13</v>
      </c>
      <c r="I660" s="44" t="s">
        <v>13</v>
      </c>
      <c r="J660" s="44" t="s">
        <v>7</v>
      </c>
      <c r="K660" s="44" t="s">
        <v>140</v>
      </c>
      <c r="L660" s="40">
        <v>1139</v>
      </c>
      <c r="M660" s="41">
        <v>41339</v>
      </c>
      <c r="N660" s="40" t="s">
        <v>122</v>
      </c>
      <c r="O660" s="42"/>
      <c r="P660" s="40"/>
      <c r="Q660" s="207">
        <f>'[3]PECO LP_GSMS'!G637</f>
        <v>0</v>
      </c>
      <c r="R660" s="207">
        <f>'[3]PECO LP_GSMS'!H637</f>
        <v>0</v>
      </c>
      <c r="S660" s="207">
        <f>'[3]PECO LP_GSMS'!I637</f>
        <v>0</v>
      </c>
      <c r="T660" s="207">
        <f>'[3]PECO LP_GSMS'!J637</f>
        <v>0</v>
      </c>
      <c r="U660" s="207">
        <f>'[3]PECO LP_GSMS'!K637</f>
        <v>0</v>
      </c>
      <c r="V660" s="145"/>
    </row>
    <row r="661" spans="1:22" x14ac:dyDescent="0.2">
      <c r="A661" s="89">
        <f t="shared" si="22"/>
        <v>653</v>
      </c>
      <c r="B661" s="43">
        <v>18</v>
      </c>
      <c r="C661" s="43">
        <v>24</v>
      </c>
      <c r="D661" s="38" t="s">
        <v>635</v>
      </c>
      <c r="E661" s="44" t="s">
        <v>185</v>
      </c>
      <c r="F661" s="44" t="s">
        <v>6</v>
      </c>
      <c r="G661" s="44" t="s">
        <v>120</v>
      </c>
      <c r="H661" s="44" t="s">
        <v>12</v>
      </c>
      <c r="I661" s="44" t="s">
        <v>186</v>
      </c>
      <c r="J661" s="44" t="s">
        <v>9</v>
      </c>
      <c r="K661" s="44" t="s">
        <v>135</v>
      </c>
      <c r="L661" s="40">
        <v>1140</v>
      </c>
      <c r="M661" s="41">
        <v>41339</v>
      </c>
      <c r="N661" s="40" t="s">
        <v>122</v>
      </c>
      <c r="O661" s="42"/>
      <c r="P661" s="40"/>
      <c r="Q661" s="207">
        <f>'[3]Penelec RC_GSLFMS'!G637</f>
        <v>0</v>
      </c>
      <c r="R661" s="207">
        <f>'[3]Penelec RC_GSLFMS'!H637</f>
        <v>0</v>
      </c>
      <c r="S661" s="207">
        <f>'[3]Penelec RC_GSLFMS'!I637</f>
        <v>0</v>
      </c>
      <c r="T661" s="207">
        <f>'[3]Penelec RC_GSLFMS'!J637</f>
        <v>0</v>
      </c>
      <c r="U661" s="207">
        <f>'[3]Penelec RC_GSLFMS'!K637</f>
        <v>0</v>
      </c>
      <c r="V661" s="145"/>
    </row>
    <row r="662" spans="1:22" x14ac:dyDescent="0.2">
      <c r="A662" s="89">
        <f t="shared" si="22"/>
        <v>654</v>
      </c>
      <c r="B662" s="43">
        <v>18</v>
      </c>
      <c r="C662" s="43">
        <v>25</v>
      </c>
      <c r="D662" s="38" t="s">
        <v>636</v>
      </c>
      <c r="E662" s="44" t="s">
        <v>188</v>
      </c>
      <c r="F662" s="44" t="s">
        <v>6</v>
      </c>
      <c r="G662" s="44" t="s">
        <v>120</v>
      </c>
      <c r="H662" s="44" t="s">
        <v>12</v>
      </c>
      <c r="I662" s="44" t="s">
        <v>186</v>
      </c>
      <c r="J662" s="44" t="s">
        <v>10</v>
      </c>
      <c r="K662" s="44" t="s">
        <v>132</v>
      </c>
      <c r="L662" s="40">
        <v>1141</v>
      </c>
      <c r="M662" s="41">
        <v>41339</v>
      </c>
      <c r="N662" s="40" t="s">
        <v>122</v>
      </c>
      <c r="O662" s="42"/>
      <c r="P662" s="40"/>
      <c r="Q662" s="207">
        <f>'[3]Penelec RC_GSMFMS'!G637</f>
        <v>0</v>
      </c>
      <c r="R662" s="207">
        <f>'[3]Penelec RC_GSMFMS'!H637</f>
        <v>0</v>
      </c>
      <c r="S662" s="207">
        <f>'[3]Penelec RC_GSMFMS'!I637</f>
        <v>0</v>
      </c>
      <c r="T662" s="207">
        <f>'[3]Penelec RC_GSMFMS'!J637</f>
        <v>0</v>
      </c>
      <c r="U662" s="207">
        <f>'[3]Penelec RC_GSMFMS'!K637</f>
        <v>0</v>
      </c>
      <c r="V662" s="145"/>
    </row>
    <row r="663" spans="1:22" x14ac:dyDescent="0.2">
      <c r="A663" s="89">
        <f t="shared" si="22"/>
        <v>655</v>
      </c>
      <c r="B663" s="43">
        <v>18</v>
      </c>
      <c r="C663" s="43">
        <v>26</v>
      </c>
      <c r="D663" s="38" t="s">
        <v>637</v>
      </c>
      <c r="E663" s="44" t="s">
        <v>190</v>
      </c>
      <c r="F663" s="44" t="s">
        <v>6</v>
      </c>
      <c r="G663" s="44" t="s">
        <v>120</v>
      </c>
      <c r="H663" s="44" t="s">
        <v>12</v>
      </c>
      <c r="I663" s="44" t="s">
        <v>186</v>
      </c>
      <c r="J663" s="44" t="s">
        <v>11</v>
      </c>
      <c r="K663" s="44" t="s">
        <v>129</v>
      </c>
      <c r="L663" s="40">
        <v>1142</v>
      </c>
      <c r="M663" s="41">
        <v>41339</v>
      </c>
      <c r="N663" s="40" t="s">
        <v>122</v>
      </c>
      <c r="O663" s="42"/>
      <c r="P663" s="40"/>
      <c r="Q663" s="207">
        <f>'[3]Penelec RC_GSSFMS'!G637</f>
        <v>0</v>
      </c>
      <c r="R663" s="207">
        <f>'[3]Penelec RC_GSSFMS'!H637</f>
        <v>0</v>
      </c>
      <c r="S663" s="207">
        <f>'[3]Penelec RC_GSSFMS'!I637</f>
        <v>0</v>
      </c>
      <c r="T663" s="207">
        <f>'[3]Penelec RC_GSSFMS'!J637</f>
        <v>0</v>
      </c>
      <c r="U663" s="207">
        <f>'[3]Penelec RC_GSSFMS'!K637</f>
        <v>0</v>
      </c>
      <c r="V663" s="145"/>
    </row>
    <row r="664" spans="1:22" x14ac:dyDescent="0.2">
      <c r="A664" s="89">
        <f t="shared" si="22"/>
        <v>656</v>
      </c>
      <c r="B664" s="43">
        <v>18</v>
      </c>
      <c r="C664" s="43">
        <v>27</v>
      </c>
      <c r="D664" s="38" t="s">
        <v>638</v>
      </c>
      <c r="E664" s="44" t="s">
        <v>192</v>
      </c>
      <c r="F664" s="44" t="s">
        <v>6</v>
      </c>
      <c r="G664" s="44" t="s">
        <v>120</v>
      </c>
      <c r="H664" s="44" t="s">
        <v>100</v>
      </c>
      <c r="I664" s="44" t="s">
        <v>193</v>
      </c>
      <c r="J664" s="44" t="s">
        <v>7</v>
      </c>
      <c r="K664" s="44" t="s">
        <v>140</v>
      </c>
      <c r="L664" s="40">
        <v>1143</v>
      </c>
      <c r="M664" s="41">
        <v>41339</v>
      </c>
      <c r="N664" s="40" t="s">
        <v>122</v>
      </c>
      <c r="O664" s="42"/>
      <c r="P664" s="40"/>
      <c r="Q664" s="207">
        <f>'[3]Penn Power RC_GMDMS'!G637</f>
        <v>0</v>
      </c>
      <c r="R664" s="207">
        <f>'[3]Penn Power RC_GMDMS'!H637</f>
        <v>0</v>
      </c>
      <c r="S664" s="207">
        <f>'[3]Penn Power RC_GMDMS'!I637</f>
        <v>0</v>
      </c>
      <c r="T664" s="207">
        <f>'[3]Penn Power RC_GMDMS'!J637</f>
        <v>0</v>
      </c>
      <c r="U664" s="207">
        <f>'[3]Penn Power RC_GMDMS'!K637</f>
        <v>0</v>
      </c>
      <c r="V664" s="145"/>
    </row>
    <row r="665" spans="1:22" x14ac:dyDescent="0.2">
      <c r="A665" s="89">
        <f t="shared" si="22"/>
        <v>657</v>
      </c>
      <c r="B665" s="43">
        <v>18</v>
      </c>
      <c r="C665" s="43">
        <v>28</v>
      </c>
      <c r="D665" s="38" t="s">
        <v>639</v>
      </c>
      <c r="E665" s="44" t="s">
        <v>195</v>
      </c>
      <c r="F665" s="44" t="s">
        <v>39</v>
      </c>
      <c r="G665" s="44" t="s">
        <v>120</v>
      </c>
      <c r="H665" s="44" t="s">
        <v>44</v>
      </c>
      <c r="I665" s="44" t="s">
        <v>44</v>
      </c>
      <c r="J665" s="44" t="s">
        <v>7</v>
      </c>
      <c r="K665" s="44" t="s">
        <v>140</v>
      </c>
      <c r="L665" s="40">
        <v>1144</v>
      </c>
      <c r="M665" s="41">
        <v>41339</v>
      </c>
      <c r="N665" s="40" t="s">
        <v>122</v>
      </c>
      <c r="O665" s="42"/>
      <c r="P665" s="40"/>
      <c r="Q665" s="207">
        <f>'[3]PEPCO MD LP_MDNDMS'!G637</f>
        <v>0</v>
      </c>
      <c r="R665" s="207">
        <f>'[3]PEPCO MD LP_MDNDMS'!H637</f>
        <v>0</v>
      </c>
      <c r="S665" s="207">
        <f>'[3]PEPCO MD LP_MDNDMS'!I637</f>
        <v>0</v>
      </c>
      <c r="T665" s="207">
        <f>'[3]PEPCO MD LP_MDNDMS'!J637</f>
        <v>0</v>
      </c>
      <c r="U665" s="207">
        <f>'[3]PEPCO MD LP_MDNDMS'!K637</f>
        <v>0</v>
      </c>
      <c r="V665" s="145"/>
    </row>
    <row r="666" spans="1:22" x14ac:dyDescent="0.2">
      <c r="A666" s="89">
        <f t="shared" si="22"/>
        <v>658</v>
      </c>
      <c r="B666" s="43">
        <v>18</v>
      </c>
      <c r="C666" s="43">
        <v>29</v>
      </c>
      <c r="D666" s="38" t="s">
        <v>640</v>
      </c>
      <c r="E666" s="44" t="s">
        <v>197</v>
      </c>
      <c r="F666" s="44" t="s">
        <v>39</v>
      </c>
      <c r="G666" s="44" t="s">
        <v>120</v>
      </c>
      <c r="H666" s="44" t="s">
        <v>44</v>
      </c>
      <c r="I666" s="44" t="s">
        <v>44</v>
      </c>
      <c r="J666" s="44" t="s">
        <v>45</v>
      </c>
      <c r="K666" s="44" t="s">
        <v>198</v>
      </c>
      <c r="L666" s="40">
        <v>1145</v>
      </c>
      <c r="M666" s="41">
        <v>41339</v>
      </c>
      <c r="N666" s="40" t="s">
        <v>122</v>
      </c>
      <c r="O666" s="42"/>
      <c r="P666" s="40"/>
      <c r="Q666" s="207">
        <f>'[3]PEPCO MD LP_MMGTL2AMS'!G637</f>
        <v>0</v>
      </c>
      <c r="R666" s="207">
        <f>'[3]PEPCO MD LP_MMGTL2AMS'!H637</f>
        <v>0</v>
      </c>
      <c r="S666" s="207">
        <f>'[3]PEPCO MD LP_MMGTL2AMS'!I637</f>
        <v>0</v>
      </c>
      <c r="T666" s="207">
        <f>'[3]PEPCO MD LP_MMGTL2AMS'!J637</f>
        <v>0</v>
      </c>
      <c r="U666" s="207">
        <f>'[3]PEPCO MD LP_MMGTL2AMS'!K637</f>
        <v>0</v>
      </c>
      <c r="V666" s="145"/>
    </row>
    <row r="667" spans="1:22" x14ac:dyDescent="0.2">
      <c r="A667" s="89">
        <f t="shared" si="22"/>
        <v>659</v>
      </c>
      <c r="B667" s="43">
        <v>18</v>
      </c>
      <c r="C667" s="43">
        <v>30</v>
      </c>
      <c r="D667" s="38" t="s">
        <v>641</v>
      </c>
      <c r="E667" s="44" t="s">
        <v>200</v>
      </c>
      <c r="F667" s="44" t="s">
        <v>39</v>
      </c>
      <c r="G667" s="44" t="s">
        <v>120</v>
      </c>
      <c r="H667" s="44" t="s">
        <v>44</v>
      </c>
      <c r="I667" s="44" t="s">
        <v>44</v>
      </c>
      <c r="J667" s="44" t="s">
        <v>46</v>
      </c>
      <c r="K667" s="44" t="s">
        <v>46</v>
      </c>
      <c r="L667" s="40">
        <v>1146</v>
      </c>
      <c r="M667" s="41">
        <v>41339</v>
      </c>
      <c r="N667" s="40" t="s">
        <v>122</v>
      </c>
      <c r="O667" s="42"/>
      <c r="P667" s="40"/>
      <c r="Q667" s="207">
        <f>'[3]PEPCO MD RC_3T7MS'!G637</f>
        <v>0</v>
      </c>
      <c r="R667" s="207">
        <f>'[3]PEPCO MD RC_3T7MS'!H637</f>
        <v>0</v>
      </c>
      <c r="S667" s="207">
        <f>'[3]PEPCO MD RC_3T7MS'!I637</f>
        <v>0</v>
      </c>
      <c r="T667" s="207">
        <f>'[3]PEPCO MD RC_3T7MS'!J637</f>
        <v>0</v>
      </c>
      <c r="U667" s="207">
        <f>'[3]PEPCO MD RC_3T7MS'!K637</f>
        <v>0</v>
      </c>
      <c r="V667" s="145"/>
    </row>
    <row r="668" spans="1:22" x14ac:dyDescent="0.2">
      <c r="A668" s="89">
        <f t="shared" si="22"/>
        <v>660</v>
      </c>
      <c r="B668" s="43">
        <v>18</v>
      </c>
      <c r="C668" s="43">
        <v>31</v>
      </c>
      <c r="D668" s="38" t="s">
        <v>642</v>
      </c>
      <c r="E668" s="44" t="s">
        <v>202</v>
      </c>
      <c r="F668" s="44" t="s">
        <v>39</v>
      </c>
      <c r="G668" s="44" t="s">
        <v>120</v>
      </c>
      <c r="H668" s="44" t="s">
        <v>47</v>
      </c>
      <c r="I668" s="44" t="s">
        <v>47</v>
      </c>
      <c r="J668" s="44" t="s">
        <v>7</v>
      </c>
      <c r="K668" s="44" t="s">
        <v>140</v>
      </c>
      <c r="L668" s="40">
        <v>1147</v>
      </c>
      <c r="M668" s="41">
        <v>41339</v>
      </c>
      <c r="N668" s="40" t="s">
        <v>122</v>
      </c>
      <c r="O668" s="42"/>
      <c r="P668" s="40"/>
      <c r="Q668" s="207">
        <f>'[3]Potomac Edison LP_GSCM_MMS'!G637</f>
        <v>0</v>
      </c>
      <c r="R668" s="207">
        <f>'[3]Potomac Edison LP_GSCM_MMS'!H637</f>
        <v>0</v>
      </c>
      <c r="S668" s="207">
        <f>'[3]Potomac Edison LP_GSCM_MMS'!I637</f>
        <v>0</v>
      </c>
      <c r="T668" s="207">
        <f>'[3]Potomac Edison LP_GSCM_MMS'!J637</f>
        <v>0</v>
      </c>
      <c r="U668" s="207">
        <f>'[3]Potomac Edison LP_GSCM_MMS'!K637</f>
        <v>0</v>
      </c>
      <c r="V668" s="145"/>
    </row>
    <row r="669" spans="1:22" x14ac:dyDescent="0.2">
      <c r="A669" s="89">
        <f t="shared" si="22"/>
        <v>661</v>
      </c>
      <c r="B669" s="43">
        <v>18</v>
      </c>
      <c r="C669" s="43">
        <v>32</v>
      </c>
      <c r="D669" s="38" t="s">
        <v>643</v>
      </c>
      <c r="E669" s="44" t="s">
        <v>204</v>
      </c>
      <c r="F669" s="44" t="s">
        <v>6</v>
      </c>
      <c r="G669" s="44" t="s">
        <v>120</v>
      </c>
      <c r="H669" s="44" t="s">
        <v>14</v>
      </c>
      <c r="I669" s="44" t="s">
        <v>14</v>
      </c>
      <c r="J669" s="44" t="s">
        <v>15</v>
      </c>
      <c r="K669" s="44" t="s">
        <v>129</v>
      </c>
      <c r="L669" s="40">
        <v>1148</v>
      </c>
      <c r="M669" s="41">
        <v>41339</v>
      </c>
      <c r="N669" s="40" t="s">
        <v>122</v>
      </c>
      <c r="O669" s="42"/>
      <c r="P669" s="40"/>
      <c r="Q669" s="207">
        <f>[3]PPL_RCGS1MS!G637</f>
        <v>0</v>
      </c>
      <c r="R669" s="207">
        <f>[3]PPL_RCGS1MS!H637</f>
        <v>0</v>
      </c>
      <c r="S669" s="207">
        <f>[3]PPL_RCGS1MS!I637</f>
        <v>0</v>
      </c>
      <c r="T669" s="207">
        <f>[3]PPL_RCGS1MS!J637</f>
        <v>0</v>
      </c>
      <c r="U669" s="207">
        <f>[3]PPL_RCGS1MS!K637</f>
        <v>0</v>
      </c>
      <c r="V669" s="145"/>
    </row>
    <row r="670" spans="1:22" x14ac:dyDescent="0.2">
      <c r="A670" s="89">
        <f t="shared" si="22"/>
        <v>662</v>
      </c>
      <c r="B670" s="43">
        <v>18</v>
      </c>
      <c r="C670" s="43">
        <v>33</v>
      </c>
      <c r="D670" s="38" t="s">
        <v>644</v>
      </c>
      <c r="E670" s="44" t="s">
        <v>206</v>
      </c>
      <c r="F670" s="44" t="s">
        <v>6</v>
      </c>
      <c r="G670" s="44" t="s">
        <v>120</v>
      </c>
      <c r="H670" s="44" t="s">
        <v>14</v>
      </c>
      <c r="I670" s="44" t="s">
        <v>14</v>
      </c>
      <c r="J670" s="44" t="s">
        <v>16</v>
      </c>
      <c r="K670" s="44" t="s">
        <v>135</v>
      </c>
      <c r="L670" s="40">
        <v>1149</v>
      </c>
      <c r="M670" s="41">
        <v>41339</v>
      </c>
      <c r="N670" s="40" t="s">
        <v>122</v>
      </c>
      <c r="O670" s="42"/>
      <c r="P670" s="40"/>
      <c r="Q670" s="207">
        <f>[3]PPL_RCGS3MS!G637</f>
        <v>0</v>
      </c>
      <c r="R670" s="207">
        <f>[3]PPL_RCGS3MS!H637</f>
        <v>0</v>
      </c>
      <c r="S670" s="207">
        <f>[3]PPL_RCGS3MS!I637</f>
        <v>0</v>
      </c>
      <c r="T670" s="207">
        <f>[3]PPL_RCGS3MS!J637</f>
        <v>0</v>
      </c>
      <c r="U670" s="207">
        <f>[3]PPL_RCGS3MS!K637</f>
        <v>0</v>
      </c>
      <c r="V670" s="145"/>
    </row>
    <row r="671" spans="1:22" x14ac:dyDescent="0.2">
      <c r="A671" s="89">
        <f t="shared" si="22"/>
        <v>663</v>
      </c>
      <c r="B671" s="43">
        <v>18</v>
      </c>
      <c r="C671" s="43">
        <v>34</v>
      </c>
      <c r="D671" s="38" t="s">
        <v>645</v>
      </c>
      <c r="E671" s="44" t="s">
        <v>208</v>
      </c>
      <c r="F671" s="44" t="s">
        <v>31</v>
      </c>
      <c r="G671" s="44" t="s">
        <v>120</v>
      </c>
      <c r="H671" s="44" t="s">
        <v>36</v>
      </c>
      <c r="I671" s="44" t="s">
        <v>36</v>
      </c>
      <c r="J671" s="44" t="s">
        <v>37</v>
      </c>
      <c r="K671" s="44" t="s">
        <v>209</v>
      </c>
      <c r="L671" s="40">
        <v>1150</v>
      </c>
      <c r="M671" s="41">
        <v>41339</v>
      </c>
      <c r="N671" s="40" t="s">
        <v>122</v>
      </c>
      <c r="O671" s="42"/>
      <c r="P671" s="40"/>
      <c r="Q671" s="207">
        <f>'[3]PSEG LP_GLP_MMS'!G637</f>
        <v>0</v>
      </c>
      <c r="R671" s="207">
        <f>'[3]PSEG LP_GLP_MMS'!H637</f>
        <v>0</v>
      </c>
      <c r="S671" s="207">
        <f>'[3]PSEG LP_GLP_MMS'!I637</f>
        <v>0</v>
      </c>
      <c r="T671" s="207">
        <f>'[3]PSEG LP_GLP_MMS'!J637</f>
        <v>0</v>
      </c>
      <c r="U671" s="207">
        <f>'[3]PSEG LP_GLP_MMS'!K637</f>
        <v>0</v>
      </c>
      <c r="V671" s="145"/>
    </row>
    <row r="672" spans="1:22" x14ac:dyDescent="0.2">
      <c r="A672" s="89">
        <f t="shared" si="22"/>
        <v>664</v>
      </c>
      <c r="B672" s="43">
        <v>18</v>
      </c>
      <c r="C672" s="43">
        <v>35</v>
      </c>
      <c r="D672" s="38" t="s">
        <v>646</v>
      </c>
      <c r="E672" s="44" t="s">
        <v>211</v>
      </c>
      <c r="F672" s="44" t="s">
        <v>31</v>
      </c>
      <c r="G672" s="44" t="s">
        <v>120</v>
      </c>
      <c r="H672" s="44" t="s">
        <v>36</v>
      </c>
      <c r="I672" s="44" t="s">
        <v>36</v>
      </c>
      <c r="J672" s="44" t="s">
        <v>38</v>
      </c>
      <c r="K672" s="44" t="s">
        <v>212</v>
      </c>
      <c r="L672" s="40">
        <v>1151</v>
      </c>
      <c r="M672" s="41">
        <v>41339</v>
      </c>
      <c r="N672" s="40" t="s">
        <v>122</v>
      </c>
      <c r="O672" s="42"/>
      <c r="P672" s="40"/>
      <c r="Q672" s="207">
        <f>'[3]PSEG LP_LPLMS'!G637</f>
        <v>0</v>
      </c>
      <c r="R672" s="207">
        <f>'[3]PSEG LP_LPLMS'!H637</f>
        <v>0</v>
      </c>
      <c r="S672" s="207">
        <f>'[3]PSEG LP_LPLMS'!I637</f>
        <v>0</v>
      </c>
      <c r="T672" s="207">
        <f>'[3]PSEG LP_LPLMS'!J637</f>
        <v>0</v>
      </c>
      <c r="U672" s="207">
        <f>'[3]PSEG LP_LPLMS'!K637</f>
        <v>0</v>
      </c>
      <c r="V672" s="145"/>
    </row>
    <row r="673" spans="1:22" x14ac:dyDescent="0.2">
      <c r="A673" s="89">
        <f t="shared" si="22"/>
        <v>665</v>
      </c>
      <c r="B673" s="43">
        <v>18</v>
      </c>
      <c r="C673" s="43">
        <v>36</v>
      </c>
      <c r="D673" s="38" t="s">
        <v>647</v>
      </c>
      <c r="E673" s="44" t="s">
        <v>214</v>
      </c>
      <c r="F673" s="44" t="s">
        <v>6</v>
      </c>
      <c r="G673" s="44" t="s">
        <v>120</v>
      </c>
      <c r="H673" s="44" t="s">
        <v>17</v>
      </c>
      <c r="I673" s="44" t="s">
        <v>215</v>
      </c>
      <c r="J673" s="44" t="s">
        <v>18</v>
      </c>
      <c r="K673" s="44" t="s">
        <v>140</v>
      </c>
      <c r="L673" s="40">
        <v>1152</v>
      </c>
      <c r="M673" s="41">
        <v>41339</v>
      </c>
      <c r="N673" s="40" t="s">
        <v>122</v>
      </c>
      <c r="O673" s="42"/>
      <c r="P673" s="40"/>
      <c r="Q673" s="207">
        <f>'[3]West Penn Power LP_GSCMMS'!G637</f>
        <v>0</v>
      </c>
      <c r="R673" s="207">
        <f>'[3]West Penn Power LP_GSCMMS'!H637</f>
        <v>0</v>
      </c>
      <c r="S673" s="207">
        <f>'[3]West Penn Power LP_GSCMMS'!I637</f>
        <v>0</v>
      </c>
      <c r="T673" s="207">
        <f>'[3]West Penn Power LP_GSCMMS'!J637</f>
        <v>0</v>
      </c>
      <c r="U673" s="207">
        <f>'[3]West Penn Power LP_GSCMMS'!K637</f>
        <v>0</v>
      </c>
      <c r="V673" s="145"/>
    </row>
    <row r="674" spans="1:22" x14ac:dyDescent="0.2">
      <c r="A674" s="89">
        <f t="shared" si="22"/>
        <v>666</v>
      </c>
      <c r="B674" s="20"/>
      <c r="C674" s="20"/>
      <c r="D674" s="20"/>
      <c r="Q674" s="208"/>
      <c r="R674" s="208"/>
      <c r="S674" s="208"/>
      <c r="T674" s="208"/>
      <c r="U674" s="208"/>
    </row>
    <row r="675" spans="1:22" x14ac:dyDescent="0.2">
      <c r="A675" s="89">
        <f t="shared" si="22"/>
        <v>667</v>
      </c>
      <c r="B675" s="43">
        <v>19</v>
      </c>
      <c r="C675" s="43">
        <v>1</v>
      </c>
      <c r="D675" s="38" t="s">
        <v>612</v>
      </c>
      <c r="E675" s="44" t="s">
        <v>119</v>
      </c>
      <c r="F675" s="44" t="s">
        <v>31</v>
      </c>
      <c r="G675" s="44" t="s">
        <v>120</v>
      </c>
      <c r="H675" s="44" t="s">
        <v>32</v>
      </c>
      <c r="I675" s="44" t="s">
        <v>32</v>
      </c>
      <c r="J675" s="44" t="s">
        <v>33</v>
      </c>
      <c r="K675" s="44" t="s">
        <v>121</v>
      </c>
      <c r="L675" s="40">
        <v>1117</v>
      </c>
      <c r="M675" s="41">
        <v>41339</v>
      </c>
      <c r="N675" s="40" t="s">
        <v>122</v>
      </c>
      <c r="O675" s="42"/>
      <c r="P675" s="40"/>
      <c r="Q675" s="207">
        <f>'[3]AECO LP_10V1_SMS'!G674</f>
        <v>0</v>
      </c>
      <c r="R675" s="207">
        <f>'[3]AECO LP_10V1_SMS'!H674</f>
        <v>0</v>
      </c>
      <c r="S675" s="207">
        <f>'[3]AECO LP_10V1_SMS'!I674</f>
        <v>0</v>
      </c>
      <c r="T675" s="207">
        <f>'[3]AECO LP_10V1_SMS'!J674</f>
        <v>0</v>
      </c>
      <c r="U675" s="207">
        <f>'[3]AECO LP_10V1_SMS'!K674</f>
        <v>0</v>
      </c>
      <c r="V675" s="145"/>
    </row>
    <row r="676" spans="1:22" x14ac:dyDescent="0.2">
      <c r="A676" s="89">
        <f t="shared" si="22"/>
        <v>668</v>
      </c>
      <c r="B676" s="43">
        <v>19</v>
      </c>
      <c r="C676" s="43">
        <v>2</v>
      </c>
      <c r="D676" s="38" t="s">
        <v>613</v>
      </c>
      <c r="E676" s="44" t="s">
        <v>124</v>
      </c>
      <c r="F676" s="44" t="s">
        <v>31</v>
      </c>
      <c r="G676" s="44" t="s">
        <v>120</v>
      </c>
      <c r="H676" s="44" t="s">
        <v>32</v>
      </c>
      <c r="I676" s="44" t="s">
        <v>32</v>
      </c>
      <c r="J676" s="44" t="s">
        <v>34</v>
      </c>
      <c r="K676" s="44" t="s">
        <v>125</v>
      </c>
      <c r="L676" s="40">
        <v>1118</v>
      </c>
      <c r="M676" s="41">
        <v>41339</v>
      </c>
      <c r="N676" s="40" t="s">
        <v>122</v>
      </c>
      <c r="O676" s="42"/>
      <c r="P676" s="40"/>
      <c r="Q676" s="207">
        <f>'[3]AECO LP_14V1_MMS'!G674</f>
        <v>0</v>
      </c>
      <c r="R676" s="207">
        <f>'[3]AECO LP_14V1_MMS'!H674</f>
        <v>0</v>
      </c>
      <c r="S676" s="207">
        <f>'[3]AECO LP_14V1_MMS'!I674</f>
        <v>0</v>
      </c>
      <c r="T676" s="207">
        <f>'[3]AECO LP_14V1_MMS'!J674</f>
        <v>0</v>
      </c>
      <c r="U676" s="207">
        <f>'[3]AECO LP_14V1_MMS'!K674</f>
        <v>0</v>
      </c>
      <c r="V676" s="145"/>
    </row>
    <row r="677" spans="1:22" x14ac:dyDescent="0.2">
      <c r="A677" s="89">
        <f t="shared" si="22"/>
        <v>669</v>
      </c>
      <c r="B677" s="43">
        <v>19</v>
      </c>
      <c r="C677" s="43">
        <v>3</v>
      </c>
      <c r="D677" s="38" t="s">
        <v>614</v>
      </c>
      <c r="E677" s="44" t="s">
        <v>127</v>
      </c>
      <c r="F677" s="44" t="s">
        <v>20</v>
      </c>
      <c r="G677" s="44" t="s">
        <v>120</v>
      </c>
      <c r="H677" s="44" t="s">
        <v>63</v>
      </c>
      <c r="I677" s="44" t="s">
        <v>128</v>
      </c>
      <c r="J677" s="44" t="s">
        <v>15</v>
      </c>
      <c r="K677" s="44" t="s">
        <v>129</v>
      </c>
      <c r="L677" s="40">
        <v>1119</v>
      </c>
      <c r="M677" s="41">
        <v>41339</v>
      </c>
      <c r="N677" s="40" t="s">
        <v>122</v>
      </c>
      <c r="O677" s="42"/>
      <c r="P677" s="40"/>
      <c r="Q677" s="207">
        <f>'[3]AEP_OH_CS - test CSGS1MS'!G674</f>
        <v>0</v>
      </c>
      <c r="R677" s="207">
        <f>'[3]AEP_OH_CS - test CSGS1MS'!H674</f>
        <v>0</v>
      </c>
      <c r="S677" s="207">
        <f>'[3]AEP_OH_CS - test CSGS1MS'!I674</f>
        <v>0</v>
      </c>
      <c r="T677" s="207">
        <f>'[3]AEP_OH_CS - test CSGS1MS'!J674</f>
        <v>0</v>
      </c>
      <c r="U677" s="207">
        <f>'[3]AEP_OH_CS - test CSGS1MS'!K674</f>
        <v>0</v>
      </c>
      <c r="V677" s="145"/>
    </row>
    <row r="678" spans="1:22" x14ac:dyDescent="0.2">
      <c r="A678" s="89">
        <f t="shared" si="22"/>
        <v>670</v>
      </c>
      <c r="B678" s="43">
        <v>19</v>
      </c>
      <c r="C678" s="43">
        <v>4</v>
      </c>
      <c r="D678" s="38" t="s">
        <v>615</v>
      </c>
      <c r="E678" s="44" t="s">
        <v>131</v>
      </c>
      <c r="F678" s="44" t="s">
        <v>20</v>
      </c>
      <c r="G678" s="44" t="s">
        <v>120</v>
      </c>
      <c r="H678" s="44" t="s">
        <v>63</v>
      </c>
      <c r="I678" s="44" t="s">
        <v>128</v>
      </c>
      <c r="J678" s="44" t="s">
        <v>21</v>
      </c>
      <c r="K678" s="44" t="s">
        <v>132</v>
      </c>
      <c r="L678" s="40">
        <v>1120</v>
      </c>
      <c r="M678" s="41">
        <v>41339</v>
      </c>
      <c r="N678" s="40" t="s">
        <v>122</v>
      </c>
      <c r="O678" s="42"/>
      <c r="P678" s="40"/>
      <c r="Q678" s="207">
        <f>'[3]AEP_OH_CS - test CSGS2UMS'!G674</f>
        <v>0</v>
      </c>
      <c r="R678" s="207">
        <f>'[3]AEP_OH_CS - test CSGS2UMS'!H674</f>
        <v>0</v>
      </c>
      <c r="S678" s="207">
        <f>'[3]AEP_OH_CS - test CSGS2UMS'!I674</f>
        <v>0</v>
      </c>
      <c r="T678" s="207">
        <f>'[3]AEP_OH_CS - test CSGS2UMS'!J674</f>
        <v>0</v>
      </c>
      <c r="U678" s="207">
        <f>'[3]AEP_OH_CS - test CSGS2UMS'!K674</f>
        <v>0</v>
      </c>
      <c r="V678" s="145"/>
    </row>
    <row r="679" spans="1:22" x14ac:dyDescent="0.2">
      <c r="A679" s="89">
        <f t="shared" si="22"/>
        <v>671</v>
      </c>
      <c r="B679" s="43">
        <v>19</v>
      </c>
      <c r="C679" s="43">
        <v>5</v>
      </c>
      <c r="D679" s="38" t="s">
        <v>616</v>
      </c>
      <c r="E679" s="44" t="s">
        <v>134</v>
      </c>
      <c r="F679" s="44" t="s">
        <v>20</v>
      </c>
      <c r="G679" s="44" t="s">
        <v>120</v>
      </c>
      <c r="H679" s="44" t="s">
        <v>63</v>
      </c>
      <c r="I679" s="44" t="s">
        <v>128</v>
      </c>
      <c r="J679" s="44" t="s">
        <v>16</v>
      </c>
      <c r="K679" s="44" t="s">
        <v>135</v>
      </c>
      <c r="L679" s="40">
        <v>1121</v>
      </c>
      <c r="M679" s="41">
        <v>41339</v>
      </c>
      <c r="N679" s="40" t="s">
        <v>122</v>
      </c>
      <c r="O679" s="42"/>
      <c r="P679" s="40"/>
      <c r="Q679" s="207">
        <f>'[3]AEP_OH_CS - test CSGS3UMS'!G674</f>
        <v>0</v>
      </c>
      <c r="R679" s="207">
        <f>'[3]AEP_OH_CS - test CSGS3UMS'!H674</f>
        <v>0</v>
      </c>
      <c r="S679" s="207">
        <f>'[3]AEP_OH_CS - test CSGS3UMS'!I674</f>
        <v>0</v>
      </c>
      <c r="T679" s="207">
        <f>'[3]AEP_OH_CS - test CSGS3UMS'!J674</f>
        <v>0</v>
      </c>
      <c r="U679" s="207">
        <f>'[3]AEP_OH_CS - test CSGS3UMS'!K674</f>
        <v>0</v>
      </c>
      <c r="V679" s="145"/>
    </row>
    <row r="680" spans="1:22" x14ac:dyDescent="0.2">
      <c r="A680" s="89">
        <f t="shared" si="22"/>
        <v>672</v>
      </c>
      <c r="B680" s="43">
        <v>19</v>
      </c>
      <c r="C680" s="43">
        <v>6</v>
      </c>
      <c r="D680" s="38" t="s">
        <v>617</v>
      </c>
      <c r="E680" s="44" t="s">
        <v>137</v>
      </c>
      <c r="F680" s="44" t="s">
        <v>25</v>
      </c>
      <c r="G680" s="44" t="s">
        <v>138</v>
      </c>
      <c r="H680" s="44" t="s">
        <v>139</v>
      </c>
      <c r="I680" s="44" t="s">
        <v>29</v>
      </c>
      <c r="J680" s="44" t="s">
        <v>30</v>
      </c>
      <c r="K680" s="44" t="s">
        <v>140</v>
      </c>
      <c r="L680" s="40">
        <v>1122</v>
      </c>
      <c r="M680" s="41">
        <v>41339</v>
      </c>
      <c r="N680" s="40" t="s">
        <v>122</v>
      </c>
      <c r="O680" s="42"/>
      <c r="P680" s="40"/>
      <c r="Q680" s="207">
        <f>'[3]Ameren RateZnIII LP DS2HHMS'!G674</f>
        <v>0</v>
      </c>
      <c r="R680" s="207">
        <f>'[3]Ameren RateZnIII LP DS2HHMS'!H674</f>
        <v>0</v>
      </c>
      <c r="S680" s="207">
        <f>'[3]Ameren RateZnIII LP DS2HHMS'!I674</f>
        <v>0</v>
      </c>
      <c r="T680" s="207">
        <f>'[3]Ameren RateZnIII LP DS2HHMS'!J674</f>
        <v>0</v>
      </c>
      <c r="U680" s="207">
        <f>'[3]Ameren RateZnIII LP DS2HHMS'!K674</f>
        <v>0</v>
      </c>
      <c r="V680" s="145"/>
    </row>
    <row r="681" spans="1:22" x14ac:dyDescent="0.2">
      <c r="A681" s="89">
        <f t="shared" si="22"/>
        <v>673</v>
      </c>
      <c r="B681" s="43">
        <v>19</v>
      </c>
      <c r="C681" s="43">
        <v>7</v>
      </c>
      <c r="D681" s="38" t="s">
        <v>618</v>
      </c>
      <c r="E681" s="44" t="s">
        <v>142</v>
      </c>
      <c r="F681" s="44" t="s">
        <v>39</v>
      </c>
      <c r="G681" s="44" t="s">
        <v>120</v>
      </c>
      <c r="H681" s="44" t="s">
        <v>40</v>
      </c>
      <c r="I681" s="44" t="s">
        <v>40</v>
      </c>
      <c r="J681" s="44" t="s">
        <v>42</v>
      </c>
      <c r="K681" s="44" t="s">
        <v>135</v>
      </c>
      <c r="L681" s="40">
        <v>1124</v>
      </c>
      <c r="M681" s="41">
        <v>41339</v>
      </c>
      <c r="N681" s="40" t="s">
        <v>122</v>
      </c>
      <c r="O681" s="42"/>
      <c r="P681" s="40"/>
      <c r="Q681" s="207">
        <f>'[3]BGE LP_GLMS'!G674</f>
        <v>0</v>
      </c>
      <c r="R681" s="207">
        <f>'[3]BGE LP_GLMS'!H674</f>
        <v>0</v>
      </c>
      <c r="S681" s="207">
        <f>'[3]BGE LP_GLMS'!I674</f>
        <v>0</v>
      </c>
      <c r="T681" s="207">
        <f>'[3]BGE LP_GLMS'!J674</f>
        <v>0</v>
      </c>
      <c r="U681" s="207">
        <f>'[3]BGE LP_GLMS'!K674</f>
        <v>0</v>
      </c>
      <c r="V681" s="145"/>
    </row>
    <row r="682" spans="1:22" x14ac:dyDescent="0.2">
      <c r="A682" s="89">
        <f t="shared" si="22"/>
        <v>674</v>
      </c>
      <c r="B682" s="43">
        <v>19</v>
      </c>
      <c r="C682" s="43">
        <v>8</v>
      </c>
      <c r="D682" s="38" t="s">
        <v>619</v>
      </c>
      <c r="E682" s="44" t="s">
        <v>144</v>
      </c>
      <c r="F682" s="44" t="s">
        <v>39</v>
      </c>
      <c r="G682" s="44" t="s">
        <v>120</v>
      </c>
      <c r="H682" s="44" t="s">
        <v>40</v>
      </c>
      <c r="I682" s="44" t="s">
        <v>40</v>
      </c>
      <c r="J682" s="44" t="s">
        <v>41</v>
      </c>
      <c r="K682" s="44" t="s">
        <v>132</v>
      </c>
      <c r="L682" s="40">
        <v>1123</v>
      </c>
      <c r="M682" s="41">
        <v>41339</v>
      </c>
      <c r="N682" s="40" t="s">
        <v>122</v>
      </c>
      <c r="O682" s="42"/>
      <c r="P682" s="40"/>
      <c r="Q682" s="207">
        <f>'[3]BGE LP_GMS'!G674</f>
        <v>0</v>
      </c>
      <c r="R682" s="207">
        <f>'[3]BGE LP_GMS'!H674</f>
        <v>0</v>
      </c>
      <c r="S682" s="207">
        <f>'[3]BGE LP_GMS'!I674</f>
        <v>0</v>
      </c>
      <c r="T682" s="207">
        <f>'[3]BGE LP_GMS'!J674</f>
        <v>0</v>
      </c>
      <c r="U682" s="207">
        <f>'[3]BGE LP_GMS'!K674</f>
        <v>0</v>
      </c>
      <c r="V682" s="145"/>
    </row>
    <row r="683" spans="1:22" x14ac:dyDescent="0.2">
      <c r="A683" s="89">
        <f t="shared" si="22"/>
        <v>675</v>
      </c>
      <c r="B683" s="43">
        <v>19</v>
      </c>
      <c r="C683" s="43">
        <v>9</v>
      </c>
      <c r="D683" s="38" t="s">
        <v>620</v>
      </c>
      <c r="E683" s="44" t="s">
        <v>146</v>
      </c>
      <c r="F683" s="44" t="s">
        <v>39</v>
      </c>
      <c r="G683" s="44" t="s">
        <v>120</v>
      </c>
      <c r="H683" s="44" t="s">
        <v>40</v>
      </c>
      <c r="I683" s="44" t="s">
        <v>40</v>
      </c>
      <c r="J683" s="44" t="s">
        <v>7</v>
      </c>
      <c r="K683" s="44" t="s">
        <v>129</v>
      </c>
      <c r="L683" s="40">
        <v>1125</v>
      </c>
      <c r="M683" s="41">
        <v>41339</v>
      </c>
      <c r="N683" s="40" t="s">
        <v>122</v>
      </c>
      <c r="O683" s="42"/>
      <c r="P683" s="40"/>
      <c r="Q683" s="207">
        <f>'[3]BGE LP_GSMS'!G674</f>
        <v>0</v>
      </c>
      <c r="R683" s="207">
        <f>'[3]BGE LP_GSMS'!H674</f>
        <v>0</v>
      </c>
      <c r="S683" s="207">
        <f>'[3]BGE LP_GSMS'!I674</f>
        <v>0</v>
      </c>
      <c r="T683" s="207">
        <f>'[3]BGE LP_GSMS'!J674</f>
        <v>0</v>
      </c>
      <c r="U683" s="207">
        <f>'[3]BGE LP_GSMS'!K674</f>
        <v>0</v>
      </c>
      <c r="V683" s="145"/>
    </row>
    <row r="684" spans="1:22" x14ac:dyDescent="0.2">
      <c r="A684" s="89">
        <f t="shared" si="22"/>
        <v>676</v>
      </c>
      <c r="B684" s="43">
        <v>19</v>
      </c>
      <c r="C684" s="43">
        <v>10</v>
      </c>
      <c r="D684" s="38" t="s">
        <v>621</v>
      </c>
      <c r="E684" s="44" t="s">
        <v>148</v>
      </c>
      <c r="F684" s="44" t="s">
        <v>25</v>
      </c>
      <c r="G684" s="44" t="s">
        <v>120</v>
      </c>
      <c r="H684" s="44" t="s">
        <v>149</v>
      </c>
      <c r="I684" s="44" t="s">
        <v>26</v>
      </c>
      <c r="J684" s="44" t="s">
        <v>27</v>
      </c>
      <c r="K684" s="44" t="s">
        <v>150</v>
      </c>
      <c r="L684" s="40">
        <v>1126</v>
      </c>
      <c r="M684" s="41">
        <v>41339</v>
      </c>
      <c r="N684" s="40" t="s">
        <v>122</v>
      </c>
      <c r="O684" s="42"/>
      <c r="P684" s="40"/>
      <c r="Q684" s="207">
        <f>'[3]ComEd - test LP_28MS'!G674</f>
        <v>0</v>
      </c>
      <c r="R684" s="207">
        <f>'[3]ComEd - test LP_28MS'!H674</f>
        <v>0</v>
      </c>
      <c r="S684" s="207">
        <f>'[3]ComEd - test LP_28MS'!I674</f>
        <v>0</v>
      </c>
      <c r="T684" s="207">
        <f>'[3]ComEd - test LP_28MS'!J674</f>
        <v>0</v>
      </c>
      <c r="U684" s="207">
        <f>'[3]ComEd - test LP_28MS'!K674</f>
        <v>0</v>
      </c>
      <c r="V684" s="145"/>
    </row>
    <row r="685" spans="1:22" x14ac:dyDescent="0.2">
      <c r="A685" s="89">
        <f t="shared" si="22"/>
        <v>677</v>
      </c>
      <c r="B685" s="43">
        <v>19</v>
      </c>
      <c r="C685" s="43">
        <v>11</v>
      </c>
      <c r="D685" s="38" t="s">
        <v>622</v>
      </c>
      <c r="E685" s="44" t="s">
        <v>152</v>
      </c>
      <c r="F685" s="44" t="s">
        <v>25</v>
      </c>
      <c r="G685" s="44" t="s">
        <v>120</v>
      </c>
      <c r="H685" s="44" t="s">
        <v>149</v>
      </c>
      <c r="I685" s="44" t="s">
        <v>26</v>
      </c>
      <c r="J685" s="44" t="s">
        <v>28</v>
      </c>
      <c r="K685" s="44" t="s">
        <v>153</v>
      </c>
      <c r="L685" s="40">
        <v>1127</v>
      </c>
      <c r="M685" s="41">
        <v>41339</v>
      </c>
      <c r="N685" s="40" t="s">
        <v>122</v>
      </c>
      <c r="O685" s="42"/>
      <c r="P685" s="40"/>
      <c r="Q685" s="207">
        <f>'[3]ComEd - test LP_29MS'!G674</f>
        <v>0</v>
      </c>
      <c r="R685" s="207">
        <f>'[3]ComEd - test LP_29MS'!H674</f>
        <v>0</v>
      </c>
      <c r="S685" s="207">
        <f>'[3]ComEd - test LP_29MS'!I674</f>
        <v>0</v>
      </c>
      <c r="T685" s="207">
        <f>'[3]ComEd - test LP_29MS'!J674</f>
        <v>0</v>
      </c>
      <c r="U685" s="207">
        <f>'[3]ComEd - test LP_29MS'!K674</f>
        <v>0</v>
      </c>
      <c r="V685" s="145"/>
    </row>
    <row r="686" spans="1:22" x14ac:dyDescent="0.2">
      <c r="A686" s="89">
        <f t="shared" si="22"/>
        <v>678</v>
      </c>
      <c r="B686" s="43">
        <v>19</v>
      </c>
      <c r="C686" s="43">
        <v>12</v>
      </c>
      <c r="D686" s="38" t="s">
        <v>623</v>
      </c>
      <c r="E686" s="44" t="s">
        <v>155</v>
      </c>
      <c r="F686" s="44" t="s">
        <v>20</v>
      </c>
      <c r="G686" s="44" t="s">
        <v>120</v>
      </c>
      <c r="H686" s="44" t="s">
        <v>105</v>
      </c>
      <c r="I686" s="44" t="s">
        <v>156</v>
      </c>
      <c r="J686" s="44" t="s">
        <v>22</v>
      </c>
      <c r="K686" s="44" t="s">
        <v>157</v>
      </c>
      <c r="L686" s="40">
        <v>1128</v>
      </c>
      <c r="M686" s="41">
        <v>41339</v>
      </c>
      <c r="N686" s="40" t="s">
        <v>122</v>
      </c>
      <c r="O686" s="42"/>
      <c r="P686" s="40"/>
      <c r="Q686" s="207">
        <f>[3]DAY_RC_843MS!G674</f>
        <v>0</v>
      </c>
      <c r="R686" s="207">
        <f>[3]DAY_RC_843MS!H674</f>
        <v>0</v>
      </c>
      <c r="S686" s="207">
        <f>[3]DAY_RC_843MS!I674</f>
        <v>0</v>
      </c>
      <c r="T686" s="207">
        <f>[3]DAY_RC_843MS!J674</f>
        <v>0</v>
      </c>
      <c r="U686" s="207">
        <f>[3]DAY_RC_843MS!K674</f>
        <v>0</v>
      </c>
      <c r="V686" s="145"/>
    </row>
    <row r="687" spans="1:22" x14ac:dyDescent="0.2">
      <c r="A687" s="89">
        <f t="shared" si="22"/>
        <v>679</v>
      </c>
      <c r="B687" s="43">
        <v>19</v>
      </c>
      <c r="C687" s="43">
        <v>13</v>
      </c>
      <c r="D687" s="38" t="s">
        <v>624</v>
      </c>
      <c r="E687" s="44" t="s">
        <v>159</v>
      </c>
      <c r="F687" s="44" t="s">
        <v>39</v>
      </c>
      <c r="G687" s="44" t="s">
        <v>120</v>
      </c>
      <c r="H687" s="44" t="s">
        <v>43</v>
      </c>
      <c r="I687" s="44" t="s">
        <v>43</v>
      </c>
      <c r="J687" s="44" t="s">
        <v>7</v>
      </c>
      <c r="K687" s="44" t="s">
        <v>140</v>
      </c>
      <c r="L687" s="40">
        <v>1129</v>
      </c>
      <c r="M687" s="41">
        <v>41339</v>
      </c>
      <c r="N687" s="40" t="s">
        <v>122</v>
      </c>
      <c r="O687" s="42"/>
      <c r="P687" s="40"/>
      <c r="Q687" s="207">
        <f>'[3]Delmarva MD LP_MDGS_MMS'!G674</f>
        <v>0</v>
      </c>
      <c r="R687" s="207">
        <f>'[3]Delmarva MD LP_MDGS_MMS'!H674</f>
        <v>0</v>
      </c>
      <c r="S687" s="207">
        <f>'[3]Delmarva MD LP_MDGS_MMS'!I674</f>
        <v>0</v>
      </c>
      <c r="T687" s="207">
        <f>'[3]Delmarva MD LP_MDGS_MMS'!J674</f>
        <v>0</v>
      </c>
      <c r="U687" s="207">
        <f>'[3]Delmarva MD LP_MDGS_MMS'!K674</f>
        <v>0</v>
      </c>
      <c r="V687" s="145"/>
    </row>
    <row r="688" spans="1:22" x14ac:dyDescent="0.2">
      <c r="A688" s="89">
        <f t="shared" si="22"/>
        <v>680</v>
      </c>
      <c r="B688" s="43">
        <v>19</v>
      </c>
      <c r="C688" s="43">
        <v>14</v>
      </c>
      <c r="D688" s="38" t="s">
        <v>625</v>
      </c>
      <c r="E688" s="44" t="s">
        <v>161</v>
      </c>
      <c r="F688" s="44" t="s">
        <v>6</v>
      </c>
      <c r="G688" s="44" t="s">
        <v>120</v>
      </c>
      <c r="H688" s="44" t="s">
        <v>48</v>
      </c>
      <c r="I688" s="44" t="s">
        <v>48</v>
      </c>
      <c r="J688" s="44" t="s">
        <v>7</v>
      </c>
      <c r="K688" s="44" t="s">
        <v>140</v>
      </c>
      <c r="L688" s="40">
        <v>1130</v>
      </c>
      <c r="M688" s="41">
        <v>41339</v>
      </c>
      <c r="N688" s="40" t="s">
        <v>122</v>
      </c>
      <c r="O688" s="42"/>
      <c r="P688" s="40"/>
      <c r="Q688" s="207">
        <f>'[3]DQE LP_GSGM_MMS'!G674</f>
        <v>0</v>
      </c>
      <c r="R688" s="207">
        <f>'[3]DQE LP_GSGM_MMS'!H674</f>
        <v>0</v>
      </c>
      <c r="S688" s="207">
        <f>'[3]DQE LP_GSGM_MMS'!I674</f>
        <v>0</v>
      </c>
      <c r="T688" s="207">
        <f>'[3]DQE LP_GSGM_MMS'!J674</f>
        <v>0</v>
      </c>
      <c r="U688" s="207">
        <f>'[3]DQE LP_GSGM_MMS'!K674</f>
        <v>0</v>
      </c>
      <c r="V688" s="145"/>
    </row>
    <row r="689" spans="1:22" x14ac:dyDescent="0.2">
      <c r="A689" s="89">
        <f t="shared" si="22"/>
        <v>681</v>
      </c>
      <c r="B689" s="43">
        <v>19</v>
      </c>
      <c r="C689" s="43">
        <v>15</v>
      </c>
      <c r="D689" s="38" t="s">
        <v>626</v>
      </c>
      <c r="E689" s="44" t="s">
        <v>163</v>
      </c>
      <c r="F689" s="44" t="s">
        <v>20</v>
      </c>
      <c r="G689" s="44" t="s">
        <v>120</v>
      </c>
      <c r="H689" s="44" t="s">
        <v>23</v>
      </c>
      <c r="I689" s="44" t="s">
        <v>164</v>
      </c>
      <c r="J689" s="44" t="s">
        <v>24</v>
      </c>
      <c r="K689" s="44" t="s">
        <v>140</v>
      </c>
      <c r="L689" s="40">
        <v>1131</v>
      </c>
      <c r="M689" s="41">
        <v>41339</v>
      </c>
      <c r="N689" s="40" t="s">
        <v>122</v>
      </c>
      <c r="O689" s="42"/>
      <c r="P689" s="40"/>
      <c r="Q689" s="207">
        <f>[3]Duke_OH_RC_DS01MS!G674</f>
        <v>0</v>
      </c>
      <c r="R689" s="207">
        <f>[3]Duke_OH_RC_DS01MS!H674</f>
        <v>0</v>
      </c>
      <c r="S689" s="207">
        <f>[3]Duke_OH_RC_DS01MS!I674</f>
        <v>0</v>
      </c>
      <c r="T689" s="207">
        <f>[3]Duke_OH_RC_DS01MS!J674</f>
        <v>0</v>
      </c>
      <c r="U689" s="207">
        <f>[3]Duke_OH_RC_DS01MS!K674</f>
        <v>0</v>
      </c>
      <c r="V689" s="145"/>
    </row>
    <row r="690" spans="1:22" x14ac:dyDescent="0.2">
      <c r="A690" s="89">
        <f t="shared" si="22"/>
        <v>682</v>
      </c>
      <c r="B690" s="43">
        <v>19</v>
      </c>
      <c r="C690" s="43">
        <v>16</v>
      </c>
      <c r="D690" s="38" t="s">
        <v>627</v>
      </c>
      <c r="E690" s="44" t="s">
        <v>166</v>
      </c>
      <c r="F690" s="44" t="s">
        <v>20</v>
      </c>
      <c r="G690" s="44" t="s">
        <v>120</v>
      </c>
      <c r="H690" s="44" t="s">
        <v>64</v>
      </c>
      <c r="I690" s="44" t="s">
        <v>167</v>
      </c>
      <c r="J690" s="44" t="s">
        <v>7</v>
      </c>
      <c r="K690" s="44" t="s">
        <v>140</v>
      </c>
      <c r="L690" s="40">
        <v>1132</v>
      </c>
      <c r="M690" s="41">
        <v>41339</v>
      </c>
      <c r="N690" s="40" t="s">
        <v>122</v>
      </c>
      <c r="O690" s="42"/>
      <c r="P690" s="40"/>
      <c r="Q690" s="207">
        <f>'[3]FE_OE - test RC_GSFMS'!G674</f>
        <v>0</v>
      </c>
      <c r="R690" s="207">
        <f>'[3]FE_OE - test RC_GSFMS'!H674</f>
        <v>0</v>
      </c>
      <c r="S690" s="207">
        <f>'[3]FE_OE - test RC_GSFMS'!I674</f>
        <v>0</v>
      </c>
      <c r="T690" s="207">
        <f>'[3]FE_OE - test RC_GSFMS'!J674</f>
        <v>0</v>
      </c>
      <c r="U690" s="207">
        <f>'[3]FE_OE - test RC_GSFMS'!K674</f>
        <v>0</v>
      </c>
      <c r="V690" s="145"/>
    </row>
    <row r="691" spans="1:22" x14ac:dyDescent="0.2">
      <c r="A691" s="89">
        <f t="shared" si="22"/>
        <v>683</v>
      </c>
      <c r="B691" s="43">
        <v>19</v>
      </c>
      <c r="C691" s="43">
        <v>17</v>
      </c>
      <c r="D691" s="38" t="s">
        <v>628</v>
      </c>
      <c r="E691" s="44" t="s">
        <v>169</v>
      </c>
      <c r="F691" s="44" t="s">
        <v>31</v>
      </c>
      <c r="G691" s="44" t="s">
        <v>120</v>
      </c>
      <c r="H691" s="44" t="s">
        <v>35</v>
      </c>
      <c r="I691" s="44" t="s">
        <v>35</v>
      </c>
      <c r="J691" s="44" t="s">
        <v>9</v>
      </c>
      <c r="K691" s="44" t="s">
        <v>135</v>
      </c>
      <c r="L691" s="40">
        <v>1133</v>
      </c>
      <c r="M691" s="41">
        <v>41339</v>
      </c>
      <c r="N691" s="40" t="s">
        <v>122</v>
      </c>
      <c r="O691" s="42"/>
      <c r="P691" s="40"/>
      <c r="Q691" s="207">
        <f>'[3]JCPL LP_GSCLMS'!G674</f>
        <v>0</v>
      </c>
      <c r="R691" s="207">
        <f>'[3]JCPL LP_GSCLMS'!H674</f>
        <v>0</v>
      </c>
      <c r="S691" s="207">
        <f>'[3]JCPL LP_GSCLMS'!I674</f>
        <v>0</v>
      </c>
      <c r="T691" s="207">
        <f>'[3]JCPL LP_GSCLMS'!J674</f>
        <v>0</v>
      </c>
      <c r="U691" s="207">
        <f>'[3]JCPL LP_GSCLMS'!K674</f>
        <v>0</v>
      </c>
      <c r="V691" s="145"/>
    </row>
    <row r="692" spans="1:22" x14ac:dyDescent="0.2">
      <c r="A692" s="89">
        <f t="shared" si="22"/>
        <v>684</v>
      </c>
      <c r="B692" s="43">
        <v>19</v>
      </c>
      <c r="C692" s="43">
        <v>18</v>
      </c>
      <c r="D692" s="38" t="s">
        <v>629</v>
      </c>
      <c r="E692" s="44" t="s">
        <v>171</v>
      </c>
      <c r="F692" s="44" t="s">
        <v>31</v>
      </c>
      <c r="G692" s="44" t="s">
        <v>120</v>
      </c>
      <c r="H692" s="44" t="s">
        <v>35</v>
      </c>
      <c r="I692" s="44" t="s">
        <v>35</v>
      </c>
      <c r="J692" s="44" t="s">
        <v>10</v>
      </c>
      <c r="K692" s="44" t="s">
        <v>132</v>
      </c>
      <c r="L692" s="40">
        <v>1134</v>
      </c>
      <c r="M692" s="41">
        <v>41339</v>
      </c>
      <c r="N692" s="40" t="s">
        <v>122</v>
      </c>
      <c r="O692" s="42"/>
      <c r="P692" s="40"/>
      <c r="Q692" s="207">
        <f>'[3]JCPL LP_GSCMMS'!G674</f>
        <v>0</v>
      </c>
      <c r="R692" s="207">
        <f>'[3]JCPL LP_GSCMMS'!H674</f>
        <v>0</v>
      </c>
      <c r="S692" s="207">
        <f>'[3]JCPL LP_GSCMMS'!I674</f>
        <v>0</v>
      </c>
      <c r="T692" s="207">
        <f>'[3]JCPL LP_GSCMMS'!J674</f>
        <v>0</v>
      </c>
      <c r="U692" s="207">
        <f>'[3]JCPL LP_GSCMMS'!K674</f>
        <v>0</v>
      </c>
      <c r="V692" s="145"/>
    </row>
    <row r="693" spans="1:22" x14ac:dyDescent="0.2">
      <c r="A693" s="89">
        <f t="shared" si="22"/>
        <v>685</v>
      </c>
      <c r="B693" s="43">
        <v>19</v>
      </c>
      <c r="C693" s="43">
        <v>19</v>
      </c>
      <c r="D693" s="38" t="s">
        <v>630</v>
      </c>
      <c r="E693" s="44" t="s">
        <v>173</v>
      </c>
      <c r="F693" s="44" t="s">
        <v>31</v>
      </c>
      <c r="G693" s="44" t="s">
        <v>120</v>
      </c>
      <c r="H693" s="44" t="s">
        <v>35</v>
      </c>
      <c r="I693" s="44" t="s">
        <v>35</v>
      </c>
      <c r="J693" s="44" t="s">
        <v>11</v>
      </c>
      <c r="K693" s="44" t="s">
        <v>129</v>
      </c>
      <c r="L693" s="40">
        <v>1135</v>
      </c>
      <c r="M693" s="41">
        <v>41339</v>
      </c>
      <c r="N693" s="40" t="s">
        <v>122</v>
      </c>
      <c r="O693" s="42"/>
      <c r="P693" s="40"/>
      <c r="Q693" s="207">
        <f>'[3]JCPL LP_GSCSMS'!G674</f>
        <v>0</v>
      </c>
      <c r="R693" s="207">
        <f>'[3]JCPL LP_GSCSMS'!H674</f>
        <v>0</v>
      </c>
      <c r="S693" s="207">
        <f>'[3]JCPL LP_GSCSMS'!I674</f>
        <v>0</v>
      </c>
      <c r="T693" s="207">
        <f>'[3]JCPL LP_GSCSMS'!J674</f>
        <v>0</v>
      </c>
      <c r="U693" s="207">
        <f>'[3]JCPL LP_GSCSMS'!K674</f>
        <v>0</v>
      </c>
      <c r="V693" s="145"/>
    </row>
    <row r="694" spans="1:22" x14ac:dyDescent="0.2">
      <c r="A694" s="89">
        <f t="shared" si="22"/>
        <v>686</v>
      </c>
      <c r="B694" s="43">
        <v>19</v>
      </c>
      <c r="C694" s="43">
        <v>20</v>
      </c>
      <c r="D694" s="38" t="s">
        <v>631</v>
      </c>
      <c r="E694" s="44" t="s">
        <v>175</v>
      </c>
      <c r="F694" s="44" t="s">
        <v>6</v>
      </c>
      <c r="G694" s="44" t="s">
        <v>120</v>
      </c>
      <c r="H694" s="44" t="s">
        <v>176</v>
      </c>
      <c r="I694" s="44" t="s">
        <v>177</v>
      </c>
      <c r="J694" s="44" t="s">
        <v>9</v>
      </c>
      <c r="K694" s="44" t="s">
        <v>135</v>
      </c>
      <c r="L694" s="40">
        <v>1137</v>
      </c>
      <c r="M694" s="41">
        <v>41339</v>
      </c>
      <c r="N694" s="40" t="s">
        <v>122</v>
      </c>
      <c r="O694" s="42"/>
      <c r="P694" s="40"/>
      <c r="Q694" s="207">
        <f>'[3]MetEd RC_GSLFMS'!G674</f>
        <v>0</v>
      </c>
      <c r="R694" s="207">
        <f>'[3]MetEd RC_GSLFMS'!H674</f>
        <v>0</v>
      </c>
      <c r="S694" s="207">
        <f>'[3]MetEd RC_GSLFMS'!I674</f>
        <v>0</v>
      </c>
      <c r="T694" s="207">
        <f>'[3]MetEd RC_GSLFMS'!J674</f>
        <v>0</v>
      </c>
      <c r="U694" s="207">
        <f>'[3]MetEd RC_GSLFMS'!K674</f>
        <v>0</v>
      </c>
      <c r="V694" s="145"/>
    </row>
    <row r="695" spans="1:22" x14ac:dyDescent="0.2">
      <c r="A695" s="89">
        <f t="shared" si="22"/>
        <v>687</v>
      </c>
      <c r="B695" s="43">
        <v>19</v>
      </c>
      <c r="C695" s="43">
        <v>21</v>
      </c>
      <c r="D695" s="38" t="s">
        <v>632</v>
      </c>
      <c r="E695" s="44" t="s">
        <v>179</v>
      </c>
      <c r="F695" s="44" t="s">
        <v>6</v>
      </c>
      <c r="G695" s="44" t="s">
        <v>120</v>
      </c>
      <c r="H695" s="44" t="s">
        <v>176</v>
      </c>
      <c r="I695" s="44" t="s">
        <v>177</v>
      </c>
      <c r="J695" s="44" t="s">
        <v>10</v>
      </c>
      <c r="K695" s="44" t="s">
        <v>132</v>
      </c>
      <c r="L695" s="40">
        <v>1136</v>
      </c>
      <c r="M695" s="41">
        <v>41339</v>
      </c>
      <c r="N695" s="40" t="s">
        <v>122</v>
      </c>
      <c r="O695" s="42"/>
      <c r="P695" s="40"/>
      <c r="Q695" s="207">
        <f>'[3]MetEd RC_GSDFMS'!G674</f>
        <v>0</v>
      </c>
      <c r="R695" s="207">
        <f>'[3]MetEd RC_GSDFMS'!H674</f>
        <v>0</v>
      </c>
      <c r="S695" s="207">
        <f>'[3]MetEd RC_GSDFMS'!I674</f>
        <v>0</v>
      </c>
      <c r="T695" s="207">
        <f>'[3]MetEd RC_GSDFMS'!J674</f>
        <v>0</v>
      </c>
      <c r="U695" s="207">
        <f>'[3]MetEd RC_GSDFMS'!K674</f>
        <v>0</v>
      </c>
      <c r="V695" s="145"/>
    </row>
    <row r="696" spans="1:22" x14ac:dyDescent="0.2">
      <c r="A696" s="89">
        <f t="shared" si="22"/>
        <v>688</v>
      </c>
      <c r="B696" s="43">
        <v>19</v>
      </c>
      <c r="C696" s="43">
        <v>22</v>
      </c>
      <c r="D696" s="38" t="s">
        <v>633</v>
      </c>
      <c r="E696" s="44" t="s">
        <v>181</v>
      </c>
      <c r="F696" s="44" t="s">
        <v>6</v>
      </c>
      <c r="G696" s="44" t="s">
        <v>120</v>
      </c>
      <c r="H696" s="44" t="s">
        <v>176</v>
      </c>
      <c r="I696" s="44" t="s">
        <v>177</v>
      </c>
      <c r="J696" s="44" t="s">
        <v>11</v>
      </c>
      <c r="K696" s="44" t="s">
        <v>129</v>
      </c>
      <c r="L696" s="40">
        <v>1138</v>
      </c>
      <c r="M696" s="41">
        <v>41339</v>
      </c>
      <c r="N696" s="40" t="s">
        <v>122</v>
      </c>
      <c r="O696" s="42"/>
      <c r="P696" s="40"/>
      <c r="Q696" s="207">
        <f>'[3]MetEd RC_GSSFMS'!G674</f>
        <v>0</v>
      </c>
      <c r="R696" s="207">
        <f>'[3]MetEd RC_GSSFMS'!H674</f>
        <v>0</v>
      </c>
      <c r="S696" s="207">
        <f>'[3]MetEd RC_GSSFMS'!I674</f>
        <v>0</v>
      </c>
      <c r="T696" s="207">
        <f>'[3]MetEd RC_GSSFMS'!J674</f>
        <v>0</v>
      </c>
      <c r="U696" s="207">
        <f>'[3]MetEd RC_GSSFMS'!K674</f>
        <v>0</v>
      </c>
      <c r="V696" s="145"/>
    </row>
    <row r="697" spans="1:22" x14ac:dyDescent="0.2">
      <c r="A697" s="89">
        <f t="shared" si="22"/>
        <v>689</v>
      </c>
      <c r="B697" s="43">
        <v>19</v>
      </c>
      <c r="C697" s="43">
        <v>23</v>
      </c>
      <c r="D697" s="38" t="s">
        <v>634</v>
      </c>
      <c r="E697" s="44" t="s">
        <v>183</v>
      </c>
      <c r="F697" s="44" t="s">
        <v>6</v>
      </c>
      <c r="G697" s="44" t="s">
        <v>120</v>
      </c>
      <c r="H697" s="44" t="s">
        <v>13</v>
      </c>
      <c r="I697" s="44" t="s">
        <v>13</v>
      </c>
      <c r="J697" s="44" t="s">
        <v>7</v>
      </c>
      <c r="K697" s="44" t="s">
        <v>140</v>
      </c>
      <c r="L697" s="40">
        <v>1139</v>
      </c>
      <c r="M697" s="41">
        <v>41339</v>
      </c>
      <c r="N697" s="40" t="s">
        <v>122</v>
      </c>
      <c r="O697" s="42"/>
      <c r="P697" s="40"/>
      <c r="Q697" s="207">
        <f>'[3]PECO LP_GSMS'!G674</f>
        <v>0</v>
      </c>
      <c r="R697" s="207">
        <f>'[3]PECO LP_GSMS'!H674</f>
        <v>0</v>
      </c>
      <c r="S697" s="207">
        <f>'[3]PECO LP_GSMS'!I674</f>
        <v>0</v>
      </c>
      <c r="T697" s="207">
        <f>'[3]PECO LP_GSMS'!J674</f>
        <v>0</v>
      </c>
      <c r="U697" s="207">
        <f>'[3]PECO LP_GSMS'!K674</f>
        <v>0</v>
      </c>
      <c r="V697" s="145"/>
    </row>
    <row r="698" spans="1:22" x14ac:dyDescent="0.2">
      <c r="A698" s="89">
        <f t="shared" si="22"/>
        <v>690</v>
      </c>
      <c r="B698" s="43">
        <v>19</v>
      </c>
      <c r="C698" s="43">
        <v>24</v>
      </c>
      <c r="D698" s="38" t="s">
        <v>635</v>
      </c>
      <c r="E698" s="44" t="s">
        <v>185</v>
      </c>
      <c r="F698" s="44" t="s">
        <v>6</v>
      </c>
      <c r="G698" s="44" t="s">
        <v>120</v>
      </c>
      <c r="H698" s="44" t="s">
        <v>12</v>
      </c>
      <c r="I698" s="44" t="s">
        <v>186</v>
      </c>
      <c r="J698" s="44" t="s">
        <v>9</v>
      </c>
      <c r="K698" s="44" t="s">
        <v>135</v>
      </c>
      <c r="L698" s="40">
        <v>1140</v>
      </c>
      <c r="M698" s="41">
        <v>41339</v>
      </c>
      <c r="N698" s="40" t="s">
        <v>122</v>
      </c>
      <c r="O698" s="42"/>
      <c r="P698" s="40"/>
      <c r="Q698" s="207">
        <f>'[3]Penelec RC_GSLFMS'!G674</f>
        <v>0</v>
      </c>
      <c r="R698" s="207">
        <f>'[3]Penelec RC_GSLFMS'!H674</f>
        <v>0</v>
      </c>
      <c r="S698" s="207">
        <f>'[3]Penelec RC_GSLFMS'!I674</f>
        <v>0</v>
      </c>
      <c r="T698" s="207">
        <f>'[3]Penelec RC_GSLFMS'!J674</f>
        <v>0</v>
      </c>
      <c r="U698" s="207">
        <f>'[3]Penelec RC_GSLFMS'!K674</f>
        <v>0</v>
      </c>
      <c r="V698" s="145"/>
    </row>
    <row r="699" spans="1:22" x14ac:dyDescent="0.2">
      <c r="A699" s="89">
        <f t="shared" si="22"/>
        <v>691</v>
      </c>
      <c r="B699" s="43">
        <v>19</v>
      </c>
      <c r="C699" s="43">
        <v>25</v>
      </c>
      <c r="D699" s="38" t="s">
        <v>636</v>
      </c>
      <c r="E699" s="44" t="s">
        <v>188</v>
      </c>
      <c r="F699" s="44" t="s">
        <v>6</v>
      </c>
      <c r="G699" s="44" t="s">
        <v>120</v>
      </c>
      <c r="H699" s="44" t="s">
        <v>12</v>
      </c>
      <c r="I699" s="44" t="s">
        <v>186</v>
      </c>
      <c r="J699" s="44" t="s">
        <v>10</v>
      </c>
      <c r="K699" s="44" t="s">
        <v>132</v>
      </c>
      <c r="L699" s="40">
        <v>1141</v>
      </c>
      <c r="M699" s="41">
        <v>41339</v>
      </c>
      <c r="N699" s="40" t="s">
        <v>122</v>
      </c>
      <c r="O699" s="42"/>
      <c r="P699" s="40"/>
      <c r="Q699" s="207">
        <f>'[3]Penelec RC_GSMFMS'!G674</f>
        <v>0</v>
      </c>
      <c r="R699" s="207">
        <f>'[3]Penelec RC_GSMFMS'!H674</f>
        <v>0</v>
      </c>
      <c r="S699" s="207">
        <f>'[3]Penelec RC_GSMFMS'!I674</f>
        <v>0</v>
      </c>
      <c r="T699" s="207">
        <f>'[3]Penelec RC_GSMFMS'!J674</f>
        <v>0</v>
      </c>
      <c r="U699" s="207">
        <f>'[3]Penelec RC_GSMFMS'!K674</f>
        <v>0</v>
      </c>
      <c r="V699" s="145"/>
    </row>
    <row r="700" spans="1:22" x14ac:dyDescent="0.2">
      <c r="A700" s="89">
        <f t="shared" si="22"/>
        <v>692</v>
      </c>
      <c r="B700" s="43">
        <v>19</v>
      </c>
      <c r="C700" s="43">
        <v>26</v>
      </c>
      <c r="D700" s="38" t="s">
        <v>637</v>
      </c>
      <c r="E700" s="44" t="s">
        <v>190</v>
      </c>
      <c r="F700" s="44" t="s">
        <v>6</v>
      </c>
      <c r="G700" s="44" t="s">
        <v>120</v>
      </c>
      <c r="H700" s="44" t="s">
        <v>12</v>
      </c>
      <c r="I700" s="44" t="s">
        <v>186</v>
      </c>
      <c r="J700" s="44" t="s">
        <v>11</v>
      </c>
      <c r="K700" s="44" t="s">
        <v>129</v>
      </c>
      <c r="L700" s="40">
        <v>1142</v>
      </c>
      <c r="M700" s="41">
        <v>41339</v>
      </c>
      <c r="N700" s="40" t="s">
        <v>122</v>
      </c>
      <c r="O700" s="42"/>
      <c r="P700" s="40"/>
      <c r="Q700" s="207">
        <f>'[3]Penelec RC_GSSFMS'!G674</f>
        <v>0</v>
      </c>
      <c r="R700" s="207">
        <f>'[3]Penelec RC_GSSFMS'!H674</f>
        <v>0</v>
      </c>
      <c r="S700" s="207">
        <f>'[3]Penelec RC_GSSFMS'!I674</f>
        <v>0</v>
      </c>
      <c r="T700" s="207">
        <f>'[3]Penelec RC_GSSFMS'!J674</f>
        <v>0</v>
      </c>
      <c r="U700" s="207">
        <f>'[3]Penelec RC_GSSFMS'!K674</f>
        <v>0</v>
      </c>
      <c r="V700" s="145"/>
    </row>
    <row r="701" spans="1:22" x14ac:dyDescent="0.2">
      <c r="A701" s="89">
        <f t="shared" si="22"/>
        <v>693</v>
      </c>
      <c r="B701" s="43">
        <v>19</v>
      </c>
      <c r="C701" s="43">
        <v>27</v>
      </c>
      <c r="D701" s="38" t="s">
        <v>638</v>
      </c>
      <c r="E701" s="44" t="s">
        <v>192</v>
      </c>
      <c r="F701" s="44" t="s">
        <v>6</v>
      </c>
      <c r="G701" s="44" t="s">
        <v>120</v>
      </c>
      <c r="H701" s="44" t="s">
        <v>100</v>
      </c>
      <c r="I701" s="44" t="s">
        <v>193</v>
      </c>
      <c r="J701" s="44" t="s">
        <v>7</v>
      </c>
      <c r="K701" s="44" t="s">
        <v>140</v>
      </c>
      <c r="L701" s="40">
        <v>1143</v>
      </c>
      <c r="M701" s="41">
        <v>41339</v>
      </c>
      <c r="N701" s="40" t="s">
        <v>122</v>
      </c>
      <c r="O701" s="42"/>
      <c r="P701" s="40"/>
      <c r="Q701" s="207">
        <f>'[3]Penn Power RC_GMDMS'!G674</f>
        <v>0</v>
      </c>
      <c r="R701" s="207">
        <f>'[3]Penn Power RC_GMDMS'!H674</f>
        <v>0</v>
      </c>
      <c r="S701" s="207">
        <f>'[3]Penn Power RC_GMDMS'!I674</f>
        <v>0</v>
      </c>
      <c r="T701" s="207">
        <f>'[3]Penn Power RC_GMDMS'!J674</f>
        <v>0</v>
      </c>
      <c r="U701" s="207">
        <f>'[3]Penn Power RC_GMDMS'!K674</f>
        <v>0</v>
      </c>
      <c r="V701" s="145"/>
    </row>
    <row r="702" spans="1:22" x14ac:dyDescent="0.2">
      <c r="A702" s="89">
        <f t="shared" si="22"/>
        <v>694</v>
      </c>
      <c r="B702" s="43">
        <v>19</v>
      </c>
      <c r="C702" s="43">
        <v>28</v>
      </c>
      <c r="D702" s="38" t="s">
        <v>639</v>
      </c>
      <c r="E702" s="44" t="s">
        <v>195</v>
      </c>
      <c r="F702" s="44" t="s">
        <v>39</v>
      </c>
      <c r="G702" s="44" t="s">
        <v>120</v>
      </c>
      <c r="H702" s="44" t="s">
        <v>44</v>
      </c>
      <c r="I702" s="44" t="s">
        <v>44</v>
      </c>
      <c r="J702" s="44" t="s">
        <v>7</v>
      </c>
      <c r="K702" s="44" t="s">
        <v>140</v>
      </c>
      <c r="L702" s="40">
        <v>1144</v>
      </c>
      <c r="M702" s="41">
        <v>41339</v>
      </c>
      <c r="N702" s="40" t="s">
        <v>122</v>
      </c>
      <c r="O702" s="42"/>
      <c r="P702" s="40"/>
      <c r="Q702" s="207">
        <f>'[3]PEPCO MD LP_MDNDMS'!G674</f>
        <v>0</v>
      </c>
      <c r="R702" s="207">
        <f>'[3]PEPCO MD LP_MDNDMS'!H674</f>
        <v>0</v>
      </c>
      <c r="S702" s="207">
        <f>'[3]PEPCO MD LP_MDNDMS'!I674</f>
        <v>0</v>
      </c>
      <c r="T702" s="207">
        <f>'[3]PEPCO MD LP_MDNDMS'!J674</f>
        <v>0</v>
      </c>
      <c r="U702" s="207">
        <f>'[3]PEPCO MD LP_MDNDMS'!K674</f>
        <v>0</v>
      </c>
      <c r="V702" s="145"/>
    </row>
    <row r="703" spans="1:22" x14ac:dyDescent="0.2">
      <c r="A703" s="89">
        <f t="shared" si="22"/>
        <v>695</v>
      </c>
      <c r="B703" s="43">
        <v>19</v>
      </c>
      <c r="C703" s="43">
        <v>29</v>
      </c>
      <c r="D703" s="38" t="s">
        <v>640</v>
      </c>
      <c r="E703" s="44" t="s">
        <v>197</v>
      </c>
      <c r="F703" s="44" t="s">
        <v>39</v>
      </c>
      <c r="G703" s="44" t="s">
        <v>120</v>
      </c>
      <c r="H703" s="44" t="s">
        <v>44</v>
      </c>
      <c r="I703" s="44" t="s">
        <v>44</v>
      </c>
      <c r="J703" s="44" t="s">
        <v>45</v>
      </c>
      <c r="K703" s="44" t="s">
        <v>198</v>
      </c>
      <c r="L703" s="40">
        <v>1145</v>
      </c>
      <c r="M703" s="41">
        <v>41339</v>
      </c>
      <c r="N703" s="40" t="s">
        <v>122</v>
      </c>
      <c r="O703" s="42"/>
      <c r="P703" s="40"/>
      <c r="Q703" s="207">
        <f>'[3]PEPCO MD LP_MMGTL2AMS'!G674</f>
        <v>0</v>
      </c>
      <c r="R703" s="207">
        <f>'[3]PEPCO MD LP_MMGTL2AMS'!H674</f>
        <v>0</v>
      </c>
      <c r="S703" s="207">
        <f>'[3]PEPCO MD LP_MMGTL2AMS'!I674</f>
        <v>0</v>
      </c>
      <c r="T703" s="207">
        <f>'[3]PEPCO MD LP_MMGTL2AMS'!J674</f>
        <v>0</v>
      </c>
      <c r="U703" s="207">
        <f>'[3]PEPCO MD LP_MMGTL2AMS'!K674</f>
        <v>0</v>
      </c>
      <c r="V703" s="145"/>
    </row>
    <row r="704" spans="1:22" x14ac:dyDescent="0.2">
      <c r="A704" s="89">
        <f t="shared" si="22"/>
        <v>696</v>
      </c>
      <c r="B704" s="43">
        <v>19</v>
      </c>
      <c r="C704" s="43">
        <v>30</v>
      </c>
      <c r="D704" s="38" t="s">
        <v>641</v>
      </c>
      <c r="E704" s="44" t="s">
        <v>200</v>
      </c>
      <c r="F704" s="44" t="s">
        <v>39</v>
      </c>
      <c r="G704" s="44" t="s">
        <v>120</v>
      </c>
      <c r="H704" s="44" t="s">
        <v>44</v>
      </c>
      <c r="I704" s="44" t="s">
        <v>44</v>
      </c>
      <c r="J704" s="44" t="s">
        <v>46</v>
      </c>
      <c r="K704" s="44" t="s">
        <v>46</v>
      </c>
      <c r="L704" s="40">
        <v>1146</v>
      </c>
      <c r="M704" s="41">
        <v>41339</v>
      </c>
      <c r="N704" s="40" t="s">
        <v>122</v>
      </c>
      <c r="O704" s="42"/>
      <c r="P704" s="40"/>
      <c r="Q704" s="207">
        <f>'[3]PEPCO MD RC_3T7MS'!G674</f>
        <v>0</v>
      </c>
      <c r="R704" s="207">
        <f>'[3]PEPCO MD RC_3T7MS'!H674</f>
        <v>0</v>
      </c>
      <c r="S704" s="207">
        <f>'[3]PEPCO MD RC_3T7MS'!I674</f>
        <v>0</v>
      </c>
      <c r="T704" s="207">
        <f>'[3]PEPCO MD RC_3T7MS'!J674</f>
        <v>0</v>
      </c>
      <c r="U704" s="207">
        <f>'[3]PEPCO MD RC_3T7MS'!K674</f>
        <v>0</v>
      </c>
      <c r="V704" s="145"/>
    </row>
    <row r="705" spans="1:22" x14ac:dyDescent="0.2">
      <c r="A705" s="89">
        <f t="shared" si="22"/>
        <v>697</v>
      </c>
      <c r="B705" s="43">
        <v>19</v>
      </c>
      <c r="C705" s="43">
        <v>31</v>
      </c>
      <c r="D705" s="38" t="s">
        <v>642</v>
      </c>
      <c r="E705" s="44" t="s">
        <v>202</v>
      </c>
      <c r="F705" s="44" t="s">
        <v>39</v>
      </c>
      <c r="G705" s="44" t="s">
        <v>120</v>
      </c>
      <c r="H705" s="44" t="s">
        <v>47</v>
      </c>
      <c r="I705" s="44" t="s">
        <v>47</v>
      </c>
      <c r="J705" s="44" t="s">
        <v>7</v>
      </c>
      <c r="K705" s="44" t="s">
        <v>140</v>
      </c>
      <c r="L705" s="40">
        <v>1147</v>
      </c>
      <c r="M705" s="41">
        <v>41339</v>
      </c>
      <c r="N705" s="40" t="s">
        <v>122</v>
      </c>
      <c r="O705" s="42"/>
      <c r="P705" s="40"/>
      <c r="Q705" s="207">
        <f>'[3]Potomac Edison LP_GSCM_MMS'!G674</f>
        <v>0</v>
      </c>
      <c r="R705" s="207">
        <f>'[3]Potomac Edison LP_GSCM_MMS'!H674</f>
        <v>0</v>
      </c>
      <c r="S705" s="207">
        <f>'[3]Potomac Edison LP_GSCM_MMS'!I674</f>
        <v>0</v>
      </c>
      <c r="T705" s="207">
        <f>'[3]Potomac Edison LP_GSCM_MMS'!J674</f>
        <v>0</v>
      </c>
      <c r="U705" s="207">
        <f>'[3]Potomac Edison LP_GSCM_MMS'!K674</f>
        <v>0</v>
      </c>
      <c r="V705" s="145"/>
    </row>
    <row r="706" spans="1:22" x14ac:dyDescent="0.2">
      <c r="A706" s="89">
        <f t="shared" si="22"/>
        <v>698</v>
      </c>
      <c r="B706" s="43">
        <v>19</v>
      </c>
      <c r="C706" s="43">
        <v>32</v>
      </c>
      <c r="D706" s="38" t="s">
        <v>643</v>
      </c>
      <c r="E706" s="44" t="s">
        <v>204</v>
      </c>
      <c r="F706" s="44" t="s">
        <v>6</v>
      </c>
      <c r="G706" s="44" t="s">
        <v>120</v>
      </c>
      <c r="H706" s="44" t="s">
        <v>14</v>
      </c>
      <c r="I706" s="44" t="s">
        <v>14</v>
      </c>
      <c r="J706" s="44" t="s">
        <v>15</v>
      </c>
      <c r="K706" s="44" t="s">
        <v>129</v>
      </c>
      <c r="L706" s="40">
        <v>1148</v>
      </c>
      <c r="M706" s="41">
        <v>41339</v>
      </c>
      <c r="N706" s="40" t="s">
        <v>122</v>
      </c>
      <c r="O706" s="42"/>
      <c r="P706" s="40"/>
      <c r="Q706" s="207">
        <f>[3]PPL_RCGS1MS!G674</f>
        <v>0</v>
      </c>
      <c r="R706" s="207">
        <f>[3]PPL_RCGS1MS!H674</f>
        <v>0</v>
      </c>
      <c r="S706" s="207">
        <f>[3]PPL_RCGS1MS!I674</f>
        <v>0</v>
      </c>
      <c r="T706" s="207">
        <f>[3]PPL_RCGS1MS!J674</f>
        <v>0</v>
      </c>
      <c r="U706" s="207">
        <f>[3]PPL_RCGS1MS!K674</f>
        <v>0</v>
      </c>
      <c r="V706" s="145"/>
    </row>
    <row r="707" spans="1:22" x14ac:dyDescent="0.2">
      <c r="A707" s="89">
        <f t="shared" si="22"/>
        <v>699</v>
      </c>
      <c r="B707" s="43">
        <v>19</v>
      </c>
      <c r="C707" s="43">
        <v>33</v>
      </c>
      <c r="D707" s="38" t="s">
        <v>644</v>
      </c>
      <c r="E707" s="44" t="s">
        <v>206</v>
      </c>
      <c r="F707" s="44" t="s">
        <v>6</v>
      </c>
      <c r="G707" s="44" t="s">
        <v>120</v>
      </c>
      <c r="H707" s="44" t="s">
        <v>14</v>
      </c>
      <c r="I707" s="44" t="s">
        <v>14</v>
      </c>
      <c r="J707" s="44" t="s">
        <v>16</v>
      </c>
      <c r="K707" s="44" t="s">
        <v>135</v>
      </c>
      <c r="L707" s="40">
        <v>1149</v>
      </c>
      <c r="M707" s="41">
        <v>41339</v>
      </c>
      <c r="N707" s="40" t="s">
        <v>122</v>
      </c>
      <c r="O707" s="42"/>
      <c r="P707" s="40"/>
      <c r="Q707" s="207">
        <f>[3]PPL_RCGS3MS!G674</f>
        <v>0</v>
      </c>
      <c r="R707" s="207">
        <f>[3]PPL_RCGS3MS!H674</f>
        <v>0</v>
      </c>
      <c r="S707" s="207">
        <f>[3]PPL_RCGS3MS!I674</f>
        <v>0</v>
      </c>
      <c r="T707" s="207">
        <f>[3]PPL_RCGS3MS!J674</f>
        <v>0</v>
      </c>
      <c r="U707" s="207">
        <f>[3]PPL_RCGS3MS!K674</f>
        <v>0</v>
      </c>
      <c r="V707" s="145"/>
    </row>
    <row r="708" spans="1:22" x14ac:dyDescent="0.2">
      <c r="A708" s="89">
        <f t="shared" si="22"/>
        <v>700</v>
      </c>
      <c r="B708" s="43">
        <v>19</v>
      </c>
      <c r="C708" s="43">
        <v>34</v>
      </c>
      <c r="D708" s="38" t="s">
        <v>645</v>
      </c>
      <c r="E708" s="44" t="s">
        <v>208</v>
      </c>
      <c r="F708" s="44" t="s">
        <v>31</v>
      </c>
      <c r="G708" s="44" t="s">
        <v>120</v>
      </c>
      <c r="H708" s="44" t="s">
        <v>36</v>
      </c>
      <c r="I708" s="44" t="s">
        <v>36</v>
      </c>
      <c r="J708" s="44" t="s">
        <v>37</v>
      </c>
      <c r="K708" s="44" t="s">
        <v>209</v>
      </c>
      <c r="L708" s="40">
        <v>1150</v>
      </c>
      <c r="M708" s="41">
        <v>41339</v>
      </c>
      <c r="N708" s="40" t="s">
        <v>122</v>
      </c>
      <c r="O708" s="42"/>
      <c r="P708" s="40"/>
      <c r="Q708" s="207">
        <f>'[3]PSEG LP_GLP_MMS'!G674</f>
        <v>0</v>
      </c>
      <c r="R708" s="207">
        <f>'[3]PSEG LP_GLP_MMS'!H674</f>
        <v>0</v>
      </c>
      <c r="S708" s="207">
        <f>'[3]PSEG LP_GLP_MMS'!I674</f>
        <v>0</v>
      </c>
      <c r="T708" s="207">
        <f>'[3]PSEG LP_GLP_MMS'!J674</f>
        <v>0</v>
      </c>
      <c r="U708" s="207">
        <f>'[3]PSEG LP_GLP_MMS'!K674</f>
        <v>0</v>
      </c>
      <c r="V708" s="145"/>
    </row>
    <row r="709" spans="1:22" x14ac:dyDescent="0.2">
      <c r="A709" s="89">
        <f t="shared" si="22"/>
        <v>701</v>
      </c>
      <c r="B709" s="43">
        <v>19</v>
      </c>
      <c r="C709" s="43">
        <v>35</v>
      </c>
      <c r="D709" s="38" t="s">
        <v>646</v>
      </c>
      <c r="E709" s="44" t="s">
        <v>211</v>
      </c>
      <c r="F709" s="44" t="s">
        <v>31</v>
      </c>
      <c r="G709" s="44" t="s">
        <v>120</v>
      </c>
      <c r="H709" s="44" t="s">
        <v>36</v>
      </c>
      <c r="I709" s="44" t="s">
        <v>36</v>
      </c>
      <c r="J709" s="44" t="s">
        <v>38</v>
      </c>
      <c r="K709" s="44" t="s">
        <v>212</v>
      </c>
      <c r="L709" s="40">
        <v>1151</v>
      </c>
      <c r="M709" s="41">
        <v>41339</v>
      </c>
      <c r="N709" s="40" t="s">
        <v>122</v>
      </c>
      <c r="O709" s="42"/>
      <c r="P709" s="40"/>
      <c r="Q709" s="207">
        <f>'[3]PSEG LP_LPLMS'!G674</f>
        <v>0</v>
      </c>
      <c r="R709" s="207">
        <f>'[3]PSEG LP_LPLMS'!H674</f>
        <v>0</v>
      </c>
      <c r="S709" s="207">
        <f>'[3]PSEG LP_LPLMS'!I674</f>
        <v>0</v>
      </c>
      <c r="T709" s="207">
        <f>'[3]PSEG LP_LPLMS'!J674</f>
        <v>0</v>
      </c>
      <c r="U709" s="207">
        <f>'[3]PSEG LP_LPLMS'!K674</f>
        <v>0</v>
      </c>
      <c r="V709" s="145"/>
    </row>
    <row r="710" spans="1:22" x14ac:dyDescent="0.2">
      <c r="A710" s="89">
        <f t="shared" si="22"/>
        <v>702</v>
      </c>
      <c r="B710" s="43">
        <v>19</v>
      </c>
      <c r="C710" s="43">
        <v>36</v>
      </c>
      <c r="D710" s="38" t="s">
        <v>647</v>
      </c>
      <c r="E710" s="44" t="s">
        <v>214</v>
      </c>
      <c r="F710" s="44" t="s">
        <v>6</v>
      </c>
      <c r="G710" s="44" t="s">
        <v>120</v>
      </c>
      <c r="H710" s="44" t="s">
        <v>17</v>
      </c>
      <c r="I710" s="44" t="s">
        <v>215</v>
      </c>
      <c r="J710" s="44" t="s">
        <v>18</v>
      </c>
      <c r="K710" s="44" t="s">
        <v>140</v>
      </c>
      <c r="L710" s="40">
        <v>1152</v>
      </c>
      <c r="M710" s="41">
        <v>41339</v>
      </c>
      <c r="N710" s="40" t="s">
        <v>122</v>
      </c>
      <c r="O710" s="42"/>
      <c r="P710" s="40"/>
      <c r="Q710" s="207">
        <f>'[3]West Penn Power LP_GSCMMS'!G674</f>
        <v>0</v>
      </c>
      <c r="R710" s="207">
        <f>'[3]West Penn Power LP_GSCMMS'!H674</f>
        <v>0</v>
      </c>
      <c r="S710" s="207">
        <f>'[3]West Penn Power LP_GSCMMS'!I674</f>
        <v>0</v>
      </c>
      <c r="T710" s="207">
        <f>'[3]West Penn Power LP_GSCMMS'!J674</f>
        <v>0</v>
      </c>
      <c r="U710" s="207">
        <f>'[3]West Penn Power LP_GSCMMS'!K674</f>
        <v>0</v>
      </c>
      <c r="V710" s="145"/>
    </row>
    <row r="711" spans="1:22" x14ac:dyDescent="0.2">
      <c r="A711" s="89">
        <f t="shared" si="22"/>
        <v>703</v>
      </c>
      <c r="B711" s="20"/>
      <c r="C711" s="20"/>
      <c r="D711" s="20"/>
      <c r="Q711" s="208"/>
      <c r="R711" s="208"/>
      <c r="S711" s="208"/>
      <c r="T711" s="208"/>
      <c r="U711" s="208"/>
    </row>
    <row r="712" spans="1:22" x14ac:dyDescent="0.2">
      <c r="A712" s="89">
        <f t="shared" si="22"/>
        <v>704</v>
      </c>
      <c r="B712" s="43">
        <v>20</v>
      </c>
      <c r="C712" s="43">
        <v>1</v>
      </c>
      <c r="D712" s="38" t="s">
        <v>612</v>
      </c>
      <c r="E712" s="44" t="s">
        <v>119</v>
      </c>
      <c r="F712" s="44" t="s">
        <v>31</v>
      </c>
      <c r="G712" s="44" t="s">
        <v>120</v>
      </c>
      <c r="H712" s="44" t="s">
        <v>32</v>
      </c>
      <c r="I712" s="44" t="s">
        <v>32</v>
      </c>
      <c r="J712" s="44" t="s">
        <v>33</v>
      </c>
      <c r="K712" s="44" t="s">
        <v>121</v>
      </c>
      <c r="L712" s="40">
        <v>1117</v>
      </c>
      <c r="M712" s="41">
        <v>41339</v>
      </c>
      <c r="N712" s="40" t="s">
        <v>122</v>
      </c>
      <c r="O712" s="42"/>
      <c r="P712" s="40"/>
      <c r="Q712" s="207">
        <f>'[3]AECO LP_10V1_SMS'!G711</f>
        <v>0</v>
      </c>
      <c r="R712" s="207">
        <f>'[3]AECO LP_10V1_SMS'!H711</f>
        <v>0</v>
      </c>
      <c r="S712" s="207">
        <f>'[3]AECO LP_10V1_SMS'!I711</f>
        <v>0</v>
      </c>
      <c r="T712" s="207">
        <f>'[3]AECO LP_10V1_SMS'!J711</f>
        <v>0</v>
      </c>
      <c r="U712" s="207">
        <f>'[3]AECO LP_10V1_SMS'!K711</f>
        <v>0</v>
      </c>
      <c r="V712" s="145"/>
    </row>
    <row r="713" spans="1:22" x14ac:dyDescent="0.2">
      <c r="A713" s="89">
        <f t="shared" si="22"/>
        <v>705</v>
      </c>
      <c r="B713" s="43">
        <v>20</v>
      </c>
      <c r="C713" s="43">
        <v>2</v>
      </c>
      <c r="D713" s="38" t="s">
        <v>613</v>
      </c>
      <c r="E713" s="44" t="s">
        <v>124</v>
      </c>
      <c r="F713" s="44" t="s">
        <v>31</v>
      </c>
      <c r="G713" s="44" t="s">
        <v>120</v>
      </c>
      <c r="H713" s="44" t="s">
        <v>32</v>
      </c>
      <c r="I713" s="44" t="s">
        <v>32</v>
      </c>
      <c r="J713" s="44" t="s">
        <v>34</v>
      </c>
      <c r="K713" s="44" t="s">
        <v>125</v>
      </c>
      <c r="L713" s="40">
        <v>1118</v>
      </c>
      <c r="M713" s="41">
        <v>41339</v>
      </c>
      <c r="N713" s="40" t="s">
        <v>122</v>
      </c>
      <c r="O713" s="42"/>
      <c r="P713" s="40"/>
      <c r="Q713" s="207">
        <f>'[3]AECO LP_14V1_MMS'!G711</f>
        <v>0</v>
      </c>
      <c r="R713" s="207">
        <f>'[3]AECO LP_14V1_MMS'!H711</f>
        <v>0</v>
      </c>
      <c r="S713" s="207">
        <f>'[3]AECO LP_14V1_MMS'!I711</f>
        <v>0</v>
      </c>
      <c r="T713" s="207">
        <f>'[3]AECO LP_14V1_MMS'!J711</f>
        <v>0</v>
      </c>
      <c r="U713" s="207">
        <f>'[3]AECO LP_14V1_MMS'!K711</f>
        <v>0</v>
      </c>
      <c r="V713" s="145"/>
    </row>
    <row r="714" spans="1:22" x14ac:dyDescent="0.2">
      <c r="A714" s="89">
        <f t="shared" si="22"/>
        <v>706</v>
      </c>
      <c r="B714" s="43">
        <v>20</v>
      </c>
      <c r="C714" s="43">
        <v>3</v>
      </c>
      <c r="D714" s="38" t="s">
        <v>614</v>
      </c>
      <c r="E714" s="44" t="s">
        <v>127</v>
      </c>
      <c r="F714" s="44" t="s">
        <v>20</v>
      </c>
      <c r="G714" s="44" t="s">
        <v>120</v>
      </c>
      <c r="H714" s="44" t="s">
        <v>63</v>
      </c>
      <c r="I714" s="44" t="s">
        <v>128</v>
      </c>
      <c r="J714" s="44" t="s">
        <v>15</v>
      </c>
      <c r="K714" s="44" t="s">
        <v>129</v>
      </c>
      <c r="L714" s="40">
        <v>1119</v>
      </c>
      <c r="M714" s="41">
        <v>41339</v>
      </c>
      <c r="N714" s="40" t="s">
        <v>122</v>
      </c>
      <c r="O714" s="42"/>
      <c r="P714" s="40"/>
      <c r="Q714" s="207">
        <f>'[3]AEP_OH_CS - test CSGS1MS'!G711</f>
        <v>0</v>
      </c>
      <c r="R714" s="207">
        <f>'[3]AEP_OH_CS - test CSGS1MS'!H711</f>
        <v>0</v>
      </c>
      <c r="S714" s="207">
        <f>'[3]AEP_OH_CS - test CSGS1MS'!I711</f>
        <v>0</v>
      </c>
      <c r="T714" s="207">
        <f>'[3]AEP_OH_CS - test CSGS1MS'!J711</f>
        <v>0</v>
      </c>
      <c r="U714" s="207">
        <f>'[3]AEP_OH_CS - test CSGS1MS'!K711</f>
        <v>0</v>
      </c>
      <c r="V714" s="145"/>
    </row>
    <row r="715" spans="1:22" x14ac:dyDescent="0.2">
      <c r="A715" s="89">
        <f t="shared" ref="A715:A778" si="23">A714+1</f>
        <v>707</v>
      </c>
      <c r="B715" s="43">
        <v>20</v>
      </c>
      <c r="C715" s="43">
        <v>4</v>
      </c>
      <c r="D715" s="38" t="s">
        <v>615</v>
      </c>
      <c r="E715" s="44" t="s">
        <v>131</v>
      </c>
      <c r="F715" s="44" t="s">
        <v>20</v>
      </c>
      <c r="G715" s="44" t="s">
        <v>120</v>
      </c>
      <c r="H715" s="44" t="s">
        <v>63</v>
      </c>
      <c r="I715" s="44" t="s">
        <v>128</v>
      </c>
      <c r="J715" s="44" t="s">
        <v>21</v>
      </c>
      <c r="K715" s="44" t="s">
        <v>132</v>
      </c>
      <c r="L715" s="40">
        <v>1120</v>
      </c>
      <c r="M715" s="41">
        <v>41339</v>
      </c>
      <c r="N715" s="40" t="s">
        <v>122</v>
      </c>
      <c r="O715" s="42"/>
      <c r="P715" s="40"/>
      <c r="Q715" s="207">
        <f>'[3]AEP_OH_CS - test CSGS2UMS'!G711</f>
        <v>0</v>
      </c>
      <c r="R715" s="207">
        <f>'[3]AEP_OH_CS - test CSGS2UMS'!H711</f>
        <v>0</v>
      </c>
      <c r="S715" s="207">
        <f>'[3]AEP_OH_CS - test CSGS2UMS'!I711</f>
        <v>0</v>
      </c>
      <c r="T715" s="207">
        <f>'[3]AEP_OH_CS - test CSGS2UMS'!J711</f>
        <v>0</v>
      </c>
      <c r="U715" s="207">
        <f>'[3]AEP_OH_CS - test CSGS2UMS'!K711</f>
        <v>0</v>
      </c>
      <c r="V715" s="145"/>
    </row>
    <row r="716" spans="1:22" x14ac:dyDescent="0.2">
      <c r="A716" s="89">
        <f t="shared" si="23"/>
        <v>708</v>
      </c>
      <c r="B716" s="43">
        <v>20</v>
      </c>
      <c r="C716" s="43">
        <v>5</v>
      </c>
      <c r="D716" s="38" t="s">
        <v>616</v>
      </c>
      <c r="E716" s="44" t="s">
        <v>134</v>
      </c>
      <c r="F716" s="44" t="s">
        <v>20</v>
      </c>
      <c r="G716" s="44" t="s">
        <v>120</v>
      </c>
      <c r="H716" s="44" t="s">
        <v>63</v>
      </c>
      <c r="I716" s="44" t="s">
        <v>128</v>
      </c>
      <c r="J716" s="44" t="s">
        <v>16</v>
      </c>
      <c r="K716" s="44" t="s">
        <v>135</v>
      </c>
      <c r="L716" s="40">
        <v>1121</v>
      </c>
      <c r="M716" s="41">
        <v>41339</v>
      </c>
      <c r="N716" s="40" t="s">
        <v>122</v>
      </c>
      <c r="O716" s="42"/>
      <c r="P716" s="40"/>
      <c r="Q716" s="207">
        <f>'[3]AEP_OH_CS - test CSGS3UMS'!G711</f>
        <v>0</v>
      </c>
      <c r="R716" s="207">
        <f>'[3]AEP_OH_CS - test CSGS3UMS'!H711</f>
        <v>0</v>
      </c>
      <c r="S716" s="207">
        <f>'[3]AEP_OH_CS - test CSGS3UMS'!I711</f>
        <v>0</v>
      </c>
      <c r="T716" s="207">
        <f>'[3]AEP_OH_CS - test CSGS3UMS'!J711</f>
        <v>0</v>
      </c>
      <c r="U716" s="207">
        <f>'[3]AEP_OH_CS - test CSGS3UMS'!K711</f>
        <v>0</v>
      </c>
      <c r="V716" s="145"/>
    </row>
    <row r="717" spans="1:22" x14ac:dyDescent="0.2">
      <c r="A717" s="89">
        <f t="shared" si="23"/>
        <v>709</v>
      </c>
      <c r="B717" s="43">
        <v>20</v>
      </c>
      <c r="C717" s="43">
        <v>6</v>
      </c>
      <c r="D717" s="38" t="s">
        <v>617</v>
      </c>
      <c r="E717" s="44" t="s">
        <v>137</v>
      </c>
      <c r="F717" s="44" t="s">
        <v>25</v>
      </c>
      <c r="G717" s="44" t="s">
        <v>138</v>
      </c>
      <c r="H717" s="44" t="s">
        <v>139</v>
      </c>
      <c r="I717" s="44" t="s">
        <v>29</v>
      </c>
      <c r="J717" s="44" t="s">
        <v>30</v>
      </c>
      <c r="K717" s="44" t="s">
        <v>140</v>
      </c>
      <c r="L717" s="40">
        <v>1122</v>
      </c>
      <c r="M717" s="41">
        <v>41339</v>
      </c>
      <c r="N717" s="40" t="s">
        <v>122</v>
      </c>
      <c r="O717" s="42"/>
      <c r="P717" s="40"/>
      <c r="Q717" s="207">
        <f>'[3]Ameren RateZnIII LP DS2HHMS'!G711</f>
        <v>0</v>
      </c>
      <c r="R717" s="207">
        <f>'[3]Ameren RateZnIII LP DS2HHMS'!H711</f>
        <v>0</v>
      </c>
      <c r="S717" s="207">
        <f>'[3]Ameren RateZnIII LP DS2HHMS'!I711</f>
        <v>0</v>
      </c>
      <c r="T717" s="207">
        <f>'[3]Ameren RateZnIII LP DS2HHMS'!J711</f>
        <v>0</v>
      </c>
      <c r="U717" s="207">
        <f>'[3]Ameren RateZnIII LP DS2HHMS'!K711</f>
        <v>0</v>
      </c>
      <c r="V717" s="145"/>
    </row>
    <row r="718" spans="1:22" x14ac:dyDescent="0.2">
      <c r="A718" s="89">
        <f t="shared" si="23"/>
        <v>710</v>
      </c>
      <c r="B718" s="43">
        <v>20</v>
      </c>
      <c r="C718" s="43">
        <v>7</v>
      </c>
      <c r="D718" s="38" t="s">
        <v>618</v>
      </c>
      <c r="E718" s="44" t="s">
        <v>142</v>
      </c>
      <c r="F718" s="44" t="s">
        <v>39</v>
      </c>
      <c r="G718" s="44" t="s">
        <v>120</v>
      </c>
      <c r="H718" s="44" t="s">
        <v>40</v>
      </c>
      <c r="I718" s="44" t="s">
        <v>40</v>
      </c>
      <c r="J718" s="44" t="s">
        <v>42</v>
      </c>
      <c r="K718" s="44" t="s">
        <v>135</v>
      </c>
      <c r="L718" s="40">
        <v>1124</v>
      </c>
      <c r="M718" s="41">
        <v>41339</v>
      </c>
      <c r="N718" s="40" t="s">
        <v>122</v>
      </c>
      <c r="O718" s="42"/>
      <c r="P718" s="40"/>
      <c r="Q718" s="207">
        <f>'[3]BGE LP_GLMS'!G711</f>
        <v>0</v>
      </c>
      <c r="R718" s="207">
        <f>'[3]BGE LP_GLMS'!H711</f>
        <v>0</v>
      </c>
      <c r="S718" s="207">
        <f>'[3]BGE LP_GLMS'!I711</f>
        <v>0</v>
      </c>
      <c r="T718" s="207">
        <f>'[3]BGE LP_GLMS'!J711</f>
        <v>0</v>
      </c>
      <c r="U718" s="207">
        <f>'[3]BGE LP_GLMS'!K711</f>
        <v>0</v>
      </c>
      <c r="V718" s="145"/>
    </row>
    <row r="719" spans="1:22" x14ac:dyDescent="0.2">
      <c r="A719" s="89">
        <f t="shared" si="23"/>
        <v>711</v>
      </c>
      <c r="B719" s="43">
        <v>20</v>
      </c>
      <c r="C719" s="43">
        <v>8</v>
      </c>
      <c r="D719" s="38" t="s">
        <v>619</v>
      </c>
      <c r="E719" s="44" t="s">
        <v>144</v>
      </c>
      <c r="F719" s="44" t="s">
        <v>39</v>
      </c>
      <c r="G719" s="44" t="s">
        <v>120</v>
      </c>
      <c r="H719" s="44" t="s">
        <v>40</v>
      </c>
      <c r="I719" s="44" t="s">
        <v>40</v>
      </c>
      <c r="J719" s="44" t="s">
        <v>41</v>
      </c>
      <c r="K719" s="44" t="s">
        <v>132</v>
      </c>
      <c r="L719" s="40">
        <v>1123</v>
      </c>
      <c r="M719" s="41">
        <v>41339</v>
      </c>
      <c r="N719" s="40" t="s">
        <v>122</v>
      </c>
      <c r="O719" s="42"/>
      <c r="P719" s="40"/>
      <c r="Q719" s="207">
        <f>'[3]BGE LP_GMS'!G711</f>
        <v>0</v>
      </c>
      <c r="R719" s="207">
        <f>'[3]BGE LP_GMS'!H711</f>
        <v>0</v>
      </c>
      <c r="S719" s="207">
        <f>'[3]BGE LP_GMS'!I711</f>
        <v>0</v>
      </c>
      <c r="T719" s="207">
        <f>'[3]BGE LP_GMS'!J711</f>
        <v>0</v>
      </c>
      <c r="U719" s="207">
        <f>'[3]BGE LP_GMS'!K711</f>
        <v>0</v>
      </c>
      <c r="V719" s="145"/>
    </row>
    <row r="720" spans="1:22" x14ac:dyDescent="0.2">
      <c r="A720" s="89">
        <f t="shared" si="23"/>
        <v>712</v>
      </c>
      <c r="B720" s="43">
        <v>20</v>
      </c>
      <c r="C720" s="43">
        <v>9</v>
      </c>
      <c r="D720" s="38" t="s">
        <v>620</v>
      </c>
      <c r="E720" s="44" t="s">
        <v>146</v>
      </c>
      <c r="F720" s="44" t="s">
        <v>39</v>
      </c>
      <c r="G720" s="44" t="s">
        <v>120</v>
      </c>
      <c r="H720" s="44" t="s">
        <v>40</v>
      </c>
      <c r="I720" s="44" t="s">
        <v>40</v>
      </c>
      <c r="J720" s="44" t="s">
        <v>7</v>
      </c>
      <c r="K720" s="44" t="s">
        <v>129</v>
      </c>
      <c r="L720" s="40">
        <v>1125</v>
      </c>
      <c r="M720" s="41">
        <v>41339</v>
      </c>
      <c r="N720" s="40" t="s">
        <v>122</v>
      </c>
      <c r="O720" s="42"/>
      <c r="P720" s="40"/>
      <c r="Q720" s="207">
        <f>'[3]BGE LP_GSMS'!G711</f>
        <v>0</v>
      </c>
      <c r="R720" s="207">
        <f>'[3]BGE LP_GSMS'!H711</f>
        <v>0</v>
      </c>
      <c r="S720" s="207">
        <f>'[3]BGE LP_GSMS'!I711</f>
        <v>0</v>
      </c>
      <c r="T720" s="207">
        <f>'[3]BGE LP_GSMS'!J711</f>
        <v>0</v>
      </c>
      <c r="U720" s="207">
        <f>'[3]BGE LP_GSMS'!K711</f>
        <v>0</v>
      </c>
      <c r="V720" s="145"/>
    </row>
    <row r="721" spans="1:22" x14ac:dyDescent="0.2">
      <c r="A721" s="89">
        <f t="shared" si="23"/>
        <v>713</v>
      </c>
      <c r="B721" s="43">
        <v>20</v>
      </c>
      <c r="C721" s="43">
        <v>10</v>
      </c>
      <c r="D721" s="38" t="s">
        <v>621</v>
      </c>
      <c r="E721" s="44" t="s">
        <v>148</v>
      </c>
      <c r="F721" s="44" t="s">
        <v>25</v>
      </c>
      <c r="G721" s="44" t="s">
        <v>120</v>
      </c>
      <c r="H721" s="44" t="s">
        <v>149</v>
      </c>
      <c r="I721" s="44" t="s">
        <v>26</v>
      </c>
      <c r="J721" s="44" t="s">
        <v>27</v>
      </c>
      <c r="K721" s="44" t="s">
        <v>150</v>
      </c>
      <c r="L721" s="40">
        <v>1126</v>
      </c>
      <c r="M721" s="41">
        <v>41339</v>
      </c>
      <c r="N721" s="40" t="s">
        <v>122</v>
      </c>
      <c r="O721" s="42"/>
      <c r="P721" s="40"/>
      <c r="Q721" s="207">
        <f>'[3]ComEd - test LP_28MS'!G711</f>
        <v>0</v>
      </c>
      <c r="R721" s="207">
        <f>'[3]ComEd - test LP_28MS'!H711</f>
        <v>0</v>
      </c>
      <c r="S721" s="207">
        <f>'[3]ComEd - test LP_28MS'!I711</f>
        <v>0</v>
      </c>
      <c r="T721" s="207">
        <f>'[3]ComEd - test LP_28MS'!J711</f>
        <v>0</v>
      </c>
      <c r="U721" s="207">
        <f>'[3]ComEd - test LP_28MS'!K711</f>
        <v>0</v>
      </c>
      <c r="V721" s="145"/>
    </row>
    <row r="722" spans="1:22" x14ac:dyDescent="0.2">
      <c r="A722" s="89">
        <f t="shared" si="23"/>
        <v>714</v>
      </c>
      <c r="B722" s="43">
        <v>20</v>
      </c>
      <c r="C722" s="43">
        <v>11</v>
      </c>
      <c r="D722" s="38" t="s">
        <v>622</v>
      </c>
      <c r="E722" s="44" t="s">
        <v>152</v>
      </c>
      <c r="F722" s="44" t="s">
        <v>25</v>
      </c>
      <c r="G722" s="44" t="s">
        <v>120</v>
      </c>
      <c r="H722" s="44" t="s">
        <v>149</v>
      </c>
      <c r="I722" s="44" t="s">
        <v>26</v>
      </c>
      <c r="J722" s="44" t="s">
        <v>28</v>
      </c>
      <c r="K722" s="44" t="s">
        <v>153</v>
      </c>
      <c r="L722" s="40">
        <v>1127</v>
      </c>
      <c r="M722" s="41">
        <v>41339</v>
      </c>
      <c r="N722" s="40" t="s">
        <v>122</v>
      </c>
      <c r="O722" s="42"/>
      <c r="P722" s="40"/>
      <c r="Q722" s="207">
        <f>'[3]ComEd - test LP_29MS'!G711</f>
        <v>0</v>
      </c>
      <c r="R722" s="207">
        <f>'[3]ComEd - test LP_29MS'!H711</f>
        <v>0</v>
      </c>
      <c r="S722" s="207">
        <f>'[3]ComEd - test LP_29MS'!I711</f>
        <v>0</v>
      </c>
      <c r="T722" s="207">
        <f>'[3]ComEd - test LP_29MS'!J711</f>
        <v>0</v>
      </c>
      <c r="U722" s="207">
        <f>'[3]ComEd - test LP_29MS'!K711</f>
        <v>0</v>
      </c>
      <c r="V722" s="145"/>
    </row>
    <row r="723" spans="1:22" x14ac:dyDescent="0.2">
      <c r="A723" s="89">
        <f t="shared" si="23"/>
        <v>715</v>
      </c>
      <c r="B723" s="43">
        <v>20</v>
      </c>
      <c r="C723" s="43">
        <v>12</v>
      </c>
      <c r="D723" s="38" t="s">
        <v>623</v>
      </c>
      <c r="E723" s="44" t="s">
        <v>155</v>
      </c>
      <c r="F723" s="44" t="s">
        <v>20</v>
      </c>
      <c r="G723" s="44" t="s">
        <v>120</v>
      </c>
      <c r="H723" s="44" t="s">
        <v>105</v>
      </c>
      <c r="I723" s="44" t="s">
        <v>156</v>
      </c>
      <c r="J723" s="44" t="s">
        <v>22</v>
      </c>
      <c r="K723" s="44" t="s">
        <v>157</v>
      </c>
      <c r="L723" s="40">
        <v>1128</v>
      </c>
      <c r="M723" s="41">
        <v>41339</v>
      </c>
      <c r="N723" s="40" t="s">
        <v>122</v>
      </c>
      <c r="O723" s="42"/>
      <c r="P723" s="40"/>
      <c r="Q723" s="207">
        <f>[3]DAY_RC_843MS!G711</f>
        <v>0</v>
      </c>
      <c r="R723" s="207">
        <f>[3]DAY_RC_843MS!H711</f>
        <v>0</v>
      </c>
      <c r="S723" s="207">
        <f>[3]DAY_RC_843MS!I711</f>
        <v>0</v>
      </c>
      <c r="T723" s="207">
        <f>[3]DAY_RC_843MS!J711</f>
        <v>0</v>
      </c>
      <c r="U723" s="207">
        <f>[3]DAY_RC_843MS!K711</f>
        <v>0</v>
      </c>
      <c r="V723" s="145"/>
    </row>
    <row r="724" spans="1:22" x14ac:dyDescent="0.2">
      <c r="A724" s="89">
        <f t="shared" si="23"/>
        <v>716</v>
      </c>
      <c r="B724" s="43">
        <v>20</v>
      </c>
      <c r="C724" s="43">
        <v>13</v>
      </c>
      <c r="D724" s="38" t="s">
        <v>624</v>
      </c>
      <c r="E724" s="44" t="s">
        <v>159</v>
      </c>
      <c r="F724" s="44" t="s">
        <v>39</v>
      </c>
      <c r="G724" s="44" t="s">
        <v>120</v>
      </c>
      <c r="H724" s="44" t="s">
        <v>43</v>
      </c>
      <c r="I724" s="44" t="s">
        <v>43</v>
      </c>
      <c r="J724" s="44" t="s">
        <v>7</v>
      </c>
      <c r="K724" s="44" t="s">
        <v>140</v>
      </c>
      <c r="L724" s="40">
        <v>1129</v>
      </c>
      <c r="M724" s="41">
        <v>41339</v>
      </c>
      <c r="N724" s="40" t="s">
        <v>122</v>
      </c>
      <c r="O724" s="42"/>
      <c r="P724" s="40"/>
      <c r="Q724" s="207">
        <f>'[3]Delmarva MD LP_MDGS_MMS'!G711</f>
        <v>0</v>
      </c>
      <c r="R724" s="207">
        <f>'[3]Delmarva MD LP_MDGS_MMS'!H711</f>
        <v>0</v>
      </c>
      <c r="S724" s="207">
        <f>'[3]Delmarva MD LP_MDGS_MMS'!I711</f>
        <v>0</v>
      </c>
      <c r="T724" s="207">
        <f>'[3]Delmarva MD LP_MDGS_MMS'!J711</f>
        <v>0</v>
      </c>
      <c r="U724" s="207">
        <f>'[3]Delmarva MD LP_MDGS_MMS'!K711</f>
        <v>0</v>
      </c>
      <c r="V724" s="145"/>
    </row>
    <row r="725" spans="1:22" x14ac:dyDescent="0.2">
      <c r="A725" s="89">
        <f t="shared" si="23"/>
        <v>717</v>
      </c>
      <c r="B725" s="43">
        <v>20</v>
      </c>
      <c r="C725" s="43">
        <v>14</v>
      </c>
      <c r="D725" s="38" t="s">
        <v>625</v>
      </c>
      <c r="E725" s="44" t="s">
        <v>161</v>
      </c>
      <c r="F725" s="44" t="s">
        <v>6</v>
      </c>
      <c r="G725" s="44" t="s">
        <v>120</v>
      </c>
      <c r="H725" s="44" t="s">
        <v>48</v>
      </c>
      <c r="I725" s="44" t="s">
        <v>48</v>
      </c>
      <c r="J725" s="44" t="s">
        <v>7</v>
      </c>
      <c r="K725" s="44" t="s">
        <v>140</v>
      </c>
      <c r="L725" s="40">
        <v>1130</v>
      </c>
      <c r="M725" s="41">
        <v>41339</v>
      </c>
      <c r="N725" s="40" t="s">
        <v>122</v>
      </c>
      <c r="O725" s="42"/>
      <c r="P725" s="40"/>
      <c r="Q725" s="207">
        <f>'[3]DQE LP_GSGM_MMS'!G711</f>
        <v>0</v>
      </c>
      <c r="R725" s="207">
        <f>'[3]DQE LP_GSGM_MMS'!H711</f>
        <v>0</v>
      </c>
      <c r="S725" s="207">
        <f>'[3]DQE LP_GSGM_MMS'!I711</f>
        <v>0</v>
      </c>
      <c r="T725" s="207">
        <f>'[3]DQE LP_GSGM_MMS'!J711</f>
        <v>0</v>
      </c>
      <c r="U725" s="207">
        <f>'[3]DQE LP_GSGM_MMS'!K711</f>
        <v>0</v>
      </c>
      <c r="V725" s="145"/>
    </row>
    <row r="726" spans="1:22" x14ac:dyDescent="0.2">
      <c r="A726" s="89">
        <f t="shared" si="23"/>
        <v>718</v>
      </c>
      <c r="B726" s="43">
        <v>20</v>
      </c>
      <c r="C726" s="43">
        <v>15</v>
      </c>
      <c r="D726" s="38" t="s">
        <v>626</v>
      </c>
      <c r="E726" s="44" t="s">
        <v>163</v>
      </c>
      <c r="F726" s="44" t="s">
        <v>20</v>
      </c>
      <c r="G726" s="44" t="s">
        <v>120</v>
      </c>
      <c r="H726" s="44" t="s">
        <v>23</v>
      </c>
      <c r="I726" s="44" t="s">
        <v>164</v>
      </c>
      <c r="J726" s="44" t="s">
        <v>24</v>
      </c>
      <c r="K726" s="44" t="s">
        <v>140</v>
      </c>
      <c r="L726" s="40">
        <v>1131</v>
      </c>
      <c r="M726" s="41">
        <v>41339</v>
      </c>
      <c r="N726" s="40" t="s">
        <v>122</v>
      </c>
      <c r="O726" s="42"/>
      <c r="P726" s="40"/>
      <c r="Q726" s="207">
        <f>[3]Duke_OH_RC_DS01MS!G711</f>
        <v>0</v>
      </c>
      <c r="R726" s="207">
        <f>[3]Duke_OH_RC_DS01MS!H711</f>
        <v>0</v>
      </c>
      <c r="S726" s="207">
        <f>[3]Duke_OH_RC_DS01MS!I711</f>
        <v>0</v>
      </c>
      <c r="T726" s="207">
        <f>[3]Duke_OH_RC_DS01MS!J711</f>
        <v>0</v>
      </c>
      <c r="U726" s="207">
        <f>[3]Duke_OH_RC_DS01MS!K711</f>
        <v>0</v>
      </c>
      <c r="V726" s="145"/>
    </row>
    <row r="727" spans="1:22" x14ac:dyDescent="0.2">
      <c r="A727" s="89">
        <f t="shared" si="23"/>
        <v>719</v>
      </c>
      <c r="B727" s="43">
        <v>20</v>
      </c>
      <c r="C727" s="43">
        <v>16</v>
      </c>
      <c r="D727" s="38" t="s">
        <v>627</v>
      </c>
      <c r="E727" s="44" t="s">
        <v>166</v>
      </c>
      <c r="F727" s="44" t="s">
        <v>20</v>
      </c>
      <c r="G727" s="44" t="s">
        <v>120</v>
      </c>
      <c r="H727" s="44" t="s">
        <v>64</v>
      </c>
      <c r="I727" s="44" t="s">
        <v>167</v>
      </c>
      <c r="J727" s="44" t="s">
        <v>7</v>
      </c>
      <c r="K727" s="44" t="s">
        <v>140</v>
      </c>
      <c r="L727" s="40">
        <v>1132</v>
      </c>
      <c r="M727" s="41">
        <v>41339</v>
      </c>
      <c r="N727" s="40" t="s">
        <v>122</v>
      </c>
      <c r="O727" s="42"/>
      <c r="P727" s="40"/>
      <c r="Q727" s="207">
        <f>'[3]FE_OE - test RC_GSFMS'!G711</f>
        <v>0</v>
      </c>
      <c r="R727" s="207">
        <f>'[3]FE_OE - test RC_GSFMS'!H711</f>
        <v>0</v>
      </c>
      <c r="S727" s="207">
        <f>'[3]FE_OE - test RC_GSFMS'!I711</f>
        <v>0</v>
      </c>
      <c r="T727" s="207">
        <f>'[3]FE_OE - test RC_GSFMS'!J711</f>
        <v>0</v>
      </c>
      <c r="U727" s="207">
        <f>'[3]FE_OE - test RC_GSFMS'!K711</f>
        <v>0</v>
      </c>
      <c r="V727" s="145"/>
    </row>
    <row r="728" spans="1:22" x14ac:dyDescent="0.2">
      <c r="A728" s="89">
        <f t="shared" si="23"/>
        <v>720</v>
      </c>
      <c r="B728" s="43">
        <v>20</v>
      </c>
      <c r="C728" s="43">
        <v>17</v>
      </c>
      <c r="D728" s="38" t="s">
        <v>628</v>
      </c>
      <c r="E728" s="44" t="s">
        <v>169</v>
      </c>
      <c r="F728" s="44" t="s">
        <v>31</v>
      </c>
      <c r="G728" s="44" t="s">
        <v>120</v>
      </c>
      <c r="H728" s="44" t="s">
        <v>35</v>
      </c>
      <c r="I728" s="44" t="s">
        <v>35</v>
      </c>
      <c r="J728" s="44" t="s">
        <v>9</v>
      </c>
      <c r="K728" s="44" t="s">
        <v>135</v>
      </c>
      <c r="L728" s="40">
        <v>1133</v>
      </c>
      <c r="M728" s="41">
        <v>41339</v>
      </c>
      <c r="N728" s="40" t="s">
        <v>122</v>
      </c>
      <c r="O728" s="42"/>
      <c r="P728" s="40"/>
      <c r="Q728" s="207">
        <f>'[3]JCPL LP_GSCLMS'!G711</f>
        <v>0</v>
      </c>
      <c r="R728" s="207">
        <f>'[3]JCPL LP_GSCLMS'!H711</f>
        <v>0</v>
      </c>
      <c r="S728" s="207">
        <f>'[3]JCPL LP_GSCLMS'!I711</f>
        <v>0</v>
      </c>
      <c r="T728" s="207">
        <f>'[3]JCPL LP_GSCLMS'!J711</f>
        <v>0</v>
      </c>
      <c r="U728" s="207">
        <f>'[3]JCPL LP_GSCLMS'!K711</f>
        <v>0</v>
      </c>
      <c r="V728" s="145"/>
    </row>
    <row r="729" spans="1:22" x14ac:dyDescent="0.2">
      <c r="A729" s="89">
        <f t="shared" si="23"/>
        <v>721</v>
      </c>
      <c r="B729" s="43">
        <v>20</v>
      </c>
      <c r="C729" s="43">
        <v>18</v>
      </c>
      <c r="D729" s="38" t="s">
        <v>629</v>
      </c>
      <c r="E729" s="44" t="s">
        <v>171</v>
      </c>
      <c r="F729" s="44" t="s">
        <v>31</v>
      </c>
      <c r="G729" s="44" t="s">
        <v>120</v>
      </c>
      <c r="H729" s="44" t="s">
        <v>35</v>
      </c>
      <c r="I729" s="44" t="s">
        <v>35</v>
      </c>
      <c r="J729" s="44" t="s">
        <v>10</v>
      </c>
      <c r="K729" s="44" t="s">
        <v>132</v>
      </c>
      <c r="L729" s="40">
        <v>1134</v>
      </c>
      <c r="M729" s="41">
        <v>41339</v>
      </c>
      <c r="N729" s="40" t="s">
        <v>122</v>
      </c>
      <c r="O729" s="42"/>
      <c r="P729" s="40"/>
      <c r="Q729" s="207">
        <f>'[3]JCPL LP_GSCMMS'!G711</f>
        <v>0</v>
      </c>
      <c r="R729" s="207">
        <f>'[3]JCPL LP_GSCMMS'!H711</f>
        <v>0</v>
      </c>
      <c r="S729" s="207">
        <f>'[3]JCPL LP_GSCMMS'!I711</f>
        <v>0</v>
      </c>
      <c r="T729" s="207">
        <f>'[3]JCPL LP_GSCMMS'!J711</f>
        <v>0</v>
      </c>
      <c r="U729" s="207">
        <f>'[3]JCPL LP_GSCMMS'!K711</f>
        <v>0</v>
      </c>
      <c r="V729" s="145"/>
    </row>
    <row r="730" spans="1:22" x14ac:dyDescent="0.2">
      <c r="A730" s="89">
        <f t="shared" si="23"/>
        <v>722</v>
      </c>
      <c r="B730" s="43">
        <v>20</v>
      </c>
      <c r="C730" s="43">
        <v>19</v>
      </c>
      <c r="D730" s="38" t="s">
        <v>630</v>
      </c>
      <c r="E730" s="44" t="s">
        <v>173</v>
      </c>
      <c r="F730" s="44" t="s">
        <v>31</v>
      </c>
      <c r="G730" s="44" t="s">
        <v>120</v>
      </c>
      <c r="H730" s="44" t="s">
        <v>35</v>
      </c>
      <c r="I730" s="44" t="s">
        <v>35</v>
      </c>
      <c r="J730" s="44" t="s">
        <v>11</v>
      </c>
      <c r="K730" s="44" t="s">
        <v>129</v>
      </c>
      <c r="L730" s="40">
        <v>1135</v>
      </c>
      <c r="M730" s="41">
        <v>41339</v>
      </c>
      <c r="N730" s="40" t="s">
        <v>122</v>
      </c>
      <c r="O730" s="42"/>
      <c r="P730" s="40"/>
      <c r="Q730" s="207">
        <f>'[3]JCPL LP_GSCSMS'!G711</f>
        <v>0</v>
      </c>
      <c r="R730" s="207">
        <f>'[3]JCPL LP_GSCSMS'!H711</f>
        <v>0</v>
      </c>
      <c r="S730" s="207">
        <f>'[3]JCPL LP_GSCSMS'!I711</f>
        <v>0</v>
      </c>
      <c r="T730" s="207">
        <f>'[3]JCPL LP_GSCSMS'!J711</f>
        <v>0</v>
      </c>
      <c r="U730" s="207">
        <f>'[3]JCPL LP_GSCSMS'!K711</f>
        <v>0</v>
      </c>
      <c r="V730" s="145"/>
    </row>
    <row r="731" spans="1:22" x14ac:dyDescent="0.2">
      <c r="A731" s="89">
        <f t="shared" si="23"/>
        <v>723</v>
      </c>
      <c r="B731" s="43">
        <v>20</v>
      </c>
      <c r="C731" s="43">
        <v>20</v>
      </c>
      <c r="D731" s="38" t="s">
        <v>631</v>
      </c>
      <c r="E731" s="44" t="s">
        <v>175</v>
      </c>
      <c r="F731" s="44" t="s">
        <v>6</v>
      </c>
      <c r="G731" s="44" t="s">
        <v>120</v>
      </c>
      <c r="H731" s="44" t="s">
        <v>176</v>
      </c>
      <c r="I731" s="44" t="s">
        <v>177</v>
      </c>
      <c r="J731" s="44" t="s">
        <v>9</v>
      </c>
      <c r="K731" s="44" t="s">
        <v>135</v>
      </c>
      <c r="L731" s="40">
        <v>1137</v>
      </c>
      <c r="M731" s="41">
        <v>41339</v>
      </c>
      <c r="N731" s="40" t="s">
        <v>122</v>
      </c>
      <c r="O731" s="42"/>
      <c r="P731" s="40"/>
      <c r="Q731" s="207">
        <f>'[3]MetEd RC_GSLFMS'!G711</f>
        <v>0</v>
      </c>
      <c r="R731" s="207">
        <f>'[3]MetEd RC_GSLFMS'!H711</f>
        <v>0</v>
      </c>
      <c r="S731" s="207">
        <f>'[3]MetEd RC_GSLFMS'!I711</f>
        <v>0</v>
      </c>
      <c r="T731" s="207">
        <f>'[3]MetEd RC_GSLFMS'!J711</f>
        <v>0</v>
      </c>
      <c r="U731" s="207">
        <f>'[3]MetEd RC_GSLFMS'!K711</f>
        <v>0</v>
      </c>
      <c r="V731" s="145"/>
    </row>
    <row r="732" spans="1:22" x14ac:dyDescent="0.2">
      <c r="A732" s="89">
        <f t="shared" si="23"/>
        <v>724</v>
      </c>
      <c r="B732" s="43">
        <v>20</v>
      </c>
      <c r="C732" s="43">
        <v>21</v>
      </c>
      <c r="D732" s="38" t="s">
        <v>632</v>
      </c>
      <c r="E732" s="44" t="s">
        <v>179</v>
      </c>
      <c r="F732" s="44" t="s">
        <v>6</v>
      </c>
      <c r="G732" s="44" t="s">
        <v>120</v>
      </c>
      <c r="H732" s="44" t="s">
        <v>176</v>
      </c>
      <c r="I732" s="44" t="s">
        <v>177</v>
      </c>
      <c r="J732" s="44" t="s">
        <v>10</v>
      </c>
      <c r="K732" s="44" t="s">
        <v>132</v>
      </c>
      <c r="L732" s="40">
        <v>1136</v>
      </c>
      <c r="M732" s="41">
        <v>41339</v>
      </c>
      <c r="N732" s="40" t="s">
        <v>122</v>
      </c>
      <c r="O732" s="42"/>
      <c r="P732" s="40"/>
      <c r="Q732" s="207">
        <f>'[3]MetEd RC_GSDFMS'!G711</f>
        <v>0</v>
      </c>
      <c r="R732" s="207">
        <f>'[3]MetEd RC_GSDFMS'!H711</f>
        <v>0</v>
      </c>
      <c r="S732" s="207">
        <f>'[3]MetEd RC_GSDFMS'!I711</f>
        <v>0</v>
      </c>
      <c r="T732" s="207">
        <f>'[3]MetEd RC_GSDFMS'!J711</f>
        <v>0</v>
      </c>
      <c r="U732" s="207">
        <f>'[3]MetEd RC_GSDFMS'!K711</f>
        <v>0</v>
      </c>
      <c r="V732" s="145"/>
    </row>
    <row r="733" spans="1:22" x14ac:dyDescent="0.2">
      <c r="A733" s="89">
        <f t="shared" si="23"/>
        <v>725</v>
      </c>
      <c r="B733" s="43">
        <v>20</v>
      </c>
      <c r="C733" s="43">
        <v>22</v>
      </c>
      <c r="D733" s="38" t="s">
        <v>633</v>
      </c>
      <c r="E733" s="44" t="s">
        <v>181</v>
      </c>
      <c r="F733" s="44" t="s">
        <v>6</v>
      </c>
      <c r="G733" s="44" t="s">
        <v>120</v>
      </c>
      <c r="H733" s="44" t="s">
        <v>176</v>
      </c>
      <c r="I733" s="44" t="s">
        <v>177</v>
      </c>
      <c r="J733" s="44" t="s">
        <v>11</v>
      </c>
      <c r="K733" s="44" t="s">
        <v>129</v>
      </c>
      <c r="L733" s="40">
        <v>1138</v>
      </c>
      <c r="M733" s="41">
        <v>41339</v>
      </c>
      <c r="N733" s="40" t="s">
        <v>122</v>
      </c>
      <c r="O733" s="42"/>
      <c r="P733" s="40"/>
      <c r="Q733" s="207">
        <f>'[3]MetEd RC_GSSFMS'!G711</f>
        <v>0</v>
      </c>
      <c r="R733" s="207">
        <f>'[3]MetEd RC_GSSFMS'!H711</f>
        <v>0</v>
      </c>
      <c r="S733" s="207">
        <f>'[3]MetEd RC_GSSFMS'!I711</f>
        <v>0</v>
      </c>
      <c r="T733" s="207">
        <f>'[3]MetEd RC_GSSFMS'!J711</f>
        <v>0</v>
      </c>
      <c r="U733" s="207">
        <f>'[3]MetEd RC_GSSFMS'!K711</f>
        <v>0</v>
      </c>
      <c r="V733" s="145"/>
    </row>
    <row r="734" spans="1:22" x14ac:dyDescent="0.2">
      <c r="A734" s="89">
        <f t="shared" si="23"/>
        <v>726</v>
      </c>
      <c r="B734" s="43">
        <v>20</v>
      </c>
      <c r="C734" s="43">
        <v>23</v>
      </c>
      <c r="D734" s="38" t="s">
        <v>634</v>
      </c>
      <c r="E734" s="44" t="s">
        <v>183</v>
      </c>
      <c r="F734" s="44" t="s">
        <v>6</v>
      </c>
      <c r="G734" s="44" t="s">
        <v>120</v>
      </c>
      <c r="H734" s="44" t="s">
        <v>13</v>
      </c>
      <c r="I734" s="44" t="s">
        <v>13</v>
      </c>
      <c r="J734" s="44" t="s">
        <v>7</v>
      </c>
      <c r="K734" s="44" t="s">
        <v>140</v>
      </c>
      <c r="L734" s="40">
        <v>1139</v>
      </c>
      <c r="M734" s="41">
        <v>41339</v>
      </c>
      <c r="N734" s="40" t="s">
        <v>122</v>
      </c>
      <c r="O734" s="42"/>
      <c r="P734" s="40"/>
      <c r="Q734" s="207">
        <f>'[3]PECO LP_GSMS'!G711</f>
        <v>0</v>
      </c>
      <c r="R734" s="207">
        <f>'[3]PECO LP_GSMS'!H711</f>
        <v>0</v>
      </c>
      <c r="S734" s="207">
        <f>'[3]PECO LP_GSMS'!I711</f>
        <v>0</v>
      </c>
      <c r="T734" s="207">
        <f>'[3]PECO LP_GSMS'!J711</f>
        <v>0</v>
      </c>
      <c r="U734" s="207">
        <f>'[3]PECO LP_GSMS'!K711</f>
        <v>0</v>
      </c>
      <c r="V734" s="145"/>
    </row>
    <row r="735" spans="1:22" x14ac:dyDescent="0.2">
      <c r="A735" s="89">
        <f t="shared" si="23"/>
        <v>727</v>
      </c>
      <c r="B735" s="43">
        <v>20</v>
      </c>
      <c r="C735" s="43">
        <v>24</v>
      </c>
      <c r="D735" s="38" t="s">
        <v>635</v>
      </c>
      <c r="E735" s="44" t="s">
        <v>185</v>
      </c>
      <c r="F735" s="44" t="s">
        <v>6</v>
      </c>
      <c r="G735" s="44" t="s">
        <v>120</v>
      </c>
      <c r="H735" s="44" t="s">
        <v>12</v>
      </c>
      <c r="I735" s="44" t="s">
        <v>186</v>
      </c>
      <c r="J735" s="44" t="s">
        <v>9</v>
      </c>
      <c r="K735" s="44" t="s">
        <v>135</v>
      </c>
      <c r="L735" s="40">
        <v>1140</v>
      </c>
      <c r="M735" s="41">
        <v>41339</v>
      </c>
      <c r="N735" s="40" t="s">
        <v>122</v>
      </c>
      <c r="O735" s="42"/>
      <c r="P735" s="40"/>
      <c r="Q735" s="207">
        <f>'[3]Penelec RC_GSLFMS'!G711</f>
        <v>0</v>
      </c>
      <c r="R735" s="207">
        <f>'[3]Penelec RC_GSLFMS'!H711</f>
        <v>0</v>
      </c>
      <c r="S735" s="207">
        <f>'[3]Penelec RC_GSLFMS'!I711</f>
        <v>0</v>
      </c>
      <c r="T735" s="207">
        <f>'[3]Penelec RC_GSLFMS'!J711</f>
        <v>0</v>
      </c>
      <c r="U735" s="207">
        <f>'[3]Penelec RC_GSLFMS'!K711</f>
        <v>0</v>
      </c>
      <c r="V735" s="145"/>
    </row>
    <row r="736" spans="1:22" x14ac:dyDescent="0.2">
      <c r="A736" s="89">
        <f t="shared" si="23"/>
        <v>728</v>
      </c>
      <c r="B736" s="43">
        <v>20</v>
      </c>
      <c r="C736" s="43">
        <v>25</v>
      </c>
      <c r="D736" s="38" t="s">
        <v>636</v>
      </c>
      <c r="E736" s="44" t="s">
        <v>188</v>
      </c>
      <c r="F736" s="44" t="s">
        <v>6</v>
      </c>
      <c r="G736" s="44" t="s">
        <v>120</v>
      </c>
      <c r="H736" s="44" t="s">
        <v>12</v>
      </c>
      <c r="I736" s="44" t="s">
        <v>186</v>
      </c>
      <c r="J736" s="44" t="s">
        <v>10</v>
      </c>
      <c r="K736" s="44" t="s">
        <v>132</v>
      </c>
      <c r="L736" s="40">
        <v>1141</v>
      </c>
      <c r="M736" s="41">
        <v>41339</v>
      </c>
      <c r="N736" s="40" t="s">
        <v>122</v>
      </c>
      <c r="O736" s="42"/>
      <c r="P736" s="40"/>
      <c r="Q736" s="207">
        <f>'[3]Penelec RC_GSMFMS'!G711</f>
        <v>0</v>
      </c>
      <c r="R736" s="207">
        <f>'[3]Penelec RC_GSMFMS'!H711</f>
        <v>0</v>
      </c>
      <c r="S736" s="207">
        <f>'[3]Penelec RC_GSMFMS'!I711</f>
        <v>0</v>
      </c>
      <c r="T736" s="207">
        <f>'[3]Penelec RC_GSMFMS'!J711</f>
        <v>0</v>
      </c>
      <c r="U736" s="207">
        <f>'[3]Penelec RC_GSMFMS'!K711</f>
        <v>0</v>
      </c>
      <c r="V736" s="145"/>
    </row>
    <row r="737" spans="1:22" x14ac:dyDescent="0.2">
      <c r="A737" s="89">
        <f t="shared" si="23"/>
        <v>729</v>
      </c>
      <c r="B737" s="43">
        <v>20</v>
      </c>
      <c r="C737" s="43">
        <v>26</v>
      </c>
      <c r="D737" s="38" t="s">
        <v>637</v>
      </c>
      <c r="E737" s="44" t="s">
        <v>190</v>
      </c>
      <c r="F737" s="44" t="s">
        <v>6</v>
      </c>
      <c r="G737" s="44" t="s">
        <v>120</v>
      </c>
      <c r="H737" s="44" t="s">
        <v>12</v>
      </c>
      <c r="I737" s="44" t="s">
        <v>186</v>
      </c>
      <c r="J737" s="44" t="s">
        <v>11</v>
      </c>
      <c r="K737" s="44" t="s">
        <v>129</v>
      </c>
      <c r="L737" s="40">
        <v>1142</v>
      </c>
      <c r="M737" s="41">
        <v>41339</v>
      </c>
      <c r="N737" s="40" t="s">
        <v>122</v>
      </c>
      <c r="O737" s="42"/>
      <c r="P737" s="40"/>
      <c r="Q737" s="207">
        <f>'[3]Penelec RC_GSSFMS'!G711</f>
        <v>0</v>
      </c>
      <c r="R737" s="207">
        <f>'[3]Penelec RC_GSSFMS'!H711</f>
        <v>0</v>
      </c>
      <c r="S737" s="207">
        <f>'[3]Penelec RC_GSSFMS'!I711</f>
        <v>0</v>
      </c>
      <c r="T737" s="207">
        <f>'[3]Penelec RC_GSSFMS'!J711</f>
        <v>0</v>
      </c>
      <c r="U737" s="207">
        <f>'[3]Penelec RC_GSSFMS'!K711</f>
        <v>0</v>
      </c>
      <c r="V737" s="145"/>
    </row>
    <row r="738" spans="1:22" x14ac:dyDescent="0.2">
      <c r="A738" s="89">
        <f t="shared" si="23"/>
        <v>730</v>
      </c>
      <c r="B738" s="43">
        <v>20</v>
      </c>
      <c r="C738" s="43">
        <v>27</v>
      </c>
      <c r="D738" s="38" t="s">
        <v>638</v>
      </c>
      <c r="E738" s="44" t="s">
        <v>192</v>
      </c>
      <c r="F738" s="44" t="s">
        <v>6</v>
      </c>
      <c r="G738" s="44" t="s">
        <v>120</v>
      </c>
      <c r="H738" s="44" t="s">
        <v>100</v>
      </c>
      <c r="I738" s="44" t="s">
        <v>193</v>
      </c>
      <c r="J738" s="44" t="s">
        <v>7</v>
      </c>
      <c r="K738" s="44" t="s">
        <v>140</v>
      </c>
      <c r="L738" s="40">
        <v>1143</v>
      </c>
      <c r="M738" s="41">
        <v>41339</v>
      </c>
      <c r="N738" s="40" t="s">
        <v>122</v>
      </c>
      <c r="O738" s="42"/>
      <c r="P738" s="40"/>
      <c r="Q738" s="207">
        <f>'[3]Penn Power RC_GMDMS'!G711</f>
        <v>0</v>
      </c>
      <c r="R738" s="207">
        <f>'[3]Penn Power RC_GMDMS'!H711</f>
        <v>0</v>
      </c>
      <c r="S738" s="207">
        <f>'[3]Penn Power RC_GMDMS'!I711</f>
        <v>0</v>
      </c>
      <c r="T738" s="207">
        <f>'[3]Penn Power RC_GMDMS'!J711</f>
        <v>0</v>
      </c>
      <c r="U738" s="207">
        <f>'[3]Penn Power RC_GMDMS'!K711</f>
        <v>0</v>
      </c>
      <c r="V738" s="145"/>
    </row>
    <row r="739" spans="1:22" x14ac:dyDescent="0.2">
      <c r="A739" s="89">
        <f t="shared" si="23"/>
        <v>731</v>
      </c>
      <c r="B739" s="43">
        <v>20</v>
      </c>
      <c r="C739" s="43">
        <v>28</v>
      </c>
      <c r="D739" s="38" t="s">
        <v>639</v>
      </c>
      <c r="E739" s="44" t="s">
        <v>195</v>
      </c>
      <c r="F739" s="44" t="s">
        <v>39</v>
      </c>
      <c r="G739" s="44" t="s">
        <v>120</v>
      </c>
      <c r="H739" s="44" t="s">
        <v>44</v>
      </c>
      <c r="I739" s="44" t="s">
        <v>44</v>
      </c>
      <c r="J739" s="44" t="s">
        <v>7</v>
      </c>
      <c r="K739" s="44" t="s">
        <v>140</v>
      </c>
      <c r="L739" s="40">
        <v>1144</v>
      </c>
      <c r="M739" s="41">
        <v>41339</v>
      </c>
      <c r="N739" s="40" t="s">
        <v>122</v>
      </c>
      <c r="O739" s="42"/>
      <c r="P739" s="40"/>
      <c r="Q739" s="207">
        <f>'[3]PEPCO MD LP_MDNDMS'!G711</f>
        <v>0</v>
      </c>
      <c r="R739" s="207">
        <f>'[3]PEPCO MD LP_MDNDMS'!H711</f>
        <v>0</v>
      </c>
      <c r="S739" s="207">
        <f>'[3]PEPCO MD LP_MDNDMS'!I711</f>
        <v>0</v>
      </c>
      <c r="T739" s="207">
        <f>'[3]PEPCO MD LP_MDNDMS'!J711</f>
        <v>0</v>
      </c>
      <c r="U739" s="207">
        <f>'[3]PEPCO MD LP_MDNDMS'!K711</f>
        <v>0</v>
      </c>
      <c r="V739" s="145"/>
    </row>
    <row r="740" spans="1:22" x14ac:dyDescent="0.2">
      <c r="A740" s="89">
        <f t="shared" si="23"/>
        <v>732</v>
      </c>
      <c r="B740" s="43">
        <v>20</v>
      </c>
      <c r="C740" s="43">
        <v>29</v>
      </c>
      <c r="D740" s="38" t="s">
        <v>640</v>
      </c>
      <c r="E740" s="44" t="s">
        <v>197</v>
      </c>
      <c r="F740" s="44" t="s">
        <v>39</v>
      </c>
      <c r="G740" s="44" t="s">
        <v>120</v>
      </c>
      <c r="H740" s="44" t="s">
        <v>44</v>
      </c>
      <c r="I740" s="44" t="s">
        <v>44</v>
      </c>
      <c r="J740" s="44" t="s">
        <v>45</v>
      </c>
      <c r="K740" s="44" t="s">
        <v>198</v>
      </c>
      <c r="L740" s="40">
        <v>1145</v>
      </c>
      <c r="M740" s="41">
        <v>41339</v>
      </c>
      <c r="N740" s="40" t="s">
        <v>122</v>
      </c>
      <c r="O740" s="42"/>
      <c r="P740" s="40"/>
      <c r="Q740" s="207">
        <f>'[3]PEPCO MD LP_MMGTL2AMS'!G711</f>
        <v>0</v>
      </c>
      <c r="R740" s="207">
        <f>'[3]PEPCO MD LP_MMGTL2AMS'!H711</f>
        <v>0</v>
      </c>
      <c r="S740" s="207">
        <f>'[3]PEPCO MD LP_MMGTL2AMS'!I711</f>
        <v>0</v>
      </c>
      <c r="T740" s="207">
        <f>'[3]PEPCO MD LP_MMGTL2AMS'!J711</f>
        <v>0</v>
      </c>
      <c r="U740" s="207">
        <f>'[3]PEPCO MD LP_MMGTL2AMS'!K711</f>
        <v>0</v>
      </c>
      <c r="V740" s="145"/>
    </row>
    <row r="741" spans="1:22" x14ac:dyDescent="0.2">
      <c r="A741" s="89">
        <f t="shared" si="23"/>
        <v>733</v>
      </c>
      <c r="B741" s="43">
        <v>20</v>
      </c>
      <c r="C741" s="43">
        <v>30</v>
      </c>
      <c r="D741" s="38" t="s">
        <v>641</v>
      </c>
      <c r="E741" s="44" t="s">
        <v>200</v>
      </c>
      <c r="F741" s="44" t="s">
        <v>39</v>
      </c>
      <c r="G741" s="44" t="s">
        <v>120</v>
      </c>
      <c r="H741" s="44" t="s">
        <v>44</v>
      </c>
      <c r="I741" s="44" t="s">
        <v>44</v>
      </c>
      <c r="J741" s="44" t="s">
        <v>46</v>
      </c>
      <c r="K741" s="44" t="s">
        <v>46</v>
      </c>
      <c r="L741" s="40">
        <v>1146</v>
      </c>
      <c r="M741" s="41">
        <v>41339</v>
      </c>
      <c r="N741" s="40" t="s">
        <v>122</v>
      </c>
      <c r="O741" s="42"/>
      <c r="P741" s="40"/>
      <c r="Q741" s="207">
        <f>'[3]PEPCO MD RC_3T7MS'!G711</f>
        <v>0</v>
      </c>
      <c r="R741" s="207">
        <f>'[3]PEPCO MD RC_3T7MS'!H711</f>
        <v>0</v>
      </c>
      <c r="S741" s="207">
        <f>'[3]PEPCO MD RC_3T7MS'!I711</f>
        <v>0</v>
      </c>
      <c r="T741" s="207">
        <f>'[3]PEPCO MD RC_3T7MS'!J711</f>
        <v>0</v>
      </c>
      <c r="U741" s="207">
        <f>'[3]PEPCO MD RC_3T7MS'!K711</f>
        <v>0</v>
      </c>
      <c r="V741" s="145"/>
    </row>
    <row r="742" spans="1:22" x14ac:dyDescent="0.2">
      <c r="A742" s="89">
        <f t="shared" si="23"/>
        <v>734</v>
      </c>
      <c r="B742" s="43">
        <v>20</v>
      </c>
      <c r="C742" s="43">
        <v>31</v>
      </c>
      <c r="D742" s="38" t="s">
        <v>642</v>
      </c>
      <c r="E742" s="44" t="s">
        <v>202</v>
      </c>
      <c r="F742" s="44" t="s">
        <v>39</v>
      </c>
      <c r="G742" s="44" t="s">
        <v>120</v>
      </c>
      <c r="H742" s="44" t="s">
        <v>47</v>
      </c>
      <c r="I742" s="44" t="s">
        <v>47</v>
      </c>
      <c r="J742" s="44" t="s">
        <v>7</v>
      </c>
      <c r="K742" s="44" t="s">
        <v>140</v>
      </c>
      <c r="L742" s="40">
        <v>1147</v>
      </c>
      <c r="M742" s="41">
        <v>41339</v>
      </c>
      <c r="N742" s="40" t="s">
        <v>122</v>
      </c>
      <c r="O742" s="42"/>
      <c r="P742" s="40"/>
      <c r="Q742" s="207">
        <f>'[3]Potomac Edison LP_GSCM_MMS'!G711</f>
        <v>0</v>
      </c>
      <c r="R742" s="207">
        <f>'[3]Potomac Edison LP_GSCM_MMS'!H711</f>
        <v>0</v>
      </c>
      <c r="S742" s="207">
        <f>'[3]Potomac Edison LP_GSCM_MMS'!I711</f>
        <v>0</v>
      </c>
      <c r="T742" s="207">
        <f>'[3]Potomac Edison LP_GSCM_MMS'!J711</f>
        <v>0</v>
      </c>
      <c r="U742" s="207">
        <f>'[3]Potomac Edison LP_GSCM_MMS'!K711</f>
        <v>0</v>
      </c>
      <c r="V742" s="145"/>
    </row>
    <row r="743" spans="1:22" x14ac:dyDescent="0.2">
      <c r="A743" s="89">
        <f t="shared" si="23"/>
        <v>735</v>
      </c>
      <c r="B743" s="43">
        <v>20</v>
      </c>
      <c r="C743" s="43">
        <v>32</v>
      </c>
      <c r="D743" s="38" t="s">
        <v>643</v>
      </c>
      <c r="E743" s="44" t="s">
        <v>204</v>
      </c>
      <c r="F743" s="44" t="s">
        <v>6</v>
      </c>
      <c r="G743" s="44" t="s">
        <v>120</v>
      </c>
      <c r="H743" s="44" t="s">
        <v>14</v>
      </c>
      <c r="I743" s="44" t="s">
        <v>14</v>
      </c>
      <c r="J743" s="44" t="s">
        <v>15</v>
      </c>
      <c r="K743" s="44" t="s">
        <v>129</v>
      </c>
      <c r="L743" s="40">
        <v>1148</v>
      </c>
      <c r="M743" s="41">
        <v>41339</v>
      </c>
      <c r="N743" s="40" t="s">
        <v>122</v>
      </c>
      <c r="O743" s="42"/>
      <c r="P743" s="40"/>
      <c r="Q743" s="207">
        <f>[3]PPL_RCGS1MS!G711</f>
        <v>0</v>
      </c>
      <c r="R743" s="207">
        <f>[3]PPL_RCGS1MS!H711</f>
        <v>0</v>
      </c>
      <c r="S743" s="207">
        <f>[3]PPL_RCGS1MS!I711</f>
        <v>0</v>
      </c>
      <c r="T743" s="207">
        <f>[3]PPL_RCGS1MS!J711</f>
        <v>0</v>
      </c>
      <c r="U743" s="207">
        <f>[3]PPL_RCGS1MS!K711</f>
        <v>0</v>
      </c>
      <c r="V743" s="145"/>
    </row>
    <row r="744" spans="1:22" x14ac:dyDescent="0.2">
      <c r="A744" s="89">
        <f t="shared" si="23"/>
        <v>736</v>
      </c>
      <c r="B744" s="43">
        <v>20</v>
      </c>
      <c r="C744" s="43">
        <v>33</v>
      </c>
      <c r="D744" s="38" t="s">
        <v>644</v>
      </c>
      <c r="E744" s="44" t="s">
        <v>206</v>
      </c>
      <c r="F744" s="44" t="s">
        <v>6</v>
      </c>
      <c r="G744" s="44" t="s">
        <v>120</v>
      </c>
      <c r="H744" s="44" t="s">
        <v>14</v>
      </c>
      <c r="I744" s="44" t="s">
        <v>14</v>
      </c>
      <c r="J744" s="44" t="s">
        <v>16</v>
      </c>
      <c r="K744" s="44" t="s">
        <v>135</v>
      </c>
      <c r="L744" s="40">
        <v>1149</v>
      </c>
      <c r="M744" s="41">
        <v>41339</v>
      </c>
      <c r="N744" s="40" t="s">
        <v>122</v>
      </c>
      <c r="O744" s="42"/>
      <c r="P744" s="40"/>
      <c r="Q744" s="207">
        <f>[3]PPL_RCGS3MS!G711</f>
        <v>0</v>
      </c>
      <c r="R744" s="207">
        <f>[3]PPL_RCGS3MS!H711</f>
        <v>0</v>
      </c>
      <c r="S744" s="207">
        <f>[3]PPL_RCGS3MS!I711</f>
        <v>0</v>
      </c>
      <c r="T744" s="207">
        <f>[3]PPL_RCGS3MS!J711</f>
        <v>0</v>
      </c>
      <c r="U744" s="207">
        <f>[3]PPL_RCGS3MS!K711</f>
        <v>0</v>
      </c>
      <c r="V744" s="145"/>
    </row>
    <row r="745" spans="1:22" x14ac:dyDescent="0.2">
      <c r="A745" s="89">
        <f t="shared" si="23"/>
        <v>737</v>
      </c>
      <c r="B745" s="43">
        <v>20</v>
      </c>
      <c r="C745" s="43">
        <v>34</v>
      </c>
      <c r="D745" s="38" t="s">
        <v>645</v>
      </c>
      <c r="E745" s="44" t="s">
        <v>208</v>
      </c>
      <c r="F745" s="44" t="s">
        <v>31</v>
      </c>
      <c r="G745" s="44" t="s">
        <v>120</v>
      </c>
      <c r="H745" s="44" t="s">
        <v>36</v>
      </c>
      <c r="I745" s="44" t="s">
        <v>36</v>
      </c>
      <c r="J745" s="44" t="s">
        <v>37</v>
      </c>
      <c r="K745" s="44" t="s">
        <v>209</v>
      </c>
      <c r="L745" s="40">
        <v>1150</v>
      </c>
      <c r="M745" s="41">
        <v>41339</v>
      </c>
      <c r="N745" s="40" t="s">
        <v>122</v>
      </c>
      <c r="O745" s="42"/>
      <c r="P745" s="40"/>
      <c r="Q745" s="207">
        <f>'[3]PSEG LP_GLP_MMS'!G711</f>
        <v>0</v>
      </c>
      <c r="R745" s="207">
        <f>'[3]PSEG LP_GLP_MMS'!H711</f>
        <v>0</v>
      </c>
      <c r="S745" s="207">
        <f>'[3]PSEG LP_GLP_MMS'!I711</f>
        <v>0</v>
      </c>
      <c r="T745" s="207">
        <f>'[3]PSEG LP_GLP_MMS'!J711</f>
        <v>0</v>
      </c>
      <c r="U745" s="207">
        <f>'[3]PSEG LP_GLP_MMS'!K711</f>
        <v>0</v>
      </c>
      <c r="V745" s="145"/>
    </row>
    <row r="746" spans="1:22" x14ac:dyDescent="0.2">
      <c r="A746" s="89">
        <f t="shared" si="23"/>
        <v>738</v>
      </c>
      <c r="B746" s="43">
        <v>20</v>
      </c>
      <c r="C746" s="43">
        <v>35</v>
      </c>
      <c r="D746" s="38" t="s">
        <v>646</v>
      </c>
      <c r="E746" s="44" t="s">
        <v>211</v>
      </c>
      <c r="F746" s="44" t="s">
        <v>31</v>
      </c>
      <c r="G746" s="44" t="s">
        <v>120</v>
      </c>
      <c r="H746" s="44" t="s">
        <v>36</v>
      </c>
      <c r="I746" s="44" t="s">
        <v>36</v>
      </c>
      <c r="J746" s="44" t="s">
        <v>38</v>
      </c>
      <c r="K746" s="44" t="s">
        <v>212</v>
      </c>
      <c r="L746" s="40">
        <v>1151</v>
      </c>
      <c r="M746" s="41">
        <v>41339</v>
      </c>
      <c r="N746" s="40" t="s">
        <v>122</v>
      </c>
      <c r="O746" s="42"/>
      <c r="P746" s="40"/>
      <c r="Q746" s="207">
        <f>'[3]PSEG LP_LPLMS'!G711</f>
        <v>0</v>
      </c>
      <c r="R746" s="207">
        <f>'[3]PSEG LP_LPLMS'!H711</f>
        <v>0</v>
      </c>
      <c r="S746" s="207">
        <f>'[3]PSEG LP_LPLMS'!I711</f>
        <v>0</v>
      </c>
      <c r="T746" s="207">
        <f>'[3]PSEG LP_LPLMS'!J711</f>
        <v>0</v>
      </c>
      <c r="U746" s="207">
        <f>'[3]PSEG LP_LPLMS'!K711</f>
        <v>0</v>
      </c>
      <c r="V746" s="145"/>
    </row>
    <row r="747" spans="1:22" x14ac:dyDescent="0.2">
      <c r="A747" s="89">
        <f t="shared" si="23"/>
        <v>739</v>
      </c>
      <c r="B747" s="43">
        <v>20</v>
      </c>
      <c r="C747" s="43">
        <v>36</v>
      </c>
      <c r="D747" s="38" t="s">
        <v>647</v>
      </c>
      <c r="E747" s="44" t="s">
        <v>214</v>
      </c>
      <c r="F747" s="44" t="s">
        <v>6</v>
      </c>
      <c r="G747" s="44" t="s">
        <v>120</v>
      </c>
      <c r="H747" s="44" t="s">
        <v>17</v>
      </c>
      <c r="I747" s="44" t="s">
        <v>215</v>
      </c>
      <c r="J747" s="44" t="s">
        <v>18</v>
      </c>
      <c r="K747" s="44" t="s">
        <v>140</v>
      </c>
      <c r="L747" s="40">
        <v>1152</v>
      </c>
      <c r="M747" s="41">
        <v>41339</v>
      </c>
      <c r="N747" s="40" t="s">
        <v>122</v>
      </c>
      <c r="O747" s="42"/>
      <c r="P747" s="40"/>
      <c r="Q747" s="207">
        <f>'[3]West Penn Power LP_GSCMMS'!G711</f>
        <v>0</v>
      </c>
      <c r="R747" s="207">
        <f>'[3]West Penn Power LP_GSCMMS'!H711</f>
        <v>0</v>
      </c>
      <c r="S747" s="207">
        <f>'[3]West Penn Power LP_GSCMMS'!I711</f>
        <v>0</v>
      </c>
      <c r="T747" s="207">
        <f>'[3]West Penn Power LP_GSCMMS'!J711</f>
        <v>0</v>
      </c>
      <c r="U747" s="207">
        <f>'[3]West Penn Power LP_GSCMMS'!K711</f>
        <v>0</v>
      </c>
      <c r="V747" s="145"/>
    </row>
    <row r="748" spans="1:22" x14ac:dyDescent="0.2">
      <c r="A748" s="89">
        <f t="shared" si="23"/>
        <v>740</v>
      </c>
      <c r="B748" s="20"/>
      <c r="C748" s="20"/>
      <c r="D748" s="20"/>
      <c r="Q748" s="208"/>
      <c r="R748" s="208"/>
      <c r="S748" s="208"/>
      <c r="T748" s="208"/>
      <c r="U748" s="208"/>
    </row>
    <row r="749" spans="1:22" x14ac:dyDescent="0.2">
      <c r="A749" s="89">
        <f t="shared" si="23"/>
        <v>741</v>
      </c>
      <c r="B749" s="43">
        <v>21</v>
      </c>
      <c r="C749" s="43">
        <v>1</v>
      </c>
      <c r="D749" s="38" t="s">
        <v>612</v>
      </c>
      <c r="E749" s="44" t="s">
        <v>119</v>
      </c>
      <c r="F749" s="44" t="s">
        <v>31</v>
      </c>
      <c r="G749" s="44" t="s">
        <v>120</v>
      </c>
      <c r="H749" s="44" t="s">
        <v>32</v>
      </c>
      <c r="I749" s="44" t="s">
        <v>32</v>
      </c>
      <c r="J749" s="44" t="s">
        <v>33</v>
      </c>
      <c r="K749" s="44" t="s">
        <v>121</v>
      </c>
      <c r="L749" s="40">
        <v>1117</v>
      </c>
      <c r="M749" s="41">
        <v>41339</v>
      </c>
      <c r="N749" s="40" t="s">
        <v>122</v>
      </c>
      <c r="O749" s="42"/>
      <c r="P749" s="40"/>
      <c r="Q749" s="207">
        <f>'[3]AECO LP_10V1_SMS'!G748</f>
        <v>0</v>
      </c>
      <c r="R749" s="207">
        <f>'[3]AECO LP_10V1_SMS'!H748</f>
        <v>0</v>
      </c>
      <c r="S749" s="207">
        <f>'[3]AECO LP_10V1_SMS'!I748</f>
        <v>0</v>
      </c>
      <c r="T749" s="207">
        <f>'[3]AECO LP_10V1_SMS'!J748</f>
        <v>0</v>
      </c>
      <c r="U749" s="207">
        <f>'[3]AECO LP_10V1_SMS'!K748</f>
        <v>0</v>
      </c>
      <c r="V749" s="145"/>
    </row>
    <row r="750" spans="1:22" x14ac:dyDescent="0.2">
      <c r="A750" s="89">
        <f t="shared" si="23"/>
        <v>742</v>
      </c>
      <c r="B750" s="43">
        <v>21</v>
      </c>
      <c r="C750" s="43">
        <v>2</v>
      </c>
      <c r="D750" s="38" t="s">
        <v>613</v>
      </c>
      <c r="E750" s="44" t="s">
        <v>124</v>
      </c>
      <c r="F750" s="44" t="s">
        <v>31</v>
      </c>
      <c r="G750" s="44" t="s">
        <v>120</v>
      </c>
      <c r="H750" s="44" t="s">
        <v>32</v>
      </c>
      <c r="I750" s="44" t="s">
        <v>32</v>
      </c>
      <c r="J750" s="44" t="s">
        <v>34</v>
      </c>
      <c r="K750" s="44" t="s">
        <v>125</v>
      </c>
      <c r="L750" s="40">
        <v>1118</v>
      </c>
      <c r="M750" s="41">
        <v>41339</v>
      </c>
      <c r="N750" s="40" t="s">
        <v>122</v>
      </c>
      <c r="O750" s="42"/>
      <c r="P750" s="40"/>
      <c r="Q750" s="207">
        <f>'[3]AECO LP_14V1_MMS'!G748</f>
        <v>0</v>
      </c>
      <c r="R750" s="207">
        <f>'[3]AECO LP_14V1_MMS'!H748</f>
        <v>0</v>
      </c>
      <c r="S750" s="207">
        <f>'[3]AECO LP_14V1_MMS'!I748</f>
        <v>0</v>
      </c>
      <c r="T750" s="207">
        <f>'[3]AECO LP_14V1_MMS'!J748</f>
        <v>0</v>
      </c>
      <c r="U750" s="207">
        <f>'[3]AECO LP_14V1_MMS'!K748</f>
        <v>0</v>
      </c>
      <c r="V750" s="145"/>
    </row>
    <row r="751" spans="1:22" x14ac:dyDescent="0.2">
      <c r="A751" s="89">
        <f t="shared" si="23"/>
        <v>743</v>
      </c>
      <c r="B751" s="43">
        <v>21</v>
      </c>
      <c r="C751" s="43">
        <v>3</v>
      </c>
      <c r="D751" s="38" t="s">
        <v>614</v>
      </c>
      <c r="E751" s="44" t="s">
        <v>127</v>
      </c>
      <c r="F751" s="44" t="s">
        <v>20</v>
      </c>
      <c r="G751" s="44" t="s">
        <v>120</v>
      </c>
      <c r="H751" s="44" t="s">
        <v>63</v>
      </c>
      <c r="I751" s="44" t="s">
        <v>128</v>
      </c>
      <c r="J751" s="44" t="s">
        <v>15</v>
      </c>
      <c r="K751" s="44" t="s">
        <v>129</v>
      </c>
      <c r="L751" s="40">
        <v>1119</v>
      </c>
      <c r="M751" s="41">
        <v>41339</v>
      </c>
      <c r="N751" s="40" t="s">
        <v>122</v>
      </c>
      <c r="O751" s="42"/>
      <c r="P751" s="40"/>
      <c r="Q751" s="207">
        <f>'[3]AEP_OH_CS - test CSGS1MS'!G748</f>
        <v>0</v>
      </c>
      <c r="R751" s="207">
        <f>'[3]AEP_OH_CS - test CSGS1MS'!H748</f>
        <v>0</v>
      </c>
      <c r="S751" s="207">
        <f>'[3]AEP_OH_CS - test CSGS1MS'!I748</f>
        <v>0</v>
      </c>
      <c r="T751" s="207">
        <f>'[3]AEP_OH_CS - test CSGS1MS'!J748</f>
        <v>0</v>
      </c>
      <c r="U751" s="207">
        <f>'[3]AEP_OH_CS - test CSGS1MS'!K748</f>
        <v>0</v>
      </c>
      <c r="V751" s="145"/>
    </row>
    <row r="752" spans="1:22" x14ac:dyDescent="0.2">
      <c r="A752" s="89">
        <f t="shared" si="23"/>
        <v>744</v>
      </c>
      <c r="B752" s="43">
        <v>21</v>
      </c>
      <c r="C752" s="43">
        <v>4</v>
      </c>
      <c r="D752" s="38" t="s">
        <v>615</v>
      </c>
      <c r="E752" s="44" t="s">
        <v>131</v>
      </c>
      <c r="F752" s="44" t="s">
        <v>20</v>
      </c>
      <c r="G752" s="44" t="s">
        <v>120</v>
      </c>
      <c r="H752" s="44" t="s">
        <v>63</v>
      </c>
      <c r="I752" s="44" t="s">
        <v>128</v>
      </c>
      <c r="J752" s="44" t="s">
        <v>21</v>
      </c>
      <c r="K752" s="44" t="s">
        <v>132</v>
      </c>
      <c r="L752" s="40">
        <v>1120</v>
      </c>
      <c r="M752" s="41">
        <v>41339</v>
      </c>
      <c r="N752" s="40" t="s">
        <v>122</v>
      </c>
      <c r="O752" s="42"/>
      <c r="P752" s="40"/>
      <c r="Q752" s="207">
        <f>'[3]AEP_OH_CS - test CSGS2UMS'!G748</f>
        <v>0</v>
      </c>
      <c r="R752" s="207">
        <f>'[3]AEP_OH_CS - test CSGS2UMS'!H748</f>
        <v>0</v>
      </c>
      <c r="S752" s="207">
        <f>'[3]AEP_OH_CS - test CSGS2UMS'!I748</f>
        <v>0</v>
      </c>
      <c r="T752" s="207">
        <f>'[3]AEP_OH_CS - test CSGS2UMS'!J748</f>
        <v>0</v>
      </c>
      <c r="U752" s="207">
        <f>'[3]AEP_OH_CS - test CSGS2UMS'!K748</f>
        <v>0</v>
      </c>
      <c r="V752" s="145"/>
    </row>
    <row r="753" spans="1:22" x14ac:dyDescent="0.2">
      <c r="A753" s="89">
        <f t="shared" si="23"/>
        <v>745</v>
      </c>
      <c r="B753" s="43">
        <v>21</v>
      </c>
      <c r="C753" s="43">
        <v>5</v>
      </c>
      <c r="D753" s="38" t="s">
        <v>616</v>
      </c>
      <c r="E753" s="44" t="s">
        <v>134</v>
      </c>
      <c r="F753" s="44" t="s">
        <v>20</v>
      </c>
      <c r="G753" s="44" t="s">
        <v>120</v>
      </c>
      <c r="H753" s="44" t="s">
        <v>63</v>
      </c>
      <c r="I753" s="44" t="s">
        <v>128</v>
      </c>
      <c r="J753" s="44" t="s">
        <v>16</v>
      </c>
      <c r="K753" s="44" t="s">
        <v>135</v>
      </c>
      <c r="L753" s="40">
        <v>1121</v>
      </c>
      <c r="M753" s="41">
        <v>41339</v>
      </c>
      <c r="N753" s="40" t="s">
        <v>122</v>
      </c>
      <c r="O753" s="42"/>
      <c r="P753" s="40"/>
      <c r="Q753" s="207">
        <f>'[3]AEP_OH_CS - test CSGS3UMS'!G748</f>
        <v>0</v>
      </c>
      <c r="R753" s="207">
        <f>'[3]AEP_OH_CS - test CSGS3UMS'!H748</f>
        <v>0</v>
      </c>
      <c r="S753" s="207">
        <f>'[3]AEP_OH_CS - test CSGS3UMS'!I748</f>
        <v>0</v>
      </c>
      <c r="T753" s="207">
        <f>'[3]AEP_OH_CS - test CSGS3UMS'!J748</f>
        <v>0</v>
      </c>
      <c r="U753" s="207">
        <f>'[3]AEP_OH_CS - test CSGS3UMS'!K748</f>
        <v>0</v>
      </c>
      <c r="V753" s="145"/>
    </row>
    <row r="754" spans="1:22" x14ac:dyDescent="0.2">
      <c r="A754" s="89">
        <f t="shared" si="23"/>
        <v>746</v>
      </c>
      <c r="B754" s="43">
        <v>21</v>
      </c>
      <c r="C754" s="43">
        <v>6</v>
      </c>
      <c r="D754" s="38" t="s">
        <v>617</v>
      </c>
      <c r="E754" s="44" t="s">
        <v>137</v>
      </c>
      <c r="F754" s="44" t="s">
        <v>25</v>
      </c>
      <c r="G754" s="44" t="s">
        <v>138</v>
      </c>
      <c r="H754" s="44" t="s">
        <v>139</v>
      </c>
      <c r="I754" s="44" t="s">
        <v>29</v>
      </c>
      <c r="J754" s="44" t="s">
        <v>30</v>
      </c>
      <c r="K754" s="44" t="s">
        <v>140</v>
      </c>
      <c r="L754" s="40">
        <v>1122</v>
      </c>
      <c r="M754" s="41">
        <v>41339</v>
      </c>
      <c r="N754" s="40" t="s">
        <v>122</v>
      </c>
      <c r="O754" s="42"/>
      <c r="P754" s="40"/>
      <c r="Q754" s="207">
        <f>'[3]Ameren RateZnIII LP DS2HHMS'!G748</f>
        <v>0</v>
      </c>
      <c r="R754" s="207">
        <f>'[3]Ameren RateZnIII LP DS2HHMS'!H748</f>
        <v>0</v>
      </c>
      <c r="S754" s="207">
        <f>'[3]Ameren RateZnIII LP DS2HHMS'!I748</f>
        <v>0</v>
      </c>
      <c r="T754" s="207">
        <f>'[3]Ameren RateZnIII LP DS2HHMS'!J748</f>
        <v>0</v>
      </c>
      <c r="U754" s="207">
        <f>'[3]Ameren RateZnIII LP DS2HHMS'!K748</f>
        <v>0</v>
      </c>
      <c r="V754" s="145"/>
    </row>
    <row r="755" spans="1:22" x14ac:dyDescent="0.2">
      <c r="A755" s="89">
        <f t="shared" si="23"/>
        <v>747</v>
      </c>
      <c r="B755" s="43">
        <v>21</v>
      </c>
      <c r="C755" s="43">
        <v>7</v>
      </c>
      <c r="D755" s="38" t="s">
        <v>618</v>
      </c>
      <c r="E755" s="44" t="s">
        <v>142</v>
      </c>
      <c r="F755" s="44" t="s">
        <v>39</v>
      </c>
      <c r="G755" s="44" t="s">
        <v>120</v>
      </c>
      <c r="H755" s="44" t="s">
        <v>40</v>
      </c>
      <c r="I755" s="44" t="s">
        <v>40</v>
      </c>
      <c r="J755" s="44" t="s">
        <v>42</v>
      </c>
      <c r="K755" s="44" t="s">
        <v>135</v>
      </c>
      <c r="L755" s="40">
        <v>1124</v>
      </c>
      <c r="M755" s="41">
        <v>41339</v>
      </c>
      <c r="N755" s="40" t="s">
        <v>122</v>
      </c>
      <c r="O755" s="42"/>
      <c r="P755" s="40"/>
      <c r="Q755" s="207">
        <f>'[3]BGE LP_GLMS'!G748</f>
        <v>0</v>
      </c>
      <c r="R755" s="207">
        <f>'[3]BGE LP_GLMS'!H748</f>
        <v>0</v>
      </c>
      <c r="S755" s="207">
        <f>'[3]BGE LP_GLMS'!I748</f>
        <v>0</v>
      </c>
      <c r="T755" s="207">
        <f>'[3]BGE LP_GLMS'!J748</f>
        <v>0</v>
      </c>
      <c r="U755" s="207">
        <f>'[3]BGE LP_GLMS'!K748</f>
        <v>0</v>
      </c>
      <c r="V755" s="145"/>
    </row>
    <row r="756" spans="1:22" x14ac:dyDescent="0.2">
      <c r="A756" s="89">
        <f t="shared" si="23"/>
        <v>748</v>
      </c>
      <c r="B756" s="43">
        <v>21</v>
      </c>
      <c r="C756" s="43">
        <v>8</v>
      </c>
      <c r="D756" s="38" t="s">
        <v>619</v>
      </c>
      <c r="E756" s="44" t="s">
        <v>144</v>
      </c>
      <c r="F756" s="44" t="s">
        <v>39</v>
      </c>
      <c r="G756" s="44" t="s">
        <v>120</v>
      </c>
      <c r="H756" s="44" t="s">
        <v>40</v>
      </c>
      <c r="I756" s="44" t="s">
        <v>40</v>
      </c>
      <c r="J756" s="44" t="s">
        <v>41</v>
      </c>
      <c r="K756" s="44" t="s">
        <v>132</v>
      </c>
      <c r="L756" s="40">
        <v>1123</v>
      </c>
      <c r="M756" s="41">
        <v>41339</v>
      </c>
      <c r="N756" s="40" t="s">
        <v>122</v>
      </c>
      <c r="O756" s="42"/>
      <c r="P756" s="40"/>
      <c r="Q756" s="207">
        <f>'[3]BGE LP_GMS'!G748</f>
        <v>0</v>
      </c>
      <c r="R756" s="207">
        <f>'[3]BGE LP_GMS'!H748</f>
        <v>0</v>
      </c>
      <c r="S756" s="207">
        <f>'[3]BGE LP_GMS'!I748</f>
        <v>0</v>
      </c>
      <c r="T756" s="207">
        <f>'[3]BGE LP_GMS'!J748</f>
        <v>0</v>
      </c>
      <c r="U756" s="207">
        <f>'[3]BGE LP_GMS'!K748</f>
        <v>0</v>
      </c>
      <c r="V756" s="145"/>
    </row>
    <row r="757" spans="1:22" x14ac:dyDescent="0.2">
      <c r="A757" s="89">
        <f t="shared" si="23"/>
        <v>749</v>
      </c>
      <c r="B757" s="43">
        <v>21</v>
      </c>
      <c r="C757" s="43">
        <v>9</v>
      </c>
      <c r="D757" s="38" t="s">
        <v>620</v>
      </c>
      <c r="E757" s="44" t="s">
        <v>146</v>
      </c>
      <c r="F757" s="44" t="s">
        <v>39</v>
      </c>
      <c r="G757" s="44" t="s">
        <v>120</v>
      </c>
      <c r="H757" s="44" t="s">
        <v>40</v>
      </c>
      <c r="I757" s="44" t="s">
        <v>40</v>
      </c>
      <c r="J757" s="44" t="s">
        <v>7</v>
      </c>
      <c r="K757" s="44" t="s">
        <v>129</v>
      </c>
      <c r="L757" s="40">
        <v>1125</v>
      </c>
      <c r="M757" s="41">
        <v>41339</v>
      </c>
      <c r="N757" s="40" t="s">
        <v>122</v>
      </c>
      <c r="O757" s="42"/>
      <c r="P757" s="40"/>
      <c r="Q757" s="207">
        <f>'[3]BGE LP_GSMS'!G748</f>
        <v>0</v>
      </c>
      <c r="R757" s="207">
        <f>'[3]BGE LP_GSMS'!H748</f>
        <v>0</v>
      </c>
      <c r="S757" s="207">
        <f>'[3]BGE LP_GSMS'!I748</f>
        <v>0</v>
      </c>
      <c r="T757" s="207">
        <f>'[3]BGE LP_GSMS'!J748</f>
        <v>0</v>
      </c>
      <c r="U757" s="207">
        <f>'[3]BGE LP_GSMS'!K748</f>
        <v>0</v>
      </c>
      <c r="V757" s="145"/>
    </row>
    <row r="758" spans="1:22" x14ac:dyDescent="0.2">
      <c r="A758" s="89">
        <f t="shared" si="23"/>
        <v>750</v>
      </c>
      <c r="B758" s="43">
        <v>21</v>
      </c>
      <c r="C758" s="43">
        <v>10</v>
      </c>
      <c r="D758" s="38" t="s">
        <v>621</v>
      </c>
      <c r="E758" s="44" t="s">
        <v>148</v>
      </c>
      <c r="F758" s="44" t="s">
        <v>25</v>
      </c>
      <c r="G758" s="44" t="s">
        <v>120</v>
      </c>
      <c r="H758" s="44" t="s">
        <v>149</v>
      </c>
      <c r="I758" s="44" t="s">
        <v>26</v>
      </c>
      <c r="J758" s="44" t="s">
        <v>27</v>
      </c>
      <c r="K758" s="44" t="s">
        <v>150</v>
      </c>
      <c r="L758" s="40">
        <v>1126</v>
      </c>
      <c r="M758" s="41">
        <v>41339</v>
      </c>
      <c r="N758" s="40" t="s">
        <v>122</v>
      </c>
      <c r="O758" s="42"/>
      <c r="P758" s="40"/>
      <c r="Q758" s="207">
        <f>'[3]ComEd - test LP_28MS'!G748</f>
        <v>0</v>
      </c>
      <c r="R758" s="207">
        <f>'[3]ComEd - test LP_28MS'!H748</f>
        <v>0</v>
      </c>
      <c r="S758" s="207">
        <f>'[3]ComEd - test LP_28MS'!I748</f>
        <v>0</v>
      </c>
      <c r="T758" s="207">
        <f>'[3]ComEd - test LP_28MS'!J748</f>
        <v>0</v>
      </c>
      <c r="U758" s="207">
        <f>'[3]ComEd - test LP_28MS'!K748</f>
        <v>0</v>
      </c>
      <c r="V758" s="145"/>
    </row>
    <row r="759" spans="1:22" x14ac:dyDescent="0.2">
      <c r="A759" s="89">
        <f t="shared" si="23"/>
        <v>751</v>
      </c>
      <c r="B759" s="43">
        <v>21</v>
      </c>
      <c r="C759" s="43">
        <v>11</v>
      </c>
      <c r="D759" s="38" t="s">
        <v>622</v>
      </c>
      <c r="E759" s="44" t="s">
        <v>152</v>
      </c>
      <c r="F759" s="44" t="s">
        <v>25</v>
      </c>
      <c r="G759" s="44" t="s">
        <v>120</v>
      </c>
      <c r="H759" s="44" t="s">
        <v>149</v>
      </c>
      <c r="I759" s="44" t="s">
        <v>26</v>
      </c>
      <c r="J759" s="44" t="s">
        <v>28</v>
      </c>
      <c r="K759" s="44" t="s">
        <v>153</v>
      </c>
      <c r="L759" s="40">
        <v>1127</v>
      </c>
      <c r="M759" s="41">
        <v>41339</v>
      </c>
      <c r="N759" s="40" t="s">
        <v>122</v>
      </c>
      <c r="O759" s="42"/>
      <c r="P759" s="40"/>
      <c r="Q759" s="207">
        <f>'[3]ComEd - test LP_29MS'!G748</f>
        <v>0</v>
      </c>
      <c r="R759" s="207">
        <f>'[3]ComEd - test LP_29MS'!H748</f>
        <v>0</v>
      </c>
      <c r="S759" s="207">
        <f>'[3]ComEd - test LP_29MS'!I748</f>
        <v>0</v>
      </c>
      <c r="T759" s="207">
        <f>'[3]ComEd - test LP_29MS'!J748</f>
        <v>0</v>
      </c>
      <c r="U759" s="207">
        <f>'[3]ComEd - test LP_29MS'!K748</f>
        <v>0</v>
      </c>
      <c r="V759" s="145"/>
    </row>
    <row r="760" spans="1:22" x14ac:dyDescent="0.2">
      <c r="A760" s="89">
        <f t="shared" si="23"/>
        <v>752</v>
      </c>
      <c r="B760" s="43">
        <v>21</v>
      </c>
      <c r="C760" s="43">
        <v>12</v>
      </c>
      <c r="D760" s="38" t="s">
        <v>623</v>
      </c>
      <c r="E760" s="44" t="s">
        <v>155</v>
      </c>
      <c r="F760" s="44" t="s">
        <v>20</v>
      </c>
      <c r="G760" s="44" t="s">
        <v>120</v>
      </c>
      <c r="H760" s="44" t="s">
        <v>105</v>
      </c>
      <c r="I760" s="44" t="s">
        <v>156</v>
      </c>
      <c r="J760" s="44" t="s">
        <v>22</v>
      </c>
      <c r="K760" s="44" t="s">
        <v>157</v>
      </c>
      <c r="L760" s="40">
        <v>1128</v>
      </c>
      <c r="M760" s="41">
        <v>41339</v>
      </c>
      <c r="N760" s="40" t="s">
        <v>122</v>
      </c>
      <c r="O760" s="42"/>
      <c r="P760" s="40"/>
      <c r="Q760" s="207">
        <f>[3]DAY_RC_843MS!G748</f>
        <v>0</v>
      </c>
      <c r="R760" s="207">
        <f>[3]DAY_RC_843MS!H748</f>
        <v>0</v>
      </c>
      <c r="S760" s="207">
        <f>[3]DAY_RC_843MS!I748</f>
        <v>0</v>
      </c>
      <c r="T760" s="207">
        <f>[3]DAY_RC_843MS!J748</f>
        <v>0</v>
      </c>
      <c r="U760" s="207">
        <f>[3]DAY_RC_843MS!K748</f>
        <v>0</v>
      </c>
      <c r="V760" s="145"/>
    </row>
    <row r="761" spans="1:22" x14ac:dyDescent="0.2">
      <c r="A761" s="89">
        <f t="shared" si="23"/>
        <v>753</v>
      </c>
      <c r="B761" s="43">
        <v>21</v>
      </c>
      <c r="C761" s="43">
        <v>13</v>
      </c>
      <c r="D761" s="38" t="s">
        <v>624</v>
      </c>
      <c r="E761" s="44" t="s">
        <v>159</v>
      </c>
      <c r="F761" s="44" t="s">
        <v>39</v>
      </c>
      <c r="G761" s="44" t="s">
        <v>120</v>
      </c>
      <c r="H761" s="44" t="s">
        <v>43</v>
      </c>
      <c r="I761" s="44" t="s">
        <v>43</v>
      </c>
      <c r="J761" s="44" t="s">
        <v>7</v>
      </c>
      <c r="K761" s="44" t="s">
        <v>140</v>
      </c>
      <c r="L761" s="40">
        <v>1129</v>
      </c>
      <c r="M761" s="41">
        <v>41339</v>
      </c>
      <c r="N761" s="40" t="s">
        <v>122</v>
      </c>
      <c r="O761" s="42"/>
      <c r="P761" s="40"/>
      <c r="Q761" s="207">
        <f>'[3]Delmarva MD LP_MDGS_MMS'!G748</f>
        <v>0</v>
      </c>
      <c r="R761" s="207">
        <f>'[3]Delmarva MD LP_MDGS_MMS'!H748</f>
        <v>0</v>
      </c>
      <c r="S761" s="207">
        <f>'[3]Delmarva MD LP_MDGS_MMS'!I748</f>
        <v>0</v>
      </c>
      <c r="T761" s="207">
        <f>'[3]Delmarva MD LP_MDGS_MMS'!J748</f>
        <v>0</v>
      </c>
      <c r="U761" s="207">
        <f>'[3]Delmarva MD LP_MDGS_MMS'!K748</f>
        <v>0</v>
      </c>
      <c r="V761" s="145"/>
    </row>
    <row r="762" spans="1:22" x14ac:dyDescent="0.2">
      <c r="A762" s="89">
        <f t="shared" si="23"/>
        <v>754</v>
      </c>
      <c r="B762" s="43">
        <v>21</v>
      </c>
      <c r="C762" s="43">
        <v>14</v>
      </c>
      <c r="D762" s="38" t="s">
        <v>625</v>
      </c>
      <c r="E762" s="44" t="s">
        <v>161</v>
      </c>
      <c r="F762" s="44" t="s">
        <v>6</v>
      </c>
      <c r="G762" s="44" t="s">
        <v>120</v>
      </c>
      <c r="H762" s="44" t="s">
        <v>48</v>
      </c>
      <c r="I762" s="44" t="s">
        <v>48</v>
      </c>
      <c r="J762" s="44" t="s">
        <v>7</v>
      </c>
      <c r="K762" s="44" t="s">
        <v>140</v>
      </c>
      <c r="L762" s="40">
        <v>1130</v>
      </c>
      <c r="M762" s="41">
        <v>41339</v>
      </c>
      <c r="N762" s="40" t="s">
        <v>122</v>
      </c>
      <c r="O762" s="42"/>
      <c r="P762" s="40"/>
      <c r="Q762" s="207">
        <f>'[3]DQE LP_GSGM_MMS'!G748</f>
        <v>0</v>
      </c>
      <c r="R762" s="207">
        <f>'[3]DQE LP_GSGM_MMS'!H748</f>
        <v>0</v>
      </c>
      <c r="S762" s="207">
        <f>'[3]DQE LP_GSGM_MMS'!I748</f>
        <v>0</v>
      </c>
      <c r="T762" s="207">
        <f>'[3]DQE LP_GSGM_MMS'!J748</f>
        <v>0</v>
      </c>
      <c r="U762" s="207">
        <f>'[3]DQE LP_GSGM_MMS'!K748</f>
        <v>0</v>
      </c>
      <c r="V762" s="145"/>
    </row>
    <row r="763" spans="1:22" x14ac:dyDescent="0.2">
      <c r="A763" s="89">
        <f t="shared" si="23"/>
        <v>755</v>
      </c>
      <c r="B763" s="43">
        <v>21</v>
      </c>
      <c r="C763" s="43">
        <v>15</v>
      </c>
      <c r="D763" s="38" t="s">
        <v>626</v>
      </c>
      <c r="E763" s="44" t="s">
        <v>163</v>
      </c>
      <c r="F763" s="44" t="s">
        <v>20</v>
      </c>
      <c r="G763" s="44" t="s">
        <v>120</v>
      </c>
      <c r="H763" s="44" t="s">
        <v>23</v>
      </c>
      <c r="I763" s="44" t="s">
        <v>164</v>
      </c>
      <c r="J763" s="44" t="s">
        <v>24</v>
      </c>
      <c r="K763" s="44" t="s">
        <v>140</v>
      </c>
      <c r="L763" s="40">
        <v>1131</v>
      </c>
      <c r="M763" s="41">
        <v>41339</v>
      </c>
      <c r="N763" s="40" t="s">
        <v>122</v>
      </c>
      <c r="O763" s="42"/>
      <c r="P763" s="40"/>
      <c r="Q763" s="207">
        <f>[3]Duke_OH_RC_DS01MS!G748</f>
        <v>0</v>
      </c>
      <c r="R763" s="207">
        <f>[3]Duke_OH_RC_DS01MS!H748</f>
        <v>0</v>
      </c>
      <c r="S763" s="207">
        <f>[3]Duke_OH_RC_DS01MS!I748</f>
        <v>0</v>
      </c>
      <c r="T763" s="207">
        <f>[3]Duke_OH_RC_DS01MS!J748</f>
        <v>0</v>
      </c>
      <c r="U763" s="207">
        <f>[3]Duke_OH_RC_DS01MS!K748</f>
        <v>0</v>
      </c>
      <c r="V763" s="145"/>
    </row>
    <row r="764" spans="1:22" x14ac:dyDescent="0.2">
      <c r="A764" s="89">
        <f t="shared" si="23"/>
        <v>756</v>
      </c>
      <c r="B764" s="43">
        <v>21</v>
      </c>
      <c r="C764" s="43">
        <v>16</v>
      </c>
      <c r="D764" s="38" t="s">
        <v>627</v>
      </c>
      <c r="E764" s="44" t="s">
        <v>166</v>
      </c>
      <c r="F764" s="44" t="s">
        <v>20</v>
      </c>
      <c r="G764" s="44" t="s">
        <v>120</v>
      </c>
      <c r="H764" s="44" t="s">
        <v>64</v>
      </c>
      <c r="I764" s="44" t="s">
        <v>167</v>
      </c>
      <c r="J764" s="44" t="s">
        <v>7</v>
      </c>
      <c r="K764" s="44" t="s">
        <v>140</v>
      </c>
      <c r="L764" s="40">
        <v>1132</v>
      </c>
      <c r="M764" s="41">
        <v>41339</v>
      </c>
      <c r="N764" s="40" t="s">
        <v>122</v>
      </c>
      <c r="O764" s="42"/>
      <c r="P764" s="40"/>
      <c r="Q764" s="207">
        <f>'[3]FE_OE - test RC_GSFMS'!G748</f>
        <v>0</v>
      </c>
      <c r="R764" s="207">
        <f>'[3]FE_OE - test RC_GSFMS'!H748</f>
        <v>0</v>
      </c>
      <c r="S764" s="207">
        <f>'[3]FE_OE - test RC_GSFMS'!I748</f>
        <v>0</v>
      </c>
      <c r="T764" s="207">
        <f>'[3]FE_OE - test RC_GSFMS'!J748</f>
        <v>0</v>
      </c>
      <c r="U764" s="207">
        <f>'[3]FE_OE - test RC_GSFMS'!K748</f>
        <v>0</v>
      </c>
      <c r="V764" s="145"/>
    </row>
    <row r="765" spans="1:22" x14ac:dyDescent="0.2">
      <c r="A765" s="89">
        <f t="shared" si="23"/>
        <v>757</v>
      </c>
      <c r="B765" s="43">
        <v>21</v>
      </c>
      <c r="C765" s="43">
        <v>17</v>
      </c>
      <c r="D765" s="38" t="s">
        <v>628</v>
      </c>
      <c r="E765" s="44" t="s">
        <v>169</v>
      </c>
      <c r="F765" s="44" t="s">
        <v>31</v>
      </c>
      <c r="G765" s="44" t="s">
        <v>120</v>
      </c>
      <c r="H765" s="44" t="s">
        <v>35</v>
      </c>
      <c r="I765" s="44" t="s">
        <v>35</v>
      </c>
      <c r="J765" s="44" t="s">
        <v>9</v>
      </c>
      <c r="K765" s="44" t="s">
        <v>135</v>
      </c>
      <c r="L765" s="40">
        <v>1133</v>
      </c>
      <c r="M765" s="41">
        <v>41339</v>
      </c>
      <c r="N765" s="40" t="s">
        <v>122</v>
      </c>
      <c r="O765" s="42"/>
      <c r="P765" s="40"/>
      <c r="Q765" s="207">
        <f>'[3]JCPL LP_GSCLMS'!G748</f>
        <v>0</v>
      </c>
      <c r="R765" s="207">
        <f>'[3]JCPL LP_GSCLMS'!H748</f>
        <v>0</v>
      </c>
      <c r="S765" s="207">
        <f>'[3]JCPL LP_GSCLMS'!I748</f>
        <v>0</v>
      </c>
      <c r="T765" s="207">
        <f>'[3]JCPL LP_GSCLMS'!J748</f>
        <v>0</v>
      </c>
      <c r="U765" s="207">
        <f>'[3]JCPL LP_GSCLMS'!K748</f>
        <v>0</v>
      </c>
      <c r="V765" s="145"/>
    </row>
    <row r="766" spans="1:22" x14ac:dyDescent="0.2">
      <c r="A766" s="89">
        <f t="shared" si="23"/>
        <v>758</v>
      </c>
      <c r="B766" s="43">
        <v>21</v>
      </c>
      <c r="C766" s="43">
        <v>18</v>
      </c>
      <c r="D766" s="38" t="s">
        <v>629</v>
      </c>
      <c r="E766" s="44" t="s">
        <v>171</v>
      </c>
      <c r="F766" s="44" t="s">
        <v>31</v>
      </c>
      <c r="G766" s="44" t="s">
        <v>120</v>
      </c>
      <c r="H766" s="44" t="s">
        <v>35</v>
      </c>
      <c r="I766" s="44" t="s">
        <v>35</v>
      </c>
      <c r="J766" s="44" t="s">
        <v>10</v>
      </c>
      <c r="K766" s="44" t="s">
        <v>132</v>
      </c>
      <c r="L766" s="40">
        <v>1134</v>
      </c>
      <c r="M766" s="41">
        <v>41339</v>
      </c>
      <c r="N766" s="40" t="s">
        <v>122</v>
      </c>
      <c r="O766" s="42"/>
      <c r="P766" s="40"/>
      <c r="Q766" s="207">
        <f>'[3]JCPL LP_GSCMMS'!G748</f>
        <v>0</v>
      </c>
      <c r="R766" s="207">
        <f>'[3]JCPL LP_GSCMMS'!H748</f>
        <v>0</v>
      </c>
      <c r="S766" s="207">
        <f>'[3]JCPL LP_GSCMMS'!I748</f>
        <v>0</v>
      </c>
      <c r="T766" s="207">
        <f>'[3]JCPL LP_GSCMMS'!J748</f>
        <v>0</v>
      </c>
      <c r="U766" s="207">
        <f>'[3]JCPL LP_GSCMMS'!K748</f>
        <v>0</v>
      </c>
      <c r="V766" s="145"/>
    </row>
    <row r="767" spans="1:22" x14ac:dyDescent="0.2">
      <c r="A767" s="89">
        <f t="shared" si="23"/>
        <v>759</v>
      </c>
      <c r="B767" s="43">
        <v>21</v>
      </c>
      <c r="C767" s="43">
        <v>19</v>
      </c>
      <c r="D767" s="38" t="s">
        <v>630</v>
      </c>
      <c r="E767" s="44" t="s">
        <v>173</v>
      </c>
      <c r="F767" s="44" t="s">
        <v>31</v>
      </c>
      <c r="G767" s="44" t="s">
        <v>120</v>
      </c>
      <c r="H767" s="44" t="s">
        <v>35</v>
      </c>
      <c r="I767" s="44" t="s">
        <v>35</v>
      </c>
      <c r="J767" s="44" t="s">
        <v>11</v>
      </c>
      <c r="K767" s="44" t="s">
        <v>129</v>
      </c>
      <c r="L767" s="40">
        <v>1135</v>
      </c>
      <c r="M767" s="41">
        <v>41339</v>
      </c>
      <c r="N767" s="40" t="s">
        <v>122</v>
      </c>
      <c r="O767" s="42"/>
      <c r="P767" s="40"/>
      <c r="Q767" s="207">
        <f>'[3]JCPL LP_GSCSMS'!G748</f>
        <v>0</v>
      </c>
      <c r="R767" s="207">
        <f>'[3]JCPL LP_GSCSMS'!H748</f>
        <v>0</v>
      </c>
      <c r="S767" s="207">
        <f>'[3]JCPL LP_GSCSMS'!I748</f>
        <v>0</v>
      </c>
      <c r="T767" s="207">
        <f>'[3]JCPL LP_GSCSMS'!J748</f>
        <v>0</v>
      </c>
      <c r="U767" s="207">
        <f>'[3]JCPL LP_GSCSMS'!K748</f>
        <v>0</v>
      </c>
      <c r="V767" s="145"/>
    </row>
    <row r="768" spans="1:22" x14ac:dyDescent="0.2">
      <c r="A768" s="89">
        <f t="shared" si="23"/>
        <v>760</v>
      </c>
      <c r="B768" s="43">
        <v>21</v>
      </c>
      <c r="C768" s="43">
        <v>20</v>
      </c>
      <c r="D768" s="38" t="s">
        <v>631</v>
      </c>
      <c r="E768" s="44" t="s">
        <v>175</v>
      </c>
      <c r="F768" s="44" t="s">
        <v>6</v>
      </c>
      <c r="G768" s="44" t="s">
        <v>120</v>
      </c>
      <c r="H768" s="44" t="s">
        <v>176</v>
      </c>
      <c r="I768" s="44" t="s">
        <v>177</v>
      </c>
      <c r="J768" s="44" t="s">
        <v>9</v>
      </c>
      <c r="K768" s="44" t="s">
        <v>135</v>
      </c>
      <c r="L768" s="40">
        <v>1137</v>
      </c>
      <c r="M768" s="41">
        <v>41339</v>
      </c>
      <c r="N768" s="40" t="s">
        <v>122</v>
      </c>
      <c r="O768" s="42"/>
      <c r="P768" s="40"/>
      <c r="Q768" s="207">
        <f>'[3]MetEd RC_GSLFMS'!G748</f>
        <v>0</v>
      </c>
      <c r="R768" s="207">
        <f>'[3]MetEd RC_GSLFMS'!H748</f>
        <v>0</v>
      </c>
      <c r="S768" s="207">
        <f>'[3]MetEd RC_GSLFMS'!I748</f>
        <v>0</v>
      </c>
      <c r="T768" s="207">
        <f>'[3]MetEd RC_GSLFMS'!J748</f>
        <v>0</v>
      </c>
      <c r="U768" s="207">
        <f>'[3]MetEd RC_GSLFMS'!K748</f>
        <v>0</v>
      </c>
      <c r="V768" s="145"/>
    </row>
    <row r="769" spans="1:22" x14ac:dyDescent="0.2">
      <c r="A769" s="89">
        <f t="shared" si="23"/>
        <v>761</v>
      </c>
      <c r="B769" s="43">
        <v>21</v>
      </c>
      <c r="C769" s="43">
        <v>21</v>
      </c>
      <c r="D769" s="38" t="s">
        <v>632</v>
      </c>
      <c r="E769" s="44" t="s">
        <v>179</v>
      </c>
      <c r="F769" s="44" t="s">
        <v>6</v>
      </c>
      <c r="G769" s="44" t="s">
        <v>120</v>
      </c>
      <c r="H769" s="44" t="s">
        <v>176</v>
      </c>
      <c r="I769" s="44" t="s">
        <v>177</v>
      </c>
      <c r="J769" s="44" t="s">
        <v>10</v>
      </c>
      <c r="K769" s="44" t="s">
        <v>132</v>
      </c>
      <c r="L769" s="40">
        <v>1136</v>
      </c>
      <c r="M769" s="41">
        <v>41339</v>
      </c>
      <c r="N769" s="40" t="s">
        <v>122</v>
      </c>
      <c r="O769" s="42"/>
      <c r="P769" s="40"/>
      <c r="Q769" s="207">
        <f>'[3]MetEd RC_GSDFMS'!G748</f>
        <v>0</v>
      </c>
      <c r="R769" s="207">
        <f>'[3]MetEd RC_GSDFMS'!H748</f>
        <v>0</v>
      </c>
      <c r="S769" s="207">
        <f>'[3]MetEd RC_GSDFMS'!I748</f>
        <v>0</v>
      </c>
      <c r="T769" s="207">
        <f>'[3]MetEd RC_GSDFMS'!J748</f>
        <v>0</v>
      </c>
      <c r="U769" s="207">
        <f>'[3]MetEd RC_GSDFMS'!K748</f>
        <v>0</v>
      </c>
      <c r="V769" s="145"/>
    </row>
    <row r="770" spans="1:22" x14ac:dyDescent="0.2">
      <c r="A770" s="89">
        <f t="shared" si="23"/>
        <v>762</v>
      </c>
      <c r="B770" s="43">
        <v>21</v>
      </c>
      <c r="C770" s="43">
        <v>22</v>
      </c>
      <c r="D770" s="38" t="s">
        <v>633</v>
      </c>
      <c r="E770" s="44" t="s">
        <v>181</v>
      </c>
      <c r="F770" s="44" t="s">
        <v>6</v>
      </c>
      <c r="G770" s="44" t="s">
        <v>120</v>
      </c>
      <c r="H770" s="44" t="s">
        <v>176</v>
      </c>
      <c r="I770" s="44" t="s">
        <v>177</v>
      </c>
      <c r="J770" s="44" t="s">
        <v>11</v>
      </c>
      <c r="K770" s="44" t="s">
        <v>129</v>
      </c>
      <c r="L770" s="40">
        <v>1138</v>
      </c>
      <c r="M770" s="41">
        <v>41339</v>
      </c>
      <c r="N770" s="40" t="s">
        <v>122</v>
      </c>
      <c r="O770" s="42"/>
      <c r="P770" s="40"/>
      <c r="Q770" s="207">
        <f>'[3]MetEd RC_GSSFMS'!G748</f>
        <v>0</v>
      </c>
      <c r="R770" s="207">
        <f>'[3]MetEd RC_GSSFMS'!H748</f>
        <v>0</v>
      </c>
      <c r="S770" s="207">
        <f>'[3]MetEd RC_GSSFMS'!I748</f>
        <v>0</v>
      </c>
      <c r="T770" s="207">
        <f>'[3]MetEd RC_GSSFMS'!J748</f>
        <v>0</v>
      </c>
      <c r="U770" s="207">
        <f>'[3]MetEd RC_GSSFMS'!K748</f>
        <v>0</v>
      </c>
      <c r="V770" s="145"/>
    </row>
    <row r="771" spans="1:22" x14ac:dyDescent="0.2">
      <c r="A771" s="89">
        <f t="shared" si="23"/>
        <v>763</v>
      </c>
      <c r="B771" s="43">
        <v>21</v>
      </c>
      <c r="C771" s="43">
        <v>23</v>
      </c>
      <c r="D771" s="38" t="s">
        <v>634</v>
      </c>
      <c r="E771" s="44" t="s">
        <v>183</v>
      </c>
      <c r="F771" s="44" t="s">
        <v>6</v>
      </c>
      <c r="G771" s="44" t="s">
        <v>120</v>
      </c>
      <c r="H771" s="44" t="s">
        <v>13</v>
      </c>
      <c r="I771" s="44" t="s">
        <v>13</v>
      </c>
      <c r="J771" s="44" t="s">
        <v>7</v>
      </c>
      <c r="K771" s="44" t="s">
        <v>140</v>
      </c>
      <c r="L771" s="40">
        <v>1139</v>
      </c>
      <c r="M771" s="41">
        <v>41339</v>
      </c>
      <c r="N771" s="40" t="s">
        <v>122</v>
      </c>
      <c r="O771" s="42"/>
      <c r="P771" s="40"/>
      <c r="Q771" s="207">
        <f>'[3]PECO LP_GSMS'!G748</f>
        <v>0</v>
      </c>
      <c r="R771" s="207">
        <f>'[3]PECO LP_GSMS'!H748</f>
        <v>0</v>
      </c>
      <c r="S771" s="207">
        <f>'[3]PECO LP_GSMS'!I748</f>
        <v>0</v>
      </c>
      <c r="T771" s="207">
        <f>'[3]PECO LP_GSMS'!J748</f>
        <v>0</v>
      </c>
      <c r="U771" s="207">
        <f>'[3]PECO LP_GSMS'!K748</f>
        <v>0</v>
      </c>
      <c r="V771" s="145"/>
    </row>
    <row r="772" spans="1:22" x14ac:dyDescent="0.2">
      <c r="A772" s="89">
        <f t="shared" si="23"/>
        <v>764</v>
      </c>
      <c r="B772" s="43">
        <v>21</v>
      </c>
      <c r="C772" s="43">
        <v>24</v>
      </c>
      <c r="D772" s="38" t="s">
        <v>635</v>
      </c>
      <c r="E772" s="44" t="s">
        <v>185</v>
      </c>
      <c r="F772" s="44" t="s">
        <v>6</v>
      </c>
      <c r="G772" s="44" t="s">
        <v>120</v>
      </c>
      <c r="H772" s="44" t="s">
        <v>12</v>
      </c>
      <c r="I772" s="44" t="s">
        <v>186</v>
      </c>
      <c r="J772" s="44" t="s">
        <v>9</v>
      </c>
      <c r="K772" s="44" t="s">
        <v>135</v>
      </c>
      <c r="L772" s="40">
        <v>1140</v>
      </c>
      <c r="M772" s="41">
        <v>41339</v>
      </c>
      <c r="N772" s="40" t="s">
        <v>122</v>
      </c>
      <c r="O772" s="42"/>
      <c r="P772" s="40"/>
      <c r="Q772" s="207">
        <f>'[3]Penelec RC_GSLFMS'!G748</f>
        <v>0</v>
      </c>
      <c r="R772" s="207">
        <f>'[3]Penelec RC_GSLFMS'!H748</f>
        <v>0</v>
      </c>
      <c r="S772" s="207">
        <f>'[3]Penelec RC_GSLFMS'!I748</f>
        <v>0</v>
      </c>
      <c r="T772" s="207">
        <f>'[3]Penelec RC_GSLFMS'!J748</f>
        <v>0</v>
      </c>
      <c r="U772" s="207">
        <f>'[3]Penelec RC_GSLFMS'!K748</f>
        <v>0</v>
      </c>
      <c r="V772" s="145"/>
    </row>
    <row r="773" spans="1:22" x14ac:dyDescent="0.2">
      <c r="A773" s="89">
        <f t="shared" si="23"/>
        <v>765</v>
      </c>
      <c r="B773" s="43">
        <v>21</v>
      </c>
      <c r="C773" s="43">
        <v>25</v>
      </c>
      <c r="D773" s="38" t="s">
        <v>636</v>
      </c>
      <c r="E773" s="44" t="s">
        <v>188</v>
      </c>
      <c r="F773" s="44" t="s">
        <v>6</v>
      </c>
      <c r="G773" s="44" t="s">
        <v>120</v>
      </c>
      <c r="H773" s="44" t="s">
        <v>12</v>
      </c>
      <c r="I773" s="44" t="s">
        <v>186</v>
      </c>
      <c r="J773" s="44" t="s">
        <v>10</v>
      </c>
      <c r="K773" s="44" t="s">
        <v>132</v>
      </c>
      <c r="L773" s="40">
        <v>1141</v>
      </c>
      <c r="M773" s="41">
        <v>41339</v>
      </c>
      <c r="N773" s="40" t="s">
        <v>122</v>
      </c>
      <c r="O773" s="42"/>
      <c r="P773" s="40"/>
      <c r="Q773" s="207">
        <f>'[3]Penelec RC_GSMFMS'!G748</f>
        <v>0</v>
      </c>
      <c r="R773" s="207">
        <f>'[3]Penelec RC_GSMFMS'!H748</f>
        <v>0</v>
      </c>
      <c r="S773" s="207">
        <f>'[3]Penelec RC_GSMFMS'!I748</f>
        <v>0</v>
      </c>
      <c r="T773" s="207">
        <f>'[3]Penelec RC_GSMFMS'!J748</f>
        <v>0</v>
      </c>
      <c r="U773" s="207">
        <f>'[3]Penelec RC_GSMFMS'!K748</f>
        <v>0</v>
      </c>
      <c r="V773" s="145"/>
    </row>
    <row r="774" spans="1:22" x14ac:dyDescent="0.2">
      <c r="A774" s="89">
        <f t="shared" si="23"/>
        <v>766</v>
      </c>
      <c r="B774" s="43">
        <v>21</v>
      </c>
      <c r="C774" s="43">
        <v>26</v>
      </c>
      <c r="D774" s="38" t="s">
        <v>637</v>
      </c>
      <c r="E774" s="44" t="s">
        <v>190</v>
      </c>
      <c r="F774" s="44" t="s">
        <v>6</v>
      </c>
      <c r="G774" s="44" t="s">
        <v>120</v>
      </c>
      <c r="H774" s="44" t="s">
        <v>12</v>
      </c>
      <c r="I774" s="44" t="s">
        <v>186</v>
      </c>
      <c r="J774" s="44" t="s">
        <v>11</v>
      </c>
      <c r="K774" s="44" t="s">
        <v>129</v>
      </c>
      <c r="L774" s="40">
        <v>1142</v>
      </c>
      <c r="M774" s="41">
        <v>41339</v>
      </c>
      <c r="N774" s="40" t="s">
        <v>122</v>
      </c>
      <c r="O774" s="42"/>
      <c r="P774" s="40"/>
      <c r="Q774" s="207">
        <f>'[3]Penelec RC_GSSFMS'!G748</f>
        <v>0</v>
      </c>
      <c r="R774" s="207">
        <f>'[3]Penelec RC_GSSFMS'!H748</f>
        <v>0</v>
      </c>
      <c r="S774" s="207">
        <f>'[3]Penelec RC_GSSFMS'!I748</f>
        <v>0</v>
      </c>
      <c r="T774" s="207">
        <f>'[3]Penelec RC_GSSFMS'!J748</f>
        <v>0</v>
      </c>
      <c r="U774" s="207">
        <f>'[3]Penelec RC_GSSFMS'!K748</f>
        <v>0</v>
      </c>
      <c r="V774" s="145"/>
    </row>
    <row r="775" spans="1:22" x14ac:dyDescent="0.2">
      <c r="A775" s="89">
        <f t="shared" si="23"/>
        <v>767</v>
      </c>
      <c r="B775" s="43">
        <v>21</v>
      </c>
      <c r="C775" s="43">
        <v>27</v>
      </c>
      <c r="D775" s="38" t="s">
        <v>638</v>
      </c>
      <c r="E775" s="44" t="s">
        <v>192</v>
      </c>
      <c r="F775" s="44" t="s">
        <v>6</v>
      </c>
      <c r="G775" s="44" t="s">
        <v>120</v>
      </c>
      <c r="H775" s="44" t="s">
        <v>100</v>
      </c>
      <c r="I775" s="44" t="s">
        <v>193</v>
      </c>
      <c r="J775" s="44" t="s">
        <v>7</v>
      </c>
      <c r="K775" s="44" t="s">
        <v>140</v>
      </c>
      <c r="L775" s="40">
        <v>1143</v>
      </c>
      <c r="M775" s="41">
        <v>41339</v>
      </c>
      <c r="N775" s="40" t="s">
        <v>122</v>
      </c>
      <c r="O775" s="42"/>
      <c r="P775" s="40"/>
      <c r="Q775" s="207">
        <f>'[3]Penn Power RC_GMDMS'!G748</f>
        <v>0</v>
      </c>
      <c r="R775" s="207">
        <f>'[3]Penn Power RC_GMDMS'!H748</f>
        <v>0</v>
      </c>
      <c r="S775" s="207">
        <f>'[3]Penn Power RC_GMDMS'!I748</f>
        <v>0</v>
      </c>
      <c r="T775" s="207">
        <f>'[3]Penn Power RC_GMDMS'!J748</f>
        <v>0</v>
      </c>
      <c r="U775" s="207">
        <f>'[3]Penn Power RC_GMDMS'!K748</f>
        <v>0</v>
      </c>
      <c r="V775" s="145"/>
    </row>
    <row r="776" spans="1:22" x14ac:dyDescent="0.2">
      <c r="A776" s="89">
        <f t="shared" si="23"/>
        <v>768</v>
      </c>
      <c r="B776" s="43">
        <v>21</v>
      </c>
      <c r="C776" s="43">
        <v>28</v>
      </c>
      <c r="D776" s="38" t="s">
        <v>639</v>
      </c>
      <c r="E776" s="44" t="s">
        <v>195</v>
      </c>
      <c r="F776" s="44" t="s">
        <v>39</v>
      </c>
      <c r="G776" s="44" t="s">
        <v>120</v>
      </c>
      <c r="H776" s="44" t="s">
        <v>44</v>
      </c>
      <c r="I776" s="44" t="s">
        <v>44</v>
      </c>
      <c r="J776" s="44" t="s">
        <v>7</v>
      </c>
      <c r="K776" s="44" t="s">
        <v>140</v>
      </c>
      <c r="L776" s="40">
        <v>1144</v>
      </c>
      <c r="M776" s="41">
        <v>41339</v>
      </c>
      <c r="N776" s="40" t="s">
        <v>122</v>
      </c>
      <c r="O776" s="42"/>
      <c r="P776" s="40"/>
      <c r="Q776" s="207">
        <f>'[3]PEPCO MD LP_MDNDMS'!G748</f>
        <v>0</v>
      </c>
      <c r="R776" s="207">
        <f>'[3]PEPCO MD LP_MDNDMS'!H748</f>
        <v>0</v>
      </c>
      <c r="S776" s="207">
        <f>'[3]PEPCO MD LP_MDNDMS'!I748</f>
        <v>0</v>
      </c>
      <c r="T776" s="207">
        <f>'[3]PEPCO MD LP_MDNDMS'!J748</f>
        <v>0</v>
      </c>
      <c r="U776" s="207">
        <f>'[3]PEPCO MD LP_MDNDMS'!K748</f>
        <v>0</v>
      </c>
      <c r="V776" s="145"/>
    </row>
    <row r="777" spans="1:22" x14ac:dyDescent="0.2">
      <c r="A777" s="89">
        <f t="shared" si="23"/>
        <v>769</v>
      </c>
      <c r="B777" s="43">
        <v>21</v>
      </c>
      <c r="C777" s="43">
        <v>29</v>
      </c>
      <c r="D777" s="38" t="s">
        <v>640</v>
      </c>
      <c r="E777" s="44" t="s">
        <v>197</v>
      </c>
      <c r="F777" s="44" t="s">
        <v>39</v>
      </c>
      <c r="G777" s="44" t="s">
        <v>120</v>
      </c>
      <c r="H777" s="44" t="s">
        <v>44</v>
      </c>
      <c r="I777" s="44" t="s">
        <v>44</v>
      </c>
      <c r="J777" s="44" t="s">
        <v>45</v>
      </c>
      <c r="K777" s="44" t="s">
        <v>198</v>
      </c>
      <c r="L777" s="40">
        <v>1145</v>
      </c>
      <c r="M777" s="41">
        <v>41339</v>
      </c>
      <c r="N777" s="40" t="s">
        <v>122</v>
      </c>
      <c r="O777" s="42"/>
      <c r="P777" s="40"/>
      <c r="Q777" s="207">
        <f>'[3]PEPCO MD LP_MMGTL2AMS'!G748</f>
        <v>0</v>
      </c>
      <c r="R777" s="207">
        <f>'[3]PEPCO MD LP_MMGTL2AMS'!H748</f>
        <v>0</v>
      </c>
      <c r="S777" s="207">
        <f>'[3]PEPCO MD LP_MMGTL2AMS'!I748</f>
        <v>0</v>
      </c>
      <c r="T777" s="207">
        <f>'[3]PEPCO MD LP_MMGTL2AMS'!J748</f>
        <v>0</v>
      </c>
      <c r="U777" s="207">
        <f>'[3]PEPCO MD LP_MMGTL2AMS'!K748</f>
        <v>0</v>
      </c>
      <c r="V777" s="145"/>
    </row>
    <row r="778" spans="1:22" x14ac:dyDescent="0.2">
      <c r="A778" s="89">
        <f t="shared" si="23"/>
        <v>770</v>
      </c>
      <c r="B778" s="43">
        <v>21</v>
      </c>
      <c r="C778" s="43">
        <v>30</v>
      </c>
      <c r="D778" s="38" t="s">
        <v>641</v>
      </c>
      <c r="E778" s="44" t="s">
        <v>200</v>
      </c>
      <c r="F778" s="44" t="s">
        <v>39</v>
      </c>
      <c r="G778" s="44" t="s">
        <v>120</v>
      </c>
      <c r="H778" s="44" t="s">
        <v>44</v>
      </c>
      <c r="I778" s="44" t="s">
        <v>44</v>
      </c>
      <c r="J778" s="44" t="s">
        <v>46</v>
      </c>
      <c r="K778" s="44" t="s">
        <v>46</v>
      </c>
      <c r="L778" s="40">
        <v>1146</v>
      </c>
      <c r="M778" s="41">
        <v>41339</v>
      </c>
      <c r="N778" s="40" t="s">
        <v>122</v>
      </c>
      <c r="O778" s="42"/>
      <c r="P778" s="40"/>
      <c r="Q778" s="207">
        <f>'[3]PEPCO MD RC_3T7MS'!G748</f>
        <v>0</v>
      </c>
      <c r="R778" s="207">
        <f>'[3]PEPCO MD RC_3T7MS'!H748</f>
        <v>0</v>
      </c>
      <c r="S778" s="207">
        <f>'[3]PEPCO MD RC_3T7MS'!I748</f>
        <v>0</v>
      </c>
      <c r="T778" s="207">
        <f>'[3]PEPCO MD RC_3T7MS'!J748</f>
        <v>0</v>
      </c>
      <c r="U778" s="207">
        <f>'[3]PEPCO MD RC_3T7MS'!K748</f>
        <v>0</v>
      </c>
      <c r="V778" s="145"/>
    </row>
    <row r="779" spans="1:22" x14ac:dyDescent="0.2">
      <c r="A779" s="89">
        <f t="shared" ref="A779:A842" si="24">A778+1</f>
        <v>771</v>
      </c>
      <c r="B779" s="43">
        <v>21</v>
      </c>
      <c r="C779" s="43">
        <v>31</v>
      </c>
      <c r="D779" s="38" t="s">
        <v>642</v>
      </c>
      <c r="E779" s="44" t="s">
        <v>202</v>
      </c>
      <c r="F779" s="44" t="s">
        <v>39</v>
      </c>
      <c r="G779" s="44" t="s">
        <v>120</v>
      </c>
      <c r="H779" s="44" t="s">
        <v>47</v>
      </c>
      <c r="I779" s="44" t="s">
        <v>47</v>
      </c>
      <c r="J779" s="44" t="s">
        <v>7</v>
      </c>
      <c r="K779" s="44" t="s">
        <v>140</v>
      </c>
      <c r="L779" s="40">
        <v>1147</v>
      </c>
      <c r="M779" s="41">
        <v>41339</v>
      </c>
      <c r="N779" s="40" t="s">
        <v>122</v>
      </c>
      <c r="O779" s="42"/>
      <c r="P779" s="40"/>
      <c r="Q779" s="207">
        <f>'[3]Potomac Edison LP_GSCM_MMS'!G748</f>
        <v>0</v>
      </c>
      <c r="R779" s="207">
        <f>'[3]Potomac Edison LP_GSCM_MMS'!H748</f>
        <v>0</v>
      </c>
      <c r="S779" s="207">
        <f>'[3]Potomac Edison LP_GSCM_MMS'!I748</f>
        <v>0</v>
      </c>
      <c r="T779" s="207">
        <f>'[3]Potomac Edison LP_GSCM_MMS'!J748</f>
        <v>0</v>
      </c>
      <c r="U779" s="207">
        <f>'[3]Potomac Edison LP_GSCM_MMS'!K748</f>
        <v>0</v>
      </c>
      <c r="V779" s="145"/>
    </row>
    <row r="780" spans="1:22" x14ac:dyDescent="0.2">
      <c r="A780" s="89">
        <f t="shared" si="24"/>
        <v>772</v>
      </c>
      <c r="B780" s="43">
        <v>21</v>
      </c>
      <c r="C780" s="43">
        <v>32</v>
      </c>
      <c r="D780" s="38" t="s">
        <v>643</v>
      </c>
      <c r="E780" s="44" t="s">
        <v>204</v>
      </c>
      <c r="F780" s="44" t="s">
        <v>6</v>
      </c>
      <c r="G780" s="44" t="s">
        <v>120</v>
      </c>
      <c r="H780" s="44" t="s">
        <v>14</v>
      </c>
      <c r="I780" s="44" t="s">
        <v>14</v>
      </c>
      <c r="J780" s="44" t="s">
        <v>15</v>
      </c>
      <c r="K780" s="44" t="s">
        <v>129</v>
      </c>
      <c r="L780" s="40">
        <v>1148</v>
      </c>
      <c r="M780" s="41">
        <v>41339</v>
      </c>
      <c r="N780" s="40" t="s">
        <v>122</v>
      </c>
      <c r="O780" s="42"/>
      <c r="P780" s="40"/>
      <c r="Q780" s="207">
        <f>[3]PPL_RCGS1MS!G748</f>
        <v>0</v>
      </c>
      <c r="R780" s="207">
        <f>[3]PPL_RCGS1MS!H748</f>
        <v>0</v>
      </c>
      <c r="S780" s="207">
        <f>[3]PPL_RCGS1MS!I748</f>
        <v>0</v>
      </c>
      <c r="T780" s="207">
        <f>[3]PPL_RCGS1MS!J748</f>
        <v>0</v>
      </c>
      <c r="U780" s="207">
        <f>[3]PPL_RCGS1MS!K748</f>
        <v>0</v>
      </c>
      <c r="V780" s="145"/>
    </row>
    <row r="781" spans="1:22" x14ac:dyDescent="0.2">
      <c r="A781" s="89">
        <f t="shared" si="24"/>
        <v>773</v>
      </c>
      <c r="B781" s="43">
        <v>21</v>
      </c>
      <c r="C781" s="43">
        <v>33</v>
      </c>
      <c r="D781" s="38" t="s">
        <v>644</v>
      </c>
      <c r="E781" s="44" t="s">
        <v>206</v>
      </c>
      <c r="F781" s="44" t="s">
        <v>6</v>
      </c>
      <c r="G781" s="44" t="s">
        <v>120</v>
      </c>
      <c r="H781" s="44" t="s">
        <v>14</v>
      </c>
      <c r="I781" s="44" t="s">
        <v>14</v>
      </c>
      <c r="J781" s="44" t="s">
        <v>16</v>
      </c>
      <c r="K781" s="44" t="s">
        <v>135</v>
      </c>
      <c r="L781" s="40">
        <v>1149</v>
      </c>
      <c r="M781" s="41">
        <v>41339</v>
      </c>
      <c r="N781" s="40" t="s">
        <v>122</v>
      </c>
      <c r="O781" s="42"/>
      <c r="P781" s="40"/>
      <c r="Q781" s="207">
        <f>[3]PPL_RCGS3MS!G748</f>
        <v>0</v>
      </c>
      <c r="R781" s="207">
        <f>[3]PPL_RCGS3MS!H748</f>
        <v>0</v>
      </c>
      <c r="S781" s="207">
        <f>[3]PPL_RCGS3MS!I748</f>
        <v>0</v>
      </c>
      <c r="T781" s="207">
        <f>[3]PPL_RCGS3MS!J748</f>
        <v>0</v>
      </c>
      <c r="U781" s="207">
        <f>[3]PPL_RCGS3MS!K748</f>
        <v>0</v>
      </c>
      <c r="V781" s="145"/>
    </row>
    <row r="782" spans="1:22" x14ac:dyDescent="0.2">
      <c r="A782" s="89">
        <f t="shared" si="24"/>
        <v>774</v>
      </c>
      <c r="B782" s="43">
        <v>21</v>
      </c>
      <c r="C782" s="43">
        <v>34</v>
      </c>
      <c r="D782" s="38" t="s">
        <v>645</v>
      </c>
      <c r="E782" s="44" t="s">
        <v>208</v>
      </c>
      <c r="F782" s="44" t="s">
        <v>31</v>
      </c>
      <c r="G782" s="44" t="s">
        <v>120</v>
      </c>
      <c r="H782" s="44" t="s">
        <v>36</v>
      </c>
      <c r="I782" s="44" t="s">
        <v>36</v>
      </c>
      <c r="J782" s="44" t="s">
        <v>37</v>
      </c>
      <c r="K782" s="44" t="s">
        <v>209</v>
      </c>
      <c r="L782" s="40">
        <v>1150</v>
      </c>
      <c r="M782" s="41">
        <v>41339</v>
      </c>
      <c r="N782" s="40" t="s">
        <v>122</v>
      </c>
      <c r="O782" s="42"/>
      <c r="P782" s="40"/>
      <c r="Q782" s="207">
        <f>'[3]PSEG LP_GLP_MMS'!G748</f>
        <v>0</v>
      </c>
      <c r="R782" s="207">
        <f>'[3]PSEG LP_GLP_MMS'!H748</f>
        <v>0</v>
      </c>
      <c r="S782" s="207">
        <f>'[3]PSEG LP_GLP_MMS'!I748</f>
        <v>0</v>
      </c>
      <c r="T782" s="207">
        <f>'[3]PSEG LP_GLP_MMS'!J748</f>
        <v>0</v>
      </c>
      <c r="U782" s="207">
        <f>'[3]PSEG LP_GLP_MMS'!K748</f>
        <v>0</v>
      </c>
      <c r="V782" s="145"/>
    </row>
    <row r="783" spans="1:22" x14ac:dyDescent="0.2">
      <c r="A783" s="89">
        <f t="shared" si="24"/>
        <v>775</v>
      </c>
      <c r="B783" s="43">
        <v>21</v>
      </c>
      <c r="C783" s="43">
        <v>35</v>
      </c>
      <c r="D783" s="38" t="s">
        <v>646</v>
      </c>
      <c r="E783" s="44" t="s">
        <v>211</v>
      </c>
      <c r="F783" s="44" t="s">
        <v>31</v>
      </c>
      <c r="G783" s="44" t="s">
        <v>120</v>
      </c>
      <c r="H783" s="44" t="s">
        <v>36</v>
      </c>
      <c r="I783" s="44" t="s">
        <v>36</v>
      </c>
      <c r="J783" s="44" t="s">
        <v>38</v>
      </c>
      <c r="K783" s="44" t="s">
        <v>212</v>
      </c>
      <c r="L783" s="40">
        <v>1151</v>
      </c>
      <c r="M783" s="41">
        <v>41339</v>
      </c>
      <c r="N783" s="40" t="s">
        <v>122</v>
      </c>
      <c r="O783" s="42"/>
      <c r="P783" s="40"/>
      <c r="Q783" s="207">
        <f>'[3]PSEG LP_LPLMS'!G748</f>
        <v>0</v>
      </c>
      <c r="R783" s="207">
        <f>'[3]PSEG LP_LPLMS'!H748</f>
        <v>0</v>
      </c>
      <c r="S783" s="207">
        <f>'[3]PSEG LP_LPLMS'!I748</f>
        <v>0</v>
      </c>
      <c r="T783" s="207">
        <f>'[3]PSEG LP_LPLMS'!J748</f>
        <v>0</v>
      </c>
      <c r="U783" s="207">
        <f>'[3]PSEG LP_LPLMS'!K748</f>
        <v>0</v>
      </c>
      <c r="V783" s="145"/>
    </row>
    <row r="784" spans="1:22" x14ac:dyDescent="0.2">
      <c r="A784" s="89">
        <f t="shared" si="24"/>
        <v>776</v>
      </c>
      <c r="B784" s="43">
        <v>21</v>
      </c>
      <c r="C784" s="43">
        <v>36</v>
      </c>
      <c r="D784" s="38" t="s">
        <v>647</v>
      </c>
      <c r="E784" s="44" t="s">
        <v>214</v>
      </c>
      <c r="F784" s="44" t="s">
        <v>6</v>
      </c>
      <c r="G784" s="44" t="s">
        <v>120</v>
      </c>
      <c r="H784" s="44" t="s">
        <v>17</v>
      </c>
      <c r="I784" s="44" t="s">
        <v>215</v>
      </c>
      <c r="J784" s="44" t="s">
        <v>18</v>
      </c>
      <c r="K784" s="44" t="s">
        <v>140</v>
      </c>
      <c r="L784" s="40">
        <v>1152</v>
      </c>
      <c r="M784" s="41">
        <v>41339</v>
      </c>
      <c r="N784" s="40" t="s">
        <v>122</v>
      </c>
      <c r="O784" s="42"/>
      <c r="P784" s="40"/>
      <c r="Q784" s="207">
        <f>'[3]West Penn Power LP_GSCMMS'!G748</f>
        <v>0</v>
      </c>
      <c r="R784" s="207">
        <f>'[3]West Penn Power LP_GSCMMS'!H748</f>
        <v>0</v>
      </c>
      <c r="S784" s="207">
        <f>'[3]West Penn Power LP_GSCMMS'!I748</f>
        <v>0</v>
      </c>
      <c r="T784" s="207">
        <f>'[3]West Penn Power LP_GSCMMS'!J748</f>
        <v>0</v>
      </c>
      <c r="U784" s="207">
        <f>'[3]West Penn Power LP_GSCMMS'!K748</f>
        <v>0</v>
      </c>
      <c r="V784" s="145"/>
    </row>
    <row r="785" spans="1:22" x14ac:dyDescent="0.2">
      <c r="A785" s="89">
        <f t="shared" si="24"/>
        <v>777</v>
      </c>
      <c r="B785" s="20"/>
      <c r="C785" s="20"/>
      <c r="D785" s="20"/>
      <c r="Q785" s="208"/>
      <c r="R785" s="208"/>
      <c r="S785" s="208"/>
      <c r="T785" s="208"/>
      <c r="U785" s="208"/>
    </row>
    <row r="786" spans="1:22" x14ac:dyDescent="0.2">
      <c r="A786" s="89">
        <f t="shared" si="24"/>
        <v>778</v>
      </c>
      <c r="B786" s="43">
        <v>22</v>
      </c>
      <c r="C786" s="43">
        <v>1</v>
      </c>
      <c r="D786" s="38" t="s">
        <v>612</v>
      </c>
      <c r="E786" s="44" t="s">
        <v>119</v>
      </c>
      <c r="F786" s="44" t="s">
        <v>31</v>
      </c>
      <c r="G786" s="44" t="s">
        <v>120</v>
      </c>
      <c r="H786" s="44" t="s">
        <v>32</v>
      </c>
      <c r="I786" s="44" t="s">
        <v>32</v>
      </c>
      <c r="J786" s="44" t="s">
        <v>33</v>
      </c>
      <c r="K786" s="44" t="s">
        <v>121</v>
      </c>
      <c r="L786" s="40">
        <v>1117</v>
      </c>
      <c r="M786" s="41">
        <v>41339</v>
      </c>
      <c r="N786" s="40" t="s">
        <v>122</v>
      </c>
      <c r="O786" s="42"/>
      <c r="P786" s="40"/>
      <c r="Q786" s="207">
        <f>'[3]AECO LP_10V1_SMS'!G785</f>
        <v>0</v>
      </c>
      <c r="R786" s="207">
        <f>'[3]AECO LP_10V1_SMS'!H785</f>
        <v>0</v>
      </c>
      <c r="S786" s="207">
        <f>'[3]AECO LP_10V1_SMS'!I785</f>
        <v>0</v>
      </c>
      <c r="T786" s="207">
        <f>'[3]AECO LP_10V1_SMS'!J785</f>
        <v>0</v>
      </c>
      <c r="U786" s="207">
        <f>'[3]AECO LP_10V1_SMS'!K785</f>
        <v>0</v>
      </c>
      <c r="V786" s="145"/>
    </row>
    <row r="787" spans="1:22" x14ac:dyDescent="0.2">
      <c r="A787" s="89">
        <f t="shared" si="24"/>
        <v>779</v>
      </c>
      <c r="B787" s="43">
        <v>22</v>
      </c>
      <c r="C787" s="43">
        <v>2</v>
      </c>
      <c r="D787" s="38" t="s">
        <v>613</v>
      </c>
      <c r="E787" s="44" t="s">
        <v>124</v>
      </c>
      <c r="F787" s="44" t="s">
        <v>31</v>
      </c>
      <c r="G787" s="44" t="s">
        <v>120</v>
      </c>
      <c r="H787" s="44" t="s">
        <v>32</v>
      </c>
      <c r="I787" s="44" t="s">
        <v>32</v>
      </c>
      <c r="J787" s="44" t="s">
        <v>34</v>
      </c>
      <c r="K787" s="44" t="s">
        <v>125</v>
      </c>
      <c r="L787" s="40">
        <v>1118</v>
      </c>
      <c r="M787" s="41">
        <v>41339</v>
      </c>
      <c r="N787" s="40" t="s">
        <v>122</v>
      </c>
      <c r="O787" s="42"/>
      <c r="P787" s="40"/>
      <c r="Q787" s="207">
        <f>'[3]AECO LP_14V1_MMS'!G785</f>
        <v>0</v>
      </c>
      <c r="R787" s="207">
        <f>'[3]AECO LP_14V1_MMS'!H785</f>
        <v>0</v>
      </c>
      <c r="S787" s="207">
        <f>'[3]AECO LP_14V1_MMS'!I785</f>
        <v>0</v>
      </c>
      <c r="T787" s="207">
        <f>'[3]AECO LP_14V1_MMS'!J785</f>
        <v>0</v>
      </c>
      <c r="U787" s="207">
        <f>'[3]AECO LP_14V1_MMS'!K785</f>
        <v>0</v>
      </c>
      <c r="V787" s="145"/>
    </row>
    <row r="788" spans="1:22" x14ac:dyDescent="0.2">
      <c r="A788" s="89">
        <f t="shared" si="24"/>
        <v>780</v>
      </c>
      <c r="B788" s="43">
        <v>22</v>
      </c>
      <c r="C788" s="43">
        <v>3</v>
      </c>
      <c r="D788" s="38" t="s">
        <v>614</v>
      </c>
      <c r="E788" s="44" t="s">
        <v>127</v>
      </c>
      <c r="F788" s="44" t="s">
        <v>20</v>
      </c>
      <c r="G788" s="44" t="s">
        <v>120</v>
      </c>
      <c r="H788" s="44" t="s">
        <v>63</v>
      </c>
      <c r="I788" s="44" t="s">
        <v>128</v>
      </c>
      <c r="J788" s="44" t="s">
        <v>15</v>
      </c>
      <c r="K788" s="44" t="s">
        <v>129</v>
      </c>
      <c r="L788" s="40">
        <v>1119</v>
      </c>
      <c r="M788" s="41">
        <v>41339</v>
      </c>
      <c r="N788" s="40" t="s">
        <v>122</v>
      </c>
      <c r="O788" s="42"/>
      <c r="P788" s="40"/>
      <c r="Q788" s="207">
        <f>'[3]AEP_OH_CS - test CSGS1MS'!G785</f>
        <v>0</v>
      </c>
      <c r="R788" s="207">
        <f>'[3]AEP_OH_CS - test CSGS1MS'!H785</f>
        <v>0</v>
      </c>
      <c r="S788" s="207">
        <f>'[3]AEP_OH_CS - test CSGS1MS'!I785</f>
        <v>0</v>
      </c>
      <c r="T788" s="207">
        <f>'[3]AEP_OH_CS - test CSGS1MS'!J785</f>
        <v>0</v>
      </c>
      <c r="U788" s="207">
        <f>'[3]AEP_OH_CS - test CSGS1MS'!K785</f>
        <v>0</v>
      </c>
      <c r="V788" s="145"/>
    </row>
    <row r="789" spans="1:22" x14ac:dyDescent="0.2">
      <c r="A789" s="89">
        <f t="shared" si="24"/>
        <v>781</v>
      </c>
      <c r="B789" s="43">
        <v>22</v>
      </c>
      <c r="C789" s="43">
        <v>4</v>
      </c>
      <c r="D789" s="38" t="s">
        <v>615</v>
      </c>
      <c r="E789" s="44" t="s">
        <v>131</v>
      </c>
      <c r="F789" s="44" t="s">
        <v>20</v>
      </c>
      <c r="G789" s="44" t="s">
        <v>120</v>
      </c>
      <c r="H789" s="44" t="s">
        <v>63</v>
      </c>
      <c r="I789" s="44" t="s">
        <v>128</v>
      </c>
      <c r="J789" s="44" t="s">
        <v>21</v>
      </c>
      <c r="K789" s="44" t="s">
        <v>132</v>
      </c>
      <c r="L789" s="40">
        <v>1120</v>
      </c>
      <c r="M789" s="41">
        <v>41339</v>
      </c>
      <c r="N789" s="40" t="s">
        <v>122</v>
      </c>
      <c r="O789" s="42"/>
      <c r="P789" s="40"/>
      <c r="Q789" s="207">
        <f>'[3]AEP_OH_CS - test CSGS2UMS'!G785</f>
        <v>0</v>
      </c>
      <c r="R789" s="207">
        <f>'[3]AEP_OH_CS - test CSGS2UMS'!H785</f>
        <v>0</v>
      </c>
      <c r="S789" s="207">
        <f>'[3]AEP_OH_CS - test CSGS2UMS'!I785</f>
        <v>0</v>
      </c>
      <c r="T789" s="207">
        <f>'[3]AEP_OH_CS - test CSGS2UMS'!J785</f>
        <v>0</v>
      </c>
      <c r="U789" s="207">
        <f>'[3]AEP_OH_CS - test CSGS2UMS'!K785</f>
        <v>0</v>
      </c>
      <c r="V789" s="145"/>
    </row>
    <row r="790" spans="1:22" x14ac:dyDescent="0.2">
      <c r="A790" s="89">
        <f t="shared" si="24"/>
        <v>782</v>
      </c>
      <c r="B790" s="43">
        <v>22</v>
      </c>
      <c r="C790" s="43">
        <v>5</v>
      </c>
      <c r="D790" s="38" t="s">
        <v>616</v>
      </c>
      <c r="E790" s="44" t="s">
        <v>134</v>
      </c>
      <c r="F790" s="44" t="s">
        <v>20</v>
      </c>
      <c r="G790" s="44" t="s">
        <v>120</v>
      </c>
      <c r="H790" s="44" t="s">
        <v>63</v>
      </c>
      <c r="I790" s="44" t="s">
        <v>128</v>
      </c>
      <c r="J790" s="44" t="s">
        <v>16</v>
      </c>
      <c r="K790" s="44" t="s">
        <v>135</v>
      </c>
      <c r="L790" s="40">
        <v>1121</v>
      </c>
      <c r="M790" s="41">
        <v>41339</v>
      </c>
      <c r="N790" s="40" t="s">
        <v>122</v>
      </c>
      <c r="O790" s="42"/>
      <c r="P790" s="40"/>
      <c r="Q790" s="207">
        <f>'[3]AEP_OH_CS - test CSGS3UMS'!G785</f>
        <v>0</v>
      </c>
      <c r="R790" s="207">
        <f>'[3]AEP_OH_CS - test CSGS3UMS'!H785</f>
        <v>0</v>
      </c>
      <c r="S790" s="207">
        <f>'[3]AEP_OH_CS - test CSGS3UMS'!I785</f>
        <v>0</v>
      </c>
      <c r="T790" s="207">
        <f>'[3]AEP_OH_CS - test CSGS3UMS'!J785</f>
        <v>0</v>
      </c>
      <c r="U790" s="207">
        <f>'[3]AEP_OH_CS - test CSGS3UMS'!K785</f>
        <v>0</v>
      </c>
      <c r="V790" s="145"/>
    </row>
    <row r="791" spans="1:22" x14ac:dyDescent="0.2">
      <c r="A791" s="89">
        <f t="shared" si="24"/>
        <v>783</v>
      </c>
      <c r="B791" s="43">
        <v>22</v>
      </c>
      <c r="C791" s="43">
        <v>6</v>
      </c>
      <c r="D791" s="38" t="s">
        <v>617</v>
      </c>
      <c r="E791" s="44" t="s">
        <v>137</v>
      </c>
      <c r="F791" s="44" t="s">
        <v>25</v>
      </c>
      <c r="G791" s="44" t="s">
        <v>138</v>
      </c>
      <c r="H791" s="44" t="s">
        <v>139</v>
      </c>
      <c r="I791" s="44" t="s">
        <v>29</v>
      </c>
      <c r="J791" s="44" t="s">
        <v>30</v>
      </c>
      <c r="K791" s="44" t="s">
        <v>140</v>
      </c>
      <c r="L791" s="40">
        <v>1122</v>
      </c>
      <c r="M791" s="41">
        <v>41339</v>
      </c>
      <c r="N791" s="40" t="s">
        <v>122</v>
      </c>
      <c r="O791" s="42"/>
      <c r="P791" s="40"/>
      <c r="Q791" s="207">
        <f>'[3]Ameren RateZnIII LP DS2HHMS'!G785</f>
        <v>0</v>
      </c>
      <c r="R791" s="207">
        <f>'[3]Ameren RateZnIII LP DS2HHMS'!H785</f>
        <v>0</v>
      </c>
      <c r="S791" s="207">
        <f>'[3]Ameren RateZnIII LP DS2HHMS'!I785</f>
        <v>0</v>
      </c>
      <c r="T791" s="207">
        <f>'[3]Ameren RateZnIII LP DS2HHMS'!J785</f>
        <v>0</v>
      </c>
      <c r="U791" s="207">
        <f>'[3]Ameren RateZnIII LP DS2HHMS'!K785</f>
        <v>0</v>
      </c>
      <c r="V791" s="145"/>
    </row>
    <row r="792" spans="1:22" x14ac:dyDescent="0.2">
      <c r="A792" s="89">
        <f t="shared" si="24"/>
        <v>784</v>
      </c>
      <c r="B792" s="43">
        <v>22</v>
      </c>
      <c r="C792" s="43">
        <v>7</v>
      </c>
      <c r="D792" s="38" t="s">
        <v>618</v>
      </c>
      <c r="E792" s="44" t="s">
        <v>142</v>
      </c>
      <c r="F792" s="44" t="s">
        <v>39</v>
      </c>
      <c r="G792" s="44" t="s">
        <v>120</v>
      </c>
      <c r="H792" s="44" t="s">
        <v>40</v>
      </c>
      <c r="I792" s="44" t="s">
        <v>40</v>
      </c>
      <c r="J792" s="44" t="s">
        <v>42</v>
      </c>
      <c r="K792" s="44" t="s">
        <v>135</v>
      </c>
      <c r="L792" s="40">
        <v>1124</v>
      </c>
      <c r="M792" s="41">
        <v>41339</v>
      </c>
      <c r="N792" s="40" t="s">
        <v>122</v>
      </c>
      <c r="O792" s="42"/>
      <c r="P792" s="40"/>
      <c r="Q792" s="207">
        <f>'[3]BGE LP_GLMS'!G785</f>
        <v>0</v>
      </c>
      <c r="R792" s="207">
        <f>'[3]BGE LP_GLMS'!H785</f>
        <v>0</v>
      </c>
      <c r="S792" s="207">
        <f>'[3]BGE LP_GLMS'!I785</f>
        <v>0</v>
      </c>
      <c r="T792" s="207">
        <f>'[3]BGE LP_GLMS'!J785</f>
        <v>0</v>
      </c>
      <c r="U792" s="207">
        <f>'[3]BGE LP_GLMS'!K785</f>
        <v>0</v>
      </c>
      <c r="V792" s="145"/>
    </row>
    <row r="793" spans="1:22" x14ac:dyDescent="0.2">
      <c r="A793" s="89">
        <f t="shared" si="24"/>
        <v>785</v>
      </c>
      <c r="B793" s="43">
        <v>22</v>
      </c>
      <c r="C793" s="43">
        <v>8</v>
      </c>
      <c r="D793" s="38" t="s">
        <v>619</v>
      </c>
      <c r="E793" s="44" t="s">
        <v>144</v>
      </c>
      <c r="F793" s="44" t="s">
        <v>39</v>
      </c>
      <c r="G793" s="44" t="s">
        <v>120</v>
      </c>
      <c r="H793" s="44" t="s">
        <v>40</v>
      </c>
      <c r="I793" s="44" t="s">
        <v>40</v>
      </c>
      <c r="J793" s="44" t="s">
        <v>41</v>
      </c>
      <c r="K793" s="44" t="s">
        <v>132</v>
      </c>
      <c r="L793" s="40">
        <v>1123</v>
      </c>
      <c r="M793" s="41">
        <v>41339</v>
      </c>
      <c r="N793" s="40" t="s">
        <v>122</v>
      </c>
      <c r="O793" s="42"/>
      <c r="P793" s="40"/>
      <c r="Q793" s="207">
        <f>'[3]BGE LP_GMS'!G785</f>
        <v>0</v>
      </c>
      <c r="R793" s="207">
        <f>'[3]BGE LP_GMS'!H785</f>
        <v>0</v>
      </c>
      <c r="S793" s="207">
        <f>'[3]BGE LP_GMS'!I785</f>
        <v>0</v>
      </c>
      <c r="T793" s="207">
        <f>'[3]BGE LP_GMS'!J785</f>
        <v>0</v>
      </c>
      <c r="U793" s="207">
        <f>'[3]BGE LP_GMS'!K785</f>
        <v>0</v>
      </c>
      <c r="V793" s="145"/>
    </row>
    <row r="794" spans="1:22" x14ac:dyDescent="0.2">
      <c r="A794" s="89">
        <f t="shared" si="24"/>
        <v>786</v>
      </c>
      <c r="B794" s="43">
        <v>22</v>
      </c>
      <c r="C794" s="43">
        <v>9</v>
      </c>
      <c r="D794" s="38" t="s">
        <v>620</v>
      </c>
      <c r="E794" s="44" t="s">
        <v>146</v>
      </c>
      <c r="F794" s="44" t="s">
        <v>39</v>
      </c>
      <c r="G794" s="44" t="s">
        <v>120</v>
      </c>
      <c r="H794" s="44" t="s">
        <v>40</v>
      </c>
      <c r="I794" s="44" t="s">
        <v>40</v>
      </c>
      <c r="J794" s="44" t="s">
        <v>7</v>
      </c>
      <c r="K794" s="44" t="s">
        <v>129</v>
      </c>
      <c r="L794" s="40">
        <v>1125</v>
      </c>
      <c r="M794" s="41">
        <v>41339</v>
      </c>
      <c r="N794" s="40" t="s">
        <v>122</v>
      </c>
      <c r="O794" s="42"/>
      <c r="P794" s="40"/>
      <c r="Q794" s="207">
        <f>'[3]BGE LP_GSMS'!G785</f>
        <v>0</v>
      </c>
      <c r="R794" s="207">
        <f>'[3]BGE LP_GSMS'!H785</f>
        <v>0</v>
      </c>
      <c r="S794" s="207">
        <f>'[3]BGE LP_GSMS'!I785</f>
        <v>0</v>
      </c>
      <c r="T794" s="207">
        <f>'[3]BGE LP_GSMS'!J785</f>
        <v>0</v>
      </c>
      <c r="U794" s="207">
        <f>'[3]BGE LP_GSMS'!K785</f>
        <v>0</v>
      </c>
      <c r="V794" s="145"/>
    </row>
    <row r="795" spans="1:22" x14ac:dyDescent="0.2">
      <c r="A795" s="89">
        <f t="shared" si="24"/>
        <v>787</v>
      </c>
      <c r="B795" s="43">
        <v>22</v>
      </c>
      <c r="C795" s="43">
        <v>10</v>
      </c>
      <c r="D795" s="38" t="s">
        <v>621</v>
      </c>
      <c r="E795" s="44" t="s">
        <v>148</v>
      </c>
      <c r="F795" s="44" t="s">
        <v>25</v>
      </c>
      <c r="G795" s="44" t="s">
        <v>120</v>
      </c>
      <c r="H795" s="44" t="s">
        <v>149</v>
      </c>
      <c r="I795" s="44" t="s">
        <v>26</v>
      </c>
      <c r="J795" s="44" t="s">
        <v>27</v>
      </c>
      <c r="K795" s="44" t="s">
        <v>150</v>
      </c>
      <c r="L795" s="40">
        <v>1126</v>
      </c>
      <c r="M795" s="41">
        <v>41339</v>
      </c>
      <c r="N795" s="40" t="s">
        <v>122</v>
      </c>
      <c r="O795" s="42"/>
      <c r="P795" s="40"/>
      <c r="Q795" s="207">
        <f>'[3]ComEd - test LP_28MS'!G785</f>
        <v>0</v>
      </c>
      <c r="R795" s="207">
        <f>'[3]ComEd - test LP_28MS'!H785</f>
        <v>0</v>
      </c>
      <c r="S795" s="207">
        <f>'[3]ComEd - test LP_28MS'!I785</f>
        <v>0</v>
      </c>
      <c r="T795" s="207">
        <f>'[3]ComEd - test LP_28MS'!J785</f>
        <v>0</v>
      </c>
      <c r="U795" s="207">
        <f>'[3]ComEd - test LP_28MS'!K785</f>
        <v>0</v>
      </c>
      <c r="V795" s="145"/>
    </row>
    <row r="796" spans="1:22" x14ac:dyDescent="0.2">
      <c r="A796" s="89">
        <f t="shared" si="24"/>
        <v>788</v>
      </c>
      <c r="B796" s="43">
        <v>22</v>
      </c>
      <c r="C796" s="43">
        <v>11</v>
      </c>
      <c r="D796" s="38" t="s">
        <v>622</v>
      </c>
      <c r="E796" s="44" t="s">
        <v>152</v>
      </c>
      <c r="F796" s="44" t="s">
        <v>25</v>
      </c>
      <c r="G796" s="44" t="s">
        <v>120</v>
      </c>
      <c r="H796" s="44" t="s">
        <v>149</v>
      </c>
      <c r="I796" s="44" t="s">
        <v>26</v>
      </c>
      <c r="J796" s="44" t="s">
        <v>28</v>
      </c>
      <c r="K796" s="44" t="s">
        <v>153</v>
      </c>
      <c r="L796" s="40">
        <v>1127</v>
      </c>
      <c r="M796" s="41">
        <v>41339</v>
      </c>
      <c r="N796" s="40" t="s">
        <v>122</v>
      </c>
      <c r="O796" s="42"/>
      <c r="P796" s="40"/>
      <c r="Q796" s="207">
        <f>'[3]ComEd - test LP_29MS'!G785</f>
        <v>0</v>
      </c>
      <c r="R796" s="207">
        <f>'[3]ComEd - test LP_29MS'!H785</f>
        <v>0</v>
      </c>
      <c r="S796" s="207">
        <f>'[3]ComEd - test LP_29MS'!I785</f>
        <v>0</v>
      </c>
      <c r="T796" s="207">
        <f>'[3]ComEd - test LP_29MS'!J785</f>
        <v>0</v>
      </c>
      <c r="U796" s="207">
        <f>'[3]ComEd - test LP_29MS'!K785</f>
        <v>0</v>
      </c>
      <c r="V796" s="145"/>
    </row>
    <row r="797" spans="1:22" x14ac:dyDescent="0.2">
      <c r="A797" s="89">
        <f t="shared" si="24"/>
        <v>789</v>
      </c>
      <c r="B797" s="43">
        <v>22</v>
      </c>
      <c r="C797" s="43">
        <v>12</v>
      </c>
      <c r="D797" s="38" t="s">
        <v>623</v>
      </c>
      <c r="E797" s="44" t="s">
        <v>155</v>
      </c>
      <c r="F797" s="44" t="s">
        <v>20</v>
      </c>
      <c r="G797" s="44" t="s">
        <v>120</v>
      </c>
      <c r="H797" s="44" t="s">
        <v>105</v>
      </c>
      <c r="I797" s="44" t="s">
        <v>156</v>
      </c>
      <c r="J797" s="44" t="s">
        <v>22</v>
      </c>
      <c r="K797" s="44" t="s">
        <v>157</v>
      </c>
      <c r="L797" s="40">
        <v>1128</v>
      </c>
      <c r="M797" s="41">
        <v>41339</v>
      </c>
      <c r="N797" s="40" t="s">
        <v>122</v>
      </c>
      <c r="O797" s="42"/>
      <c r="P797" s="40"/>
      <c r="Q797" s="207">
        <f>[3]DAY_RC_843MS!G785</f>
        <v>0</v>
      </c>
      <c r="R797" s="207">
        <f>[3]DAY_RC_843MS!H785</f>
        <v>0</v>
      </c>
      <c r="S797" s="207">
        <f>[3]DAY_RC_843MS!I785</f>
        <v>0</v>
      </c>
      <c r="T797" s="207">
        <f>[3]DAY_RC_843MS!J785</f>
        <v>0</v>
      </c>
      <c r="U797" s="207">
        <f>[3]DAY_RC_843MS!K785</f>
        <v>0</v>
      </c>
      <c r="V797" s="145"/>
    </row>
    <row r="798" spans="1:22" x14ac:dyDescent="0.2">
      <c r="A798" s="89">
        <f t="shared" si="24"/>
        <v>790</v>
      </c>
      <c r="B798" s="43">
        <v>22</v>
      </c>
      <c r="C798" s="43">
        <v>13</v>
      </c>
      <c r="D798" s="38" t="s">
        <v>624</v>
      </c>
      <c r="E798" s="44" t="s">
        <v>159</v>
      </c>
      <c r="F798" s="44" t="s">
        <v>39</v>
      </c>
      <c r="G798" s="44" t="s">
        <v>120</v>
      </c>
      <c r="H798" s="44" t="s">
        <v>43</v>
      </c>
      <c r="I798" s="44" t="s">
        <v>43</v>
      </c>
      <c r="J798" s="44" t="s">
        <v>7</v>
      </c>
      <c r="K798" s="44" t="s">
        <v>140</v>
      </c>
      <c r="L798" s="40">
        <v>1129</v>
      </c>
      <c r="M798" s="41">
        <v>41339</v>
      </c>
      <c r="N798" s="40" t="s">
        <v>122</v>
      </c>
      <c r="O798" s="42"/>
      <c r="P798" s="40"/>
      <c r="Q798" s="207">
        <f>'[3]Delmarva MD LP_MDGS_MMS'!G785</f>
        <v>0</v>
      </c>
      <c r="R798" s="207">
        <f>'[3]Delmarva MD LP_MDGS_MMS'!H785</f>
        <v>0</v>
      </c>
      <c r="S798" s="207">
        <f>'[3]Delmarva MD LP_MDGS_MMS'!I785</f>
        <v>0</v>
      </c>
      <c r="T798" s="207">
        <f>'[3]Delmarva MD LP_MDGS_MMS'!J785</f>
        <v>0</v>
      </c>
      <c r="U798" s="207">
        <f>'[3]Delmarva MD LP_MDGS_MMS'!K785</f>
        <v>0</v>
      </c>
      <c r="V798" s="145"/>
    </row>
    <row r="799" spans="1:22" x14ac:dyDescent="0.2">
      <c r="A799" s="89">
        <f t="shared" si="24"/>
        <v>791</v>
      </c>
      <c r="B799" s="43">
        <v>22</v>
      </c>
      <c r="C799" s="43">
        <v>14</v>
      </c>
      <c r="D799" s="38" t="s">
        <v>625</v>
      </c>
      <c r="E799" s="44" t="s">
        <v>161</v>
      </c>
      <c r="F799" s="44" t="s">
        <v>6</v>
      </c>
      <c r="G799" s="44" t="s">
        <v>120</v>
      </c>
      <c r="H799" s="44" t="s">
        <v>48</v>
      </c>
      <c r="I799" s="44" t="s">
        <v>48</v>
      </c>
      <c r="J799" s="44" t="s">
        <v>7</v>
      </c>
      <c r="K799" s="44" t="s">
        <v>140</v>
      </c>
      <c r="L799" s="40">
        <v>1130</v>
      </c>
      <c r="M799" s="41">
        <v>41339</v>
      </c>
      <c r="N799" s="40" t="s">
        <v>122</v>
      </c>
      <c r="O799" s="42"/>
      <c r="P799" s="40"/>
      <c r="Q799" s="207">
        <f>'[3]DQE LP_GSGM_MMS'!G785</f>
        <v>0</v>
      </c>
      <c r="R799" s="207">
        <f>'[3]DQE LP_GSGM_MMS'!H785</f>
        <v>0</v>
      </c>
      <c r="S799" s="207">
        <f>'[3]DQE LP_GSGM_MMS'!I785</f>
        <v>0</v>
      </c>
      <c r="T799" s="207">
        <f>'[3]DQE LP_GSGM_MMS'!J785</f>
        <v>0</v>
      </c>
      <c r="U799" s="207">
        <f>'[3]DQE LP_GSGM_MMS'!K785</f>
        <v>0</v>
      </c>
      <c r="V799" s="145"/>
    </row>
    <row r="800" spans="1:22" x14ac:dyDescent="0.2">
      <c r="A800" s="89">
        <f t="shared" si="24"/>
        <v>792</v>
      </c>
      <c r="B800" s="43">
        <v>22</v>
      </c>
      <c r="C800" s="43">
        <v>15</v>
      </c>
      <c r="D800" s="38" t="s">
        <v>626</v>
      </c>
      <c r="E800" s="44" t="s">
        <v>163</v>
      </c>
      <c r="F800" s="44" t="s">
        <v>20</v>
      </c>
      <c r="G800" s="44" t="s">
        <v>120</v>
      </c>
      <c r="H800" s="44" t="s">
        <v>23</v>
      </c>
      <c r="I800" s="44" t="s">
        <v>164</v>
      </c>
      <c r="J800" s="44" t="s">
        <v>24</v>
      </c>
      <c r="K800" s="44" t="s">
        <v>140</v>
      </c>
      <c r="L800" s="40">
        <v>1131</v>
      </c>
      <c r="M800" s="41">
        <v>41339</v>
      </c>
      <c r="N800" s="40" t="s">
        <v>122</v>
      </c>
      <c r="O800" s="42"/>
      <c r="P800" s="40"/>
      <c r="Q800" s="207">
        <f>[3]Duke_OH_RC_DS01MS!G785</f>
        <v>0</v>
      </c>
      <c r="R800" s="207">
        <f>[3]Duke_OH_RC_DS01MS!H785</f>
        <v>0</v>
      </c>
      <c r="S800" s="207">
        <f>[3]Duke_OH_RC_DS01MS!I785</f>
        <v>0</v>
      </c>
      <c r="T800" s="207">
        <f>[3]Duke_OH_RC_DS01MS!J785</f>
        <v>0</v>
      </c>
      <c r="U800" s="207">
        <f>[3]Duke_OH_RC_DS01MS!K785</f>
        <v>0</v>
      </c>
      <c r="V800" s="145"/>
    </row>
    <row r="801" spans="1:22" x14ac:dyDescent="0.2">
      <c r="A801" s="89">
        <f t="shared" si="24"/>
        <v>793</v>
      </c>
      <c r="B801" s="43">
        <v>22</v>
      </c>
      <c r="C801" s="43">
        <v>16</v>
      </c>
      <c r="D801" s="38" t="s">
        <v>627</v>
      </c>
      <c r="E801" s="44" t="s">
        <v>166</v>
      </c>
      <c r="F801" s="44" t="s">
        <v>20</v>
      </c>
      <c r="G801" s="44" t="s">
        <v>120</v>
      </c>
      <c r="H801" s="44" t="s">
        <v>64</v>
      </c>
      <c r="I801" s="44" t="s">
        <v>167</v>
      </c>
      <c r="J801" s="44" t="s">
        <v>7</v>
      </c>
      <c r="K801" s="44" t="s">
        <v>140</v>
      </c>
      <c r="L801" s="40">
        <v>1132</v>
      </c>
      <c r="M801" s="41">
        <v>41339</v>
      </c>
      <c r="N801" s="40" t="s">
        <v>122</v>
      </c>
      <c r="O801" s="42"/>
      <c r="P801" s="40"/>
      <c r="Q801" s="207">
        <f>'[3]FE_OE - test RC_GSFMS'!G785</f>
        <v>0</v>
      </c>
      <c r="R801" s="207">
        <f>'[3]FE_OE - test RC_GSFMS'!H785</f>
        <v>0</v>
      </c>
      <c r="S801" s="207">
        <f>'[3]FE_OE - test RC_GSFMS'!I785</f>
        <v>0</v>
      </c>
      <c r="T801" s="207">
        <f>'[3]FE_OE - test RC_GSFMS'!J785</f>
        <v>0</v>
      </c>
      <c r="U801" s="207">
        <f>'[3]FE_OE - test RC_GSFMS'!K785</f>
        <v>0</v>
      </c>
      <c r="V801" s="145"/>
    </row>
    <row r="802" spans="1:22" x14ac:dyDescent="0.2">
      <c r="A802" s="89">
        <f t="shared" si="24"/>
        <v>794</v>
      </c>
      <c r="B802" s="43">
        <v>22</v>
      </c>
      <c r="C802" s="43">
        <v>17</v>
      </c>
      <c r="D802" s="38" t="s">
        <v>628</v>
      </c>
      <c r="E802" s="44" t="s">
        <v>169</v>
      </c>
      <c r="F802" s="44" t="s">
        <v>31</v>
      </c>
      <c r="G802" s="44" t="s">
        <v>120</v>
      </c>
      <c r="H802" s="44" t="s">
        <v>35</v>
      </c>
      <c r="I802" s="44" t="s">
        <v>35</v>
      </c>
      <c r="J802" s="44" t="s">
        <v>9</v>
      </c>
      <c r="K802" s="44" t="s">
        <v>135</v>
      </c>
      <c r="L802" s="40">
        <v>1133</v>
      </c>
      <c r="M802" s="41">
        <v>41339</v>
      </c>
      <c r="N802" s="40" t="s">
        <v>122</v>
      </c>
      <c r="O802" s="42"/>
      <c r="P802" s="40"/>
      <c r="Q802" s="207">
        <f>'[3]JCPL LP_GSCLMS'!G785</f>
        <v>0</v>
      </c>
      <c r="R802" s="207">
        <f>'[3]JCPL LP_GSCLMS'!H785</f>
        <v>0</v>
      </c>
      <c r="S802" s="207">
        <f>'[3]JCPL LP_GSCLMS'!I785</f>
        <v>0</v>
      </c>
      <c r="T802" s="207">
        <f>'[3]JCPL LP_GSCLMS'!J785</f>
        <v>0</v>
      </c>
      <c r="U802" s="207">
        <f>'[3]JCPL LP_GSCLMS'!K785</f>
        <v>0</v>
      </c>
      <c r="V802" s="145"/>
    </row>
    <row r="803" spans="1:22" x14ac:dyDescent="0.2">
      <c r="A803" s="89">
        <f t="shared" si="24"/>
        <v>795</v>
      </c>
      <c r="B803" s="43">
        <v>22</v>
      </c>
      <c r="C803" s="43">
        <v>18</v>
      </c>
      <c r="D803" s="38" t="s">
        <v>629</v>
      </c>
      <c r="E803" s="44" t="s">
        <v>171</v>
      </c>
      <c r="F803" s="44" t="s">
        <v>31</v>
      </c>
      <c r="G803" s="44" t="s">
        <v>120</v>
      </c>
      <c r="H803" s="44" t="s">
        <v>35</v>
      </c>
      <c r="I803" s="44" t="s">
        <v>35</v>
      </c>
      <c r="J803" s="44" t="s">
        <v>10</v>
      </c>
      <c r="K803" s="44" t="s">
        <v>132</v>
      </c>
      <c r="L803" s="40">
        <v>1134</v>
      </c>
      <c r="M803" s="41">
        <v>41339</v>
      </c>
      <c r="N803" s="40" t="s">
        <v>122</v>
      </c>
      <c r="O803" s="42"/>
      <c r="P803" s="40"/>
      <c r="Q803" s="207">
        <f>'[3]JCPL LP_GSCMMS'!G785</f>
        <v>0</v>
      </c>
      <c r="R803" s="207">
        <f>'[3]JCPL LP_GSCMMS'!H785</f>
        <v>0</v>
      </c>
      <c r="S803" s="207">
        <f>'[3]JCPL LP_GSCMMS'!I785</f>
        <v>0</v>
      </c>
      <c r="T803" s="207">
        <f>'[3]JCPL LP_GSCMMS'!J785</f>
        <v>0</v>
      </c>
      <c r="U803" s="207">
        <f>'[3]JCPL LP_GSCMMS'!K785</f>
        <v>0</v>
      </c>
      <c r="V803" s="145"/>
    </row>
    <row r="804" spans="1:22" x14ac:dyDescent="0.2">
      <c r="A804" s="89">
        <f t="shared" si="24"/>
        <v>796</v>
      </c>
      <c r="B804" s="43">
        <v>22</v>
      </c>
      <c r="C804" s="43">
        <v>19</v>
      </c>
      <c r="D804" s="38" t="s">
        <v>630</v>
      </c>
      <c r="E804" s="44" t="s">
        <v>173</v>
      </c>
      <c r="F804" s="44" t="s">
        <v>31</v>
      </c>
      <c r="G804" s="44" t="s">
        <v>120</v>
      </c>
      <c r="H804" s="44" t="s">
        <v>35</v>
      </c>
      <c r="I804" s="44" t="s">
        <v>35</v>
      </c>
      <c r="J804" s="44" t="s">
        <v>11</v>
      </c>
      <c r="K804" s="44" t="s">
        <v>129</v>
      </c>
      <c r="L804" s="40">
        <v>1135</v>
      </c>
      <c r="M804" s="41">
        <v>41339</v>
      </c>
      <c r="N804" s="40" t="s">
        <v>122</v>
      </c>
      <c r="O804" s="42"/>
      <c r="P804" s="40"/>
      <c r="Q804" s="207">
        <f>'[3]JCPL LP_GSCSMS'!G785</f>
        <v>0</v>
      </c>
      <c r="R804" s="207">
        <f>'[3]JCPL LP_GSCSMS'!H785</f>
        <v>0</v>
      </c>
      <c r="S804" s="207">
        <f>'[3]JCPL LP_GSCSMS'!I785</f>
        <v>0</v>
      </c>
      <c r="T804" s="207">
        <f>'[3]JCPL LP_GSCSMS'!J785</f>
        <v>0</v>
      </c>
      <c r="U804" s="207">
        <f>'[3]JCPL LP_GSCSMS'!K785</f>
        <v>0</v>
      </c>
      <c r="V804" s="145"/>
    </row>
    <row r="805" spans="1:22" x14ac:dyDescent="0.2">
      <c r="A805" s="89">
        <f t="shared" si="24"/>
        <v>797</v>
      </c>
      <c r="B805" s="43">
        <v>22</v>
      </c>
      <c r="C805" s="43">
        <v>20</v>
      </c>
      <c r="D805" s="38" t="s">
        <v>631</v>
      </c>
      <c r="E805" s="44" t="s">
        <v>175</v>
      </c>
      <c r="F805" s="44" t="s">
        <v>6</v>
      </c>
      <c r="G805" s="44" t="s">
        <v>120</v>
      </c>
      <c r="H805" s="44" t="s">
        <v>176</v>
      </c>
      <c r="I805" s="44" t="s">
        <v>177</v>
      </c>
      <c r="J805" s="44" t="s">
        <v>9</v>
      </c>
      <c r="K805" s="44" t="s">
        <v>135</v>
      </c>
      <c r="L805" s="40">
        <v>1137</v>
      </c>
      <c r="M805" s="41">
        <v>41339</v>
      </c>
      <c r="N805" s="40" t="s">
        <v>122</v>
      </c>
      <c r="O805" s="42"/>
      <c r="P805" s="40"/>
      <c r="Q805" s="207">
        <f>'[3]MetEd RC_GSLFMS'!G785</f>
        <v>0</v>
      </c>
      <c r="R805" s="207">
        <f>'[3]MetEd RC_GSLFMS'!H785</f>
        <v>0</v>
      </c>
      <c r="S805" s="207">
        <f>'[3]MetEd RC_GSLFMS'!I785</f>
        <v>0</v>
      </c>
      <c r="T805" s="207">
        <f>'[3]MetEd RC_GSLFMS'!J785</f>
        <v>0</v>
      </c>
      <c r="U805" s="207">
        <f>'[3]MetEd RC_GSLFMS'!K785</f>
        <v>0</v>
      </c>
      <c r="V805" s="145"/>
    </row>
    <row r="806" spans="1:22" x14ac:dyDescent="0.2">
      <c r="A806" s="89">
        <f t="shared" si="24"/>
        <v>798</v>
      </c>
      <c r="B806" s="43">
        <v>22</v>
      </c>
      <c r="C806" s="43">
        <v>21</v>
      </c>
      <c r="D806" s="38" t="s">
        <v>632</v>
      </c>
      <c r="E806" s="44" t="s">
        <v>179</v>
      </c>
      <c r="F806" s="44" t="s">
        <v>6</v>
      </c>
      <c r="G806" s="44" t="s">
        <v>120</v>
      </c>
      <c r="H806" s="44" t="s">
        <v>176</v>
      </c>
      <c r="I806" s="44" t="s">
        <v>177</v>
      </c>
      <c r="J806" s="44" t="s">
        <v>10</v>
      </c>
      <c r="K806" s="44" t="s">
        <v>132</v>
      </c>
      <c r="L806" s="40">
        <v>1136</v>
      </c>
      <c r="M806" s="41">
        <v>41339</v>
      </c>
      <c r="N806" s="40" t="s">
        <v>122</v>
      </c>
      <c r="O806" s="42"/>
      <c r="P806" s="40"/>
      <c r="Q806" s="207">
        <f>'[3]MetEd RC_GSDFMS'!G785</f>
        <v>0</v>
      </c>
      <c r="R806" s="207">
        <f>'[3]MetEd RC_GSDFMS'!H785</f>
        <v>0</v>
      </c>
      <c r="S806" s="207">
        <f>'[3]MetEd RC_GSDFMS'!I785</f>
        <v>0</v>
      </c>
      <c r="T806" s="207">
        <f>'[3]MetEd RC_GSDFMS'!J785</f>
        <v>0</v>
      </c>
      <c r="U806" s="207">
        <f>'[3]MetEd RC_GSDFMS'!K785</f>
        <v>0</v>
      </c>
      <c r="V806" s="145"/>
    </row>
    <row r="807" spans="1:22" x14ac:dyDescent="0.2">
      <c r="A807" s="89">
        <f t="shared" si="24"/>
        <v>799</v>
      </c>
      <c r="B807" s="43">
        <v>22</v>
      </c>
      <c r="C807" s="43">
        <v>22</v>
      </c>
      <c r="D807" s="38" t="s">
        <v>633</v>
      </c>
      <c r="E807" s="44" t="s">
        <v>181</v>
      </c>
      <c r="F807" s="44" t="s">
        <v>6</v>
      </c>
      <c r="G807" s="44" t="s">
        <v>120</v>
      </c>
      <c r="H807" s="44" t="s">
        <v>176</v>
      </c>
      <c r="I807" s="44" t="s">
        <v>177</v>
      </c>
      <c r="J807" s="44" t="s">
        <v>11</v>
      </c>
      <c r="K807" s="44" t="s">
        <v>129</v>
      </c>
      <c r="L807" s="40">
        <v>1138</v>
      </c>
      <c r="M807" s="41">
        <v>41339</v>
      </c>
      <c r="N807" s="40" t="s">
        <v>122</v>
      </c>
      <c r="O807" s="42"/>
      <c r="P807" s="40"/>
      <c r="Q807" s="207">
        <f>'[3]MetEd RC_GSSFMS'!G785</f>
        <v>0</v>
      </c>
      <c r="R807" s="207">
        <f>'[3]MetEd RC_GSSFMS'!H785</f>
        <v>0</v>
      </c>
      <c r="S807" s="207">
        <f>'[3]MetEd RC_GSSFMS'!I785</f>
        <v>0</v>
      </c>
      <c r="T807" s="207">
        <f>'[3]MetEd RC_GSSFMS'!J785</f>
        <v>0</v>
      </c>
      <c r="U807" s="207">
        <f>'[3]MetEd RC_GSSFMS'!K785</f>
        <v>0</v>
      </c>
      <c r="V807" s="145"/>
    </row>
    <row r="808" spans="1:22" x14ac:dyDescent="0.2">
      <c r="A808" s="89">
        <f t="shared" si="24"/>
        <v>800</v>
      </c>
      <c r="B808" s="43">
        <v>22</v>
      </c>
      <c r="C808" s="43">
        <v>23</v>
      </c>
      <c r="D808" s="38" t="s">
        <v>634</v>
      </c>
      <c r="E808" s="44" t="s">
        <v>183</v>
      </c>
      <c r="F808" s="44" t="s">
        <v>6</v>
      </c>
      <c r="G808" s="44" t="s">
        <v>120</v>
      </c>
      <c r="H808" s="44" t="s">
        <v>13</v>
      </c>
      <c r="I808" s="44" t="s">
        <v>13</v>
      </c>
      <c r="J808" s="44" t="s">
        <v>7</v>
      </c>
      <c r="K808" s="44" t="s">
        <v>140</v>
      </c>
      <c r="L808" s="40">
        <v>1139</v>
      </c>
      <c r="M808" s="41">
        <v>41339</v>
      </c>
      <c r="N808" s="40" t="s">
        <v>122</v>
      </c>
      <c r="O808" s="42"/>
      <c r="P808" s="40"/>
      <c r="Q808" s="207">
        <f>'[3]PECO LP_GSMS'!G785</f>
        <v>0</v>
      </c>
      <c r="R808" s="207">
        <f>'[3]PECO LP_GSMS'!H785</f>
        <v>0</v>
      </c>
      <c r="S808" s="207">
        <f>'[3]PECO LP_GSMS'!I785</f>
        <v>0</v>
      </c>
      <c r="T808" s="207">
        <f>'[3]PECO LP_GSMS'!J785</f>
        <v>0</v>
      </c>
      <c r="U808" s="207">
        <f>'[3]PECO LP_GSMS'!K785</f>
        <v>0</v>
      </c>
      <c r="V808" s="145"/>
    </row>
    <row r="809" spans="1:22" x14ac:dyDescent="0.2">
      <c r="A809" s="89">
        <f t="shared" si="24"/>
        <v>801</v>
      </c>
      <c r="B809" s="43">
        <v>22</v>
      </c>
      <c r="C809" s="43">
        <v>24</v>
      </c>
      <c r="D809" s="38" t="s">
        <v>635</v>
      </c>
      <c r="E809" s="44" t="s">
        <v>185</v>
      </c>
      <c r="F809" s="44" t="s">
        <v>6</v>
      </c>
      <c r="G809" s="44" t="s">
        <v>120</v>
      </c>
      <c r="H809" s="44" t="s">
        <v>12</v>
      </c>
      <c r="I809" s="44" t="s">
        <v>186</v>
      </c>
      <c r="J809" s="44" t="s">
        <v>9</v>
      </c>
      <c r="K809" s="44" t="s">
        <v>135</v>
      </c>
      <c r="L809" s="40">
        <v>1140</v>
      </c>
      <c r="M809" s="41">
        <v>41339</v>
      </c>
      <c r="N809" s="40" t="s">
        <v>122</v>
      </c>
      <c r="O809" s="42"/>
      <c r="P809" s="40"/>
      <c r="Q809" s="207">
        <f>'[3]Penelec RC_GSLFMS'!G785</f>
        <v>0</v>
      </c>
      <c r="R809" s="207">
        <f>'[3]Penelec RC_GSLFMS'!H785</f>
        <v>0</v>
      </c>
      <c r="S809" s="207">
        <f>'[3]Penelec RC_GSLFMS'!I785</f>
        <v>0</v>
      </c>
      <c r="T809" s="207">
        <f>'[3]Penelec RC_GSLFMS'!J785</f>
        <v>0</v>
      </c>
      <c r="U809" s="207">
        <f>'[3]Penelec RC_GSLFMS'!K785</f>
        <v>0</v>
      </c>
      <c r="V809" s="145"/>
    </row>
    <row r="810" spans="1:22" x14ac:dyDescent="0.2">
      <c r="A810" s="89">
        <f t="shared" si="24"/>
        <v>802</v>
      </c>
      <c r="B810" s="43">
        <v>22</v>
      </c>
      <c r="C810" s="43">
        <v>25</v>
      </c>
      <c r="D810" s="38" t="s">
        <v>636</v>
      </c>
      <c r="E810" s="44" t="s">
        <v>188</v>
      </c>
      <c r="F810" s="44" t="s">
        <v>6</v>
      </c>
      <c r="G810" s="44" t="s">
        <v>120</v>
      </c>
      <c r="H810" s="44" t="s">
        <v>12</v>
      </c>
      <c r="I810" s="44" t="s">
        <v>186</v>
      </c>
      <c r="J810" s="44" t="s">
        <v>10</v>
      </c>
      <c r="K810" s="44" t="s">
        <v>132</v>
      </c>
      <c r="L810" s="40">
        <v>1141</v>
      </c>
      <c r="M810" s="41">
        <v>41339</v>
      </c>
      <c r="N810" s="40" t="s">
        <v>122</v>
      </c>
      <c r="O810" s="42"/>
      <c r="P810" s="40"/>
      <c r="Q810" s="207">
        <f>'[3]Penelec RC_GSMFMS'!G785</f>
        <v>0</v>
      </c>
      <c r="R810" s="207">
        <f>'[3]Penelec RC_GSMFMS'!H785</f>
        <v>0</v>
      </c>
      <c r="S810" s="207">
        <f>'[3]Penelec RC_GSMFMS'!I785</f>
        <v>0</v>
      </c>
      <c r="T810" s="207">
        <f>'[3]Penelec RC_GSMFMS'!J785</f>
        <v>0</v>
      </c>
      <c r="U810" s="207">
        <f>'[3]Penelec RC_GSMFMS'!K785</f>
        <v>0</v>
      </c>
      <c r="V810" s="145"/>
    </row>
    <row r="811" spans="1:22" x14ac:dyDescent="0.2">
      <c r="A811" s="89">
        <f t="shared" si="24"/>
        <v>803</v>
      </c>
      <c r="B811" s="43">
        <v>22</v>
      </c>
      <c r="C811" s="43">
        <v>26</v>
      </c>
      <c r="D811" s="38" t="s">
        <v>637</v>
      </c>
      <c r="E811" s="44" t="s">
        <v>190</v>
      </c>
      <c r="F811" s="44" t="s">
        <v>6</v>
      </c>
      <c r="G811" s="44" t="s">
        <v>120</v>
      </c>
      <c r="H811" s="44" t="s">
        <v>12</v>
      </c>
      <c r="I811" s="44" t="s">
        <v>186</v>
      </c>
      <c r="J811" s="44" t="s">
        <v>11</v>
      </c>
      <c r="K811" s="44" t="s">
        <v>129</v>
      </c>
      <c r="L811" s="40">
        <v>1142</v>
      </c>
      <c r="M811" s="41">
        <v>41339</v>
      </c>
      <c r="N811" s="40" t="s">
        <v>122</v>
      </c>
      <c r="O811" s="42"/>
      <c r="P811" s="40"/>
      <c r="Q811" s="207">
        <f>'[3]Penelec RC_GSSFMS'!G785</f>
        <v>0</v>
      </c>
      <c r="R811" s="207">
        <f>'[3]Penelec RC_GSSFMS'!H785</f>
        <v>0</v>
      </c>
      <c r="S811" s="207">
        <f>'[3]Penelec RC_GSSFMS'!I785</f>
        <v>0</v>
      </c>
      <c r="T811" s="207">
        <f>'[3]Penelec RC_GSSFMS'!J785</f>
        <v>0</v>
      </c>
      <c r="U811" s="207">
        <f>'[3]Penelec RC_GSSFMS'!K785</f>
        <v>0</v>
      </c>
      <c r="V811" s="145"/>
    </row>
    <row r="812" spans="1:22" x14ac:dyDescent="0.2">
      <c r="A812" s="89">
        <f t="shared" si="24"/>
        <v>804</v>
      </c>
      <c r="B812" s="43">
        <v>22</v>
      </c>
      <c r="C812" s="43">
        <v>27</v>
      </c>
      <c r="D812" s="38" t="s">
        <v>638</v>
      </c>
      <c r="E812" s="44" t="s">
        <v>192</v>
      </c>
      <c r="F812" s="44" t="s">
        <v>6</v>
      </c>
      <c r="G812" s="44" t="s">
        <v>120</v>
      </c>
      <c r="H812" s="44" t="s">
        <v>100</v>
      </c>
      <c r="I812" s="44" t="s">
        <v>193</v>
      </c>
      <c r="J812" s="44" t="s">
        <v>7</v>
      </c>
      <c r="K812" s="44" t="s">
        <v>140</v>
      </c>
      <c r="L812" s="40">
        <v>1143</v>
      </c>
      <c r="M812" s="41">
        <v>41339</v>
      </c>
      <c r="N812" s="40" t="s">
        <v>122</v>
      </c>
      <c r="O812" s="42"/>
      <c r="P812" s="40"/>
      <c r="Q812" s="207">
        <f>'[3]Penn Power RC_GMDMS'!G785</f>
        <v>0</v>
      </c>
      <c r="R812" s="207">
        <f>'[3]Penn Power RC_GMDMS'!H785</f>
        <v>0</v>
      </c>
      <c r="S812" s="207">
        <f>'[3]Penn Power RC_GMDMS'!I785</f>
        <v>0</v>
      </c>
      <c r="T812" s="207">
        <f>'[3]Penn Power RC_GMDMS'!J785</f>
        <v>0</v>
      </c>
      <c r="U812" s="207">
        <f>'[3]Penn Power RC_GMDMS'!K785</f>
        <v>0</v>
      </c>
      <c r="V812" s="145"/>
    </row>
    <row r="813" spans="1:22" x14ac:dyDescent="0.2">
      <c r="A813" s="89">
        <f t="shared" si="24"/>
        <v>805</v>
      </c>
      <c r="B813" s="43">
        <v>22</v>
      </c>
      <c r="C813" s="43">
        <v>28</v>
      </c>
      <c r="D813" s="38" t="s">
        <v>639</v>
      </c>
      <c r="E813" s="44" t="s">
        <v>195</v>
      </c>
      <c r="F813" s="44" t="s">
        <v>39</v>
      </c>
      <c r="G813" s="44" t="s">
        <v>120</v>
      </c>
      <c r="H813" s="44" t="s">
        <v>44</v>
      </c>
      <c r="I813" s="44" t="s">
        <v>44</v>
      </c>
      <c r="J813" s="44" t="s">
        <v>7</v>
      </c>
      <c r="K813" s="44" t="s">
        <v>140</v>
      </c>
      <c r="L813" s="40">
        <v>1144</v>
      </c>
      <c r="M813" s="41">
        <v>41339</v>
      </c>
      <c r="N813" s="40" t="s">
        <v>122</v>
      </c>
      <c r="O813" s="42"/>
      <c r="P813" s="40"/>
      <c r="Q813" s="207">
        <f>'[3]PEPCO MD LP_MDNDMS'!G785</f>
        <v>0</v>
      </c>
      <c r="R813" s="207">
        <f>'[3]PEPCO MD LP_MDNDMS'!H785</f>
        <v>0</v>
      </c>
      <c r="S813" s="207">
        <f>'[3]PEPCO MD LP_MDNDMS'!I785</f>
        <v>0</v>
      </c>
      <c r="T813" s="207">
        <f>'[3]PEPCO MD LP_MDNDMS'!J785</f>
        <v>0</v>
      </c>
      <c r="U813" s="207">
        <f>'[3]PEPCO MD LP_MDNDMS'!K785</f>
        <v>0</v>
      </c>
      <c r="V813" s="145"/>
    </row>
    <row r="814" spans="1:22" x14ac:dyDescent="0.2">
      <c r="A814" s="89">
        <f t="shared" si="24"/>
        <v>806</v>
      </c>
      <c r="B814" s="43">
        <v>22</v>
      </c>
      <c r="C814" s="43">
        <v>29</v>
      </c>
      <c r="D814" s="38" t="s">
        <v>640</v>
      </c>
      <c r="E814" s="44" t="s">
        <v>197</v>
      </c>
      <c r="F814" s="44" t="s">
        <v>39</v>
      </c>
      <c r="G814" s="44" t="s">
        <v>120</v>
      </c>
      <c r="H814" s="44" t="s">
        <v>44</v>
      </c>
      <c r="I814" s="44" t="s">
        <v>44</v>
      </c>
      <c r="J814" s="44" t="s">
        <v>45</v>
      </c>
      <c r="K814" s="44" t="s">
        <v>198</v>
      </c>
      <c r="L814" s="40">
        <v>1145</v>
      </c>
      <c r="M814" s="41">
        <v>41339</v>
      </c>
      <c r="N814" s="40" t="s">
        <v>122</v>
      </c>
      <c r="O814" s="42"/>
      <c r="P814" s="40"/>
      <c r="Q814" s="207">
        <f>'[3]PEPCO MD LP_MMGTL2AMS'!G785</f>
        <v>0</v>
      </c>
      <c r="R814" s="207">
        <f>'[3]PEPCO MD LP_MMGTL2AMS'!H785</f>
        <v>0</v>
      </c>
      <c r="S814" s="207">
        <f>'[3]PEPCO MD LP_MMGTL2AMS'!I785</f>
        <v>0</v>
      </c>
      <c r="T814" s="207">
        <f>'[3]PEPCO MD LP_MMGTL2AMS'!J785</f>
        <v>0</v>
      </c>
      <c r="U814" s="207">
        <f>'[3]PEPCO MD LP_MMGTL2AMS'!K785</f>
        <v>0</v>
      </c>
      <c r="V814" s="145"/>
    </row>
    <row r="815" spans="1:22" x14ac:dyDescent="0.2">
      <c r="A815" s="89">
        <f t="shared" si="24"/>
        <v>807</v>
      </c>
      <c r="B815" s="43">
        <v>22</v>
      </c>
      <c r="C815" s="43">
        <v>30</v>
      </c>
      <c r="D815" s="38" t="s">
        <v>641</v>
      </c>
      <c r="E815" s="44" t="s">
        <v>200</v>
      </c>
      <c r="F815" s="44" t="s">
        <v>39</v>
      </c>
      <c r="G815" s="44" t="s">
        <v>120</v>
      </c>
      <c r="H815" s="44" t="s">
        <v>44</v>
      </c>
      <c r="I815" s="44" t="s">
        <v>44</v>
      </c>
      <c r="J815" s="44" t="s">
        <v>46</v>
      </c>
      <c r="K815" s="44" t="s">
        <v>46</v>
      </c>
      <c r="L815" s="40">
        <v>1146</v>
      </c>
      <c r="M815" s="41">
        <v>41339</v>
      </c>
      <c r="N815" s="40" t="s">
        <v>122</v>
      </c>
      <c r="O815" s="42"/>
      <c r="P815" s="40"/>
      <c r="Q815" s="207">
        <f>'[3]PEPCO MD RC_3T7MS'!G785</f>
        <v>0</v>
      </c>
      <c r="R815" s="207">
        <f>'[3]PEPCO MD RC_3T7MS'!H785</f>
        <v>0</v>
      </c>
      <c r="S815" s="207">
        <f>'[3]PEPCO MD RC_3T7MS'!I785</f>
        <v>0</v>
      </c>
      <c r="T815" s="207">
        <f>'[3]PEPCO MD RC_3T7MS'!J785</f>
        <v>0</v>
      </c>
      <c r="U815" s="207">
        <f>'[3]PEPCO MD RC_3T7MS'!K785</f>
        <v>0</v>
      </c>
      <c r="V815" s="145"/>
    </row>
    <row r="816" spans="1:22" x14ac:dyDescent="0.2">
      <c r="A816" s="89">
        <f t="shared" si="24"/>
        <v>808</v>
      </c>
      <c r="B816" s="43">
        <v>22</v>
      </c>
      <c r="C816" s="43">
        <v>31</v>
      </c>
      <c r="D816" s="38" t="s">
        <v>642</v>
      </c>
      <c r="E816" s="44" t="s">
        <v>202</v>
      </c>
      <c r="F816" s="44" t="s">
        <v>39</v>
      </c>
      <c r="G816" s="44" t="s">
        <v>120</v>
      </c>
      <c r="H816" s="44" t="s">
        <v>47</v>
      </c>
      <c r="I816" s="44" t="s">
        <v>47</v>
      </c>
      <c r="J816" s="44" t="s">
        <v>7</v>
      </c>
      <c r="K816" s="44" t="s">
        <v>140</v>
      </c>
      <c r="L816" s="40">
        <v>1147</v>
      </c>
      <c r="M816" s="41">
        <v>41339</v>
      </c>
      <c r="N816" s="40" t="s">
        <v>122</v>
      </c>
      <c r="O816" s="42"/>
      <c r="P816" s="40"/>
      <c r="Q816" s="207">
        <f>'[3]Potomac Edison LP_GSCM_MMS'!G785</f>
        <v>0</v>
      </c>
      <c r="R816" s="207">
        <f>'[3]Potomac Edison LP_GSCM_MMS'!H785</f>
        <v>0</v>
      </c>
      <c r="S816" s="207">
        <f>'[3]Potomac Edison LP_GSCM_MMS'!I785</f>
        <v>0</v>
      </c>
      <c r="T816" s="207">
        <f>'[3]Potomac Edison LP_GSCM_MMS'!J785</f>
        <v>0</v>
      </c>
      <c r="U816" s="207">
        <f>'[3]Potomac Edison LP_GSCM_MMS'!K785</f>
        <v>0</v>
      </c>
      <c r="V816" s="145"/>
    </row>
    <row r="817" spans="1:22" x14ac:dyDescent="0.2">
      <c r="A817" s="89">
        <f t="shared" si="24"/>
        <v>809</v>
      </c>
      <c r="B817" s="43">
        <v>22</v>
      </c>
      <c r="C817" s="43">
        <v>32</v>
      </c>
      <c r="D817" s="38" t="s">
        <v>643</v>
      </c>
      <c r="E817" s="44" t="s">
        <v>204</v>
      </c>
      <c r="F817" s="44" t="s">
        <v>6</v>
      </c>
      <c r="G817" s="44" t="s">
        <v>120</v>
      </c>
      <c r="H817" s="44" t="s">
        <v>14</v>
      </c>
      <c r="I817" s="44" t="s">
        <v>14</v>
      </c>
      <c r="J817" s="44" t="s">
        <v>15</v>
      </c>
      <c r="K817" s="44" t="s">
        <v>129</v>
      </c>
      <c r="L817" s="40">
        <v>1148</v>
      </c>
      <c r="M817" s="41">
        <v>41339</v>
      </c>
      <c r="N817" s="40" t="s">
        <v>122</v>
      </c>
      <c r="O817" s="42"/>
      <c r="P817" s="40"/>
      <c r="Q817" s="207">
        <f>[3]PPL_RCGS1MS!G785</f>
        <v>0</v>
      </c>
      <c r="R817" s="207">
        <f>[3]PPL_RCGS1MS!H785</f>
        <v>0</v>
      </c>
      <c r="S817" s="207">
        <f>[3]PPL_RCGS1MS!I785</f>
        <v>0</v>
      </c>
      <c r="T817" s="207">
        <f>[3]PPL_RCGS1MS!J785</f>
        <v>0</v>
      </c>
      <c r="U817" s="207">
        <f>[3]PPL_RCGS1MS!K785</f>
        <v>0</v>
      </c>
      <c r="V817" s="145"/>
    </row>
    <row r="818" spans="1:22" x14ac:dyDescent="0.2">
      <c r="A818" s="89">
        <f t="shared" si="24"/>
        <v>810</v>
      </c>
      <c r="B818" s="43">
        <v>22</v>
      </c>
      <c r="C818" s="43">
        <v>33</v>
      </c>
      <c r="D818" s="38" t="s">
        <v>644</v>
      </c>
      <c r="E818" s="44" t="s">
        <v>206</v>
      </c>
      <c r="F818" s="44" t="s">
        <v>6</v>
      </c>
      <c r="G818" s="44" t="s">
        <v>120</v>
      </c>
      <c r="H818" s="44" t="s">
        <v>14</v>
      </c>
      <c r="I818" s="44" t="s">
        <v>14</v>
      </c>
      <c r="J818" s="44" t="s">
        <v>16</v>
      </c>
      <c r="K818" s="44" t="s">
        <v>135</v>
      </c>
      <c r="L818" s="40">
        <v>1149</v>
      </c>
      <c r="M818" s="41">
        <v>41339</v>
      </c>
      <c r="N818" s="40" t="s">
        <v>122</v>
      </c>
      <c r="O818" s="42"/>
      <c r="P818" s="40"/>
      <c r="Q818" s="207">
        <f>[3]PPL_RCGS3MS!G785</f>
        <v>0</v>
      </c>
      <c r="R818" s="207">
        <f>[3]PPL_RCGS3MS!H785</f>
        <v>0</v>
      </c>
      <c r="S818" s="207">
        <f>[3]PPL_RCGS3MS!I785</f>
        <v>0</v>
      </c>
      <c r="T818" s="207">
        <f>[3]PPL_RCGS3MS!J785</f>
        <v>0</v>
      </c>
      <c r="U818" s="207">
        <f>[3]PPL_RCGS3MS!K785</f>
        <v>0</v>
      </c>
      <c r="V818" s="145"/>
    </row>
    <row r="819" spans="1:22" x14ac:dyDescent="0.2">
      <c r="A819" s="89">
        <f t="shared" si="24"/>
        <v>811</v>
      </c>
      <c r="B819" s="43">
        <v>22</v>
      </c>
      <c r="C819" s="43">
        <v>34</v>
      </c>
      <c r="D819" s="38" t="s">
        <v>645</v>
      </c>
      <c r="E819" s="44" t="s">
        <v>208</v>
      </c>
      <c r="F819" s="44" t="s">
        <v>31</v>
      </c>
      <c r="G819" s="44" t="s">
        <v>120</v>
      </c>
      <c r="H819" s="44" t="s">
        <v>36</v>
      </c>
      <c r="I819" s="44" t="s">
        <v>36</v>
      </c>
      <c r="J819" s="44" t="s">
        <v>37</v>
      </c>
      <c r="K819" s="44" t="s">
        <v>209</v>
      </c>
      <c r="L819" s="40">
        <v>1150</v>
      </c>
      <c r="M819" s="41">
        <v>41339</v>
      </c>
      <c r="N819" s="40" t="s">
        <v>122</v>
      </c>
      <c r="O819" s="42"/>
      <c r="P819" s="40"/>
      <c r="Q819" s="207">
        <f>'[3]PSEG LP_GLP_MMS'!G785</f>
        <v>0</v>
      </c>
      <c r="R819" s="207">
        <f>'[3]PSEG LP_GLP_MMS'!H785</f>
        <v>0</v>
      </c>
      <c r="S819" s="207">
        <f>'[3]PSEG LP_GLP_MMS'!I785</f>
        <v>0</v>
      </c>
      <c r="T819" s="207">
        <f>'[3]PSEG LP_GLP_MMS'!J785</f>
        <v>0</v>
      </c>
      <c r="U819" s="207">
        <f>'[3]PSEG LP_GLP_MMS'!K785</f>
        <v>0</v>
      </c>
      <c r="V819" s="145"/>
    </row>
    <row r="820" spans="1:22" x14ac:dyDescent="0.2">
      <c r="A820" s="89">
        <f t="shared" si="24"/>
        <v>812</v>
      </c>
      <c r="B820" s="43">
        <v>22</v>
      </c>
      <c r="C820" s="43">
        <v>35</v>
      </c>
      <c r="D820" s="38" t="s">
        <v>646</v>
      </c>
      <c r="E820" s="44" t="s">
        <v>211</v>
      </c>
      <c r="F820" s="44" t="s">
        <v>31</v>
      </c>
      <c r="G820" s="44" t="s">
        <v>120</v>
      </c>
      <c r="H820" s="44" t="s">
        <v>36</v>
      </c>
      <c r="I820" s="44" t="s">
        <v>36</v>
      </c>
      <c r="J820" s="44" t="s">
        <v>38</v>
      </c>
      <c r="K820" s="44" t="s">
        <v>212</v>
      </c>
      <c r="L820" s="40">
        <v>1151</v>
      </c>
      <c r="M820" s="41">
        <v>41339</v>
      </c>
      <c r="N820" s="40" t="s">
        <v>122</v>
      </c>
      <c r="O820" s="42"/>
      <c r="P820" s="40"/>
      <c r="Q820" s="207">
        <f>'[3]PSEG LP_LPLMS'!G785</f>
        <v>0</v>
      </c>
      <c r="R820" s="207">
        <f>'[3]PSEG LP_LPLMS'!H785</f>
        <v>0</v>
      </c>
      <c r="S820" s="207">
        <f>'[3]PSEG LP_LPLMS'!I785</f>
        <v>0</v>
      </c>
      <c r="T820" s="207">
        <f>'[3]PSEG LP_LPLMS'!J785</f>
        <v>0</v>
      </c>
      <c r="U820" s="207">
        <f>'[3]PSEG LP_LPLMS'!K785</f>
        <v>0</v>
      </c>
      <c r="V820" s="145"/>
    </row>
    <row r="821" spans="1:22" x14ac:dyDescent="0.2">
      <c r="A821" s="89">
        <f t="shared" si="24"/>
        <v>813</v>
      </c>
      <c r="B821" s="43">
        <v>22</v>
      </c>
      <c r="C821" s="43">
        <v>36</v>
      </c>
      <c r="D821" s="38" t="s">
        <v>647</v>
      </c>
      <c r="E821" s="44" t="s">
        <v>214</v>
      </c>
      <c r="F821" s="44" t="s">
        <v>6</v>
      </c>
      <c r="G821" s="44" t="s">
        <v>120</v>
      </c>
      <c r="H821" s="44" t="s">
        <v>17</v>
      </c>
      <c r="I821" s="44" t="s">
        <v>215</v>
      </c>
      <c r="J821" s="44" t="s">
        <v>18</v>
      </c>
      <c r="K821" s="44" t="s">
        <v>140</v>
      </c>
      <c r="L821" s="40">
        <v>1152</v>
      </c>
      <c r="M821" s="41">
        <v>41339</v>
      </c>
      <c r="N821" s="40" t="s">
        <v>122</v>
      </c>
      <c r="O821" s="42"/>
      <c r="P821" s="40"/>
      <c r="Q821" s="207">
        <f>'[3]West Penn Power LP_GSCMMS'!G785</f>
        <v>0</v>
      </c>
      <c r="R821" s="207">
        <f>'[3]West Penn Power LP_GSCMMS'!H785</f>
        <v>0</v>
      </c>
      <c r="S821" s="207">
        <f>'[3]West Penn Power LP_GSCMMS'!I785</f>
        <v>0</v>
      </c>
      <c r="T821" s="207">
        <f>'[3]West Penn Power LP_GSCMMS'!J785</f>
        <v>0</v>
      </c>
      <c r="U821" s="207">
        <f>'[3]West Penn Power LP_GSCMMS'!K785</f>
        <v>0</v>
      </c>
      <c r="V821" s="145"/>
    </row>
    <row r="822" spans="1:22" x14ac:dyDescent="0.2">
      <c r="A822" s="89">
        <f t="shared" si="24"/>
        <v>814</v>
      </c>
      <c r="B822" s="20"/>
      <c r="C822" s="20"/>
      <c r="D822" s="20"/>
      <c r="Q822" s="208"/>
      <c r="R822" s="208"/>
      <c r="S822" s="208"/>
      <c r="T822" s="208"/>
      <c r="U822" s="208"/>
    </row>
    <row r="823" spans="1:22" x14ac:dyDescent="0.2">
      <c r="A823" s="89">
        <f t="shared" si="24"/>
        <v>815</v>
      </c>
      <c r="B823" s="43">
        <v>23</v>
      </c>
      <c r="C823" s="43">
        <v>1</v>
      </c>
      <c r="D823" s="38" t="s">
        <v>612</v>
      </c>
      <c r="E823" s="44" t="s">
        <v>119</v>
      </c>
      <c r="F823" s="44" t="s">
        <v>31</v>
      </c>
      <c r="G823" s="44" t="s">
        <v>120</v>
      </c>
      <c r="H823" s="44" t="s">
        <v>32</v>
      </c>
      <c r="I823" s="44" t="s">
        <v>32</v>
      </c>
      <c r="J823" s="44" t="s">
        <v>33</v>
      </c>
      <c r="K823" s="44" t="s">
        <v>121</v>
      </c>
      <c r="L823" s="40">
        <v>1117</v>
      </c>
      <c r="M823" s="41">
        <v>41339</v>
      </c>
      <c r="N823" s="40" t="s">
        <v>122</v>
      </c>
      <c r="O823" s="42"/>
      <c r="P823" s="40"/>
      <c r="Q823" s="207">
        <f>'[3]AECO LP_10V1_SMS'!G822</f>
        <v>0</v>
      </c>
      <c r="R823" s="207">
        <f>'[3]AECO LP_10V1_SMS'!H822</f>
        <v>0</v>
      </c>
      <c r="S823" s="207">
        <f>'[3]AECO LP_10V1_SMS'!I822</f>
        <v>0</v>
      </c>
      <c r="T823" s="207">
        <f>'[3]AECO LP_10V1_SMS'!J822</f>
        <v>0</v>
      </c>
      <c r="U823" s="207">
        <f>'[3]AECO LP_10V1_SMS'!K822</f>
        <v>0</v>
      </c>
      <c r="V823" s="145"/>
    </row>
    <row r="824" spans="1:22" x14ac:dyDescent="0.2">
      <c r="A824" s="89">
        <f t="shared" si="24"/>
        <v>816</v>
      </c>
      <c r="B824" s="43">
        <v>23</v>
      </c>
      <c r="C824" s="43">
        <v>2</v>
      </c>
      <c r="D824" s="38" t="s">
        <v>613</v>
      </c>
      <c r="E824" s="44" t="s">
        <v>124</v>
      </c>
      <c r="F824" s="44" t="s">
        <v>31</v>
      </c>
      <c r="G824" s="44" t="s">
        <v>120</v>
      </c>
      <c r="H824" s="44" t="s">
        <v>32</v>
      </c>
      <c r="I824" s="44" t="s">
        <v>32</v>
      </c>
      <c r="J824" s="44" t="s">
        <v>34</v>
      </c>
      <c r="K824" s="44" t="s">
        <v>125</v>
      </c>
      <c r="L824" s="40">
        <v>1118</v>
      </c>
      <c r="M824" s="41">
        <v>41339</v>
      </c>
      <c r="N824" s="40" t="s">
        <v>122</v>
      </c>
      <c r="O824" s="42"/>
      <c r="P824" s="40"/>
      <c r="Q824" s="207">
        <f>'[3]AECO LP_14V1_MMS'!G822</f>
        <v>0</v>
      </c>
      <c r="R824" s="207">
        <f>'[3]AECO LP_14V1_MMS'!H822</f>
        <v>0</v>
      </c>
      <c r="S824" s="207">
        <f>'[3]AECO LP_14V1_MMS'!I822</f>
        <v>0</v>
      </c>
      <c r="T824" s="207">
        <f>'[3]AECO LP_14V1_MMS'!J822</f>
        <v>0</v>
      </c>
      <c r="U824" s="207">
        <f>'[3]AECO LP_14V1_MMS'!K822</f>
        <v>0</v>
      </c>
      <c r="V824" s="145"/>
    </row>
    <row r="825" spans="1:22" x14ac:dyDescent="0.2">
      <c r="A825" s="89">
        <f t="shared" si="24"/>
        <v>817</v>
      </c>
      <c r="B825" s="43">
        <v>23</v>
      </c>
      <c r="C825" s="43">
        <v>3</v>
      </c>
      <c r="D825" s="38" t="s">
        <v>614</v>
      </c>
      <c r="E825" s="44" t="s">
        <v>127</v>
      </c>
      <c r="F825" s="44" t="s">
        <v>20</v>
      </c>
      <c r="G825" s="44" t="s">
        <v>120</v>
      </c>
      <c r="H825" s="44" t="s">
        <v>63</v>
      </c>
      <c r="I825" s="44" t="s">
        <v>128</v>
      </c>
      <c r="J825" s="44" t="s">
        <v>15</v>
      </c>
      <c r="K825" s="44" t="s">
        <v>129</v>
      </c>
      <c r="L825" s="40">
        <v>1119</v>
      </c>
      <c r="M825" s="41">
        <v>41339</v>
      </c>
      <c r="N825" s="40" t="s">
        <v>122</v>
      </c>
      <c r="O825" s="42"/>
      <c r="P825" s="40"/>
      <c r="Q825" s="207">
        <f>'[3]AEP_OH_CS - test CSGS1MS'!G822</f>
        <v>0</v>
      </c>
      <c r="R825" s="207">
        <f>'[3]AEP_OH_CS - test CSGS1MS'!H822</f>
        <v>0</v>
      </c>
      <c r="S825" s="207">
        <f>'[3]AEP_OH_CS - test CSGS1MS'!I822</f>
        <v>0</v>
      </c>
      <c r="T825" s="207">
        <f>'[3]AEP_OH_CS - test CSGS1MS'!J822</f>
        <v>0</v>
      </c>
      <c r="U825" s="207">
        <f>'[3]AEP_OH_CS - test CSGS1MS'!K822</f>
        <v>0</v>
      </c>
      <c r="V825" s="145"/>
    </row>
    <row r="826" spans="1:22" x14ac:dyDescent="0.2">
      <c r="A826" s="89">
        <f t="shared" si="24"/>
        <v>818</v>
      </c>
      <c r="B826" s="43">
        <v>23</v>
      </c>
      <c r="C826" s="43">
        <v>4</v>
      </c>
      <c r="D826" s="38" t="s">
        <v>615</v>
      </c>
      <c r="E826" s="44" t="s">
        <v>131</v>
      </c>
      <c r="F826" s="44" t="s">
        <v>20</v>
      </c>
      <c r="G826" s="44" t="s">
        <v>120</v>
      </c>
      <c r="H826" s="44" t="s">
        <v>63</v>
      </c>
      <c r="I826" s="44" t="s">
        <v>128</v>
      </c>
      <c r="J826" s="44" t="s">
        <v>21</v>
      </c>
      <c r="K826" s="44" t="s">
        <v>132</v>
      </c>
      <c r="L826" s="40">
        <v>1120</v>
      </c>
      <c r="M826" s="41">
        <v>41339</v>
      </c>
      <c r="N826" s="40" t="s">
        <v>122</v>
      </c>
      <c r="O826" s="42"/>
      <c r="P826" s="40"/>
      <c r="Q826" s="207">
        <f>'[3]AEP_OH_CS - test CSGS2UMS'!G822</f>
        <v>0</v>
      </c>
      <c r="R826" s="207">
        <f>'[3]AEP_OH_CS - test CSGS2UMS'!H822</f>
        <v>0</v>
      </c>
      <c r="S826" s="207">
        <f>'[3]AEP_OH_CS - test CSGS2UMS'!I822</f>
        <v>0</v>
      </c>
      <c r="T826" s="207">
        <f>'[3]AEP_OH_CS - test CSGS2UMS'!J822</f>
        <v>0</v>
      </c>
      <c r="U826" s="207">
        <f>'[3]AEP_OH_CS - test CSGS2UMS'!K822</f>
        <v>0</v>
      </c>
      <c r="V826" s="145"/>
    </row>
    <row r="827" spans="1:22" x14ac:dyDescent="0.2">
      <c r="A827" s="89">
        <f t="shared" si="24"/>
        <v>819</v>
      </c>
      <c r="B827" s="43">
        <v>23</v>
      </c>
      <c r="C827" s="43">
        <v>5</v>
      </c>
      <c r="D827" s="38" t="s">
        <v>616</v>
      </c>
      <c r="E827" s="44" t="s">
        <v>134</v>
      </c>
      <c r="F827" s="44" t="s">
        <v>20</v>
      </c>
      <c r="G827" s="44" t="s">
        <v>120</v>
      </c>
      <c r="H827" s="44" t="s">
        <v>63</v>
      </c>
      <c r="I827" s="44" t="s">
        <v>128</v>
      </c>
      <c r="J827" s="44" t="s">
        <v>16</v>
      </c>
      <c r="K827" s="44" t="s">
        <v>135</v>
      </c>
      <c r="L827" s="40">
        <v>1121</v>
      </c>
      <c r="M827" s="41">
        <v>41339</v>
      </c>
      <c r="N827" s="40" t="s">
        <v>122</v>
      </c>
      <c r="O827" s="42"/>
      <c r="P827" s="40"/>
      <c r="Q827" s="207">
        <f>'[3]AEP_OH_CS - test CSGS3UMS'!G822</f>
        <v>0</v>
      </c>
      <c r="R827" s="207">
        <f>'[3]AEP_OH_CS - test CSGS3UMS'!H822</f>
        <v>0</v>
      </c>
      <c r="S827" s="207">
        <f>'[3]AEP_OH_CS - test CSGS3UMS'!I822</f>
        <v>0</v>
      </c>
      <c r="T827" s="207">
        <f>'[3]AEP_OH_CS - test CSGS3UMS'!J822</f>
        <v>0</v>
      </c>
      <c r="U827" s="207">
        <f>'[3]AEP_OH_CS - test CSGS3UMS'!K822</f>
        <v>0</v>
      </c>
      <c r="V827" s="145"/>
    </row>
    <row r="828" spans="1:22" x14ac:dyDescent="0.2">
      <c r="A828" s="89">
        <f t="shared" si="24"/>
        <v>820</v>
      </c>
      <c r="B828" s="43">
        <v>23</v>
      </c>
      <c r="C828" s="43">
        <v>6</v>
      </c>
      <c r="D828" s="38" t="s">
        <v>617</v>
      </c>
      <c r="E828" s="44" t="s">
        <v>137</v>
      </c>
      <c r="F828" s="44" t="s">
        <v>25</v>
      </c>
      <c r="G828" s="44" t="s">
        <v>138</v>
      </c>
      <c r="H828" s="44" t="s">
        <v>139</v>
      </c>
      <c r="I828" s="44" t="s">
        <v>29</v>
      </c>
      <c r="J828" s="44" t="s">
        <v>30</v>
      </c>
      <c r="K828" s="44" t="s">
        <v>140</v>
      </c>
      <c r="L828" s="40">
        <v>1122</v>
      </c>
      <c r="M828" s="41">
        <v>41339</v>
      </c>
      <c r="N828" s="40" t="s">
        <v>122</v>
      </c>
      <c r="O828" s="42"/>
      <c r="P828" s="40"/>
      <c r="Q828" s="207">
        <f>'[3]Ameren RateZnIII LP DS2HHMS'!G822</f>
        <v>0</v>
      </c>
      <c r="R828" s="207">
        <f>'[3]Ameren RateZnIII LP DS2HHMS'!H822</f>
        <v>0</v>
      </c>
      <c r="S828" s="207">
        <f>'[3]Ameren RateZnIII LP DS2HHMS'!I822</f>
        <v>0</v>
      </c>
      <c r="T828" s="207">
        <f>'[3]Ameren RateZnIII LP DS2HHMS'!J822</f>
        <v>0</v>
      </c>
      <c r="U828" s="207">
        <f>'[3]Ameren RateZnIII LP DS2HHMS'!K822</f>
        <v>0</v>
      </c>
      <c r="V828" s="145"/>
    </row>
    <row r="829" spans="1:22" x14ac:dyDescent="0.2">
      <c r="A829" s="89">
        <f t="shared" si="24"/>
        <v>821</v>
      </c>
      <c r="B829" s="43">
        <v>23</v>
      </c>
      <c r="C829" s="43">
        <v>7</v>
      </c>
      <c r="D829" s="38" t="s">
        <v>618</v>
      </c>
      <c r="E829" s="44" t="s">
        <v>142</v>
      </c>
      <c r="F829" s="44" t="s">
        <v>39</v>
      </c>
      <c r="G829" s="44" t="s">
        <v>120</v>
      </c>
      <c r="H829" s="44" t="s">
        <v>40</v>
      </c>
      <c r="I829" s="44" t="s">
        <v>40</v>
      </c>
      <c r="J829" s="44" t="s">
        <v>42</v>
      </c>
      <c r="K829" s="44" t="s">
        <v>135</v>
      </c>
      <c r="L829" s="40">
        <v>1124</v>
      </c>
      <c r="M829" s="41">
        <v>41339</v>
      </c>
      <c r="N829" s="40" t="s">
        <v>122</v>
      </c>
      <c r="O829" s="42"/>
      <c r="P829" s="40"/>
      <c r="Q829" s="207">
        <f>'[3]BGE LP_GLMS'!G822</f>
        <v>0</v>
      </c>
      <c r="R829" s="207">
        <f>'[3]BGE LP_GLMS'!H822</f>
        <v>0</v>
      </c>
      <c r="S829" s="207">
        <f>'[3]BGE LP_GLMS'!I822</f>
        <v>0</v>
      </c>
      <c r="T829" s="207">
        <f>'[3]BGE LP_GLMS'!J822</f>
        <v>0</v>
      </c>
      <c r="U829" s="207">
        <f>'[3]BGE LP_GLMS'!K822</f>
        <v>0</v>
      </c>
      <c r="V829" s="145"/>
    </row>
    <row r="830" spans="1:22" x14ac:dyDescent="0.2">
      <c r="A830" s="89">
        <f t="shared" si="24"/>
        <v>822</v>
      </c>
      <c r="B830" s="43">
        <v>23</v>
      </c>
      <c r="C830" s="43">
        <v>8</v>
      </c>
      <c r="D830" s="38" t="s">
        <v>619</v>
      </c>
      <c r="E830" s="44" t="s">
        <v>144</v>
      </c>
      <c r="F830" s="44" t="s">
        <v>39</v>
      </c>
      <c r="G830" s="44" t="s">
        <v>120</v>
      </c>
      <c r="H830" s="44" t="s">
        <v>40</v>
      </c>
      <c r="I830" s="44" t="s">
        <v>40</v>
      </c>
      <c r="J830" s="44" t="s">
        <v>41</v>
      </c>
      <c r="K830" s="44" t="s">
        <v>132</v>
      </c>
      <c r="L830" s="40">
        <v>1123</v>
      </c>
      <c r="M830" s="41">
        <v>41339</v>
      </c>
      <c r="N830" s="40" t="s">
        <v>122</v>
      </c>
      <c r="O830" s="42"/>
      <c r="P830" s="40"/>
      <c r="Q830" s="207">
        <f>'[3]BGE LP_GMS'!G822</f>
        <v>0</v>
      </c>
      <c r="R830" s="207">
        <f>'[3]BGE LP_GMS'!H822</f>
        <v>0</v>
      </c>
      <c r="S830" s="207">
        <f>'[3]BGE LP_GMS'!I822</f>
        <v>0</v>
      </c>
      <c r="T830" s="207">
        <f>'[3]BGE LP_GMS'!J822</f>
        <v>0</v>
      </c>
      <c r="U830" s="207">
        <f>'[3]BGE LP_GMS'!K822</f>
        <v>0</v>
      </c>
      <c r="V830" s="145"/>
    </row>
    <row r="831" spans="1:22" x14ac:dyDescent="0.2">
      <c r="A831" s="89">
        <f t="shared" si="24"/>
        <v>823</v>
      </c>
      <c r="B831" s="43">
        <v>23</v>
      </c>
      <c r="C831" s="43">
        <v>9</v>
      </c>
      <c r="D831" s="38" t="s">
        <v>620</v>
      </c>
      <c r="E831" s="44" t="s">
        <v>146</v>
      </c>
      <c r="F831" s="44" t="s">
        <v>39</v>
      </c>
      <c r="G831" s="44" t="s">
        <v>120</v>
      </c>
      <c r="H831" s="44" t="s">
        <v>40</v>
      </c>
      <c r="I831" s="44" t="s">
        <v>40</v>
      </c>
      <c r="J831" s="44" t="s">
        <v>7</v>
      </c>
      <c r="K831" s="44" t="s">
        <v>129</v>
      </c>
      <c r="L831" s="40">
        <v>1125</v>
      </c>
      <c r="M831" s="41">
        <v>41339</v>
      </c>
      <c r="N831" s="40" t="s">
        <v>122</v>
      </c>
      <c r="O831" s="42"/>
      <c r="P831" s="40"/>
      <c r="Q831" s="207">
        <f>'[3]BGE LP_GSMS'!G822</f>
        <v>0</v>
      </c>
      <c r="R831" s="207">
        <f>'[3]BGE LP_GSMS'!H822</f>
        <v>0</v>
      </c>
      <c r="S831" s="207">
        <f>'[3]BGE LP_GSMS'!I822</f>
        <v>0</v>
      </c>
      <c r="T831" s="207">
        <f>'[3]BGE LP_GSMS'!J822</f>
        <v>0</v>
      </c>
      <c r="U831" s="207">
        <f>'[3]BGE LP_GSMS'!K822</f>
        <v>0</v>
      </c>
      <c r="V831" s="145"/>
    </row>
    <row r="832" spans="1:22" x14ac:dyDescent="0.2">
      <c r="A832" s="89">
        <f t="shared" si="24"/>
        <v>824</v>
      </c>
      <c r="B832" s="43">
        <v>23</v>
      </c>
      <c r="C832" s="43">
        <v>10</v>
      </c>
      <c r="D832" s="38" t="s">
        <v>621</v>
      </c>
      <c r="E832" s="44" t="s">
        <v>148</v>
      </c>
      <c r="F832" s="44" t="s">
        <v>25</v>
      </c>
      <c r="G832" s="44" t="s">
        <v>120</v>
      </c>
      <c r="H832" s="44" t="s">
        <v>149</v>
      </c>
      <c r="I832" s="44" t="s">
        <v>26</v>
      </c>
      <c r="J832" s="44" t="s">
        <v>27</v>
      </c>
      <c r="K832" s="44" t="s">
        <v>150</v>
      </c>
      <c r="L832" s="40">
        <v>1126</v>
      </c>
      <c r="M832" s="41">
        <v>41339</v>
      </c>
      <c r="N832" s="40" t="s">
        <v>122</v>
      </c>
      <c r="O832" s="42"/>
      <c r="P832" s="40"/>
      <c r="Q832" s="207">
        <f>'[3]ComEd - test LP_28MS'!G822</f>
        <v>0</v>
      </c>
      <c r="R832" s="207">
        <f>'[3]ComEd - test LP_28MS'!H822</f>
        <v>0</v>
      </c>
      <c r="S832" s="207">
        <f>'[3]ComEd - test LP_28MS'!I822</f>
        <v>0</v>
      </c>
      <c r="T832" s="207">
        <f>'[3]ComEd - test LP_28MS'!J822</f>
        <v>0</v>
      </c>
      <c r="U832" s="207">
        <f>'[3]ComEd - test LP_28MS'!K822</f>
        <v>0</v>
      </c>
      <c r="V832" s="145"/>
    </row>
    <row r="833" spans="1:22" x14ac:dyDescent="0.2">
      <c r="A833" s="89">
        <f t="shared" si="24"/>
        <v>825</v>
      </c>
      <c r="B833" s="43">
        <v>23</v>
      </c>
      <c r="C833" s="43">
        <v>11</v>
      </c>
      <c r="D833" s="38" t="s">
        <v>622</v>
      </c>
      <c r="E833" s="44" t="s">
        <v>152</v>
      </c>
      <c r="F833" s="44" t="s">
        <v>25</v>
      </c>
      <c r="G833" s="44" t="s">
        <v>120</v>
      </c>
      <c r="H833" s="44" t="s">
        <v>149</v>
      </c>
      <c r="I833" s="44" t="s">
        <v>26</v>
      </c>
      <c r="J833" s="44" t="s">
        <v>28</v>
      </c>
      <c r="K833" s="44" t="s">
        <v>153</v>
      </c>
      <c r="L833" s="40">
        <v>1127</v>
      </c>
      <c r="M833" s="41">
        <v>41339</v>
      </c>
      <c r="N833" s="40" t="s">
        <v>122</v>
      </c>
      <c r="O833" s="42"/>
      <c r="P833" s="40"/>
      <c r="Q833" s="207">
        <f>'[3]ComEd - test LP_29MS'!G822</f>
        <v>0</v>
      </c>
      <c r="R833" s="207">
        <f>'[3]ComEd - test LP_29MS'!H822</f>
        <v>0</v>
      </c>
      <c r="S833" s="207">
        <f>'[3]ComEd - test LP_29MS'!I822</f>
        <v>0</v>
      </c>
      <c r="T833" s="207">
        <f>'[3]ComEd - test LP_29MS'!J822</f>
        <v>0</v>
      </c>
      <c r="U833" s="207">
        <f>'[3]ComEd - test LP_29MS'!K822</f>
        <v>0</v>
      </c>
      <c r="V833" s="145"/>
    </row>
    <row r="834" spans="1:22" x14ac:dyDescent="0.2">
      <c r="A834" s="89">
        <f t="shared" si="24"/>
        <v>826</v>
      </c>
      <c r="B834" s="43">
        <v>23</v>
      </c>
      <c r="C834" s="43">
        <v>12</v>
      </c>
      <c r="D834" s="38" t="s">
        <v>623</v>
      </c>
      <c r="E834" s="44" t="s">
        <v>155</v>
      </c>
      <c r="F834" s="44" t="s">
        <v>20</v>
      </c>
      <c r="G834" s="44" t="s">
        <v>120</v>
      </c>
      <c r="H834" s="44" t="s">
        <v>105</v>
      </c>
      <c r="I834" s="44" t="s">
        <v>156</v>
      </c>
      <c r="J834" s="44" t="s">
        <v>22</v>
      </c>
      <c r="K834" s="44" t="s">
        <v>157</v>
      </c>
      <c r="L834" s="40">
        <v>1128</v>
      </c>
      <c r="M834" s="41">
        <v>41339</v>
      </c>
      <c r="N834" s="40" t="s">
        <v>122</v>
      </c>
      <c r="O834" s="42"/>
      <c r="P834" s="40"/>
      <c r="Q834" s="207">
        <f>[3]DAY_RC_843MS!G822</f>
        <v>0</v>
      </c>
      <c r="R834" s="207">
        <f>[3]DAY_RC_843MS!H822</f>
        <v>0</v>
      </c>
      <c r="S834" s="207">
        <f>[3]DAY_RC_843MS!I822</f>
        <v>0</v>
      </c>
      <c r="T834" s="207">
        <f>[3]DAY_RC_843MS!J822</f>
        <v>0</v>
      </c>
      <c r="U834" s="207">
        <f>[3]DAY_RC_843MS!K822</f>
        <v>0</v>
      </c>
      <c r="V834" s="145"/>
    </row>
    <row r="835" spans="1:22" x14ac:dyDescent="0.2">
      <c r="A835" s="89">
        <f t="shared" si="24"/>
        <v>827</v>
      </c>
      <c r="B835" s="43">
        <v>23</v>
      </c>
      <c r="C835" s="43">
        <v>13</v>
      </c>
      <c r="D835" s="38" t="s">
        <v>624</v>
      </c>
      <c r="E835" s="44" t="s">
        <v>159</v>
      </c>
      <c r="F835" s="44" t="s">
        <v>39</v>
      </c>
      <c r="G835" s="44" t="s">
        <v>120</v>
      </c>
      <c r="H835" s="44" t="s">
        <v>43</v>
      </c>
      <c r="I835" s="44" t="s">
        <v>43</v>
      </c>
      <c r="J835" s="44" t="s">
        <v>7</v>
      </c>
      <c r="K835" s="44" t="s">
        <v>140</v>
      </c>
      <c r="L835" s="40">
        <v>1129</v>
      </c>
      <c r="M835" s="41">
        <v>41339</v>
      </c>
      <c r="N835" s="40" t="s">
        <v>122</v>
      </c>
      <c r="O835" s="42"/>
      <c r="P835" s="40"/>
      <c r="Q835" s="207">
        <f>'[3]Delmarva MD LP_MDGS_MMS'!G822</f>
        <v>0</v>
      </c>
      <c r="R835" s="207">
        <f>'[3]Delmarva MD LP_MDGS_MMS'!H822</f>
        <v>0</v>
      </c>
      <c r="S835" s="207">
        <f>'[3]Delmarva MD LP_MDGS_MMS'!I822</f>
        <v>0</v>
      </c>
      <c r="T835" s="207">
        <f>'[3]Delmarva MD LP_MDGS_MMS'!J822</f>
        <v>0</v>
      </c>
      <c r="U835" s="207">
        <f>'[3]Delmarva MD LP_MDGS_MMS'!K822</f>
        <v>0</v>
      </c>
      <c r="V835" s="145"/>
    </row>
    <row r="836" spans="1:22" x14ac:dyDescent="0.2">
      <c r="A836" s="89">
        <f t="shared" si="24"/>
        <v>828</v>
      </c>
      <c r="B836" s="43">
        <v>23</v>
      </c>
      <c r="C836" s="43">
        <v>14</v>
      </c>
      <c r="D836" s="38" t="s">
        <v>625</v>
      </c>
      <c r="E836" s="44" t="s">
        <v>161</v>
      </c>
      <c r="F836" s="44" t="s">
        <v>6</v>
      </c>
      <c r="G836" s="44" t="s">
        <v>120</v>
      </c>
      <c r="H836" s="44" t="s">
        <v>48</v>
      </c>
      <c r="I836" s="44" t="s">
        <v>48</v>
      </c>
      <c r="J836" s="44" t="s">
        <v>7</v>
      </c>
      <c r="K836" s="44" t="s">
        <v>140</v>
      </c>
      <c r="L836" s="40">
        <v>1130</v>
      </c>
      <c r="M836" s="41">
        <v>41339</v>
      </c>
      <c r="N836" s="40" t="s">
        <v>122</v>
      </c>
      <c r="O836" s="42"/>
      <c r="P836" s="40"/>
      <c r="Q836" s="207">
        <f>'[3]DQE LP_GSGM_MMS'!G822</f>
        <v>0</v>
      </c>
      <c r="R836" s="207">
        <f>'[3]DQE LP_GSGM_MMS'!H822</f>
        <v>0</v>
      </c>
      <c r="S836" s="207">
        <f>'[3]DQE LP_GSGM_MMS'!I822</f>
        <v>0</v>
      </c>
      <c r="T836" s="207">
        <f>'[3]DQE LP_GSGM_MMS'!J822</f>
        <v>0</v>
      </c>
      <c r="U836" s="207">
        <f>'[3]DQE LP_GSGM_MMS'!K822</f>
        <v>0</v>
      </c>
      <c r="V836" s="145"/>
    </row>
    <row r="837" spans="1:22" x14ac:dyDescent="0.2">
      <c r="A837" s="89">
        <f t="shared" si="24"/>
        <v>829</v>
      </c>
      <c r="B837" s="43">
        <v>23</v>
      </c>
      <c r="C837" s="43">
        <v>15</v>
      </c>
      <c r="D837" s="38" t="s">
        <v>626</v>
      </c>
      <c r="E837" s="44" t="s">
        <v>163</v>
      </c>
      <c r="F837" s="44" t="s">
        <v>20</v>
      </c>
      <c r="G837" s="44" t="s">
        <v>120</v>
      </c>
      <c r="H837" s="44" t="s">
        <v>23</v>
      </c>
      <c r="I837" s="44" t="s">
        <v>164</v>
      </c>
      <c r="J837" s="44" t="s">
        <v>24</v>
      </c>
      <c r="K837" s="44" t="s">
        <v>140</v>
      </c>
      <c r="L837" s="40">
        <v>1131</v>
      </c>
      <c r="M837" s="41">
        <v>41339</v>
      </c>
      <c r="N837" s="40" t="s">
        <v>122</v>
      </c>
      <c r="O837" s="42"/>
      <c r="P837" s="40"/>
      <c r="Q837" s="207">
        <f>[3]Duke_OH_RC_DS01MS!G822</f>
        <v>0</v>
      </c>
      <c r="R837" s="207">
        <f>[3]Duke_OH_RC_DS01MS!H822</f>
        <v>0</v>
      </c>
      <c r="S837" s="207">
        <f>[3]Duke_OH_RC_DS01MS!I822</f>
        <v>0</v>
      </c>
      <c r="T837" s="207">
        <f>[3]Duke_OH_RC_DS01MS!J822</f>
        <v>0</v>
      </c>
      <c r="U837" s="207">
        <f>[3]Duke_OH_RC_DS01MS!K822</f>
        <v>0</v>
      </c>
      <c r="V837" s="145"/>
    </row>
    <row r="838" spans="1:22" x14ac:dyDescent="0.2">
      <c r="A838" s="89">
        <f t="shared" si="24"/>
        <v>830</v>
      </c>
      <c r="B838" s="43">
        <v>23</v>
      </c>
      <c r="C838" s="43">
        <v>16</v>
      </c>
      <c r="D838" s="38" t="s">
        <v>627</v>
      </c>
      <c r="E838" s="44" t="s">
        <v>166</v>
      </c>
      <c r="F838" s="44" t="s">
        <v>20</v>
      </c>
      <c r="G838" s="44" t="s">
        <v>120</v>
      </c>
      <c r="H838" s="44" t="s">
        <v>64</v>
      </c>
      <c r="I838" s="44" t="s">
        <v>167</v>
      </c>
      <c r="J838" s="44" t="s">
        <v>7</v>
      </c>
      <c r="K838" s="44" t="s">
        <v>140</v>
      </c>
      <c r="L838" s="40">
        <v>1132</v>
      </c>
      <c r="M838" s="41">
        <v>41339</v>
      </c>
      <c r="N838" s="40" t="s">
        <v>122</v>
      </c>
      <c r="O838" s="42"/>
      <c r="P838" s="40"/>
      <c r="Q838" s="207">
        <f>'[3]FE_OE - test RC_GSFMS'!G822</f>
        <v>0</v>
      </c>
      <c r="R838" s="207">
        <f>'[3]FE_OE - test RC_GSFMS'!H822</f>
        <v>0</v>
      </c>
      <c r="S838" s="207">
        <f>'[3]FE_OE - test RC_GSFMS'!I822</f>
        <v>0</v>
      </c>
      <c r="T838" s="207">
        <f>'[3]FE_OE - test RC_GSFMS'!J822</f>
        <v>0</v>
      </c>
      <c r="U838" s="207">
        <f>'[3]FE_OE - test RC_GSFMS'!K822</f>
        <v>0</v>
      </c>
      <c r="V838" s="145"/>
    </row>
    <row r="839" spans="1:22" x14ac:dyDescent="0.2">
      <c r="A839" s="89">
        <f t="shared" si="24"/>
        <v>831</v>
      </c>
      <c r="B839" s="43">
        <v>23</v>
      </c>
      <c r="C839" s="43">
        <v>17</v>
      </c>
      <c r="D839" s="38" t="s">
        <v>628</v>
      </c>
      <c r="E839" s="44" t="s">
        <v>169</v>
      </c>
      <c r="F839" s="44" t="s">
        <v>31</v>
      </c>
      <c r="G839" s="44" t="s">
        <v>120</v>
      </c>
      <c r="H839" s="44" t="s">
        <v>35</v>
      </c>
      <c r="I839" s="44" t="s">
        <v>35</v>
      </c>
      <c r="J839" s="44" t="s">
        <v>9</v>
      </c>
      <c r="K839" s="44" t="s">
        <v>135</v>
      </c>
      <c r="L839" s="40">
        <v>1133</v>
      </c>
      <c r="M839" s="41">
        <v>41339</v>
      </c>
      <c r="N839" s="40" t="s">
        <v>122</v>
      </c>
      <c r="O839" s="42"/>
      <c r="P839" s="40"/>
      <c r="Q839" s="207">
        <f>'[3]JCPL LP_GSCLMS'!G822</f>
        <v>0</v>
      </c>
      <c r="R839" s="207">
        <f>'[3]JCPL LP_GSCLMS'!H822</f>
        <v>0</v>
      </c>
      <c r="S839" s="207">
        <f>'[3]JCPL LP_GSCLMS'!I822</f>
        <v>0</v>
      </c>
      <c r="T839" s="207">
        <f>'[3]JCPL LP_GSCLMS'!J822</f>
        <v>0</v>
      </c>
      <c r="U839" s="207">
        <f>'[3]JCPL LP_GSCLMS'!K822</f>
        <v>0</v>
      </c>
      <c r="V839" s="145"/>
    </row>
    <row r="840" spans="1:22" x14ac:dyDescent="0.2">
      <c r="A840" s="89">
        <f t="shared" si="24"/>
        <v>832</v>
      </c>
      <c r="B840" s="43">
        <v>23</v>
      </c>
      <c r="C840" s="43">
        <v>18</v>
      </c>
      <c r="D840" s="38" t="s">
        <v>629</v>
      </c>
      <c r="E840" s="44" t="s">
        <v>171</v>
      </c>
      <c r="F840" s="44" t="s">
        <v>31</v>
      </c>
      <c r="G840" s="44" t="s">
        <v>120</v>
      </c>
      <c r="H840" s="44" t="s">
        <v>35</v>
      </c>
      <c r="I840" s="44" t="s">
        <v>35</v>
      </c>
      <c r="J840" s="44" t="s">
        <v>10</v>
      </c>
      <c r="K840" s="44" t="s">
        <v>132</v>
      </c>
      <c r="L840" s="40">
        <v>1134</v>
      </c>
      <c r="M840" s="41">
        <v>41339</v>
      </c>
      <c r="N840" s="40" t="s">
        <v>122</v>
      </c>
      <c r="O840" s="42"/>
      <c r="P840" s="40"/>
      <c r="Q840" s="207">
        <f>'[3]JCPL LP_GSCMMS'!G822</f>
        <v>0</v>
      </c>
      <c r="R840" s="207">
        <f>'[3]JCPL LP_GSCMMS'!H822</f>
        <v>0</v>
      </c>
      <c r="S840" s="207">
        <f>'[3]JCPL LP_GSCMMS'!I822</f>
        <v>0</v>
      </c>
      <c r="T840" s="207">
        <f>'[3]JCPL LP_GSCMMS'!J822</f>
        <v>0</v>
      </c>
      <c r="U840" s="207">
        <f>'[3]JCPL LP_GSCMMS'!K822</f>
        <v>0</v>
      </c>
      <c r="V840" s="145"/>
    </row>
    <row r="841" spans="1:22" x14ac:dyDescent="0.2">
      <c r="A841" s="89">
        <f t="shared" si="24"/>
        <v>833</v>
      </c>
      <c r="B841" s="43">
        <v>23</v>
      </c>
      <c r="C841" s="43">
        <v>19</v>
      </c>
      <c r="D841" s="38" t="s">
        <v>630</v>
      </c>
      <c r="E841" s="44" t="s">
        <v>173</v>
      </c>
      <c r="F841" s="44" t="s">
        <v>31</v>
      </c>
      <c r="G841" s="44" t="s">
        <v>120</v>
      </c>
      <c r="H841" s="44" t="s">
        <v>35</v>
      </c>
      <c r="I841" s="44" t="s">
        <v>35</v>
      </c>
      <c r="J841" s="44" t="s">
        <v>11</v>
      </c>
      <c r="K841" s="44" t="s">
        <v>129</v>
      </c>
      <c r="L841" s="40">
        <v>1135</v>
      </c>
      <c r="M841" s="41">
        <v>41339</v>
      </c>
      <c r="N841" s="40" t="s">
        <v>122</v>
      </c>
      <c r="O841" s="42"/>
      <c r="P841" s="40"/>
      <c r="Q841" s="207">
        <f>'[3]JCPL LP_GSCSMS'!G822</f>
        <v>0</v>
      </c>
      <c r="R841" s="207">
        <f>'[3]JCPL LP_GSCSMS'!H822</f>
        <v>0</v>
      </c>
      <c r="S841" s="207">
        <f>'[3]JCPL LP_GSCSMS'!I822</f>
        <v>0</v>
      </c>
      <c r="T841" s="207">
        <f>'[3]JCPL LP_GSCSMS'!J822</f>
        <v>0</v>
      </c>
      <c r="U841" s="207">
        <f>'[3]JCPL LP_GSCSMS'!K822</f>
        <v>0</v>
      </c>
      <c r="V841" s="145"/>
    </row>
    <row r="842" spans="1:22" x14ac:dyDescent="0.2">
      <c r="A842" s="89">
        <f t="shared" si="24"/>
        <v>834</v>
      </c>
      <c r="B842" s="43">
        <v>23</v>
      </c>
      <c r="C842" s="43">
        <v>20</v>
      </c>
      <c r="D842" s="38" t="s">
        <v>631</v>
      </c>
      <c r="E842" s="44" t="s">
        <v>175</v>
      </c>
      <c r="F842" s="44" t="s">
        <v>6</v>
      </c>
      <c r="G842" s="44" t="s">
        <v>120</v>
      </c>
      <c r="H842" s="44" t="s">
        <v>176</v>
      </c>
      <c r="I842" s="44" t="s">
        <v>177</v>
      </c>
      <c r="J842" s="44" t="s">
        <v>9</v>
      </c>
      <c r="K842" s="44" t="s">
        <v>135</v>
      </c>
      <c r="L842" s="40">
        <v>1137</v>
      </c>
      <c r="M842" s="41">
        <v>41339</v>
      </c>
      <c r="N842" s="40" t="s">
        <v>122</v>
      </c>
      <c r="O842" s="42"/>
      <c r="P842" s="40"/>
      <c r="Q842" s="207">
        <f>'[3]MetEd RC_GSLFMS'!G822</f>
        <v>0</v>
      </c>
      <c r="R842" s="207">
        <f>'[3]MetEd RC_GSLFMS'!H822</f>
        <v>0</v>
      </c>
      <c r="S842" s="207">
        <f>'[3]MetEd RC_GSLFMS'!I822</f>
        <v>0</v>
      </c>
      <c r="T842" s="207">
        <f>'[3]MetEd RC_GSLFMS'!J822</f>
        <v>0</v>
      </c>
      <c r="U842" s="207">
        <f>'[3]MetEd RC_GSLFMS'!K822</f>
        <v>0</v>
      </c>
      <c r="V842" s="145"/>
    </row>
    <row r="843" spans="1:22" x14ac:dyDescent="0.2">
      <c r="A843" s="89">
        <f t="shared" ref="A843:A895" si="25">A842+1</f>
        <v>835</v>
      </c>
      <c r="B843" s="43">
        <v>23</v>
      </c>
      <c r="C843" s="43">
        <v>21</v>
      </c>
      <c r="D843" s="38" t="s">
        <v>632</v>
      </c>
      <c r="E843" s="44" t="s">
        <v>179</v>
      </c>
      <c r="F843" s="44" t="s">
        <v>6</v>
      </c>
      <c r="G843" s="44" t="s">
        <v>120</v>
      </c>
      <c r="H843" s="44" t="s">
        <v>176</v>
      </c>
      <c r="I843" s="44" t="s">
        <v>177</v>
      </c>
      <c r="J843" s="44" t="s">
        <v>10</v>
      </c>
      <c r="K843" s="44" t="s">
        <v>132</v>
      </c>
      <c r="L843" s="40">
        <v>1136</v>
      </c>
      <c r="M843" s="41">
        <v>41339</v>
      </c>
      <c r="N843" s="40" t="s">
        <v>122</v>
      </c>
      <c r="O843" s="42"/>
      <c r="P843" s="40"/>
      <c r="Q843" s="207">
        <f>'[3]MetEd RC_GSDFMS'!G822</f>
        <v>0</v>
      </c>
      <c r="R843" s="207">
        <f>'[3]MetEd RC_GSDFMS'!H822</f>
        <v>0</v>
      </c>
      <c r="S843" s="207">
        <f>'[3]MetEd RC_GSDFMS'!I822</f>
        <v>0</v>
      </c>
      <c r="T843" s="207">
        <f>'[3]MetEd RC_GSDFMS'!J822</f>
        <v>0</v>
      </c>
      <c r="U843" s="207">
        <f>'[3]MetEd RC_GSDFMS'!K822</f>
        <v>0</v>
      </c>
      <c r="V843" s="145"/>
    </row>
    <row r="844" spans="1:22" x14ac:dyDescent="0.2">
      <c r="A844" s="89">
        <f t="shared" si="25"/>
        <v>836</v>
      </c>
      <c r="B844" s="43">
        <v>23</v>
      </c>
      <c r="C844" s="43">
        <v>22</v>
      </c>
      <c r="D844" s="38" t="s">
        <v>633</v>
      </c>
      <c r="E844" s="44" t="s">
        <v>181</v>
      </c>
      <c r="F844" s="44" t="s">
        <v>6</v>
      </c>
      <c r="G844" s="44" t="s">
        <v>120</v>
      </c>
      <c r="H844" s="44" t="s">
        <v>176</v>
      </c>
      <c r="I844" s="44" t="s">
        <v>177</v>
      </c>
      <c r="J844" s="44" t="s">
        <v>11</v>
      </c>
      <c r="K844" s="44" t="s">
        <v>129</v>
      </c>
      <c r="L844" s="40">
        <v>1138</v>
      </c>
      <c r="M844" s="41">
        <v>41339</v>
      </c>
      <c r="N844" s="40" t="s">
        <v>122</v>
      </c>
      <c r="O844" s="42"/>
      <c r="P844" s="40"/>
      <c r="Q844" s="207">
        <f>'[3]MetEd RC_GSSFMS'!G822</f>
        <v>0</v>
      </c>
      <c r="R844" s="207">
        <f>'[3]MetEd RC_GSSFMS'!H822</f>
        <v>0</v>
      </c>
      <c r="S844" s="207">
        <f>'[3]MetEd RC_GSSFMS'!I822</f>
        <v>0</v>
      </c>
      <c r="T844" s="207">
        <f>'[3]MetEd RC_GSSFMS'!J822</f>
        <v>0</v>
      </c>
      <c r="U844" s="207">
        <f>'[3]MetEd RC_GSSFMS'!K822</f>
        <v>0</v>
      </c>
      <c r="V844" s="145"/>
    </row>
    <row r="845" spans="1:22" x14ac:dyDescent="0.2">
      <c r="A845" s="89">
        <f t="shared" si="25"/>
        <v>837</v>
      </c>
      <c r="B845" s="43">
        <v>23</v>
      </c>
      <c r="C845" s="43">
        <v>23</v>
      </c>
      <c r="D845" s="38" t="s">
        <v>634</v>
      </c>
      <c r="E845" s="44" t="s">
        <v>183</v>
      </c>
      <c r="F845" s="44" t="s">
        <v>6</v>
      </c>
      <c r="G845" s="44" t="s">
        <v>120</v>
      </c>
      <c r="H845" s="44" t="s">
        <v>13</v>
      </c>
      <c r="I845" s="44" t="s">
        <v>13</v>
      </c>
      <c r="J845" s="44" t="s">
        <v>7</v>
      </c>
      <c r="K845" s="44" t="s">
        <v>140</v>
      </c>
      <c r="L845" s="40">
        <v>1139</v>
      </c>
      <c r="M845" s="41">
        <v>41339</v>
      </c>
      <c r="N845" s="40" t="s">
        <v>122</v>
      </c>
      <c r="O845" s="42"/>
      <c r="P845" s="40"/>
      <c r="Q845" s="207">
        <f>'[3]PECO LP_GSMS'!G822</f>
        <v>0</v>
      </c>
      <c r="R845" s="207">
        <f>'[3]PECO LP_GSMS'!H822</f>
        <v>0</v>
      </c>
      <c r="S845" s="207">
        <f>'[3]PECO LP_GSMS'!I822</f>
        <v>0</v>
      </c>
      <c r="T845" s="207">
        <f>'[3]PECO LP_GSMS'!J822</f>
        <v>0</v>
      </c>
      <c r="U845" s="207">
        <f>'[3]PECO LP_GSMS'!K822</f>
        <v>0</v>
      </c>
      <c r="V845" s="145"/>
    </row>
    <row r="846" spans="1:22" x14ac:dyDescent="0.2">
      <c r="A846" s="89">
        <f t="shared" si="25"/>
        <v>838</v>
      </c>
      <c r="B846" s="43">
        <v>23</v>
      </c>
      <c r="C846" s="43">
        <v>24</v>
      </c>
      <c r="D846" s="38" t="s">
        <v>635</v>
      </c>
      <c r="E846" s="44" t="s">
        <v>185</v>
      </c>
      <c r="F846" s="44" t="s">
        <v>6</v>
      </c>
      <c r="G846" s="44" t="s">
        <v>120</v>
      </c>
      <c r="H846" s="44" t="s">
        <v>12</v>
      </c>
      <c r="I846" s="44" t="s">
        <v>186</v>
      </c>
      <c r="J846" s="44" t="s">
        <v>9</v>
      </c>
      <c r="K846" s="44" t="s">
        <v>135</v>
      </c>
      <c r="L846" s="40">
        <v>1140</v>
      </c>
      <c r="M846" s="41">
        <v>41339</v>
      </c>
      <c r="N846" s="40" t="s">
        <v>122</v>
      </c>
      <c r="O846" s="42"/>
      <c r="P846" s="40"/>
      <c r="Q846" s="207">
        <f>'[3]Penelec RC_GSLFMS'!G822</f>
        <v>0</v>
      </c>
      <c r="R846" s="207">
        <f>'[3]Penelec RC_GSLFMS'!H822</f>
        <v>0</v>
      </c>
      <c r="S846" s="207">
        <f>'[3]Penelec RC_GSLFMS'!I822</f>
        <v>0</v>
      </c>
      <c r="T846" s="207">
        <f>'[3]Penelec RC_GSLFMS'!J822</f>
        <v>0</v>
      </c>
      <c r="U846" s="207">
        <f>'[3]Penelec RC_GSLFMS'!K822</f>
        <v>0</v>
      </c>
      <c r="V846" s="145"/>
    </row>
    <row r="847" spans="1:22" x14ac:dyDescent="0.2">
      <c r="A847" s="89">
        <f t="shared" si="25"/>
        <v>839</v>
      </c>
      <c r="B847" s="43">
        <v>23</v>
      </c>
      <c r="C847" s="43">
        <v>25</v>
      </c>
      <c r="D847" s="38" t="s">
        <v>636</v>
      </c>
      <c r="E847" s="44" t="s">
        <v>188</v>
      </c>
      <c r="F847" s="44" t="s">
        <v>6</v>
      </c>
      <c r="G847" s="44" t="s">
        <v>120</v>
      </c>
      <c r="H847" s="44" t="s">
        <v>12</v>
      </c>
      <c r="I847" s="44" t="s">
        <v>186</v>
      </c>
      <c r="J847" s="44" t="s">
        <v>10</v>
      </c>
      <c r="K847" s="44" t="s">
        <v>132</v>
      </c>
      <c r="L847" s="40">
        <v>1141</v>
      </c>
      <c r="M847" s="41">
        <v>41339</v>
      </c>
      <c r="N847" s="40" t="s">
        <v>122</v>
      </c>
      <c r="O847" s="42"/>
      <c r="P847" s="40"/>
      <c r="Q847" s="207">
        <f>'[3]Penelec RC_GSMFMS'!G822</f>
        <v>0</v>
      </c>
      <c r="R847" s="207">
        <f>'[3]Penelec RC_GSMFMS'!H822</f>
        <v>0</v>
      </c>
      <c r="S847" s="207">
        <f>'[3]Penelec RC_GSMFMS'!I822</f>
        <v>0</v>
      </c>
      <c r="T847" s="207">
        <f>'[3]Penelec RC_GSMFMS'!J822</f>
        <v>0</v>
      </c>
      <c r="U847" s="207">
        <f>'[3]Penelec RC_GSMFMS'!K822</f>
        <v>0</v>
      </c>
      <c r="V847" s="145"/>
    </row>
    <row r="848" spans="1:22" x14ac:dyDescent="0.2">
      <c r="A848" s="89">
        <f t="shared" si="25"/>
        <v>840</v>
      </c>
      <c r="B848" s="43">
        <v>23</v>
      </c>
      <c r="C848" s="43">
        <v>26</v>
      </c>
      <c r="D848" s="38" t="s">
        <v>637</v>
      </c>
      <c r="E848" s="44" t="s">
        <v>190</v>
      </c>
      <c r="F848" s="44" t="s">
        <v>6</v>
      </c>
      <c r="G848" s="44" t="s">
        <v>120</v>
      </c>
      <c r="H848" s="44" t="s">
        <v>12</v>
      </c>
      <c r="I848" s="44" t="s">
        <v>186</v>
      </c>
      <c r="J848" s="44" t="s">
        <v>11</v>
      </c>
      <c r="K848" s="44" t="s">
        <v>129</v>
      </c>
      <c r="L848" s="40">
        <v>1142</v>
      </c>
      <c r="M848" s="41">
        <v>41339</v>
      </c>
      <c r="N848" s="40" t="s">
        <v>122</v>
      </c>
      <c r="O848" s="42"/>
      <c r="P848" s="40"/>
      <c r="Q848" s="207">
        <f>'[3]Penelec RC_GSSFMS'!G822</f>
        <v>0</v>
      </c>
      <c r="R848" s="207">
        <f>'[3]Penelec RC_GSSFMS'!H822</f>
        <v>0</v>
      </c>
      <c r="S848" s="207">
        <f>'[3]Penelec RC_GSSFMS'!I822</f>
        <v>0</v>
      </c>
      <c r="T848" s="207">
        <f>'[3]Penelec RC_GSSFMS'!J822</f>
        <v>0</v>
      </c>
      <c r="U848" s="207">
        <f>'[3]Penelec RC_GSSFMS'!K822</f>
        <v>0</v>
      </c>
      <c r="V848" s="145"/>
    </row>
    <row r="849" spans="1:22" x14ac:dyDescent="0.2">
      <c r="A849" s="89">
        <f t="shared" si="25"/>
        <v>841</v>
      </c>
      <c r="B849" s="43">
        <v>23</v>
      </c>
      <c r="C849" s="43">
        <v>27</v>
      </c>
      <c r="D849" s="38" t="s">
        <v>638</v>
      </c>
      <c r="E849" s="44" t="s">
        <v>192</v>
      </c>
      <c r="F849" s="44" t="s">
        <v>6</v>
      </c>
      <c r="G849" s="44" t="s">
        <v>120</v>
      </c>
      <c r="H849" s="44" t="s">
        <v>100</v>
      </c>
      <c r="I849" s="44" t="s">
        <v>193</v>
      </c>
      <c r="J849" s="44" t="s">
        <v>7</v>
      </c>
      <c r="K849" s="44" t="s">
        <v>140</v>
      </c>
      <c r="L849" s="40">
        <v>1143</v>
      </c>
      <c r="M849" s="41">
        <v>41339</v>
      </c>
      <c r="N849" s="40" t="s">
        <v>122</v>
      </c>
      <c r="O849" s="42"/>
      <c r="P849" s="40"/>
      <c r="Q849" s="207">
        <f>'[3]Penn Power RC_GMDMS'!G822</f>
        <v>0</v>
      </c>
      <c r="R849" s="207">
        <f>'[3]Penn Power RC_GMDMS'!H822</f>
        <v>0</v>
      </c>
      <c r="S849" s="207">
        <f>'[3]Penn Power RC_GMDMS'!I822</f>
        <v>0</v>
      </c>
      <c r="T849" s="207">
        <f>'[3]Penn Power RC_GMDMS'!J822</f>
        <v>0</v>
      </c>
      <c r="U849" s="207">
        <f>'[3]Penn Power RC_GMDMS'!K822</f>
        <v>0</v>
      </c>
      <c r="V849" s="145"/>
    </row>
    <row r="850" spans="1:22" x14ac:dyDescent="0.2">
      <c r="A850" s="89">
        <f t="shared" si="25"/>
        <v>842</v>
      </c>
      <c r="B850" s="43">
        <v>23</v>
      </c>
      <c r="C850" s="43">
        <v>28</v>
      </c>
      <c r="D850" s="38" t="s">
        <v>639</v>
      </c>
      <c r="E850" s="44" t="s">
        <v>195</v>
      </c>
      <c r="F850" s="44" t="s">
        <v>39</v>
      </c>
      <c r="G850" s="44" t="s">
        <v>120</v>
      </c>
      <c r="H850" s="44" t="s">
        <v>44</v>
      </c>
      <c r="I850" s="44" t="s">
        <v>44</v>
      </c>
      <c r="J850" s="44" t="s">
        <v>7</v>
      </c>
      <c r="K850" s="44" t="s">
        <v>140</v>
      </c>
      <c r="L850" s="40">
        <v>1144</v>
      </c>
      <c r="M850" s="41">
        <v>41339</v>
      </c>
      <c r="N850" s="40" t="s">
        <v>122</v>
      </c>
      <c r="O850" s="42"/>
      <c r="P850" s="40"/>
      <c r="Q850" s="207">
        <f>'[3]PEPCO MD LP_MDNDMS'!G822</f>
        <v>0</v>
      </c>
      <c r="R850" s="207">
        <f>'[3]PEPCO MD LP_MDNDMS'!H822</f>
        <v>0</v>
      </c>
      <c r="S850" s="207">
        <f>'[3]PEPCO MD LP_MDNDMS'!I822</f>
        <v>0</v>
      </c>
      <c r="T850" s="207">
        <f>'[3]PEPCO MD LP_MDNDMS'!J822</f>
        <v>0</v>
      </c>
      <c r="U850" s="207">
        <f>'[3]PEPCO MD LP_MDNDMS'!K822</f>
        <v>0</v>
      </c>
      <c r="V850" s="145"/>
    </row>
    <row r="851" spans="1:22" x14ac:dyDescent="0.2">
      <c r="A851" s="89">
        <f t="shared" si="25"/>
        <v>843</v>
      </c>
      <c r="B851" s="43">
        <v>23</v>
      </c>
      <c r="C851" s="43">
        <v>29</v>
      </c>
      <c r="D851" s="38" t="s">
        <v>640</v>
      </c>
      <c r="E851" s="44" t="s">
        <v>197</v>
      </c>
      <c r="F851" s="44" t="s">
        <v>39</v>
      </c>
      <c r="G851" s="44" t="s">
        <v>120</v>
      </c>
      <c r="H851" s="44" t="s">
        <v>44</v>
      </c>
      <c r="I851" s="44" t="s">
        <v>44</v>
      </c>
      <c r="J851" s="44" t="s">
        <v>45</v>
      </c>
      <c r="K851" s="44" t="s">
        <v>198</v>
      </c>
      <c r="L851" s="40">
        <v>1145</v>
      </c>
      <c r="M851" s="41">
        <v>41339</v>
      </c>
      <c r="N851" s="40" t="s">
        <v>122</v>
      </c>
      <c r="O851" s="42"/>
      <c r="P851" s="40"/>
      <c r="Q851" s="207">
        <f>'[3]PEPCO MD LP_MMGTL2AMS'!G822</f>
        <v>0</v>
      </c>
      <c r="R851" s="207">
        <f>'[3]PEPCO MD LP_MMGTL2AMS'!H822</f>
        <v>0</v>
      </c>
      <c r="S851" s="207">
        <f>'[3]PEPCO MD LP_MMGTL2AMS'!I822</f>
        <v>0</v>
      </c>
      <c r="T851" s="207">
        <f>'[3]PEPCO MD LP_MMGTL2AMS'!J822</f>
        <v>0</v>
      </c>
      <c r="U851" s="207">
        <f>'[3]PEPCO MD LP_MMGTL2AMS'!K822</f>
        <v>0</v>
      </c>
      <c r="V851" s="145"/>
    </row>
    <row r="852" spans="1:22" x14ac:dyDescent="0.2">
      <c r="A852" s="89">
        <f t="shared" si="25"/>
        <v>844</v>
      </c>
      <c r="B852" s="43">
        <v>23</v>
      </c>
      <c r="C852" s="43">
        <v>30</v>
      </c>
      <c r="D852" s="38" t="s">
        <v>641</v>
      </c>
      <c r="E852" s="44" t="s">
        <v>200</v>
      </c>
      <c r="F852" s="44" t="s">
        <v>39</v>
      </c>
      <c r="G852" s="44" t="s">
        <v>120</v>
      </c>
      <c r="H852" s="44" t="s">
        <v>44</v>
      </c>
      <c r="I852" s="44" t="s">
        <v>44</v>
      </c>
      <c r="J852" s="44" t="s">
        <v>46</v>
      </c>
      <c r="K852" s="44" t="s">
        <v>46</v>
      </c>
      <c r="L852" s="40">
        <v>1146</v>
      </c>
      <c r="M852" s="41">
        <v>41339</v>
      </c>
      <c r="N852" s="40" t="s">
        <v>122</v>
      </c>
      <c r="O852" s="42"/>
      <c r="P852" s="40"/>
      <c r="Q852" s="207">
        <f>'[3]PEPCO MD RC_3T7MS'!G822</f>
        <v>0</v>
      </c>
      <c r="R852" s="207">
        <f>'[3]PEPCO MD RC_3T7MS'!H822</f>
        <v>0</v>
      </c>
      <c r="S852" s="207">
        <f>'[3]PEPCO MD RC_3T7MS'!I822</f>
        <v>0</v>
      </c>
      <c r="T852" s="207">
        <f>'[3]PEPCO MD RC_3T7MS'!J822</f>
        <v>0</v>
      </c>
      <c r="U852" s="207">
        <f>'[3]PEPCO MD RC_3T7MS'!K822</f>
        <v>0</v>
      </c>
      <c r="V852" s="145"/>
    </row>
    <row r="853" spans="1:22" x14ac:dyDescent="0.2">
      <c r="A853" s="89">
        <f t="shared" si="25"/>
        <v>845</v>
      </c>
      <c r="B853" s="43">
        <v>23</v>
      </c>
      <c r="C853" s="43">
        <v>31</v>
      </c>
      <c r="D853" s="38" t="s">
        <v>642</v>
      </c>
      <c r="E853" s="44" t="s">
        <v>202</v>
      </c>
      <c r="F853" s="44" t="s">
        <v>39</v>
      </c>
      <c r="G853" s="44" t="s">
        <v>120</v>
      </c>
      <c r="H853" s="44" t="s">
        <v>47</v>
      </c>
      <c r="I853" s="44" t="s">
        <v>47</v>
      </c>
      <c r="J853" s="44" t="s">
        <v>7</v>
      </c>
      <c r="K853" s="44" t="s">
        <v>140</v>
      </c>
      <c r="L853" s="40">
        <v>1147</v>
      </c>
      <c r="M853" s="41">
        <v>41339</v>
      </c>
      <c r="N853" s="40" t="s">
        <v>122</v>
      </c>
      <c r="O853" s="42"/>
      <c r="P853" s="40"/>
      <c r="Q853" s="207">
        <f>'[3]Potomac Edison LP_GSCM_MMS'!G822</f>
        <v>0</v>
      </c>
      <c r="R853" s="207">
        <f>'[3]Potomac Edison LP_GSCM_MMS'!H822</f>
        <v>0</v>
      </c>
      <c r="S853" s="207">
        <f>'[3]Potomac Edison LP_GSCM_MMS'!I822</f>
        <v>0</v>
      </c>
      <c r="T853" s="207">
        <f>'[3]Potomac Edison LP_GSCM_MMS'!J822</f>
        <v>0</v>
      </c>
      <c r="U853" s="207">
        <f>'[3]Potomac Edison LP_GSCM_MMS'!K822</f>
        <v>0</v>
      </c>
      <c r="V853" s="145"/>
    </row>
    <row r="854" spans="1:22" x14ac:dyDescent="0.2">
      <c r="A854" s="89">
        <f t="shared" si="25"/>
        <v>846</v>
      </c>
      <c r="B854" s="43">
        <v>23</v>
      </c>
      <c r="C854" s="43">
        <v>32</v>
      </c>
      <c r="D854" s="38" t="s">
        <v>643</v>
      </c>
      <c r="E854" s="44" t="s">
        <v>204</v>
      </c>
      <c r="F854" s="44" t="s">
        <v>6</v>
      </c>
      <c r="G854" s="44" t="s">
        <v>120</v>
      </c>
      <c r="H854" s="44" t="s">
        <v>14</v>
      </c>
      <c r="I854" s="44" t="s">
        <v>14</v>
      </c>
      <c r="J854" s="44" t="s">
        <v>15</v>
      </c>
      <c r="K854" s="44" t="s">
        <v>129</v>
      </c>
      <c r="L854" s="40">
        <v>1148</v>
      </c>
      <c r="M854" s="41">
        <v>41339</v>
      </c>
      <c r="N854" s="40" t="s">
        <v>122</v>
      </c>
      <c r="O854" s="42"/>
      <c r="P854" s="40"/>
      <c r="Q854" s="207">
        <f>[3]PPL_RCGS1MS!G822</f>
        <v>0</v>
      </c>
      <c r="R854" s="207">
        <f>[3]PPL_RCGS1MS!H822</f>
        <v>0</v>
      </c>
      <c r="S854" s="207">
        <f>[3]PPL_RCGS1MS!I822</f>
        <v>0</v>
      </c>
      <c r="T854" s="207">
        <f>[3]PPL_RCGS1MS!J822</f>
        <v>0</v>
      </c>
      <c r="U854" s="207">
        <f>[3]PPL_RCGS1MS!K822</f>
        <v>0</v>
      </c>
      <c r="V854" s="145"/>
    </row>
    <row r="855" spans="1:22" x14ac:dyDescent="0.2">
      <c r="A855" s="89">
        <f t="shared" si="25"/>
        <v>847</v>
      </c>
      <c r="B855" s="43">
        <v>23</v>
      </c>
      <c r="C855" s="43">
        <v>33</v>
      </c>
      <c r="D855" s="38" t="s">
        <v>644</v>
      </c>
      <c r="E855" s="44" t="s">
        <v>206</v>
      </c>
      <c r="F855" s="44" t="s">
        <v>6</v>
      </c>
      <c r="G855" s="44" t="s">
        <v>120</v>
      </c>
      <c r="H855" s="44" t="s">
        <v>14</v>
      </c>
      <c r="I855" s="44" t="s">
        <v>14</v>
      </c>
      <c r="J855" s="44" t="s">
        <v>16</v>
      </c>
      <c r="K855" s="44" t="s">
        <v>135</v>
      </c>
      <c r="L855" s="40">
        <v>1149</v>
      </c>
      <c r="M855" s="41">
        <v>41339</v>
      </c>
      <c r="N855" s="40" t="s">
        <v>122</v>
      </c>
      <c r="O855" s="42"/>
      <c r="P855" s="40"/>
      <c r="Q855" s="207">
        <f>[3]PPL_RCGS3MS!G822</f>
        <v>0</v>
      </c>
      <c r="R855" s="207">
        <f>[3]PPL_RCGS3MS!H822</f>
        <v>0</v>
      </c>
      <c r="S855" s="207">
        <f>[3]PPL_RCGS3MS!I822</f>
        <v>0</v>
      </c>
      <c r="T855" s="207">
        <f>[3]PPL_RCGS3MS!J822</f>
        <v>0</v>
      </c>
      <c r="U855" s="207">
        <f>[3]PPL_RCGS3MS!K822</f>
        <v>0</v>
      </c>
      <c r="V855" s="145"/>
    </row>
    <row r="856" spans="1:22" x14ac:dyDescent="0.2">
      <c r="A856" s="89">
        <f t="shared" si="25"/>
        <v>848</v>
      </c>
      <c r="B856" s="43">
        <v>23</v>
      </c>
      <c r="C856" s="43">
        <v>34</v>
      </c>
      <c r="D856" s="38" t="s">
        <v>645</v>
      </c>
      <c r="E856" s="44" t="s">
        <v>208</v>
      </c>
      <c r="F856" s="44" t="s">
        <v>31</v>
      </c>
      <c r="G856" s="44" t="s">
        <v>120</v>
      </c>
      <c r="H856" s="44" t="s">
        <v>36</v>
      </c>
      <c r="I856" s="44" t="s">
        <v>36</v>
      </c>
      <c r="J856" s="44" t="s">
        <v>37</v>
      </c>
      <c r="K856" s="44" t="s">
        <v>209</v>
      </c>
      <c r="L856" s="40">
        <v>1150</v>
      </c>
      <c r="M856" s="41">
        <v>41339</v>
      </c>
      <c r="N856" s="40" t="s">
        <v>122</v>
      </c>
      <c r="O856" s="42"/>
      <c r="P856" s="40"/>
      <c r="Q856" s="207">
        <f>'[3]PSEG LP_GLP_MMS'!G822</f>
        <v>0</v>
      </c>
      <c r="R856" s="207">
        <f>'[3]PSEG LP_GLP_MMS'!H822</f>
        <v>0</v>
      </c>
      <c r="S856" s="207">
        <f>'[3]PSEG LP_GLP_MMS'!I822</f>
        <v>0</v>
      </c>
      <c r="T856" s="207">
        <f>'[3]PSEG LP_GLP_MMS'!J822</f>
        <v>0</v>
      </c>
      <c r="U856" s="207">
        <f>'[3]PSEG LP_GLP_MMS'!K822</f>
        <v>0</v>
      </c>
      <c r="V856" s="145"/>
    </row>
    <row r="857" spans="1:22" x14ac:dyDescent="0.2">
      <c r="A857" s="89">
        <f t="shared" si="25"/>
        <v>849</v>
      </c>
      <c r="B857" s="43">
        <v>23</v>
      </c>
      <c r="C857" s="43">
        <v>35</v>
      </c>
      <c r="D857" s="38" t="s">
        <v>646</v>
      </c>
      <c r="E857" s="44" t="s">
        <v>211</v>
      </c>
      <c r="F857" s="44" t="s">
        <v>31</v>
      </c>
      <c r="G857" s="44" t="s">
        <v>120</v>
      </c>
      <c r="H857" s="44" t="s">
        <v>36</v>
      </c>
      <c r="I857" s="44" t="s">
        <v>36</v>
      </c>
      <c r="J857" s="44" t="s">
        <v>38</v>
      </c>
      <c r="K857" s="44" t="s">
        <v>212</v>
      </c>
      <c r="L857" s="40">
        <v>1151</v>
      </c>
      <c r="M857" s="41">
        <v>41339</v>
      </c>
      <c r="N857" s="40" t="s">
        <v>122</v>
      </c>
      <c r="O857" s="42"/>
      <c r="P857" s="40"/>
      <c r="Q857" s="207">
        <f>'[3]PSEG LP_LPLMS'!G822</f>
        <v>0</v>
      </c>
      <c r="R857" s="207">
        <f>'[3]PSEG LP_LPLMS'!H822</f>
        <v>0</v>
      </c>
      <c r="S857" s="207">
        <f>'[3]PSEG LP_LPLMS'!I822</f>
        <v>0</v>
      </c>
      <c r="T857" s="207">
        <f>'[3]PSEG LP_LPLMS'!J822</f>
        <v>0</v>
      </c>
      <c r="U857" s="207">
        <f>'[3]PSEG LP_LPLMS'!K822</f>
        <v>0</v>
      </c>
      <c r="V857" s="145"/>
    </row>
    <row r="858" spans="1:22" x14ac:dyDescent="0.2">
      <c r="A858" s="89">
        <f t="shared" si="25"/>
        <v>850</v>
      </c>
      <c r="B858" s="43">
        <v>23</v>
      </c>
      <c r="C858" s="43">
        <v>36</v>
      </c>
      <c r="D858" s="38" t="s">
        <v>647</v>
      </c>
      <c r="E858" s="44" t="s">
        <v>214</v>
      </c>
      <c r="F858" s="44" t="s">
        <v>6</v>
      </c>
      <c r="G858" s="44" t="s">
        <v>120</v>
      </c>
      <c r="H858" s="44" t="s">
        <v>17</v>
      </c>
      <c r="I858" s="44" t="s">
        <v>215</v>
      </c>
      <c r="J858" s="44" t="s">
        <v>18</v>
      </c>
      <c r="K858" s="44" t="s">
        <v>140</v>
      </c>
      <c r="L858" s="40">
        <v>1152</v>
      </c>
      <c r="M858" s="41">
        <v>41339</v>
      </c>
      <c r="N858" s="40" t="s">
        <v>122</v>
      </c>
      <c r="O858" s="42"/>
      <c r="P858" s="40"/>
      <c r="Q858" s="207">
        <f>'[3]West Penn Power LP_GSCMMS'!G822</f>
        <v>0</v>
      </c>
      <c r="R858" s="207">
        <f>'[3]West Penn Power LP_GSCMMS'!H822</f>
        <v>0</v>
      </c>
      <c r="S858" s="207">
        <f>'[3]West Penn Power LP_GSCMMS'!I822</f>
        <v>0</v>
      </c>
      <c r="T858" s="207">
        <f>'[3]West Penn Power LP_GSCMMS'!J822</f>
        <v>0</v>
      </c>
      <c r="U858" s="207">
        <f>'[3]West Penn Power LP_GSCMMS'!K822</f>
        <v>0</v>
      </c>
      <c r="V858" s="145"/>
    </row>
    <row r="859" spans="1:22" x14ac:dyDescent="0.2">
      <c r="A859" s="89">
        <f t="shared" si="25"/>
        <v>851</v>
      </c>
      <c r="B859" s="20"/>
      <c r="C859" s="20"/>
      <c r="D859" s="20"/>
      <c r="Q859" s="208"/>
      <c r="R859" s="208"/>
      <c r="S859" s="208"/>
      <c r="T859" s="208"/>
      <c r="U859" s="208"/>
    </row>
    <row r="860" spans="1:22" x14ac:dyDescent="0.2">
      <c r="A860" s="89">
        <f t="shared" si="25"/>
        <v>852</v>
      </c>
      <c r="B860" s="43">
        <v>24</v>
      </c>
      <c r="C860" s="43">
        <v>1</v>
      </c>
      <c r="D860" s="38" t="s">
        <v>612</v>
      </c>
      <c r="E860" s="44" t="s">
        <v>119</v>
      </c>
      <c r="F860" s="44" t="s">
        <v>31</v>
      </c>
      <c r="G860" s="44" t="s">
        <v>120</v>
      </c>
      <c r="H860" s="44" t="s">
        <v>32</v>
      </c>
      <c r="I860" s="44" t="s">
        <v>32</v>
      </c>
      <c r="J860" s="44" t="s">
        <v>33</v>
      </c>
      <c r="K860" s="44" t="s">
        <v>121</v>
      </c>
      <c r="L860" s="40">
        <v>1117</v>
      </c>
      <c r="M860" s="41">
        <v>41339</v>
      </c>
      <c r="N860" s="40" t="s">
        <v>122</v>
      </c>
      <c r="O860" s="42"/>
      <c r="P860" s="40"/>
      <c r="Q860" s="207">
        <f>'[3]AECO LP_10V1_SMS'!G859</f>
        <v>0</v>
      </c>
      <c r="R860" s="207">
        <f>'[3]AECO LP_10V1_SMS'!H859</f>
        <v>0</v>
      </c>
      <c r="S860" s="207">
        <f>'[3]AECO LP_10V1_SMS'!I859</f>
        <v>0</v>
      </c>
      <c r="T860" s="207">
        <f>'[3]AECO LP_10V1_SMS'!J859</f>
        <v>0</v>
      </c>
      <c r="U860" s="207">
        <f>'[3]AECO LP_10V1_SMS'!K859</f>
        <v>0</v>
      </c>
      <c r="V860" s="145"/>
    </row>
    <row r="861" spans="1:22" x14ac:dyDescent="0.2">
      <c r="A861" s="89">
        <f t="shared" si="25"/>
        <v>853</v>
      </c>
      <c r="B861" s="43">
        <v>24</v>
      </c>
      <c r="C861" s="43">
        <v>2</v>
      </c>
      <c r="D861" s="38" t="s">
        <v>613</v>
      </c>
      <c r="E861" s="44" t="s">
        <v>124</v>
      </c>
      <c r="F861" s="44" t="s">
        <v>31</v>
      </c>
      <c r="G861" s="44" t="s">
        <v>120</v>
      </c>
      <c r="H861" s="44" t="s">
        <v>32</v>
      </c>
      <c r="I861" s="44" t="s">
        <v>32</v>
      </c>
      <c r="J861" s="44" t="s">
        <v>34</v>
      </c>
      <c r="K861" s="44" t="s">
        <v>125</v>
      </c>
      <c r="L861" s="40">
        <v>1118</v>
      </c>
      <c r="M861" s="41">
        <v>41339</v>
      </c>
      <c r="N861" s="40" t="s">
        <v>122</v>
      </c>
      <c r="O861" s="42"/>
      <c r="P861" s="40"/>
      <c r="Q861" s="207">
        <f>'[3]AECO LP_14V1_MMS'!G859</f>
        <v>0</v>
      </c>
      <c r="R861" s="207">
        <f>'[3]AECO LP_14V1_MMS'!H859</f>
        <v>0</v>
      </c>
      <c r="S861" s="207">
        <f>'[3]AECO LP_14V1_MMS'!I859</f>
        <v>0</v>
      </c>
      <c r="T861" s="207">
        <f>'[3]AECO LP_14V1_MMS'!J859</f>
        <v>0</v>
      </c>
      <c r="U861" s="207">
        <f>'[3]AECO LP_14V1_MMS'!K859</f>
        <v>0</v>
      </c>
      <c r="V861" s="145"/>
    </row>
    <row r="862" spans="1:22" x14ac:dyDescent="0.2">
      <c r="A862" s="89">
        <f t="shared" si="25"/>
        <v>854</v>
      </c>
      <c r="B862" s="43">
        <v>24</v>
      </c>
      <c r="C862" s="43">
        <v>3</v>
      </c>
      <c r="D862" s="38" t="s">
        <v>614</v>
      </c>
      <c r="E862" s="44" t="s">
        <v>127</v>
      </c>
      <c r="F862" s="44" t="s">
        <v>20</v>
      </c>
      <c r="G862" s="44" t="s">
        <v>120</v>
      </c>
      <c r="H862" s="44" t="s">
        <v>63</v>
      </c>
      <c r="I862" s="44" t="s">
        <v>128</v>
      </c>
      <c r="J862" s="44" t="s">
        <v>15</v>
      </c>
      <c r="K862" s="44" t="s">
        <v>129</v>
      </c>
      <c r="L862" s="40">
        <v>1119</v>
      </c>
      <c r="M862" s="41">
        <v>41339</v>
      </c>
      <c r="N862" s="40" t="s">
        <v>122</v>
      </c>
      <c r="O862" s="42"/>
      <c r="P862" s="40"/>
      <c r="Q862" s="207">
        <f>'[3]AEP_OH_CS - test CSGS1MS'!G859</f>
        <v>0</v>
      </c>
      <c r="R862" s="207">
        <f>'[3]AEP_OH_CS - test CSGS1MS'!H859</f>
        <v>0</v>
      </c>
      <c r="S862" s="207">
        <f>'[3]AEP_OH_CS - test CSGS1MS'!I859</f>
        <v>0</v>
      </c>
      <c r="T862" s="207">
        <f>'[3]AEP_OH_CS - test CSGS1MS'!J859</f>
        <v>0</v>
      </c>
      <c r="U862" s="207">
        <f>'[3]AEP_OH_CS - test CSGS1MS'!K859</f>
        <v>0</v>
      </c>
      <c r="V862" s="145"/>
    </row>
    <row r="863" spans="1:22" x14ac:dyDescent="0.2">
      <c r="A863" s="89">
        <f t="shared" si="25"/>
        <v>855</v>
      </c>
      <c r="B863" s="43">
        <v>24</v>
      </c>
      <c r="C863" s="43">
        <v>4</v>
      </c>
      <c r="D863" s="38" t="s">
        <v>615</v>
      </c>
      <c r="E863" s="44" t="s">
        <v>131</v>
      </c>
      <c r="F863" s="44" t="s">
        <v>20</v>
      </c>
      <c r="G863" s="44" t="s">
        <v>120</v>
      </c>
      <c r="H863" s="44" t="s">
        <v>63</v>
      </c>
      <c r="I863" s="44" t="s">
        <v>128</v>
      </c>
      <c r="J863" s="44" t="s">
        <v>21</v>
      </c>
      <c r="K863" s="44" t="s">
        <v>132</v>
      </c>
      <c r="L863" s="40">
        <v>1120</v>
      </c>
      <c r="M863" s="41">
        <v>41339</v>
      </c>
      <c r="N863" s="40" t="s">
        <v>122</v>
      </c>
      <c r="O863" s="42"/>
      <c r="P863" s="40"/>
      <c r="Q863" s="207">
        <f>'[3]AEP_OH_CS - test CSGS2UMS'!G859</f>
        <v>0</v>
      </c>
      <c r="R863" s="207">
        <f>'[3]AEP_OH_CS - test CSGS2UMS'!H859</f>
        <v>0</v>
      </c>
      <c r="S863" s="207">
        <f>'[3]AEP_OH_CS - test CSGS2UMS'!I859</f>
        <v>0</v>
      </c>
      <c r="T863" s="207">
        <f>'[3]AEP_OH_CS - test CSGS2UMS'!J859</f>
        <v>0</v>
      </c>
      <c r="U863" s="207">
        <f>'[3]AEP_OH_CS - test CSGS2UMS'!K859</f>
        <v>0</v>
      </c>
      <c r="V863" s="145"/>
    </row>
    <row r="864" spans="1:22" x14ac:dyDescent="0.2">
      <c r="A864" s="89">
        <f t="shared" si="25"/>
        <v>856</v>
      </c>
      <c r="B864" s="43">
        <v>24</v>
      </c>
      <c r="C864" s="43">
        <v>5</v>
      </c>
      <c r="D864" s="38" t="s">
        <v>616</v>
      </c>
      <c r="E864" s="44" t="s">
        <v>134</v>
      </c>
      <c r="F864" s="44" t="s">
        <v>20</v>
      </c>
      <c r="G864" s="44" t="s">
        <v>120</v>
      </c>
      <c r="H864" s="44" t="s">
        <v>63</v>
      </c>
      <c r="I864" s="44" t="s">
        <v>128</v>
      </c>
      <c r="J864" s="44" t="s">
        <v>16</v>
      </c>
      <c r="K864" s="44" t="s">
        <v>135</v>
      </c>
      <c r="L864" s="40">
        <v>1121</v>
      </c>
      <c r="M864" s="41">
        <v>41339</v>
      </c>
      <c r="N864" s="40" t="s">
        <v>122</v>
      </c>
      <c r="O864" s="42"/>
      <c r="P864" s="40"/>
      <c r="Q864" s="207">
        <f>'[3]AEP_OH_CS - test CSGS3UMS'!G859</f>
        <v>0</v>
      </c>
      <c r="R864" s="207">
        <f>'[3]AEP_OH_CS - test CSGS3UMS'!H859</f>
        <v>0</v>
      </c>
      <c r="S864" s="207">
        <f>'[3]AEP_OH_CS - test CSGS3UMS'!I859</f>
        <v>0</v>
      </c>
      <c r="T864" s="207">
        <f>'[3]AEP_OH_CS - test CSGS3UMS'!J859</f>
        <v>0</v>
      </c>
      <c r="U864" s="207">
        <f>'[3]AEP_OH_CS - test CSGS3UMS'!K859</f>
        <v>0</v>
      </c>
      <c r="V864" s="145"/>
    </row>
    <row r="865" spans="1:22" x14ac:dyDescent="0.2">
      <c r="A865" s="89">
        <f t="shared" si="25"/>
        <v>857</v>
      </c>
      <c r="B865" s="43">
        <v>24</v>
      </c>
      <c r="C865" s="43">
        <v>6</v>
      </c>
      <c r="D865" s="38" t="s">
        <v>617</v>
      </c>
      <c r="E865" s="44" t="s">
        <v>137</v>
      </c>
      <c r="F865" s="44" t="s">
        <v>25</v>
      </c>
      <c r="G865" s="44" t="s">
        <v>138</v>
      </c>
      <c r="H865" s="44" t="s">
        <v>139</v>
      </c>
      <c r="I865" s="44" t="s">
        <v>29</v>
      </c>
      <c r="J865" s="44" t="s">
        <v>30</v>
      </c>
      <c r="K865" s="44" t="s">
        <v>140</v>
      </c>
      <c r="L865" s="40">
        <v>1122</v>
      </c>
      <c r="M865" s="41">
        <v>41339</v>
      </c>
      <c r="N865" s="40" t="s">
        <v>122</v>
      </c>
      <c r="O865" s="42"/>
      <c r="P865" s="40"/>
      <c r="Q865" s="207">
        <f>'[3]Ameren RateZnIII LP DS2HHMS'!G859</f>
        <v>0</v>
      </c>
      <c r="R865" s="207">
        <f>'[3]Ameren RateZnIII LP DS2HHMS'!H859</f>
        <v>0</v>
      </c>
      <c r="S865" s="207">
        <f>'[3]Ameren RateZnIII LP DS2HHMS'!I859</f>
        <v>0</v>
      </c>
      <c r="T865" s="207">
        <f>'[3]Ameren RateZnIII LP DS2HHMS'!J859</f>
        <v>0</v>
      </c>
      <c r="U865" s="207">
        <f>'[3]Ameren RateZnIII LP DS2HHMS'!K859</f>
        <v>0</v>
      </c>
      <c r="V865" s="145"/>
    </row>
    <row r="866" spans="1:22" x14ac:dyDescent="0.2">
      <c r="A866" s="89">
        <f t="shared" si="25"/>
        <v>858</v>
      </c>
      <c r="B866" s="43">
        <v>24</v>
      </c>
      <c r="C866" s="43">
        <v>7</v>
      </c>
      <c r="D866" s="38" t="s">
        <v>618</v>
      </c>
      <c r="E866" s="44" t="s">
        <v>142</v>
      </c>
      <c r="F866" s="44" t="s">
        <v>39</v>
      </c>
      <c r="G866" s="44" t="s">
        <v>120</v>
      </c>
      <c r="H866" s="44" t="s">
        <v>40</v>
      </c>
      <c r="I866" s="44" t="s">
        <v>40</v>
      </c>
      <c r="J866" s="44" t="s">
        <v>42</v>
      </c>
      <c r="K866" s="44" t="s">
        <v>135</v>
      </c>
      <c r="L866" s="40">
        <v>1124</v>
      </c>
      <c r="M866" s="41">
        <v>41339</v>
      </c>
      <c r="N866" s="40" t="s">
        <v>122</v>
      </c>
      <c r="O866" s="42"/>
      <c r="P866" s="40"/>
      <c r="Q866" s="207">
        <f>'[3]BGE LP_GLMS'!G859</f>
        <v>0</v>
      </c>
      <c r="R866" s="207">
        <f>'[3]BGE LP_GLMS'!H859</f>
        <v>0</v>
      </c>
      <c r="S866" s="207">
        <f>'[3]BGE LP_GLMS'!I859</f>
        <v>0</v>
      </c>
      <c r="T866" s="207">
        <f>'[3]BGE LP_GLMS'!J859</f>
        <v>0</v>
      </c>
      <c r="U866" s="207">
        <f>'[3]BGE LP_GLMS'!K859</f>
        <v>0</v>
      </c>
      <c r="V866" s="145"/>
    </row>
    <row r="867" spans="1:22" x14ac:dyDescent="0.2">
      <c r="A867" s="89">
        <f t="shared" si="25"/>
        <v>859</v>
      </c>
      <c r="B867" s="43">
        <v>24</v>
      </c>
      <c r="C867" s="43">
        <v>8</v>
      </c>
      <c r="D867" s="38" t="s">
        <v>619</v>
      </c>
      <c r="E867" s="44" t="s">
        <v>144</v>
      </c>
      <c r="F867" s="44" t="s">
        <v>39</v>
      </c>
      <c r="G867" s="44" t="s">
        <v>120</v>
      </c>
      <c r="H867" s="44" t="s">
        <v>40</v>
      </c>
      <c r="I867" s="44" t="s">
        <v>40</v>
      </c>
      <c r="J867" s="44" t="s">
        <v>41</v>
      </c>
      <c r="K867" s="44" t="s">
        <v>132</v>
      </c>
      <c r="L867" s="40">
        <v>1123</v>
      </c>
      <c r="M867" s="41">
        <v>41339</v>
      </c>
      <c r="N867" s="40" t="s">
        <v>122</v>
      </c>
      <c r="O867" s="42"/>
      <c r="P867" s="40"/>
      <c r="Q867" s="207">
        <f>'[3]BGE LP_GMS'!G859</f>
        <v>0</v>
      </c>
      <c r="R867" s="207">
        <f>'[3]BGE LP_GMS'!H859</f>
        <v>0</v>
      </c>
      <c r="S867" s="207">
        <f>'[3]BGE LP_GMS'!I859</f>
        <v>0</v>
      </c>
      <c r="T867" s="207">
        <f>'[3]BGE LP_GMS'!J859</f>
        <v>0</v>
      </c>
      <c r="U867" s="207">
        <f>'[3]BGE LP_GMS'!K859</f>
        <v>0</v>
      </c>
      <c r="V867" s="145"/>
    </row>
    <row r="868" spans="1:22" x14ac:dyDescent="0.2">
      <c r="A868" s="89">
        <f t="shared" si="25"/>
        <v>860</v>
      </c>
      <c r="B868" s="43">
        <v>24</v>
      </c>
      <c r="C868" s="43">
        <v>9</v>
      </c>
      <c r="D868" s="38" t="s">
        <v>620</v>
      </c>
      <c r="E868" s="44" t="s">
        <v>146</v>
      </c>
      <c r="F868" s="44" t="s">
        <v>39</v>
      </c>
      <c r="G868" s="44" t="s">
        <v>120</v>
      </c>
      <c r="H868" s="44" t="s">
        <v>40</v>
      </c>
      <c r="I868" s="44" t="s">
        <v>40</v>
      </c>
      <c r="J868" s="44" t="s">
        <v>7</v>
      </c>
      <c r="K868" s="44" t="s">
        <v>129</v>
      </c>
      <c r="L868" s="40">
        <v>1125</v>
      </c>
      <c r="M868" s="41">
        <v>41339</v>
      </c>
      <c r="N868" s="40" t="s">
        <v>122</v>
      </c>
      <c r="O868" s="42"/>
      <c r="P868" s="40"/>
      <c r="Q868" s="207">
        <f>'[3]BGE LP_GSMS'!G859</f>
        <v>0</v>
      </c>
      <c r="R868" s="207">
        <f>'[3]BGE LP_GSMS'!H859</f>
        <v>0</v>
      </c>
      <c r="S868" s="207">
        <f>'[3]BGE LP_GSMS'!I859</f>
        <v>0</v>
      </c>
      <c r="T868" s="207">
        <f>'[3]BGE LP_GSMS'!J859</f>
        <v>0</v>
      </c>
      <c r="U868" s="207">
        <f>'[3]BGE LP_GSMS'!K859</f>
        <v>0</v>
      </c>
      <c r="V868" s="145"/>
    </row>
    <row r="869" spans="1:22" x14ac:dyDescent="0.2">
      <c r="A869" s="89">
        <f t="shared" si="25"/>
        <v>861</v>
      </c>
      <c r="B869" s="43">
        <v>24</v>
      </c>
      <c r="C869" s="43">
        <v>10</v>
      </c>
      <c r="D869" s="38" t="s">
        <v>621</v>
      </c>
      <c r="E869" s="44" t="s">
        <v>148</v>
      </c>
      <c r="F869" s="44" t="s">
        <v>25</v>
      </c>
      <c r="G869" s="44" t="s">
        <v>120</v>
      </c>
      <c r="H869" s="44" t="s">
        <v>149</v>
      </c>
      <c r="I869" s="44" t="s">
        <v>26</v>
      </c>
      <c r="J869" s="44" t="s">
        <v>27</v>
      </c>
      <c r="K869" s="44" t="s">
        <v>150</v>
      </c>
      <c r="L869" s="40">
        <v>1126</v>
      </c>
      <c r="M869" s="41">
        <v>41339</v>
      </c>
      <c r="N869" s="40" t="s">
        <v>122</v>
      </c>
      <c r="O869" s="42"/>
      <c r="P869" s="40"/>
      <c r="Q869" s="207">
        <f>'[3]ComEd - test LP_28MS'!G859</f>
        <v>0</v>
      </c>
      <c r="R869" s="207">
        <f>'[3]ComEd - test LP_28MS'!H859</f>
        <v>0</v>
      </c>
      <c r="S869" s="207">
        <f>'[3]ComEd - test LP_28MS'!I859</f>
        <v>0</v>
      </c>
      <c r="T869" s="207">
        <f>'[3]ComEd - test LP_28MS'!J859</f>
        <v>0</v>
      </c>
      <c r="U869" s="207">
        <f>'[3]ComEd - test LP_28MS'!K859</f>
        <v>0</v>
      </c>
      <c r="V869" s="145"/>
    </row>
    <row r="870" spans="1:22" x14ac:dyDescent="0.2">
      <c r="A870" s="89">
        <f t="shared" si="25"/>
        <v>862</v>
      </c>
      <c r="B870" s="43">
        <v>24</v>
      </c>
      <c r="C870" s="43">
        <v>11</v>
      </c>
      <c r="D870" s="38" t="s">
        <v>622</v>
      </c>
      <c r="E870" s="44" t="s">
        <v>152</v>
      </c>
      <c r="F870" s="44" t="s">
        <v>25</v>
      </c>
      <c r="G870" s="44" t="s">
        <v>120</v>
      </c>
      <c r="H870" s="44" t="s">
        <v>149</v>
      </c>
      <c r="I870" s="44" t="s">
        <v>26</v>
      </c>
      <c r="J870" s="44" t="s">
        <v>28</v>
      </c>
      <c r="K870" s="44" t="s">
        <v>153</v>
      </c>
      <c r="L870" s="40">
        <v>1127</v>
      </c>
      <c r="M870" s="41">
        <v>41339</v>
      </c>
      <c r="N870" s="40" t="s">
        <v>122</v>
      </c>
      <c r="O870" s="42"/>
      <c r="P870" s="40"/>
      <c r="Q870" s="207">
        <f>'[3]ComEd - test LP_29MS'!G859</f>
        <v>0</v>
      </c>
      <c r="R870" s="207">
        <f>'[3]ComEd - test LP_29MS'!H859</f>
        <v>0</v>
      </c>
      <c r="S870" s="207">
        <f>'[3]ComEd - test LP_29MS'!I859</f>
        <v>0</v>
      </c>
      <c r="T870" s="207">
        <f>'[3]ComEd - test LP_29MS'!J859</f>
        <v>0</v>
      </c>
      <c r="U870" s="207">
        <f>'[3]ComEd - test LP_29MS'!K859</f>
        <v>0</v>
      </c>
      <c r="V870" s="145"/>
    </row>
    <row r="871" spans="1:22" x14ac:dyDescent="0.2">
      <c r="A871" s="89">
        <f t="shared" si="25"/>
        <v>863</v>
      </c>
      <c r="B871" s="43">
        <v>24</v>
      </c>
      <c r="C871" s="43">
        <v>12</v>
      </c>
      <c r="D871" s="38" t="s">
        <v>623</v>
      </c>
      <c r="E871" s="44" t="s">
        <v>155</v>
      </c>
      <c r="F871" s="44" t="s">
        <v>20</v>
      </c>
      <c r="G871" s="44" t="s">
        <v>120</v>
      </c>
      <c r="H871" s="44" t="s">
        <v>105</v>
      </c>
      <c r="I871" s="44" t="s">
        <v>156</v>
      </c>
      <c r="J871" s="44" t="s">
        <v>22</v>
      </c>
      <c r="K871" s="44" t="s">
        <v>157</v>
      </c>
      <c r="L871" s="40">
        <v>1128</v>
      </c>
      <c r="M871" s="41">
        <v>41339</v>
      </c>
      <c r="N871" s="40" t="s">
        <v>122</v>
      </c>
      <c r="O871" s="42"/>
      <c r="P871" s="40"/>
      <c r="Q871" s="207">
        <f>[3]DAY_RC_843MS!G859</f>
        <v>0</v>
      </c>
      <c r="R871" s="207">
        <f>[3]DAY_RC_843MS!H859</f>
        <v>0</v>
      </c>
      <c r="S871" s="207">
        <f>[3]DAY_RC_843MS!I859</f>
        <v>0</v>
      </c>
      <c r="T871" s="207">
        <f>[3]DAY_RC_843MS!J859</f>
        <v>0</v>
      </c>
      <c r="U871" s="207">
        <f>[3]DAY_RC_843MS!K859</f>
        <v>0</v>
      </c>
      <c r="V871" s="145"/>
    </row>
    <row r="872" spans="1:22" x14ac:dyDescent="0.2">
      <c r="A872" s="89">
        <f t="shared" si="25"/>
        <v>864</v>
      </c>
      <c r="B872" s="43">
        <v>24</v>
      </c>
      <c r="C872" s="43">
        <v>13</v>
      </c>
      <c r="D872" s="38" t="s">
        <v>624</v>
      </c>
      <c r="E872" s="44" t="s">
        <v>159</v>
      </c>
      <c r="F872" s="44" t="s">
        <v>39</v>
      </c>
      <c r="G872" s="44" t="s">
        <v>120</v>
      </c>
      <c r="H872" s="44" t="s">
        <v>43</v>
      </c>
      <c r="I872" s="44" t="s">
        <v>43</v>
      </c>
      <c r="J872" s="44" t="s">
        <v>7</v>
      </c>
      <c r="K872" s="44" t="s">
        <v>140</v>
      </c>
      <c r="L872" s="40">
        <v>1129</v>
      </c>
      <c r="M872" s="41">
        <v>41339</v>
      </c>
      <c r="N872" s="40" t="s">
        <v>122</v>
      </c>
      <c r="O872" s="42"/>
      <c r="P872" s="40"/>
      <c r="Q872" s="207">
        <f>'[3]Delmarva MD LP_MDGS_MMS'!G859</f>
        <v>0</v>
      </c>
      <c r="R872" s="207">
        <f>'[3]Delmarva MD LP_MDGS_MMS'!H859</f>
        <v>0</v>
      </c>
      <c r="S872" s="207">
        <f>'[3]Delmarva MD LP_MDGS_MMS'!I859</f>
        <v>0</v>
      </c>
      <c r="T872" s="207">
        <f>'[3]Delmarva MD LP_MDGS_MMS'!J859</f>
        <v>0</v>
      </c>
      <c r="U872" s="207">
        <f>'[3]Delmarva MD LP_MDGS_MMS'!K859</f>
        <v>0</v>
      </c>
      <c r="V872" s="145"/>
    </row>
    <row r="873" spans="1:22" x14ac:dyDescent="0.2">
      <c r="A873" s="89">
        <f t="shared" si="25"/>
        <v>865</v>
      </c>
      <c r="B873" s="43">
        <v>24</v>
      </c>
      <c r="C873" s="43">
        <v>14</v>
      </c>
      <c r="D873" s="38" t="s">
        <v>625</v>
      </c>
      <c r="E873" s="44" t="s">
        <v>161</v>
      </c>
      <c r="F873" s="44" t="s">
        <v>6</v>
      </c>
      <c r="G873" s="44" t="s">
        <v>120</v>
      </c>
      <c r="H873" s="44" t="s">
        <v>48</v>
      </c>
      <c r="I873" s="44" t="s">
        <v>48</v>
      </c>
      <c r="J873" s="44" t="s">
        <v>7</v>
      </c>
      <c r="K873" s="44" t="s">
        <v>140</v>
      </c>
      <c r="L873" s="40">
        <v>1130</v>
      </c>
      <c r="M873" s="41">
        <v>41339</v>
      </c>
      <c r="N873" s="40" t="s">
        <v>122</v>
      </c>
      <c r="O873" s="42"/>
      <c r="P873" s="40"/>
      <c r="Q873" s="207">
        <f>'[3]DQE LP_GSGM_MMS'!G859</f>
        <v>0</v>
      </c>
      <c r="R873" s="207">
        <f>'[3]DQE LP_GSGM_MMS'!H859</f>
        <v>0</v>
      </c>
      <c r="S873" s="207">
        <f>'[3]DQE LP_GSGM_MMS'!I859</f>
        <v>0</v>
      </c>
      <c r="T873" s="207">
        <f>'[3]DQE LP_GSGM_MMS'!J859</f>
        <v>0</v>
      </c>
      <c r="U873" s="207">
        <f>'[3]DQE LP_GSGM_MMS'!K859</f>
        <v>0</v>
      </c>
      <c r="V873" s="145"/>
    </row>
    <row r="874" spans="1:22" x14ac:dyDescent="0.2">
      <c r="A874" s="89">
        <f t="shared" si="25"/>
        <v>866</v>
      </c>
      <c r="B874" s="43">
        <v>24</v>
      </c>
      <c r="C874" s="43">
        <v>15</v>
      </c>
      <c r="D874" s="38" t="s">
        <v>626</v>
      </c>
      <c r="E874" s="44" t="s">
        <v>163</v>
      </c>
      <c r="F874" s="44" t="s">
        <v>20</v>
      </c>
      <c r="G874" s="44" t="s">
        <v>120</v>
      </c>
      <c r="H874" s="44" t="s">
        <v>23</v>
      </c>
      <c r="I874" s="44" t="s">
        <v>164</v>
      </c>
      <c r="J874" s="44" t="s">
        <v>24</v>
      </c>
      <c r="K874" s="44" t="s">
        <v>140</v>
      </c>
      <c r="L874" s="40">
        <v>1131</v>
      </c>
      <c r="M874" s="41">
        <v>41339</v>
      </c>
      <c r="N874" s="40" t="s">
        <v>122</v>
      </c>
      <c r="O874" s="42"/>
      <c r="P874" s="40"/>
      <c r="Q874" s="207">
        <f>[3]Duke_OH_RC_DS01MS!G859</f>
        <v>0</v>
      </c>
      <c r="R874" s="207">
        <f>[3]Duke_OH_RC_DS01MS!H859</f>
        <v>0</v>
      </c>
      <c r="S874" s="207">
        <f>[3]Duke_OH_RC_DS01MS!I859</f>
        <v>0</v>
      </c>
      <c r="T874" s="207">
        <f>[3]Duke_OH_RC_DS01MS!J859</f>
        <v>0</v>
      </c>
      <c r="U874" s="207">
        <f>[3]Duke_OH_RC_DS01MS!K859</f>
        <v>0</v>
      </c>
      <c r="V874" s="145"/>
    </row>
    <row r="875" spans="1:22" x14ac:dyDescent="0.2">
      <c r="A875" s="89">
        <f t="shared" si="25"/>
        <v>867</v>
      </c>
      <c r="B875" s="43">
        <v>24</v>
      </c>
      <c r="C875" s="43">
        <v>16</v>
      </c>
      <c r="D875" s="38" t="s">
        <v>627</v>
      </c>
      <c r="E875" s="44" t="s">
        <v>166</v>
      </c>
      <c r="F875" s="44" t="s">
        <v>20</v>
      </c>
      <c r="G875" s="44" t="s">
        <v>120</v>
      </c>
      <c r="H875" s="44" t="s">
        <v>64</v>
      </c>
      <c r="I875" s="44" t="s">
        <v>167</v>
      </c>
      <c r="J875" s="44" t="s">
        <v>7</v>
      </c>
      <c r="K875" s="44" t="s">
        <v>140</v>
      </c>
      <c r="L875" s="40">
        <v>1132</v>
      </c>
      <c r="M875" s="41">
        <v>41339</v>
      </c>
      <c r="N875" s="40" t="s">
        <v>122</v>
      </c>
      <c r="O875" s="42"/>
      <c r="P875" s="40"/>
      <c r="Q875" s="207">
        <f>'[3]FE_OE - test RC_GSFMS'!G859</f>
        <v>0</v>
      </c>
      <c r="R875" s="207">
        <f>'[3]FE_OE - test RC_GSFMS'!H859</f>
        <v>0</v>
      </c>
      <c r="S875" s="207">
        <f>'[3]FE_OE - test RC_GSFMS'!I859</f>
        <v>0</v>
      </c>
      <c r="T875" s="207">
        <f>'[3]FE_OE - test RC_GSFMS'!J859</f>
        <v>0</v>
      </c>
      <c r="U875" s="207">
        <f>'[3]FE_OE - test RC_GSFMS'!K859</f>
        <v>0</v>
      </c>
      <c r="V875" s="145"/>
    </row>
    <row r="876" spans="1:22" x14ac:dyDescent="0.2">
      <c r="A876" s="89">
        <f t="shared" si="25"/>
        <v>868</v>
      </c>
      <c r="B876" s="43">
        <v>24</v>
      </c>
      <c r="C876" s="43">
        <v>17</v>
      </c>
      <c r="D876" s="38" t="s">
        <v>628</v>
      </c>
      <c r="E876" s="44" t="s">
        <v>169</v>
      </c>
      <c r="F876" s="44" t="s">
        <v>31</v>
      </c>
      <c r="G876" s="44" t="s">
        <v>120</v>
      </c>
      <c r="H876" s="44" t="s">
        <v>35</v>
      </c>
      <c r="I876" s="44" t="s">
        <v>35</v>
      </c>
      <c r="J876" s="44" t="s">
        <v>9</v>
      </c>
      <c r="K876" s="44" t="s">
        <v>135</v>
      </c>
      <c r="L876" s="40">
        <v>1133</v>
      </c>
      <c r="M876" s="41">
        <v>41339</v>
      </c>
      <c r="N876" s="40" t="s">
        <v>122</v>
      </c>
      <c r="O876" s="42"/>
      <c r="P876" s="40"/>
      <c r="Q876" s="207">
        <f>'[3]JCPL LP_GSCLMS'!G859</f>
        <v>0</v>
      </c>
      <c r="R876" s="207">
        <f>'[3]JCPL LP_GSCLMS'!H859</f>
        <v>0</v>
      </c>
      <c r="S876" s="207">
        <f>'[3]JCPL LP_GSCLMS'!I859</f>
        <v>0</v>
      </c>
      <c r="T876" s="207">
        <f>'[3]JCPL LP_GSCLMS'!J859</f>
        <v>0</v>
      </c>
      <c r="U876" s="207">
        <f>'[3]JCPL LP_GSCLMS'!K859</f>
        <v>0</v>
      </c>
      <c r="V876" s="145"/>
    </row>
    <row r="877" spans="1:22" x14ac:dyDescent="0.2">
      <c r="A877" s="89">
        <f t="shared" si="25"/>
        <v>869</v>
      </c>
      <c r="B877" s="43">
        <v>24</v>
      </c>
      <c r="C877" s="43">
        <v>18</v>
      </c>
      <c r="D877" s="38" t="s">
        <v>629</v>
      </c>
      <c r="E877" s="44" t="s">
        <v>171</v>
      </c>
      <c r="F877" s="44" t="s">
        <v>31</v>
      </c>
      <c r="G877" s="44" t="s">
        <v>120</v>
      </c>
      <c r="H877" s="44" t="s">
        <v>35</v>
      </c>
      <c r="I877" s="44" t="s">
        <v>35</v>
      </c>
      <c r="J877" s="44" t="s">
        <v>10</v>
      </c>
      <c r="K877" s="44" t="s">
        <v>132</v>
      </c>
      <c r="L877" s="40">
        <v>1134</v>
      </c>
      <c r="M877" s="41">
        <v>41339</v>
      </c>
      <c r="N877" s="40" t="s">
        <v>122</v>
      </c>
      <c r="O877" s="42"/>
      <c r="P877" s="40"/>
      <c r="Q877" s="207">
        <f>'[3]JCPL LP_GSCMMS'!G859</f>
        <v>0</v>
      </c>
      <c r="R877" s="207">
        <f>'[3]JCPL LP_GSCMMS'!H859</f>
        <v>0</v>
      </c>
      <c r="S877" s="207">
        <f>'[3]JCPL LP_GSCMMS'!I859</f>
        <v>0</v>
      </c>
      <c r="T877" s="207">
        <f>'[3]JCPL LP_GSCMMS'!J859</f>
        <v>0</v>
      </c>
      <c r="U877" s="207">
        <f>'[3]JCPL LP_GSCMMS'!K859</f>
        <v>0</v>
      </c>
      <c r="V877" s="145"/>
    </row>
    <row r="878" spans="1:22" x14ac:dyDescent="0.2">
      <c r="A878" s="89">
        <f t="shared" si="25"/>
        <v>870</v>
      </c>
      <c r="B878" s="43">
        <v>24</v>
      </c>
      <c r="C878" s="43">
        <v>19</v>
      </c>
      <c r="D878" s="38" t="s">
        <v>630</v>
      </c>
      <c r="E878" s="44" t="s">
        <v>173</v>
      </c>
      <c r="F878" s="44" t="s">
        <v>31</v>
      </c>
      <c r="G878" s="44" t="s">
        <v>120</v>
      </c>
      <c r="H878" s="44" t="s">
        <v>35</v>
      </c>
      <c r="I878" s="44" t="s">
        <v>35</v>
      </c>
      <c r="J878" s="44" t="s">
        <v>11</v>
      </c>
      <c r="K878" s="44" t="s">
        <v>129</v>
      </c>
      <c r="L878" s="40">
        <v>1135</v>
      </c>
      <c r="M878" s="41">
        <v>41339</v>
      </c>
      <c r="N878" s="40" t="s">
        <v>122</v>
      </c>
      <c r="O878" s="42"/>
      <c r="P878" s="40"/>
      <c r="Q878" s="207">
        <f>'[3]JCPL LP_GSCSMS'!G859</f>
        <v>0</v>
      </c>
      <c r="R878" s="207">
        <f>'[3]JCPL LP_GSCSMS'!H859</f>
        <v>0</v>
      </c>
      <c r="S878" s="207">
        <f>'[3]JCPL LP_GSCSMS'!I859</f>
        <v>0</v>
      </c>
      <c r="T878" s="207">
        <f>'[3]JCPL LP_GSCSMS'!J859</f>
        <v>0</v>
      </c>
      <c r="U878" s="207">
        <f>'[3]JCPL LP_GSCSMS'!K859</f>
        <v>0</v>
      </c>
      <c r="V878" s="145"/>
    </row>
    <row r="879" spans="1:22" x14ac:dyDescent="0.2">
      <c r="A879" s="89">
        <f t="shared" si="25"/>
        <v>871</v>
      </c>
      <c r="B879" s="43">
        <v>24</v>
      </c>
      <c r="C879" s="43">
        <v>20</v>
      </c>
      <c r="D879" s="38" t="s">
        <v>631</v>
      </c>
      <c r="E879" s="44" t="s">
        <v>175</v>
      </c>
      <c r="F879" s="44" t="s">
        <v>6</v>
      </c>
      <c r="G879" s="44" t="s">
        <v>120</v>
      </c>
      <c r="H879" s="44" t="s">
        <v>176</v>
      </c>
      <c r="I879" s="44" t="s">
        <v>177</v>
      </c>
      <c r="J879" s="44" t="s">
        <v>9</v>
      </c>
      <c r="K879" s="44" t="s">
        <v>135</v>
      </c>
      <c r="L879" s="40">
        <v>1137</v>
      </c>
      <c r="M879" s="41">
        <v>41339</v>
      </c>
      <c r="N879" s="40" t="s">
        <v>122</v>
      </c>
      <c r="O879" s="42"/>
      <c r="P879" s="40"/>
      <c r="Q879" s="207">
        <f>'[3]MetEd RC_GSLFMS'!G859</f>
        <v>0</v>
      </c>
      <c r="R879" s="207">
        <f>'[3]MetEd RC_GSLFMS'!H859</f>
        <v>0</v>
      </c>
      <c r="S879" s="207">
        <f>'[3]MetEd RC_GSLFMS'!I859</f>
        <v>0</v>
      </c>
      <c r="T879" s="207">
        <f>'[3]MetEd RC_GSLFMS'!J859</f>
        <v>0</v>
      </c>
      <c r="U879" s="207">
        <f>'[3]MetEd RC_GSLFMS'!K859</f>
        <v>0</v>
      </c>
      <c r="V879" s="145"/>
    </row>
    <row r="880" spans="1:22" x14ac:dyDescent="0.2">
      <c r="A880" s="89">
        <f t="shared" si="25"/>
        <v>872</v>
      </c>
      <c r="B880" s="43">
        <v>24</v>
      </c>
      <c r="C880" s="43">
        <v>21</v>
      </c>
      <c r="D880" s="38" t="s">
        <v>632</v>
      </c>
      <c r="E880" s="44" t="s">
        <v>179</v>
      </c>
      <c r="F880" s="44" t="s">
        <v>6</v>
      </c>
      <c r="G880" s="44" t="s">
        <v>120</v>
      </c>
      <c r="H880" s="44" t="s">
        <v>176</v>
      </c>
      <c r="I880" s="44" t="s">
        <v>177</v>
      </c>
      <c r="J880" s="44" t="s">
        <v>10</v>
      </c>
      <c r="K880" s="44" t="s">
        <v>132</v>
      </c>
      <c r="L880" s="40">
        <v>1136</v>
      </c>
      <c r="M880" s="41">
        <v>41339</v>
      </c>
      <c r="N880" s="40" t="s">
        <v>122</v>
      </c>
      <c r="O880" s="42"/>
      <c r="P880" s="40"/>
      <c r="Q880" s="207">
        <f>'[3]MetEd RC_GSDFMS'!G859</f>
        <v>0</v>
      </c>
      <c r="R880" s="207">
        <f>'[3]MetEd RC_GSDFMS'!H859</f>
        <v>0</v>
      </c>
      <c r="S880" s="207">
        <f>'[3]MetEd RC_GSDFMS'!I859</f>
        <v>0</v>
      </c>
      <c r="T880" s="207">
        <f>'[3]MetEd RC_GSDFMS'!J859</f>
        <v>0</v>
      </c>
      <c r="U880" s="207">
        <f>'[3]MetEd RC_GSDFMS'!K859</f>
        <v>0</v>
      </c>
      <c r="V880" s="145"/>
    </row>
    <row r="881" spans="1:22" x14ac:dyDescent="0.2">
      <c r="A881" s="89">
        <f t="shared" si="25"/>
        <v>873</v>
      </c>
      <c r="B881" s="43">
        <v>24</v>
      </c>
      <c r="C881" s="43">
        <v>22</v>
      </c>
      <c r="D881" s="38" t="s">
        <v>633</v>
      </c>
      <c r="E881" s="44" t="s">
        <v>181</v>
      </c>
      <c r="F881" s="44" t="s">
        <v>6</v>
      </c>
      <c r="G881" s="44" t="s">
        <v>120</v>
      </c>
      <c r="H881" s="44" t="s">
        <v>176</v>
      </c>
      <c r="I881" s="44" t="s">
        <v>177</v>
      </c>
      <c r="J881" s="44" t="s">
        <v>11</v>
      </c>
      <c r="K881" s="44" t="s">
        <v>129</v>
      </c>
      <c r="L881" s="40">
        <v>1138</v>
      </c>
      <c r="M881" s="41">
        <v>41339</v>
      </c>
      <c r="N881" s="40" t="s">
        <v>122</v>
      </c>
      <c r="O881" s="42"/>
      <c r="P881" s="40"/>
      <c r="Q881" s="207">
        <f>'[3]MetEd RC_GSSFMS'!G859</f>
        <v>0</v>
      </c>
      <c r="R881" s="207">
        <f>'[3]MetEd RC_GSSFMS'!H859</f>
        <v>0</v>
      </c>
      <c r="S881" s="207">
        <f>'[3]MetEd RC_GSSFMS'!I859</f>
        <v>0</v>
      </c>
      <c r="T881" s="207">
        <f>'[3]MetEd RC_GSSFMS'!J859</f>
        <v>0</v>
      </c>
      <c r="U881" s="207">
        <f>'[3]MetEd RC_GSSFMS'!K859</f>
        <v>0</v>
      </c>
      <c r="V881" s="145"/>
    </row>
    <row r="882" spans="1:22" x14ac:dyDescent="0.2">
      <c r="A882" s="89">
        <f t="shared" si="25"/>
        <v>874</v>
      </c>
      <c r="B882" s="43">
        <v>24</v>
      </c>
      <c r="C882" s="43">
        <v>23</v>
      </c>
      <c r="D882" s="38" t="s">
        <v>634</v>
      </c>
      <c r="E882" s="44" t="s">
        <v>183</v>
      </c>
      <c r="F882" s="44" t="s">
        <v>6</v>
      </c>
      <c r="G882" s="44" t="s">
        <v>120</v>
      </c>
      <c r="H882" s="44" t="s">
        <v>13</v>
      </c>
      <c r="I882" s="44" t="s">
        <v>13</v>
      </c>
      <c r="J882" s="44" t="s">
        <v>7</v>
      </c>
      <c r="K882" s="44" t="s">
        <v>140</v>
      </c>
      <c r="L882" s="40">
        <v>1139</v>
      </c>
      <c r="M882" s="41">
        <v>41339</v>
      </c>
      <c r="N882" s="40" t="s">
        <v>122</v>
      </c>
      <c r="O882" s="42"/>
      <c r="P882" s="40"/>
      <c r="Q882" s="207">
        <f>'[3]PECO LP_GSMS'!G859</f>
        <v>0</v>
      </c>
      <c r="R882" s="207">
        <f>'[3]PECO LP_GSMS'!H859</f>
        <v>0</v>
      </c>
      <c r="S882" s="207">
        <f>'[3]PECO LP_GSMS'!I859</f>
        <v>0</v>
      </c>
      <c r="T882" s="207">
        <f>'[3]PECO LP_GSMS'!J859</f>
        <v>0</v>
      </c>
      <c r="U882" s="207">
        <f>'[3]PECO LP_GSMS'!K859</f>
        <v>0</v>
      </c>
      <c r="V882" s="145"/>
    </row>
    <row r="883" spans="1:22" x14ac:dyDescent="0.2">
      <c r="A883" s="89">
        <f t="shared" si="25"/>
        <v>875</v>
      </c>
      <c r="B883" s="43">
        <v>24</v>
      </c>
      <c r="C883" s="43">
        <v>24</v>
      </c>
      <c r="D883" s="38" t="s">
        <v>635</v>
      </c>
      <c r="E883" s="44" t="s">
        <v>185</v>
      </c>
      <c r="F883" s="44" t="s">
        <v>6</v>
      </c>
      <c r="G883" s="44" t="s">
        <v>120</v>
      </c>
      <c r="H883" s="44" t="s">
        <v>12</v>
      </c>
      <c r="I883" s="44" t="s">
        <v>186</v>
      </c>
      <c r="J883" s="44" t="s">
        <v>9</v>
      </c>
      <c r="K883" s="44" t="s">
        <v>135</v>
      </c>
      <c r="L883" s="40">
        <v>1140</v>
      </c>
      <c r="M883" s="41">
        <v>41339</v>
      </c>
      <c r="N883" s="40" t="s">
        <v>122</v>
      </c>
      <c r="O883" s="42"/>
      <c r="P883" s="40"/>
      <c r="Q883" s="207">
        <f>'[3]Penelec RC_GSLFMS'!G859</f>
        <v>0</v>
      </c>
      <c r="R883" s="207">
        <f>'[3]Penelec RC_GSLFMS'!H859</f>
        <v>0</v>
      </c>
      <c r="S883" s="207">
        <f>'[3]Penelec RC_GSLFMS'!I859</f>
        <v>0</v>
      </c>
      <c r="T883" s="207">
        <f>'[3]Penelec RC_GSLFMS'!J859</f>
        <v>0</v>
      </c>
      <c r="U883" s="207">
        <f>'[3]Penelec RC_GSLFMS'!K859</f>
        <v>0</v>
      </c>
      <c r="V883" s="145"/>
    </row>
    <row r="884" spans="1:22" x14ac:dyDescent="0.2">
      <c r="A884" s="89">
        <f t="shared" si="25"/>
        <v>876</v>
      </c>
      <c r="B884" s="43">
        <v>24</v>
      </c>
      <c r="C884" s="43">
        <v>25</v>
      </c>
      <c r="D884" s="38" t="s">
        <v>636</v>
      </c>
      <c r="E884" s="44" t="s">
        <v>188</v>
      </c>
      <c r="F884" s="44" t="s">
        <v>6</v>
      </c>
      <c r="G884" s="44" t="s">
        <v>120</v>
      </c>
      <c r="H884" s="44" t="s">
        <v>12</v>
      </c>
      <c r="I884" s="44" t="s">
        <v>186</v>
      </c>
      <c r="J884" s="44" t="s">
        <v>10</v>
      </c>
      <c r="K884" s="44" t="s">
        <v>132</v>
      </c>
      <c r="L884" s="40">
        <v>1141</v>
      </c>
      <c r="M884" s="41">
        <v>41339</v>
      </c>
      <c r="N884" s="40" t="s">
        <v>122</v>
      </c>
      <c r="O884" s="42"/>
      <c r="P884" s="40"/>
      <c r="Q884" s="207">
        <f>'[3]Penelec RC_GSMFMS'!G859</f>
        <v>0</v>
      </c>
      <c r="R884" s="207">
        <f>'[3]Penelec RC_GSMFMS'!H859</f>
        <v>0</v>
      </c>
      <c r="S884" s="207">
        <f>'[3]Penelec RC_GSMFMS'!I859</f>
        <v>0</v>
      </c>
      <c r="T884" s="207">
        <f>'[3]Penelec RC_GSMFMS'!J859</f>
        <v>0</v>
      </c>
      <c r="U884" s="207">
        <f>'[3]Penelec RC_GSMFMS'!K859</f>
        <v>0</v>
      </c>
      <c r="V884" s="145"/>
    </row>
    <row r="885" spans="1:22" x14ac:dyDescent="0.2">
      <c r="A885" s="89">
        <f t="shared" si="25"/>
        <v>877</v>
      </c>
      <c r="B885" s="43">
        <v>24</v>
      </c>
      <c r="C885" s="43">
        <v>26</v>
      </c>
      <c r="D885" s="38" t="s">
        <v>637</v>
      </c>
      <c r="E885" s="44" t="s">
        <v>190</v>
      </c>
      <c r="F885" s="44" t="s">
        <v>6</v>
      </c>
      <c r="G885" s="44" t="s">
        <v>120</v>
      </c>
      <c r="H885" s="44" t="s">
        <v>12</v>
      </c>
      <c r="I885" s="44" t="s">
        <v>186</v>
      </c>
      <c r="J885" s="44" t="s">
        <v>11</v>
      </c>
      <c r="K885" s="44" t="s">
        <v>129</v>
      </c>
      <c r="L885" s="40">
        <v>1142</v>
      </c>
      <c r="M885" s="41">
        <v>41339</v>
      </c>
      <c r="N885" s="40" t="s">
        <v>122</v>
      </c>
      <c r="O885" s="42"/>
      <c r="P885" s="40"/>
      <c r="Q885" s="207">
        <f>'[3]Penelec RC_GSSFMS'!G859</f>
        <v>0</v>
      </c>
      <c r="R885" s="207">
        <f>'[3]Penelec RC_GSSFMS'!H859</f>
        <v>0</v>
      </c>
      <c r="S885" s="207">
        <f>'[3]Penelec RC_GSSFMS'!I859</f>
        <v>0</v>
      </c>
      <c r="T885" s="207">
        <f>'[3]Penelec RC_GSSFMS'!J859</f>
        <v>0</v>
      </c>
      <c r="U885" s="207">
        <f>'[3]Penelec RC_GSSFMS'!K859</f>
        <v>0</v>
      </c>
      <c r="V885" s="145"/>
    </row>
    <row r="886" spans="1:22" x14ac:dyDescent="0.2">
      <c r="A886" s="89">
        <f t="shared" si="25"/>
        <v>878</v>
      </c>
      <c r="B886" s="43">
        <v>24</v>
      </c>
      <c r="C886" s="43">
        <v>27</v>
      </c>
      <c r="D886" s="38" t="s">
        <v>638</v>
      </c>
      <c r="E886" s="44" t="s">
        <v>192</v>
      </c>
      <c r="F886" s="44" t="s">
        <v>6</v>
      </c>
      <c r="G886" s="44" t="s">
        <v>120</v>
      </c>
      <c r="H886" s="44" t="s">
        <v>100</v>
      </c>
      <c r="I886" s="44" t="s">
        <v>193</v>
      </c>
      <c r="J886" s="44" t="s">
        <v>7</v>
      </c>
      <c r="K886" s="44" t="s">
        <v>140</v>
      </c>
      <c r="L886" s="40">
        <v>1143</v>
      </c>
      <c r="M886" s="41">
        <v>41339</v>
      </c>
      <c r="N886" s="40" t="s">
        <v>122</v>
      </c>
      <c r="O886" s="42"/>
      <c r="P886" s="40"/>
      <c r="Q886" s="207">
        <f>'[3]Penn Power RC_GMDMS'!G859</f>
        <v>0</v>
      </c>
      <c r="R886" s="207">
        <f>'[3]Penn Power RC_GMDMS'!H859</f>
        <v>0</v>
      </c>
      <c r="S886" s="207">
        <f>'[3]Penn Power RC_GMDMS'!I859</f>
        <v>0</v>
      </c>
      <c r="T886" s="207">
        <f>'[3]Penn Power RC_GMDMS'!J859</f>
        <v>0</v>
      </c>
      <c r="U886" s="207">
        <f>'[3]Penn Power RC_GMDMS'!K859</f>
        <v>0</v>
      </c>
      <c r="V886" s="145"/>
    </row>
    <row r="887" spans="1:22" x14ac:dyDescent="0.2">
      <c r="A887" s="89">
        <f t="shared" si="25"/>
        <v>879</v>
      </c>
      <c r="B887" s="43">
        <v>24</v>
      </c>
      <c r="C887" s="43">
        <v>28</v>
      </c>
      <c r="D887" s="38" t="s">
        <v>639</v>
      </c>
      <c r="E887" s="44" t="s">
        <v>195</v>
      </c>
      <c r="F887" s="44" t="s">
        <v>39</v>
      </c>
      <c r="G887" s="44" t="s">
        <v>120</v>
      </c>
      <c r="H887" s="44" t="s">
        <v>44</v>
      </c>
      <c r="I887" s="44" t="s">
        <v>44</v>
      </c>
      <c r="J887" s="44" t="s">
        <v>7</v>
      </c>
      <c r="K887" s="44" t="s">
        <v>140</v>
      </c>
      <c r="L887" s="40">
        <v>1144</v>
      </c>
      <c r="M887" s="41">
        <v>41339</v>
      </c>
      <c r="N887" s="40" t="s">
        <v>122</v>
      </c>
      <c r="O887" s="42"/>
      <c r="P887" s="40"/>
      <c r="Q887" s="207">
        <f>'[3]PEPCO MD LP_MDNDMS'!G859</f>
        <v>0</v>
      </c>
      <c r="R887" s="207">
        <f>'[3]PEPCO MD LP_MDNDMS'!H859</f>
        <v>0</v>
      </c>
      <c r="S887" s="207">
        <f>'[3]PEPCO MD LP_MDNDMS'!I859</f>
        <v>0</v>
      </c>
      <c r="T887" s="207">
        <f>'[3]PEPCO MD LP_MDNDMS'!J859</f>
        <v>0</v>
      </c>
      <c r="U887" s="207">
        <f>'[3]PEPCO MD LP_MDNDMS'!K859</f>
        <v>0</v>
      </c>
      <c r="V887" s="145"/>
    </row>
    <row r="888" spans="1:22" x14ac:dyDescent="0.2">
      <c r="A888" s="89">
        <f t="shared" si="25"/>
        <v>880</v>
      </c>
      <c r="B888" s="43">
        <v>24</v>
      </c>
      <c r="C888" s="43">
        <v>29</v>
      </c>
      <c r="D888" s="38" t="s">
        <v>640</v>
      </c>
      <c r="E888" s="44" t="s">
        <v>197</v>
      </c>
      <c r="F888" s="44" t="s">
        <v>39</v>
      </c>
      <c r="G888" s="44" t="s">
        <v>120</v>
      </c>
      <c r="H888" s="44" t="s">
        <v>44</v>
      </c>
      <c r="I888" s="44" t="s">
        <v>44</v>
      </c>
      <c r="J888" s="44" t="s">
        <v>45</v>
      </c>
      <c r="K888" s="44" t="s">
        <v>198</v>
      </c>
      <c r="L888" s="40">
        <v>1145</v>
      </c>
      <c r="M888" s="41">
        <v>41339</v>
      </c>
      <c r="N888" s="40" t="s">
        <v>122</v>
      </c>
      <c r="O888" s="42"/>
      <c r="P888" s="40"/>
      <c r="Q888" s="207">
        <f>'[3]PEPCO MD LP_MMGTL2AMS'!G859</f>
        <v>0</v>
      </c>
      <c r="R888" s="207">
        <f>'[3]PEPCO MD LP_MMGTL2AMS'!H859</f>
        <v>0</v>
      </c>
      <c r="S888" s="207">
        <f>'[3]PEPCO MD LP_MMGTL2AMS'!I859</f>
        <v>0</v>
      </c>
      <c r="T888" s="207">
        <f>'[3]PEPCO MD LP_MMGTL2AMS'!J859</f>
        <v>0</v>
      </c>
      <c r="U888" s="207">
        <f>'[3]PEPCO MD LP_MMGTL2AMS'!K859</f>
        <v>0</v>
      </c>
      <c r="V888" s="145"/>
    </row>
    <row r="889" spans="1:22" x14ac:dyDescent="0.2">
      <c r="A889" s="89">
        <f t="shared" si="25"/>
        <v>881</v>
      </c>
      <c r="B889" s="43">
        <v>24</v>
      </c>
      <c r="C889" s="43">
        <v>30</v>
      </c>
      <c r="D889" s="38" t="s">
        <v>641</v>
      </c>
      <c r="E889" s="44" t="s">
        <v>200</v>
      </c>
      <c r="F889" s="44" t="s">
        <v>39</v>
      </c>
      <c r="G889" s="44" t="s">
        <v>120</v>
      </c>
      <c r="H889" s="44" t="s">
        <v>44</v>
      </c>
      <c r="I889" s="44" t="s">
        <v>44</v>
      </c>
      <c r="J889" s="44" t="s">
        <v>46</v>
      </c>
      <c r="K889" s="44" t="s">
        <v>46</v>
      </c>
      <c r="L889" s="40">
        <v>1146</v>
      </c>
      <c r="M889" s="41">
        <v>41339</v>
      </c>
      <c r="N889" s="40" t="s">
        <v>122</v>
      </c>
      <c r="O889" s="42"/>
      <c r="P889" s="40"/>
      <c r="Q889" s="207">
        <f>'[3]PEPCO MD RC_3T7MS'!G859</f>
        <v>0</v>
      </c>
      <c r="R889" s="207">
        <f>'[3]PEPCO MD RC_3T7MS'!H859</f>
        <v>0</v>
      </c>
      <c r="S889" s="207">
        <f>'[3]PEPCO MD RC_3T7MS'!I859</f>
        <v>0</v>
      </c>
      <c r="T889" s="207">
        <f>'[3]PEPCO MD RC_3T7MS'!J859</f>
        <v>0</v>
      </c>
      <c r="U889" s="207">
        <f>'[3]PEPCO MD RC_3T7MS'!K859</f>
        <v>0</v>
      </c>
      <c r="V889" s="145"/>
    </row>
    <row r="890" spans="1:22" x14ac:dyDescent="0.2">
      <c r="A890" s="89">
        <f t="shared" si="25"/>
        <v>882</v>
      </c>
      <c r="B890" s="43">
        <v>24</v>
      </c>
      <c r="C890" s="43">
        <v>31</v>
      </c>
      <c r="D890" s="38" t="s">
        <v>642</v>
      </c>
      <c r="E890" s="44" t="s">
        <v>202</v>
      </c>
      <c r="F890" s="44" t="s">
        <v>39</v>
      </c>
      <c r="G890" s="44" t="s">
        <v>120</v>
      </c>
      <c r="H890" s="44" t="s">
        <v>47</v>
      </c>
      <c r="I890" s="44" t="s">
        <v>47</v>
      </c>
      <c r="J890" s="44" t="s">
        <v>7</v>
      </c>
      <c r="K890" s="44" t="s">
        <v>140</v>
      </c>
      <c r="L890" s="40">
        <v>1147</v>
      </c>
      <c r="M890" s="41">
        <v>41339</v>
      </c>
      <c r="N890" s="40" t="s">
        <v>122</v>
      </c>
      <c r="O890" s="42"/>
      <c r="P890" s="40"/>
      <c r="Q890" s="207">
        <f>'[3]Potomac Edison LP_GSCM_MMS'!G859</f>
        <v>0</v>
      </c>
      <c r="R890" s="207">
        <f>'[3]Potomac Edison LP_GSCM_MMS'!H859</f>
        <v>0</v>
      </c>
      <c r="S890" s="207">
        <f>'[3]Potomac Edison LP_GSCM_MMS'!I859</f>
        <v>0</v>
      </c>
      <c r="T890" s="207">
        <f>'[3]Potomac Edison LP_GSCM_MMS'!J859</f>
        <v>0</v>
      </c>
      <c r="U890" s="207">
        <f>'[3]Potomac Edison LP_GSCM_MMS'!K859</f>
        <v>0</v>
      </c>
      <c r="V890" s="145"/>
    </row>
    <row r="891" spans="1:22" x14ac:dyDescent="0.2">
      <c r="A891" s="89">
        <f t="shared" si="25"/>
        <v>883</v>
      </c>
      <c r="B891" s="43">
        <v>24</v>
      </c>
      <c r="C891" s="43">
        <v>32</v>
      </c>
      <c r="D891" s="38" t="s">
        <v>643</v>
      </c>
      <c r="E891" s="44" t="s">
        <v>204</v>
      </c>
      <c r="F891" s="44" t="s">
        <v>6</v>
      </c>
      <c r="G891" s="44" t="s">
        <v>120</v>
      </c>
      <c r="H891" s="44" t="s">
        <v>14</v>
      </c>
      <c r="I891" s="44" t="s">
        <v>14</v>
      </c>
      <c r="J891" s="44" t="s">
        <v>15</v>
      </c>
      <c r="K891" s="44" t="s">
        <v>129</v>
      </c>
      <c r="L891" s="40">
        <v>1148</v>
      </c>
      <c r="M891" s="41">
        <v>41339</v>
      </c>
      <c r="N891" s="40" t="s">
        <v>122</v>
      </c>
      <c r="O891" s="42"/>
      <c r="P891" s="40"/>
      <c r="Q891" s="207">
        <f>[3]PPL_RCGS1MS!G859</f>
        <v>0</v>
      </c>
      <c r="R891" s="207">
        <f>[3]PPL_RCGS1MS!H859</f>
        <v>0</v>
      </c>
      <c r="S891" s="207">
        <f>[3]PPL_RCGS1MS!I859</f>
        <v>0</v>
      </c>
      <c r="T891" s="207">
        <f>[3]PPL_RCGS1MS!J859</f>
        <v>0</v>
      </c>
      <c r="U891" s="207">
        <f>[3]PPL_RCGS1MS!K859</f>
        <v>0</v>
      </c>
      <c r="V891" s="145"/>
    </row>
    <row r="892" spans="1:22" x14ac:dyDescent="0.2">
      <c r="A892" s="89">
        <f t="shared" si="25"/>
        <v>884</v>
      </c>
      <c r="B892" s="43">
        <v>24</v>
      </c>
      <c r="C892" s="43">
        <v>33</v>
      </c>
      <c r="D892" s="38" t="s">
        <v>644</v>
      </c>
      <c r="E892" s="44" t="s">
        <v>206</v>
      </c>
      <c r="F892" s="44" t="s">
        <v>6</v>
      </c>
      <c r="G892" s="44" t="s">
        <v>120</v>
      </c>
      <c r="H892" s="44" t="s">
        <v>14</v>
      </c>
      <c r="I892" s="44" t="s">
        <v>14</v>
      </c>
      <c r="J892" s="44" t="s">
        <v>16</v>
      </c>
      <c r="K892" s="44" t="s">
        <v>135</v>
      </c>
      <c r="L892" s="40">
        <v>1149</v>
      </c>
      <c r="M892" s="41">
        <v>41339</v>
      </c>
      <c r="N892" s="40" t="s">
        <v>122</v>
      </c>
      <c r="O892" s="42"/>
      <c r="P892" s="40"/>
      <c r="Q892" s="207">
        <f>[3]PPL_RCGS3MS!G859</f>
        <v>0</v>
      </c>
      <c r="R892" s="207">
        <f>[3]PPL_RCGS3MS!H859</f>
        <v>0</v>
      </c>
      <c r="S892" s="207">
        <f>[3]PPL_RCGS3MS!I859</f>
        <v>0</v>
      </c>
      <c r="T892" s="207">
        <f>[3]PPL_RCGS3MS!J859</f>
        <v>0</v>
      </c>
      <c r="U892" s="207">
        <f>[3]PPL_RCGS3MS!K859</f>
        <v>0</v>
      </c>
      <c r="V892" s="145"/>
    </row>
    <row r="893" spans="1:22" x14ac:dyDescent="0.2">
      <c r="A893" s="89">
        <f t="shared" si="25"/>
        <v>885</v>
      </c>
      <c r="B893" s="43">
        <v>24</v>
      </c>
      <c r="C893" s="43">
        <v>34</v>
      </c>
      <c r="D893" s="38" t="s">
        <v>645</v>
      </c>
      <c r="E893" s="44" t="s">
        <v>208</v>
      </c>
      <c r="F893" s="44" t="s">
        <v>31</v>
      </c>
      <c r="G893" s="44" t="s">
        <v>120</v>
      </c>
      <c r="H893" s="44" t="s">
        <v>36</v>
      </c>
      <c r="I893" s="44" t="s">
        <v>36</v>
      </c>
      <c r="J893" s="44" t="s">
        <v>37</v>
      </c>
      <c r="K893" s="44" t="s">
        <v>209</v>
      </c>
      <c r="L893" s="40">
        <v>1150</v>
      </c>
      <c r="M893" s="41">
        <v>41339</v>
      </c>
      <c r="N893" s="40" t="s">
        <v>122</v>
      </c>
      <c r="O893" s="42"/>
      <c r="P893" s="40"/>
      <c r="Q893" s="207">
        <f>'[3]PSEG LP_GLP_MMS'!G859</f>
        <v>0</v>
      </c>
      <c r="R893" s="207">
        <f>'[3]PSEG LP_GLP_MMS'!H859</f>
        <v>0</v>
      </c>
      <c r="S893" s="207">
        <f>'[3]PSEG LP_GLP_MMS'!I859</f>
        <v>0</v>
      </c>
      <c r="T893" s="207">
        <f>'[3]PSEG LP_GLP_MMS'!J859</f>
        <v>0</v>
      </c>
      <c r="U893" s="207">
        <f>'[3]PSEG LP_GLP_MMS'!K859</f>
        <v>0</v>
      </c>
      <c r="V893" s="145"/>
    </row>
    <row r="894" spans="1:22" x14ac:dyDescent="0.2">
      <c r="A894" s="89">
        <f t="shared" si="25"/>
        <v>886</v>
      </c>
      <c r="B894" s="43">
        <v>24</v>
      </c>
      <c r="C894" s="43">
        <v>35</v>
      </c>
      <c r="D894" s="38" t="s">
        <v>646</v>
      </c>
      <c r="E894" s="44" t="s">
        <v>211</v>
      </c>
      <c r="F894" s="44" t="s">
        <v>31</v>
      </c>
      <c r="G894" s="44" t="s">
        <v>120</v>
      </c>
      <c r="H894" s="44" t="s">
        <v>36</v>
      </c>
      <c r="I894" s="44" t="s">
        <v>36</v>
      </c>
      <c r="J894" s="44" t="s">
        <v>38</v>
      </c>
      <c r="K894" s="44" t="s">
        <v>212</v>
      </c>
      <c r="L894" s="40">
        <v>1151</v>
      </c>
      <c r="M894" s="41">
        <v>41339</v>
      </c>
      <c r="N894" s="40" t="s">
        <v>122</v>
      </c>
      <c r="O894" s="42"/>
      <c r="P894" s="40"/>
      <c r="Q894" s="207">
        <f>'[3]PSEG LP_LPLMS'!G859</f>
        <v>0</v>
      </c>
      <c r="R894" s="207">
        <f>'[3]PSEG LP_LPLMS'!H859</f>
        <v>0</v>
      </c>
      <c r="S894" s="207">
        <f>'[3]PSEG LP_LPLMS'!I859</f>
        <v>0</v>
      </c>
      <c r="T894" s="207">
        <f>'[3]PSEG LP_LPLMS'!J859</f>
        <v>0</v>
      </c>
      <c r="U894" s="207">
        <f>'[3]PSEG LP_LPLMS'!K859</f>
        <v>0</v>
      </c>
      <c r="V894" s="145"/>
    </row>
    <row r="895" spans="1:22" x14ac:dyDescent="0.2">
      <c r="A895" s="89">
        <f t="shared" si="25"/>
        <v>887</v>
      </c>
      <c r="B895" s="43">
        <v>24</v>
      </c>
      <c r="C895" s="43">
        <v>36</v>
      </c>
      <c r="D895" s="38" t="s">
        <v>647</v>
      </c>
      <c r="E895" s="44" t="s">
        <v>214</v>
      </c>
      <c r="F895" s="44" t="s">
        <v>6</v>
      </c>
      <c r="G895" s="44" t="s">
        <v>120</v>
      </c>
      <c r="H895" s="44" t="s">
        <v>17</v>
      </c>
      <c r="I895" s="44" t="s">
        <v>215</v>
      </c>
      <c r="J895" s="44" t="s">
        <v>18</v>
      </c>
      <c r="K895" s="44" t="s">
        <v>140</v>
      </c>
      <c r="L895" s="40">
        <v>1152</v>
      </c>
      <c r="M895" s="41">
        <v>41339</v>
      </c>
      <c r="N895" s="40" t="s">
        <v>122</v>
      </c>
      <c r="O895" s="42"/>
      <c r="P895" s="40"/>
      <c r="Q895" s="207">
        <f>'[3]West Penn Power LP_GSCMMS'!G859</f>
        <v>0</v>
      </c>
      <c r="R895" s="207">
        <f>'[3]West Penn Power LP_GSCMMS'!H859</f>
        <v>0</v>
      </c>
      <c r="S895" s="207">
        <f>'[3]West Penn Power LP_GSCMMS'!I859</f>
        <v>0</v>
      </c>
      <c r="T895" s="207">
        <f>'[3]West Penn Power LP_GSCMMS'!J859</f>
        <v>0</v>
      </c>
      <c r="U895" s="207">
        <f>'[3]West Penn Power LP_GSCMMS'!K859</f>
        <v>0</v>
      </c>
      <c r="V895" s="145"/>
    </row>
  </sheetData>
  <sheetProtection algorithmName="SHA-512" hashValue="2BbG1/LeudKmD+RQK+N5N4r27PkqQzPeACSF3vBK0p65AdJYNqWnxWmUhz/5qGi49Vn1Q5N8Fy8QJ0fVyVT7HA==" saltValue="6EuzFyk7gJg9ZQ5kIsASfQ==" spinCount="100000" sheet="1" scenarios="1" autoFilter="0"/>
  <autoFilter ref="A8:V895"/>
  <mergeCells count="4">
    <mergeCell ref="P2:Q2"/>
    <mergeCell ref="P3:Q3"/>
    <mergeCell ref="P4:Q4"/>
    <mergeCell ref="P5:Q5"/>
  </mergeCells>
  <conditionalFormatting sqref="Q9:V895">
    <cfRule type="cellIs" dxfId="2" priority="3" operator="equal">
      <formula>9999</formula>
    </cfRule>
  </conditionalFormatting>
  <conditionalFormatting sqref="Q9:U895">
    <cfRule type="cellIs" dxfId="1" priority="2" operator="equal">
      <formula>9999</formula>
    </cfRule>
  </conditionalFormatting>
  <conditionalFormatting sqref="Q9:U895">
    <cfRule type="cellIs" dxfId="0" priority="1" operator="equal">
      <formula>9999</formula>
    </cfRule>
  </conditionalFormatting>
  <pageMargins left="0" right="0" top="0" bottom="0.3" header="0" footer="0"/>
  <pageSetup scale="70" orientation="landscape" horizontalDpi="300" verticalDpi="300" r:id="rId1"/>
  <headerFooter>
    <oddFooter>&amp;LPage &amp;P of &amp;N        &amp;D  &amp;T&amp;R&amp;F &amp;F      &amp;A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679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169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89.71</v>
      </c>
      <c r="H7" s="157">
        <v>92.22</v>
      </c>
      <c r="I7" s="157">
        <v>90.87</v>
      </c>
      <c r="J7" s="157">
        <v>89.24</v>
      </c>
      <c r="K7" s="157">
        <v>89.15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'[2]JCPL LP_GSCLMS'!G8</f>
        <v>50.539900379689954</v>
      </c>
      <c r="H8" s="163">
        <f>'[2]JCPL LP_GSCLMS'!H8</f>
        <v>43.519459277982236</v>
      </c>
      <c r="I8" s="163">
        <f>'[2]JCPL LP_GSCLMS'!I8</f>
        <v>42.240200447902041</v>
      </c>
      <c r="J8" s="163">
        <f>'[2]JCPL LP_GSCLMS'!J8</f>
        <v>41.916723469507509</v>
      </c>
      <c r="K8" s="163">
        <f>'[2]JCPL LP_GSCLMS'!K8</f>
        <v>41.465126704376104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'[2]JCPL LP_GSCLMS'!G9</f>
        <v>47.786057878173771</v>
      </c>
      <c r="H9" s="163">
        <f>'[2]JCPL LP_GSCLMS'!H9</f>
        <v>42.60990284611691</v>
      </c>
      <c r="I9" s="163">
        <f>'[2]JCPL LP_GSCLMS'!I9</f>
        <v>41.667992706412541</v>
      </c>
      <c r="J9" s="163">
        <f>'[2]JCPL LP_GSCLMS'!J9</f>
        <v>41.622447955726422</v>
      </c>
      <c r="K9" s="163">
        <f>'[2]JCPL LP_GSCLMS'!K9</f>
        <v>41.174874827627377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'[2]JCPL LP_GSCLMS'!G10</f>
        <v>44.905276732733128</v>
      </c>
      <c r="H10" s="163">
        <f>'[2]JCPL LP_GSCLMS'!H10</f>
        <v>41.723928571168692</v>
      </c>
      <c r="I10" s="163">
        <f>'[2]JCPL LP_GSCLMS'!I10</f>
        <v>41.014864247789092</v>
      </c>
      <c r="J10" s="163">
        <f>'[2]JCPL LP_GSCLMS'!J10</f>
        <v>41.357928525418565</v>
      </c>
      <c r="K10" s="163">
        <f>'[2]JCPL LP_GSCLMS'!K10</f>
        <v>40.889697827324959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'[2]JCPL LP_GSCLMS'!G11</f>
        <v>42.500119457683617</v>
      </c>
      <c r="H11" s="163">
        <f>'[2]JCPL LP_GSCLMS'!H11</f>
        <v>40.927883831943738</v>
      </c>
      <c r="I11" s="163">
        <f>'[2]JCPL LP_GSCLMS'!I11</f>
        <v>40.483038301724697</v>
      </c>
      <c r="J11" s="163">
        <f>'[2]JCPL LP_GSCLMS'!J11</f>
        <v>41.121115814990844</v>
      </c>
      <c r="K11" s="163">
        <f>'[2]JCPL LP_GSCLMS'!K11</f>
        <v>40.633920748337978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'[2]JCPL LP_GSCLMS'!G12</f>
        <v>40.529137496093725</v>
      </c>
      <c r="H12" s="163">
        <f>'[2]JCPL LP_GSCLMS'!H12</f>
        <v>40.027276379785569</v>
      </c>
      <c r="I12" s="163">
        <f>'[2]JCPL LP_GSCLMS'!I12</f>
        <v>39.977171044604951</v>
      </c>
      <c r="J12" s="163">
        <f>'[2]JCPL LP_GSCLMS'!J12</f>
        <v>40.838238535052639</v>
      </c>
      <c r="K12" s="163">
        <f>'[2]JCPL LP_GSCLMS'!K12</f>
        <v>40.335473887162941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'[2]JCPL LP_GSCLMS'!G13</f>
        <v>38.798157930035075</v>
      </c>
      <c r="H13" s="163">
        <f>'[2]JCPL LP_GSCLMS'!H13</f>
        <v>39.165920978395377</v>
      </c>
      <c r="I13" s="163">
        <f>'[2]JCPL LP_GSCLMS'!I13</f>
        <v>39.579254730434016</v>
      </c>
      <c r="J13" s="163">
        <f>'[2]JCPL LP_GSCLMS'!J13</f>
        <v>40.575738713810978</v>
      </c>
      <c r="K13" s="163">
        <f>'[2]JCPL LP_GSCLMS'!K13</f>
        <v>40.058338043869234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'[2]JCPL LP_GSCLMS'!G14</f>
        <v>37.309883485146358</v>
      </c>
      <c r="H14" s="163">
        <f>'[2]JCPL LP_GSCLMS'!H14</f>
        <v>38.338511742476037</v>
      </c>
      <c r="I14" s="163">
        <f>'[2]JCPL LP_GSCLMS'!I14</f>
        <v>39.275284105642747</v>
      </c>
      <c r="J14" s="163">
        <f>'[2]JCPL LP_GSCLMS'!J14</f>
        <v>40.317517341319167</v>
      </c>
      <c r="K14" s="163">
        <f>'[2]JCPL LP_GSCLMS'!K14</f>
        <v>39.771809953265269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'[2]JCPL LP_GSCLMS'!G15</f>
        <v>37.80164953296849</v>
      </c>
      <c r="H15" s="163">
        <f>'[2]JCPL LP_GSCLMS'!H15</f>
        <v>38.710202334675017</v>
      </c>
      <c r="I15" s="163">
        <f>'[2]JCPL LP_GSCLMS'!I15</f>
        <v>39.66958425235434</v>
      </c>
      <c r="J15" s="163">
        <f>'[2]JCPL LP_GSCLMS'!J15</f>
        <v>40.352018522789869</v>
      </c>
      <c r="K15" s="163">
        <f>'[2]JCPL LP_GSCLMS'!K15</f>
        <v>39.843654145808998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'[2]JCPL LP_GSCLMS'!G16</f>
        <v>38.515617251420181</v>
      </c>
      <c r="H16" s="163">
        <f>'[2]JCPL LP_GSCLMS'!H16</f>
        <v>39.056729687588131</v>
      </c>
      <c r="I16" s="163">
        <f>'[2]JCPL LP_GSCLMS'!I16</f>
        <v>40.16945246073368</v>
      </c>
      <c r="J16" s="163">
        <f>'[2]JCPL LP_GSCLMS'!J16</f>
        <v>40.383131307910432</v>
      </c>
      <c r="K16" s="163">
        <f>'[2]JCPL LP_GSCLMS'!K16</f>
        <v>39.926629282881386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'[2]JCPL LP_GSCLMS'!G17</f>
        <v>39.173635277236563</v>
      </c>
      <c r="H17" s="163">
        <f>'[2]JCPL LP_GSCLMS'!H17</f>
        <v>39.41711441395406</v>
      </c>
      <c r="I17" s="163">
        <f>'[2]JCPL LP_GSCLMS'!I17</f>
        <v>40.628469525570914</v>
      </c>
      <c r="J17" s="163">
        <f>'[2]JCPL LP_GSCLMS'!J17</f>
        <v>40.425911634666789</v>
      </c>
      <c r="K17" s="163">
        <f>'[2]JCPL LP_GSCLMS'!K17</f>
        <v>40.01083361782198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'[2]JCPL LP_GSCLMS'!G18</f>
        <v>39.456084782269521</v>
      </c>
      <c r="H18" s="163">
        <f>'[2]JCPL LP_GSCLMS'!H18</f>
        <v>39.683235155233803</v>
      </c>
      <c r="I18" s="163">
        <f>'[2]JCPL LP_GSCLMS'!I18</f>
        <v>40.950120466168741</v>
      </c>
      <c r="J18" s="163">
        <f>'[2]JCPL LP_GSCLMS'!J18</f>
        <v>40.428821339952485</v>
      </c>
      <c r="K18" s="163">
        <f>'[2]JCPL LP_GSCLMS'!K18</f>
        <v>40.063194537888627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'[2]JCPL LP_GSCLMS'!G19</f>
        <v>39.592417195479641</v>
      </c>
      <c r="H19" s="163">
        <f>'[2]JCPL LP_GSCLMS'!H19</f>
        <v>39.998628487463371</v>
      </c>
      <c r="I19" s="163">
        <f>'[2]JCPL LP_GSCLMS'!I19</f>
        <v>41.227129149915051</v>
      </c>
      <c r="J19" s="163">
        <f>'[2]JCPL LP_GSCLMS'!J19</f>
        <v>40.441382482697669</v>
      </c>
      <c r="K19" s="163">
        <f>'[2]JCPL LP_GSCLMS'!K19</f>
        <v>40.114515605775367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'[2]JCPL LP_GSCLMS'!G20</f>
        <v>39.505400756048708</v>
      </c>
      <c r="H20" s="163">
        <f>'[2]JCPL LP_GSCLMS'!H20</f>
        <v>40.316547925938707</v>
      </c>
      <c r="I20" s="163">
        <f>'[2]JCPL LP_GSCLMS'!I20</f>
        <v>41.40086274579577</v>
      </c>
      <c r="J20" s="163">
        <f>'[2]JCPL LP_GSCLMS'!J20</f>
        <v>40.440983278431808</v>
      </c>
      <c r="K20" s="163">
        <f>'[2]JCPL LP_GSCLMS'!K20</f>
        <v>40.15754826722597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vEev+P+FgxGY5Gohq/nv+rvOkK3MJBLJE4rk+OfuYSBjHwluD/h8VUrmg6+ijD3Nj0ECSCk/nsrJTZSIFDILVw==" saltValue="5LGIUesRHxM9Q+b1p5zp6A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tabColor rgb="FF00B0F0"/>
  </sheetPr>
  <dimension ref="A1:BJ46"/>
  <sheetViews>
    <sheetView topLeftCell="AL1" zoomScale="70" zoomScaleNormal="70" workbookViewId="0">
      <pane ySplit="1" topLeftCell="A3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679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171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89.68</v>
      </c>
      <c r="H7" s="159">
        <v>90.4</v>
      </c>
      <c r="I7" s="157">
        <v>89.92</v>
      </c>
      <c r="J7" s="157">
        <v>88.33</v>
      </c>
      <c r="K7" s="157">
        <v>88.54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'[2]JCPL LP_GSCMMS'!G8</f>
        <v>41.340708769582371</v>
      </c>
      <c r="H8" s="163">
        <f>'[2]JCPL LP_GSCMMS'!H8</f>
        <v>40.858202402060321</v>
      </c>
      <c r="I8" s="163">
        <f>'[2]JCPL LP_GSCMMS'!I8</f>
        <v>38.512181939484535</v>
      </c>
      <c r="J8" s="163">
        <f>'[2]JCPL LP_GSCMMS'!J8</f>
        <v>39.622696452503313</v>
      </c>
      <c r="K8" s="163">
        <f>'[2]JCPL LP_GSCMMS'!K8</f>
        <v>39.336377661547644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'[2]JCPL LP_GSCMMS'!G9</f>
        <v>40.766395478700097</v>
      </c>
      <c r="H9" s="163">
        <f>'[2]JCPL LP_GSCMMS'!H9</f>
        <v>40.177327513292248</v>
      </c>
      <c r="I9" s="163">
        <f>'[2]JCPL LP_GSCMMS'!I9</f>
        <v>38.401875768176346</v>
      </c>
      <c r="J9" s="163">
        <f>'[2]JCPL LP_GSCMMS'!J9</f>
        <v>39.415084579839203</v>
      </c>
      <c r="K9" s="163">
        <f>'[2]JCPL LP_GSCMMS'!K9</f>
        <v>39.12029330766196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'[2]JCPL LP_GSCMMS'!G10</f>
        <v>40.019482432689031</v>
      </c>
      <c r="H10" s="163">
        <f>'[2]JCPL LP_GSCMMS'!H10</f>
        <v>39.46796272216001</v>
      </c>
      <c r="I10" s="163">
        <f>'[2]JCPL LP_GSCMMS'!I10</f>
        <v>38.303359125031804</v>
      </c>
      <c r="J10" s="163">
        <f>'[2]JCPL LP_GSCMMS'!J10</f>
        <v>39.224826907755272</v>
      </c>
      <c r="K10" s="163">
        <f>'[2]JCPL LP_GSCMMS'!K10</f>
        <v>38.914023018313394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'[2]JCPL LP_GSCMMS'!G11</f>
        <v>39.465052741983996</v>
      </c>
      <c r="H11" s="163">
        <f>'[2]JCPL LP_GSCMMS'!H11</f>
        <v>38.876018573189761</v>
      </c>
      <c r="I11" s="163">
        <f>'[2]JCPL LP_GSCMMS'!I11</f>
        <v>38.294228334913427</v>
      </c>
      <c r="J11" s="163">
        <f>'[2]JCPL LP_GSCMMS'!J11</f>
        <v>39.068362646939811</v>
      </c>
      <c r="K11" s="163">
        <f>'[2]JCPL LP_GSCMMS'!K11</f>
        <v>38.740467893628725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'[2]JCPL LP_GSCMMS'!G12</f>
        <v>39.486382792861683</v>
      </c>
      <c r="H12" s="163">
        <f>'[2]JCPL LP_GSCMMS'!H12</f>
        <v>38.203748381082981</v>
      </c>
      <c r="I12" s="163">
        <f>'[2]JCPL LP_GSCMMS'!I12</f>
        <v>38.420341349543143</v>
      </c>
      <c r="J12" s="163">
        <f>'[2]JCPL LP_GSCMMS'!J12</f>
        <v>38.873305299145699</v>
      </c>
      <c r="K12" s="163">
        <f>'[2]JCPL LP_GSCMMS'!K12</f>
        <v>38.527355304055988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'[2]JCPL LP_GSCMMS'!G13</f>
        <v>39.738945920995135</v>
      </c>
      <c r="H13" s="163">
        <f>'[2]JCPL LP_GSCMMS'!H13</f>
        <v>37.53688067157767</v>
      </c>
      <c r="I13" s="163">
        <f>'[2]JCPL LP_GSCMMS'!I13</f>
        <v>38.649047671621922</v>
      </c>
      <c r="J13" s="163">
        <f>'[2]JCPL LP_GSCMMS'!J13</f>
        <v>38.703082760883838</v>
      </c>
      <c r="K13" s="163">
        <f>'[2]JCPL LP_GSCMMS'!K13</f>
        <v>38.347923871050433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'[2]JCPL LP_GSCMMS'!G14</f>
        <v>40.194872909497064</v>
      </c>
      <c r="H14" s="163">
        <f>'[2]JCPL LP_GSCMMS'!H14</f>
        <v>36.86835010007006</v>
      </c>
      <c r="I14" s="163">
        <f>'[2]JCPL LP_GSCMMS'!I14</f>
        <v>38.924906427419103</v>
      </c>
      <c r="J14" s="163">
        <f>'[2]JCPL LP_GSCMMS'!J14</f>
        <v>38.503846867550898</v>
      </c>
      <c r="K14" s="163">
        <f>'[2]JCPL LP_GSCMMS'!K14</f>
        <v>38.1290392463739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'[2]JCPL LP_GSCMMS'!G15</f>
        <v>39.421695327708058</v>
      </c>
      <c r="H15" s="163">
        <f>'[2]JCPL LP_GSCMMS'!H15</f>
        <v>37.075341701699919</v>
      </c>
      <c r="I15" s="163">
        <f>'[2]JCPL LP_GSCMMS'!I15</f>
        <v>38.88954357849682</v>
      </c>
      <c r="J15" s="163">
        <f>'[2]JCPL LP_GSCMMS'!J15</f>
        <v>38.500463052731639</v>
      </c>
      <c r="K15" s="163">
        <f>'[2]JCPL LP_GSCMMS'!K15</f>
        <v>38.177506607798286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'[2]JCPL LP_GSCMMS'!G16</f>
        <v>38.799352793923077</v>
      </c>
      <c r="H16" s="163">
        <f>'[2]JCPL LP_GSCMMS'!H16</f>
        <v>37.364655898018505</v>
      </c>
      <c r="I16" s="163">
        <f>'[2]JCPL LP_GSCMMS'!I16</f>
        <v>38.925880493595912</v>
      </c>
      <c r="J16" s="163">
        <f>'[2]JCPL LP_GSCMMS'!J16</f>
        <v>38.526761765567734</v>
      </c>
      <c r="K16" s="163">
        <f>'[2]JCPL LP_GSCMMS'!K16</f>
        <v>38.244495022837548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'[2]JCPL LP_GSCMMS'!G17</f>
        <v>38.181665536350188</v>
      </c>
      <c r="H17" s="163">
        <f>'[2]JCPL LP_GSCMMS'!H17</f>
        <v>37.662817359832083</v>
      </c>
      <c r="I17" s="163">
        <f>'[2]JCPL LP_GSCMMS'!I17</f>
        <v>38.922191454174111</v>
      </c>
      <c r="J17" s="163">
        <f>'[2]JCPL LP_GSCMMS'!J17</f>
        <v>38.56674332041792</v>
      </c>
      <c r="K17" s="163">
        <f>'[2]JCPL LP_GSCMMS'!K17</f>
        <v>38.31614773672392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'[2]JCPL LP_GSCMMS'!G18</f>
        <v>36.89057323458762</v>
      </c>
      <c r="H18" s="163">
        <f>'[2]JCPL LP_GSCMMS'!H18</f>
        <v>37.884130250073582</v>
      </c>
      <c r="I18" s="163">
        <f>'[2]JCPL LP_GSCMMS'!I18</f>
        <v>38.667354847633597</v>
      </c>
      <c r="J18" s="163">
        <f>'[2]JCPL LP_GSCMMS'!J18</f>
        <v>38.571047806809311</v>
      </c>
      <c r="K18" s="163">
        <f>'[2]JCPL LP_GSCMMS'!K18</f>
        <v>38.358816541486952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'[2]JCPL LP_GSCMMS'!G19</f>
        <v>35.597592002516521</v>
      </c>
      <c r="H19" s="163">
        <f>'[2]JCPL LP_GSCMMS'!H19</f>
        <v>38.141842544124813</v>
      </c>
      <c r="I19" s="163">
        <f>'[2]JCPL LP_GSCMMS'!I19</f>
        <v>38.388574840814726</v>
      </c>
      <c r="J19" s="163">
        <f>'[2]JCPL LP_GSCMMS'!J19</f>
        <v>38.583617312149563</v>
      </c>
      <c r="K19" s="163">
        <f>'[2]JCPL LP_GSCMMS'!K19</f>
        <v>38.401737760140136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'[2]JCPL LP_GSCMMS'!G20</f>
        <v>34.43228984774926</v>
      </c>
      <c r="H20" s="163">
        <f>'[2]JCPL LP_GSCMMS'!H20</f>
        <v>38.392371949806098</v>
      </c>
      <c r="I20" s="163">
        <f>'[2]JCPL LP_GSCMMS'!I20</f>
        <v>38.054765357626657</v>
      </c>
      <c r="J20" s="163">
        <f>'[2]JCPL LP_GSCMMS'!J20</f>
        <v>38.580007284603674</v>
      </c>
      <c r="K20" s="163">
        <f>'[2]JCPL LP_GSCMMS'!K20</f>
        <v>38.432300721497498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ivnqnMmH+TE0w8TRhLW2QvuvqhpmXNIi72p9HHgaxjDv0cUcN8Yhs7vuEoFU7Dxhi0IEhrknITk70YBU+t9lEg==" saltValue="SyziazeeW04kX/FuCZl2C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679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173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89.81</v>
      </c>
      <c r="H7" s="157">
        <v>89.93</v>
      </c>
      <c r="I7" s="157">
        <v>89.56</v>
      </c>
      <c r="J7" s="157">
        <v>87.41</v>
      </c>
      <c r="K7" s="159">
        <v>87.5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'[2]JCPL LP_GSCSMS'!G8</f>
        <v>46.038362074811182</v>
      </c>
      <c r="H8" s="163">
        <f>'[2]JCPL LP_GSCSMS'!H8</f>
        <v>42.581478516871734</v>
      </c>
      <c r="I8" s="163">
        <f>'[2]JCPL LP_GSCSMS'!I8</f>
        <v>40.721558623332214</v>
      </c>
      <c r="J8" s="163">
        <f>'[2]JCPL LP_GSCSMS'!J8</f>
        <v>41.207188396152212</v>
      </c>
      <c r="K8" s="163">
        <f>'[2]JCPL LP_GSCSMS'!K8</f>
        <v>40.864821830222581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'[2]JCPL LP_GSCSMS'!G9</f>
        <v>45.147684464909688</v>
      </c>
      <c r="H9" s="163">
        <f>'[2]JCPL LP_GSCSMS'!H9</f>
        <v>41.786338711256455</v>
      </c>
      <c r="I9" s="163">
        <f>'[2]JCPL LP_GSCSMS'!I9</f>
        <v>40.576470298868792</v>
      </c>
      <c r="J9" s="163">
        <f>'[2]JCPL LP_GSCSMS'!J9</f>
        <v>40.97476843974966</v>
      </c>
      <c r="K9" s="163">
        <f>'[2]JCPL LP_GSCSMS'!K9</f>
        <v>40.626559172843315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'[2]JCPL LP_GSCSMS'!G10</f>
        <v>44.05631190982097</v>
      </c>
      <c r="H10" s="163">
        <f>'[2]JCPL LP_GSCSMS'!H10</f>
        <v>41.008640439544493</v>
      </c>
      <c r="I10" s="163">
        <f>'[2]JCPL LP_GSCSMS'!I10</f>
        <v>40.389940075901407</v>
      </c>
      <c r="J10" s="163">
        <f>'[2]JCPL LP_GSCSMS'!J10</f>
        <v>40.755223112474283</v>
      </c>
      <c r="K10" s="163">
        <f>'[2]JCPL LP_GSCSMS'!K10</f>
        <v>40.391031331066529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'[2]JCPL LP_GSCSMS'!G11</f>
        <v>43.126005481765432</v>
      </c>
      <c r="H11" s="163">
        <f>'[2]JCPL LP_GSCSMS'!H11</f>
        <v>40.31827734445416</v>
      </c>
      <c r="I11" s="163">
        <f>'[2]JCPL LP_GSCSMS'!I11</f>
        <v>40.290118635257059</v>
      </c>
      <c r="J11" s="163">
        <f>'[2]JCPL LP_GSCSMS'!J11</f>
        <v>40.560929148525801</v>
      </c>
      <c r="K11" s="163">
        <f>'[2]JCPL LP_GSCSMS'!K11</f>
        <v>40.181895367578669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'[2]JCPL LP_GSCSMS'!G12</f>
        <v>41.980751869914243</v>
      </c>
      <c r="H12" s="163">
        <f>'[2]JCPL LP_GSCSMS'!H12</f>
        <v>39.517662263413854</v>
      </c>
      <c r="I12" s="163">
        <f>'[2]JCPL LP_GSCSMS'!I12</f>
        <v>40.079309184478461</v>
      </c>
      <c r="J12" s="163">
        <f>'[2]JCPL LP_GSCSMS'!J12</f>
        <v>40.321642075087361</v>
      </c>
      <c r="K12" s="163">
        <f>'[2]JCPL LP_GSCSMS'!K12</f>
        <v>39.929499378870169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'[2]JCPL LP_GSCSMS'!G13</f>
        <v>40.60314816812943</v>
      </c>
      <c r="H13" s="163">
        <f>'[2]JCPL LP_GSCSMS'!H13</f>
        <v>38.756013743367198</v>
      </c>
      <c r="I13" s="163">
        <f>'[2]JCPL LP_GSCSMS'!I13</f>
        <v>39.848063943161634</v>
      </c>
      <c r="J13" s="163">
        <f>'[2]JCPL LP_GSCSMS'!J13</f>
        <v>40.091379039395726</v>
      </c>
      <c r="K13" s="163">
        <f>'[2]JCPL LP_GSCSMS'!K13</f>
        <v>39.688355004930138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'[2]JCPL LP_GSCSMS'!G14</f>
        <v>38.845993789957681</v>
      </c>
      <c r="H14" s="163">
        <f>'[2]JCPL LP_GSCSMS'!H14</f>
        <v>37.968263466942915</v>
      </c>
      <c r="I14" s="163">
        <f>'[2]JCPL LP_GSCSMS'!I14</f>
        <v>39.513732264117031</v>
      </c>
      <c r="J14" s="163">
        <f>'[2]JCPL LP_GSCSMS'!J14</f>
        <v>39.84757017161202</v>
      </c>
      <c r="K14" s="163">
        <f>'[2]JCPL LP_GSCSMS'!K14</f>
        <v>39.430308811163826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'[2]JCPL LP_GSCSMS'!G15</f>
        <v>38.353673883656619</v>
      </c>
      <c r="H15" s="163">
        <f>'[2]JCPL LP_GSCSMS'!H15</f>
        <v>38.271259779670586</v>
      </c>
      <c r="I15" s="163">
        <f>'[2]JCPL LP_GSCSMS'!I15</f>
        <v>39.563982181552667</v>
      </c>
      <c r="J15" s="163">
        <f>'[2]JCPL LP_GSCSMS'!J15</f>
        <v>39.865765341684323</v>
      </c>
      <c r="K15" s="163">
        <f>'[2]JCPL LP_GSCSMS'!K15</f>
        <v>39.488135487259278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'[2]JCPL LP_GSCSMS'!G16</f>
        <v>38.019914931326703</v>
      </c>
      <c r="H16" s="163">
        <f>'[2]JCPL LP_GSCSMS'!H16</f>
        <v>38.579620649356912</v>
      </c>
      <c r="I16" s="163">
        <f>'[2]JCPL LP_GSCSMS'!I16</f>
        <v>39.668047776748374</v>
      </c>
      <c r="J16" s="163">
        <f>'[2]JCPL LP_GSCSMS'!J16</f>
        <v>39.889113679170741</v>
      </c>
      <c r="K16" s="163">
        <f>'[2]JCPL LP_GSCSMS'!K16</f>
        <v>39.556231239805591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'[2]JCPL LP_GSCSMS'!G17</f>
        <v>37.598238685300522</v>
      </c>
      <c r="H17" s="163">
        <f>'[2]JCPL LP_GSCSMS'!H17</f>
        <v>38.898677389479225</v>
      </c>
      <c r="I17" s="163">
        <f>'[2]JCPL LP_GSCSMS'!I17</f>
        <v>39.724751658450273</v>
      </c>
      <c r="J17" s="163">
        <f>'[2]JCPL LP_GSCSMS'!J17</f>
        <v>39.925606484155168</v>
      </c>
      <c r="K17" s="163">
        <f>'[2]JCPL LP_GSCSMS'!K17</f>
        <v>39.626703462547297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'[2]JCPL LP_GSCSMS'!G18</f>
        <v>37.238377546967307</v>
      </c>
      <c r="H18" s="163">
        <f>'[2]JCPL LP_GSCSMS'!H18</f>
        <v>39.167411192746947</v>
      </c>
      <c r="I18" s="163">
        <f>'[2]JCPL LP_GSCSMS'!I18</f>
        <v>39.79671122055948</v>
      </c>
      <c r="J18" s="163">
        <f>'[2]JCPL LP_GSCSMS'!J18</f>
        <v>39.941070151024689</v>
      </c>
      <c r="K18" s="163">
        <f>'[2]JCPL LP_GSCSMS'!K18</f>
        <v>39.680671182394534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'[2]JCPL LP_GSCSMS'!G19</f>
        <v>37.065587742187603</v>
      </c>
      <c r="H19" s="163">
        <f>'[2]JCPL LP_GSCSMS'!H19</f>
        <v>39.487508202436018</v>
      </c>
      <c r="I19" s="163">
        <f>'[2]JCPL LP_GSCSMS'!I19</f>
        <v>39.930640098812859</v>
      </c>
      <c r="J19" s="163">
        <f>'[2]JCPL LP_GSCSMS'!J19</f>
        <v>39.96784230133747</v>
      </c>
      <c r="K19" s="163">
        <f>'[2]JCPL LP_GSCSMS'!K19</f>
        <v>39.73692452482576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'[2]JCPL LP_GSCSMS'!G20</f>
        <v>37.160561070431434</v>
      </c>
      <c r="H20" s="163">
        <f>'[2]JCPL LP_GSCSMS'!H20</f>
        <v>39.834333652165313</v>
      </c>
      <c r="I20" s="163">
        <f>'[2]JCPL LP_GSCSMS'!I20</f>
        <v>40.163220255565193</v>
      </c>
      <c r="J20" s="163">
        <f>'[2]JCPL LP_GSCSMS'!J20</f>
        <v>40.007933548097185</v>
      </c>
      <c r="K20" s="163">
        <f>'[2]JCPL LP_GSCSMS'!K20</f>
        <v>39.792610364648155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m5xR8Fa2lmTRUB0ct2HrzqaZV3RhWkQTHbSa1P+hWZRaI8hqiwmNWJKVep6vmHjhNvBrCixSanSs7grywTl1SQ==" saltValue="mJYlhIGILceIcOV9sPHVLw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661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179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76.540000000000006</v>
      </c>
      <c r="H7" s="157">
        <v>76.53</v>
      </c>
      <c r="I7" s="157">
        <v>75.98</v>
      </c>
      <c r="J7" s="157">
        <v>74.19</v>
      </c>
      <c r="K7" s="157">
        <v>74.52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'[2]MetEd RC_GSDFMS (2)'!G8</f>
        <v>35.871115748414134</v>
      </c>
      <c r="H8" s="163">
        <f>'[2]MetEd RC_GSDFMS (2)'!H8</f>
        <v>30.08662715103727</v>
      </c>
      <c r="I8" s="163">
        <f>'[2]MetEd RC_GSDFMS (2)'!I8</f>
        <v>28.932325432318812</v>
      </c>
      <c r="J8" s="163">
        <f>'[2]MetEd RC_GSDFMS (2)'!J8</f>
        <v>28.732403511593329</v>
      </c>
      <c r="K8" s="163">
        <f>'[2]MetEd RC_GSDFMS (2)'!K8</f>
        <v>28.136205513368925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'[2]MetEd RC_GSDFMS (2)'!G9</f>
        <v>33.601086679204784</v>
      </c>
      <c r="H9" s="163">
        <f>'[2]MetEd RC_GSDFMS (2)'!H9</f>
        <v>29.300556001018215</v>
      </c>
      <c r="I9" s="163">
        <f>'[2]MetEd RC_GSDFMS (2)'!I9</f>
        <v>28.451230209033994</v>
      </c>
      <c r="J9" s="163">
        <f>'[2]MetEd RC_GSDFMS (2)'!J9</f>
        <v>28.480802184553919</v>
      </c>
      <c r="K9" s="163">
        <f>'[2]MetEd RC_GSDFMS (2)'!K9</f>
        <v>27.848132956863786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'[2]MetEd RC_GSDFMS (2)'!G10</f>
        <v>31.958106064211066</v>
      </c>
      <c r="H10" s="163">
        <f>'[2]MetEd RC_GSDFMS (2)'!H10</f>
        <v>28.566900348704777</v>
      </c>
      <c r="I10" s="163">
        <f>'[2]MetEd RC_GSDFMS (2)'!I10</f>
        <v>28.129063874849432</v>
      </c>
      <c r="J10" s="163">
        <f>'[2]MetEd RC_GSDFMS (2)'!J10</f>
        <v>28.262322511280235</v>
      </c>
      <c r="K10" s="163">
        <f>'[2]MetEd RC_GSDFMS (2)'!K10</f>
        <v>27.57830196736094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'[2]MetEd RC_GSDFMS (2)'!G11</f>
        <v>30.291445352303267</v>
      </c>
      <c r="H11" s="163">
        <f>'[2]MetEd RC_GSDFMS (2)'!H11</f>
        <v>27.856143697085162</v>
      </c>
      <c r="I11" s="163">
        <f>'[2]MetEd RC_GSDFMS (2)'!I11</f>
        <v>27.803894124164806</v>
      </c>
      <c r="J11" s="163">
        <f>'[2]MetEd RC_GSDFMS (2)'!J11</f>
        <v>28.042865157668018</v>
      </c>
      <c r="K11" s="163">
        <f>'[2]MetEd RC_GSDFMS (2)'!K11</f>
        <v>27.322555592447994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'[2]MetEd RC_GSDFMS (2)'!G12</f>
        <v>28.524392543956942</v>
      </c>
      <c r="H12" s="163">
        <f>'[2]MetEd RC_GSDFMS (2)'!H12</f>
        <v>27.087483623879841</v>
      </c>
      <c r="I12" s="163">
        <f>'[2]MetEd RC_GSDFMS (2)'!I12</f>
        <v>27.40261199266148</v>
      </c>
      <c r="J12" s="163">
        <f>'[2]MetEd RC_GSDFMS (2)'!J12</f>
        <v>27.804493747102693</v>
      </c>
      <c r="K12" s="163">
        <f>'[2]MetEd RC_GSDFMS (2)'!K12</f>
        <v>27.040326682873758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'[2]MetEd RC_GSDFMS (2)'!G13</f>
        <v>26.267125714733719</v>
      </c>
      <c r="H13" s="163">
        <f>'[2]MetEd RC_GSDFMS (2)'!H13</f>
        <v>26.350681706675342</v>
      </c>
      <c r="I13" s="163">
        <f>'[2]MetEd RC_GSDFMS (2)'!I13</f>
        <v>26.842083713822184</v>
      </c>
      <c r="J13" s="163">
        <f>'[2]MetEd RC_GSDFMS (2)'!J13</f>
        <v>27.579306845691427</v>
      </c>
      <c r="K13" s="163">
        <f>'[2]MetEd RC_GSDFMS (2)'!K13</f>
        <v>26.776004218810233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'[2]MetEd RC_GSDFMS (2)'!G14</f>
        <v>24.788508989254371</v>
      </c>
      <c r="H14" s="163">
        <f>'[2]MetEd RC_GSDFMS (2)'!H14</f>
        <v>25.613906164366195</v>
      </c>
      <c r="I14" s="163">
        <f>'[2]MetEd RC_GSDFMS (2)'!I14</f>
        <v>26.492891592276013</v>
      </c>
      <c r="J14" s="163">
        <f>'[2]MetEd RC_GSDFMS (2)'!J14</f>
        <v>27.355311252735312</v>
      </c>
      <c r="K14" s="163">
        <f>'[2]MetEd RC_GSDFMS (2)'!K14</f>
        <v>26.500983817886187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'[2]MetEd RC_GSDFMS (2)'!G15</f>
        <v>25.257396728733944</v>
      </c>
      <c r="H15" s="163">
        <f>'[2]MetEd RC_GSDFMS (2)'!H15</f>
        <v>25.947824502709445</v>
      </c>
      <c r="I15" s="163">
        <f>'[2]MetEd RC_GSDFMS (2)'!I15</f>
        <v>26.845993268683216</v>
      </c>
      <c r="J15" s="163">
        <f>'[2]MetEd RC_GSDFMS (2)'!J15</f>
        <v>27.324087020197545</v>
      </c>
      <c r="K15" s="163">
        <f>'[2]MetEd RC_GSDFMS (2)'!K15</f>
        <v>26.500807810044417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'[2]MetEd RC_GSDFMS (2)'!G16</f>
        <v>25.180933304950862</v>
      </c>
      <c r="H16" s="163">
        <f>'[2]MetEd RC_GSDFMS (2)'!H16</f>
        <v>26.213790873489881</v>
      </c>
      <c r="I16" s="163">
        <f>'[2]MetEd RC_GSDFMS (2)'!I16</f>
        <v>27.032885442730937</v>
      </c>
      <c r="J16" s="163">
        <f>'[2]MetEd RC_GSDFMS (2)'!J16</f>
        <v>27.303355896828659</v>
      </c>
      <c r="K16" s="163">
        <f>'[2]MetEd RC_GSDFMS (2)'!K16</f>
        <v>26.519268486226746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'[2]MetEd RC_GSDFMS (2)'!G17</f>
        <v>25.239495438647026</v>
      </c>
      <c r="H17" s="163">
        <f>'[2]MetEd RC_GSDFMS (2)'!H17</f>
        <v>26.514465128682492</v>
      </c>
      <c r="I17" s="163">
        <f>'[2]MetEd RC_GSDFMS (2)'!I17</f>
        <v>27.259201802619124</v>
      </c>
      <c r="J17" s="163">
        <f>'[2]MetEd RC_GSDFMS (2)'!J17</f>
        <v>27.269422997096825</v>
      </c>
      <c r="K17" s="163">
        <f>'[2]MetEd RC_GSDFMS (2)'!K17</f>
        <v>26.52669595694098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'[2]MetEd RC_GSDFMS (2)'!G18</f>
        <v>25.526291051752157</v>
      </c>
      <c r="H18" s="163">
        <f>'[2]MetEd RC_GSDFMS (2)'!H18</f>
        <v>26.818545269287569</v>
      </c>
      <c r="I18" s="163">
        <f>'[2]MetEd RC_GSDFMS (2)'!I18</f>
        <v>27.551467650148517</v>
      </c>
      <c r="J18" s="163">
        <f>'[2]MetEd RC_GSDFMS (2)'!J18</f>
        <v>27.244915239531068</v>
      </c>
      <c r="K18" s="163">
        <f>'[2]MetEd RC_GSDFMS (2)'!K18</f>
        <v>26.537256900032514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'[2]MetEd RC_GSDFMS (2)'!G19</f>
        <v>26.443273405905295</v>
      </c>
      <c r="H19" s="163">
        <f>'[2]MetEd RC_GSDFMS (2)'!H19</f>
        <v>27.144248021964714</v>
      </c>
      <c r="I19" s="163">
        <f>'[2]MetEd RC_GSDFMS (2)'!I19</f>
        <v>28.046527626627508</v>
      </c>
      <c r="J19" s="163">
        <f>'[2]MetEd RC_GSDFMS (2)'!J19</f>
        <v>27.223988439184648</v>
      </c>
      <c r="K19" s="163">
        <f>'[2]MetEd RC_GSDFMS (2)'!K19</f>
        <v>26.530411589386713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'[2]MetEd RC_GSDFMS (2)'!G20</f>
        <v>26.51580398214989</v>
      </c>
      <c r="H20" s="163">
        <f>'[2]MetEd RC_GSDFMS (2)'!H20</f>
        <v>27.380776421270763</v>
      </c>
      <c r="I20" s="163">
        <f>'[2]MetEd RC_GSDFMS (2)'!I20</f>
        <v>28.25878977493614</v>
      </c>
      <c r="J20" s="163">
        <f>'[2]MetEd RC_GSDFMS (2)'!J20</f>
        <v>27.16394782367156</v>
      </c>
      <c r="K20" s="163">
        <f>'[2]MetEd RC_GSDFMS (2)'!K20</f>
        <v>26.49222226463435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00B0F0"/>
  </sheetPr>
  <dimension ref="A1:BJ43"/>
  <sheetViews>
    <sheetView zoomScale="85" zoomScaleNormal="85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661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175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9">
        <v>73.3</v>
      </c>
      <c r="H7" s="157">
        <v>73.489999999999995</v>
      </c>
      <c r="I7" s="157">
        <v>72.89</v>
      </c>
      <c r="J7" s="157">
        <v>71.36</v>
      </c>
      <c r="K7" s="157">
        <v>71.72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'[2]MetEd RC_GSLFMS (2)'!G8</f>
        <v>32.716164620626479</v>
      </c>
      <c r="H8" s="163">
        <f>'[2]MetEd RC_GSLFMS (2)'!H8</f>
        <v>27.219982370038231</v>
      </c>
      <c r="I8" s="163">
        <f>'[2]MetEd RC_GSLFMS (2)'!I8</f>
        <v>26.221813701118283</v>
      </c>
      <c r="J8" s="163">
        <f>'[2]MetEd RC_GSLFMS (2)'!J8</f>
        <v>25.98596078980605</v>
      </c>
      <c r="K8" s="163">
        <f>'[2]MetEd RC_GSLFMS (2)'!K8</f>
        <v>25.448767224243237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'[2]MetEd RC_GSLFMS (2)'!G9</f>
        <v>30.521797379107124</v>
      </c>
      <c r="H9" s="163">
        <f>'[2]MetEd RC_GSLFMS (2)'!H9</f>
        <v>26.481584035389371</v>
      </c>
      <c r="I9" s="163">
        <f>'[2]MetEd RC_GSLFMS (2)'!I9</f>
        <v>25.736728181912376</v>
      </c>
      <c r="J9" s="163">
        <f>'[2]MetEd RC_GSLFMS (2)'!J9</f>
        <v>25.749033275810639</v>
      </c>
      <c r="K9" s="163">
        <f>'[2]MetEd RC_GSLFMS (2)'!K9</f>
        <v>25.18422919956825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'[2]MetEd RC_GSLFMS (2)'!G10</f>
        <v>29.03450732481236</v>
      </c>
      <c r="H10" s="163">
        <f>'[2]MetEd RC_GSLFMS (2)'!H10</f>
        <v>25.820510525596919</v>
      </c>
      <c r="I10" s="163">
        <f>'[2]MetEd RC_GSLFMS (2)'!I10</f>
        <v>25.454591773699072</v>
      </c>
      <c r="J10" s="163">
        <f>'[2]MetEd RC_GSLFMS (2)'!J10</f>
        <v>25.556208428177296</v>
      </c>
      <c r="K10" s="163">
        <f>'[2]MetEd RC_GSLFMS (2)'!K10</f>
        <v>24.940890554697802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'[2]MetEd RC_GSLFMS (2)'!G11</f>
        <v>27.467922648228349</v>
      </c>
      <c r="H11" s="163">
        <f>'[2]MetEd RC_GSLFMS (2)'!H11</f>
        <v>25.170673303646623</v>
      </c>
      <c r="I11" s="163">
        <f>'[2]MetEd RC_GSLFMS (2)'!I11</f>
        <v>25.152030259917169</v>
      </c>
      <c r="J11" s="163">
        <f>'[2]MetEd RC_GSLFMS (2)'!J11</f>
        <v>25.356151347600246</v>
      </c>
      <c r="K11" s="163">
        <f>'[2]MetEd RC_GSLFMS (2)'!K11</f>
        <v>24.707825648898833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'[2]MetEd RC_GSLFMS (2)'!G12</f>
        <v>25.758379075055259</v>
      </c>
      <c r="H12" s="163">
        <f>'[2]MetEd RC_GSLFMS (2)'!H12</f>
        <v>24.479633993739625</v>
      </c>
      <c r="I12" s="163">
        <f>'[2]MetEd RC_GSLFMS (2)'!I12</f>
        <v>24.769270445268003</v>
      </c>
      <c r="J12" s="163">
        <f>'[2]MetEd RC_GSLFMS (2)'!J12</f>
        <v>25.13963614510179</v>
      </c>
      <c r="K12" s="163">
        <f>'[2]MetEd RC_GSLFMS (2)'!K12</f>
        <v>24.451210148016248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'[2]MetEd RC_GSLFMS (2)'!G13</f>
        <v>23.564609487867855</v>
      </c>
      <c r="H13" s="163">
        <f>'[2]MetEd RC_GSLFMS (2)'!H13</f>
        <v>23.805643673958585</v>
      </c>
      <c r="I13" s="163">
        <f>'[2]MetEd RC_GSLFMS (2)'!I13</f>
        <v>24.21037994269513</v>
      </c>
      <c r="J13" s="163">
        <f>'[2]MetEd RC_GSLFMS (2)'!J13</f>
        <v>24.936750669757064</v>
      </c>
      <c r="K13" s="163">
        <f>'[2]MetEd RC_GSLFMS (2)'!K13</f>
        <v>24.21256293245483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'[2]MetEd RC_GSLFMS (2)'!G14</f>
        <v>22.242781038642647</v>
      </c>
      <c r="H14" s="163">
        <f>'[2]MetEd RC_GSLFMS (2)'!H14</f>
        <v>23.134021138155791</v>
      </c>
      <c r="I14" s="163">
        <f>'[2]MetEd RC_GSLFMS (2)'!I14</f>
        <v>23.891364280913137</v>
      </c>
      <c r="J14" s="163">
        <f>'[2]MetEd RC_GSLFMS (2)'!J14</f>
        <v>24.733006606904674</v>
      </c>
      <c r="K14" s="163">
        <f>'[2]MetEd RC_GSLFMS (2)'!K14</f>
        <v>23.961346002295574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'[2]MetEd RC_GSLFMS (2)'!G15</f>
        <v>22.707142813417949</v>
      </c>
      <c r="H15" s="163">
        <f>'[2]MetEd RC_GSLFMS (2)'!H15</f>
        <v>23.418723175798696</v>
      </c>
      <c r="I15" s="163">
        <f>'[2]MetEd RC_GSLFMS (2)'!I15</f>
        <v>24.230641716783449</v>
      </c>
      <c r="J15" s="163">
        <f>'[2]MetEd RC_GSLFMS (2)'!J15</f>
        <v>24.695652821109491</v>
      </c>
      <c r="K15" s="163">
        <f>'[2]MetEd RC_GSLFMS (2)'!K15</f>
        <v>23.957248978680603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'[2]MetEd RC_GSLFMS (2)'!G16</f>
        <v>22.632713621953563</v>
      </c>
      <c r="H16" s="163">
        <f>'[2]MetEd RC_GSLFMS (2)'!H16</f>
        <v>23.670022037456434</v>
      </c>
      <c r="I16" s="163">
        <f>'[2]MetEd RC_GSLFMS (2)'!I16</f>
        <v>24.403679288371706</v>
      </c>
      <c r="J16" s="163">
        <f>'[2]MetEd RC_GSLFMS (2)'!J16</f>
        <v>24.687538113664708</v>
      </c>
      <c r="K16" s="163">
        <f>'[2]MetEd RC_GSLFMS (2)'!K16</f>
        <v>23.979277496865947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'[2]MetEd RC_GSLFMS (2)'!G17</f>
        <v>22.708474197606083</v>
      </c>
      <c r="H17" s="163">
        <f>'[2]MetEd RC_GSLFMS (2)'!H17</f>
        <v>23.952895097651719</v>
      </c>
      <c r="I17" s="163">
        <f>'[2]MetEd RC_GSLFMS (2)'!I17</f>
        <v>24.621001241964596</v>
      </c>
      <c r="J17" s="163">
        <f>'[2]MetEd RC_GSLFMS (2)'!J17</f>
        <v>24.657852637626668</v>
      </c>
      <c r="K17" s="163">
        <f>'[2]MetEd RC_GSLFMS (2)'!K17</f>
        <v>23.986976226853667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'[2]MetEd RC_GSLFMS (2)'!G18</f>
        <v>23.079427239610347</v>
      </c>
      <c r="H18" s="163">
        <f>'[2]MetEd RC_GSLFMS (2)'!H18</f>
        <v>24.252137098816483</v>
      </c>
      <c r="I18" s="163">
        <f>'[2]MetEd RC_GSLFMS (2)'!I18</f>
        <v>24.921119324405385</v>
      </c>
      <c r="J18" s="163">
        <f>'[2]MetEd RC_GSLFMS (2)'!J18</f>
        <v>24.643298618547249</v>
      </c>
      <c r="K18" s="163">
        <f>'[2]MetEd RC_GSLFMS (2)'!K18</f>
        <v>24.003001617401431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'[2]MetEd RC_GSLFMS (2)'!G19</f>
        <v>24.076805051708266</v>
      </c>
      <c r="H19" s="163">
        <f>'[2]MetEd RC_GSLFMS (2)'!H19</f>
        <v>24.552250255678668</v>
      </c>
      <c r="I19" s="163">
        <f>'[2]MetEd RC_GSLFMS (2)'!I19</f>
        <v>25.430009312240792</v>
      </c>
      <c r="J19" s="163">
        <f>'[2]MetEd RC_GSLFMS (2)'!J19</f>
        <v>24.629012133895742</v>
      </c>
      <c r="K19" s="163">
        <f>'[2]MetEd RC_GSLFMS (2)'!K19</f>
        <v>23.997863448888737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'[2]MetEd RC_GSLFMS (2)'!G20</f>
        <v>24.11921437390912</v>
      </c>
      <c r="H20" s="163">
        <f>'[2]MetEd RC_GSLFMS (2)'!H20</f>
        <v>24.754621220011273</v>
      </c>
      <c r="I20" s="163">
        <f>'[2]MetEd RC_GSLFMS (2)'!I20</f>
        <v>25.61591731215433</v>
      </c>
      <c r="J20" s="163">
        <f>'[2]MetEd RC_GSLFMS (2)'!J20</f>
        <v>24.566029771865445</v>
      </c>
      <c r="K20" s="163">
        <f>'[2]MetEd RC_GSLFMS (2)'!K20</f>
        <v>23.960775242835886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rgb="FF00B0F0"/>
  </sheetPr>
  <dimension ref="A1:BJ43"/>
  <sheetViews>
    <sheetView zoomScale="85" zoomScaleNormal="85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661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181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72.66</v>
      </c>
      <c r="H7" s="157">
        <v>71.41</v>
      </c>
      <c r="I7" s="157">
        <v>71.33</v>
      </c>
      <c r="J7" s="157">
        <v>69.67</v>
      </c>
      <c r="K7" s="157">
        <v>70.14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'[2]MetEd RC_GSSFMS (2)'!G8</f>
        <v>31.258151461307513</v>
      </c>
      <c r="H8" s="163">
        <f>'[2]MetEd RC_GSSFMS (2)'!H8</f>
        <v>26.308573865370565</v>
      </c>
      <c r="I8" s="163">
        <f>'[2]MetEd RC_GSSFMS (2)'!I8</f>
        <v>25.541999274847274</v>
      </c>
      <c r="J8" s="163">
        <f>'[2]MetEd RC_GSSFMS (2)'!J8</f>
        <v>25.288456422719825</v>
      </c>
      <c r="K8" s="163">
        <f>'[2]MetEd RC_GSSFMS (2)'!K8</f>
        <v>24.856814891018061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'[2]MetEd RC_GSSFMS (2)'!G9</f>
        <v>29.844578082372426</v>
      </c>
      <c r="H9" s="163">
        <f>'[2]MetEd RC_GSSFMS (2)'!H9</f>
        <v>25.683885884355711</v>
      </c>
      <c r="I9" s="163">
        <f>'[2]MetEd RC_GSSFMS (2)'!I9</f>
        <v>25.235471476505658</v>
      </c>
      <c r="J9" s="163">
        <f>'[2]MetEd RC_GSSFMS (2)'!J9</f>
        <v>25.088713060351399</v>
      </c>
      <c r="K9" s="163">
        <f>'[2]MetEd RC_GSSFMS (2)'!K9</f>
        <v>24.636257445209054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'[2]MetEd RC_GSSFMS (2)'!G10</f>
        <v>29.182530918563536</v>
      </c>
      <c r="H10" s="163">
        <f>'[2]MetEd RC_GSSFMS (2)'!H10</f>
        <v>25.135246274662688</v>
      </c>
      <c r="I10" s="163">
        <f>'[2]MetEd RC_GSSFMS (2)'!I10</f>
        <v>25.169346601848599</v>
      </c>
      <c r="J10" s="163">
        <f>'[2]MetEd RC_GSSFMS (2)'!J10</f>
        <v>24.928590296472557</v>
      </c>
      <c r="K10" s="163">
        <f>'[2]MetEd RC_GSSFMS (2)'!K10</f>
        <v>24.436010195112928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'[2]MetEd RC_GSSFMS (2)'!G11</f>
        <v>28.161137771307033</v>
      </c>
      <c r="H11" s="163">
        <f>'[2]MetEd RC_GSSFMS (2)'!H11</f>
        <v>24.584967066549879</v>
      </c>
      <c r="I11" s="163">
        <f>'[2]MetEd RC_GSSFMS (2)'!I11</f>
        <v>25.041831808287991</v>
      </c>
      <c r="J11" s="163">
        <f>'[2]MetEd RC_GSSFMS (2)'!J11</f>
        <v>24.760673244615134</v>
      </c>
      <c r="K11" s="163">
        <f>'[2]MetEd RC_GSSFMS (2)'!K11</f>
        <v>24.242258311961315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'[2]MetEd RC_GSSFMS (2)'!G12</f>
        <v>26.049054503872998</v>
      </c>
      <c r="H12" s="163">
        <f>'[2]MetEd RC_GSSFMS (2)'!H12</f>
        <v>23.989945665144859</v>
      </c>
      <c r="I12" s="163">
        <f>'[2]MetEd RC_GSSFMS (2)'!I12</f>
        <v>24.576104730877933</v>
      </c>
      <c r="J12" s="163">
        <f>'[2]MetEd RC_GSSFMS (2)'!J12</f>
        <v>24.580077606494861</v>
      </c>
      <c r="K12" s="163">
        <f>'[2]MetEd RC_GSSFMS (2)'!K12</f>
        <v>24.029657411670435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'[2]MetEd RC_GSSFMS (2)'!G13</f>
        <v>23.459529909706546</v>
      </c>
      <c r="H13" s="163">
        <f>'[2]MetEd RC_GSSFMS (2)'!H13</f>
        <v>23.419573148443842</v>
      </c>
      <c r="I13" s="163">
        <f>'[2]MetEd RC_GSSFMS (2)'!I13</f>
        <v>23.893842700840668</v>
      </c>
      <c r="J13" s="163">
        <f>'[2]MetEd RC_GSSFMS (2)'!J13</f>
        <v>24.404134827288672</v>
      </c>
      <c r="K13" s="163">
        <f>'[2]MetEd RC_GSSFMS (2)'!K13</f>
        <v>23.826871886290107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'[2]MetEd RC_GSSFMS (2)'!G14</f>
        <v>21.86744530737457</v>
      </c>
      <c r="H14" s="163">
        <f>'[2]MetEd RC_GSSFMS (2)'!H14</f>
        <v>22.846501920402499</v>
      </c>
      <c r="I14" s="163">
        <f>'[2]MetEd RC_GSSFMS (2)'!I14</f>
        <v>23.442358391418477</v>
      </c>
      <c r="J14" s="163">
        <f>'[2]MetEd RC_GSSFMS (2)'!J14</f>
        <v>24.233947455801726</v>
      </c>
      <c r="K14" s="163">
        <f>'[2]MetEd RC_GSSFMS (2)'!K14</f>
        <v>23.619882877131143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'[2]MetEd RC_GSSFMS (2)'!G15</f>
        <v>22.018606254447239</v>
      </c>
      <c r="H15" s="163">
        <f>'[2]MetEd RC_GSSFMS (2)'!H15</f>
        <v>23.07847842270515</v>
      </c>
      <c r="I15" s="163">
        <f>'[2]MetEd RC_GSSFMS (2)'!I15</f>
        <v>23.635714381043513</v>
      </c>
      <c r="J15" s="163">
        <f>'[2]MetEd RC_GSSFMS (2)'!J15</f>
        <v>24.200153661741982</v>
      </c>
      <c r="K15" s="163">
        <f>'[2]MetEd RC_GSSFMS (2)'!K15</f>
        <v>23.615761917149197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'[2]MetEd RC_GSSFMS (2)'!G16</f>
        <v>21.592612451863221</v>
      </c>
      <c r="H16" s="163">
        <f>'[2]MetEd RC_GSSFMS (2)'!H16</f>
        <v>23.299466857012956</v>
      </c>
      <c r="I16" s="163">
        <f>'[2]MetEd RC_GSSFMS (2)'!I16</f>
        <v>23.634366193993806</v>
      </c>
      <c r="J16" s="163">
        <f>'[2]MetEd RC_GSSFMS (2)'!J16</f>
        <v>24.199534784706927</v>
      </c>
      <c r="K16" s="163">
        <f>'[2]MetEd RC_GSSFMS (2)'!K16</f>
        <v>23.637240408155396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'[2]MetEd RC_GSSFMS (2)'!G17</f>
        <v>21.357086574286505</v>
      </c>
      <c r="H17" s="163">
        <f>'[2]MetEd RC_GSSFMS (2)'!H17</f>
        <v>23.561472705586269</v>
      </c>
      <c r="I17" s="163">
        <f>'[2]MetEd RC_GSSFMS (2)'!I17</f>
        <v>23.705628458877058</v>
      </c>
      <c r="J17" s="163">
        <f>'[2]MetEd RC_GSSFMS (2)'!J17</f>
        <v>24.190459347752782</v>
      </c>
      <c r="K17" s="163">
        <f>'[2]MetEd RC_GSSFMS (2)'!K17</f>
        <v>23.654657084743143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'[2]MetEd RC_GSSFMS (2)'!G18</f>
        <v>21.999734100939449</v>
      </c>
      <c r="H18" s="163">
        <f>'[2]MetEd RC_GSSFMS (2)'!H18</f>
        <v>23.850648423350883</v>
      </c>
      <c r="I18" s="163">
        <f>'[2]MetEd RC_GSSFMS (2)'!I18</f>
        <v>24.101607269499027</v>
      </c>
      <c r="J18" s="163">
        <f>'[2]MetEd RC_GSSFMS (2)'!J18</f>
        <v>24.195345304452669</v>
      </c>
      <c r="K18" s="163">
        <f>'[2]MetEd RC_GSSFMS (2)'!K18</f>
        <v>23.677702250172505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'[2]MetEd RC_GSSFMS (2)'!G19</f>
        <v>23.377761115879153</v>
      </c>
      <c r="H19" s="163">
        <f>'[2]MetEd RC_GSSFMS (2)'!H19</f>
        <v>24.11645210556561</v>
      </c>
      <c r="I19" s="163">
        <f>'[2]MetEd RC_GSSFMS (2)'!I19</f>
        <v>24.728620088476248</v>
      </c>
      <c r="J19" s="163">
        <f>'[2]MetEd RC_GSSFMS (2)'!J19</f>
        <v>24.186194686259292</v>
      </c>
      <c r="K19" s="163">
        <f>'[2]MetEd RC_GSSFMS (2)'!K19</f>
        <v>23.674814484976057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'[2]MetEd RC_GSSFMS (2)'!G20</f>
        <v>23.930984820496999</v>
      </c>
      <c r="H20" s="163">
        <f>'[2]MetEd RC_GSSFMS (2)'!H20</f>
        <v>24.270606078128644</v>
      </c>
      <c r="I20" s="163">
        <f>'[2]MetEd RC_GSSFMS (2)'!I20</f>
        <v>25.076691535015815</v>
      </c>
      <c r="J20" s="163">
        <f>'[2]MetEd RC_GSSFMS (2)'!J20</f>
        <v>24.13323686777218</v>
      </c>
      <c r="K20" s="163">
        <f>'[2]MetEd RC_GSSFMS (2)'!K20</f>
        <v>23.643488590517791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13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183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78.33</v>
      </c>
      <c r="H7" s="157">
        <v>79.849999999999994</v>
      </c>
      <c r="I7" s="157">
        <v>78.61</v>
      </c>
      <c r="J7" s="157">
        <v>77.069999999999993</v>
      </c>
      <c r="K7" s="157">
        <v>77.069999999999993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'[2]PECO LP_GSMS (2)'!G8</f>
        <v>38.483367370887315</v>
      </c>
      <c r="H8" s="163">
        <f>'[2]PECO LP_GSMS (2)'!H8</f>
        <v>31.977471670286409</v>
      </c>
      <c r="I8" s="163">
        <f>'[2]PECO LP_GSMS (2)'!I8</f>
        <v>30.777801071151064</v>
      </c>
      <c r="J8" s="163">
        <f>'[2]PECO LP_GSMS (2)'!J8</f>
        <v>30.298706556467511</v>
      </c>
      <c r="K8" s="163">
        <f>'[2]PECO LP_GSMS (2)'!K8</f>
        <v>29.587248604904733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'[2]PECO LP_GSMS (2)'!G9</f>
        <v>35.903998296144536</v>
      </c>
      <c r="H9" s="163">
        <f>'[2]PECO LP_GSMS (2)'!H9</f>
        <v>31.139864494740848</v>
      </c>
      <c r="I9" s="163">
        <f>'[2]PECO LP_GSMS (2)'!I9</f>
        <v>30.191196682624369</v>
      </c>
      <c r="J9" s="163">
        <f>'[2]PECO LP_GSMS (2)'!J9</f>
        <v>29.99784417959242</v>
      </c>
      <c r="K9" s="163">
        <f>'[2]PECO LP_GSMS (2)'!K9</f>
        <v>29.285573092474785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'[2]PECO LP_GSMS (2)'!G10</f>
        <v>33.084843907753381</v>
      </c>
      <c r="H10" s="163">
        <f>'[2]PECO LP_GSMS (2)'!H10</f>
        <v>30.306586903599133</v>
      </c>
      <c r="I10" s="163">
        <f>'[2]PECO LP_GSMS (2)'!I10</f>
        <v>29.488101807756298</v>
      </c>
      <c r="J10" s="163">
        <f>'[2]PECO LP_GSMS (2)'!J10</f>
        <v>29.714381177990504</v>
      </c>
      <c r="K10" s="163">
        <f>'[2]PECO LP_GSMS (2)'!K10</f>
        <v>28.988034232638839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'[2]PECO LP_GSMS (2)'!G11</f>
        <v>30.97517229092534</v>
      </c>
      <c r="H11" s="163">
        <f>'[2]PECO LP_GSMS (2)'!H11</f>
        <v>29.557671405217498</v>
      </c>
      <c r="I11" s="163">
        <f>'[2]PECO LP_GSMS (2)'!I11</f>
        <v>28.987687569093524</v>
      </c>
      <c r="J11" s="163">
        <f>'[2]PECO LP_GSMS (2)'!J11</f>
        <v>29.45798741087091</v>
      </c>
      <c r="K11" s="163">
        <f>'[2]PECO LP_GSMS (2)'!K11</f>
        <v>28.719240411767913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'[2]PECO LP_GSMS (2)'!G12</f>
        <v>29.04496011776336</v>
      </c>
      <c r="H12" s="163">
        <f>'[2]PECO LP_GSMS (2)'!H12</f>
        <v>28.708766687705957</v>
      </c>
      <c r="I12" s="163">
        <f>'[2]PECO LP_GSMS (2)'!I12</f>
        <v>28.442802879396485</v>
      </c>
      <c r="J12" s="163">
        <f>'[2]PECO LP_GSMS (2)'!J12</f>
        <v>29.155757880254452</v>
      </c>
      <c r="K12" s="163">
        <f>'[2]PECO LP_GSMS (2)'!K12</f>
        <v>28.409611440881239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'[2]PECO LP_GSMS (2)'!G13</f>
        <v>27.532556505688298</v>
      </c>
      <c r="H13" s="163">
        <f>'[2]PECO LP_GSMS (2)'!H13</f>
        <v>27.914583270693985</v>
      </c>
      <c r="I13" s="163">
        <f>'[2]PECO LP_GSMS (2)'!I13</f>
        <v>28.073489108642182</v>
      </c>
      <c r="J13" s="163">
        <f>'[2]PECO LP_GSMS (2)'!J13</f>
        <v>28.891244762933624</v>
      </c>
      <c r="K13" s="163">
        <f>'[2]PECO LP_GSMS (2)'!K13</f>
        <v>28.121954973299346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'[2]PECO LP_GSMS (2)'!G14</f>
        <v>26.177190351245851</v>
      </c>
      <c r="H14" s="163">
        <f>'[2]PECO LP_GSMS (2)'!H14</f>
        <v>27.138649278257482</v>
      </c>
      <c r="I14" s="163">
        <f>'[2]PECO LP_GSMS (2)'!I14</f>
        <v>27.776597053281868</v>
      </c>
      <c r="J14" s="163">
        <f>'[2]PECO LP_GSMS (2)'!J14</f>
        <v>28.619118068211041</v>
      </c>
      <c r="K14" s="163">
        <f>'[2]PECO LP_GSMS (2)'!K14</f>
        <v>27.818746990368023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'[2]PECO LP_GSMS (2)'!G15</f>
        <v>26.699531078839492</v>
      </c>
      <c r="H15" s="163">
        <f>'[2]PECO LP_GSMS (2)'!H15</f>
        <v>27.424028465758461</v>
      </c>
      <c r="I15" s="163">
        <f>'[2]PECO LP_GSMS (2)'!I15</f>
        <v>28.12237990920466</v>
      </c>
      <c r="J15" s="163">
        <f>'[2]PECO LP_GSMS (2)'!J15</f>
        <v>28.599115613672154</v>
      </c>
      <c r="K15" s="163">
        <f>'[2]PECO LP_GSMS (2)'!K15</f>
        <v>27.831130435478766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'[2]PECO LP_GSMS (2)'!G16</f>
        <v>27.485993854392081</v>
      </c>
      <c r="H16" s="163">
        <f>'[2]PECO LP_GSMS (2)'!H16</f>
        <v>27.671274375803655</v>
      </c>
      <c r="I16" s="163">
        <f>'[2]PECO LP_GSMS (2)'!I16</f>
        <v>28.580164702183975</v>
      </c>
      <c r="J16" s="163">
        <f>'[2]PECO LP_GSMS (2)'!J16</f>
        <v>28.557532820261123</v>
      </c>
      <c r="K16" s="163">
        <f>'[2]PECO LP_GSMS (2)'!K16</f>
        <v>27.835829380763784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'[2]PECO LP_GSMS (2)'!G17</f>
        <v>27.965443438254518</v>
      </c>
      <c r="H17" s="163">
        <f>'[2]PECO LP_GSMS (2)'!H17</f>
        <v>27.933755989683391</v>
      </c>
      <c r="I17" s="163">
        <f>'[2]PECO LP_GSMS (2)'!I17</f>
        <v>28.913665356275931</v>
      </c>
      <c r="J17" s="163">
        <f>'[2]PECO LP_GSMS (2)'!J17</f>
        <v>28.521235838588819</v>
      </c>
      <c r="K17" s="163">
        <f>'[2]PECO LP_GSMS (2)'!K17</f>
        <v>27.841320155839181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'[2]PECO LP_GSMS (2)'!G18</f>
        <v>28.322689210206288</v>
      </c>
      <c r="H18" s="163">
        <f>'[2]PECO LP_GSMS (2)'!H18</f>
        <v>28.120849862603592</v>
      </c>
      <c r="I18" s="163">
        <f>'[2]PECO LP_GSMS (2)'!I18</f>
        <v>29.196090361338261</v>
      </c>
      <c r="J18" s="163">
        <f>'[2]PECO LP_GSMS (2)'!J18</f>
        <v>28.461452096915568</v>
      </c>
      <c r="K18" s="163">
        <f>'[2]PECO LP_GSMS (2)'!K18</f>
        <v>27.835197195032457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'[2]PECO LP_GSMS (2)'!G19</f>
        <v>28.358805574420469</v>
      </c>
      <c r="H19" s="163">
        <f>'[2]PECO LP_GSMS (2)'!H19</f>
        <v>28.364206931992889</v>
      </c>
      <c r="I19" s="163">
        <f>'[2]PECO LP_GSMS (2)'!I19</f>
        <v>29.389945819522961</v>
      </c>
      <c r="J19" s="163">
        <f>'[2]PECO LP_GSMS (2)'!J19</f>
        <v>28.433371689475521</v>
      </c>
      <c r="K19" s="163">
        <f>'[2]PECO LP_GSMS (2)'!K19</f>
        <v>27.831348583192373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'[2]PECO LP_GSMS (2)'!G20</f>
        <v>28.221668270338174</v>
      </c>
      <c r="H20" s="163">
        <f>'[2]PECO LP_GSMS (2)'!H20</f>
        <v>28.621412857869281</v>
      </c>
      <c r="I20" s="163">
        <f>'[2]PECO LP_GSMS (2)'!I20</f>
        <v>29.494637054737577</v>
      </c>
      <c r="J20" s="163">
        <f>'[2]PECO LP_GSMS (2)'!J20</f>
        <v>28.394933431748594</v>
      </c>
      <c r="K20" s="163">
        <f>'[2]PECO LP_GSMS (2)'!K20</f>
        <v>27.820290411019059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185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67.209999999999994</v>
      </c>
      <c r="H7" s="157">
        <v>67.48</v>
      </c>
      <c r="I7" s="157">
        <v>67.09</v>
      </c>
      <c r="J7" s="157">
        <v>65.819999999999993</v>
      </c>
      <c r="K7" s="157">
        <v>66.17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'[2]Penelec RC_GSLFMS (2)'!G8</f>
        <v>27.592697143973695</v>
      </c>
      <c r="H8" s="163">
        <f>'[2]Penelec RC_GSLFMS (2)'!H8</f>
        <v>23.777583519015199</v>
      </c>
      <c r="I8" s="163">
        <f>'[2]Penelec RC_GSLFMS (2)'!I8</f>
        <v>22.77617275033651</v>
      </c>
      <c r="J8" s="163">
        <f>'[2]Penelec RC_GSLFMS (2)'!J8</f>
        <v>22.742596774405353</v>
      </c>
      <c r="K8" s="163">
        <f>'[2]Penelec RC_GSLFMS (2)'!K8</f>
        <v>22.320291965100591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'[2]Penelec RC_GSLFMS (2)'!G9</f>
        <v>26.392936308769286</v>
      </c>
      <c r="H9" s="163">
        <f>'[2]Penelec RC_GSLFMS (2)'!H9</f>
        <v>23.162126471712195</v>
      </c>
      <c r="I9" s="163">
        <f>'[2]Penelec RC_GSLFMS (2)'!I9</f>
        <v>22.511943898368166</v>
      </c>
      <c r="J9" s="163">
        <f>'[2]Penelec RC_GSLFMS (2)'!J9</f>
        <v>22.55985040457319</v>
      </c>
      <c r="K9" s="163">
        <f>'[2]Penelec RC_GSLFMS (2)'!K9</f>
        <v>22.107446357693895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'[2]Penelec RC_GSLFMS (2)'!G10</f>
        <v>25.434254885615843</v>
      </c>
      <c r="H10" s="163">
        <f>'[2]Penelec RC_GSLFMS (2)'!H10</f>
        <v>22.610037564118773</v>
      </c>
      <c r="I10" s="163">
        <f>'[2]Penelec RC_GSLFMS (2)'!I10</f>
        <v>22.355617290056358</v>
      </c>
      <c r="J10" s="163">
        <f>'[2]Penelec RC_GSLFMS (2)'!J10</f>
        <v>22.407732573979587</v>
      </c>
      <c r="K10" s="163">
        <f>'[2]Penelec RC_GSLFMS (2)'!K10</f>
        <v>21.911071944099671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'[2]Penelec RC_GSLFMS (2)'!G11</f>
        <v>24.189855915613236</v>
      </c>
      <c r="H11" s="163">
        <f>'[2]Penelec RC_GSLFMS (2)'!H11</f>
        <v>22.07127754726049</v>
      </c>
      <c r="I11" s="163">
        <f>'[2]Penelec RC_GSLFMS (2)'!I11</f>
        <v>22.110481567695469</v>
      </c>
      <c r="J11" s="163">
        <f>'[2]Penelec RC_GSLFMS (2)'!J11</f>
        <v>22.250550497901976</v>
      </c>
      <c r="K11" s="163">
        <f>'[2]Penelec RC_GSLFMS (2)'!K11</f>
        <v>21.722239750134868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'[2]Penelec RC_GSLFMS (2)'!G12</f>
        <v>22.851567031477671</v>
      </c>
      <c r="H12" s="163">
        <f>'[2]Penelec RC_GSLFMS (2)'!H12</f>
        <v>21.524074449170929</v>
      </c>
      <c r="I12" s="163">
        <f>'[2]Penelec RC_GSLFMS (2)'!I12</f>
        <v>21.83814378684276</v>
      </c>
      <c r="J12" s="163">
        <f>'[2]Penelec RC_GSLFMS (2)'!J12</f>
        <v>22.085077507417481</v>
      </c>
      <c r="K12" s="163">
        <f>'[2]Penelec RC_GSLFMS (2)'!K12</f>
        <v>21.516522153801308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'[2]Penelec RC_GSLFMS (2)'!G13</f>
        <v>21.26214894560237</v>
      </c>
      <c r="H13" s="163">
        <f>'[2]Penelec RC_GSLFMS (2)'!H13</f>
        <v>20.950418841210595</v>
      </c>
      <c r="I13" s="163">
        <f>'[2]Penelec RC_GSLFMS (2)'!I13</f>
        <v>21.448249410378111</v>
      </c>
      <c r="J13" s="163">
        <f>'[2]Penelec RC_GSLFMS (2)'!J13</f>
        <v>21.918180270073996</v>
      </c>
      <c r="K13" s="163">
        <f>'[2]Penelec RC_GSLFMS (2)'!K13</f>
        <v>21.321781496857877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'[2]Penelec RC_GSLFMS (2)'!G14</f>
        <v>20.043637415122113</v>
      </c>
      <c r="H14" s="163">
        <f>'[2]Penelec RC_GSLFMS (2)'!H14</f>
        <v>20.393781194670993</v>
      </c>
      <c r="I14" s="163">
        <f>'[2]Penelec RC_GSLFMS (2)'!I14</f>
        <v>21.151070577651065</v>
      </c>
      <c r="J14" s="163">
        <f>'[2]Penelec RC_GSLFMS (2)'!J14</f>
        <v>21.754921380747572</v>
      </c>
      <c r="K14" s="163">
        <f>'[2]Penelec RC_GSLFMS (2)'!K14</f>
        <v>21.117519996265898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'[2]Penelec RC_GSLFMS (2)'!G15</f>
        <v>19.998294259708256</v>
      </c>
      <c r="H15" s="163">
        <f>'[2]Penelec RC_GSLFMS (2)'!H15</f>
        <v>20.589838298144755</v>
      </c>
      <c r="I15" s="163">
        <f>'[2]Penelec RC_GSLFMS (2)'!I15</f>
        <v>21.300930846885915</v>
      </c>
      <c r="J15" s="163">
        <f>'[2]Penelec RC_GSLFMS (2)'!J15</f>
        <v>21.707459022655534</v>
      </c>
      <c r="K15" s="163">
        <f>'[2]Penelec RC_GSLFMS (2)'!K15</f>
        <v>21.113227972936226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'[2]Penelec RC_GSLFMS (2)'!G16</f>
        <v>19.799549450041162</v>
      </c>
      <c r="H16" s="163">
        <f>'[2]Penelec RC_GSLFMS (2)'!H16</f>
        <v>20.820852102803627</v>
      </c>
      <c r="I16" s="163">
        <f>'[2]Penelec RC_GSLFMS (2)'!I16</f>
        <v>21.40279249353372</v>
      </c>
      <c r="J16" s="163">
        <f>'[2]Penelec RC_GSLFMS (2)'!J16</f>
        <v>21.707369931306523</v>
      </c>
      <c r="K16" s="163">
        <f>'[2]Penelec RC_GSLFMS (2)'!K16</f>
        <v>21.135920190309093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'[2]Penelec RC_GSLFMS (2)'!G17</f>
        <v>19.878988736342581</v>
      </c>
      <c r="H17" s="163">
        <f>'[2]Penelec RC_GSLFMS (2)'!H17</f>
        <v>21.053764949848699</v>
      </c>
      <c r="I17" s="163">
        <f>'[2]Penelec RC_GSLFMS (2)'!I17</f>
        <v>21.590925293222504</v>
      </c>
      <c r="J17" s="163">
        <f>'[2]Penelec RC_GSLFMS (2)'!J17</f>
        <v>21.680701054925027</v>
      </c>
      <c r="K17" s="163">
        <f>'[2]Penelec RC_GSLFMS (2)'!K17</f>
        <v>21.139208643706596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'[2]Penelec RC_GSLFMS (2)'!G18</f>
        <v>20.157757084560462</v>
      </c>
      <c r="H18" s="163">
        <f>'[2]Penelec RC_GSLFMS (2)'!H18</f>
        <v>21.324286864228824</v>
      </c>
      <c r="I18" s="163">
        <f>'[2]Penelec RC_GSLFMS (2)'!I18</f>
        <v>21.825156246675373</v>
      </c>
      <c r="J18" s="163">
        <f>'[2]Penelec RC_GSLFMS (2)'!J18</f>
        <v>21.675070822810067</v>
      </c>
      <c r="K18" s="163">
        <f>'[2]Penelec RC_GSLFMS (2)'!K18</f>
        <v>21.155957718518973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'[2]Penelec RC_GSLFMS (2)'!G19</f>
        <v>20.624427803597392</v>
      </c>
      <c r="H19" s="163">
        <f>'[2]Penelec RC_GSLFMS (2)'!H19</f>
        <v>21.543396018853617</v>
      </c>
      <c r="I19" s="163">
        <f>'[2]Penelec RC_GSLFMS (2)'!I19</f>
        <v>22.143062715726302</v>
      </c>
      <c r="J19" s="163">
        <f>'[2]Penelec RC_GSLFMS (2)'!J19</f>
        <v>21.652099914218812</v>
      </c>
      <c r="K19" s="163">
        <f>'[2]Penelec RC_GSLFMS (2)'!K19</f>
        <v>21.153120649389486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'[2]Penelec RC_GSLFMS (2)'!G20</f>
        <v>20.751543290019924</v>
      </c>
      <c r="H20" s="163">
        <f>'[2]Penelec RC_GSLFMS (2)'!H20</f>
        <v>21.709641955792801</v>
      </c>
      <c r="I20" s="163">
        <f>'[2]Penelec RC_GSLFMS (2)'!I20</f>
        <v>22.331518206542516</v>
      </c>
      <c r="J20" s="163">
        <f>'[2]Penelec RC_GSLFMS (2)'!J20</f>
        <v>21.593977174753501</v>
      </c>
      <c r="K20" s="163">
        <f>'[2]Penelec RC_GSLFMS (2)'!K20</f>
        <v>21.165665250245585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J43"/>
  <sheetViews>
    <sheetView zoomScale="85" zoomScaleNormal="85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190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67.19</v>
      </c>
      <c r="H7" s="157">
        <v>63.75</v>
      </c>
      <c r="I7" s="157">
        <v>64.52</v>
      </c>
      <c r="J7" s="157">
        <v>62.56</v>
      </c>
      <c r="K7" s="157">
        <v>63.11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'[2]Penelec RC_GSSFMS (2)'!G8</f>
        <v>23.166793631431965</v>
      </c>
      <c r="H8" s="163">
        <f>'[2]Penelec RC_GSSFMS (2)'!H8</f>
        <v>21.934210901344038</v>
      </c>
      <c r="I8" s="163">
        <f>'[2]Penelec RC_GSSFMS (2)'!I8</f>
        <v>20.560211871241272</v>
      </c>
      <c r="J8" s="163">
        <f>'[2]Penelec RC_GSSFMS (2)'!J8</f>
        <v>21.091183147069412</v>
      </c>
      <c r="K8" s="163">
        <f>'[2]Penelec RC_GSSFMS (2)'!K8</f>
        <v>20.752206759755452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'[2]Penelec RC_GSSFMS (2)'!G9</f>
        <v>23.613452801097669</v>
      </c>
      <c r="H9" s="163">
        <f>'[2]Penelec RC_GSSFMS (2)'!H9</f>
        <v>21.447380925532538</v>
      </c>
      <c r="I9" s="163">
        <f>'[2]Penelec RC_GSSFMS (2)'!I9</f>
        <v>20.734305431480617</v>
      </c>
      <c r="J9" s="163">
        <f>'[2]Penelec RC_GSSFMS (2)'!J9</f>
        <v>20.943446866929751</v>
      </c>
      <c r="K9" s="163">
        <f>'[2]Penelec RC_GSSFMS (2)'!K9</f>
        <v>20.575523145916382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'[2]Penelec RC_GSSFMS (2)'!G10</f>
        <v>24.508620033535895</v>
      </c>
      <c r="H10" s="163">
        <f>'[2]Penelec RC_GSSFMS (2)'!H10</f>
        <v>20.995386498229191</v>
      </c>
      <c r="I10" s="163">
        <f>'[2]Penelec RC_GSSFMS (2)'!I10</f>
        <v>21.032219642439664</v>
      </c>
      <c r="J10" s="163">
        <f>'[2]Penelec RC_GSSFMS (2)'!J10</f>
        <v>20.818807999601201</v>
      </c>
      <c r="K10" s="163">
        <f>'[2]Penelec RC_GSSFMS (2)'!K10</f>
        <v>20.42174428989685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'[2]Penelec RC_GSSFMS (2)'!G11</f>
        <v>25.085433482154603</v>
      </c>
      <c r="H11" s="163">
        <f>'[2]Penelec RC_GSSFMS (2)'!H11</f>
        <v>20.545153873241993</v>
      </c>
      <c r="I11" s="163">
        <f>'[2]Penelec RC_GSSFMS (2)'!I11</f>
        <v>21.220141873437981</v>
      </c>
      <c r="J11" s="163">
        <f>'[2]Penelec RC_GSSFMS (2)'!J11</f>
        <v>20.685804433972759</v>
      </c>
      <c r="K11" s="163">
        <f>'[2]Penelec RC_GSSFMS (2)'!K11</f>
        <v>20.27291323830983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'[2]Penelec RC_GSSFMS (2)'!G12</f>
        <v>24.209944516585999</v>
      </c>
      <c r="H12" s="163">
        <f>'[2]Penelec RC_GSSFMS (2)'!H12</f>
        <v>20.075740709322261</v>
      </c>
      <c r="I12" s="163">
        <f>'[2]Penelec RC_GSSFMS (2)'!I12</f>
        <v>21.104849777887718</v>
      </c>
      <c r="J12" s="163">
        <f>'[2]Penelec RC_GSSFMS (2)'!J12</f>
        <v>20.552255146833822</v>
      </c>
      <c r="K12" s="163">
        <f>'[2]Penelec RC_GSSFMS (2)'!K12</f>
        <v>20.110311770591203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'[2]Penelec RC_GSSFMS (2)'!G13</f>
        <v>22.534145551464778</v>
      </c>
      <c r="H13" s="163">
        <f>'[2]Penelec RC_GSSFMS (2)'!H13</f>
        <v>19.587156709894288</v>
      </c>
      <c r="I13" s="163">
        <f>'[2]Penelec RC_GSSFMS (2)'!I13</f>
        <v>20.789254568794796</v>
      </c>
      <c r="J13" s="163">
        <f>'[2]Penelec RC_GSSFMS (2)'!J13</f>
        <v>20.395320528484067</v>
      </c>
      <c r="K13" s="163">
        <f>'[2]Penelec RC_GSSFMS (2)'!K13</f>
        <v>19.941179779238023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'[2]Penelec RC_GSSFMS (2)'!G14</f>
        <v>20.32490637206417</v>
      </c>
      <c r="H14" s="163">
        <f>'[2]Penelec RC_GSSFMS (2)'!H14</f>
        <v>19.100910198580284</v>
      </c>
      <c r="I14" s="163">
        <f>'[2]Penelec RC_GSSFMS (2)'!I14</f>
        <v>20.273468857135995</v>
      </c>
      <c r="J14" s="163">
        <f>'[2]Penelec RC_GSSFMS (2)'!J14</f>
        <v>20.256592628174225</v>
      </c>
      <c r="K14" s="163">
        <f>'[2]Penelec RC_GSSFMS (2)'!K14</f>
        <v>19.775784593734183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'[2]Penelec RC_GSSFMS (2)'!G15</f>
        <v>19.153636356827764</v>
      </c>
      <c r="H15" s="163">
        <f>'[2]Penelec RC_GSSFMS (2)'!H15</f>
        <v>19.269033447614934</v>
      </c>
      <c r="I15" s="163">
        <f>'[2]Penelec RC_GSSFMS (2)'!I15</f>
        <v>20.022717216603215</v>
      </c>
      <c r="J15" s="163">
        <f>'[2]Penelec RC_GSSFMS (2)'!J15</f>
        <v>20.223501729798063</v>
      </c>
      <c r="K15" s="163">
        <f>'[2]Penelec RC_GSSFMS (2)'!K15</f>
        <v>19.77414836464774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'[2]Penelec RC_GSSFMS (2)'!G16</f>
        <v>18.021775430638222</v>
      </c>
      <c r="H16" s="163">
        <f>'[2]Penelec RC_GSSFMS (2)'!H16</f>
        <v>19.455357939139379</v>
      </c>
      <c r="I16" s="163">
        <f>'[2]Penelec RC_GSSFMS (2)'!I16</f>
        <v>19.725063874938606</v>
      </c>
      <c r="J16" s="163">
        <f>'[2]Penelec RC_GSSFMS (2)'!J16</f>
        <v>20.217683578832514</v>
      </c>
      <c r="K16" s="163">
        <f>'[2]Penelec RC_GSSFMS (2)'!K16</f>
        <v>19.788770866536655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'[2]Penelec RC_GSSFMS (2)'!G17</f>
        <v>17.339001653793506</v>
      </c>
      <c r="H17" s="163">
        <f>'[2]Penelec RC_GSSFMS (2)'!H17</f>
        <v>19.636788147940553</v>
      </c>
      <c r="I17" s="163">
        <f>'[2]Penelec RC_GSSFMS (2)'!I17</f>
        <v>19.543281945977228</v>
      </c>
      <c r="J17" s="163">
        <f>'[2]Penelec RC_GSSFMS (2)'!J17</f>
        <v>20.195804992728249</v>
      </c>
      <c r="K17" s="163">
        <f>'[2]Penelec RC_GSSFMS (2)'!K17</f>
        <v>19.790851668985709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'[2]Penelec RC_GSSFMS (2)'!G18</f>
        <v>17.347966770919463</v>
      </c>
      <c r="H18" s="163">
        <f>'[2]Penelec RC_GSSFMS (2)'!H18</f>
        <v>19.874704157657874</v>
      </c>
      <c r="I18" s="163">
        <f>'[2]Penelec RC_GSSFMS (2)'!I18</f>
        <v>19.64461907836106</v>
      </c>
      <c r="J18" s="163">
        <f>'[2]Penelec RC_GSSFMS (2)'!J18</f>
        <v>20.200963355071622</v>
      </c>
      <c r="K18" s="163">
        <f>'[2]Penelec RC_GSSFMS (2)'!K18</f>
        <v>19.80794756641351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'[2]Penelec RC_GSSFMS (2)'!G19</f>
        <v>17.63076089368721</v>
      </c>
      <c r="H19" s="163">
        <f>'[2]Penelec RC_GSSFMS (2)'!H19</f>
        <v>20.091698372853195</v>
      </c>
      <c r="I19" s="163">
        <f>'[2]Penelec RC_GSSFMS (2)'!I19</f>
        <v>19.861959932138777</v>
      </c>
      <c r="J19" s="163">
        <f>'[2]Penelec RC_GSSFMS (2)'!J19</f>
        <v>20.192786319414147</v>
      </c>
      <c r="K19" s="163">
        <f>'[2]Penelec RC_GSSFMS (2)'!K19</f>
        <v>19.811776276542279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'[2]Penelec RC_GSSFMS (2)'!G20</f>
        <v>18.182067793837266</v>
      </c>
      <c r="H20" s="163">
        <f>'[2]Penelec RC_GSSFMS (2)'!H20</f>
        <v>20.251241046445291</v>
      </c>
      <c r="I20" s="163">
        <f>'[2]Penelec RC_GSSFMS (2)'!I20</f>
        <v>20.237878562432332</v>
      </c>
      <c r="J20" s="163">
        <f>'[2]Penelec RC_GSSFMS (2)'!J20</f>
        <v>20.164262855665182</v>
      </c>
      <c r="K20" s="163">
        <f>'[2]Penelec RC_GSSFMS (2)'!K20</f>
        <v>19.827484778385937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188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9">
        <v>71.7</v>
      </c>
      <c r="H7" s="157">
        <v>71.459999999999994</v>
      </c>
      <c r="I7" s="157">
        <v>71.09</v>
      </c>
      <c r="J7" s="157">
        <v>69.42</v>
      </c>
      <c r="K7" s="157">
        <v>69.72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'[2]Penelec RC_GSMFMS (2)'!G8</f>
        <v>31.526263898634493</v>
      </c>
      <c r="H8" s="163">
        <f>'[2]Penelec RC_GSMFMS (2)'!H8</f>
        <v>27.248994420404024</v>
      </c>
      <c r="I8" s="163">
        <f>'[2]Penelec RC_GSMFMS (2)'!I8</f>
        <v>26.053569069185865</v>
      </c>
      <c r="J8" s="163">
        <f>'[2]Penelec RC_GSMFMS (2)'!J8</f>
        <v>26.056584516469869</v>
      </c>
      <c r="K8" s="163">
        <f>'[2]Penelec RC_GSMFMS (2)'!K8</f>
        <v>25.559645712648649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'[2]Penelec RC_GSMFMS (2)'!G9</f>
        <v>30.20947482726903</v>
      </c>
      <c r="H9" s="163">
        <f>'[2]Penelec RC_GSMFMS (2)'!H9</f>
        <v>26.552376715778227</v>
      </c>
      <c r="I9" s="163">
        <f>'[2]Penelec RC_GSMFMS (2)'!I9</f>
        <v>25.777872077260447</v>
      </c>
      <c r="J9" s="163">
        <f>'[2]Penelec RC_GSMFMS (2)'!J9</f>
        <v>25.847649797752652</v>
      </c>
      <c r="K9" s="163">
        <f>'[2]Penelec RC_GSMFMS (2)'!K9</f>
        <v>25.312871546392046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'[2]Penelec RC_GSMFMS (2)'!G10</f>
        <v>29.099354444054523</v>
      </c>
      <c r="H10" s="163">
        <f>'[2]Penelec RC_GSMFMS (2)'!H10</f>
        <v>25.907411966941218</v>
      </c>
      <c r="I10" s="163">
        <f>'[2]Penelec RC_GSMFMS (2)'!I10</f>
        <v>25.587654952752033</v>
      </c>
      <c r="J10" s="163">
        <f>'[2]Penelec RC_GSMFMS (2)'!J10</f>
        <v>25.66762108723572</v>
      </c>
      <c r="K10" s="163">
        <f>'[2]Penelec RC_GSMFMS (2)'!K10</f>
        <v>25.083322915597883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'[2]Penelec RC_GSMFMS (2)'!G11</f>
        <v>27.757042860518304</v>
      </c>
      <c r="H11" s="163">
        <f>'[2]Penelec RC_GSMFMS (2)'!H11</f>
        <v>25.290835693478666</v>
      </c>
      <c r="I11" s="163">
        <f>'[2]Penelec RC_GSMFMS (2)'!I11</f>
        <v>25.32902416598759</v>
      </c>
      <c r="J11" s="163">
        <f>'[2]Penelec RC_GSMFMS (2)'!J11</f>
        <v>25.487234376928839</v>
      </c>
      <c r="K11" s="163">
        <f>'[2]Penelec RC_GSMFMS (2)'!K11</f>
        <v>24.865856709471728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'[2]Penelec RC_GSMFMS (2)'!G12</f>
        <v>26.311248316091241</v>
      </c>
      <c r="H12" s="163">
        <f>'[2]Penelec RC_GSMFMS (2)'!H12</f>
        <v>24.650549798093309</v>
      </c>
      <c r="I12" s="163">
        <f>'[2]Penelec RC_GSMFMS (2)'!I12</f>
        <v>25.033719786352723</v>
      </c>
      <c r="J12" s="163">
        <f>'[2]Penelec RC_GSMFMS (2)'!J12</f>
        <v>25.29369492684992</v>
      </c>
      <c r="K12" s="163">
        <f>'[2]Penelec RC_GSMFMS (2)'!K12</f>
        <v>24.626562660552459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'[2]Penelec RC_GSMFMS (2)'!G13</f>
        <v>24.58207568537005</v>
      </c>
      <c r="H13" s="163">
        <f>'[2]Penelec RC_GSMFMS (2)'!H13</f>
        <v>23.985645354178597</v>
      </c>
      <c r="I13" s="163">
        <f>'[2]Penelec RC_GSMFMS (2)'!I13</f>
        <v>24.632348505063501</v>
      </c>
      <c r="J13" s="163">
        <f>'[2]Penelec RC_GSMFMS (2)'!J13</f>
        <v>25.095667454782621</v>
      </c>
      <c r="K13" s="163">
        <f>'[2]Penelec RC_GSMFMS (2)'!K13</f>
        <v>24.397924529215274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'[2]Penelec RC_GSMFMS (2)'!G14</f>
        <v>23.033598782792556</v>
      </c>
      <c r="H14" s="163">
        <f>'[2]Penelec RC_GSMFMS (2)'!H14</f>
        <v>23.340365641164368</v>
      </c>
      <c r="I14" s="163">
        <f>'[2]Penelec RC_GSMFMS (2)'!I14</f>
        <v>24.25353215148948</v>
      </c>
      <c r="J14" s="163">
        <f>'[2]Penelec RC_GSMFMS (2)'!J14</f>
        <v>24.907103074174394</v>
      </c>
      <c r="K14" s="163">
        <f>'[2]Penelec RC_GSMFMS (2)'!K14</f>
        <v>24.161709686198602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'[2]Penelec RC_GSMFMS (2)'!G15</f>
        <v>22.969896004770263</v>
      </c>
      <c r="H15" s="163">
        <f>'[2]Penelec RC_GSMFMS (2)'!H15</f>
        <v>23.583618361612558</v>
      </c>
      <c r="I15" s="163">
        <f>'[2]Penelec RC_GSMFMS (2)'!I15</f>
        <v>24.415532668982664</v>
      </c>
      <c r="J15" s="163">
        <f>'[2]Penelec RC_GSMFMS (2)'!J15</f>
        <v>24.86018867067116</v>
      </c>
      <c r="K15" s="163">
        <f>'[2]Penelec RC_GSMFMS (2)'!K15</f>
        <v>24.157221236071315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'[2]Penelec RC_GSMFMS (2)'!G16</f>
        <v>22.744698620255658</v>
      </c>
      <c r="H16" s="163">
        <f>'[2]Penelec RC_GSMFMS (2)'!H16</f>
        <v>23.841405858220192</v>
      </c>
      <c r="I16" s="163">
        <f>'[2]Penelec RC_GSMFMS (2)'!I16</f>
        <v>24.531624401371673</v>
      </c>
      <c r="J16" s="163">
        <f>'[2]Penelec RC_GSMFMS (2)'!J16</f>
        <v>24.853922715091837</v>
      </c>
      <c r="K16" s="163">
        <f>'[2]Penelec RC_GSMFMS (2)'!K16</f>
        <v>24.180722710344973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'[2]Penelec RC_GSMFMS (2)'!G17</f>
        <v>22.774295522007034</v>
      </c>
      <c r="H17" s="163">
        <f>'[2]Penelec RC_GSMFMS (2)'!H17</f>
        <v>24.104453367742323</v>
      </c>
      <c r="I17" s="163">
        <f>'[2]Penelec RC_GSMFMS (2)'!I17</f>
        <v>24.722512264646358</v>
      </c>
      <c r="J17" s="163">
        <f>'[2]Penelec RC_GSMFMS (2)'!J17</f>
        <v>24.817176552082064</v>
      </c>
      <c r="K17" s="163">
        <f>'[2]Penelec RC_GSMFMS (2)'!K17</f>
        <v>24.179966858545537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'[2]Penelec RC_GSMFMS (2)'!G18</f>
        <v>22.981965789092243</v>
      </c>
      <c r="H18" s="163">
        <f>'[2]Penelec RC_GSMFMS (2)'!H18</f>
        <v>24.394308514034037</v>
      </c>
      <c r="I18" s="163">
        <f>'[2]Penelec RC_GSMFMS (2)'!I18</f>
        <v>24.954052497559086</v>
      </c>
      <c r="J18" s="163">
        <f>'[2]Penelec RC_GSMFMS (2)'!J18</f>
        <v>24.801389393865975</v>
      </c>
      <c r="K18" s="163">
        <f>'[2]Penelec RC_GSMFMS (2)'!K18</f>
        <v>24.192259049026902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'[2]Penelec RC_GSMFMS (2)'!G19</f>
        <v>23.381740961771136</v>
      </c>
      <c r="H19" s="163">
        <f>'[2]Penelec RC_GSMFMS (2)'!H19</f>
        <v>24.657641702786652</v>
      </c>
      <c r="I19" s="163">
        <f>'[2]Penelec RC_GSMFMS (2)'!I19</f>
        <v>25.268035541558643</v>
      </c>
      <c r="J19" s="163">
        <f>'[2]Penelec RC_GSMFMS (2)'!J19</f>
        <v>24.777134118185977</v>
      </c>
      <c r="K19" s="163">
        <f>'[2]Penelec RC_GSMFMS (2)'!K19</f>
        <v>24.190765223225018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'[2]Penelec RC_GSMFMS (2)'!G20</f>
        <v>23.650895497205955</v>
      </c>
      <c r="H20" s="163">
        <f>'[2]Penelec RC_GSMFMS (2)'!H20</f>
        <v>24.866661415949775</v>
      </c>
      <c r="I20" s="163">
        <f>'[2]Penelec RC_GSMFMS (2)'!I20</f>
        <v>25.53494305359143</v>
      </c>
      <c r="J20" s="163">
        <f>'[2]Penelec RC_GSMFMS (2)'!J20</f>
        <v>24.717788984320951</v>
      </c>
      <c r="K20" s="163">
        <f>'[2]Penelec RC_GSMFMS (2)'!K20</f>
        <v>24.198966575017174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662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192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54.14</v>
      </c>
      <c r="H7" s="157">
        <v>51.41</v>
      </c>
      <c r="I7" s="159">
        <v>54.4</v>
      </c>
      <c r="J7" s="157">
        <v>55.11</v>
      </c>
      <c r="K7" s="159">
        <v>60.7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'[2]Penn Power RC_GMDMS (2)'!G8</f>
        <v>12.692908312181107</v>
      </c>
      <c r="H8" s="163">
        <f>'[2]Penn Power RC_GMDMS (2)'!H8</f>
        <v>17.50551218242024</v>
      </c>
      <c r="I8" s="163">
        <f>'[2]Penn Power RC_GMDMS (2)'!I8</f>
        <v>18.340302036809362</v>
      </c>
      <c r="J8" s="163">
        <f>'[2]Penn Power RC_GMDMS (2)'!J8</f>
        <v>22.522810104033997</v>
      </c>
      <c r="K8" s="163">
        <f>'[2]Penn Power RC_GMDMS (2)'!K8</f>
        <v>23.831742670506731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'[2]Penn Power RC_GMDMS (2)'!G9</f>
        <v>14.648085223420669</v>
      </c>
      <c r="H9" s="163">
        <f>'[2]Penn Power RC_GMDMS (2)'!H9</f>
        <v>18.202501480923249</v>
      </c>
      <c r="I9" s="163">
        <f>'[2]Penn Power RC_GMDMS (2)'!I9</f>
        <v>19.716222896046684</v>
      </c>
      <c r="J9" s="163">
        <f>'[2]Penn Power RC_GMDMS (2)'!J9</f>
        <v>23.399470187029095</v>
      </c>
      <c r="K9" s="163">
        <f>'[2]Penn Power RC_GMDMS (2)'!K9</f>
        <v>23.986419017087549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'[2]Penn Power RC_GMDMS (2)'!G10</f>
        <v>18.309541077922052</v>
      </c>
      <c r="H10" s="163">
        <f>'[2]Penn Power RC_GMDMS (2)'!H10</f>
        <v>18.861151412743308</v>
      </c>
      <c r="I10" s="163">
        <f>'[2]Penn Power RC_GMDMS (2)'!I10</f>
        <v>21.620524859593814</v>
      </c>
      <c r="J10" s="163">
        <f>'[2]Penn Power RC_GMDMS (2)'!J10</f>
        <v>24.264703040677571</v>
      </c>
      <c r="K10" s="163">
        <f>'[2]Penn Power RC_GMDMS (2)'!K10</f>
        <v>24.137116441594234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'[2]Penn Power RC_GMDMS (2)'!G11</f>
        <v>19.905944403135493</v>
      </c>
      <c r="H11" s="163">
        <f>'[2]Penn Power RC_GMDMS (2)'!H11</f>
        <v>19.372847887738427</v>
      </c>
      <c r="I11" s="163">
        <f>'[2]Penn Power RC_GMDMS (2)'!I11</f>
        <v>22.883187660819374</v>
      </c>
      <c r="J11" s="163">
        <f>'[2]Penn Power RC_GMDMS (2)'!J11</f>
        <v>25.007251222899672</v>
      </c>
      <c r="K11" s="163">
        <f>'[2]Penn Power RC_GMDMS (2)'!K11</f>
        <v>24.255116537439484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'[2]Penn Power RC_GMDMS (2)'!G12</f>
        <v>20.797120718253002</v>
      </c>
      <c r="H12" s="163">
        <f>'[2]Penn Power RC_GMDMS (2)'!H12</f>
        <v>19.908966858447133</v>
      </c>
      <c r="I12" s="163">
        <f>'[2]Penn Power RC_GMDMS (2)'!I12</f>
        <v>23.955412121254927</v>
      </c>
      <c r="J12" s="163">
        <f>'[2]Penn Power RC_GMDMS (2)'!J12</f>
        <v>25.808246704796545</v>
      </c>
      <c r="K12" s="163">
        <f>'[2]Penn Power RC_GMDMS (2)'!K12</f>
        <v>24.379882763518669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'[2]Penn Power RC_GMDMS (2)'!G13</f>
        <v>21.653773144113039</v>
      </c>
      <c r="H13" s="163">
        <f>'[2]Penn Power RC_GMDMS (2)'!H13</f>
        <v>20.539093754861124</v>
      </c>
      <c r="I13" s="163">
        <f>'[2]Penn Power RC_GMDMS (2)'!I13</f>
        <v>24.888264805170291</v>
      </c>
      <c r="J13" s="163">
        <f>'[2]Penn Power RC_GMDMS (2)'!J13</f>
        <v>26.635133403220145</v>
      </c>
      <c r="K13" s="163">
        <f>'[2]Penn Power RC_GMDMS (2)'!K13</f>
        <v>24.533812351955461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'[2]Penn Power RC_GMDMS (2)'!G14</f>
        <v>22.545456842860983</v>
      </c>
      <c r="H14" s="163">
        <f>'[2]Penn Power RC_GMDMS (2)'!H14</f>
        <v>21.220276138742367</v>
      </c>
      <c r="I14" s="163">
        <f>'[2]Penn Power RC_GMDMS (2)'!I14</f>
        <v>25.893901229662607</v>
      </c>
      <c r="J14" s="163">
        <f>'[2]Penn Power RC_GMDMS (2)'!J14</f>
        <v>27.510579703377942</v>
      </c>
      <c r="K14" s="163">
        <f>'[2]Penn Power RC_GMDMS (2)'!K14</f>
        <v>24.692664243807375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'[2]Penn Power RC_GMDMS (2)'!G15</f>
        <v>21.759896625060705</v>
      </c>
      <c r="H15" s="163">
        <f>'[2]Penn Power RC_GMDMS (2)'!H15</f>
        <v>22.24928219887174</v>
      </c>
      <c r="I15" s="163">
        <f>'[2]Penn Power RC_GMDMS (2)'!I15</f>
        <v>26.312201738469291</v>
      </c>
      <c r="J15" s="163">
        <f>'[2]Penn Power RC_GMDMS (2)'!J15</f>
        <v>27.408240410801621</v>
      </c>
      <c r="K15" s="163">
        <f>'[2]Penn Power RC_GMDMS (2)'!K15</f>
        <v>24.634818791278093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'[2]Penn Power RC_GMDMS (2)'!G16</f>
        <v>19.394174794926585</v>
      </c>
      <c r="H16" s="163">
        <f>'[2]Penn Power RC_GMDMS (2)'!H16</f>
        <v>23.243180322825367</v>
      </c>
      <c r="I16" s="163">
        <f>'[2]Penn Power RC_GMDMS (2)'!I16</f>
        <v>26.200947508561473</v>
      </c>
      <c r="J16" s="163">
        <f>'[2]Penn Power RC_GMDMS (2)'!J16</f>
        <v>27.330253643712584</v>
      </c>
      <c r="K16" s="163">
        <f>'[2]Penn Power RC_GMDMS (2)'!K16</f>
        <v>24.610294215036813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'[2]Penn Power RC_GMDMS (2)'!G17</f>
        <v>18.863054141529751</v>
      </c>
      <c r="H17" s="163">
        <f>'[2]Penn Power RC_GMDMS (2)'!H17</f>
        <v>24.33508554073277</v>
      </c>
      <c r="I17" s="163">
        <f>'[2]Penn Power RC_GMDMS (2)'!I17</f>
        <v>26.651572449560071</v>
      </c>
      <c r="J17" s="163">
        <f>'[2]Penn Power RC_GMDMS (2)'!J17</f>
        <v>27.21938753932227</v>
      </c>
      <c r="K17" s="163">
        <f>'[2]Penn Power RC_GMDMS (2)'!K17</f>
        <v>24.542627591331687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'[2]Penn Power RC_GMDMS (2)'!G18</f>
        <v>19.077110389060941</v>
      </c>
      <c r="H18" s="163">
        <f>'[2]Penn Power RC_GMDMS (2)'!H18</f>
        <v>25.481340274043397</v>
      </c>
      <c r="I18" s="163">
        <f>'[2]Penn Power RC_GMDMS (2)'!I18</f>
        <v>27.403672583731122</v>
      </c>
      <c r="J18" s="163">
        <f>'[2]Penn Power RC_GMDMS (2)'!J18</f>
        <v>27.179652644570023</v>
      </c>
      <c r="K18" s="163">
        <f>'[2]Penn Power RC_GMDMS (2)'!K18</f>
        <v>24.537650427605936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'[2]Penn Power RC_GMDMS (2)'!G19</f>
        <v>19.483889419093845</v>
      </c>
      <c r="H19" s="163">
        <f>'[2]Penn Power RC_GMDMS (2)'!H19</f>
        <v>26.461323235854497</v>
      </c>
      <c r="I19" s="163">
        <f>'[2]Penn Power RC_GMDMS (2)'!I19</f>
        <v>28.232907724808562</v>
      </c>
      <c r="J19" s="163">
        <f>'[2]Penn Power RC_GMDMS (2)'!J19</f>
        <v>27.055863939673895</v>
      </c>
      <c r="K19" s="163">
        <f>'[2]Penn Power RC_GMDMS (2)'!K19</f>
        <v>24.464812554959622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'[2]Penn Power RC_GMDMS (2)'!G20</f>
        <v>19.962451101816914</v>
      </c>
      <c r="H20" s="163">
        <f>'[2]Penn Power RC_GMDMS (2)'!H20</f>
        <v>27.524357316963396</v>
      </c>
      <c r="I20" s="163">
        <f>'[2]Penn Power RC_GMDMS (2)'!I20</f>
        <v>29.105502253448208</v>
      </c>
      <c r="J20" s="163">
        <f>'[2]Penn Power RC_GMDMS (2)'!J20</f>
        <v>26.981010038541957</v>
      </c>
      <c r="K20" s="163">
        <f>'[2]Penn Power RC_GMDMS (2)'!K20</f>
        <v>24.410958995076591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681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195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83.82</v>
      </c>
      <c r="H7" s="157">
        <v>83.86</v>
      </c>
      <c r="I7" s="157">
        <v>83.49</v>
      </c>
      <c r="J7" s="157">
        <v>81.14</v>
      </c>
      <c r="K7" s="157">
        <v>81.23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'[2]PEPCO MD LP_MDNDMS'!G8</f>
        <v>40.156519744183655</v>
      </c>
      <c r="H8" s="163">
        <f>'[2]PEPCO MD LP_MDNDMS'!H8</f>
        <v>34.993876688438739</v>
      </c>
      <c r="I8" s="163">
        <f>'[2]PEPCO MD LP_MDNDMS'!I8</f>
        <v>33.165678750899815</v>
      </c>
      <c r="J8" s="163">
        <f>'[2]PEPCO MD LP_MDNDMS'!J8</f>
        <v>33.117872285873283</v>
      </c>
      <c r="K8" s="163">
        <f>'[2]PEPCO MD LP_MDNDMS'!K8</f>
        <v>32.436710780425564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'[2]PEPCO MD LP_MDNDMS'!G9</f>
        <v>38.736865789272528</v>
      </c>
      <c r="H9" s="163">
        <f>'[2]PEPCO MD LP_MDNDMS'!H9</f>
        <v>34.084273387632166</v>
      </c>
      <c r="I9" s="163">
        <f>'[2]PEPCO MD LP_MDNDMS'!I9</f>
        <v>32.870020787564634</v>
      </c>
      <c r="J9" s="163">
        <f>'[2]PEPCO MD LP_MDNDMS'!J9</f>
        <v>32.787676904004861</v>
      </c>
      <c r="K9" s="163">
        <f>'[2]PEPCO MD LP_MDNDMS'!K9</f>
        <v>32.121746735956542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'[2]PEPCO MD LP_MDNDMS'!G10</f>
        <v>37.010060316569799</v>
      </c>
      <c r="H10" s="163">
        <f>'[2]PEPCO MD LP_MDNDMS'!H10</f>
        <v>33.205572502760447</v>
      </c>
      <c r="I10" s="163">
        <f>'[2]PEPCO MD LP_MDNDMS'!I10</f>
        <v>32.456740410408244</v>
      </c>
      <c r="J10" s="163">
        <f>'[2]PEPCO MD LP_MDNDMS'!J10</f>
        <v>32.500718614819462</v>
      </c>
      <c r="K10" s="163">
        <f>'[2]PEPCO MD LP_MDNDMS'!K10</f>
        <v>31.815223185390558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'[2]PEPCO MD LP_MDNDMS'!G11</f>
        <v>35.345743559506531</v>
      </c>
      <c r="H11" s="163">
        <f>'[2]PEPCO MD LP_MDNDMS'!H11</f>
        <v>32.370474109092122</v>
      </c>
      <c r="I11" s="163">
        <f>'[2]PEPCO MD LP_MDNDMS'!I11</f>
        <v>32.132145596069904</v>
      </c>
      <c r="J11" s="163">
        <f>'[2]PEPCO MD LP_MDNDMS'!J11</f>
        <v>32.223920154011807</v>
      </c>
      <c r="K11" s="163">
        <f>'[2]PEPCO MD LP_MDNDMS'!K11</f>
        <v>31.536793185661164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'[2]PEPCO MD LP_MDNDMS'!G12</f>
        <v>33.668499228299268</v>
      </c>
      <c r="H12" s="163">
        <f>'[2]PEPCO MD LP_MDNDMS'!H12</f>
        <v>31.43981105546721</v>
      </c>
      <c r="I12" s="163">
        <f>'[2]PEPCO MD LP_MDNDMS'!I12</f>
        <v>31.676291266344624</v>
      </c>
      <c r="J12" s="163">
        <f>'[2]PEPCO MD LP_MDNDMS'!J12</f>
        <v>31.899184318808192</v>
      </c>
      <c r="K12" s="163">
        <f>'[2]PEPCO MD LP_MDNDMS'!K12</f>
        <v>31.211904147241619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'[2]PEPCO MD LP_MDNDMS'!G13</f>
        <v>32.039221577745963</v>
      </c>
      <c r="H13" s="163">
        <f>'[2]PEPCO MD LP_MDNDMS'!H13</f>
        <v>30.577390777185066</v>
      </c>
      <c r="I13" s="163">
        <f>'[2]PEPCO MD LP_MDNDMS'!I13</f>
        <v>31.343959391258398</v>
      </c>
      <c r="J13" s="163">
        <f>'[2]PEPCO MD LP_MDNDMS'!J13</f>
        <v>31.610815493061367</v>
      </c>
      <c r="K13" s="163">
        <f>'[2]PEPCO MD LP_MDNDMS'!K13</f>
        <v>30.91927396404585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'[2]PEPCO MD LP_MDNDMS'!G14</f>
        <v>29.846886475019161</v>
      </c>
      <c r="H14" s="163">
        <f>'[2]PEPCO MD LP_MDNDMS'!H14</f>
        <v>29.687903051210679</v>
      </c>
      <c r="I14" s="163">
        <f>'[2]PEPCO MD LP_MDNDMS'!I14</f>
        <v>30.781664681791959</v>
      </c>
      <c r="J14" s="163">
        <f>'[2]PEPCO MD LP_MDNDMS'!J14</f>
        <v>31.302259166108755</v>
      </c>
      <c r="K14" s="163">
        <f>'[2]PEPCO MD LP_MDNDMS'!K14</f>
        <v>30.597784785731886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'[2]PEPCO MD LP_MDNDMS'!G15</f>
        <v>29.58812377811995</v>
      </c>
      <c r="H15" s="163">
        <f>'[2]PEPCO MD LP_MDNDMS'!H15</f>
        <v>29.986107687603326</v>
      </c>
      <c r="I15" s="163">
        <f>'[2]PEPCO MD LP_MDNDMS'!I15</f>
        <v>30.852949696869686</v>
      </c>
      <c r="J15" s="163">
        <f>'[2]PEPCO MD LP_MDNDMS'!J15</f>
        <v>31.29759188955941</v>
      </c>
      <c r="K15" s="163">
        <f>'[2]PEPCO MD LP_MDNDMS'!K15</f>
        <v>30.618220948222508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'[2]PEPCO MD LP_MDNDMS'!G16</f>
        <v>29.520330285739064</v>
      </c>
      <c r="H16" s="163">
        <f>'[2]PEPCO MD LP_MDNDMS'!H16</f>
        <v>30.221459502303833</v>
      </c>
      <c r="I16" s="163">
        <f>'[2]PEPCO MD LP_MDNDMS'!I16</f>
        <v>31.031929405083012</v>
      </c>
      <c r="J16" s="163">
        <f>'[2]PEPCO MD LP_MDNDMS'!J16</f>
        <v>31.280284614268776</v>
      </c>
      <c r="K16" s="163">
        <f>'[2]PEPCO MD LP_MDNDMS'!K16</f>
        <v>30.648765942105339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'[2]PEPCO MD LP_MDNDMS'!G17</f>
        <v>29.403225703894972</v>
      </c>
      <c r="H17" s="163">
        <f>'[2]PEPCO MD LP_MDNDMS'!H17</f>
        <v>30.526427594164456</v>
      </c>
      <c r="I17" s="163">
        <f>'[2]PEPCO MD LP_MDNDMS'!I17</f>
        <v>31.187639142325953</v>
      </c>
      <c r="J17" s="163">
        <f>'[2]PEPCO MD LP_MDNDMS'!J17</f>
        <v>31.265858206351734</v>
      </c>
      <c r="K17" s="163">
        <f>'[2]PEPCO MD LP_MDNDMS'!K17</f>
        <v>30.669266885559729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'[2]PEPCO MD LP_MDNDMS'!G18</f>
        <v>29.262211008178561</v>
      </c>
      <c r="H18" s="163">
        <f>'[2]PEPCO MD LP_MDNDMS'!H18</f>
        <v>30.693336924891302</v>
      </c>
      <c r="I18" s="163">
        <f>'[2]PEPCO MD LP_MDNDMS'!I18</f>
        <v>31.319345506001749</v>
      </c>
      <c r="J18" s="163">
        <f>'[2]PEPCO MD LP_MDNDMS'!J18</f>
        <v>31.210909725208285</v>
      </c>
      <c r="K18" s="163">
        <f>'[2]PEPCO MD LP_MDNDMS'!K18</f>
        <v>30.674303245820617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'[2]PEPCO MD LP_MDNDMS'!G19</f>
        <v>29.154520217567821</v>
      </c>
      <c r="H19" s="163">
        <f>'[2]PEPCO MD LP_MDNDMS'!H19</f>
        <v>31.000775052134706</v>
      </c>
      <c r="I19" s="163">
        <f>'[2]PEPCO MD LP_MDNDMS'!I19</f>
        <v>31.470754821597161</v>
      </c>
      <c r="J19" s="163">
        <f>'[2]PEPCO MD LP_MDNDMS'!J19</f>
        <v>31.203989163156677</v>
      </c>
      <c r="K19" s="163">
        <f>'[2]PEPCO MD LP_MDNDMS'!K19</f>
        <v>30.691096500136013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'[2]PEPCO MD LP_MDNDMS'!G20</f>
        <v>29.52956131061179</v>
      </c>
      <c r="H20" s="163">
        <f>'[2]PEPCO MD LP_MDNDMS'!H20</f>
        <v>31.248186735906149</v>
      </c>
      <c r="I20" s="163">
        <f>'[2]PEPCO MD LP_MDNDMS'!I20</f>
        <v>31.78511600786004</v>
      </c>
      <c r="J20" s="163">
        <f>'[2]PEPCO MD LP_MDNDMS'!J20</f>
        <v>31.163853230704568</v>
      </c>
      <c r="K20" s="163">
        <f>'[2]PEPCO MD LP_MDNDMS'!K20</f>
        <v>30.698667461284963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7YmOyKYLWH2gpp/5Uh+5ec8sIU48o0Vv5zKIbHaga6X7cnU8tcfw/DtNT/Knx0/zL7XqAdSbJ2tuwUCJill5PA==" saltValue="WvxLCndfGDXuC1/ORJ4FM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681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197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77.83</v>
      </c>
      <c r="H7" s="157">
        <v>79.790000000000006</v>
      </c>
      <c r="I7" s="157">
        <v>78.75</v>
      </c>
      <c r="J7" s="157">
        <v>77.27</v>
      </c>
      <c r="K7" s="157">
        <v>77.349999999999994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'[2]PEPCO MD LP_MMGTL2AMS'!G8</f>
        <v>37.729575438837969</v>
      </c>
      <c r="H8" s="163">
        <f>'[2]PEPCO MD LP_MMGTL2AMS'!H8</f>
        <v>31.973586790276251</v>
      </c>
      <c r="I8" s="163">
        <f>'[2]PEPCO MD LP_MMGTL2AMS'!I8</f>
        <v>30.624400227730472</v>
      </c>
      <c r="J8" s="163">
        <f>'[2]PEPCO MD LP_MMGTL2AMS'!J8</f>
        <v>30.288695643713055</v>
      </c>
      <c r="K8" s="163">
        <f>'[2]PEPCO MD LP_MMGTL2AMS'!K8</f>
        <v>29.696369367678461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'[2]PEPCO MD LP_MMGTL2AMS'!G9</f>
        <v>35.749905146753314</v>
      </c>
      <c r="H9" s="163">
        <f>'[2]PEPCO MD LP_MMGTL2AMS'!H9</f>
        <v>31.186713515511496</v>
      </c>
      <c r="I9" s="163">
        <f>'[2]PEPCO MD LP_MMGTL2AMS'!I9</f>
        <v>30.189206033515458</v>
      </c>
      <c r="J9" s="163">
        <f>'[2]PEPCO MD LP_MMGTL2AMS'!J9</f>
        <v>30.009193055844307</v>
      </c>
      <c r="K9" s="163">
        <f>'[2]PEPCO MD LP_MMGTL2AMS'!K9</f>
        <v>29.424674624884432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'[2]PEPCO MD LP_MMGTL2AMS'!G10</f>
        <v>33.451883045500388</v>
      </c>
      <c r="H10" s="163">
        <f>'[2]PEPCO MD LP_MMGTL2AMS'!H10</f>
        <v>30.341337773831206</v>
      </c>
      <c r="I10" s="163">
        <f>'[2]PEPCO MD LP_MMGTL2AMS'!I10</f>
        <v>29.623982050371445</v>
      </c>
      <c r="J10" s="163">
        <f>'[2]PEPCO MD LP_MMGTL2AMS'!J10</f>
        <v>29.727429250000689</v>
      </c>
      <c r="K10" s="163">
        <f>'[2]PEPCO MD LP_MMGTL2AMS'!K10</f>
        <v>29.140319413348994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'[2]PEPCO MD LP_MMGTL2AMS'!G11</f>
        <v>31.301811492498572</v>
      </c>
      <c r="H11" s="163">
        <f>'[2]PEPCO MD LP_MMGTL2AMS'!H11</f>
        <v>29.60270708979413</v>
      </c>
      <c r="I11" s="163">
        <f>'[2]PEPCO MD LP_MMGTL2AMS'!I11</f>
        <v>29.118470674560555</v>
      </c>
      <c r="J11" s="163">
        <f>'[2]PEPCO MD LP_MMGTL2AMS'!J11</f>
        <v>29.485756473534522</v>
      </c>
      <c r="K11" s="163">
        <f>'[2]PEPCO MD LP_MMGTL2AMS'!K11</f>
        <v>28.889856845554981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'[2]PEPCO MD LP_MMGTL2AMS'!G12</f>
        <v>29.413997793464731</v>
      </c>
      <c r="H12" s="163">
        <f>'[2]PEPCO MD LP_MMGTL2AMS'!H12</f>
        <v>28.764418080874226</v>
      </c>
      <c r="I12" s="163">
        <f>'[2]PEPCO MD LP_MMGTL2AMS'!I12</f>
        <v>28.571814814699621</v>
      </c>
      <c r="J12" s="163">
        <f>'[2]PEPCO MD LP_MMGTL2AMS'!J12</f>
        <v>29.196739195933343</v>
      </c>
      <c r="K12" s="163">
        <f>'[2]PEPCO MD LP_MMGTL2AMS'!K12</f>
        <v>28.597247710394566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'[2]PEPCO MD LP_MMGTL2AMS'!G13</f>
        <v>27.996736069255562</v>
      </c>
      <c r="H13" s="163">
        <f>'[2]PEPCO MD LP_MMGTL2AMS'!H13</f>
        <v>27.985897438587845</v>
      </c>
      <c r="I13" s="163">
        <f>'[2]PEPCO MD LP_MMGTL2AMS'!I13</f>
        <v>28.228973622787837</v>
      </c>
      <c r="J13" s="163">
        <f>'[2]PEPCO MD LP_MMGTL2AMS'!J13</f>
        <v>28.939195739136373</v>
      </c>
      <c r="K13" s="163">
        <f>'[2]PEPCO MD LP_MMGTL2AMS'!K13</f>
        <v>28.331482284067256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'[2]PEPCO MD LP_MMGTL2AMS'!G14</f>
        <v>26.635596810944808</v>
      </c>
      <c r="H14" s="163">
        <f>'[2]PEPCO MD LP_MMGTL2AMS'!H14</f>
        <v>27.203550502931247</v>
      </c>
      <c r="I14" s="163">
        <f>'[2]PEPCO MD LP_MMGTL2AMS'!I14</f>
        <v>27.933938774043916</v>
      </c>
      <c r="J14" s="163">
        <f>'[2]PEPCO MD LP_MMGTL2AMS'!J14</f>
        <v>28.672787999953492</v>
      </c>
      <c r="K14" s="163">
        <f>'[2]PEPCO MD LP_MMGTL2AMS'!K14</f>
        <v>28.04969431592966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'[2]PEPCO MD LP_MMGTL2AMS'!G15</f>
        <v>26.874572340089362</v>
      </c>
      <c r="H15" s="163">
        <f>'[2]PEPCO MD LP_MMGTL2AMS'!H15</f>
        <v>27.481577303239774</v>
      </c>
      <c r="I15" s="163">
        <f>'[2]PEPCO MD LP_MMGTL2AMS'!I15</f>
        <v>28.170670801059863</v>
      </c>
      <c r="J15" s="163">
        <f>'[2]PEPCO MD LP_MMGTL2AMS'!J15</f>
        <v>28.675434601276471</v>
      </c>
      <c r="K15" s="163">
        <f>'[2]PEPCO MD LP_MMGTL2AMS'!K15</f>
        <v>28.076166436419879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'[2]PEPCO MD LP_MMGTL2AMS'!G16</f>
        <v>27.236441037446227</v>
      </c>
      <c r="H16" s="163">
        <f>'[2]PEPCO MD LP_MMGTL2AMS'!H16</f>
        <v>27.707702313122663</v>
      </c>
      <c r="I16" s="163">
        <f>'[2]PEPCO MD LP_MMGTL2AMS'!I16</f>
        <v>28.488201412765182</v>
      </c>
      <c r="J16" s="163">
        <f>'[2]PEPCO MD LP_MMGTL2AMS'!J16</f>
        <v>28.65706716700328</v>
      </c>
      <c r="K16" s="163">
        <f>'[2]PEPCO MD LP_MMGTL2AMS'!K16</f>
        <v>28.105036992679771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'[2]PEPCO MD LP_MMGTL2AMS'!G17</f>
        <v>27.744555610656295</v>
      </c>
      <c r="H17" s="163">
        <f>'[2]PEPCO MD LP_MMGTL2AMS'!H17</f>
        <v>27.974732631359878</v>
      </c>
      <c r="I17" s="163">
        <f>'[2]PEPCO MD LP_MMGTL2AMS'!I17</f>
        <v>28.845145017845162</v>
      </c>
      <c r="J17" s="163">
        <f>'[2]PEPCO MD LP_MMGTL2AMS'!J17</f>
        <v>28.654588074502708</v>
      </c>
      <c r="K17" s="163">
        <f>'[2]PEPCO MD LP_MMGTL2AMS'!K17</f>
        <v>28.137710414591453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'[2]PEPCO MD LP_MMGTL2AMS'!G18</f>
        <v>28.037455857348348</v>
      </c>
      <c r="H18" s="163">
        <f>'[2]PEPCO MD LP_MMGTL2AMS'!H18</f>
        <v>28.127117835024798</v>
      </c>
      <c r="I18" s="163">
        <f>'[2]PEPCO MD LP_MMGTL2AMS'!I18</f>
        <v>29.118910947524224</v>
      </c>
      <c r="J18" s="163">
        <f>'[2]PEPCO MD LP_MMGTL2AMS'!J18</f>
        <v>28.601843402214982</v>
      </c>
      <c r="K18" s="163">
        <f>'[2]PEPCO MD LP_MMGTL2AMS'!K18</f>
        <v>28.141642962099439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'[2]PEPCO MD LP_MMGTL2AMS'!G19</f>
        <v>27.973773492818896</v>
      </c>
      <c r="H19" s="163">
        <f>'[2]PEPCO MD LP_MMGTL2AMS'!H19</f>
        <v>28.351404301033401</v>
      </c>
      <c r="I19" s="163">
        <f>'[2]PEPCO MD LP_MMGTL2AMS'!I19</f>
        <v>29.276635402201546</v>
      </c>
      <c r="J19" s="163">
        <f>'[2]PEPCO MD LP_MMGTL2AMS'!J19</f>
        <v>28.578345509365917</v>
      </c>
      <c r="K19" s="163">
        <f>'[2]PEPCO MD LP_MMGTL2AMS'!K19</f>
        <v>28.153079698904129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'[2]PEPCO MD LP_MMGTL2AMS'!G20</f>
        <v>27.816767078116989</v>
      </c>
      <c r="H20" s="163">
        <f>'[2]PEPCO MD LP_MMGTL2AMS'!H20</f>
        <v>28.606493945741743</v>
      </c>
      <c r="I20" s="163">
        <f>'[2]PEPCO MD LP_MMGTL2AMS'!I20</f>
        <v>29.384157616152407</v>
      </c>
      <c r="J20" s="163">
        <f>'[2]PEPCO MD LP_MMGTL2AMS'!J20</f>
        <v>28.560701226148176</v>
      </c>
      <c r="K20" s="163">
        <f>'[2]PEPCO MD LP_MMGTL2AMS'!K20</f>
        <v>28.168276816556503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iOZ3tmm6trATd0FFVLGZSllIhhMMkHVSf9ZtiDDCdXqDez16bkgWlFqOVeazJXw93bDp7MHlFvDgWcqVfPHWPA==" saltValue="6hXOnejeXXeisV2JplZXW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681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200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70.19</v>
      </c>
      <c r="H7" s="157">
        <v>70.25</v>
      </c>
      <c r="I7" s="157">
        <v>70.08</v>
      </c>
      <c r="J7" s="159">
        <v>68.8</v>
      </c>
      <c r="K7" s="157">
        <v>69.12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'[2]PEPCO MD RC_3T7MS'!G8</f>
        <v>27.753058460083931</v>
      </c>
      <c r="H8" s="163">
        <f>'[2]PEPCO MD RC_3T7MS'!H8</f>
        <v>24.948662916091312</v>
      </c>
      <c r="I8" s="163">
        <f>'[2]PEPCO MD RC_3T7MS'!I8</f>
        <v>23.803542853390361</v>
      </c>
      <c r="J8" s="163">
        <f>'[2]PEPCO MD RC_3T7MS'!J8</f>
        <v>23.841789210137492</v>
      </c>
      <c r="K8" s="163">
        <f>'[2]PEPCO MD RC_3T7MS'!K8</f>
        <v>23.522312416900675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'[2]PEPCO MD RC_3T7MS'!G9</f>
        <v>27.167861966872877</v>
      </c>
      <c r="H9" s="163">
        <f>'[2]PEPCO MD RC_3T7MS'!H9</f>
        <v>24.42256767013783</v>
      </c>
      <c r="I9" s="163">
        <f>'[2]PEPCO MD RC_3T7MS'!I9</f>
        <v>23.687138323780314</v>
      </c>
      <c r="J9" s="163">
        <f>'[2]PEPCO MD RC_3T7MS'!J9</f>
        <v>23.665482309343879</v>
      </c>
      <c r="K9" s="163">
        <f>'[2]PEPCO MD RC_3T7MS'!K9</f>
        <v>23.352466517960075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'[2]PEPCO MD RC_3T7MS'!G10</f>
        <v>26.63064713245608</v>
      </c>
      <c r="H10" s="163">
        <f>'[2]PEPCO MD RC_3T7MS'!H10</f>
        <v>23.88490938970978</v>
      </c>
      <c r="I10" s="163">
        <f>'[2]PEPCO MD RC_3T7MS'!I10</f>
        <v>23.584287692481961</v>
      </c>
      <c r="J10" s="163">
        <f>'[2]PEPCO MD RC_3T7MS'!J10</f>
        <v>23.498461785879794</v>
      </c>
      <c r="K10" s="163">
        <f>'[2]PEPCO MD RC_3T7MS'!K10</f>
        <v>23.186378983901363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'[2]PEPCO MD RC_3T7MS'!G11</f>
        <v>25.69606040748922</v>
      </c>
      <c r="H11" s="163">
        <f>'[2]PEPCO MD RC_3T7MS'!H11</f>
        <v>23.389158889006911</v>
      </c>
      <c r="I11" s="163">
        <f>'[2]PEPCO MD RC_3T7MS'!I11</f>
        <v>23.410735253893566</v>
      </c>
      <c r="J11" s="163">
        <f>'[2]PEPCO MD RC_3T7MS'!J11</f>
        <v>23.343964862761013</v>
      </c>
      <c r="K11" s="163">
        <f>'[2]PEPCO MD RC_3T7MS'!K11</f>
        <v>23.032971939303366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'[2]PEPCO MD RC_3T7MS'!G12</f>
        <v>24.529600585849607</v>
      </c>
      <c r="H12" s="163">
        <f>'[2]PEPCO MD RC_3T7MS'!H12</f>
        <v>22.85816037947442</v>
      </c>
      <c r="I12" s="163">
        <f>'[2]PEPCO MD RC_3T7MS'!I12</f>
        <v>23.147109000252431</v>
      </c>
      <c r="J12" s="163">
        <f>'[2]PEPCO MD RC_3T7MS'!J12</f>
        <v>23.176835256960569</v>
      </c>
      <c r="K12" s="163">
        <f>'[2]PEPCO MD RC_3T7MS'!K12</f>
        <v>22.862971782552414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'[2]PEPCO MD RC_3T7MS'!G13</f>
        <v>23.211743878240203</v>
      </c>
      <c r="H13" s="163">
        <f>'[2]PEPCO MD RC_3T7MS'!H13</f>
        <v>22.33602956104879</v>
      </c>
      <c r="I13" s="163">
        <f>'[2]PEPCO MD RC_3T7MS'!I13</f>
        <v>22.809271739711971</v>
      </c>
      <c r="J13" s="163">
        <f>'[2]PEPCO MD RC_3T7MS'!J13</f>
        <v>23.012830309347667</v>
      </c>
      <c r="K13" s="163">
        <f>'[2]PEPCO MD RC_3T7MS'!K13</f>
        <v>22.694137956932611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'[2]PEPCO MD RC_3T7MS'!G14</f>
        <v>22.057827354612833</v>
      </c>
      <c r="H14" s="163">
        <f>'[2]PEPCO MD RC_3T7MS'!H14</f>
        <v>21.809018081360644</v>
      </c>
      <c r="I14" s="163">
        <f>'[2]PEPCO MD RC_3T7MS'!I14</f>
        <v>22.519031549736571</v>
      </c>
      <c r="J14" s="163">
        <f>'[2]PEPCO MD RC_3T7MS'!J14</f>
        <v>22.84281349245812</v>
      </c>
      <c r="K14" s="163">
        <f>'[2]PEPCO MD RC_3T7MS'!K14</f>
        <v>22.52101816133117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'[2]PEPCO MD RC_3T7MS'!G15</f>
        <v>21.755407797029736</v>
      </c>
      <c r="H15" s="163">
        <f>'[2]PEPCO MD RC_3T7MS'!H15</f>
        <v>21.977050671227566</v>
      </c>
      <c r="I15" s="163">
        <f>'[2]PEPCO MD RC_3T7MS'!I15</f>
        <v>22.525530577577982</v>
      </c>
      <c r="J15" s="163">
        <f>'[2]PEPCO MD RC_3T7MS'!J15</f>
        <v>22.843666264548133</v>
      </c>
      <c r="K15" s="163">
        <f>'[2]PEPCO MD RC_3T7MS'!K15</f>
        <v>22.544453638474476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'[2]PEPCO MD RC_3T7MS'!G16</f>
        <v>21.380792851088007</v>
      </c>
      <c r="H16" s="163">
        <f>'[2]PEPCO MD RC_3T7MS'!H16</f>
        <v>22.135137590234709</v>
      </c>
      <c r="I16" s="163">
        <f>'[2]PEPCO MD RC_3T7MS'!I16</f>
        <v>22.520905241671368</v>
      </c>
      <c r="J16" s="163">
        <f>'[2]PEPCO MD RC_3T7MS'!J16</f>
        <v>22.838407696852574</v>
      </c>
      <c r="K16" s="163">
        <f>'[2]PEPCO MD RC_3T7MS'!K16</f>
        <v>22.568366490244895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'[2]PEPCO MD RC_3T7MS'!G17</f>
        <v>21.254863691110295</v>
      </c>
      <c r="H17" s="163">
        <f>'[2]PEPCO MD RC_3T7MS'!H17</f>
        <v>22.313264743113677</v>
      </c>
      <c r="I17" s="163">
        <f>'[2]PEPCO MD RC_3T7MS'!I17</f>
        <v>22.603046113589329</v>
      </c>
      <c r="J17" s="163">
        <f>'[2]PEPCO MD RC_3T7MS'!J17</f>
        <v>22.849770054051664</v>
      </c>
      <c r="K17" s="163">
        <f>'[2]PEPCO MD RC_3T7MS'!K17</f>
        <v>22.602141974422327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'[2]PEPCO MD RC_3T7MS'!G18</f>
        <v>21.310860445866307</v>
      </c>
      <c r="H18" s="163">
        <f>'[2]PEPCO MD RC_3T7MS'!H18</f>
        <v>22.481981778433752</v>
      </c>
      <c r="I18" s="163">
        <f>'[2]PEPCO MD RC_3T7MS'!I18</f>
        <v>22.750379580811249</v>
      </c>
      <c r="J18" s="163">
        <f>'[2]PEPCO MD RC_3T7MS'!J18</f>
        <v>22.851123065903476</v>
      </c>
      <c r="K18" s="163">
        <f>'[2]PEPCO MD RC_3T7MS'!K18</f>
        <v>22.627506088608911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'[2]PEPCO MD RC_3T7MS'!G19</f>
        <v>21.491621463705137</v>
      </c>
      <c r="H19" s="163">
        <f>'[2]PEPCO MD RC_3T7MS'!H19</f>
        <v>22.611925028239419</v>
      </c>
      <c r="I19" s="163">
        <f>'[2]PEPCO MD RC_3T7MS'!I19</f>
        <v>22.948296527615884</v>
      </c>
      <c r="J19" s="163">
        <f>'[2]PEPCO MD RC_3T7MS'!J19</f>
        <v>22.834218509805297</v>
      </c>
      <c r="K19" s="163">
        <f>'[2]PEPCO MD RC_3T7MS'!K19</f>
        <v>22.641607188970273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'[2]PEPCO MD RC_3T7MS'!G20</f>
        <v>21.570057316284526</v>
      </c>
      <c r="H20" s="163">
        <f>'[2]PEPCO MD RC_3T7MS'!H20</f>
        <v>22.744223828279075</v>
      </c>
      <c r="I20" s="163">
        <f>'[2]PEPCO MD RC_3T7MS'!I20</f>
        <v>23.096727518600513</v>
      </c>
      <c r="J20" s="163">
        <f>'[2]PEPCO MD RC_3T7MS'!J20</f>
        <v>22.816077484901403</v>
      </c>
      <c r="K20" s="163">
        <f>'[2]PEPCO MD RC_3T7MS'!K20</f>
        <v>22.686601806270055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V5VGCL2y1U0KU0T6niuGWY0SFnfNkjYlbsqXAfVq8JROqVHvDOWgPmX/k8G9jYBqsu5JqgbkpRE+PMhmDoZnvw==" saltValue="jOSlosy4vaZRx2yqSkS8Nw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47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202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57.98</v>
      </c>
      <c r="H7" s="157">
        <v>57.12</v>
      </c>
      <c r="I7" s="157">
        <v>60.11</v>
      </c>
      <c r="J7" s="157">
        <v>61.82</v>
      </c>
      <c r="K7" s="157">
        <v>64.88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'[2]PEPCO MD RC_3T7MS'!G8</f>
        <v>27.753058460083931</v>
      </c>
      <c r="H8" s="163">
        <f>'[2]PEPCO MD RC_3T7MS'!H8</f>
        <v>24.948662916091312</v>
      </c>
      <c r="I8" s="163">
        <f>'[2]PEPCO MD RC_3T7MS'!I8</f>
        <v>23.803542853390361</v>
      </c>
      <c r="J8" s="163">
        <f>'[2]PEPCO MD RC_3T7MS'!J8</f>
        <v>23.841789210137492</v>
      </c>
      <c r="K8" s="163">
        <f>'[2]PEPCO MD RC_3T7MS'!K8</f>
        <v>23.522312416900675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'[2]PEPCO MD RC_3T7MS'!G9</f>
        <v>27.167861966872877</v>
      </c>
      <c r="H9" s="163">
        <f>'[2]PEPCO MD RC_3T7MS'!H9</f>
        <v>24.42256767013783</v>
      </c>
      <c r="I9" s="163">
        <f>'[2]PEPCO MD RC_3T7MS'!I9</f>
        <v>23.687138323780314</v>
      </c>
      <c r="J9" s="163">
        <f>'[2]PEPCO MD RC_3T7MS'!J9</f>
        <v>23.665482309343879</v>
      </c>
      <c r="K9" s="163">
        <f>'[2]PEPCO MD RC_3T7MS'!K9</f>
        <v>23.352466517960075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'[2]PEPCO MD RC_3T7MS'!G10</f>
        <v>26.63064713245608</v>
      </c>
      <c r="H10" s="163">
        <f>'[2]PEPCO MD RC_3T7MS'!H10</f>
        <v>23.88490938970978</v>
      </c>
      <c r="I10" s="163">
        <f>'[2]PEPCO MD RC_3T7MS'!I10</f>
        <v>23.584287692481961</v>
      </c>
      <c r="J10" s="163">
        <f>'[2]PEPCO MD RC_3T7MS'!J10</f>
        <v>23.498461785879794</v>
      </c>
      <c r="K10" s="163">
        <f>'[2]PEPCO MD RC_3T7MS'!K10</f>
        <v>23.186378983901363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'[2]PEPCO MD RC_3T7MS'!G11</f>
        <v>25.69606040748922</v>
      </c>
      <c r="H11" s="163">
        <f>'[2]PEPCO MD RC_3T7MS'!H11</f>
        <v>23.389158889006911</v>
      </c>
      <c r="I11" s="163">
        <f>'[2]PEPCO MD RC_3T7MS'!I11</f>
        <v>23.410735253893566</v>
      </c>
      <c r="J11" s="163">
        <f>'[2]PEPCO MD RC_3T7MS'!J11</f>
        <v>23.343964862761013</v>
      </c>
      <c r="K11" s="163">
        <f>'[2]PEPCO MD RC_3T7MS'!K11</f>
        <v>23.032971939303366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'[2]PEPCO MD RC_3T7MS'!G12</f>
        <v>24.529600585849607</v>
      </c>
      <c r="H12" s="163">
        <f>'[2]PEPCO MD RC_3T7MS'!H12</f>
        <v>22.85816037947442</v>
      </c>
      <c r="I12" s="163">
        <f>'[2]PEPCO MD RC_3T7MS'!I12</f>
        <v>23.147109000252431</v>
      </c>
      <c r="J12" s="163">
        <f>'[2]PEPCO MD RC_3T7MS'!J12</f>
        <v>23.176835256960569</v>
      </c>
      <c r="K12" s="163">
        <f>'[2]PEPCO MD RC_3T7MS'!K12</f>
        <v>22.862971782552414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'[2]PEPCO MD RC_3T7MS'!G13</f>
        <v>23.211743878240203</v>
      </c>
      <c r="H13" s="163">
        <f>'[2]PEPCO MD RC_3T7MS'!H13</f>
        <v>22.33602956104879</v>
      </c>
      <c r="I13" s="163">
        <f>'[2]PEPCO MD RC_3T7MS'!I13</f>
        <v>22.809271739711971</v>
      </c>
      <c r="J13" s="163">
        <f>'[2]PEPCO MD RC_3T7MS'!J13</f>
        <v>23.012830309347667</v>
      </c>
      <c r="K13" s="163">
        <f>'[2]PEPCO MD RC_3T7MS'!K13</f>
        <v>22.694137956932611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'[2]PEPCO MD RC_3T7MS'!G14</f>
        <v>22.057827354612833</v>
      </c>
      <c r="H14" s="163">
        <f>'[2]PEPCO MD RC_3T7MS'!H14</f>
        <v>21.809018081360644</v>
      </c>
      <c r="I14" s="163">
        <f>'[2]PEPCO MD RC_3T7MS'!I14</f>
        <v>22.519031549736571</v>
      </c>
      <c r="J14" s="163">
        <f>'[2]PEPCO MD RC_3T7MS'!J14</f>
        <v>22.84281349245812</v>
      </c>
      <c r="K14" s="163">
        <f>'[2]PEPCO MD RC_3T7MS'!K14</f>
        <v>22.52101816133117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'[2]PEPCO MD RC_3T7MS'!G15</f>
        <v>21.755407797029736</v>
      </c>
      <c r="H15" s="163">
        <f>'[2]PEPCO MD RC_3T7MS'!H15</f>
        <v>21.977050671227566</v>
      </c>
      <c r="I15" s="163">
        <f>'[2]PEPCO MD RC_3T7MS'!I15</f>
        <v>22.525530577577982</v>
      </c>
      <c r="J15" s="163">
        <f>'[2]PEPCO MD RC_3T7MS'!J15</f>
        <v>22.843666264548133</v>
      </c>
      <c r="K15" s="163">
        <f>'[2]PEPCO MD RC_3T7MS'!K15</f>
        <v>22.544453638474476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'[2]PEPCO MD RC_3T7MS'!G16</f>
        <v>21.380792851088007</v>
      </c>
      <c r="H16" s="163">
        <f>'[2]PEPCO MD RC_3T7MS'!H16</f>
        <v>22.135137590234709</v>
      </c>
      <c r="I16" s="163">
        <f>'[2]PEPCO MD RC_3T7MS'!I16</f>
        <v>22.520905241671368</v>
      </c>
      <c r="J16" s="163">
        <f>'[2]PEPCO MD RC_3T7MS'!J16</f>
        <v>22.838407696852574</v>
      </c>
      <c r="K16" s="163">
        <f>'[2]PEPCO MD RC_3T7MS'!K16</f>
        <v>22.568366490244895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'[2]PEPCO MD RC_3T7MS'!G17</f>
        <v>21.254863691110295</v>
      </c>
      <c r="H17" s="163">
        <f>'[2]PEPCO MD RC_3T7MS'!H17</f>
        <v>22.313264743113677</v>
      </c>
      <c r="I17" s="163">
        <f>'[2]PEPCO MD RC_3T7MS'!I17</f>
        <v>22.603046113589329</v>
      </c>
      <c r="J17" s="163">
        <f>'[2]PEPCO MD RC_3T7MS'!J17</f>
        <v>22.849770054051664</v>
      </c>
      <c r="K17" s="163">
        <f>'[2]PEPCO MD RC_3T7MS'!K17</f>
        <v>22.602141974422327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'[2]PEPCO MD RC_3T7MS'!G18</f>
        <v>21.310860445866307</v>
      </c>
      <c r="H18" s="163">
        <f>'[2]PEPCO MD RC_3T7MS'!H18</f>
        <v>22.481981778433752</v>
      </c>
      <c r="I18" s="163">
        <f>'[2]PEPCO MD RC_3T7MS'!I18</f>
        <v>22.750379580811249</v>
      </c>
      <c r="J18" s="163">
        <f>'[2]PEPCO MD RC_3T7MS'!J18</f>
        <v>22.851123065903476</v>
      </c>
      <c r="K18" s="163">
        <f>'[2]PEPCO MD RC_3T7MS'!K18</f>
        <v>22.627506088608911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'[2]PEPCO MD RC_3T7MS'!G19</f>
        <v>21.491621463705137</v>
      </c>
      <c r="H19" s="163">
        <f>'[2]PEPCO MD RC_3T7MS'!H19</f>
        <v>22.611925028239419</v>
      </c>
      <c r="I19" s="163">
        <f>'[2]PEPCO MD RC_3T7MS'!I19</f>
        <v>22.948296527615884</v>
      </c>
      <c r="J19" s="163">
        <f>'[2]PEPCO MD RC_3T7MS'!J19</f>
        <v>22.834218509805297</v>
      </c>
      <c r="K19" s="163">
        <f>'[2]PEPCO MD RC_3T7MS'!K19</f>
        <v>22.641607188970273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'[2]PEPCO MD RC_3T7MS'!G20</f>
        <v>21.570057316284526</v>
      </c>
      <c r="H20" s="163">
        <f>'[2]PEPCO MD RC_3T7MS'!H20</f>
        <v>22.744223828279075</v>
      </c>
      <c r="I20" s="163">
        <f>'[2]PEPCO MD RC_3T7MS'!I20</f>
        <v>23.096727518600513</v>
      </c>
      <c r="J20" s="163">
        <f>'[2]PEPCO MD RC_3T7MS'!J20</f>
        <v>22.816077484901403</v>
      </c>
      <c r="K20" s="163">
        <f>'[2]PEPCO MD RC_3T7MS'!K20</f>
        <v>22.686601806270055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sheetProtection algorithmName="SHA-512" hashValue="we0LpZnM0cDjrohBoGM6RcFFekn7JcTlNKNzAwRjOtq2693xMpTi4vabXaSzCDqXgTNCXyeeSahcojx161oROA==" saltValue="vsryIYZyd9IFgb5Swa9Jo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14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204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70.959999999999994</v>
      </c>
      <c r="H7" s="157">
        <v>70.569999999999993</v>
      </c>
      <c r="I7" s="157">
        <v>70.39</v>
      </c>
      <c r="J7" s="157">
        <v>68.97</v>
      </c>
      <c r="K7" s="157">
        <v>69.41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'[2]PPL_RCGS1MS (2)'!$G8</f>
        <v>32.304839879438639</v>
      </c>
      <c r="H8" s="163">
        <f>'[2]PPL_RCGS1MS (2)'!$G8</f>
        <v>32.304839879438639</v>
      </c>
      <c r="I8" s="163">
        <f>'[2]PPL_RCGS1MS (2)'!$G8</f>
        <v>32.304839879438639</v>
      </c>
      <c r="J8" s="163">
        <f>'[2]PPL_RCGS1MS (2)'!$G8</f>
        <v>32.304839879438639</v>
      </c>
      <c r="K8" s="163">
        <f>'[2]PPL_RCGS1MS (2)'!$G8</f>
        <v>32.304839879438639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'[2]PPL_RCGS1MS (2)'!$G9</f>
        <v>31.67256509234738</v>
      </c>
      <c r="H9" s="163">
        <f>'[2]PPL_RCGS1MS (2)'!$G9</f>
        <v>31.67256509234738</v>
      </c>
      <c r="I9" s="163">
        <f>'[2]PPL_RCGS1MS (2)'!$G9</f>
        <v>31.67256509234738</v>
      </c>
      <c r="J9" s="163">
        <f>'[2]PPL_RCGS1MS (2)'!$G9</f>
        <v>31.67256509234738</v>
      </c>
      <c r="K9" s="163">
        <f>'[2]PPL_RCGS1MS (2)'!$G9</f>
        <v>31.67256509234738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'[2]PPL_RCGS1MS (2)'!$G10</f>
        <v>30.868785598816942</v>
      </c>
      <c r="H10" s="163">
        <f>'[2]PPL_RCGS1MS (2)'!$G10</f>
        <v>30.868785598816942</v>
      </c>
      <c r="I10" s="163">
        <f>'[2]PPL_RCGS1MS (2)'!$G10</f>
        <v>30.868785598816942</v>
      </c>
      <c r="J10" s="163">
        <f>'[2]PPL_RCGS1MS (2)'!$G10</f>
        <v>30.868785598816942</v>
      </c>
      <c r="K10" s="163">
        <f>'[2]PPL_RCGS1MS (2)'!$G10</f>
        <v>30.868785598816942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'[2]PPL_RCGS1MS (2)'!$G11</f>
        <v>30.045515666240753</v>
      </c>
      <c r="H11" s="163">
        <f>'[2]PPL_RCGS1MS (2)'!$G11</f>
        <v>30.045515666240753</v>
      </c>
      <c r="I11" s="163">
        <f>'[2]PPL_RCGS1MS (2)'!$G11</f>
        <v>30.045515666240753</v>
      </c>
      <c r="J11" s="163">
        <f>'[2]PPL_RCGS1MS (2)'!$G11</f>
        <v>30.045515666240753</v>
      </c>
      <c r="K11" s="163">
        <f>'[2]PPL_RCGS1MS (2)'!$G11</f>
        <v>30.045515666240753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'[2]PPL_RCGS1MS (2)'!$G12</f>
        <v>28.844750521674211</v>
      </c>
      <c r="H12" s="163">
        <f>'[2]PPL_RCGS1MS (2)'!$G12</f>
        <v>28.844750521674211</v>
      </c>
      <c r="I12" s="163">
        <f>'[2]PPL_RCGS1MS (2)'!$G12</f>
        <v>28.844750521674211</v>
      </c>
      <c r="J12" s="163">
        <f>'[2]PPL_RCGS1MS (2)'!$G12</f>
        <v>28.844750521674211</v>
      </c>
      <c r="K12" s="163">
        <f>'[2]PPL_RCGS1MS (2)'!$G12</f>
        <v>28.844750521674211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'[2]PPL_RCGS1MS (2)'!$G13</f>
        <v>27.568625626840568</v>
      </c>
      <c r="H13" s="163">
        <f>'[2]PPL_RCGS1MS (2)'!$G13</f>
        <v>27.568625626840568</v>
      </c>
      <c r="I13" s="163">
        <f>'[2]PPL_RCGS1MS (2)'!$G13</f>
        <v>27.568625626840568</v>
      </c>
      <c r="J13" s="163">
        <f>'[2]PPL_RCGS1MS (2)'!$G13</f>
        <v>27.568625626840568</v>
      </c>
      <c r="K13" s="163">
        <f>'[2]PPL_RCGS1MS (2)'!$G13</f>
        <v>27.568625626840568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'[2]PPL_RCGS1MS (2)'!$G14</f>
        <v>26.1000963548241</v>
      </c>
      <c r="H14" s="163">
        <f>'[2]PPL_RCGS1MS (2)'!$G14</f>
        <v>26.1000963548241</v>
      </c>
      <c r="I14" s="163">
        <f>'[2]PPL_RCGS1MS (2)'!$G14</f>
        <v>26.1000963548241</v>
      </c>
      <c r="J14" s="163">
        <f>'[2]PPL_RCGS1MS (2)'!$G14</f>
        <v>26.1000963548241</v>
      </c>
      <c r="K14" s="163">
        <f>'[2]PPL_RCGS1MS (2)'!$G14</f>
        <v>26.1000963548241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'[2]PPL_RCGS1MS (2)'!$G15</f>
        <v>25.773786955630289</v>
      </c>
      <c r="H15" s="163">
        <f>'[2]PPL_RCGS1MS (2)'!$G15</f>
        <v>25.773786955630289</v>
      </c>
      <c r="I15" s="163">
        <f>'[2]PPL_RCGS1MS (2)'!$G15</f>
        <v>25.773786955630289</v>
      </c>
      <c r="J15" s="163">
        <f>'[2]PPL_RCGS1MS (2)'!$G15</f>
        <v>25.773786955630289</v>
      </c>
      <c r="K15" s="163">
        <f>'[2]PPL_RCGS1MS (2)'!$G15</f>
        <v>25.773786955630289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'[2]PPL_RCGS1MS (2)'!$G16</f>
        <v>25.476226567418664</v>
      </c>
      <c r="H16" s="163">
        <f>'[2]PPL_RCGS1MS (2)'!$G16</f>
        <v>25.476226567418664</v>
      </c>
      <c r="I16" s="163">
        <f>'[2]PPL_RCGS1MS (2)'!$G16</f>
        <v>25.476226567418664</v>
      </c>
      <c r="J16" s="163">
        <f>'[2]PPL_RCGS1MS (2)'!$G16</f>
        <v>25.476226567418664</v>
      </c>
      <c r="K16" s="163">
        <f>'[2]PPL_RCGS1MS (2)'!$G16</f>
        <v>25.476226567418664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'[2]PPL_RCGS1MS (2)'!$G17</f>
        <v>25.22592514494988</v>
      </c>
      <c r="H17" s="163">
        <f>'[2]PPL_RCGS1MS (2)'!$G17</f>
        <v>25.22592514494988</v>
      </c>
      <c r="I17" s="163">
        <f>'[2]PPL_RCGS1MS (2)'!$G17</f>
        <v>25.22592514494988</v>
      </c>
      <c r="J17" s="163">
        <f>'[2]PPL_RCGS1MS (2)'!$G17</f>
        <v>25.22592514494988</v>
      </c>
      <c r="K17" s="163">
        <f>'[2]PPL_RCGS1MS (2)'!$G17</f>
        <v>25.22592514494988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'[2]PPL_RCGS1MS (2)'!$G18</f>
        <v>25.218588701101101</v>
      </c>
      <c r="H18" s="163">
        <f>'[2]PPL_RCGS1MS (2)'!$G18</f>
        <v>25.218588701101101</v>
      </c>
      <c r="I18" s="163">
        <f>'[2]PPL_RCGS1MS (2)'!$G18</f>
        <v>25.218588701101101</v>
      </c>
      <c r="J18" s="163">
        <f>'[2]PPL_RCGS1MS (2)'!$G18</f>
        <v>25.218588701101101</v>
      </c>
      <c r="K18" s="163">
        <f>'[2]PPL_RCGS1MS (2)'!$G18</f>
        <v>25.218588701101101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'[2]PPL_RCGS1MS (2)'!$G19</f>
        <v>25.304236401485657</v>
      </c>
      <c r="H19" s="163">
        <f>'[2]PPL_RCGS1MS (2)'!$G19</f>
        <v>25.304236401485657</v>
      </c>
      <c r="I19" s="163">
        <f>'[2]PPL_RCGS1MS (2)'!$G19</f>
        <v>25.304236401485657</v>
      </c>
      <c r="J19" s="163">
        <f>'[2]PPL_RCGS1MS (2)'!$G19</f>
        <v>25.304236401485657</v>
      </c>
      <c r="K19" s="163">
        <f>'[2]PPL_RCGS1MS (2)'!$G19</f>
        <v>25.304236401485657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'[2]PPL_RCGS1MS (2)'!$G20</f>
        <v>25.586380218613456</v>
      </c>
      <c r="H20" s="163">
        <f>'[2]PPL_RCGS1MS (2)'!$G20</f>
        <v>25.586380218613456</v>
      </c>
      <c r="I20" s="163">
        <f>'[2]PPL_RCGS1MS (2)'!$G20</f>
        <v>25.586380218613456</v>
      </c>
      <c r="J20" s="163">
        <f>'[2]PPL_RCGS1MS (2)'!$G20</f>
        <v>25.586380218613456</v>
      </c>
      <c r="K20" s="163">
        <f>'[2]PPL_RCGS1MS (2)'!$G20</f>
        <v>25.586380218613456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14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206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74.89</v>
      </c>
      <c r="H7" s="157">
        <v>75.38</v>
      </c>
      <c r="I7" s="157">
        <v>74.84</v>
      </c>
      <c r="J7" s="157">
        <v>73.44</v>
      </c>
      <c r="K7" s="157">
        <v>73.83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'[2]PPL_RCGS3MS (2)'!G8</f>
        <v>36.952230275725519</v>
      </c>
      <c r="H8" s="163">
        <f>'[2]PPL_RCGS3MS (2)'!H8</f>
        <v>32.703686798704787</v>
      </c>
      <c r="I8" s="163">
        <f>'[2]PPL_RCGS3MS (2)'!I8</f>
        <v>31.44433044196527</v>
      </c>
      <c r="J8" s="163">
        <f>'[2]PPL_RCGS3MS (2)'!J8</f>
        <v>31.410660634642635</v>
      </c>
      <c r="K8" s="163">
        <f>'[2]PPL_RCGS3MS (2)'!K8</f>
        <v>30.843181884454314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'[2]PPL_RCGS3MS (2)'!G9</f>
        <v>35.613238573258037</v>
      </c>
      <c r="H9" s="163">
        <f>'[2]PPL_RCGS3MS (2)'!H9</f>
        <v>32.040278472900241</v>
      </c>
      <c r="I9" s="163">
        <f>'[2]PPL_RCGS3MS (2)'!I9</f>
        <v>31.174111660007409</v>
      </c>
      <c r="J9" s="163">
        <f>'[2]PPL_RCGS3MS (2)'!J9</f>
        <v>31.194815047405861</v>
      </c>
      <c r="K9" s="163">
        <f>'[2]PPL_RCGS3MS (2)'!K9</f>
        <v>30.597035910495887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'[2]PPL_RCGS3MS (2)'!G10</f>
        <v>34.057968890127597</v>
      </c>
      <c r="H10" s="163">
        <f>'[2]PPL_RCGS3MS (2)'!H10</f>
        <v>31.347088764854195</v>
      </c>
      <c r="I10" s="163">
        <f>'[2]PPL_RCGS3MS (2)'!I10</f>
        <v>30.825969453616928</v>
      </c>
      <c r="J10" s="163">
        <f>'[2]PPL_RCGS3MS (2)'!J10</f>
        <v>30.977530150128906</v>
      </c>
      <c r="K10" s="163">
        <f>'[2]PPL_RCGS3MS (2)'!K10</f>
        <v>30.344895711928785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'[2]PPL_RCGS3MS (2)'!G11</f>
        <v>32.613243480209292</v>
      </c>
      <c r="H11" s="163">
        <f>'[2]PPL_RCGS3MS (2)'!H11</f>
        <v>30.723846142636763</v>
      </c>
      <c r="I11" s="163">
        <f>'[2]PPL_RCGS3MS (2)'!I11</f>
        <v>30.521884486942344</v>
      </c>
      <c r="J11" s="163">
        <f>'[2]PPL_RCGS3MS (2)'!J11</f>
        <v>30.777390747729083</v>
      </c>
      <c r="K11" s="163">
        <f>'[2]PPL_RCGS3MS (2)'!K11</f>
        <v>30.12040321257016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'[2]PPL_RCGS3MS (2)'!G12</f>
        <v>31.08539210411551</v>
      </c>
      <c r="H12" s="163">
        <f>'[2]PPL_RCGS3MS (2)'!H12</f>
        <v>30.009727272716063</v>
      </c>
      <c r="I12" s="163">
        <f>'[2]PPL_RCGS3MS (2)'!I12</f>
        <v>30.12370405753656</v>
      </c>
      <c r="J12" s="163">
        <f>'[2]PPL_RCGS3MS (2)'!J12</f>
        <v>30.545144362613968</v>
      </c>
      <c r="K12" s="163">
        <f>'[2]PPL_RCGS3MS (2)'!K12</f>
        <v>29.85989029181686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'[2]PPL_RCGS3MS (2)'!G13</f>
        <v>29.776030630550746</v>
      </c>
      <c r="H13" s="163">
        <f>'[2]PPL_RCGS3MS (2)'!H13</f>
        <v>29.35560376488835</v>
      </c>
      <c r="I13" s="163">
        <f>'[2]PPL_RCGS3MS (2)'!I13</f>
        <v>29.844721914742987</v>
      </c>
      <c r="J13" s="163">
        <f>'[2]PPL_RCGS3MS (2)'!J13</f>
        <v>30.339805654302811</v>
      </c>
      <c r="K13" s="163">
        <f>'[2]PPL_RCGS3MS (2)'!K13</f>
        <v>29.623234567891366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'[2]PPL_RCGS3MS (2)'!G14</f>
        <v>28.535705667913241</v>
      </c>
      <c r="H14" s="163">
        <f>'[2]PPL_RCGS3MS (2)'!H14</f>
        <v>28.719023903736208</v>
      </c>
      <c r="I14" s="163">
        <f>'[2]PPL_RCGS3MS (2)'!I14</f>
        <v>29.59067736192468</v>
      </c>
      <c r="J14" s="163">
        <f>'[2]PPL_RCGS3MS (2)'!J14</f>
        <v>30.133029347966168</v>
      </c>
      <c r="K14" s="163">
        <f>'[2]PPL_RCGS3MS (2)'!K14</f>
        <v>29.372051502903034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'[2]PPL_RCGS3MS (2)'!G15</f>
        <v>28.562482994180783</v>
      </c>
      <c r="H15" s="163">
        <f>'[2]PPL_RCGS3MS (2)'!H15</f>
        <v>28.984280277206214</v>
      </c>
      <c r="I15" s="163">
        <f>'[2]PPL_RCGS3MS (2)'!I15</f>
        <v>29.752382546598614</v>
      </c>
      <c r="J15" s="163">
        <f>'[2]PPL_RCGS3MS (2)'!J15</f>
        <v>30.108996782763818</v>
      </c>
      <c r="K15" s="163">
        <f>'[2]PPL_RCGS3MS (2)'!K15</f>
        <v>29.38147457749589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'[2]PPL_RCGS3MS (2)'!G16</f>
        <v>28.66002617723591</v>
      </c>
      <c r="H16" s="163">
        <f>'[2]PPL_RCGS3MS (2)'!H16</f>
        <v>29.217625051882727</v>
      </c>
      <c r="I16" s="163">
        <f>'[2]PPL_RCGS3MS (2)'!I16</f>
        <v>29.958780933404338</v>
      </c>
      <c r="J16" s="163">
        <f>'[2]PPL_RCGS3MS (2)'!J16</f>
        <v>30.075955271876921</v>
      </c>
      <c r="K16" s="163">
        <f>'[2]PPL_RCGS3MS (2)'!K16</f>
        <v>29.394671344436354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'[2]PPL_RCGS3MS (2)'!G17</f>
        <v>28.77073226971206</v>
      </c>
      <c r="H17" s="163">
        <f>'[2]PPL_RCGS3MS (2)'!H17</f>
        <v>29.459047642845416</v>
      </c>
      <c r="I17" s="163">
        <f>'[2]PPL_RCGS3MS (2)'!I17</f>
        <v>30.154072670455655</v>
      </c>
      <c r="J17" s="163">
        <f>'[2]PPL_RCGS3MS (2)'!J17</f>
        <v>30.03449064143037</v>
      </c>
      <c r="K17" s="163">
        <f>'[2]PPL_RCGS3MS (2)'!K17</f>
        <v>29.394051686477383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'[2]PPL_RCGS3MS (2)'!G18</f>
        <v>28.899617959853579</v>
      </c>
      <c r="H18" s="163">
        <f>'[2]PPL_RCGS3MS (2)'!H18</f>
        <v>29.635714115180019</v>
      </c>
      <c r="I18" s="163">
        <f>'[2]PPL_RCGS3MS (2)'!I18</f>
        <v>30.361624665494141</v>
      </c>
      <c r="J18" s="163">
        <f>'[2]PPL_RCGS3MS (2)'!J18</f>
        <v>29.980445460097677</v>
      </c>
      <c r="K18" s="163">
        <f>'[2]PPL_RCGS3MS (2)'!K18</f>
        <v>29.387363604882562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'[2]PPL_RCGS3MS (2)'!G19</f>
        <v>28.919120787085163</v>
      </c>
      <c r="H19" s="163">
        <f>'[2]PPL_RCGS3MS (2)'!H19</f>
        <v>29.879686232192896</v>
      </c>
      <c r="I19" s="163">
        <f>'[2]PPL_RCGS3MS (2)'!I19</f>
        <v>30.532133470821947</v>
      </c>
      <c r="J19" s="163">
        <f>'[2]PPL_RCGS3MS (2)'!J19</f>
        <v>29.955300824070449</v>
      </c>
      <c r="K19" s="163">
        <f>'[2]PPL_RCGS3MS (2)'!K19</f>
        <v>29.389410436006333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'[2]PPL_RCGS3MS (2)'!G20</f>
        <v>28.90556994289118</v>
      </c>
      <c r="H20" s="163">
        <f>'[2]PPL_RCGS3MS (2)'!H20</f>
        <v>30.121585164504914</v>
      </c>
      <c r="I20" s="163">
        <f>'[2]PPL_RCGS3MS (2)'!I20</f>
        <v>30.66974980363986</v>
      </c>
      <c r="J20" s="163">
        <f>'[2]PPL_RCGS3MS (2)'!J20</f>
        <v>29.917034155051223</v>
      </c>
      <c r="K20" s="163">
        <f>'[2]PPL_RCGS3MS (2)'!K20</f>
        <v>29.370272484618784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36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208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101.02</v>
      </c>
      <c r="H7" s="157">
        <v>103.82</v>
      </c>
      <c r="I7" s="159">
        <v>103.5</v>
      </c>
      <c r="J7" s="168">
        <v>103</v>
      </c>
      <c r="K7" s="157">
        <v>102.69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'[2]PSEG LP_GLP_MMS'!G8</f>
        <v>60.613866316245122</v>
      </c>
      <c r="H8" s="163">
        <f>'[2]PSEG LP_GLP_MMS'!H8</f>
        <v>55.681595825224065</v>
      </c>
      <c r="I8" s="163">
        <f>'[2]PSEG LP_GLP_MMS'!I8</f>
        <v>55.40255468667084</v>
      </c>
      <c r="J8" s="163">
        <f>'[2]PSEG LP_GLP_MMS'!J8</f>
        <v>54.104342388197168</v>
      </c>
      <c r="K8" s="163">
        <f>'[2]PSEG LP_GLP_MMS'!K8</f>
        <v>53.890749324362488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'[2]PSEG LP_GLP_MMS'!G9</f>
        <v>58.583401769052365</v>
      </c>
      <c r="H9" s="163">
        <f>'[2]PSEG LP_GLP_MMS'!H9</f>
        <v>55.177550540081995</v>
      </c>
      <c r="I9" s="163">
        <f>'[2]PSEG LP_GLP_MMS'!I9</f>
        <v>54.762140719721351</v>
      </c>
      <c r="J9" s="163">
        <f>'[2]PSEG LP_GLP_MMS'!J9</f>
        <v>53.793583361262669</v>
      </c>
      <c r="K9" s="163">
        <f>'[2]PSEG LP_GLP_MMS'!K9</f>
        <v>53.776132389530915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'[2]PSEG LP_GLP_MMS'!G10</f>
        <v>56.473781927638058</v>
      </c>
      <c r="H10" s="163">
        <f>'[2]PSEG LP_GLP_MMS'!H10</f>
        <v>54.724314011368634</v>
      </c>
      <c r="I10" s="163">
        <f>'[2]PSEG LP_GLP_MMS'!I10</f>
        <v>54.024611941831907</v>
      </c>
      <c r="J10" s="163">
        <f>'[2]PSEG LP_GLP_MMS'!J10</f>
        <v>53.533595940486961</v>
      </c>
      <c r="K10" s="163">
        <f>'[2]PSEG LP_GLP_MMS'!K10</f>
        <v>53.676173246412148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'[2]PSEG LP_GLP_MMS'!G11</f>
        <v>54.692274537744744</v>
      </c>
      <c r="H11" s="163">
        <f>'[2]PSEG LP_GLP_MMS'!H11</f>
        <v>54.30841653112001</v>
      </c>
      <c r="I11" s="163">
        <f>'[2]PSEG LP_GLP_MMS'!I11</f>
        <v>53.446508154509971</v>
      </c>
      <c r="J11" s="163">
        <f>'[2]PSEG LP_GLP_MMS'!J11</f>
        <v>53.286061133334925</v>
      </c>
      <c r="K11" s="163">
        <f>'[2]PSEG LP_GLP_MMS'!K11</f>
        <v>53.585835264961347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'[2]PSEG LP_GLP_MMS'!G12</f>
        <v>52.955769480244143</v>
      </c>
      <c r="H12" s="163">
        <f>'[2]PSEG LP_GLP_MMS'!H12</f>
        <v>53.766249549070317</v>
      </c>
      <c r="I12" s="163">
        <f>'[2]PSEG LP_GLP_MMS'!I12</f>
        <v>52.800693218532068</v>
      </c>
      <c r="J12" s="163">
        <f>'[2]PSEG LP_GLP_MMS'!J12</f>
        <v>52.964399228103375</v>
      </c>
      <c r="K12" s="163">
        <f>'[2]PSEG LP_GLP_MMS'!K12</f>
        <v>53.447840306257973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'[2]PSEG LP_GLP_MMS'!G13</f>
        <v>51.842335356272827</v>
      </c>
      <c r="H13" s="163">
        <f>'[2]PSEG LP_GLP_MMS'!H13</f>
        <v>53.277714609181906</v>
      </c>
      <c r="I13" s="163">
        <f>'[2]PSEG LP_GLP_MMS'!I13</f>
        <v>52.363321329072605</v>
      </c>
      <c r="J13" s="163">
        <f>'[2]PSEG LP_GLP_MMS'!J13</f>
        <v>52.678847686457395</v>
      </c>
      <c r="K13" s="163">
        <f>'[2]PSEG LP_GLP_MMS'!K13</f>
        <v>53.339242537639549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'[2]PSEG LP_GLP_MMS'!G14</f>
        <v>51.277257141310677</v>
      </c>
      <c r="H14" s="163">
        <f>'[2]PSEG LP_GLP_MMS'!H14</f>
        <v>52.940132453135057</v>
      </c>
      <c r="I14" s="163">
        <f>'[2]PSEG LP_GLP_MMS'!I14</f>
        <v>52.089302992875233</v>
      </c>
      <c r="J14" s="163">
        <f>'[2]PSEG LP_GLP_MMS'!J14</f>
        <v>52.426227919615393</v>
      </c>
      <c r="K14" s="163">
        <f>'[2]PSEG LP_GLP_MMS'!K14</f>
        <v>53.232686232240617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'[2]PSEG LP_GLP_MMS'!G15</f>
        <v>52.018336421906014</v>
      </c>
      <c r="H15" s="163">
        <f>'[2]PSEG LP_GLP_MMS'!H15</f>
        <v>52.915763701946702</v>
      </c>
      <c r="I15" s="163">
        <f>'[2]PSEG LP_GLP_MMS'!I15</f>
        <v>52.271386040086497</v>
      </c>
      <c r="J15" s="163">
        <f>'[2]PSEG LP_GLP_MMS'!J15</f>
        <v>52.530939340146482</v>
      </c>
      <c r="K15" s="163">
        <f>'[2]PSEG LP_GLP_MMS'!K15</f>
        <v>53.366943568874674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'[2]PSEG LP_GLP_MMS'!G16</f>
        <v>52.98233748499252</v>
      </c>
      <c r="H16" s="163">
        <f>'[2]PSEG LP_GLP_MMS'!H16</f>
        <v>52.800498107071114</v>
      </c>
      <c r="I16" s="163">
        <f>'[2]PSEG LP_GLP_MMS'!I16</f>
        <v>52.55310322460987</v>
      </c>
      <c r="J16" s="163">
        <f>'[2]PSEG LP_GLP_MMS'!J16</f>
        <v>52.623084883804559</v>
      </c>
      <c r="K16" s="163">
        <f>'[2]PSEG LP_GLP_MMS'!K16</f>
        <v>53.516101641910332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'[2]PSEG LP_GLP_MMS'!G17</f>
        <v>53.889793700169442</v>
      </c>
      <c r="H17" s="163">
        <f>'[2]PSEG LP_GLP_MMS'!H17</f>
        <v>52.794449679484593</v>
      </c>
      <c r="I17" s="163">
        <f>'[2]PSEG LP_GLP_MMS'!I17</f>
        <v>52.789185189130059</v>
      </c>
      <c r="J17" s="163">
        <f>'[2]PSEG LP_GLP_MMS'!J17</f>
        <v>52.753163643097466</v>
      </c>
      <c r="K17" s="163">
        <f>'[2]PSEG LP_GLP_MMS'!K17</f>
        <v>53.653228266286241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'[2]PSEG LP_GLP_MMS'!G18</f>
        <v>54.681425882508329</v>
      </c>
      <c r="H18" s="163">
        <f>'[2]PSEG LP_GLP_MMS'!H18</f>
        <v>52.717976670727509</v>
      </c>
      <c r="I18" s="163">
        <f>'[2]PSEG LP_GLP_MMS'!I18</f>
        <v>52.967521017275487</v>
      </c>
      <c r="J18" s="163">
        <f>'[2]PSEG LP_GLP_MMS'!J18</f>
        <v>52.84326327529098</v>
      </c>
      <c r="K18" s="163">
        <f>'[2]PSEG LP_GLP_MMS'!K18</f>
        <v>53.773735275052942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'[2]PSEG LP_GLP_MMS'!G19</f>
        <v>54.937519126859293</v>
      </c>
      <c r="H19" s="163">
        <f>'[2]PSEG LP_GLP_MMS'!H19</f>
        <v>52.644772144830455</v>
      </c>
      <c r="I19" s="163">
        <f>'[2]PSEG LP_GLP_MMS'!I19</f>
        <v>52.986322244859288</v>
      </c>
      <c r="J19" s="163">
        <f>'[2]PSEG LP_GLP_MMS'!J19</f>
        <v>52.951569295815872</v>
      </c>
      <c r="K19" s="163">
        <f>'[2]PSEG LP_GLP_MMS'!K19</f>
        <v>53.904236741008582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'[2]PSEG LP_GLP_MMS'!G20</f>
        <v>54.808928811344913</v>
      </c>
      <c r="H20" s="163">
        <f>'[2]PSEG LP_GLP_MMS'!H20</f>
        <v>52.520166860467839</v>
      </c>
      <c r="I20" s="163">
        <f>'[2]PSEG LP_GLP_MMS'!I20</f>
        <v>52.839256311538726</v>
      </c>
      <c r="J20" s="163">
        <f>'[2]PSEG LP_GLP_MMS'!J20</f>
        <v>52.992512308121604</v>
      </c>
      <c r="K20" s="163">
        <f>'[2]PSEG LP_GLP_MMS'!K20</f>
        <v>53.991890233382172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X1/i0UwKsDe8DDdXcE/TzOMtnKwz1blJjIGBEe+vAMmtM4v7rFuASnb3aTmelnAO8ka5rJGedi868kSZ7z7QHA==" saltValue="IsgA1UdCb3LPVrqn9HwlIA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B0F0"/>
  </sheetPr>
  <dimension ref="A1:BJ46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36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211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92.45</v>
      </c>
      <c r="H7" s="157">
        <v>95.31</v>
      </c>
      <c r="I7" s="157">
        <v>95.04</v>
      </c>
      <c r="J7" s="157">
        <v>94.84</v>
      </c>
      <c r="K7" s="157">
        <v>94.75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'[2]PSEG LP_LPLMS'!G8</f>
        <v>52.283820008031284</v>
      </c>
      <c r="H8" s="163">
        <f>'[2]PSEG LP_LPLMS'!H8</f>
        <v>48.511892604120995</v>
      </c>
      <c r="I8" s="163">
        <f>'[2]PSEG LP_LPLMS'!I8</f>
        <v>48.226869564875756</v>
      </c>
      <c r="J8" s="163">
        <f>'[2]PSEG LP_LPLMS'!J8</f>
        <v>47.268590226712021</v>
      </c>
      <c r="K8" s="163">
        <f>'[2]PSEG LP_LPLMS'!K8</f>
        <v>47.168561473876025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'[2]PSEG LP_LPLMS'!G9</f>
        <v>50.579692476429841</v>
      </c>
      <c r="H9" s="163">
        <f>'[2]PSEG LP_LPLMS'!H9</f>
        <v>48.08952205567789</v>
      </c>
      <c r="I9" s="163">
        <f>'[2]PSEG LP_LPLMS'!I9</f>
        <v>47.677381689232071</v>
      </c>
      <c r="J9" s="163">
        <f>'[2]PSEG LP_LPLMS'!J9</f>
        <v>47.016356195362249</v>
      </c>
      <c r="K9" s="163">
        <f>'[2]PSEG LP_LPLMS'!K9</f>
        <v>47.089364977959782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'[2]PSEG LP_LPLMS'!G10</f>
        <v>48.855553388363916</v>
      </c>
      <c r="H10" s="163">
        <f>'[2]PSEG LP_LPLMS'!H10</f>
        <v>47.737617153209342</v>
      </c>
      <c r="I10" s="163">
        <f>'[2]PSEG LP_LPLMS'!I10</f>
        <v>47.091142997561668</v>
      </c>
      <c r="J10" s="163">
        <f>'[2]PSEG LP_LPLMS'!J10</f>
        <v>46.81887162491217</v>
      </c>
      <c r="K10" s="163">
        <f>'[2]PSEG LP_LPLMS'!K10</f>
        <v>47.019313841696025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'[2]PSEG LP_LPLMS'!G11</f>
        <v>47.593033789182485</v>
      </c>
      <c r="H11" s="163">
        <f>'[2]PSEG LP_LPLMS'!H11</f>
        <v>47.397979279936216</v>
      </c>
      <c r="I11" s="163">
        <f>'[2]PSEG LP_LPLMS'!I11</f>
        <v>46.6897055818608</v>
      </c>
      <c r="J11" s="163">
        <f>'[2]PSEG LP_LPLMS'!J11</f>
        <v>46.622344679163795</v>
      </c>
      <c r="K11" s="163">
        <f>'[2]PSEG LP_LPLMS'!K11</f>
        <v>46.956556010967603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'[2]PSEG LP_LPLMS'!G12</f>
        <v>46.238972548340698</v>
      </c>
      <c r="H12" s="163">
        <f>'[2]PSEG LP_LPLMS'!H12</f>
        <v>46.963818194632132</v>
      </c>
      <c r="I12" s="163">
        <f>'[2]PSEG LP_LPLMS'!I12</f>
        <v>46.191783236576178</v>
      </c>
      <c r="J12" s="163">
        <f>'[2]PSEG LP_LPLMS'!J12</f>
        <v>46.364291594228355</v>
      </c>
      <c r="K12" s="163">
        <f>'[2]PSEG LP_LPLMS'!K12</f>
        <v>46.852491762722472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'[2]PSEG LP_LPLMS'!G13</f>
        <v>45.453480630959163</v>
      </c>
      <c r="H13" s="163">
        <f>'[2]PSEG LP_LPLMS'!H13</f>
        <v>46.57404782201175</v>
      </c>
      <c r="I13" s="163">
        <f>'[2]PSEG LP_LPLMS'!I13</f>
        <v>45.888736645747954</v>
      </c>
      <c r="J13" s="163">
        <f>'[2]PSEG LP_LPLMS'!J13</f>
        <v>46.14770735956639</v>
      </c>
      <c r="K13" s="163">
        <f>'[2]PSEG LP_LPLMS'!K13</f>
        <v>46.780124161823451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'[2]PSEG LP_LPLMS'!G14</f>
        <v>45.085348709772255</v>
      </c>
      <c r="H14" s="163">
        <f>'[2]PSEG LP_LPLMS'!H14</f>
        <v>46.293393902904818</v>
      </c>
      <c r="I14" s="163">
        <f>'[2]PSEG LP_LPLMS'!I14</f>
        <v>45.698007571306164</v>
      </c>
      <c r="J14" s="163">
        <f>'[2]PSEG LP_LPLMS'!J14</f>
        <v>45.944032684160398</v>
      </c>
      <c r="K14" s="163">
        <f>'[2]PSEG LP_LPLMS'!K14</f>
        <v>46.698806890003155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'[2]PSEG LP_LPLMS'!G15</f>
        <v>45.738216115944169</v>
      </c>
      <c r="H15" s="163">
        <f>'[2]PSEG LP_LPLMS'!H15</f>
        <v>46.26328676084966</v>
      </c>
      <c r="I15" s="163">
        <f>'[2]PSEG LP_LPLMS'!I15</f>
        <v>45.869964031401913</v>
      </c>
      <c r="J15" s="163">
        <f>'[2]PSEG LP_LPLMS'!J15</f>
        <v>46.034767834666496</v>
      </c>
      <c r="K15" s="163">
        <f>'[2]PSEG LP_LPLMS'!K15</f>
        <v>46.82135160559497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'[2]PSEG LP_LPLMS'!G16</f>
        <v>46.605467798917424</v>
      </c>
      <c r="H16" s="163">
        <f>'[2]PSEG LP_LPLMS'!H16</f>
        <v>46.202232070558004</v>
      </c>
      <c r="I16" s="163">
        <f>'[2]PSEG LP_LPLMS'!I16</f>
        <v>46.132029375050948</v>
      </c>
      <c r="J16" s="163">
        <f>'[2]PSEG LP_LPLMS'!J16</f>
        <v>46.13913422284174</v>
      </c>
      <c r="K16" s="163">
        <f>'[2]PSEG LP_LPLMS'!K16</f>
        <v>46.967143312012276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'[2]PSEG LP_LPLMS'!G17</f>
        <v>47.184744210013257</v>
      </c>
      <c r="H17" s="163">
        <f>'[2]PSEG LP_LPLMS'!H17</f>
        <v>46.216381014169258</v>
      </c>
      <c r="I17" s="163">
        <f>'[2]PSEG LP_LPLMS'!I17</f>
        <v>46.278812228958792</v>
      </c>
      <c r="J17" s="163">
        <f>'[2]PSEG LP_LPLMS'!J17</f>
        <v>46.263465631469515</v>
      </c>
      <c r="K17" s="163">
        <f>'[2]PSEG LP_LPLMS'!K17</f>
        <v>47.061171285290968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'[2]PSEG LP_LPLMS'!G18</f>
        <v>47.779875589795367</v>
      </c>
      <c r="H18" s="163">
        <f>'[2]PSEG LP_LPLMS'!H18</f>
        <v>46.16665135666954</v>
      </c>
      <c r="I18" s="163">
        <f>'[2]PSEG LP_LPLMS'!I18</f>
        <v>46.409524069851834</v>
      </c>
      <c r="J18" s="163">
        <f>'[2]PSEG LP_LPLMS'!J18</f>
        <v>46.356376019748893</v>
      </c>
      <c r="K18" s="163">
        <f>'[2]PSEG LP_LPLMS'!K18</f>
        <v>47.181097951685956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'[2]PSEG LP_LPLMS'!G19</f>
        <v>47.854472041241117</v>
      </c>
      <c r="H19" s="163">
        <f>'[2]PSEG LP_LPLMS'!H19</f>
        <v>46.122567062223212</v>
      </c>
      <c r="I19" s="163">
        <f>'[2]PSEG LP_LPLMS'!I19</f>
        <v>46.40093070773468</v>
      </c>
      <c r="J19" s="163">
        <f>'[2]PSEG LP_LPLMS'!J19</f>
        <v>46.461413191232879</v>
      </c>
      <c r="K19" s="163">
        <f>'[2]PSEG LP_LPLMS'!K19</f>
        <v>47.301600152214966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'[2]PSEG LP_LPLMS'!G20</f>
        <v>47.626576455370937</v>
      </c>
      <c r="H20" s="163">
        <f>'[2]PSEG LP_LPLMS'!H20</f>
        <v>46.020317972665126</v>
      </c>
      <c r="I20" s="163">
        <f>'[2]PSEG LP_LPLMS'!I20</f>
        <v>46.249164765558646</v>
      </c>
      <c r="J20" s="163">
        <f>'[2]PSEG LP_LPLMS'!J20</f>
        <v>46.495024246980151</v>
      </c>
      <c r="K20" s="163">
        <f>'[2]PSEG LP_LPLMS'!K20</f>
        <v>47.378518790974418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4"/>
      <c r="C37" s="184"/>
      <c r="D37" s="184"/>
      <c r="E37" s="184"/>
      <c r="F37" s="184"/>
      <c r="G37" s="184"/>
      <c r="H37" s="184"/>
      <c r="I37" s="184"/>
      <c r="J37" s="184"/>
      <c r="K37" s="184"/>
      <c r="L37" s="184"/>
      <c r="M37" s="184"/>
      <c r="N37" s="184"/>
      <c r="O37" s="184"/>
      <c r="P37" s="184"/>
      <c r="Q37" s="184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  <c r="AL37" s="184"/>
      <c r="AM37" s="184"/>
      <c r="AN37" s="184"/>
      <c r="AO37" s="184"/>
      <c r="AP37" s="184"/>
      <c r="AQ37" s="184"/>
      <c r="AR37" s="184"/>
      <c r="AS37" s="184"/>
      <c r="AT37" s="184"/>
      <c r="AU37" s="184"/>
      <c r="AV37" s="184"/>
      <c r="AW37" s="184"/>
      <c r="AX37" s="184"/>
      <c r="AY37" s="184"/>
      <c r="AZ37" s="184"/>
      <c r="BA37" s="184"/>
      <c r="BB37" s="184"/>
      <c r="BC37" s="184"/>
      <c r="BD37" s="184"/>
      <c r="BE37" s="184"/>
      <c r="BF37" s="184"/>
      <c r="BG37" s="184"/>
      <c r="BH37" s="184"/>
      <c r="BI37" s="184"/>
      <c r="BJ37" s="184"/>
    </row>
    <row r="38" spans="1:62" ht="16.5" customHeight="1" x14ac:dyDescent="0.15">
      <c r="A38" s="183"/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</row>
    <row r="39" spans="1:62" ht="16.5" customHeight="1" x14ac:dyDescent="0.15">
      <c r="A39" s="183"/>
      <c r="B39" s="184"/>
      <c r="C39" s="184"/>
      <c r="D39" s="184"/>
      <c r="E39" s="184"/>
      <c r="F39" s="184"/>
      <c r="G39" s="184"/>
      <c r="H39" s="184"/>
      <c r="I39" s="184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  <c r="AM39" s="184"/>
      <c r="AN39" s="184"/>
      <c r="AO39" s="184"/>
      <c r="AP39" s="184"/>
      <c r="AQ39" s="184"/>
      <c r="AR39" s="184"/>
      <c r="AS39" s="184"/>
      <c r="AT39" s="184"/>
      <c r="AU39" s="184"/>
      <c r="AV39" s="184"/>
      <c r="AW39" s="184"/>
      <c r="AX39" s="184"/>
      <c r="AY39" s="184"/>
      <c r="AZ39" s="184"/>
      <c r="BA39" s="184"/>
      <c r="BB39" s="184"/>
      <c r="BC39" s="184"/>
      <c r="BD39" s="184"/>
      <c r="BE39" s="184"/>
      <c r="BF39" s="184"/>
      <c r="BG39" s="184"/>
      <c r="BH39" s="184"/>
      <c r="BI39" s="184"/>
      <c r="BJ39" s="184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3"/>
      <c r="C41" s="183"/>
      <c r="D41" s="183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</row>
    <row r="42" spans="1:62" ht="16.5" customHeight="1" x14ac:dyDescent="0.15">
      <c r="A42" s="183"/>
      <c r="B42" s="184"/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  <c r="AL42" s="184"/>
      <c r="AM42" s="184"/>
      <c r="AN42" s="184"/>
      <c r="AO42" s="184"/>
      <c r="AP42" s="184"/>
      <c r="AQ42" s="184"/>
      <c r="AR42" s="184"/>
      <c r="AS42" s="184"/>
      <c r="AT42" s="184"/>
      <c r="AU42" s="184"/>
      <c r="AV42" s="184"/>
      <c r="AW42" s="184"/>
      <c r="AX42" s="184"/>
      <c r="AY42" s="184"/>
      <c r="AZ42" s="184"/>
      <c r="BA42" s="184"/>
      <c r="BB42" s="184"/>
      <c r="BC42" s="184"/>
      <c r="BD42" s="184"/>
      <c r="BE42" s="184"/>
      <c r="BF42" s="184"/>
      <c r="BG42" s="184"/>
      <c r="BH42" s="184"/>
      <c r="BI42" s="184"/>
      <c r="BJ42" s="184"/>
    </row>
    <row r="43" spans="1:62" ht="16.5" customHeight="1" x14ac:dyDescent="0.15">
      <c r="A43" s="183"/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84"/>
      <c r="AP43" s="184"/>
      <c r="AQ43" s="184"/>
      <c r="AR43" s="184"/>
      <c r="AS43" s="184"/>
      <c r="AT43" s="184"/>
      <c r="AU43" s="184"/>
      <c r="AV43" s="184"/>
      <c r="AW43" s="184"/>
      <c r="AX43" s="184"/>
      <c r="AY43" s="184"/>
      <c r="AZ43" s="184"/>
      <c r="BA43" s="184"/>
      <c r="BB43" s="184"/>
      <c r="BC43" s="184"/>
      <c r="BD43" s="184"/>
      <c r="BE43" s="184"/>
      <c r="BF43" s="184"/>
      <c r="BG43" s="184"/>
      <c r="BH43" s="184"/>
      <c r="BI43" s="184"/>
      <c r="BJ43" s="184"/>
    </row>
    <row r="44" spans="1:62" ht="16.5" customHeight="1" x14ac:dyDescent="0.15">
      <c r="A44" s="183"/>
      <c r="B44" s="184"/>
      <c r="C44" s="184"/>
      <c r="D44" s="184"/>
      <c r="E44" s="184"/>
      <c r="F44" s="184"/>
      <c r="G44" s="184"/>
      <c r="H44" s="184"/>
      <c r="I44" s="184"/>
      <c r="J44" s="184"/>
      <c r="K44" s="184"/>
      <c r="L44" s="184"/>
      <c r="M44" s="184"/>
      <c r="N44" s="184"/>
      <c r="O44" s="184"/>
      <c r="P44" s="184"/>
      <c r="Q44" s="184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  <c r="AL44" s="184"/>
      <c r="AM44" s="184"/>
      <c r="AN44" s="184"/>
      <c r="AO44" s="184"/>
      <c r="AP44" s="184"/>
      <c r="AQ44" s="184"/>
      <c r="AR44" s="184"/>
      <c r="AS44" s="184"/>
      <c r="AT44" s="184"/>
      <c r="AU44" s="184"/>
      <c r="AV44" s="184"/>
      <c r="AW44" s="184"/>
      <c r="AX44" s="184"/>
      <c r="AY44" s="184"/>
      <c r="AZ44" s="184"/>
      <c r="BA44" s="184"/>
      <c r="BB44" s="184"/>
      <c r="BC44" s="184"/>
      <c r="BD44" s="184"/>
      <c r="BE44" s="184"/>
      <c r="BF44" s="184"/>
      <c r="BG44" s="184"/>
      <c r="BH44" s="184"/>
      <c r="BI44" s="184"/>
      <c r="BJ44" s="184"/>
    </row>
    <row r="45" spans="1:62" ht="16.5" customHeight="1" x14ac:dyDescent="0.15">
      <c r="A45" s="153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  <c r="AV45" s="154"/>
      <c r="AW45" s="154"/>
      <c r="AX45" s="154"/>
      <c r="AY45" s="154"/>
      <c r="AZ45" s="154"/>
      <c r="BA45" s="154"/>
      <c r="BB45" s="154"/>
      <c r="BC45" s="154"/>
      <c r="BD45" s="154"/>
      <c r="BE45" s="154"/>
      <c r="BF45" s="154"/>
      <c r="BG45" s="154"/>
      <c r="BH45" s="154"/>
      <c r="BI45" s="154"/>
      <c r="BJ45" s="154"/>
    </row>
    <row r="46" spans="1:62" ht="16.5" customHeight="1" x14ac:dyDescent="0.15">
      <c r="A46" s="153"/>
      <c r="B46" s="155"/>
      <c r="C46" s="155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X46" s="155"/>
      <c r="Y46" s="155"/>
      <c r="Z46" s="155"/>
      <c r="AA46" s="155"/>
      <c r="AB46" s="155"/>
      <c r="AC46" s="155"/>
      <c r="AD46" s="155"/>
      <c r="AE46" s="155"/>
      <c r="AF46" s="155"/>
      <c r="AG46" s="155"/>
      <c r="AH46" s="155"/>
      <c r="AI46" s="155"/>
      <c r="AJ46" s="155"/>
      <c r="AK46" s="155"/>
      <c r="AL46" s="155"/>
      <c r="AM46" s="155"/>
      <c r="AN46" s="155"/>
      <c r="AO46" s="155"/>
      <c r="AP46" s="155"/>
      <c r="AQ46" s="155"/>
      <c r="AR46" s="155"/>
      <c r="AS46" s="155"/>
      <c r="AT46" s="155"/>
      <c r="AU46" s="155"/>
      <c r="AV46" s="155"/>
      <c r="AW46" s="155"/>
      <c r="AX46" s="155"/>
      <c r="AY46" s="155"/>
      <c r="AZ46" s="155"/>
      <c r="BA46" s="155"/>
      <c r="BB46" s="155"/>
      <c r="BC46" s="155"/>
      <c r="BD46" s="155"/>
      <c r="BE46" s="155"/>
      <c r="BF46" s="155"/>
      <c r="BG46" s="155"/>
      <c r="BH46" s="155"/>
      <c r="BI46" s="155"/>
      <c r="BJ46" s="155"/>
    </row>
  </sheetData>
  <sheetProtection algorithmName="SHA-512" hashValue="2K8S12qHOZbmNQ3GOYDEJ9CvmwJhQcqXo1nsXdW0+trbbGLjX/4GvI75N3EO32Uxhkhv2Ag1h1YUGnjpEecsSA==" saltValue="ECq5deaZ+qr5U20InXxNkg==" spinCount="100000" sheet="1" scenarios="1" autoFilter="0"/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F0"/>
  </sheetPr>
  <dimension ref="A1:BJ43"/>
  <sheetViews>
    <sheetView zoomScale="70" zoomScaleNormal="70" workbookViewId="0">
      <pane ySplit="1" topLeftCell="A2" activePane="bottomLeft" state="frozenSplit"/>
      <selection activeCell="A2" sqref="A2:F2"/>
      <selection pane="bottomLeft" activeCell="A2" sqref="A2:F2"/>
    </sheetView>
  </sheetViews>
  <sheetFormatPr defaultColWidth="13.33203125" defaultRowHeight="16.5" customHeight="1" x14ac:dyDescent="0.15"/>
  <cols>
    <col min="1" max="1" width="30" style="167" customWidth="1"/>
    <col min="2" max="16384" width="13.33203125" style="167"/>
  </cols>
  <sheetData>
    <row r="1" spans="1:11" s="156" customFormat="1" ht="16.5" customHeight="1" x14ac:dyDescent="0.15"/>
    <row r="2" spans="1:11" ht="33" customHeight="1" x14ac:dyDescent="0.15">
      <c r="A2" s="212" t="s">
        <v>738</v>
      </c>
      <c r="B2" s="213"/>
      <c r="C2" s="213"/>
      <c r="D2" s="213"/>
      <c r="E2" s="213"/>
      <c r="F2" s="213"/>
    </row>
    <row r="4" spans="1:11" ht="16.5" customHeight="1" x14ac:dyDescent="0.15">
      <c r="A4" s="210" t="s">
        <v>648</v>
      </c>
      <c r="B4" s="210"/>
      <c r="C4" s="211" t="s">
        <v>663</v>
      </c>
      <c r="D4" s="211"/>
      <c r="E4" s="211"/>
      <c r="F4" s="205"/>
      <c r="G4" s="205"/>
      <c r="H4" s="205"/>
      <c r="I4" s="205"/>
      <c r="J4" s="205"/>
      <c r="K4" s="205"/>
    </row>
    <row r="5" spans="1:11" ht="16.5" customHeight="1" x14ac:dyDescent="0.15">
      <c r="A5" s="210" t="s">
        <v>649</v>
      </c>
      <c r="B5" s="210"/>
      <c r="C5" s="211" t="s">
        <v>214</v>
      </c>
      <c r="D5" s="211"/>
      <c r="E5" s="211"/>
      <c r="F5" s="205"/>
      <c r="G5" s="210" t="s">
        <v>650</v>
      </c>
      <c r="H5" s="210"/>
      <c r="I5" s="210"/>
      <c r="J5" s="210"/>
      <c r="K5" s="210"/>
    </row>
    <row r="6" spans="1:11" ht="16.5" customHeight="1" x14ac:dyDescent="0.15">
      <c r="A6" s="210" t="s">
        <v>651</v>
      </c>
      <c r="B6" s="210"/>
      <c r="C6" s="211" t="s">
        <v>652</v>
      </c>
      <c r="D6" s="211"/>
      <c r="E6" s="211"/>
      <c r="F6" s="205"/>
      <c r="G6" s="204" t="s">
        <v>653</v>
      </c>
      <c r="H6" s="204" t="s">
        <v>654</v>
      </c>
      <c r="I6" s="204" t="s">
        <v>655</v>
      </c>
      <c r="J6" s="204" t="s">
        <v>656</v>
      </c>
      <c r="K6" s="204" t="s">
        <v>657</v>
      </c>
    </row>
    <row r="7" spans="1:11" ht="16.5" customHeight="1" x14ac:dyDescent="0.15">
      <c r="A7" s="210" t="s">
        <v>658</v>
      </c>
      <c r="B7" s="210"/>
      <c r="C7" s="211" t="s">
        <v>676</v>
      </c>
      <c r="D7" s="211"/>
      <c r="E7" s="211"/>
      <c r="F7" s="205"/>
      <c r="G7" s="157">
        <v>56.48</v>
      </c>
      <c r="H7" s="157">
        <v>54.62</v>
      </c>
      <c r="I7" s="157">
        <v>57.54</v>
      </c>
      <c r="J7" s="157">
        <v>58.82</v>
      </c>
      <c r="K7" s="157">
        <v>61.63</v>
      </c>
    </row>
    <row r="8" spans="1:11" ht="16.5" customHeight="1" x14ac:dyDescent="0.15">
      <c r="A8" s="210" t="s">
        <v>659</v>
      </c>
      <c r="B8" s="210"/>
      <c r="C8" s="211"/>
      <c r="D8" s="211"/>
      <c r="E8" s="211"/>
      <c r="F8" s="205"/>
      <c r="G8" s="163">
        <f>'[2]West Penn Power LP_GSCMMS (2)'!G8</f>
        <v>13.575321695221293</v>
      </c>
      <c r="H8" s="163">
        <f>'[2]West Penn Power LP_GSCMMS (2)'!H8</f>
        <v>17.813986303367251</v>
      </c>
      <c r="I8" s="163">
        <f>'[2]West Penn Power LP_GSCMMS (2)'!I8</f>
        <v>19.369507336474388</v>
      </c>
      <c r="J8" s="163">
        <f>'[2]West Penn Power LP_GSCMMS (2)'!J8</f>
        <v>20.298991153984694</v>
      </c>
      <c r="K8" s="163">
        <f>'[2]West Penn Power LP_GSCMMS (2)'!K8</f>
        <v>20.231244980032702</v>
      </c>
    </row>
    <row r="9" spans="1:11" ht="16.5" customHeight="1" x14ac:dyDescent="0.15">
      <c r="A9" s="204"/>
      <c r="B9" s="205"/>
      <c r="C9" s="206"/>
      <c r="D9" s="205"/>
      <c r="E9" s="205"/>
      <c r="F9" s="205"/>
      <c r="G9" s="163">
        <f>'[2]West Penn Power LP_GSCMMS (2)'!G9</f>
        <v>15.125482619615012</v>
      </c>
      <c r="H9" s="163">
        <f>'[2]West Penn Power LP_GSCMMS (2)'!H9</f>
        <v>18.565304917205886</v>
      </c>
      <c r="I9" s="163">
        <f>'[2]West Penn Power LP_GSCMMS (2)'!I9</f>
        <v>19.932146360001745</v>
      </c>
      <c r="J9" s="163">
        <f>'[2]West Penn Power LP_GSCMMS (2)'!J9</f>
        <v>20.707914556920326</v>
      </c>
      <c r="K9" s="163">
        <f>'[2]West Penn Power LP_GSCMMS (2)'!K9</f>
        <v>20.328508506436815</v>
      </c>
    </row>
    <row r="10" spans="1:11" ht="16.5" customHeight="1" x14ac:dyDescent="0.15">
      <c r="A10" s="204"/>
      <c r="B10" s="205"/>
      <c r="C10" s="206"/>
      <c r="D10" s="205"/>
      <c r="E10" s="205"/>
      <c r="F10" s="205"/>
      <c r="G10" s="163">
        <f>'[2]West Penn Power LP_GSCMMS (2)'!G10</f>
        <v>17.19337736460653</v>
      </c>
      <c r="H10" s="163">
        <f>'[2]West Penn Power LP_GSCMMS (2)'!H10</f>
        <v>19.341338345353751</v>
      </c>
      <c r="I10" s="163">
        <f>'[2]West Penn Power LP_GSCMMS (2)'!I10</f>
        <v>20.637393454528425</v>
      </c>
      <c r="J10" s="163">
        <f>'[2]West Penn Power LP_GSCMMS (2)'!J10</f>
        <v>21.139984411073108</v>
      </c>
      <c r="K10" s="163">
        <f>'[2]West Penn Power LP_GSCMMS (2)'!K10</f>
        <v>20.430641666178502</v>
      </c>
    </row>
    <row r="11" spans="1:11" ht="16.5" customHeight="1" x14ac:dyDescent="0.15">
      <c r="A11" s="204"/>
      <c r="B11" s="205"/>
      <c r="C11" s="206"/>
      <c r="D11" s="205"/>
      <c r="E11" s="205"/>
      <c r="F11" s="205"/>
      <c r="G11" s="163">
        <f>'[2]West Penn Power LP_GSCMMS (2)'!G11</f>
        <v>18.823598352527902</v>
      </c>
      <c r="H11" s="163">
        <f>'[2]West Penn Power LP_GSCMMS (2)'!H11</f>
        <v>20.008415858532381</v>
      </c>
      <c r="I11" s="163">
        <f>'[2]West Penn Power LP_GSCMMS (2)'!I11</f>
        <v>21.21047210012981</v>
      </c>
      <c r="J11" s="163">
        <f>'[2]West Penn Power LP_GSCMMS (2)'!J11</f>
        <v>21.505381007173778</v>
      </c>
      <c r="K11" s="163">
        <f>'[2]West Penn Power LP_GSCMMS (2)'!K11</f>
        <v>20.514429254798277</v>
      </c>
    </row>
    <row r="12" spans="1:11" ht="16.5" customHeight="1" x14ac:dyDescent="0.15">
      <c r="A12" s="204"/>
      <c r="B12" s="205"/>
      <c r="C12" s="206"/>
      <c r="D12" s="205"/>
      <c r="E12" s="205"/>
      <c r="F12" s="205"/>
      <c r="G12" s="163">
        <f>'[2]West Penn Power LP_GSCMMS (2)'!G12</f>
        <v>19.648930845611179</v>
      </c>
      <c r="H12" s="163">
        <f>'[2]West Penn Power LP_GSCMMS (2)'!H12</f>
        <v>20.712131598082767</v>
      </c>
      <c r="I12" s="163">
        <f>'[2]West Penn Power LP_GSCMMS (2)'!I12</f>
        <v>21.586125718384697</v>
      </c>
      <c r="J12" s="163">
        <f>'[2]West Penn Power LP_GSCMMS (2)'!J12</f>
        <v>21.905438780024589</v>
      </c>
      <c r="K12" s="163">
        <f>'[2]West Penn Power LP_GSCMMS (2)'!K12</f>
        <v>20.610105566072018</v>
      </c>
    </row>
    <row r="13" spans="1:11" ht="16.5" customHeight="1" x14ac:dyDescent="0.15">
      <c r="A13" s="204"/>
      <c r="B13" s="205"/>
      <c r="C13" s="206"/>
      <c r="D13" s="205"/>
      <c r="E13" s="205"/>
      <c r="F13" s="205"/>
      <c r="G13" s="163">
        <f>'[2]West Penn Power LP_GSCMMS (2)'!G13</f>
        <v>20.847363763109048</v>
      </c>
      <c r="H13" s="163">
        <f>'[2]West Penn Power LP_GSCMMS (2)'!H13</f>
        <v>21.475033314809163</v>
      </c>
      <c r="I13" s="163">
        <f>'[2]West Penn Power LP_GSCMMS (2)'!I13</f>
        <v>22.077963454213151</v>
      </c>
      <c r="J13" s="163">
        <f>'[2]West Penn Power LP_GSCMMS (2)'!J13</f>
        <v>22.313047148380615</v>
      </c>
      <c r="K13" s="163">
        <f>'[2]West Penn Power LP_GSCMMS (2)'!K13</f>
        <v>20.710065032648281</v>
      </c>
    </row>
    <row r="14" spans="1:11" ht="16.5" customHeight="1" x14ac:dyDescent="0.15">
      <c r="A14" s="204"/>
      <c r="B14" s="205"/>
      <c r="C14" s="206"/>
      <c r="D14" s="205"/>
      <c r="E14" s="205"/>
      <c r="F14" s="205"/>
      <c r="G14" s="163">
        <f>'[2]West Penn Power LP_GSCMMS (2)'!G14</f>
        <v>21.931714132980822</v>
      </c>
      <c r="H14" s="163">
        <f>'[2]West Penn Power LP_GSCMMS (2)'!H14</f>
        <v>22.222370509827623</v>
      </c>
      <c r="I14" s="163">
        <f>'[2]West Penn Power LP_GSCMMS (2)'!I14</f>
        <v>22.49511424885501</v>
      </c>
      <c r="J14" s="163">
        <f>'[2]West Penn Power LP_GSCMMS (2)'!J14</f>
        <v>22.732644913522414</v>
      </c>
      <c r="K14" s="163">
        <f>'[2]West Penn Power LP_GSCMMS (2)'!K14</f>
        <v>20.81017830457245</v>
      </c>
    </row>
    <row r="15" spans="1:11" ht="16.5" customHeight="1" x14ac:dyDescent="0.15">
      <c r="A15" s="204"/>
      <c r="B15" s="205"/>
      <c r="C15" s="206"/>
      <c r="D15" s="205"/>
      <c r="E15" s="205"/>
      <c r="F15" s="205"/>
      <c r="G15" s="163">
        <f>'[2]West Penn Power LP_GSCMMS (2)'!G15</f>
        <v>21.936682691615736</v>
      </c>
      <c r="H15" s="163">
        <f>'[2]West Penn Power LP_GSCMMS (2)'!H15</f>
        <v>22.31667196775636</v>
      </c>
      <c r="I15" s="163">
        <f>'[2]West Penn Power LP_GSCMMS (2)'!I15</f>
        <v>22.542582840332983</v>
      </c>
      <c r="J15" s="163">
        <f>'[2]West Penn Power LP_GSCMMS (2)'!J15</f>
        <v>22.500219697817048</v>
      </c>
      <c r="K15" s="163">
        <f>'[2]West Penn Power LP_GSCMMS (2)'!K15</f>
        <v>20.674392968083129</v>
      </c>
    </row>
    <row r="16" spans="1:11" ht="16.5" customHeight="1" x14ac:dyDescent="0.15">
      <c r="A16" s="204"/>
      <c r="B16" s="205"/>
      <c r="C16" s="206"/>
      <c r="D16" s="205"/>
      <c r="E16" s="205"/>
      <c r="F16" s="205"/>
      <c r="G16" s="163">
        <f>'[2]West Penn Power LP_GSCMMS (2)'!G16</f>
        <v>21.499035747575757</v>
      </c>
      <c r="H16" s="163">
        <f>'[2]West Penn Power LP_GSCMMS (2)'!H16</f>
        <v>22.362294554062803</v>
      </c>
      <c r="I16" s="163">
        <f>'[2]West Penn Power LP_GSCMMS (2)'!I16</f>
        <v>22.459198976698353</v>
      </c>
      <c r="J16" s="163">
        <f>'[2]West Penn Power LP_GSCMMS (2)'!J16</f>
        <v>22.294157373125984</v>
      </c>
      <c r="K16" s="163">
        <f>'[2]West Penn Power LP_GSCMMS (2)'!K16</f>
        <v>20.555205809829879</v>
      </c>
    </row>
    <row r="17" spans="1:62" ht="16.5" customHeight="1" x14ac:dyDescent="0.15">
      <c r="A17" s="204"/>
      <c r="B17" s="205"/>
      <c r="C17" s="206"/>
      <c r="D17" s="205"/>
      <c r="E17" s="205"/>
      <c r="F17" s="205"/>
      <c r="G17" s="163">
        <f>'[2]West Penn Power LP_GSCMMS (2)'!G17</f>
        <v>21.243497648288297</v>
      </c>
      <c r="H17" s="163">
        <f>'[2]West Penn Power LP_GSCMMS (2)'!H17</f>
        <v>22.42759655625628</v>
      </c>
      <c r="I17" s="163">
        <f>'[2]West Penn Power LP_GSCMMS (2)'!I17</f>
        <v>22.422406664521656</v>
      </c>
      <c r="J17" s="163">
        <f>'[2]West Penn Power LP_GSCMMS (2)'!J17</f>
        <v>22.053563963262153</v>
      </c>
      <c r="K17" s="163">
        <f>'[2]West Penn Power LP_GSCMMS (2)'!K17</f>
        <v>20.411076902129604</v>
      </c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  <c r="Y17" s="205"/>
      <c r="Z17" s="205"/>
      <c r="AA17" s="205"/>
      <c r="AB17" s="205"/>
      <c r="AC17" s="205"/>
      <c r="AD17" s="205"/>
      <c r="AE17" s="205"/>
      <c r="AF17" s="205"/>
      <c r="AG17" s="205"/>
      <c r="AH17" s="205"/>
      <c r="AI17" s="205"/>
      <c r="AJ17" s="205"/>
      <c r="AK17" s="205"/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</row>
    <row r="18" spans="1:62" ht="16.5" customHeight="1" x14ac:dyDescent="0.15">
      <c r="A18" s="204"/>
      <c r="B18" s="205"/>
      <c r="C18" s="206"/>
      <c r="D18" s="205"/>
      <c r="E18" s="205"/>
      <c r="F18" s="205"/>
      <c r="G18" s="163">
        <f>'[2]West Penn Power LP_GSCMMS (2)'!G18</f>
        <v>21.807283288803614</v>
      </c>
      <c r="H18" s="163">
        <f>'[2]West Penn Power LP_GSCMMS (2)'!H18</f>
        <v>22.567938459111794</v>
      </c>
      <c r="I18" s="163">
        <f>'[2]West Penn Power LP_GSCMMS (2)'!I18</f>
        <v>22.671662971305338</v>
      </c>
      <c r="J18" s="163">
        <f>'[2]West Penn Power LP_GSCMMS (2)'!J18</f>
        <v>21.854687626549577</v>
      </c>
      <c r="K18" s="163">
        <f>'[2]West Penn Power LP_GSCMMS (2)'!K18</f>
        <v>20.291449796081054</v>
      </c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  <c r="Y18" s="205"/>
      <c r="Z18" s="205"/>
      <c r="AA18" s="205"/>
      <c r="AB18" s="205"/>
      <c r="AC18" s="205"/>
      <c r="AD18" s="205"/>
      <c r="AE18" s="205"/>
      <c r="AF18" s="205"/>
      <c r="AG18" s="205"/>
      <c r="AH18" s="205"/>
      <c r="AI18" s="205"/>
      <c r="AJ18" s="205"/>
      <c r="AK18" s="205"/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</row>
    <row r="19" spans="1:62" ht="16.5" customHeight="1" x14ac:dyDescent="0.15">
      <c r="A19" s="204"/>
      <c r="B19" s="205"/>
      <c r="C19" s="206"/>
      <c r="D19" s="205"/>
      <c r="E19" s="205"/>
      <c r="F19" s="205"/>
      <c r="G19" s="163">
        <f>'[2]West Penn Power LP_GSCMMS (2)'!G19</f>
        <v>22.130203905603093</v>
      </c>
      <c r="H19" s="163">
        <f>'[2]West Penn Power LP_GSCMMS (2)'!H19</f>
        <v>22.706172305261479</v>
      </c>
      <c r="I19" s="163">
        <f>'[2]West Penn Power LP_GSCMMS (2)'!I19</f>
        <v>22.815038042711034</v>
      </c>
      <c r="J19" s="163">
        <f>'[2]West Penn Power LP_GSCMMS (2)'!J19</f>
        <v>21.668545703457813</v>
      </c>
      <c r="K19" s="163">
        <f>'[2]West Penn Power LP_GSCMMS (2)'!K19</f>
        <v>20.096029418284179</v>
      </c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  <c r="Y19" s="205"/>
      <c r="Z19" s="205"/>
      <c r="AA19" s="205"/>
      <c r="AB19" s="205"/>
      <c r="AC19" s="205"/>
      <c r="AD19" s="205"/>
      <c r="AE19" s="205"/>
      <c r="AF19" s="205"/>
      <c r="AG19" s="205"/>
      <c r="AH19" s="205"/>
      <c r="AI19" s="205"/>
      <c r="AJ19" s="205"/>
      <c r="AK19" s="205"/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</row>
    <row r="20" spans="1:62" ht="16.5" customHeight="1" x14ac:dyDescent="0.15">
      <c r="A20" s="205"/>
      <c r="B20" s="205"/>
      <c r="C20" s="205"/>
      <c r="D20" s="205"/>
      <c r="E20" s="205"/>
      <c r="F20" s="205"/>
      <c r="G20" s="163">
        <f>'[2]West Penn Power LP_GSCMMS (2)'!G20</f>
        <v>22.521074300010284</v>
      </c>
      <c r="H20" s="163">
        <f>'[2]West Penn Power LP_GSCMMS (2)'!H20</f>
        <v>22.780487718608367</v>
      </c>
      <c r="I20" s="163">
        <f>'[2]West Penn Power LP_GSCMMS (2)'!I20</f>
        <v>23.003778693093878</v>
      </c>
      <c r="J20" s="163">
        <f>'[2]West Penn Power LP_GSCMMS (2)'!J20</f>
        <v>21.43657739214575</v>
      </c>
      <c r="K20" s="163">
        <f>'[2]West Penn Power LP_GSCMMS (2)'!K20</f>
        <v>19.952967084830341</v>
      </c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  <c r="Y20" s="205"/>
      <c r="Z20" s="205"/>
      <c r="AA20" s="205"/>
      <c r="AB20" s="205"/>
      <c r="AC20" s="205"/>
      <c r="AD20" s="205"/>
      <c r="AE20" s="205"/>
      <c r="AF20" s="205"/>
      <c r="AG20" s="205"/>
      <c r="AH20" s="205"/>
      <c r="AI20" s="205"/>
      <c r="AJ20" s="205"/>
      <c r="AK20" s="205"/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</row>
    <row r="21" spans="1:62" s="166" customFormat="1" ht="16.5" customHeight="1" x14ac:dyDescent="0.15">
      <c r="A21" s="181"/>
      <c r="B21" s="181"/>
      <c r="C21" s="181"/>
      <c r="D21" s="181"/>
      <c r="E21" s="181"/>
      <c r="F21" s="181"/>
      <c r="G21" s="181"/>
      <c r="H21" s="181"/>
      <c r="I21" s="181"/>
      <c r="J21" s="181"/>
      <c r="K21" s="181"/>
      <c r="L21" s="181"/>
      <c r="M21" s="181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1"/>
      <c r="AP21" s="181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</row>
    <row r="22" spans="1:62" s="158" customFormat="1" ht="16.5" customHeight="1" x14ac:dyDescent="0.15">
      <c r="A22" s="181"/>
      <c r="B22" s="182"/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182"/>
      <c r="AM22" s="182"/>
      <c r="AN22" s="182"/>
      <c r="AO22" s="182"/>
      <c r="AP22" s="182"/>
      <c r="AQ22" s="182"/>
      <c r="AR22" s="182"/>
      <c r="AS22" s="182"/>
      <c r="AT22" s="182"/>
      <c r="AU22" s="182"/>
      <c r="AV22" s="182"/>
      <c r="AW22" s="182"/>
      <c r="AX22" s="182"/>
      <c r="AY22" s="182"/>
      <c r="AZ22" s="182"/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s="158" customFormat="1" ht="16.5" customHeight="1" x14ac:dyDescent="0.15">
      <c r="A23" s="181"/>
      <c r="B23" s="182"/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182"/>
      <c r="AF23" s="182"/>
      <c r="AG23" s="182"/>
      <c r="AH23" s="182"/>
      <c r="AI23" s="182"/>
      <c r="AJ23" s="182"/>
      <c r="AK23" s="182"/>
      <c r="AL23" s="182"/>
      <c r="AM23" s="182"/>
      <c r="AN23" s="182"/>
      <c r="AO23" s="182"/>
      <c r="AP23" s="182"/>
      <c r="AQ23" s="182"/>
      <c r="AR23" s="182"/>
      <c r="AS23" s="182"/>
      <c r="AT23" s="182"/>
      <c r="AU23" s="182"/>
      <c r="AV23" s="182"/>
      <c r="AW23" s="182"/>
      <c r="AX23" s="182"/>
      <c r="AY23" s="182"/>
      <c r="AZ23" s="182"/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6.5" customHeight="1" x14ac:dyDescent="0.15">
      <c r="A24" s="183"/>
      <c r="B24" s="183"/>
      <c r="C24" s="183"/>
      <c r="D24" s="183"/>
      <c r="E24" s="183"/>
      <c r="F24" s="183"/>
      <c r="G24" s="183"/>
      <c r="H24" s="183"/>
      <c r="I24" s="183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</row>
    <row r="25" spans="1:62" ht="16.5" customHeight="1" x14ac:dyDescent="0.15">
      <c r="A25" s="183"/>
      <c r="B25" s="184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  <c r="AL25" s="184"/>
      <c r="AM25" s="184"/>
      <c r="AN25" s="184"/>
      <c r="AO25" s="184"/>
      <c r="AP25" s="184"/>
      <c r="AQ25" s="184"/>
      <c r="AR25" s="184"/>
      <c r="AS25" s="184"/>
      <c r="AT25" s="184"/>
      <c r="AU25" s="184"/>
      <c r="AV25" s="184"/>
      <c r="AW25" s="184"/>
      <c r="AX25" s="184"/>
      <c r="AY25" s="184"/>
      <c r="AZ25" s="184"/>
      <c r="BA25" s="184"/>
      <c r="BB25" s="184"/>
      <c r="BC25" s="184"/>
      <c r="BD25" s="184"/>
      <c r="BE25" s="184"/>
      <c r="BF25" s="184"/>
      <c r="BG25" s="184"/>
      <c r="BH25" s="184"/>
      <c r="BI25" s="184"/>
      <c r="BJ25" s="184"/>
    </row>
    <row r="26" spans="1:62" ht="16.5" customHeight="1" x14ac:dyDescent="0.15">
      <c r="A26" s="183"/>
      <c r="B26" s="184"/>
      <c r="C26" s="184"/>
      <c r="D26" s="184"/>
      <c r="E26" s="184"/>
      <c r="F26" s="184"/>
      <c r="G26" s="184"/>
      <c r="H26" s="184"/>
      <c r="I26" s="184"/>
      <c r="J26" s="184"/>
      <c r="K26" s="184"/>
      <c r="L26" s="184"/>
      <c r="M26" s="184"/>
      <c r="N26" s="184"/>
      <c r="O26" s="184"/>
      <c r="P26" s="184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  <c r="AM26" s="184"/>
      <c r="AN26" s="184"/>
      <c r="AO26" s="184"/>
      <c r="AP26" s="184"/>
      <c r="AQ26" s="184"/>
      <c r="AR26" s="184"/>
      <c r="AS26" s="184"/>
      <c r="AT26" s="184"/>
      <c r="AU26" s="184"/>
      <c r="AV26" s="184"/>
      <c r="AW26" s="184"/>
      <c r="AX26" s="184"/>
      <c r="AY26" s="184"/>
      <c r="AZ26" s="184"/>
      <c r="BA26" s="184"/>
      <c r="BB26" s="184"/>
      <c r="BC26" s="184"/>
      <c r="BD26" s="184"/>
      <c r="BE26" s="184"/>
      <c r="BF26" s="184"/>
      <c r="BG26" s="184"/>
      <c r="BH26" s="184"/>
      <c r="BI26" s="184"/>
      <c r="BJ26" s="184"/>
    </row>
    <row r="27" spans="1:62" ht="16.5" customHeight="1" x14ac:dyDescent="0.15">
      <c r="A27" s="183"/>
      <c r="B27" s="184"/>
      <c r="C27" s="184"/>
      <c r="D27" s="184"/>
      <c r="E27" s="184"/>
      <c r="F27" s="184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  <c r="AM27" s="184"/>
      <c r="AN27" s="184"/>
      <c r="AO27" s="184"/>
      <c r="AP27" s="184"/>
      <c r="AQ27" s="184"/>
      <c r="AR27" s="184"/>
      <c r="AS27" s="184"/>
      <c r="AT27" s="184"/>
      <c r="AU27" s="184"/>
      <c r="AV27" s="184"/>
      <c r="AW27" s="184"/>
      <c r="AX27" s="184"/>
      <c r="AY27" s="184"/>
      <c r="AZ27" s="184"/>
      <c r="BA27" s="184"/>
      <c r="BB27" s="184"/>
      <c r="BC27" s="184"/>
      <c r="BD27" s="184"/>
      <c r="BE27" s="184"/>
      <c r="BF27" s="184"/>
      <c r="BG27" s="184"/>
      <c r="BH27" s="184"/>
      <c r="BI27" s="184"/>
      <c r="BJ27" s="184"/>
    </row>
    <row r="28" spans="1:62" ht="16.5" customHeight="1" x14ac:dyDescent="0.15">
      <c r="A28" s="183"/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  <c r="AL28" s="184"/>
      <c r="AM28" s="184"/>
      <c r="AN28" s="184"/>
      <c r="AO28" s="184"/>
      <c r="AP28" s="184"/>
      <c r="AQ28" s="184"/>
      <c r="AR28" s="184"/>
      <c r="AS28" s="184"/>
      <c r="AT28" s="184"/>
      <c r="AU28" s="184"/>
      <c r="AV28" s="184"/>
      <c r="AW28" s="184"/>
      <c r="AX28" s="184"/>
      <c r="AY28" s="184"/>
      <c r="AZ28" s="184"/>
      <c r="BA28" s="184"/>
      <c r="BB28" s="184"/>
      <c r="BC28" s="184"/>
      <c r="BD28" s="184"/>
      <c r="BE28" s="184"/>
      <c r="BF28" s="184"/>
      <c r="BG28" s="184"/>
      <c r="BH28" s="184"/>
      <c r="BI28" s="184"/>
      <c r="BJ28" s="184"/>
    </row>
    <row r="29" spans="1:62" ht="16.5" customHeight="1" x14ac:dyDescent="0.15">
      <c r="A29" s="183"/>
      <c r="B29" s="184"/>
      <c r="C29" s="184"/>
      <c r="D29" s="184"/>
      <c r="E29" s="184"/>
      <c r="F29" s="184"/>
      <c r="G29" s="184"/>
      <c r="H29" s="184"/>
      <c r="I29" s="184"/>
      <c r="J29" s="184"/>
      <c r="K29" s="184"/>
      <c r="L29" s="184"/>
      <c r="M29" s="184"/>
      <c r="N29" s="184"/>
      <c r="O29" s="184"/>
      <c r="P29" s="184"/>
      <c r="Q29" s="184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  <c r="AL29" s="184"/>
      <c r="AM29" s="184"/>
      <c r="AN29" s="184"/>
      <c r="AO29" s="184"/>
      <c r="AP29" s="184"/>
      <c r="AQ29" s="184"/>
      <c r="AR29" s="184"/>
      <c r="AS29" s="184"/>
      <c r="AT29" s="184"/>
      <c r="AU29" s="184"/>
      <c r="AV29" s="184"/>
      <c r="AW29" s="184"/>
      <c r="AX29" s="184"/>
      <c r="AY29" s="184"/>
      <c r="AZ29" s="184"/>
      <c r="BA29" s="184"/>
      <c r="BB29" s="184"/>
      <c r="BC29" s="184"/>
      <c r="BD29" s="184"/>
      <c r="BE29" s="184"/>
      <c r="BF29" s="184"/>
      <c r="BG29" s="184"/>
      <c r="BH29" s="184"/>
      <c r="BI29" s="184"/>
      <c r="BJ29" s="184"/>
    </row>
    <row r="30" spans="1:62" ht="16.5" customHeight="1" x14ac:dyDescent="0.15">
      <c r="A30" s="183"/>
      <c r="B30" s="184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184"/>
      <c r="P30" s="184"/>
      <c r="Q30" s="184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  <c r="AL30" s="184"/>
      <c r="AM30" s="184"/>
      <c r="AN30" s="184"/>
      <c r="AO30" s="184"/>
      <c r="AP30" s="184"/>
      <c r="AQ30" s="184"/>
      <c r="AR30" s="184"/>
      <c r="AS30" s="184"/>
      <c r="AT30" s="184"/>
      <c r="AU30" s="184"/>
      <c r="AV30" s="184"/>
      <c r="AW30" s="184"/>
      <c r="AX30" s="184"/>
      <c r="AY30" s="184"/>
      <c r="AZ30" s="184"/>
      <c r="BA30" s="184"/>
      <c r="BB30" s="184"/>
      <c r="BC30" s="184"/>
      <c r="BD30" s="184"/>
      <c r="BE30" s="184"/>
      <c r="BF30" s="184"/>
      <c r="BG30" s="184"/>
      <c r="BH30" s="184"/>
      <c r="BI30" s="184"/>
      <c r="BJ30" s="184"/>
    </row>
    <row r="31" spans="1:62" ht="16.5" customHeight="1" x14ac:dyDescent="0.15">
      <c r="A31" s="183"/>
      <c r="B31" s="184"/>
      <c r="C31" s="184"/>
      <c r="D31" s="184"/>
      <c r="E31" s="184"/>
      <c r="F31" s="184"/>
      <c r="G31" s="184"/>
      <c r="H31" s="184"/>
      <c r="I31" s="184"/>
      <c r="J31" s="184"/>
      <c r="K31" s="184"/>
      <c r="L31" s="184"/>
      <c r="M31" s="184"/>
      <c r="N31" s="184"/>
      <c r="O31" s="184"/>
      <c r="P31" s="184"/>
      <c r="Q31" s="184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  <c r="AL31" s="184"/>
      <c r="AM31" s="184"/>
      <c r="AN31" s="184"/>
      <c r="AO31" s="184"/>
      <c r="AP31" s="184"/>
      <c r="AQ31" s="184"/>
      <c r="AR31" s="184"/>
      <c r="AS31" s="184"/>
      <c r="AT31" s="184"/>
      <c r="AU31" s="184"/>
      <c r="AV31" s="184"/>
      <c r="AW31" s="184"/>
      <c r="AX31" s="184"/>
      <c r="AY31" s="184"/>
      <c r="AZ31" s="184"/>
      <c r="BA31" s="184"/>
      <c r="BB31" s="184"/>
      <c r="BC31" s="184"/>
      <c r="BD31" s="184"/>
      <c r="BE31" s="184"/>
      <c r="BF31" s="184"/>
      <c r="BG31" s="184"/>
      <c r="BH31" s="184"/>
      <c r="BI31" s="184"/>
      <c r="BJ31" s="184"/>
    </row>
    <row r="32" spans="1:62" ht="16.5" customHeight="1" x14ac:dyDescent="0.15">
      <c r="A32" s="183"/>
      <c r="B32" s="184"/>
      <c r="C32" s="184"/>
      <c r="D32" s="184"/>
      <c r="E32" s="184"/>
      <c r="F32" s="184"/>
      <c r="G32" s="184"/>
      <c r="H32" s="184"/>
      <c r="I32" s="184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  <c r="AL32" s="184"/>
      <c r="AM32" s="184"/>
      <c r="AN32" s="184"/>
      <c r="AO32" s="184"/>
      <c r="AP32" s="184"/>
      <c r="AQ32" s="184"/>
      <c r="AR32" s="184"/>
      <c r="AS32" s="184"/>
      <c r="AT32" s="184"/>
      <c r="AU32" s="184"/>
      <c r="AV32" s="184"/>
      <c r="AW32" s="184"/>
      <c r="AX32" s="184"/>
      <c r="AY32" s="184"/>
      <c r="AZ32" s="184"/>
      <c r="BA32" s="184"/>
      <c r="BB32" s="184"/>
      <c r="BC32" s="184"/>
      <c r="BD32" s="184"/>
      <c r="BE32" s="184"/>
      <c r="BF32" s="184"/>
      <c r="BG32" s="184"/>
      <c r="BH32" s="184"/>
      <c r="BI32" s="184"/>
      <c r="BJ32" s="184"/>
    </row>
    <row r="33" spans="1:62" ht="16.5" customHeight="1" x14ac:dyDescent="0.15">
      <c r="A33" s="183"/>
      <c r="B33" s="184"/>
      <c r="C33" s="184"/>
      <c r="D33" s="184"/>
      <c r="E33" s="184"/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  <c r="AL33" s="184"/>
      <c r="AM33" s="184"/>
      <c r="AN33" s="184"/>
      <c r="AO33" s="184"/>
      <c r="AP33" s="184"/>
      <c r="AQ33" s="184"/>
      <c r="AR33" s="184"/>
      <c r="AS33" s="184"/>
      <c r="AT33" s="184"/>
      <c r="AU33" s="184"/>
      <c r="AV33" s="184"/>
      <c r="AW33" s="184"/>
      <c r="AX33" s="184"/>
      <c r="AY33" s="184"/>
      <c r="AZ33" s="184"/>
      <c r="BA33" s="184"/>
      <c r="BB33" s="184"/>
      <c r="BC33" s="184"/>
      <c r="BD33" s="184"/>
      <c r="BE33" s="184"/>
      <c r="BF33" s="184"/>
      <c r="BG33" s="184"/>
      <c r="BH33" s="184"/>
      <c r="BI33" s="184"/>
      <c r="BJ33" s="184"/>
    </row>
    <row r="34" spans="1:62" ht="16.5" customHeight="1" x14ac:dyDescent="0.15">
      <c r="A34" s="183"/>
      <c r="B34" s="184"/>
      <c r="C34" s="184"/>
      <c r="D34" s="184"/>
      <c r="E34" s="184"/>
      <c r="F34" s="184"/>
      <c r="G34" s="184"/>
      <c r="H34" s="184"/>
      <c r="I34" s="184"/>
      <c r="J34" s="184"/>
      <c r="K34" s="184"/>
      <c r="L34" s="184"/>
      <c r="M34" s="184"/>
      <c r="N34" s="184"/>
      <c r="O34" s="184"/>
      <c r="P34" s="184"/>
      <c r="Q34" s="184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  <c r="AL34" s="184"/>
      <c r="AM34" s="184"/>
      <c r="AN34" s="184"/>
      <c r="AO34" s="184"/>
      <c r="AP34" s="184"/>
      <c r="AQ34" s="184"/>
      <c r="AR34" s="184"/>
      <c r="AS34" s="184"/>
      <c r="AT34" s="184"/>
      <c r="AU34" s="184"/>
      <c r="AV34" s="184"/>
      <c r="AW34" s="184"/>
      <c r="AX34" s="184"/>
      <c r="AY34" s="184"/>
      <c r="AZ34" s="184"/>
      <c r="BA34" s="184"/>
      <c r="BB34" s="184"/>
      <c r="BC34" s="184"/>
      <c r="BD34" s="184"/>
      <c r="BE34" s="184"/>
      <c r="BF34" s="184"/>
      <c r="BG34" s="184"/>
      <c r="BH34" s="184"/>
      <c r="BI34" s="184"/>
      <c r="BJ34" s="184"/>
    </row>
    <row r="35" spans="1:62" ht="16.5" customHeight="1" x14ac:dyDescent="0.15">
      <c r="A35" s="183"/>
      <c r="B35" s="184"/>
      <c r="C35" s="184"/>
      <c r="D35" s="184"/>
      <c r="E35" s="184"/>
      <c r="F35" s="184"/>
      <c r="G35" s="184"/>
      <c r="H35" s="184"/>
      <c r="I35" s="184"/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  <c r="AL35" s="184"/>
      <c r="AM35" s="184"/>
      <c r="AN35" s="184"/>
      <c r="AO35" s="184"/>
      <c r="AP35" s="184"/>
      <c r="AQ35" s="184"/>
      <c r="AR35" s="184"/>
      <c r="AS35" s="184"/>
      <c r="AT35" s="184"/>
      <c r="AU35" s="184"/>
      <c r="AV35" s="184"/>
      <c r="AW35" s="184"/>
      <c r="AX35" s="184"/>
      <c r="AY35" s="184"/>
      <c r="AZ35" s="184"/>
      <c r="BA35" s="184"/>
      <c r="BB35" s="184"/>
      <c r="BC35" s="184"/>
      <c r="BD35" s="184"/>
      <c r="BE35" s="184"/>
      <c r="BF35" s="184"/>
      <c r="BG35" s="184"/>
      <c r="BH35" s="184"/>
      <c r="BI35" s="184"/>
      <c r="BJ35" s="184"/>
    </row>
    <row r="36" spans="1:62" ht="16.5" customHeight="1" x14ac:dyDescent="0.15">
      <c r="A36" s="183"/>
      <c r="B36" s="184"/>
      <c r="C36" s="184"/>
      <c r="D36" s="184"/>
      <c r="E36" s="184"/>
      <c r="F36" s="184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  <c r="AL36" s="184"/>
      <c r="AM36" s="184"/>
      <c r="AN36" s="184"/>
      <c r="AO36" s="184"/>
      <c r="AP36" s="184"/>
      <c r="AQ36" s="184"/>
      <c r="AR36" s="184"/>
      <c r="AS36" s="184"/>
      <c r="AT36" s="184"/>
      <c r="AU36" s="184"/>
      <c r="AV36" s="184"/>
      <c r="AW36" s="184"/>
      <c r="AX36" s="184"/>
      <c r="AY36" s="184"/>
      <c r="AZ36" s="184"/>
      <c r="BA36" s="184"/>
      <c r="BB36" s="184"/>
      <c r="BC36" s="184"/>
      <c r="BD36" s="184"/>
      <c r="BE36" s="184"/>
      <c r="BF36" s="184"/>
      <c r="BG36" s="184"/>
      <c r="BH36" s="184"/>
      <c r="BI36" s="184"/>
      <c r="BJ36" s="184"/>
    </row>
    <row r="37" spans="1:62" ht="16.5" customHeight="1" x14ac:dyDescent="0.15">
      <c r="A37" s="183"/>
      <c r="B37" s="183"/>
      <c r="C37" s="183"/>
      <c r="D37" s="183"/>
      <c r="E37" s="183"/>
      <c r="F37" s="183"/>
      <c r="G37" s="183"/>
      <c r="H37" s="183"/>
      <c r="I37" s="183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</row>
    <row r="38" spans="1:62" ht="16.5" customHeight="1" x14ac:dyDescent="0.15">
      <c r="A38" s="183"/>
      <c r="B38" s="184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  <c r="AL38" s="184"/>
      <c r="AM38" s="184"/>
      <c r="AN38" s="184"/>
      <c r="AO38" s="184"/>
      <c r="AP38" s="184"/>
      <c r="AQ38" s="184"/>
      <c r="AR38" s="184"/>
      <c r="AS38" s="184"/>
      <c r="AT38" s="184"/>
      <c r="AU38" s="184"/>
      <c r="AV38" s="184"/>
      <c r="AW38" s="184"/>
      <c r="AX38" s="184"/>
      <c r="AY38" s="184"/>
      <c r="AZ38" s="184"/>
      <c r="BA38" s="184"/>
      <c r="BB38" s="184"/>
      <c r="BC38" s="184"/>
      <c r="BD38" s="184"/>
      <c r="BE38" s="184"/>
      <c r="BF38" s="184"/>
      <c r="BG38" s="184"/>
      <c r="BH38" s="184"/>
      <c r="BI38" s="184"/>
      <c r="BJ38" s="184"/>
    </row>
    <row r="39" spans="1:62" ht="16.5" customHeight="1" x14ac:dyDescent="0.15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</row>
    <row r="40" spans="1:62" ht="16.5" customHeight="1" x14ac:dyDescent="0.15">
      <c r="A40" s="183"/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4"/>
      <c r="P40" s="184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  <c r="AM40" s="184"/>
      <c r="AN40" s="184"/>
      <c r="AO40" s="184"/>
      <c r="AP40" s="184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</row>
    <row r="41" spans="1:62" ht="16.5" customHeight="1" x14ac:dyDescent="0.15">
      <c r="A41" s="183"/>
      <c r="B41" s="184"/>
      <c r="C41" s="184"/>
      <c r="D41" s="184"/>
      <c r="E41" s="184"/>
      <c r="F41" s="184"/>
      <c r="G41" s="184"/>
      <c r="H41" s="184"/>
      <c r="I41" s="184"/>
      <c r="J41" s="184"/>
      <c r="K41" s="184"/>
      <c r="L41" s="184"/>
      <c r="M41" s="184"/>
      <c r="N41" s="184"/>
      <c r="O41" s="184"/>
      <c r="P41" s="184"/>
      <c r="Q41" s="184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  <c r="AL41" s="184"/>
      <c r="AM41" s="184"/>
      <c r="AN41" s="184"/>
      <c r="AO41" s="184"/>
      <c r="AP41" s="184"/>
      <c r="AQ41" s="184"/>
      <c r="AR41" s="184"/>
      <c r="AS41" s="184"/>
      <c r="AT41" s="184"/>
      <c r="AU41" s="184"/>
      <c r="AV41" s="184"/>
      <c r="AW41" s="184"/>
      <c r="AX41" s="184"/>
      <c r="AY41" s="184"/>
      <c r="AZ41" s="184"/>
      <c r="BA41" s="184"/>
      <c r="BB41" s="184"/>
      <c r="BC41" s="184"/>
      <c r="BD41" s="184"/>
      <c r="BE41" s="184"/>
      <c r="BF41" s="184"/>
      <c r="BG41" s="184"/>
      <c r="BH41" s="184"/>
      <c r="BI41" s="184"/>
      <c r="BJ41" s="184"/>
    </row>
    <row r="42" spans="1:62" ht="16.5" customHeight="1" x14ac:dyDescent="0.15">
      <c r="A42" s="153"/>
      <c r="B42" s="154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154"/>
      <c r="X42" s="154"/>
      <c r="Y42" s="154"/>
      <c r="Z42" s="154"/>
      <c r="AA42" s="154"/>
      <c r="AB42" s="154"/>
      <c r="AC42" s="154"/>
      <c r="AD42" s="154"/>
      <c r="AE42" s="154"/>
      <c r="AF42" s="154"/>
      <c r="AG42" s="154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  <c r="AV42" s="154"/>
      <c r="AW42" s="154"/>
      <c r="AX42" s="154"/>
      <c r="AY42" s="154"/>
      <c r="AZ42" s="154"/>
      <c r="BA42" s="154"/>
      <c r="BB42" s="154"/>
      <c r="BC42" s="154"/>
      <c r="BD42" s="154"/>
      <c r="BE42" s="154"/>
      <c r="BF42" s="154"/>
      <c r="BG42" s="154"/>
      <c r="BH42" s="154"/>
      <c r="BI42" s="154"/>
      <c r="BJ42" s="154"/>
    </row>
    <row r="43" spans="1:62" ht="16.5" customHeight="1" x14ac:dyDescent="0.15">
      <c r="A43" s="153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155"/>
      <c r="P43" s="155"/>
      <c r="Q43" s="155"/>
      <c r="R43" s="155"/>
      <c r="S43" s="155"/>
      <c r="T43" s="155"/>
      <c r="U43" s="155"/>
      <c r="V43" s="155"/>
      <c r="W43" s="155"/>
      <c r="X43" s="155"/>
      <c r="Y43" s="155"/>
      <c r="Z43" s="155"/>
      <c r="AA43" s="155"/>
      <c r="AB43" s="155"/>
      <c r="AC43" s="155"/>
      <c r="AD43" s="155"/>
      <c r="AE43" s="155"/>
      <c r="AF43" s="155"/>
      <c r="AG43" s="155"/>
      <c r="AH43" s="155"/>
      <c r="AI43" s="155"/>
      <c r="AJ43" s="155"/>
      <c r="AK43" s="155"/>
      <c r="AL43" s="155"/>
      <c r="AM43" s="155"/>
      <c r="AN43" s="155"/>
      <c r="AO43" s="155"/>
      <c r="AP43" s="155"/>
      <c r="AQ43" s="155"/>
      <c r="AR43" s="155"/>
      <c r="AS43" s="155"/>
      <c r="AT43" s="155"/>
      <c r="AU43" s="155"/>
      <c r="AV43" s="155"/>
      <c r="AW43" s="155"/>
      <c r="AX43" s="155"/>
      <c r="AY43" s="155"/>
      <c r="AZ43" s="155"/>
      <c r="BA43" s="155"/>
      <c r="BB43" s="155"/>
      <c r="BC43" s="155"/>
      <c r="BD43" s="155"/>
      <c r="BE43" s="155"/>
      <c r="BF43" s="155"/>
      <c r="BG43" s="155"/>
      <c r="BH43" s="155"/>
      <c r="BI43" s="155"/>
      <c r="BJ43" s="155"/>
    </row>
  </sheetData>
  <mergeCells count="12">
    <mergeCell ref="G5:K5"/>
    <mergeCell ref="A2:F2"/>
    <mergeCell ref="A4:B4"/>
    <mergeCell ref="C4:E4"/>
    <mergeCell ref="A5:B5"/>
    <mergeCell ref="C5:E5"/>
    <mergeCell ref="A6:B6"/>
    <mergeCell ref="C6:E6"/>
    <mergeCell ref="A7:B7"/>
    <mergeCell ref="C7:E7"/>
    <mergeCell ref="A8:B8"/>
    <mergeCell ref="C8:E8"/>
  </mergeCells>
  <pageMargins left="0.75" right="0.75" top="1" bottom="1" header="0" footer="0"/>
  <pageSetup paperSize="0" scale="0" pageOrder="overThenDown" orientation="portrait" usePrinterDefaults="0" useFirstPageNumber="1" horizontalDpi="0" verticalDpi="0" copies="0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99"/>
  <sheetViews>
    <sheetView topLeftCell="A61" workbookViewId="0">
      <selection activeCell="A2" sqref="A2:F2"/>
    </sheetView>
  </sheetViews>
  <sheetFormatPr defaultRowHeight="10.5" x14ac:dyDescent="0.15"/>
  <cols>
    <col min="5" max="5" width="42.83203125" customWidth="1"/>
    <col min="8" max="8" width="41.1640625" customWidth="1"/>
  </cols>
  <sheetData>
    <row r="1" spans="1:11" x14ac:dyDescent="0.15">
      <c r="A1" t="s">
        <v>693</v>
      </c>
      <c r="E1" t="str">
        <f>"'" &amp; A1</f>
        <v>'AECO LP_10V1_SMS</v>
      </c>
      <c r="H1" s="191" t="s">
        <v>734</v>
      </c>
    </row>
    <row r="2" spans="1:11" x14ac:dyDescent="0.15">
      <c r="A2" t="s">
        <v>694</v>
      </c>
      <c r="E2" t="str">
        <f t="shared" ref="E2:E46" si="0">"'" &amp; A2</f>
        <v>'AECO LP_14V1_MMS</v>
      </c>
    </row>
    <row r="3" spans="1:11" x14ac:dyDescent="0.15">
      <c r="A3" t="s">
        <v>695</v>
      </c>
      <c r="E3" t="str">
        <f t="shared" si="0"/>
        <v>'AEP_OH_CS - test CSGS1MS</v>
      </c>
    </row>
    <row r="4" spans="1:11" x14ac:dyDescent="0.15">
      <c r="A4" t="s">
        <v>696</v>
      </c>
      <c r="E4" t="str">
        <f t="shared" si="0"/>
        <v>'AEP_OH_CS - test CSGS2UMS</v>
      </c>
      <c r="G4" t="s">
        <v>693</v>
      </c>
      <c r="H4" t="s">
        <v>735</v>
      </c>
      <c r="I4" t="str">
        <f>G4</f>
        <v>AECO LP_10V1_SMS</v>
      </c>
      <c r="J4" t="s">
        <v>736</v>
      </c>
      <c r="K4" t="str">
        <f>H4 &amp;I4 &amp;J4</f>
        <v>Workbooks(varFileName).Sheets("AECO LP_10V1_SMS").Protect Password:="radiohead", DrawingObjects:=False, Contents:=True, Scenarios:=True, AllowFiltering:=True, UserInterFaceOnly:=True</v>
      </c>
    </row>
    <row r="5" spans="1:11" x14ac:dyDescent="0.15">
      <c r="A5" t="s">
        <v>697</v>
      </c>
      <c r="E5" t="str">
        <f t="shared" si="0"/>
        <v>'AEP_OH_CS - test CSGS3UMS</v>
      </c>
      <c r="G5" t="s">
        <v>694</v>
      </c>
      <c r="H5" t="s">
        <v>735</v>
      </c>
      <c r="I5" t="str">
        <f t="shared" ref="I5:I49" si="1">G5</f>
        <v>AECO LP_14V1_MMS</v>
      </c>
      <c r="J5" t="s">
        <v>736</v>
      </c>
      <c r="K5" t="str">
        <f t="shared" ref="K5:K49" si="2">H5 &amp;I5 &amp;J5</f>
        <v>Workbooks(varFileName).Sheets("AECO LP_14V1_MMS").Protect Password:="radiohead", DrawingObjects:=False, Contents:=True, Scenarios:=True, AllowFiltering:=True, UserInterFaceOnly:=True</v>
      </c>
    </row>
    <row r="6" spans="1:11" x14ac:dyDescent="0.15">
      <c r="A6" t="s">
        <v>698</v>
      </c>
      <c r="E6" t="str">
        <f t="shared" si="0"/>
        <v>'Ameren RateZnIII LP DS2HHMS</v>
      </c>
      <c r="G6" t="s">
        <v>695</v>
      </c>
      <c r="H6" t="s">
        <v>735</v>
      </c>
      <c r="I6" t="str">
        <f t="shared" si="1"/>
        <v>AEP_OH_CS - test CSGS1MS</v>
      </c>
      <c r="J6" t="s">
        <v>736</v>
      </c>
      <c r="K6" t="str">
        <f t="shared" si="2"/>
        <v>Workbooks(varFileName).Sheets("AEP_OH_CS - test CSGS1MS").Protect Password:="radiohead", DrawingObjects:=False, Contents:=True, Scenarios:=True, AllowFiltering:=True, UserInterFaceOnly:=True</v>
      </c>
    </row>
    <row r="7" spans="1:11" x14ac:dyDescent="0.15">
      <c r="A7" t="s">
        <v>699</v>
      </c>
      <c r="E7" t="str">
        <f t="shared" si="0"/>
        <v>'BGE LP_GLMS</v>
      </c>
      <c r="G7" t="s">
        <v>696</v>
      </c>
      <c r="H7" t="s">
        <v>735</v>
      </c>
      <c r="I7" t="str">
        <f t="shared" si="1"/>
        <v>AEP_OH_CS - test CSGS2UMS</v>
      </c>
      <c r="J7" t="s">
        <v>736</v>
      </c>
      <c r="K7" t="str">
        <f t="shared" si="2"/>
        <v>Workbooks(varFileName).Sheets("AEP_OH_CS - test CSGS2UMS").Protect Password:="radiohead", DrawingObjects:=False, Contents:=True, Scenarios:=True, AllowFiltering:=True, UserInterFaceOnly:=True</v>
      </c>
    </row>
    <row r="8" spans="1:11" x14ac:dyDescent="0.15">
      <c r="A8" t="s">
        <v>700</v>
      </c>
      <c r="E8" t="str">
        <f t="shared" si="0"/>
        <v>'BGE LP_GMS</v>
      </c>
      <c r="G8" t="s">
        <v>697</v>
      </c>
      <c r="H8" t="s">
        <v>735</v>
      </c>
      <c r="I8" t="str">
        <f t="shared" si="1"/>
        <v>AEP_OH_CS - test CSGS3UMS</v>
      </c>
      <c r="J8" t="s">
        <v>736</v>
      </c>
      <c r="K8" t="str">
        <f t="shared" si="2"/>
        <v>Workbooks(varFileName).Sheets("AEP_OH_CS - test CSGS3UMS").Protect Password:="radiohead", DrawingObjects:=False, Contents:=True, Scenarios:=True, AllowFiltering:=True, UserInterFaceOnly:=True</v>
      </c>
    </row>
    <row r="9" spans="1:11" x14ac:dyDescent="0.15">
      <c r="A9" t="s">
        <v>701</v>
      </c>
      <c r="E9" t="str">
        <f t="shared" si="0"/>
        <v>'BGE LP_GSMS</v>
      </c>
      <c r="G9" t="s">
        <v>698</v>
      </c>
      <c r="H9" t="s">
        <v>735</v>
      </c>
      <c r="I9" t="str">
        <f t="shared" si="1"/>
        <v>Ameren RateZnIII LP DS2HHMS</v>
      </c>
      <c r="J9" t="s">
        <v>736</v>
      </c>
      <c r="K9" t="str">
        <f t="shared" si="2"/>
        <v>Workbooks(varFileName).Sheets("Ameren RateZnIII LP DS2HHMS").Protect Password:="radiohead", DrawingObjects:=False, Contents:=True, Scenarios:=True, AllowFiltering:=True, UserInterFaceOnly:=True</v>
      </c>
    </row>
    <row r="10" spans="1:11" x14ac:dyDescent="0.15">
      <c r="A10" t="s">
        <v>702</v>
      </c>
      <c r="E10" t="str">
        <f t="shared" si="0"/>
        <v>'ComEd - test LP_28MS</v>
      </c>
      <c r="G10" t="s">
        <v>699</v>
      </c>
      <c r="H10" t="s">
        <v>735</v>
      </c>
      <c r="I10" t="str">
        <f t="shared" si="1"/>
        <v>BGE LP_GLMS</v>
      </c>
      <c r="J10" t="s">
        <v>736</v>
      </c>
      <c r="K10" t="str">
        <f t="shared" si="2"/>
        <v>Workbooks(varFileName).Sheets("BGE LP_GLMS").Protect Password:="radiohead", DrawingObjects:=False, Contents:=True, Scenarios:=True, AllowFiltering:=True, UserInterFaceOnly:=True</v>
      </c>
    </row>
    <row r="11" spans="1:11" x14ac:dyDescent="0.15">
      <c r="A11" t="s">
        <v>703</v>
      </c>
      <c r="E11" t="str">
        <f t="shared" si="0"/>
        <v>'ComEd - test LP_29MS</v>
      </c>
      <c r="G11" t="s">
        <v>700</v>
      </c>
      <c r="H11" t="s">
        <v>735</v>
      </c>
      <c r="I11" t="str">
        <f t="shared" si="1"/>
        <v>BGE LP_GMS</v>
      </c>
      <c r="J11" t="s">
        <v>736</v>
      </c>
      <c r="K11" t="str">
        <f t="shared" si="2"/>
        <v>Workbooks(varFileName).Sheets("BGE LP_GMS").Protect Password:="radiohead", DrawingObjects:=False, Contents:=True, Scenarios:=True, AllowFiltering:=True, UserInterFaceOnly:=True</v>
      </c>
    </row>
    <row r="12" spans="1:11" x14ac:dyDescent="0.15">
      <c r="A12" t="s">
        <v>704</v>
      </c>
      <c r="E12" t="str">
        <f t="shared" si="0"/>
        <v>'DAY_RC_843MS</v>
      </c>
      <c r="G12" t="s">
        <v>701</v>
      </c>
      <c r="H12" t="s">
        <v>735</v>
      </c>
      <c r="I12" t="str">
        <f t="shared" si="1"/>
        <v>BGE LP_GSMS</v>
      </c>
      <c r="J12" t="s">
        <v>736</v>
      </c>
      <c r="K12" t="str">
        <f t="shared" si="2"/>
        <v>Workbooks(varFileName).Sheets("BGE LP_GSMS").Protect Password:="radiohead", DrawingObjects:=False, Contents:=True, Scenarios:=True, AllowFiltering:=True, UserInterFaceOnly:=True</v>
      </c>
    </row>
    <row r="13" spans="1:11" x14ac:dyDescent="0.15">
      <c r="A13" t="s">
        <v>705</v>
      </c>
      <c r="E13" t="str">
        <f t="shared" si="0"/>
        <v>'Delmarva MD LP_MDGS_MMS</v>
      </c>
      <c r="G13" t="s">
        <v>702</v>
      </c>
      <c r="H13" t="s">
        <v>735</v>
      </c>
      <c r="I13" t="str">
        <f t="shared" si="1"/>
        <v>ComEd - test LP_28MS</v>
      </c>
      <c r="J13" t="s">
        <v>736</v>
      </c>
      <c r="K13" t="str">
        <f t="shared" si="2"/>
        <v>Workbooks(varFileName).Sheets("ComEd - test LP_28MS").Protect Password:="radiohead", DrawingObjects:=False, Contents:=True, Scenarios:=True, AllowFiltering:=True, UserInterFaceOnly:=True</v>
      </c>
    </row>
    <row r="14" spans="1:11" x14ac:dyDescent="0.15">
      <c r="A14" t="s">
        <v>706</v>
      </c>
      <c r="E14" t="str">
        <f t="shared" si="0"/>
        <v>'DQE LP_GSGM_MMS (2)</v>
      </c>
      <c r="G14" t="s">
        <v>703</v>
      </c>
      <c r="H14" t="s">
        <v>735</v>
      </c>
      <c r="I14" t="str">
        <f t="shared" si="1"/>
        <v>ComEd - test LP_29MS</v>
      </c>
      <c r="J14" t="s">
        <v>736</v>
      </c>
      <c r="K14" t="str">
        <f t="shared" si="2"/>
        <v>Workbooks(varFileName).Sheets("ComEd - test LP_29MS").Protect Password:="radiohead", DrawingObjects:=False, Contents:=True, Scenarios:=True, AllowFiltering:=True, UserInterFaceOnly:=True</v>
      </c>
    </row>
    <row r="15" spans="1:11" x14ac:dyDescent="0.15">
      <c r="A15" t="s">
        <v>707</v>
      </c>
      <c r="E15" t="str">
        <f t="shared" si="0"/>
        <v>'Duke_OH_RC_DS01MS</v>
      </c>
      <c r="G15" t="s">
        <v>704</v>
      </c>
      <c r="H15" t="s">
        <v>735</v>
      </c>
      <c r="I15" t="str">
        <f t="shared" si="1"/>
        <v>DAY_RC_843MS</v>
      </c>
      <c r="J15" t="s">
        <v>736</v>
      </c>
      <c r="K15" t="str">
        <f t="shared" si="2"/>
        <v>Workbooks(varFileName).Sheets("DAY_RC_843MS").Protect Password:="radiohead", DrawingObjects:=False, Contents:=True, Scenarios:=True, AllowFiltering:=True, UserInterFaceOnly:=True</v>
      </c>
    </row>
    <row r="16" spans="1:11" x14ac:dyDescent="0.15">
      <c r="A16" t="s">
        <v>708</v>
      </c>
      <c r="E16" t="str">
        <f t="shared" si="0"/>
        <v>'FE_OE - test RC_GSFMS</v>
      </c>
      <c r="G16" t="s">
        <v>705</v>
      </c>
      <c r="H16" t="s">
        <v>735</v>
      </c>
      <c r="I16" t="str">
        <f t="shared" si="1"/>
        <v>Delmarva MD LP_MDGS_MMS</v>
      </c>
      <c r="J16" t="s">
        <v>736</v>
      </c>
      <c r="K16" t="str">
        <f t="shared" si="2"/>
        <v>Workbooks(varFileName).Sheets("Delmarva MD LP_MDGS_MMS").Protect Password:="radiohead", DrawingObjects:=False, Contents:=True, Scenarios:=True, AllowFiltering:=True, UserInterFaceOnly:=True</v>
      </c>
    </row>
    <row r="17" spans="1:11" x14ac:dyDescent="0.15">
      <c r="A17" t="s">
        <v>709</v>
      </c>
      <c r="E17" t="str">
        <f t="shared" si="0"/>
        <v>'Adders</v>
      </c>
      <c r="G17" t="s">
        <v>706</v>
      </c>
      <c r="H17" t="s">
        <v>735</v>
      </c>
      <c r="I17" t="str">
        <f t="shared" si="1"/>
        <v>DQE LP_GSGM_MMS (2)</v>
      </c>
      <c r="J17" t="s">
        <v>736</v>
      </c>
      <c r="K17" t="str">
        <f t="shared" si="2"/>
        <v>Workbooks(varFileName).Sheets("DQE LP_GSGM_MMS (2)").Protect Password:="radiohead", DrawingObjects:=False, Contents:=True, Scenarios:=True, AllowFiltering:=True, UserInterFaceOnly:=True</v>
      </c>
    </row>
    <row r="18" spans="1:11" x14ac:dyDescent="0.15">
      <c r="A18" t="s">
        <v>710</v>
      </c>
      <c r="E18" t="str">
        <f t="shared" si="0"/>
        <v>'Matrix</v>
      </c>
      <c r="G18" t="s">
        <v>707</v>
      </c>
      <c r="H18" t="s">
        <v>735</v>
      </c>
      <c r="I18" t="str">
        <f t="shared" si="1"/>
        <v>Duke_OH_RC_DS01MS</v>
      </c>
      <c r="J18" t="s">
        <v>736</v>
      </c>
      <c r="K18" t="str">
        <f t="shared" si="2"/>
        <v>Workbooks(varFileName).Sheets("Duke_OH_RC_DS01MS").Protect Password:="radiohead", DrawingObjects:=False, Contents:=True, Scenarios:=True, AllowFiltering:=True, UserInterFaceOnly:=True</v>
      </c>
    </row>
    <row r="19" spans="1:11" x14ac:dyDescent="0.15">
      <c r="A19" t="s">
        <v>6</v>
      </c>
      <c r="E19" t="str">
        <f t="shared" si="0"/>
        <v>'PA</v>
      </c>
      <c r="G19" t="s">
        <v>708</v>
      </c>
      <c r="H19" t="s">
        <v>735</v>
      </c>
      <c r="I19" t="str">
        <f t="shared" si="1"/>
        <v>FE_OE - test RC_GSFMS</v>
      </c>
      <c r="J19" t="s">
        <v>736</v>
      </c>
      <c r="K19" t="str">
        <f t="shared" si="2"/>
        <v>Workbooks(varFileName).Sheets("FE_OE - test RC_GSFMS").Protect Password:="radiohead", DrawingObjects:=False, Contents:=True, Scenarios:=True, AllowFiltering:=True, UserInterFaceOnly:=True</v>
      </c>
    </row>
    <row r="20" spans="1:11" x14ac:dyDescent="0.15">
      <c r="A20" t="s">
        <v>20</v>
      </c>
      <c r="E20" t="str">
        <f t="shared" si="0"/>
        <v>'OH</v>
      </c>
      <c r="G20" t="s">
        <v>709</v>
      </c>
      <c r="H20" t="s">
        <v>735</v>
      </c>
      <c r="I20" t="str">
        <f t="shared" si="1"/>
        <v>Adders</v>
      </c>
      <c r="J20" t="s">
        <v>736</v>
      </c>
      <c r="K20" t="str">
        <f t="shared" si="2"/>
        <v>Workbooks(varFileName).Sheets("Adders").Protect Password:="radiohead", DrawingObjects:=False, Contents:=True, Scenarios:=True, AllowFiltering:=True, UserInterFaceOnly:=True</v>
      </c>
    </row>
    <row r="21" spans="1:11" x14ac:dyDescent="0.15">
      <c r="A21" t="s">
        <v>25</v>
      </c>
      <c r="E21" t="str">
        <f t="shared" si="0"/>
        <v>'IL</v>
      </c>
      <c r="G21" t="s">
        <v>710</v>
      </c>
      <c r="H21" t="s">
        <v>735</v>
      </c>
      <c r="I21" t="str">
        <f t="shared" si="1"/>
        <v>Matrix</v>
      </c>
      <c r="J21" t="s">
        <v>736</v>
      </c>
      <c r="K21" t="str">
        <f t="shared" si="2"/>
        <v>Workbooks(varFileName).Sheets("Matrix").Protect Password:="radiohead", DrawingObjects:=False, Contents:=True, Scenarios:=True, AllowFiltering:=True, UserInterFaceOnly:=True</v>
      </c>
    </row>
    <row r="22" spans="1:11" x14ac:dyDescent="0.15">
      <c r="A22" t="s">
        <v>31</v>
      </c>
      <c r="E22" t="str">
        <f t="shared" si="0"/>
        <v>'NJ</v>
      </c>
      <c r="G22" t="s">
        <v>6</v>
      </c>
      <c r="H22" t="s">
        <v>735</v>
      </c>
      <c r="I22" t="str">
        <f t="shared" si="1"/>
        <v>PA</v>
      </c>
      <c r="J22" t="s">
        <v>736</v>
      </c>
      <c r="K22" t="str">
        <f t="shared" si="2"/>
        <v>Workbooks(varFileName).Sheets("PA").Protect Password:="radiohead", DrawingObjects:=False, Contents:=True, Scenarios:=True, AllowFiltering:=True, UserInterFaceOnly:=True</v>
      </c>
    </row>
    <row r="23" spans="1:11" x14ac:dyDescent="0.15">
      <c r="A23" t="s">
        <v>39</v>
      </c>
      <c r="E23" t="str">
        <f t="shared" si="0"/>
        <v>'MD</v>
      </c>
      <c r="G23" t="s">
        <v>20</v>
      </c>
      <c r="H23" t="s">
        <v>735</v>
      </c>
      <c r="I23" t="str">
        <f t="shared" si="1"/>
        <v>OH</v>
      </c>
      <c r="J23" t="s">
        <v>736</v>
      </c>
      <c r="K23" t="str">
        <f t="shared" si="2"/>
        <v>Workbooks(varFileName).Sheets("OH").Protect Password:="radiohead", DrawingObjects:=False, Contents:=True, Scenarios:=True, AllowFiltering:=True, UserInterFaceOnly:=True</v>
      </c>
    </row>
    <row r="24" spans="1:11" x14ac:dyDescent="0.15">
      <c r="A24" t="s">
        <v>711</v>
      </c>
      <c r="E24" t="str">
        <f t="shared" si="0"/>
        <v>'Main</v>
      </c>
      <c r="G24" t="s">
        <v>25</v>
      </c>
      <c r="H24" t="s">
        <v>735</v>
      </c>
      <c r="I24" t="str">
        <f t="shared" si="1"/>
        <v>IL</v>
      </c>
      <c r="J24" t="s">
        <v>736</v>
      </c>
      <c r="K24" t="str">
        <f t="shared" si="2"/>
        <v>Workbooks(varFileName).Sheets("IL").Protect Password:="radiohead", DrawingObjects:=False, Contents:=True, Scenarios:=True, AllowFiltering:=True, UserInterFaceOnly:=True</v>
      </c>
    </row>
    <row r="25" spans="1:11" x14ac:dyDescent="0.15">
      <c r="A25" t="s">
        <v>712</v>
      </c>
      <c r="E25" t="str">
        <f t="shared" si="0"/>
        <v>'LMPMain</v>
      </c>
      <c r="G25" t="s">
        <v>31</v>
      </c>
      <c r="H25" t="s">
        <v>735</v>
      </c>
      <c r="I25" t="str">
        <f t="shared" si="1"/>
        <v>NJ</v>
      </c>
      <c r="J25" t="s">
        <v>736</v>
      </c>
      <c r="K25" t="str">
        <f t="shared" si="2"/>
        <v>Workbooks(varFileName).Sheets("NJ").Protect Password:="radiohead", DrawingObjects:=False, Contents:=True, Scenarios:=True, AllowFiltering:=True, UserInterFaceOnly:=True</v>
      </c>
    </row>
    <row r="26" spans="1:11" x14ac:dyDescent="0.15">
      <c r="A26" t="s">
        <v>713</v>
      </c>
      <c r="E26" t="str">
        <f t="shared" si="0"/>
        <v>'JCPL LP_GSCLMS</v>
      </c>
      <c r="G26" t="s">
        <v>39</v>
      </c>
      <c r="H26" t="s">
        <v>735</v>
      </c>
      <c r="I26" t="str">
        <f t="shared" si="1"/>
        <v>MD</v>
      </c>
      <c r="J26" t="s">
        <v>736</v>
      </c>
      <c r="K26" t="str">
        <f t="shared" si="2"/>
        <v>Workbooks(varFileName).Sheets("MD").Protect Password:="radiohead", DrawingObjects:=False, Contents:=True, Scenarios:=True, AllowFiltering:=True, UserInterFaceOnly:=True</v>
      </c>
    </row>
    <row r="27" spans="1:11" x14ac:dyDescent="0.15">
      <c r="A27" t="s">
        <v>714</v>
      </c>
      <c r="E27" t="str">
        <f t="shared" si="0"/>
        <v>'JCPL LP_GSCMMS</v>
      </c>
      <c r="G27" t="s">
        <v>711</v>
      </c>
      <c r="H27" t="s">
        <v>735</v>
      </c>
      <c r="I27" t="str">
        <f t="shared" si="1"/>
        <v>Main</v>
      </c>
      <c r="J27" t="s">
        <v>736</v>
      </c>
      <c r="K27" t="str">
        <f t="shared" si="2"/>
        <v>Workbooks(varFileName).Sheets("Main").Protect Password:="radiohead", DrawingObjects:=False, Contents:=True, Scenarios:=True, AllowFiltering:=True, UserInterFaceOnly:=True</v>
      </c>
    </row>
    <row r="28" spans="1:11" x14ac:dyDescent="0.15">
      <c r="A28" t="s">
        <v>715</v>
      </c>
      <c r="E28" t="str">
        <f t="shared" si="0"/>
        <v>'JCPL LP_GSCSMS</v>
      </c>
      <c r="G28" t="s">
        <v>712</v>
      </c>
      <c r="H28" t="s">
        <v>735</v>
      </c>
      <c r="I28" t="str">
        <f t="shared" si="1"/>
        <v>LMPMain</v>
      </c>
      <c r="J28" t="s">
        <v>736</v>
      </c>
      <c r="K28" t="str">
        <f t="shared" si="2"/>
        <v>Workbooks(varFileName).Sheets("LMPMain").Protect Password:="radiohead", DrawingObjects:=False, Contents:=True, Scenarios:=True, AllowFiltering:=True, UserInterFaceOnly:=True</v>
      </c>
    </row>
    <row r="29" spans="1:11" x14ac:dyDescent="0.15">
      <c r="A29" t="s">
        <v>716</v>
      </c>
      <c r="E29" t="str">
        <f t="shared" si="0"/>
        <v>'MetEd RC_GSDFMS (2)</v>
      </c>
      <c r="G29" t="s">
        <v>713</v>
      </c>
      <c r="H29" t="s">
        <v>735</v>
      </c>
      <c r="I29" t="str">
        <f t="shared" si="1"/>
        <v>JCPL LP_GSCLMS</v>
      </c>
      <c r="J29" t="s">
        <v>736</v>
      </c>
      <c r="K29" t="str">
        <f t="shared" si="2"/>
        <v>Workbooks(varFileName).Sheets("JCPL LP_GSCLMS").Protect Password:="radiohead", DrawingObjects:=False, Contents:=True, Scenarios:=True, AllowFiltering:=True, UserInterFaceOnly:=True</v>
      </c>
    </row>
    <row r="30" spans="1:11" x14ac:dyDescent="0.15">
      <c r="A30" t="s">
        <v>717</v>
      </c>
      <c r="E30" t="str">
        <f t="shared" si="0"/>
        <v>'MetEd RC_GSLFMS (2)</v>
      </c>
      <c r="G30" t="s">
        <v>714</v>
      </c>
      <c r="H30" t="s">
        <v>735</v>
      </c>
      <c r="I30" t="str">
        <f t="shared" si="1"/>
        <v>JCPL LP_GSCMMS</v>
      </c>
      <c r="J30" t="s">
        <v>736</v>
      </c>
      <c r="K30" t="str">
        <f t="shared" si="2"/>
        <v>Workbooks(varFileName).Sheets("JCPL LP_GSCMMS").Protect Password:="radiohead", DrawingObjects:=False, Contents:=True, Scenarios:=True, AllowFiltering:=True, UserInterFaceOnly:=True</v>
      </c>
    </row>
    <row r="31" spans="1:11" x14ac:dyDescent="0.15">
      <c r="A31" t="s">
        <v>718</v>
      </c>
      <c r="E31" t="str">
        <f t="shared" si="0"/>
        <v>'MetEd RC_GSSFMS (2)</v>
      </c>
      <c r="G31" t="s">
        <v>715</v>
      </c>
      <c r="H31" t="s">
        <v>735</v>
      </c>
      <c r="I31" t="str">
        <f t="shared" si="1"/>
        <v>JCPL LP_GSCSMS</v>
      </c>
      <c r="J31" t="s">
        <v>736</v>
      </c>
      <c r="K31" t="str">
        <f t="shared" si="2"/>
        <v>Workbooks(varFileName).Sheets("JCPL LP_GSCSMS").Protect Password:="radiohead", DrawingObjects:=False, Contents:=True, Scenarios:=True, AllowFiltering:=True, UserInterFaceOnly:=True</v>
      </c>
    </row>
    <row r="32" spans="1:11" x14ac:dyDescent="0.15">
      <c r="A32" t="s">
        <v>719</v>
      </c>
      <c r="E32" t="str">
        <f t="shared" si="0"/>
        <v>'PECO LP_GSMS (2)</v>
      </c>
      <c r="G32" t="s">
        <v>716</v>
      </c>
      <c r="H32" t="s">
        <v>735</v>
      </c>
      <c r="I32" t="str">
        <f t="shared" si="1"/>
        <v>MetEd RC_GSDFMS (2)</v>
      </c>
      <c r="J32" t="s">
        <v>736</v>
      </c>
      <c r="K32" t="str">
        <f t="shared" si="2"/>
        <v>Workbooks(varFileName).Sheets("MetEd RC_GSDFMS (2)").Protect Password:="radiohead", DrawingObjects:=False, Contents:=True, Scenarios:=True, AllowFiltering:=True, UserInterFaceOnly:=True</v>
      </c>
    </row>
    <row r="33" spans="1:11" x14ac:dyDescent="0.15">
      <c r="A33" t="s">
        <v>720</v>
      </c>
      <c r="E33" t="str">
        <f t="shared" si="0"/>
        <v>'Penelec RC_GSLFMS (2)</v>
      </c>
      <c r="G33" t="s">
        <v>717</v>
      </c>
      <c r="H33" t="s">
        <v>735</v>
      </c>
      <c r="I33" t="str">
        <f t="shared" si="1"/>
        <v>MetEd RC_GSLFMS (2)</v>
      </c>
      <c r="J33" t="s">
        <v>736</v>
      </c>
      <c r="K33" t="str">
        <f t="shared" si="2"/>
        <v>Workbooks(varFileName).Sheets("MetEd RC_GSLFMS (2)").Protect Password:="radiohead", DrawingObjects:=False, Contents:=True, Scenarios:=True, AllowFiltering:=True, UserInterFaceOnly:=True</v>
      </c>
    </row>
    <row r="34" spans="1:11" x14ac:dyDescent="0.15">
      <c r="A34" t="s">
        <v>721</v>
      </c>
      <c r="E34" t="str">
        <f t="shared" si="0"/>
        <v>'Penelec RC_GSMFMS (2)</v>
      </c>
      <c r="G34" t="s">
        <v>718</v>
      </c>
      <c r="H34" t="s">
        <v>735</v>
      </c>
      <c r="I34" t="str">
        <f t="shared" si="1"/>
        <v>MetEd RC_GSSFMS (2)</v>
      </c>
      <c r="J34" t="s">
        <v>736</v>
      </c>
      <c r="K34" t="str">
        <f t="shared" si="2"/>
        <v>Workbooks(varFileName).Sheets("MetEd RC_GSSFMS (2)").Protect Password:="radiohead", DrawingObjects:=False, Contents:=True, Scenarios:=True, AllowFiltering:=True, UserInterFaceOnly:=True</v>
      </c>
    </row>
    <row r="35" spans="1:11" x14ac:dyDescent="0.15">
      <c r="A35" t="s">
        <v>722</v>
      </c>
      <c r="E35" t="str">
        <f t="shared" si="0"/>
        <v>'Penelec RC_GSSFMS (2)</v>
      </c>
      <c r="G35" t="s">
        <v>719</v>
      </c>
      <c r="H35" t="s">
        <v>735</v>
      </c>
      <c r="I35" t="str">
        <f t="shared" si="1"/>
        <v>PECO LP_GSMS (2)</v>
      </c>
      <c r="J35" t="s">
        <v>736</v>
      </c>
      <c r="K35" t="str">
        <f t="shared" si="2"/>
        <v>Workbooks(varFileName).Sheets("PECO LP_GSMS (2)").Protect Password:="radiohead", DrawingObjects:=False, Contents:=True, Scenarios:=True, AllowFiltering:=True, UserInterFaceOnly:=True</v>
      </c>
    </row>
    <row r="36" spans="1:11" x14ac:dyDescent="0.15">
      <c r="A36" t="s">
        <v>723</v>
      </c>
      <c r="E36" t="str">
        <f t="shared" si="0"/>
        <v>'Penn Power RC_GMDMS (2)</v>
      </c>
      <c r="G36" t="s">
        <v>720</v>
      </c>
      <c r="H36" t="s">
        <v>735</v>
      </c>
      <c r="I36" t="str">
        <f t="shared" si="1"/>
        <v>Penelec RC_GSLFMS (2)</v>
      </c>
      <c r="J36" t="s">
        <v>736</v>
      </c>
      <c r="K36" t="str">
        <f t="shared" si="2"/>
        <v>Workbooks(varFileName).Sheets("Penelec RC_GSLFMS (2)").Protect Password:="radiohead", DrawingObjects:=False, Contents:=True, Scenarios:=True, AllowFiltering:=True, UserInterFaceOnly:=True</v>
      </c>
    </row>
    <row r="37" spans="1:11" x14ac:dyDescent="0.15">
      <c r="A37" t="s">
        <v>724</v>
      </c>
      <c r="E37" t="str">
        <f t="shared" si="0"/>
        <v>'PEPCO MD LP_MDNDMS</v>
      </c>
      <c r="G37" t="s">
        <v>721</v>
      </c>
      <c r="H37" t="s">
        <v>735</v>
      </c>
      <c r="I37" t="str">
        <f t="shared" si="1"/>
        <v>Penelec RC_GSMFMS (2)</v>
      </c>
      <c r="J37" t="s">
        <v>736</v>
      </c>
      <c r="K37" t="str">
        <f t="shared" si="2"/>
        <v>Workbooks(varFileName).Sheets("Penelec RC_GSMFMS (2)").Protect Password:="radiohead", DrawingObjects:=False, Contents:=True, Scenarios:=True, AllowFiltering:=True, UserInterFaceOnly:=True</v>
      </c>
    </row>
    <row r="38" spans="1:11" x14ac:dyDescent="0.15">
      <c r="A38" t="s">
        <v>725</v>
      </c>
      <c r="E38" t="str">
        <f t="shared" si="0"/>
        <v>'PEPCO MD LP_MMGTL2AMS</v>
      </c>
      <c r="G38" t="s">
        <v>722</v>
      </c>
      <c r="H38" t="s">
        <v>735</v>
      </c>
      <c r="I38" t="str">
        <f t="shared" si="1"/>
        <v>Penelec RC_GSSFMS (2)</v>
      </c>
      <c r="J38" t="s">
        <v>736</v>
      </c>
      <c r="K38" t="str">
        <f t="shared" si="2"/>
        <v>Workbooks(varFileName).Sheets("Penelec RC_GSSFMS (2)").Protect Password:="radiohead", DrawingObjects:=False, Contents:=True, Scenarios:=True, AllowFiltering:=True, UserInterFaceOnly:=True</v>
      </c>
    </row>
    <row r="39" spans="1:11" x14ac:dyDescent="0.15">
      <c r="A39" t="s">
        <v>726</v>
      </c>
      <c r="E39" t="str">
        <f t="shared" si="0"/>
        <v>'PEPCO MD RC_3T7MS</v>
      </c>
      <c r="G39" t="s">
        <v>723</v>
      </c>
      <c r="H39" t="s">
        <v>735</v>
      </c>
      <c r="I39" t="str">
        <f t="shared" si="1"/>
        <v>Penn Power RC_GMDMS (2)</v>
      </c>
      <c r="J39" t="s">
        <v>736</v>
      </c>
      <c r="K39" t="str">
        <f t="shared" si="2"/>
        <v>Workbooks(varFileName).Sheets("Penn Power RC_GMDMS (2)").Protect Password:="radiohead", DrawingObjects:=False, Contents:=True, Scenarios:=True, AllowFiltering:=True, UserInterFaceOnly:=True</v>
      </c>
    </row>
    <row r="40" spans="1:11" x14ac:dyDescent="0.15">
      <c r="A40" t="s">
        <v>727</v>
      </c>
      <c r="E40" t="str">
        <f t="shared" si="0"/>
        <v>'Potomac Edison LP_GSCM_MMS</v>
      </c>
      <c r="G40" t="s">
        <v>724</v>
      </c>
      <c r="H40" t="s">
        <v>735</v>
      </c>
      <c r="I40" t="str">
        <f t="shared" si="1"/>
        <v>PEPCO MD LP_MDNDMS</v>
      </c>
      <c r="J40" t="s">
        <v>736</v>
      </c>
      <c r="K40" t="str">
        <f t="shared" si="2"/>
        <v>Workbooks(varFileName).Sheets("PEPCO MD LP_MDNDMS").Protect Password:="radiohead", DrawingObjects:=False, Contents:=True, Scenarios:=True, AllowFiltering:=True, UserInterFaceOnly:=True</v>
      </c>
    </row>
    <row r="41" spans="1:11" x14ac:dyDescent="0.15">
      <c r="A41" t="s">
        <v>728</v>
      </c>
      <c r="E41" t="str">
        <f t="shared" si="0"/>
        <v>'PPL_RCGS1MS (2)</v>
      </c>
      <c r="G41" t="s">
        <v>725</v>
      </c>
      <c r="H41" t="s">
        <v>735</v>
      </c>
      <c r="I41" t="str">
        <f t="shared" si="1"/>
        <v>PEPCO MD LP_MMGTL2AMS</v>
      </c>
      <c r="J41" t="s">
        <v>736</v>
      </c>
      <c r="K41" t="str">
        <f t="shared" si="2"/>
        <v>Workbooks(varFileName).Sheets("PEPCO MD LP_MMGTL2AMS").Protect Password:="radiohead", DrawingObjects:=False, Contents:=True, Scenarios:=True, AllowFiltering:=True, UserInterFaceOnly:=True</v>
      </c>
    </row>
    <row r="42" spans="1:11" x14ac:dyDescent="0.15">
      <c r="A42" t="s">
        <v>729</v>
      </c>
      <c r="E42" t="str">
        <f t="shared" si="0"/>
        <v>'PPL_RCGS3MS (2)</v>
      </c>
      <c r="G42" t="s">
        <v>726</v>
      </c>
      <c r="H42" t="s">
        <v>735</v>
      </c>
      <c r="I42" t="str">
        <f t="shared" si="1"/>
        <v>PEPCO MD RC_3T7MS</v>
      </c>
      <c r="J42" t="s">
        <v>736</v>
      </c>
      <c r="K42" t="str">
        <f t="shared" si="2"/>
        <v>Workbooks(varFileName).Sheets("PEPCO MD RC_3T7MS").Protect Password:="radiohead", DrawingObjects:=False, Contents:=True, Scenarios:=True, AllowFiltering:=True, UserInterFaceOnly:=True</v>
      </c>
    </row>
    <row r="43" spans="1:11" x14ac:dyDescent="0.15">
      <c r="A43" t="s">
        <v>730</v>
      </c>
      <c r="E43" t="str">
        <f t="shared" si="0"/>
        <v>'PSEG LP_GLP_MMS</v>
      </c>
      <c r="G43" t="s">
        <v>727</v>
      </c>
      <c r="H43" t="s">
        <v>735</v>
      </c>
      <c r="I43" t="str">
        <f t="shared" si="1"/>
        <v>Potomac Edison LP_GSCM_MMS</v>
      </c>
      <c r="J43" t="s">
        <v>736</v>
      </c>
      <c r="K43" t="str">
        <f t="shared" si="2"/>
        <v>Workbooks(varFileName).Sheets("Potomac Edison LP_GSCM_MMS").Protect Password:="radiohead", DrawingObjects:=False, Contents:=True, Scenarios:=True, AllowFiltering:=True, UserInterFaceOnly:=True</v>
      </c>
    </row>
    <row r="44" spans="1:11" x14ac:dyDescent="0.15">
      <c r="A44" t="s">
        <v>731</v>
      </c>
      <c r="E44" t="str">
        <f t="shared" si="0"/>
        <v>'PSEG LP_LPLMS</v>
      </c>
      <c r="G44" t="s">
        <v>728</v>
      </c>
      <c r="H44" t="s">
        <v>735</v>
      </c>
      <c r="I44" t="str">
        <f t="shared" si="1"/>
        <v>PPL_RCGS1MS (2)</v>
      </c>
      <c r="J44" t="s">
        <v>736</v>
      </c>
      <c r="K44" t="str">
        <f t="shared" si="2"/>
        <v>Workbooks(varFileName).Sheets("PPL_RCGS1MS (2)").Protect Password:="radiohead", DrawingObjects:=False, Contents:=True, Scenarios:=True, AllowFiltering:=True, UserInterFaceOnly:=True</v>
      </c>
    </row>
    <row r="45" spans="1:11" x14ac:dyDescent="0.15">
      <c r="A45" t="s">
        <v>732</v>
      </c>
      <c r="E45" t="str">
        <f t="shared" si="0"/>
        <v>'West Penn Power LP_GSCMMS (2)</v>
      </c>
      <c r="G45" t="s">
        <v>729</v>
      </c>
      <c r="H45" t="s">
        <v>735</v>
      </c>
      <c r="I45" t="str">
        <f t="shared" si="1"/>
        <v>PPL_RCGS3MS (2)</v>
      </c>
      <c r="J45" t="s">
        <v>736</v>
      </c>
      <c r="K45" t="str">
        <f t="shared" si="2"/>
        <v>Workbooks(varFileName).Sheets("PPL_RCGS3MS (2)").Protect Password:="radiohead", DrawingObjects:=False, Contents:=True, Scenarios:=True, AllowFiltering:=True, UserInterFaceOnly:=True</v>
      </c>
    </row>
    <row r="46" spans="1:11" x14ac:dyDescent="0.15">
      <c r="A46" t="s">
        <v>733</v>
      </c>
      <c r="E46" t="str">
        <f t="shared" si="0"/>
        <v>'AllSheetNames</v>
      </c>
      <c r="G46" t="s">
        <v>730</v>
      </c>
      <c r="H46" t="s">
        <v>735</v>
      </c>
      <c r="I46" t="str">
        <f t="shared" si="1"/>
        <v>PSEG LP_GLP_MMS</v>
      </c>
      <c r="J46" t="s">
        <v>736</v>
      </c>
      <c r="K46" t="str">
        <f t="shared" si="2"/>
        <v>Workbooks(varFileName).Sheets("PSEG LP_GLP_MMS").Protect Password:="radiohead", DrawingObjects:=False, Contents:=True, Scenarios:=True, AllowFiltering:=True, UserInterFaceOnly:=True</v>
      </c>
    </row>
    <row r="47" spans="1:11" x14ac:dyDescent="0.15">
      <c r="G47" t="s">
        <v>731</v>
      </c>
      <c r="H47" t="s">
        <v>735</v>
      </c>
      <c r="I47" t="str">
        <f t="shared" si="1"/>
        <v>PSEG LP_LPLMS</v>
      </c>
      <c r="J47" t="s">
        <v>736</v>
      </c>
      <c r="K47" t="str">
        <f t="shared" si="2"/>
        <v>Workbooks(varFileName).Sheets("PSEG LP_LPLMS").Protect Password:="radiohead", DrawingObjects:=False, Contents:=True, Scenarios:=True, AllowFiltering:=True, UserInterFaceOnly:=True</v>
      </c>
    </row>
    <row r="48" spans="1:11" x14ac:dyDescent="0.15">
      <c r="G48" t="s">
        <v>732</v>
      </c>
      <c r="H48" t="s">
        <v>735</v>
      </c>
      <c r="I48" t="str">
        <f t="shared" si="1"/>
        <v>West Penn Power LP_GSCMMS (2)</v>
      </c>
      <c r="J48" t="s">
        <v>736</v>
      </c>
      <c r="K48" t="str">
        <f t="shared" si="2"/>
        <v>Workbooks(varFileName).Sheets("West Penn Power LP_GSCMMS (2)").Protect Password:="radiohead", DrawingObjects:=False, Contents:=True, Scenarios:=True, AllowFiltering:=True, UserInterFaceOnly:=True</v>
      </c>
    </row>
    <row r="49" spans="7:11" x14ac:dyDescent="0.15">
      <c r="G49" t="s">
        <v>733</v>
      </c>
      <c r="H49" t="s">
        <v>735</v>
      </c>
      <c r="I49" t="str">
        <f t="shared" si="1"/>
        <v>AllSheetNames</v>
      </c>
      <c r="J49" t="s">
        <v>736</v>
      </c>
      <c r="K49" t="str">
        <f t="shared" si="2"/>
        <v>Workbooks(varFileName).Sheets("AllSheetNames").Protect Password:="radiohead", DrawingObjects:=False, Contents:=True, Scenarios:=True, AllowFiltering:=True, UserInterFaceOnly:=True</v>
      </c>
    </row>
    <row r="54" spans="7:11" ht="12.75" x14ac:dyDescent="0.2">
      <c r="H54" s="192" t="s">
        <v>735</v>
      </c>
      <c r="I54" t="s">
        <v>693</v>
      </c>
      <c r="J54" t="s">
        <v>737</v>
      </c>
      <c r="K54" t="str">
        <f>H54&amp;I54&amp;J54</f>
        <v>Workbooks(varFileName).Sheets("AECO LP_10V1_SMS").Visible = xlVeryHidden</v>
      </c>
    </row>
    <row r="55" spans="7:11" ht="12.75" x14ac:dyDescent="0.2">
      <c r="H55" s="192" t="s">
        <v>735</v>
      </c>
      <c r="I55" t="s">
        <v>694</v>
      </c>
      <c r="J55" t="s">
        <v>737</v>
      </c>
      <c r="K55" t="str">
        <f t="shared" ref="K55:K99" si="3">H55&amp;I55&amp;J55</f>
        <v>Workbooks(varFileName).Sheets("AECO LP_14V1_MMS").Visible = xlVeryHidden</v>
      </c>
    </row>
    <row r="56" spans="7:11" ht="12.75" x14ac:dyDescent="0.2">
      <c r="H56" s="192" t="s">
        <v>735</v>
      </c>
      <c r="I56" t="s">
        <v>695</v>
      </c>
      <c r="J56" t="s">
        <v>737</v>
      </c>
      <c r="K56" t="str">
        <f t="shared" si="3"/>
        <v>Workbooks(varFileName).Sheets("AEP_OH_CS - test CSGS1MS").Visible = xlVeryHidden</v>
      </c>
    </row>
    <row r="57" spans="7:11" ht="12.75" x14ac:dyDescent="0.2">
      <c r="H57" s="192" t="s">
        <v>735</v>
      </c>
      <c r="I57" t="s">
        <v>696</v>
      </c>
      <c r="J57" t="s">
        <v>737</v>
      </c>
      <c r="K57" t="str">
        <f t="shared" si="3"/>
        <v>Workbooks(varFileName).Sheets("AEP_OH_CS - test CSGS2UMS").Visible = xlVeryHidden</v>
      </c>
    </row>
    <row r="58" spans="7:11" ht="12.75" x14ac:dyDescent="0.2">
      <c r="H58" s="192" t="s">
        <v>735</v>
      </c>
      <c r="I58" t="s">
        <v>697</v>
      </c>
      <c r="J58" t="s">
        <v>737</v>
      </c>
      <c r="K58" t="str">
        <f t="shared" si="3"/>
        <v>Workbooks(varFileName).Sheets("AEP_OH_CS - test CSGS3UMS").Visible = xlVeryHidden</v>
      </c>
    </row>
    <row r="59" spans="7:11" ht="12.75" x14ac:dyDescent="0.2">
      <c r="H59" s="192" t="s">
        <v>735</v>
      </c>
      <c r="I59" t="s">
        <v>698</v>
      </c>
      <c r="J59" t="s">
        <v>737</v>
      </c>
      <c r="K59" t="str">
        <f t="shared" si="3"/>
        <v>Workbooks(varFileName).Sheets("Ameren RateZnIII LP DS2HHMS").Visible = xlVeryHidden</v>
      </c>
    </row>
    <row r="60" spans="7:11" ht="12.75" x14ac:dyDescent="0.2">
      <c r="H60" s="192" t="s">
        <v>735</v>
      </c>
      <c r="I60" t="s">
        <v>699</v>
      </c>
      <c r="J60" t="s">
        <v>737</v>
      </c>
      <c r="K60" t="str">
        <f t="shared" si="3"/>
        <v>Workbooks(varFileName).Sheets("BGE LP_GLMS").Visible = xlVeryHidden</v>
      </c>
    </row>
    <row r="61" spans="7:11" ht="12.75" x14ac:dyDescent="0.2">
      <c r="H61" s="192" t="s">
        <v>735</v>
      </c>
      <c r="I61" t="s">
        <v>700</v>
      </c>
      <c r="J61" t="s">
        <v>737</v>
      </c>
      <c r="K61" t="str">
        <f t="shared" si="3"/>
        <v>Workbooks(varFileName).Sheets("BGE LP_GMS").Visible = xlVeryHidden</v>
      </c>
    </row>
    <row r="62" spans="7:11" ht="12.75" x14ac:dyDescent="0.2">
      <c r="H62" s="192" t="s">
        <v>735</v>
      </c>
      <c r="I62" t="s">
        <v>701</v>
      </c>
      <c r="J62" t="s">
        <v>737</v>
      </c>
      <c r="K62" t="str">
        <f t="shared" si="3"/>
        <v>Workbooks(varFileName).Sheets("BGE LP_GSMS").Visible = xlVeryHidden</v>
      </c>
    </row>
    <row r="63" spans="7:11" ht="12.75" x14ac:dyDescent="0.2">
      <c r="H63" s="192" t="s">
        <v>735</v>
      </c>
      <c r="I63" t="s">
        <v>702</v>
      </c>
      <c r="J63" t="s">
        <v>737</v>
      </c>
      <c r="K63" t="str">
        <f t="shared" si="3"/>
        <v>Workbooks(varFileName).Sheets("ComEd - test LP_28MS").Visible = xlVeryHidden</v>
      </c>
    </row>
    <row r="64" spans="7:11" ht="12.75" x14ac:dyDescent="0.2">
      <c r="H64" s="192" t="s">
        <v>735</v>
      </c>
      <c r="I64" t="s">
        <v>703</v>
      </c>
      <c r="J64" t="s">
        <v>737</v>
      </c>
      <c r="K64" t="str">
        <f t="shared" si="3"/>
        <v>Workbooks(varFileName).Sheets("ComEd - test LP_29MS").Visible = xlVeryHidden</v>
      </c>
    </row>
    <row r="65" spans="8:11" ht="12.75" x14ac:dyDescent="0.2">
      <c r="H65" s="192" t="s">
        <v>735</v>
      </c>
      <c r="I65" t="s">
        <v>704</v>
      </c>
      <c r="J65" t="s">
        <v>737</v>
      </c>
      <c r="K65" t="str">
        <f t="shared" si="3"/>
        <v>Workbooks(varFileName).Sheets("DAY_RC_843MS").Visible = xlVeryHidden</v>
      </c>
    </row>
    <row r="66" spans="8:11" ht="12.75" x14ac:dyDescent="0.2">
      <c r="H66" s="192" t="s">
        <v>735</v>
      </c>
      <c r="I66" t="s">
        <v>705</v>
      </c>
      <c r="J66" t="s">
        <v>737</v>
      </c>
      <c r="K66" t="str">
        <f t="shared" si="3"/>
        <v>Workbooks(varFileName).Sheets("Delmarva MD LP_MDGS_MMS").Visible = xlVeryHidden</v>
      </c>
    </row>
    <row r="67" spans="8:11" ht="12.75" x14ac:dyDescent="0.2">
      <c r="H67" s="192" t="s">
        <v>735</v>
      </c>
      <c r="I67" t="s">
        <v>706</v>
      </c>
      <c r="J67" t="s">
        <v>737</v>
      </c>
      <c r="K67" t="str">
        <f t="shared" si="3"/>
        <v>Workbooks(varFileName).Sheets("DQE LP_GSGM_MMS (2)").Visible = xlVeryHidden</v>
      </c>
    </row>
    <row r="68" spans="8:11" ht="12.75" x14ac:dyDescent="0.2">
      <c r="H68" s="192" t="s">
        <v>735</v>
      </c>
      <c r="I68" t="s">
        <v>707</v>
      </c>
      <c r="J68" t="s">
        <v>737</v>
      </c>
      <c r="K68" t="str">
        <f t="shared" si="3"/>
        <v>Workbooks(varFileName).Sheets("Duke_OH_RC_DS01MS").Visible = xlVeryHidden</v>
      </c>
    </row>
    <row r="69" spans="8:11" ht="12.75" x14ac:dyDescent="0.2">
      <c r="H69" s="192" t="s">
        <v>735</v>
      </c>
      <c r="I69" t="s">
        <v>708</v>
      </c>
      <c r="J69" t="s">
        <v>737</v>
      </c>
      <c r="K69" t="str">
        <f t="shared" si="3"/>
        <v>Workbooks(varFileName).Sheets("FE_OE - test RC_GSFMS").Visible = xlVeryHidden</v>
      </c>
    </row>
    <row r="70" spans="8:11" ht="12.75" x14ac:dyDescent="0.2">
      <c r="H70" s="192" t="s">
        <v>735</v>
      </c>
      <c r="I70" t="s">
        <v>709</v>
      </c>
      <c r="J70" t="s">
        <v>737</v>
      </c>
      <c r="K70" t="str">
        <f t="shared" si="3"/>
        <v>Workbooks(varFileName).Sheets("Adders").Visible = xlVeryHidden</v>
      </c>
    </row>
    <row r="71" spans="8:11" ht="12.75" x14ac:dyDescent="0.2">
      <c r="H71" s="192" t="s">
        <v>735</v>
      </c>
      <c r="I71" t="s">
        <v>710</v>
      </c>
      <c r="J71" t="s">
        <v>737</v>
      </c>
    </row>
    <row r="72" spans="8:11" ht="12.75" x14ac:dyDescent="0.2">
      <c r="H72" s="192" t="s">
        <v>735</v>
      </c>
      <c r="I72" t="s">
        <v>6</v>
      </c>
      <c r="J72" t="s">
        <v>737</v>
      </c>
    </row>
    <row r="73" spans="8:11" ht="12.75" x14ac:dyDescent="0.2">
      <c r="H73" s="192" t="s">
        <v>735</v>
      </c>
      <c r="I73" t="s">
        <v>20</v>
      </c>
      <c r="J73" t="s">
        <v>737</v>
      </c>
    </row>
    <row r="74" spans="8:11" ht="12.75" x14ac:dyDescent="0.2">
      <c r="H74" s="192" t="s">
        <v>735</v>
      </c>
      <c r="I74" t="s">
        <v>25</v>
      </c>
      <c r="J74" t="s">
        <v>737</v>
      </c>
    </row>
    <row r="75" spans="8:11" ht="12.75" x14ac:dyDescent="0.2">
      <c r="H75" s="192" t="s">
        <v>735</v>
      </c>
      <c r="I75" t="s">
        <v>31</v>
      </c>
      <c r="J75" t="s">
        <v>737</v>
      </c>
    </row>
    <row r="76" spans="8:11" ht="12.75" x14ac:dyDescent="0.2">
      <c r="H76" s="192" t="s">
        <v>735</v>
      </c>
      <c r="I76" t="s">
        <v>39</v>
      </c>
      <c r="J76" t="s">
        <v>737</v>
      </c>
    </row>
    <row r="77" spans="8:11" ht="12.75" x14ac:dyDescent="0.2">
      <c r="H77" s="192" t="s">
        <v>735</v>
      </c>
      <c r="I77" t="s">
        <v>711</v>
      </c>
      <c r="J77" t="s">
        <v>737</v>
      </c>
      <c r="K77" t="str">
        <f t="shared" si="3"/>
        <v>Workbooks(varFileName).Sheets("Main").Visible = xlVeryHidden</v>
      </c>
    </row>
    <row r="78" spans="8:11" ht="12.75" x14ac:dyDescent="0.2">
      <c r="H78" s="192" t="s">
        <v>735</v>
      </c>
      <c r="I78" t="s">
        <v>712</v>
      </c>
      <c r="J78" t="s">
        <v>737</v>
      </c>
      <c r="K78" t="str">
        <f t="shared" si="3"/>
        <v>Workbooks(varFileName).Sheets("LMPMain").Visible = xlVeryHidden</v>
      </c>
    </row>
    <row r="79" spans="8:11" ht="12.75" x14ac:dyDescent="0.2">
      <c r="H79" s="192" t="s">
        <v>735</v>
      </c>
      <c r="I79" t="s">
        <v>713</v>
      </c>
      <c r="J79" t="s">
        <v>737</v>
      </c>
      <c r="K79" t="str">
        <f t="shared" si="3"/>
        <v>Workbooks(varFileName).Sheets("JCPL LP_GSCLMS").Visible = xlVeryHidden</v>
      </c>
    </row>
    <row r="80" spans="8:11" ht="12.75" x14ac:dyDescent="0.2">
      <c r="H80" s="192" t="s">
        <v>735</v>
      </c>
      <c r="I80" t="s">
        <v>714</v>
      </c>
      <c r="J80" t="s">
        <v>737</v>
      </c>
      <c r="K80" t="str">
        <f t="shared" si="3"/>
        <v>Workbooks(varFileName).Sheets("JCPL LP_GSCMMS").Visible = xlVeryHidden</v>
      </c>
    </row>
    <row r="81" spans="8:11" ht="12.75" x14ac:dyDescent="0.2">
      <c r="H81" s="192" t="s">
        <v>735</v>
      </c>
      <c r="I81" t="s">
        <v>715</v>
      </c>
      <c r="J81" t="s">
        <v>737</v>
      </c>
      <c r="K81" t="str">
        <f t="shared" si="3"/>
        <v>Workbooks(varFileName).Sheets("JCPL LP_GSCSMS").Visible = xlVeryHidden</v>
      </c>
    </row>
    <row r="82" spans="8:11" ht="12.75" x14ac:dyDescent="0.2">
      <c r="H82" s="192" t="s">
        <v>735</v>
      </c>
      <c r="I82" t="s">
        <v>716</v>
      </c>
      <c r="J82" t="s">
        <v>737</v>
      </c>
      <c r="K82" t="str">
        <f t="shared" si="3"/>
        <v>Workbooks(varFileName).Sheets("MetEd RC_GSDFMS (2)").Visible = xlVeryHidden</v>
      </c>
    </row>
    <row r="83" spans="8:11" ht="12.75" x14ac:dyDescent="0.2">
      <c r="H83" s="192" t="s">
        <v>735</v>
      </c>
      <c r="I83" t="s">
        <v>717</v>
      </c>
      <c r="J83" t="s">
        <v>737</v>
      </c>
      <c r="K83" t="str">
        <f t="shared" si="3"/>
        <v>Workbooks(varFileName).Sheets("MetEd RC_GSLFMS (2)").Visible = xlVeryHidden</v>
      </c>
    </row>
    <row r="84" spans="8:11" ht="12.75" x14ac:dyDescent="0.2">
      <c r="H84" s="192" t="s">
        <v>735</v>
      </c>
      <c r="I84" t="s">
        <v>718</v>
      </c>
      <c r="J84" t="s">
        <v>737</v>
      </c>
      <c r="K84" t="str">
        <f t="shared" si="3"/>
        <v>Workbooks(varFileName).Sheets("MetEd RC_GSSFMS (2)").Visible = xlVeryHidden</v>
      </c>
    </row>
    <row r="85" spans="8:11" ht="12.75" x14ac:dyDescent="0.2">
      <c r="H85" s="192" t="s">
        <v>735</v>
      </c>
      <c r="I85" t="s">
        <v>719</v>
      </c>
      <c r="J85" t="s">
        <v>737</v>
      </c>
      <c r="K85" t="str">
        <f t="shared" si="3"/>
        <v>Workbooks(varFileName).Sheets("PECO LP_GSMS (2)").Visible = xlVeryHidden</v>
      </c>
    </row>
    <row r="86" spans="8:11" ht="12.75" x14ac:dyDescent="0.2">
      <c r="H86" s="192" t="s">
        <v>735</v>
      </c>
      <c r="I86" t="s">
        <v>720</v>
      </c>
      <c r="J86" t="s">
        <v>737</v>
      </c>
      <c r="K86" t="str">
        <f t="shared" si="3"/>
        <v>Workbooks(varFileName).Sheets("Penelec RC_GSLFMS (2)").Visible = xlVeryHidden</v>
      </c>
    </row>
    <row r="87" spans="8:11" ht="12.75" x14ac:dyDescent="0.2">
      <c r="H87" s="192" t="s">
        <v>735</v>
      </c>
      <c r="I87" t="s">
        <v>721</v>
      </c>
      <c r="J87" t="s">
        <v>737</v>
      </c>
      <c r="K87" t="str">
        <f t="shared" si="3"/>
        <v>Workbooks(varFileName).Sheets("Penelec RC_GSMFMS (2)").Visible = xlVeryHidden</v>
      </c>
    </row>
    <row r="88" spans="8:11" ht="12.75" x14ac:dyDescent="0.2">
      <c r="H88" s="192" t="s">
        <v>735</v>
      </c>
      <c r="I88" t="s">
        <v>722</v>
      </c>
      <c r="J88" t="s">
        <v>737</v>
      </c>
      <c r="K88" t="str">
        <f t="shared" si="3"/>
        <v>Workbooks(varFileName).Sheets("Penelec RC_GSSFMS (2)").Visible = xlVeryHidden</v>
      </c>
    </row>
    <row r="89" spans="8:11" ht="12.75" x14ac:dyDescent="0.2">
      <c r="H89" s="192" t="s">
        <v>735</v>
      </c>
      <c r="I89" t="s">
        <v>723</v>
      </c>
      <c r="J89" t="s">
        <v>737</v>
      </c>
      <c r="K89" t="str">
        <f t="shared" si="3"/>
        <v>Workbooks(varFileName).Sheets("Penn Power RC_GMDMS (2)").Visible = xlVeryHidden</v>
      </c>
    </row>
    <row r="90" spans="8:11" ht="12.75" x14ac:dyDescent="0.2">
      <c r="H90" s="192" t="s">
        <v>735</v>
      </c>
      <c r="I90" t="s">
        <v>724</v>
      </c>
      <c r="J90" t="s">
        <v>737</v>
      </c>
      <c r="K90" t="str">
        <f t="shared" si="3"/>
        <v>Workbooks(varFileName).Sheets("PEPCO MD LP_MDNDMS").Visible = xlVeryHidden</v>
      </c>
    </row>
    <row r="91" spans="8:11" ht="12.75" x14ac:dyDescent="0.2">
      <c r="H91" s="192" t="s">
        <v>735</v>
      </c>
      <c r="I91" t="s">
        <v>725</v>
      </c>
      <c r="J91" t="s">
        <v>737</v>
      </c>
      <c r="K91" t="str">
        <f t="shared" si="3"/>
        <v>Workbooks(varFileName).Sheets("PEPCO MD LP_MMGTL2AMS").Visible = xlVeryHidden</v>
      </c>
    </row>
    <row r="92" spans="8:11" ht="12.75" x14ac:dyDescent="0.2">
      <c r="H92" s="192" t="s">
        <v>735</v>
      </c>
      <c r="I92" t="s">
        <v>726</v>
      </c>
      <c r="J92" t="s">
        <v>737</v>
      </c>
      <c r="K92" t="str">
        <f t="shared" si="3"/>
        <v>Workbooks(varFileName).Sheets("PEPCO MD RC_3T7MS").Visible = xlVeryHidden</v>
      </c>
    </row>
    <row r="93" spans="8:11" ht="12.75" x14ac:dyDescent="0.2">
      <c r="H93" s="192" t="s">
        <v>735</v>
      </c>
      <c r="I93" t="s">
        <v>727</v>
      </c>
      <c r="J93" t="s">
        <v>737</v>
      </c>
      <c r="K93" t="str">
        <f t="shared" si="3"/>
        <v>Workbooks(varFileName).Sheets("Potomac Edison LP_GSCM_MMS").Visible = xlVeryHidden</v>
      </c>
    </row>
    <row r="94" spans="8:11" ht="12.75" x14ac:dyDescent="0.2">
      <c r="H94" s="192" t="s">
        <v>735</v>
      </c>
      <c r="I94" t="s">
        <v>728</v>
      </c>
      <c r="J94" t="s">
        <v>737</v>
      </c>
      <c r="K94" t="str">
        <f t="shared" si="3"/>
        <v>Workbooks(varFileName).Sheets("PPL_RCGS1MS (2)").Visible = xlVeryHidden</v>
      </c>
    </row>
    <row r="95" spans="8:11" ht="12.75" x14ac:dyDescent="0.2">
      <c r="H95" s="192" t="s">
        <v>735</v>
      </c>
      <c r="I95" t="s">
        <v>729</v>
      </c>
      <c r="J95" t="s">
        <v>737</v>
      </c>
      <c r="K95" t="str">
        <f t="shared" si="3"/>
        <v>Workbooks(varFileName).Sheets("PPL_RCGS3MS (2)").Visible = xlVeryHidden</v>
      </c>
    </row>
    <row r="96" spans="8:11" ht="12.75" x14ac:dyDescent="0.2">
      <c r="H96" s="192" t="s">
        <v>735</v>
      </c>
      <c r="I96" t="s">
        <v>730</v>
      </c>
      <c r="J96" t="s">
        <v>737</v>
      </c>
      <c r="K96" t="str">
        <f t="shared" si="3"/>
        <v>Workbooks(varFileName).Sheets("PSEG LP_GLP_MMS").Visible = xlVeryHidden</v>
      </c>
    </row>
    <row r="97" spans="8:11" ht="12.75" x14ac:dyDescent="0.2">
      <c r="H97" s="192" t="s">
        <v>735</v>
      </c>
      <c r="I97" t="s">
        <v>731</v>
      </c>
      <c r="J97" t="s">
        <v>737</v>
      </c>
      <c r="K97" t="str">
        <f t="shared" si="3"/>
        <v>Workbooks(varFileName).Sheets("PSEG LP_LPLMS").Visible = xlVeryHidden</v>
      </c>
    </row>
    <row r="98" spans="8:11" ht="12.75" x14ac:dyDescent="0.2">
      <c r="H98" s="192" t="s">
        <v>735</v>
      </c>
      <c r="I98" t="s">
        <v>732</v>
      </c>
      <c r="J98" t="s">
        <v>737</v>
      </c>
      <c r="K98" t="str">
        <f t="shared" si="3"/>
        <v>Workbooks(varFileName).Sheets("West Penn Power LP_GSCMMS (2)").Visible = xlVeryHidden</v>
      </c>
    </row>
    <row r="99" spans="8:11" ht="12.75" x14ac:dyDescent="0.2">
      <c r="H99" s="192" t="s">
        <v>735</v>
      </c>
      <c r="I99" t="s">
        <v>733</v>
      </c>
      <c r="J99" t="s">
        <v>737</v>
      </c>
      <c r="K99" t="str">
        <f t="shared" si="3"/>
        <v>Workbooks(varFileName).Sheets("AllSheetNames").Visible = xlVeryHidden</v>
      </c>
    </row>
  </sheetData>
  <sheetProtection algorithmName="SHA-512" hashValue="Yt7knm/u8XzhrDh1CCYYQlpCoPeDYDcDaa4LGg62/5MHpzquVUT8q9VUGk3VDDtb1tt8Qu8/MMEBQk14yDCpJg==" saltValue="KwIZ7HSNVKbMcPhVaUlSgQ==" spinCount="100000" sheet="1" scenarios="1" autoFilter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Matrix</vt:lpstr>
      <vt:lpstr>PA</vt:lpstr>
      <vt:lpstr>OH</vt:lpstr>
      <vt:lpstr>IL</vt:lpstr>
      <vt:lpstr>NJ</vt:lpstr>
      <vt:lpstr>MD</vt:lpstr>
      <vt:lpstr>Adders!Print_Area</vt:lpstr>
      <vt:lpstr>IL!Print_Area</vt:lpstr>
      <vt:lpstr>LMPMain!Print_Area</vt:lpstr>
      <vt:lpstr>Main!Print_Area</vt:lpstr>
      <vt:lpstr>Matrix!Print_Area</vt:lpstr>
      <vt:lpstr>MD!Print_Area</vt:lpstr>
      <vt:lpstr>NJ!Print_Area</vt:lpstr>
      <vt:lpstr>OH!Print_Area</vt:lpstr>
      <vt:lpstr>PA!Print_Area</vt:lpstr>
      <vt:lpstr>IL!Print_Titles</vt:lpstr>
      <vt:lpstr>LMPMain!Print_Titles</vt:lpstr>
      <vt:lpstr>Main!Print_Titles</vt:lpstr>
      <vt:lpstr>Matrix!Print_Titles</vt:lpstr>
      <vt:lpstr>MD!Print_Titles</vt:lpstr>
      <vt:lpstr>NJ!Print_Titles</vt:lpstr>
      <vt:lpstr>OH!Print_Titles</vt:lpstr>
      <vt:lpstr>PA!Print_Titles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Odysseus</dc:creator>
  <cp:lastModifiedBy>Haseena Pakawala</cp:lastModifiedBy>
  <dcterms:created xsi:type="dcterms:W3CDTF">2013-05-19T23:42:34Z</dcterms:created>
  <dcterms:modified xsi:type="dcterms:W3CDTF">2015-05-04T21:25:34Z</dcterms:modified>
</cp:coreProperties>
</file>